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894CC5CF-C6B5-4E9E-9B2F-A9F87C07B831}" xr6:coauthVersionLast="44" xr6:coauthVersionMax="44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967" r:id="rId4"/>
    <sheet name="だいち" sheetId="3968" r:id="rId5"/>
    <sheet name="かこたろう" sheetId="3969" r:id="rId6"/>
    <sheet name="ともき" sheetId="3970" r:id="rId7"/>
    <sheet name="りくと" sheetId="3971" r:id="rId8"/>
    <sheet name="いっしー" sheetId="3972" r:id="rId9"/>
    <sheet name="がくと" sheetId="3973" r:id="rId10"/>
    <sheet name="たかの" sheetId="3974" r:id="rId11"/>
    <sheet name="ただ" sheetId="3975" r:id="rId12"/>
    <sheet name="やがさき" sheetId="3976" r:id="rId13"/>
    <sheet name="れんたろう" sheetId="3977" r:id="rId14"/>
    <sheet name="あさひ" sheetId="3978" r:id="rId15"/>
    <sheet name="まっつん" sheetId="3979" r:id="rId16"/>
    <sheet name="ぱぱ" sheetId="3980" r:id="rId17"/>
    <sheet name="ほたに" sheetId="3981" r:id="rId18"/>
    <sheet name="かわたつ" sheetId="3982" r:id="rId19"/>
    <sheet name="のり" sheetId="3983" r:id="rId20"/>
    <sheet name="ちさと" sheetId="3984" r:id="rId21"/>
    <sheet name="たか" sheetId="3985" r:id="rId22"/>
    <sheet name="ゆう" sheetId="398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986" l="1"/>
  <c r="O16" i="3986"/>
  <c r="O15" i="3986"/>
  <c r="H52" i="3986"/>
  <c r="H4" i="3986"/>
  <c r="H51" i="3986"/>
  <c r="H50" i="3986"/>
  <c r="H49" i="3986"/>
  <c r="C48" i="3986"/>
  <c r="H48" i="3986"/>
  <c r="C47" i="3986"/>
  <c r="H47" i="3986"/>
  <c r="C46" i="3986"/>
  <c r="H46" i="3986"/>
  <c r="C45" i="3986"/>
  <c r="H45" i="3986"/>
  <c r="C44" i="3986"/>
  <c r="H44" i="3986"/>
  <c r="C43" i="3986"/>
  <c r="H43" i="3986"/>
  <c r="C42" i="3986"/>
  <c r="H42" i="3986"/>
  <c r="C41" i="3986"/>
  <c r="H41" i="3986"/>
  <c r="C40" i="3986"/>
  <c r="H40" i="3986"/>
  <c r="C39" i="3986"/>
  <c r="H39" i="3986"/>
  <c r="C38" i="3986"/>
  <c r="H38" i="3986"/>
  <c r="C37" i="3986"/>
  <c r="H37" i="3986"/>
  <c r="C36" i="3986"/>
  <c r="H36" i="3986"/>
  <c r="H35" i="3986"/>
  <c r="C34" i="3986"/>
  <c r="H34" i="3986"/>
  <c r="H33" i="3986"/>
  <c r="H32" i="3986"/>
  <c r="H31" i="3986"/>
  <c r="H30" i="3986"/>
  <c r="B29" i="3986"/>
  <c r="H29" i="3986"/>
  <c r="B28" i="3986"/>
  <c r="H9" i="3986"/>
  <c r="B27" i="3986"/>
  <c r="H28" i="3986"/>
  <c r="B26" i="3986"/>
  <c r="H12" i="3986"/>
  <c r="C25" i="3986"/>
  <c r="H27" i="3986"/>
  <c r="C24" i="3986"/>
  <c r="H26" i="3986"/>
  <c r="C23" i="3986"/>
  <c r="H25" i="3986"/>
  <c r="C22" i="3986"/>
  <c r="H24" i="3986"/>
  <c r="C21" i="3986"/>
  <c r="H23" i="3986"/>
  <c r="C20" i="3986"/>
  <c r="H22" i="3986"/>
  <c r="C19" i="3986"/>
  <c r="H21" i="3986"/>
  <c r="C18" i="3986"/>
  <c r="H20" i="3986"/>
  <c r="C17" i="3986"/>
  <c r="H5" i="3986"/>
  <c r="C16" i="3986"/>
  <c r="H19" i="3986"/>
  <c r="C15" i="3986"/>
  <c r="H18" i="3986"/>
  <c r="C14" i="3986"/>
  <c r="H17" i="3986"/>
  <c r="O12" i="3986"/>
  <c r="H16" i="3986"/>
  <c r="B12" i="3986"/>
  <c r="O11" i="3986"/>
  <c r="H15" i="3986"/>
  <c r="B11" i="3986"/>
  <c r="O10" i="3986"/>
  <c r="H8" i="3986"/>
  <c r="B10" i="3986"/>
  <c r="H14" i="3986"/>
  <c r="C9" i="3986"/>
  <c r="H13" i="3986"/>
  <c r="C8" i="3986"/>
  <c r="O7" i="3986"/>
  <c r="H7" i="3986"/>
  <c r="C7" i="3986"/>
  <c r="O6" i="3986"/>
  <c r="H6" i="3986"/>
  <c r="B6" i="3986"/>
  <c r="O5" i="3986"/>
  <c r="H11" i="3986"/>
  <c r="B5" i="3986"/>
  <c r="O4" i="3986"/>
  <c r="H3" i="3986"/>
  <c r="O3" i="3986"/>
  <c r="H10" i="3986"/>
  <c r="O2" i="3986"/>
  <c r="H2" i="3986"/>
  <c r="O20" i="3985"/>
  <c r="O19" i="3985"/>
  <c r="O18" i="3985"/>
  <c r="O17" i="3985"/>
  <c r="O16" i="3985"/>
  <c r="O15" i="3985"/>
  <c r="H52" i="3985"/>
  <c r="H5" i="3985"/>
  <c r="H51" i="3985"/>
  <c r="H50" i="3985"/>
  <c r="H49" i="3985"/>
  <c r="C48" i="3985"/>
  <c r="H48" i="3985"/>
  <c r="C47" i="3985"/>
  <c r="H47" i="3985"/>
  <c r="C46" i="3985"/>
  <c r="H46" i="3985"/>
  <c r="C45" i="3985"/>
  <c r="H45" i="3985"/>
  <c r="C44" i="3985"/>
  <c r="H44" i="3985"/>
  <c r="C43" i="3985"/>
  <c r="H43" i="3985"/>
  <c r="C42" i="3985"/>
  <c r="H42" i="3985"/>
  <c r="C41" i="3985"/>
  <c r="H41" i="3985"/>
  <c r="C40" i="3985"/>
  <c r="H40" i="3985"/>
  <c r="C39" i="3985"/>
  <c r="H39" i="3985"/>
  <c r="C38" i="3985"/>
  <c r="H38" i="3985"/>
  <c r="C37" i="3985"/>
  <c r="H37" i="3985"/>
  <c r="C36" i="3985"/>
  <c r="H36" i="3985"/>
  <c r="H35" i="3985"/>
  <c r="C34" i="3985"/>
  <c r="H34" i="3985"/>
  <c r="H33" i="3985"/>
  <c r="H32" i="3985"/>
  <c r="H31" i="3985"/>
  <c r="H14" i="3985"/>
  <c r="B29" i="3985"/>
  <c r="H30" i="3985"/>
  <c r="B28" i="3985"/>
  <c r="H13" i="3985"/>
  <c r="B27" i="3985"/>
  <c r="H29" i="3985"/>
  <c r="B26" i="3985"/>
  <c r="H28" i="3985"/>
  <c r="C25" i="3985"/>
  <c r="H27" i="3985"/>
  <c r="C24" i="3985"/>
  <c r="H26" i="3985"/>
  <c r="C23" i="3985"/>
  <c r="H25" i="3985"/>
  <c r="C22" i="3985"/>
  <c r="H24" i="3985"/>
  <c r="C21" i="3985"/>
  <c r="H23" i="3985"/>
  <c r="C20" i="3985"/>
  <c r="H12" i="3985"/>
  <c r="C19" i="3985"/>
  <c r="H22" i="3985"/>
  <c r="C18" i="3985"/>
  <c r="H21" i="3985"/>
  <c r="C17" i="3985"/>
  <c r="H20" i="3985"/>
  <c r="C16" i="3985"/>
  <c r="H19" i="3985"/>
  <c r="C15" i="3985"/>
  <c r="H18" i="3985"/>
  <c r="C14" i="3985"/>
  <c r="H17" i="3985"/>
  <c r="O12" i="3985"/>
  <c r="H16" i="3985"/>
  <c r="B12" i="3985"/>
  <c r="O11" i="3985"/>
  <c r="H15" i="3985"/>
  <c r="B11" i="3985"/>
  <c r="O10" i="3985"/>
  <c r="H8" i="3985"/>
  <c r="B10" i="3985"/>
  <c r="H11" i="3985"/>
  <c r="C9" i="3985"/>
  <c r="H10" i="3985"/>
  <c r="C8" i="3985"/>
  <c r="O7" i="3985"/>
  <c r="H7" i="3985"/>
  <c r="C7" i="3985"/>
  <c r="O6" i="3985"/>
  <c r="H6" i="3985"/>
  <c r="B6" i="3985"/>
  <c r="O5" i="3985"/>
  <c r="H4" i="3985"/>
  <c r="B5" i="3985"/>
  <c r="O4" i="3985"/>
  <c r="H2" i="3985"/>
  <c r="O3" i="3985"/>
  <c r="H9" i="3985"/>
  <c r="O2" i="3985"/>
  <c r="H3" i="3985"/>
  <c r="O22" i="3970"/>
  <c r="O21" i="3970"/>
  <c r="O18" i="3970"/>
  <c r="O16" i="3970"/>
  <c r="O17" i="3970"/>
  <c r="O19" i="3972"/>
  <c r="O17" i="3980"/>
  <c r="O23" i="3983"/>
  <c r="O21" i="3983"/>
  <c r="O18" i="3983"/>
  <c r="O19" i="3983"/>
  <c r="O17" i="3983"/>
  <c r="O16" i="3983"/>
  <c r="O15" i="3983"/>
  <c r="O26" i="3979"/>
  <c r="O20" i="3979"/>
  <c r="O18" i="3977"/>
  <c r="O15" i="3971"/>
  <c r="O25" i="3975"/>
  <c r="O19" i="3968"/>
  <c r="O26" i="3974"/>
  <c r="O22" i="3974"/>
  <c r="O15" i="3974"/>
  <c r="O17" i="3967"/>
  <c r="B13" i="3986" l="1"/>
  <c r="B13" i="3985"/>
  <c r="O16" i="3984" l="1"/>
  <c r="O15" i="3984"/>
  <c r="H52" i="3984"/>
  <c r="H5" i="3984"/>
  <c r="H51" i="3984"/>
  <c r="H50" i="3984"/>
  <c r="H49" i="3984"/>
  <c r="C48" i="3984"/>
  <c r="H48" i="3984"/>
  <c r="C47" i="3984"/>
  <c r="H47" i="3984"/>
  <c r="C46" i="3984"/>
  <c r="H46" i="3984"/>
  <c r="C45" i="3984"/>
  <c r="H45" i="3984"/>
  <c r="C44" i="3984"/>
  <c r="H44" i="3984"/>
  <c r="C43" i="3984"/>
  <c r="H43" i="3984"/>
  <c r="C42" i="3984"/>
  <c r="H42" i="3984"/>
  <c r="C41" i="3984"/>
  <c r="H41" i="3984"/>
  <c r="C40" i="3984"/>
  <c r="H40" i="3984"/>
  <c r="C39" i="3984"/>
  <c r="H39" i="3984"/>
  <c r="C38" i="3984"/>
  <c r="H38" i="3984"/>
  <c r="C37" i="3984"/>
  <c r="H37" i="3984"/>
  <c r="C36" i="3984"/>
  <c r="H36" i="3984"/>
  <c r="H35" i="3984"/>
  <c r="C34" i="3984"/>
  <c r="H34" i="3984"/>
  <c r="H33" i="3984"/>
  <c r="H32" i="3984"/>
  <c r="H31" i="3984"/>
  <c r="H30" i="3984"/>
  <c r="B29" i="3984"/>
  <c r="H29" i="3984"/>
  <c r="B28" i="3984"/>
  <c r="H13" i="3984"/>
  <c r="B27" i="3984"/>
  <c r="H28" i="3984"/>
  <c r="B26" i="3984"/>
  <c r="H27" i="3984"/>
  <c r="C25" i="3984"/>
  <c r="H12" i="3984"/>
  <c r="C24" i="3984"/>
  <c r="H26" i="3984"/>
  <c r="C23" i="3984"/>
  <c r="H25" i="3984"/>
  <c r="C22" i="3984"/>
  <c r="H11" i="3984"/>
  <c r="C21" i="3984"/>
  <c r="H24" i="3984"/>
  <c r="C20" i="3984"/>
  <c r="H10" i="3984"/>
  <c r="C19" i="3984"/>
  <c r="H23" i="3984"/>
  <c r="C18" i="3984"/>
  <c r="H22" i="3984"/>
  <c r="C17" i="3984"/>
  <c r="H21" i="3984"/>
  <c r="C16" i="3984"/>
  <c r="H20" i="3984"/>
  <c r="C15" i="3984"/>
  <c r="H19" i="3984"/>
  <c r="C14" i="3984"/>
  <c r="H18" i="3984"/>
  <c r="O12" i="3984"/>
  <c r="H17" i="3984"/>
  <c r="B12" i="3984"/>
  <c r="O11" i="3984"/>
  <c r="H16" i="3984"/>
  <c r="B11" i="3984"/>
  <c r="O10" i="3984"/>
  <c r="H2" i="3984"/>
  <c r="B10" i="3984"/>
  <c r="H15" i="3984"/>
  <c r="C9" i="3984"/>
  <c r="H14" i="3984"/>
  <c r="C8" i="3984"/>
  <c r="O7" i="3984"/>
  <c r="H9" i="3984"/>
  <c r="C7" i="3984"/>
  <c r="O6" i="3984"/>
  <c r="H8" i="3984"/>
  <c r="B6" i="3984"/>
  <c r="O5" i="3984"/>
  <c r="H7" i="3984"/>
  <c r="B5" i="3984"/>
  <c r="O4" i="3984"/>
  <c r="H4" i="3984"/>
  <c r="O3" i="3984"/>
  <c r="H6" i="3984"/>
  <c r="O2" i="3984"/>
  <c r="H3" i="3984"/>
  <c r="O25" i="3983"/>
  <c r="O20" i="3983"/>
  <c r="O22" i="3983"/>
  <c r="O24" i="3983"/>
  <c r="H52" i="3983"/>
  <c r="H5" i="3983"/>
  <c r="H24" i="3983"/>
  <c r="H51" i="3983"/>
  <c r="H50" i="3983"/>
  <c r="C48" i="3983"/>
  <c r="H49" i="3983"/>
  <c r="C47" i="3983"/>
  <c r="H48" i="3983"/>
  <c r="C46" i="3983"/>
  <c r="H47" i="3983"/>
  <c r="C45" i="3983"/>
  <c r="H46" i="3983"/>
  <c r="C44" i="3983"/>
  <c r="H45" i="3983"/>
  <c r="C43" i="3983"/>
  <c r="H44" i="3983"/>
  <c r="C42" i="3983"/>
  <c r="H43" i="3983"/>
  <c r="C41" i="3983"/>
  <c r="H42" i="3983"/>
  <c r="C40" i="3983"/>
  <c r="H41" i="3983"/>
  <c r="C39" i="3983"/>
  <c r="H40" i="3983"/>
  <c r="C38" i="3983"/>
  <c r="H39" i="3983"/>
  <c r="C37" i="3983"/>
  <c r="H38" i="3983"/>
  <c r="C36" i="3983"/>
  <c r="H37" i="3983"/>
  <c r="H36" i="3983"/>
  <c r="C34" i="3983"/>
  <c r="H23" i="3983"/>
  <c r="H35" i="3983"/>
  <c r="H34" i="3983"/>
  <c r="H22" i="3983"/>
  <c r="H16" i="3983"/>
  <c r="B29" i="3983"/>
  <c r="H33" i="3983"/>
  <c r="B28" i="3983"/>
  <c r="H8" i="3983"/>
  <c r="B27" i="3983"/>
  <c r="H32" i="3983"/>
  <c r="B26" i="3983"/>
  <c r="H31" i="3983"/>
  <c r="C25" i="3983"/>
  <c r="H13" i="3983"/>
  <c r="C24" i="3983"/>
  <c r="H30" i="3983"/>
  <c r="C23" i="3983"/>
  <c r="H29" i="3983"/>
  <c r="C22" i="3983"/>
  <c r="H15" i="3983"/>
  <c r="C21" i="3983"/>
  <c r="H28" i="3983"/>
  <c r="C20" i="3983"/>
  <c r="H14" i="3983"/>
  <c r="C19" i="3983"/>
  <c r="H27" i="3983"/>
  <c r="C18" i="3983"/>
  <c r="H21" i="3983"/>
  <c r="C17" i="3983"/>
  <c r="H17" i="3983"/>
  <c r="C16" i="3983"/>
  <c r="H20" i="3983"/>
  <c r="C15" i="3983"/>
  <c r="H26" i="3983"/>
  <c r="C14" i="3983"/>
  <c r="H25" i="3983"/>
  <c r="O12" i="3983"/>
  <c r="H19" i="3983"/>
  <c r="B12" i="3983"/>
  <c r="O11" i="3983"/>
  <c r="H18" i="3983"/>
  <c r="B11" i="3983"/>
  <c r="O10" i="3983"/>
  <c r="H3" i="3983"/>
  <c r="B10" i="3983"/>
  <c r="H10" i="3983"/>
  <c r="C9" i="3983"/>
  <c r="H12" i="3983"/>
  <c r="C8" i="3983"/>
  <c r="O7" i="3983"/>
  <c r="H11" i="3983"/>
  <c r="C7" i="3983"/>
  <c r="O6" i="3983"/>
  <c r="H6" i="3983"/>
  <c r="B6" i="3983"/>
  <c r="O5" i="3983"/>
  <c r="H7" i="3983"/>
  <c r="B5" i="3983"/>
  <c r="O4" i="3983"/>
  <c r="H2" i="3983"/>
  <c r="O3" i="3983"/>
  <c r="H9" i="3983"/>
  <c r="O2" i="3983"/>
  <c r="H4" i="3983"/>
  <c r="O16" i="3982"/>
  <c r="O15" i="3982"/>
  <c r="H52" i="3982"/>
  <c r="H7" i="3982"/>
  <c r="H51" i="3982"/>
  <c r="H50" i="3982"/>
  <c r="H49" i="3982"/>
  <c r="C48" i="3982"/>
  <c r="H48" i="3982"/>
  <c r="C47" i="3982"/>
  <c r="H47" i="3982"/>
  <c r="C46" i="3982"/>
  <c r="H46" i="3982"/>
  <c r="C45" i="3982"/>
  <c r="H45" i="3982"/>
  <c r="C44" i="3982"/>
  <c r="H44" i="3982"/>
  <c r="C43" i="3982"/>
  <c r="H43" i="3982"/>
  <c r="C42" i="3982"/>
  <c r="H42" i="3982"/>
  <c r="C41" i="3982"/>
  <c r="H41" i="3982"/>
  <c r="C40" i="3982"/>
  <c r="H40" i="3982"/>
  <c r="C39" i="3982"/>
  <c r="H39" i="3982"/>
  <c r="C38" i="3982"/>
  <c r="H38" i="3982"/>
  <c r="C37" i="3982"/>
  <c r="H37" i="3982"/>
  <c r="C36" i="3982"/>
  <c r="H36" i="3982"/>
  <c r="H35" i="3982"/>
  <c r="C34" i="3982"/>
  <c r="H34" i="3982"/>
  <c r="H33" i="3982"/>
  <c r="H32" i="3982"/>
  <c r="H31" i="3982"/>
  <c r="H30" i="3982"/>
  <c r="B29" i="3982"/>
  <c r="H29" i="3982"/>
  <c r="B28" i="3982"/>
  <c r="H28" i="3982"/>
  <c r="B27" i="3982"/>
  <c r="H27" i="3982"/>
  <c r="B26" i="3982"/>
  <c r="H26" i="3982"/>
  <c r="C25" i="3982"/>
  <c r="H25" i="3982"/>
  <c r="C24" i="3982"/>
  <c r="H24" i="3982"/>
  <c r="C23" i="3982"/>
  <c r="H23" i="3982"/>
  <c r="C22" i="3982"/>
  <c r="H22" i="3982"/>
  <c r="C21" i="3982"/>
  <c r="H21" i="3982"/>
  <c r="C20" i="3982"/>
  <c r="H6" i="3982"/>
  <c r="C19" i="3982"/>
  <c r="H20" i="3982"/>
  <c r="C18" i="3982"/>
  <c r="H19" i="3982"/>
  <c r="C17" i="3982"/>
  <c r="H18" i="3982"/>
  <c r="C16" i="3982"/>
  <c r="H17" i="3982"/>
  <c r="C15" i="3982"/>
  <c r="H16" i="3982"/>
  <c r="C14" i="3982"/>
  <c r="H15" i="3982"/>
  <c r="B13" i="3982"/>
  <c r="O12" i="3982"/>
  <c r="H14" i="3982"/>
  <c r="B12" i="3982"/>
  <c r="O11" i="3982"/>
  <c r="H13" i="3982"/>
  <c r="B11" i="3982"/>
  <c r="O10" i="3982"/>
  <c r="H12" i="3982"/>
  <c r="B10" i="3982"/>
  <c r="H11" i="3982"/>
  <c r="C9" i="3982"/>
  <c r="H10" i="3982"/>
  <c r="C8" i="3982"/>
  <c r="O7" i="3982"/>
  <c r="H9" i="3982"/>
  <c r="C7" i="3982"/>
  <c r="O6" i="3982"/>
  <c r="H5" i="3982"/>
  <c r="B6" i="3982"/>
  <c r="O5" i="3982"/>
  <c r="H4" i="3982"/>
  <c r="B5" i="3982"/>
  <c r="O4" i="3982"/>
  <c r="H2" i="3982"/>
  <c r="O3" i="3982"/>
  <c r="H8" i="3982"/>
  <c r="O2" i="3982"/>
  <c r="H3" i="3982"/>
  <c r="O22" i="3981"/>
  <c r="O21" i="3981"/>
  <c r="O17" i="3981"/>
  <c r="O20" i="3981"/>
  <c r="O19" i="3981"/>
  <c r="O18" i="3981"/>
  <c r="O16" i="3981"/>
  <c r="O15" i="3981"/>
  <c r="H52" i="3981"/>
  <c r="H7" i="3981"/>
  <c r="H51" i="3981"/>
  <c r="H50" i="3981"/>
  <c r="H49" i="3981"/>
  <c r="C48" i="3981"/>
  <c r="H48" i="3981"/>
  <c r="C47" i="3981"/>
  <c r="H47" i="3981"/>
  <c r="C46" i="3981"/>
  <c r="H46" i="3981"/>
  <c r="C45" i="3981"/>
  <c r="H45" i="3981"/>
  <c r="C44" i="3981"/>
  <c r="H44" i="3981"/>
  <c r="C43" i="3981"/>
  <c r="H43" i="3981"/>
  <c r="C42" i="3981"/>
  <c r="H42" i="3981"/>
  <c r="C41" i="3981"/>
  <c r="H41" i="3981"/>
  <c r="C40" i="3981"/>
  <c r="H40" i="3981"/>
  <c r="C39" i="3981"/>
  <c r="H39" i="3981"/>
  <c r="C38" i="3981"/>
  <c r="H38" i="3981"/>
  <c r="C37" i="3981"/>
  <c r="H37" i="3981"/>
  <c r="C36" i="3981"/>
  <c r="H36" i="3981"/>
  <c r="H35" i="3981"/>
  <c r="C34" i="3981"/>
  <c r="H34" i="3981"/>
  <c r="H33" i="3981"/>
  <c r="H32" i="3981"/>
  <c r="H31" i="3981"/>
  <c r="H30" i="3981"/>
  <c r="B29" i="3981"/>
  <c r="H29" i="3981"/>
  <c r="B28" i="3981"/>
  <c r="H8" i="3981"/>
  <c r="B27" i="3981"/>
  <c r="H28" i="3981"/>
  <c r="B26" i="3981"/>
  <c r="H27" i="3981"/>
  <c r="C25" i="3981"/>
  <c r="H11" i="3981"/>
  <c r="C24" i="3981"/>
  <c r="H26" i="3981"/>
  <c r="C23" i="3981"/>
  <c r="H25" i="3981"/>
  <c r="C22" i="3981"/>
  <c r="H14" i="3981"/>
  <c r="C21" i="3981"/>
  <c r="H24" i="3981"/>
  <c r="C20" i="3981"/>
  <c r="H18" i="3981"/>
  <c r="C19" i="3981"/>
  <c r="H23" i="3981"/>
  <c r="C18" i="3981"/>
  <c r="H17" i="3981"/>
  <c r="C17" i="3981"/>
  <c r="H13" i="3981"/>
  <c r="C16" i="3981"/>
  <c r="H15" i="3981"/>
  <c r="C15" i="3981"/>
  <c r="H22" i="3981"/>
  <c r="C14" i="3981"/>
  <c r="H21" i="3981"/>
  <c r="O12" i="3981"/>
  <c r="H20" i="3981"/>
  <c r="B12" i="3981"/>
  <c r="O11" i="3981"/>
  <c r="H19" i="3981"/>
  <c r="B11" i="3981"/>
  <c r="O10" i="3981"/>
  <c r="H2" i="3981"/>
  <c r="B10" i="3981"/>
  <c r="H16" i="3981"/>
  <c r="C9" i="3981"/>
  <c r="H12" i="3981"/>
  <c r="C8" i="3981"/>
  <c r="O7" i="3981"/>
  <c r="H9" i="3981"/>
  <c r="C7" i="3981"/>
  <c r="O6" i="3981"/>
  <c r="H6" i="3981"/>
  <c r="B6" i="3981"/>
  <c r="O5" i="3981"/>
  <c r="H5" i="3981"/>
  <c r="B5" i="3981"/>
  <c r="O4" i="3981"/>
  <c r="H3" i="3981"/>
  <c r="O3" i="3981"/>
  <c r="H10" i="3981"/>
  <c r="O2" i="3981"/>
  <c r="H4" i="3981"/>
  <c r="O22" i="3978"/>
  <c r="O16" i="3978"/>
  <c r="O15" i="3978"/>
  <c r="O28" i="3979"/>
  <c r="O16" i="3979"/>
  <c r="O15" i="3979"/>
  <c r="O17" i="3979"/>
  <c r="O24" i="3980"/>
  <c r="O25" i="3980"/>
  <c r="O18" i="3980"/>
  <c r="O15" i="3980"/>
  <c r="O23" i="3974"/>
  <c r="O18" i="3974"/>
  <c r="O28" i="3977"/>
  <c r="O21" i="3977"/>
  <c r="O20" i="3975"/>
  <c r="O15" i="3975"/>
  <c r="O16" i="3975"/>
  <c r="O25" i="3971"/>
  <c r="O29" i="3968"/>
  <c r="O20" i="3968"/>
  <c r="O17" i="3968"/>
  <c r="O32" i="3967"/>
  <c r="O26" i="3967"/>
  <c r="O18" i="3967"/>
  <c r="O19" i="3967"/>
  <c r="B13" i="3983" l="1"/>
  <c r="B13" i="3984"/>
  <c r="B13" i="3981"/>
  <c r="O20" i="3980" l="1"/>
  <c r="O19" i="3980"/>
  <c r="O22" i="3980"/>
  <c r="O23" i="3980"/>
  <c r="O26" i="3980"/>
  <c r="O16" i="3980"/>
  <c r="O21" i="3980"/>
  <c r="H52" i="3980"/>
  <c r="H6" i="3980"/>
  <c r="H17" i="3980"/>
  <c r="H51" i="3980"/>
  <c r="H50" i="3980"/>
  <c r="C48" i="3980"/>
  <c r="H49" i="3980"/>
  <c r="C47" i="3980"/>
  <c r="H48" i="3980"/>
  <c r="C46" i="3980"/>
  <c r="H47" i="3980"/>
  <c r="C45" i="3980"/>
  <c r="H24" i="3980"/>
  <c r="C44" i="3980"/>
  <c r="H46" i="3980"/>
  <c r="C43" i="3980"/>
  <c r="H45" i="3980"/>
  <c r="C42" i="3980"/>
  <c r="H44" i="3980"/>
  <c r="C41" i="3980"/>
  <c r="H43" i="3980"/>
  <c r="C40" i="3980"/>
  <c r="H42" i="3980"/>
  <c r="C39" i="3980"/>
  <c r="H41" i="3980"/>
  <c r="C38" i="3980"/>
  <c r="H40" i="3980"/>
  <c r="C37" i="3980"/>
  <c r="H39" i="3980"/>
  <c r="C36" i="3980"/>
  <c r="H38" i="3980"/>
  <c r="H37" i="3980"/>
  <c r="C34" i="3980"/>
  <c r="H36" i="3980"/>
  <c r="H35" i="3980"/>
  <c r="H34" i="3980"/>
  <c r="H33" i="3980"/>
  <c r="H21" i="3980"/>
  <c r="B29" i="3980"/>
  <c r="H32" i="3980"/>
  <c r="B28" i="3980"/>
  <c r="H10" i="3980"/>
  <c r="B27" i="3980"/>
  <c r="H31" i="3980"/>
  <c r="B26" i="3980"/>
  <c r="H20" i="3980"/>
  <c r="C25" i="3980"/>
  <c r="H13" i="3980"/>
  <c r="C24" i="3980"/>
  <c r="H23" i="3980"/>
  <c r="C23" i="3980"/>
  <c r="H30" i="3980"/>
  <c r="C22" i="3980"/>
  <c r="H15" i="3980"/>
  <c r="C21" i="3980"/>
  <c r="H29" i="3980"/>
  <c r="C20" i="3980"/>
  <c r="H19" i="3980"/>
  <c r="C19" i="3980"/>
  <c r="H28" i="3980"/>
  <c r="C18" i="3980"/>
  <c r="H16" i="3980"/>
  <c r="C17" i="3980"/>
  <c r="H14" i="3980"/>
  <c r="C16" i="3980"/>
  <c r="H27" i="3980"/>
  <c r="C15" i="3980"/>
  <c r="H26" i="3980"/>
  <c r="C14" i="3980"/>
  <c r="H22" i="3980"/>
  <c r="O12" i="3980"/>
  <c r="H25" i="3980"/>
  <c r="B12" i="3980"/>
  <c r="O11" i="3980"/>
  <c r="H18" i="3980"/>
  <c r="B11" i="3980"/>
  <c r="O10" i="3980"/>
  <c r="H4" i="3980"/>
  <c r="B10" i="3980"/>
  <c r="H12" i="3980"/>
  <c r="C9" i="3980"/>
  <c r="H9" i="3980"/>
  <c r="C8" i="3980"/>
  <c r="O7" i="3980"/>
  <c r="H8" i="3980"/>
  <c r="C7" i="3980"/>
  <c r="O6" i="3980"/>
  <c r="H5" i="3980"/>
  <c r="B6" i="3980"/>
  <c r="O5" i="3980"/>
  <c r="H7" i="3980"/>
  <c r="B5" i="3980"/>
  <c r="O4" i="3980"/>
  <c r="H2" i="3980"/>
  <c r="O3" i="3980"/>
  <c r="H11" i="3980"/>
  <c r="O2" i="3980"/>
  <c r="H3" i="3980"/>
  <c r="O27" i="3979"/>
  <c r="O22" i="3979"/>
  <c r="O23" i="3979"/>
  <c r="O19" i="3979"/>
  <c r="O24" i="3979"/>
  <c r="O25" i="3979"/>
  <c r="O21" i="3979"/>
  <c r="O18" i="3979"/>
  <c r="H52" i="3979"/>
  <c r="H5" i="3979"/>
  <c r="H20" i="3979"/>
  <c r="H51" i="3979"/>
  <c r="H50" i="3979"/>
  <c r="C48" i="3979"/>
  <c r="H49" i="3979"/>
  <c r="C47" i="3979"/>
  <c r="H48" i="3979"/>
  <c r="C46" i="3979"/>
  <c r="H47" i="3979"/>
  <c r="C45" i="3979"/>
  <c r="H46" i="3979"/>
  <c r="C44" i="3979"/>
  <c r="H45" i="3979"/>
  <c r="C43" i="3979"/>
  <c r="H44" i="3979"/>
  <c r="C42" i="3979"/>
  <c r="H43" i="3979"/>
  <c r="C41" i="3979"/>
  <c r="H42" i="3979"/>
  <c r="C40" i="3979"/>
  <c r="H29" i="3979"/>
  <c r="C39" i="3979"/>
  <c r="H41" i="3979"/>
  <c r="C38" i="3979"/>
  <c r="H40" i="3979"/>
  <c r="C37" i="3979"/>
  <c r="H39" i="3979"/>
  <c r="C36" i="3979"/>
  <c r="H38" i="3979"/>
  <c r="H37" i="3979"/>
  <c r="C34" i="3979"/>
  <c r="H36" i="3979"/>
  <c r="H35" i="3979"/>
  <c r="H28" i="3979"/>
  <c r="H21" i="3979"/>
  <c r="H17" i="3979"/>
  <c r="B29" i="3979"/>
  <c r="H27" i="3979"/>
  <c r="B28" i="3979"/>
  <c r="H9" i="3979"/>
  <c r="B27" i="3979"/>
  <c r="H26" i="3979"/>
  <c r="B26" i="3979"/>
  <c r="H30" i="3979"/>
  <c r="C25" i="3979"/>
  <c r="H14" i="3979"/>
  <c r="C24" i="3979"/>
  <c r="H19" i="3979"/>
  <c r="C23" i="3979"/>
  <c r="H34" i="3979"/>
  <c r="C22" i="3979"/>
  <c r="H13" i="3979"/>
  <c r="C21" i="3979"/>
  <c r="H33" i="3979"/>
  <c r="C20" i="3979"/>
  <c r="H18" i="3979"/>
  <c r="C19" i="3979"/>
  <c r="H32" i="3979"/>
  <c r="C18" i="3979"/>
  <c r="H16" i="3979"/>
  <c r="C17" i="3979"/>
  <c r="H15" i="3979"/>
  <c r="C16" i="3979"/>
  <c r="H25" i="3979"/>
  <c r="C15" i="3979"/>
  <c r="H31" i="3979"/>
  <c r="C14" i="3979"/>
  <c r="H23" i="3979"/>
  <c r="O12" i="3979"/>
  <c r="H24" i="3979"/>
  <c r="B12" i="3979"/>
  <c r="O11" i="3979"/>
  <c r="H22" i="3979"/>
  <c r="B11" i="3979"/>
  <c r="O10" i="3979"/>
  <c r="H3" i="3979"/>
  <c r="B10" i="3979"/>
  <c r="H11" i="3979"/>
  <c r="C9" i="3979"/>
  <c r="H12" i="3979"/>
  <c r="C8" i="3979"/>
  <c r="O7" i="3979"/>
  <c r="H8" i="3979"/>
  <c r="C7" i="3979"/>
  <c r="O6" i="3979"/>
  <c r="H7" i="3979"/>
  <c r="B6" i="3979"/>
  <c r="O5" i="3979"/>
  <c r="H6" i="3979"/>
  <c r="B5" i="3979"/>
  <c r="O4" i="3979"/>
  <c r="H2" i="3979"/>
  <c r="O3" i="3979"/>
  <c r="H10" i="3979"/>
  <c r="O2" i="3979"/>
  <c r="H4" i="3979"/>
  <c r="O21" i="3978"/>
  <c r="O19" i="3978"/>
  <c r="O20" i="3978"/>
  <c r="O18" i="3978"/>
  <c r="O17" i="3978"/>
  <c r="H52" i="3978"/>
  <c r="H13" i="3978"/>
  <c r="H51" i="3978"/>
  <c r="H50" i="3978"/>
  <c r="H49" i="3978"/>
  <c r="C48" i="3978"/>
  <c r="H48" i="3978"/>
  <c r="C47" i="3978"/>
  <c r="H47" i="3978"/>
  <c r="C46" i="3978"/>
  <c r="H46" i="3978"/>
  <c r="C45" i="3978"/>
  <c r="H45" i="3978"/>
  <c r="C44" i="3978"/>
  <c r="H44" i="3978"/>
  <c r="C43" i="3978"/>
  <c r="H43" i="3978"/>
  <c r="C42" i="3978"/>
  <c r="H42" i="3978"/>
  <c r="C41" i="3978"/>
  <c r="H41" i="3978"/>
  <c r="C40" i="3978"/>
  <c r="H40" i="3978"/>
  <c r="C39" i="3978"/>
  <c r="H39" i="3978"/>
  <c r="C38" i="3978"/>
  <c r="H38" i="3978"/>
  <c r="C37" i="3978"/>
  <c r="H37" i="3978"/>
  <c r="C36" i="3978"/>
  <c r="H36" i="3978"/>
  <c r="H35" i="3978"/>
  <c r="C34" i="3978"/>
  <c r="H34" i="3978"/>
  <c r="H33" i="3978"/>
  <c r="H32" i="3978"/>
  <c r="H31" i="3978"/>
  <c r="H14" i="3978"/>
  <c r="B29" i="3978"/>
  <c r="H30" i="3978"/>
  <c r="B28" i="3978"/>
  <c r="H7" i="3978"/>
  <c r="B27" i="3978"/>
  <c r="H29" i="3978"/>
  <c r="B26" i="3978"/>
  <c r="H28" i="3978"/>
  <c r="C25" i="3978"/>
  <c r="H10" i="3978"/>
  <c r="C24" i="3978"/>
  <c r="H27" i="3978"/>
  <c r="C23" i="3978"/>
  <c r="H26" i="3978"/>
  <c r="C22" i="3978"/>
  <c r="H25" i="3978"/>
  <c r="C21" i="3978"/>
  <c r="H24" i="3978"/>
  <c r="C20" i="3978"/>
  <c r="H23" i="3978"/>
  <c r="C19" i="3978"/>
  <c r="H22" i="3978"/>
  <c r="C18" i="3978"/>
  <c r="H21" i="3978"/>
  <c r="C17" i="3978"/>
  <c r="H20" i="3978"/>
  <c r="C16" i="3978"/>
  <c r="H19" i="3978"/>
  <c r="C15" i="3978"/>
  <c r="H18" i="3978"/>
  <c r="C14" i="3978"/>
  <c r="H17" i="3978"/>
  <c r="O12" i="3978"/>
  <c r="H16" i="3978"/>
  <c r="B12" i="3978"/>
  <c r="O11" i="3978"/>
  <c r="H15" i="3978"/>
  <c r="B11" i="3978"/>
  <c r="O10" i="3978"/>
  <c r="H4" i="3978"/>
  <c r="B10" i="3978"/>
  <c r="H12" i="3978"/>
  <c r="C9" i="3978"/>
  <c r="H9" i="3978"/>
  <c r="C8" i="3978"/>
  <c r="O7" i="3978"/>
  <c r="H8" i="3978"/>
  <c r="C7" i="3978"/>
  <c r="O6" i="3978"/>
  <c r="H6" i="3978"/>
  <c r="B6" i="3978"/>
  <c r="O5" i="3978"/>
  <c r="H5" i="3978"/>
  <c r="B5" i="3978"/>
  <c r="O4" i="3978"/>
  <c r="H3" i="3978"/>
  <c r="O3" i="3978"/>
  <c r="H11" i="3978"/>
  <c r="O2" i="3978"/>
  <c r="H2" i="3978"/>
  <c r="O27" i="3977"/>
  <c r="O23" i="3977"/>
  <c r="O26" i="3977"/>
  <c r="O22" i="3977"/>
  <c r="O25" i="3977"/>
  <c r="O20" i="3977"/>
  <c r="O19" i="3977"/>
  <c r="O24" i="3977"/>
  <c r="O16" i="3977"/>
  <c r="O15" i="3977"/>
  <c r="O17" i="3977"/>
  <c r="H52" i="3977"/>
  <c r="H7" i="3977"/>
  <c r="H17" i="3977"/>
  <c r="H51" i="3977"/>
  <c r="H50" i="3977"/>
  <c r="C48" i="3977"/>
  <c r="H49" i="3977"/>
  <c r="C47" i="3977"/>
  <c r="H48" i="3977"/>
  <c r="C46" i="3977"/>
  <c r="H47" i="3977"/>
  <c r="C45" i="3977"/>
  <c r="H46" i="3977"/>
  <c r="C44" i="3977"/>
  <c r="H45" i="3977"/>
  <c r="C43" i="3977"/>
  <c r="H44" i="3977"/>
  <c r="C42" i="3977"/>
  <c r="H43" i="3977"/>
  <c r="C41" i="3977"/>
  <c r="H42" i="3977"/>
  <c r="C40" i="3977"/>
  <c r="H41" i="3977"/>
  <c r="C39" i="3977"/>
  <c r="H40" i="3977"/>
  <c r="C38" i="3977"/>
  <c r="H39" i="3977"/>
  <c r="C37" i="3977"/>
  <c r="H38" i="3977"/>
  <c r="C36" i="3977"/>
  <c r="H29" i="3977"/>
  <c r="H37" i="3977"/>
  <c r="C34" i="3977"/>
  <c r="H32" i="3977"/>
  <c r="H36" i="3977"/>
  <c r="H26" i="3977"/>
  <c r="H20" i="3977"/>
  <c r="H15" i="3977"/>
  <c r="B29" i="3977"/>
  <c r="H27" i="3977"/>
  <c r="B28" i="3977"/>
  <c r="H8" i="3977"/>
  <c r="B27" i="3977"/>
  <c r="H31" i="3977"/>
  <c r="B26" i="3977"/>
  <c r="H28" i="3977"/>
  <c r="C25" i="3977"/>
  <c r="H12" i="3977"/>
  <c r="C24" i="3977"/>
  <c r="H25" i="3977"/>
  <c r="C23" i="3977"/>
  <c r="H24" i="3977"/>
  <c r="C22" i="3977"/>
  <c r="H14" i="3977"/>
  <c r="C21" i="3977"/>
  <c r="H35" i="3977"/>
  <c r="C20" i="3977"/>
  <c r="H18" i="3977"/>
  <c r="C19" i="3977"/>
  <c r="H34" i="3977"/>
  <c r="C18" i="3977"/>
  <c r="H19" i="3977"/>
  <c r="C17" i="3977"/>
  <c r="H16" i="3977"/>
  <c r="C16" i="3977"/>
  <c r="H23" i="3977"/>
  <c r="C15" i="3977"/>
  <c r="H33" i="3977"/>
  <c r="C14" i="3977"/>
  <c r="H22" i="3977"/>
  <c r="O12" i="3977"/>
  <c r="H30" i="3977"/>
  <c r="B12" i="3977"/>
  <c r="O11" i="3977"/>
  <c r="H21" i="3977"/>
  <c r="B11" i="3977"/>
  <c r="O10" i="3977"/>
  <c r="H3" i="3977"/>
  <c r="B10" i="3977"/>
  <c r="H13" i="3977"/>
  <c r="C9" i="3977"/>
  <c r="H11" i="3977"/>
  <c r="C8" i="3977"/>
  <c r="O7" i="3977"/>
  <c r="H9" i="3977"/>
  <c r="C7" i="3977"/>
  <c r="O6" i="3977"/>
  <c r="H6" i="3977"/>
  <c r="B6" i="3977"/>
  <c r="O5" i="3977"/>
  <c r="H5" i="3977"/>
  <c r="B5" i="3977"/>
  <c r="O4" i="3977"/>
  <c r="H2" i="3977"/>
  <c r="O3" i="3977"/>
  <c r="H10" i="3977"/>
  <c r="O2" i="3977"/>
  <c r="H4" i="3977"/>
  <c r="O15" i="3976"/>
  <c r="O21" i="3976"/>
  <c r="O19" i="3976"/>
  <c r="O20" i="3976"/>
  <c r="O18" i="3976"/>
  <c r="O17" i="3976"/>
  <c r="O16" i="3976"/>
  <c r="H52" i="3976"/>
  <c r="H10" i="3976"/>
  <c r="H16" i="3976"/>
  <c r="H51" i="3976"/>
  <c r="H50" i="3976"/>
  <c r="C48" i="3976"/>
  <c r="H49" i="3976"/>
  <c r="C47" i="3976"/>
  <c r="H48" i="3976"/>
  <c r="C46" i="3976"/>
  <c r="H47" i="3976"/>
  <c r="C45" i="3976"/>
  <c r="H46" i="3976"/>
  <c r="C44" i="3976"/>
  <c r="H45" i="3976"/>
  <c r="C43" i="3976"/>
  <c r="H44" i="3976"/>
  <c r="C42" i="3976"/>
  <c r="H43" i="3976"/>
  <c r="C41" i="3976"/>
  <c r="H42" i="3976"/>
  <c r="C40" i="3976"/>
  <c r="H41" i="3976"/>
  <c r="C39" i="3976"/>
  <c r="H40" i="3976"/>
  <c r="C38" i="3976"/>
  <c r="H39" i="3976"/>
  <c r="C37" i="3976"/>
  <c r="H38" i="3976"/>
  <c r="C36" i="3976"/>
  <c r="H37" i="3976"/>
  <c r="H36" i="3976"/>
  <c r="C34" i="3976"/>
  <c r="H35" i="3976"/>
  <c r="H34" i="3976"/>
  <c r="H33" i="3976"/>
  <c r="H20" i="3976"/>
  <c r="H19" i="3976"/>
  <c r="B29" i="3976"/>
  <c r="H32" i="3976"/>
  <c r="B28" i="3976"/>
  <c r="H7" i="3976"/>
  <c r="B27" i="3976"/>
  <c r="H31" i="3976"/>
  <c r="B26" i="3976"/>
  <c r="H30" i="3976"/>
  <c r="C25" i="3976"/>
  <c r="H18" i="3976"/>
  <c r="C24" i="3976"/>
  <c r="H29" i="3976"/>
  <c r="C23" i="3976"/>
  <c r="H28" i="3976"/>
  <c r="C22" i="3976"/>
  <c r="H15" i="3976"/>
  <c r="C21" i="3976"/>
  <c r="H27" i="3976"/>
  <c r="C20" i="3976"/>
  <c r="H26" i="3976"/>
  <c r="C19" i="3976"/>
  <c r="H25" i="3976"/>
  <c r="C18" i="3976"/>
  <c r="H14" i="3976"/>
  <c r="C17" i="3976"/>
  <c r="H13" i="3976"/>
  <c r="C16" i="3976"/>
  <c r="H24" i="3976"/>
  <c r="C15" i="3976"/>
  <c r="H23" i="3976"/>
  <c r="C14" i="3976"/>
  <c r="H22" i="3976"/>
  <c r="O12" i="3976"/>
  <c r="H21" i="3976"/>
  <c r="B12" i="3976"/>
  <c r="O11" i="3976"/>
  <c r="H17" i="3976"/>
  <c r="B11" i="3976"/>
  <c r="O10" i="3976"/>
  <c r="H3" i="3976"/>
  <c r="B10" i="3976"/>
  <c r="H12" i="3976"/>
  <c r="C9" i="3976"/>
  <c r="H11" i="3976"/>
  <c r="C8" i="3976"/>
  <c r="O7" i="3976"/>
  <c r="H9" i="3976"/>
  <c r="C7" i="3976"/>
  <c r="O6" i="3976"/>
  <c r="H6" i="3976"/>
  <c r="B6" i="3976"/>
  <c r="O5" i="3976"/>
  <c r="H5" i="3976"/>
  <c r="B5" i="3976"/>
  <c r="O4" i="3976"/>
  <c r="H2" i="3976"/>
  <c r="O3" i="3976"/>
  <c r="H8" i="3976"/>
  <c r="O2" i="3976"/>
  <c r="H4" i="3976"/>
  <c r="O27" i="3975"/>
  <c r="O23" i="3975"/>
  <c r="O24" i="3975"/>
  <c r="O26" i="3975"/>
  <c r="O17" i="3975"/>
  <c r="O18" i="3975"/>
  <c r="O22" i="3975"/>
  <c r="O21" i="3975"/>
  <c r="O19" i="3975"/>
  <c r="H52" i="3975"/>
  <c r="H5" i="3975"/>
  <c r="H20" i="3975"/>
  <c r="H51" i="3975"/>
  <c r="H50" i="3975"/>
  <c r="C48" i="3975"/>
  <c r="H49" i="3975"/>
  <c r="C47" i="3975"/>
  <c r="H48" i="3975"/>
  <c r="C46" i="3975"/>
  <c r="H47" i="3975"/>
  <c r="C45" i="3975"/>
  <c r="H46" i="3975"/>
  <c r="C44" i="3975"/>
  <c r="H45" i="3975"/>
  <c r="C43" i="3975"/>
  <c r="H44" i="3975"/>
  <c r="C42" i="3975"/>
  <c r="H43" i="3975"/>
  <c r="C41" i="3975"/>
  <c r="H42" i="3975"/>
  <c r="C40" i="3975"/>
  <c r="H41" i="3975"/>
  <c r="C39" i="3975"/>
  <c r="H40" i="3975"/>
  <c r="C38" i="3975"/>
  <c r="H39" i="3975"/>
  <c r="C37" i="3975"/>
  <c r="H38" i="3975"/>
  <c r="C36" i="3975"/>
  <c r="H37" i="3975"/>
  <c r="H36" i="3975"/>
  <c r="C34" i="3975"/>
  <c r="H32" i="3975"/>
  <c r="H35" i="3975"/>
  <c r="H26" i="3975"/>
  <c r="H24" i="3975"/>
  <c r="H17" i="3975"/>
  <c r="B29" i="3975"/>
  <c r="H28" i="3975"/>
  <c r="B28" i="3975"/>
  <c r="H9" i="3975"/>
  <c r="B27" i="3975"/>
  <c r="H31" i="3975"/>
  <c r="B26" i="3975"/>
  <c r="H27" i="3975"/>
  <c r="C25" i="3975"/>
  <c r="H13" i="3975"/>
  <c r="C24" i="3975"/>
  <c r="H30" i="3975"/>
  <c r="C23" i="3975"/>
  <c r="H25" i="3975"/>
  <c r="C22" i="3975"/>
  <c r="H14" i="3975"/>
  <c r="C21" i="3975"/>
  <c r="H34" i="3975"/>
  <c r="C20" i="3975"/>
  <c r="H16" i="3975"/>
  <c r="C19" i="3975"/>
  <c r="H33" i="3975"/>
  <c r="C18" i="3975"/>
  <c r="H18" i="3975"/>
  <c r="C17" i="3975"/>
  <c r="H15" i="3975"/>
  <c r="C16" i="3975"/>
  <c r="H19" i="3975"/>
  <c r="C15" i="3975"/>
  <c r="H29" i="3975"/>
  <c r="C14" i="3975"/>
  <c r="H23" i="3975"/>
  <c r="O12" i="3975"/>
  <c r="H22" i="3975"/>
  <c r="B12" i="3975"/>
  <c r="O11" i="3975"/>
  <c r="H21" i="3975"/>
  <c r="B11" i="3975"/>
  <c r="O10" i="3975"/>
  <c r="H3" i="3975"/>
  <c r="B10" i="3975"/>
  <c r="H12" i="3975"/>
  <c r="C9" i="3975"/>
  <c r="H10" i="3975"/>
  <c r="C8" i="3975"/>
  <c r="O7" i="3975"/>
  <c r="H8" i="3975"/>
  <c r="C7" i="3975"/>
  <c r="O6" i="3975"/>
  <c r="H6" i="3975"/>
  <c r="B6" i="3975"/>
  <c r="O5" i="3975"/>
  <c r="H7" i="3975"/>
  <c r="B5" i="3975"/>
  <c r="O4" i="3975"/>
  <c r="H2" i="3975"/>
  <c r="O3" i="3975"/>
  <c r="H11" i="3975"/>
  <c r="O2" i="3975"/>
  <c r="H4" i="3975"/>
  <c r="O25" i="3974"/>
  <c r="O20" i="3974"/>
  <c r="O24" i="3974"/>
  <c r="O16" i="3974"/>
  <c r="O21" i="3974"/>
  <c r="O17" i="3974"/>
  <c r="O19" i="3974"/>
  <c r="H52" i="3974"/>
  <c r="H5" i="3974"/>
  <c r="H51" i="3974"/>
  <c r="H50" i="3974"/>
  <c r="H49" i="3974"/>
  <c r="C48" i="3974"/>
  <c r="H48" i="3974"/>
  <c r="C47" i="3974"/>
  <c r="H47" i="3974"/>
  <c r="C46" i="3974"/>
  <c r="H46" i="3974"/>
  <c r="C45" i="3974"/>
  <c r="H45" i="3974"/>
  <c r="C44" i="3974"/>
  <c r="H44" i="3974"/>
  <c r="C43" i="3974"/>
  <c r="H43" i="3974"/>
  <c r="C42" i="3974"/>
  <c r="H42" i="3974"/>
  <c r="C41" i="3974"/>
  <c r="H29" i="3974"/>
  <c r="C40" i="3974"/>
  <c r="H41" i="3974"/>
  <c r="C39" i="3974"/>
  <c r="H40" i="3974"/>
  <c r="C38" i="3974"/>
  <c r="H39" i="3974"/>
  <c r="C37" i="3974"/>
  <c r="H38" i="3974"/>
  <c r="C36" i="3974"/>
  <c r="H37" i="3974"/>
  <c r="H36" i="3974"/>
  <c r="C34" i="3974"/>
  <c r="H35" i="3974"/>
  <c r="H34" i="3974"/>
  <c r="H25" i="3974"/>
  <c r="H33" i="3974"/>
  <c r="H18" i="3974"/>
  <c r="B29" i="3974"/>
  <c r="H28" i="3974"/>
  <c r="B28" i="3974"/>
  <c r="H12" i="3974"/>
  <c r="B27" i="3974"/>
  <c r="H22" i="3974"/>
  <c r="B26" i="3974"/>
  <c r="H24" i="3974"/>
  <c r="C25" i="3974"/>
  <c r="H15" i="3974"/>
  <c r="C24" i="3974"/>
  <c r="H23" i="3974"/>
  <c r="C23" i="3974"/>
  <c r="H27" i="3974"/>
  <c r="C22" i="3974"/>
  <c r="H13" i="3974"/>
  <c r="C21" i="3974"/>
  <c r="H32" i="3974"/>
  <c r="C20" i="3974"/>
  <c r="H14" i="3974"/>
  <c r="C19" i="3974"/>
  <c r="H31" i="3974"/>
  <c r="C18" i="3974"/>
  <c r="H17" i="3974"/>
  <c r="C17" i="3974"/>
  <c r="H16" i="3974"/>
  <c r="C16" i="3974"/>
  <c r="H21" i="3974"/>
  <c r="C15" i="3974"/>
  <c r="H30" i="3974"/>
  <c r="C14" i="3974"/>
  <c r="H20" i="3974"/>
  <c r="O12" i="3974"/>
  <c r="H19" i="3974"/>
  <c r="B12" i="3974"/>
  <c r="O11" i="3974"/>
  <c r="H26" i="3974"/>
  <c r="B11" i="3974"/>
  <c r="O10" i="3974"/>
  <c r="H3" i="3974"/>
  <c r="B10" i="3974"/>
  <c r="H10" i="3974"/>
  <c r="C9" i="3974"/>
  <c r="H11" i="3974"/>
  <c r="C8" i="3974"/>
  <c r="O7" i="3974"/>
  <c r="H8" i="3974"/>
  <c r="C7" i="3974"/>
  <c r="O6" i="3974"/>
  <c r="H6" i="3974"/>
  <c r="B6" i="3974"/>
  <c r="O5" i="3974"/>
  <c r="H7" i="3974"/>
  <c r="B5" i="3974"/>
  <c r="O4" i="3974"/>
  <c r="H2" i="3974"/>
  <c r="O3" i="3974"/>
  <c r="H9" i="3974"/>
  <c r="O2" i="3974"/>
  <c r="H4" i="3974"/>
  <c r="O19" i="3973"/>
  <c r="O18" i="3973"/>
  <c r="O17" i="3973"/>
  <c r="O16" i="3973"/>
  <c r="O15" i="3973"/>
  <c r="H52" i="3973"/>
  <c r="H51" i="3973"/>
  <c r="H50" i="3973"/>
  <c r="H49" i="3973"/>
  <c r="H48" i="3973"/>
  <c r="C48" i="3973"/>
  <c r="H47" i="3973"/>
  <c r="C47" i="3973"/>
  <c r="H46" i="3973"/>
  <c r="C46" i="3973"/>
  <c r="H45" i="3973"/>
  <c r="C45" i="3973"/>
  <c r="H44" i="3973"/>
  <c r="C44" i="3973"/>
  <c r="H43" i="3973"/>
  <c r="C43" i="3973"/>
  <c r="H42" i="3973"/>
  <c r="C42" i="3973"/>
  <c r="H41" i="3973"/>
  <c r="C41" i="3973"/>
  <c r="H40" i="3973"/>
  <c r="C40" i="3973"/>
  <c r="H39" i="3973"/>
  <c r="C39" i="3973"/>
  <c r="H38" i="3973"/>
  <c r="C38" i="3973"/>
  <c r="H37" i="3973"/>
  <c r="C37" i="3973"/>
  <c r="H36" i="3973"/>
  <c r="C36" i="3973"/>
  <c r="H35" i="3973"/>
  <c r="H34" i="3973"/>
  <c r="C34" i="3973"/>
  <c r="H33" i="3973"/>
  <c r="H32" i="3973"/>
  <c r="H31" i="3973"/>
  <c r="H30" i="3973"/>
  <c r="H29" i="3973"/>
  <c r="B29" i="3973"/>
  <c r="H28" i="3973"/>
  <c r="B28" i="3973"/>
  <c r="H27" i="3973"/>
  <c r="B27" i="3973"/>
  <c r="H26" i="3973"/>
  <c r="B26" i="3973"/>
  <c r="H25" i="3973"/>
  <c r="C25" i="3973"/>
  <c r="H10" i="3973"/>
  <c r="C24" i="3973"/>
  <c r="H24" i="3973"/>
  <c r="C23" i="3973"/>
  <c r="H23" i="3973"/>
  <c r="C22" i="3973"/>
  <c r="H22" i="3973"/>
  <c r="C21" i="3973"/>
  <c r="H21" i="3973"/>
  <c r="C20" i="3973"/>
  <c r="H20" i="3973"/>
  <c r="C19" i="3973"/>
  <c r="H19" i="3973"/>
  <c r="C18" i="3973"/>
  <c r="H7" i="3973"/>
  <c r="C17" i="3973"/>
  <c r="H18" i="3973"/>
  <c r="C16" i="3973"/>
  <c r="H17" i="3973"/>
  <c r="C15" i="3973"/>
  <c r="H16" i="3973"/>
  <c r="C14" i="3973"/>
  <c r="H15" i="3973"/>
  <c r="O12" i="3973"/>
  <c r="H14" i="3973"/>
  <c r="B12" i="3973"/>
  <c r="O11" i="3973"/>
  <c r="H13" i="3973"/>
  <c r="B11" i="3973"/>
  <c r="O10" i="3973"/>
  <c r="H4" i="3973"/>
  <c r="B10" i="3973"/>
  <c r="H12" i="3973"/>
  <c r="C9" i="3973"/>
  <c r="H11" i="3973"/>
  <c r="C8" i="3973"/>
  <c r="O7" i="3973"/>
  <c r="H9" i="3973"/>
  <c r="C7" i="3973"/>
  <c r="O6" i="3973"/>
  <c r="H5" i="3973"/>
  <c r="B6" i="3973"/>
  <c r="O5" i="3973"/>
  <c r="H6" i="3973"/>
  <c r="B5" i="3973"/>
  <c r="O4" i="3973"/>
  <c r="H8" i="3973"/>
  <c r="O3" i="3973"/>
  <c r="H3" i="3973"/>
  <c r="O2" i="3973"/>
  <c r="H2" i="3973"/>
  <c r="O23" i="3972"/>
  <c r="O25" i="3972"/>
  <c r="O22" i="3972"/>
  <c r="O18" i="3972"/>
  <c r="O15" i="3972"/>
  <c r="O20" i="3972"/>
  <c r="O24" i="3972"/>
  <c r="O17" i="3972"/>
  <c r="O21" i="3972"/>
  <c r="O16" i="3972"/>
  <c r="O26" i="3972"/>
  <c r="H52" i="3972"/>
  <c r="H7" i="3972"/>
  <c r="H51" i="3972"/>
  <c r="H50" i="3972"/>
  <c r="H49" i="3972"/>
  <c r="C48" i="3972"/>
  <c r="H48" i="3972"/>
  <c r="C47" i="3972"/>
  <c r="H47" i="3972"/>
  <c r="C46" i="3972"/>
  <c r="H46" i="3972"/>
  <c r="C45" i="3972"/>
  <c r="H45" i="3972"/>
  <c r="C44" i="3972"/>
  <c r="H44" i="3972"/>
  <c r="C43" i="3972"/>
  <c r="H43" i="3972"/>
  <c r="C42" i="3972"/>
  <c r="H42" i="3972"/>
  <c r="C41" i="3972"/>
  <c r="H41" i="3972"/>
  <c r="C40" i="3972"/>
  <c r="H40" i="3972"/>
  <c r="C39" i="3972"/>
  <c r="H39" i="3972"/>
  <c r="C38" i="3972"/>
  <c r="H38" i="3972"/>
  <c r="C37" i="3972"/>
  <c r="H37" i="3972"/>
  <c r="C36" i="3972"/>
  <c r="H23" i="3972"/>
  <c r="H36" i="3972"/>
  <c r="C34" i="3972"/>
  <c r="H35" i="3972"/>
  <c r="H34" i="3972"/>
  <c r="H22" i="3972"/>
  <c r="H33" i="3972"/>
  <c r="H17" i="3972"/>
  <c r="B29" i="3972"/>
  <c r="H32" i="3972"/>
  <c r="B28" i="3972"/>
  <c r="H11" i="3972"/>
  <c r="B27" i="3972"/>
  <c r="H31" i="3972"/>
  <c r="B26" i="3972"/>
  <c r="H30" i="3972"/>
  <c r="C25" i="3972"/>
  <c r="H16" i="3972"/>
  <c r="C24" i="3972"/>
  <c r="H29" i="3972"/>
  <c r="C23" i="3972"/>
  <c r="H28" i="3972"/>
  <c r="C22" i="3972"/>
  <c r="H9" i="3972"/>
  <c r="C21" i="3972"/>
  <c r="H27" i="3972"/>
  <c r="C20" i="3972"/>
  <c r="H14" i="3972"/>
  <c r="C19" i="3972"/>
  <c r="H26" i="3972"/>
  <c r="C18" i="3972"/>
  <c r="H15" i="3972"/>
  <c r="C17" i="3972"/>
  <c r="H21" i="3972"/>
  <c r="C16" i="3972"/>
  <c r="H25" i="3972"/>
  <c r="C15" i="3972"/>
  <c r="H24" i="3972"/>
  <c r="C14" i="3972"/>
  <c r="H20" i="3972"/>
  <c r="O12" i="3972"/>
  <c r="H19" i="3972"/>
  <c r="B12" i="3972"/>
  <c r="O11" i="3972"/>
  <c r="H18" i="3972"/>
  <c r="B11" i="3972"/>
  <c r="O10" i="3972"/>
  <c r="H3" i="3972"/>
  <c r="B10" i="3972"/>
  <c r="H13" i="3972"/>
  <c r="C9" i="3972"/>
  <c r="H10" i="3972"/>
  <c r="C8" i="3972"/>
  <c r="O7" i="3972"/>
  <c r="H8" i="3972"/>
  <c r="C7" i="3972"/>
  <c r="O6" i="3972"/>
  <c r="H5" i="3972"/>
  <c r="B6" i="3972"/>
  <c r="O5" i="3972"/>
  <c r="H6" i="3972"/>
  <c r="B5" i="3972"/>
  <c r="O4" i="3972"/>
  <c r="H2" i="3972"/>
  <c r="O3" i="3972"/>
  <c r="H12" i="3972"/>
  <c r="O2" i="3972"/>
  <c r="H4" i="3972"/>
  <c r="O26" i="3971"/>
  <c r="O23" i="3971"/>
  <c r="O22" i="3971"/>
  <c r="O21" i="3971"/>
  <c r="O24" i="3971"/>
  <c r="O20" i="3971"/>
  <c r="O17" i="3971"/>
  <c r="O18" i="3971"/>
  <c r="O19" i="3971"/>
  <c r="O16" i="3971"/>
  <c r="H52" i="3971"/>
  <c r="H7" i="3971"/>
  <c r="H19" i="3971"/>
  <c r="H51" i="3971"/>
  <c r="H50" i="3971"/>
  <c r="C48" i="3971"/>
  <c r="H49" i="3971"/>
  <c r="C47" i="3971"/>
  <c r="H48" i="3971"/>
  <c r="C46" i="3971"/>
  <c r="H47" i="3971"/>
  <c r="C45" i="3971"/>
  <c r="H46" i="3971"/>
  <c r="C44" i="3971"/>
  <c r="H45" i="3971"/>
  <c r="C43" i="3971"/>
  <c r="H44" i="3971"/>
  <c r="C42" i="3971"/>
  <c r="H43" i="3971"/>
  <c r="C41" i="3971"/>
  <c r="H42" i="3971"/>
  <c r="C40" i="3971"/>
  <c r="H41" i="3971"/>
  <c r="C39" i="3971"/>
  <c r="H40" i="3971"/>
  <c r="C38" i="3971"/>
  <c r="H39" i="3971"/>
  <c r="C37" i="3971"/>
  <c r="H38" i="3971"/>
  <c r="C36" i="3971"/>
  <c r="H37" i="3971"/>
  <c r="H36" i="3971"/>
  <c r="C34" i="3971"/>
  <c r="H31" i="3971"/>
  <c r="H35" i="3971"/>
  <c r="H30" i="3971"/>
  <c r="H21" i="3971"/>
  <c r="H17" i="3971"/>
  <c r="B29" i="3971"/>
  <c r="H34" i="3971"/>
  <c r="B28" i="3971"/>
  <c r="H9" i="3971"/>
  <c r="B27" i="3971"/>
  <c r="H27" i="3971"/>
  <c r="B26" i="3971"/>
  <c r="H26" i="3971"/>
  <c r="C25" i="3971"/>
  <c r="H12" i="3971"/>
  <c r="C24" i="3971"/>
  <c r="H25" i="3971"/>
  <c r="C23" i="3971"/>
  <c r="H24" i="3971"/>
  <c r="C22" i="3971"/>
  <c r="H13" i="3971"/>
  <c r="C21" i="3971"/>
  <c r="H33" i="3971"/>
  <c r="C20" i="3971"/>
  <c r="H15" i="3971"/>
  <c r="C19" i="3971"/>
  <c r="H29" i="3971"/>
  <c r="C18" i="3971"/>
  <c r="H18" i="3971"/>
  <c r="C17" i="3971"/>
  <c r="H16" i="3971"/>
  <c r="C16" i="3971"/>
  <c r="H28" i="3971"/>
  <c r="C15" i="3971"/>
  <c r="H32" i="3971"/>
  <c r="C14" i="3971"/>
  <c r="H20" i="3971"/>
  <c r="O12" i="3971"/>
  <c r="H23" i="3971"/>
  <c r="B12" i="3971"/>
  <c r="O11" i="3971"/>
  <c r="H22" i="3971"/>
  <c r="B11" i="3971"/>
  <c r="O10" i="3971"/>
  <c r="H4" i="3971"/>
  <c r="B10" i="3971"/>
  <c r="H14" i="3971"/>
  <c r="C9" i="3971"/>
  <c r="H11" i="3971"/>
  <c r="C8" i="3971"/>
  <c r="O7" i="3971"/>
  <c r="H8" i="3971"/>
  <c r="C7" i="3971"/>
  <c r="O6" i="3971"/>
  <c r="H5" i="3971"/>
  <c r="B6" i="3971"/>
  <c r="O5" i="3971"/>
  <c r="H6" i="3971"/>
  <c r="B5" i="3971"/>
  <c r="O4" i="3971"/>
  <c r="H2" i="3971"/>
  <c r="O3" i="3971"/>
  <c r="H10" i="3971"/>
  <c r="O2" i="3971"/>
  <c r="H3" i="3971"/>
  <c r="O19" i="3970"/>
  <c r="O23" i="3970"/>
  <c r="O20" i="3970"/>
  <c r="O15" i="3970"/>
  <c r="H52" i="3970"/>
  <c r="H7" i="3970"/>
  <c r="H51" i="3970"/>
  <c r="H50" i="3970"/>
  <c r="H49" i="3970"/>
  <c r="C48" i="3970"/>
  <c r="H48" i="3970"/>
  <c r="C47" i="3970"/>
  <c r="H47" i="3970"/>
  <c r="C46" i="3970"/>
  <c r="H46" i="3970"/>
  <c r="C45" i="3970"/>
  <c r="H45" i="3970"/>
  <c r="C44" i="3970"/>
  <c r="H44" i="3970"/>
  <c r="C43" i="3970"/>
  <c r="H43" i="3970"/>
  <c r="C42" i="3970"/>
  <c r="H42" i="3970"/>
  <c r="C41" i="3970"/>
  <c r="H41" i="3970"/>
  <c r="C40" i="3970"/>
  <c r="H40" i="3970"/>
  <c r="C39" i="3970"/>
  <c r="H39" i="3970"/>
  <c r="C38" i="3970"/>
  <c r="H38" i="3970"/>
  <c r="C37" i="3970"/>
  <c r="H37" i="3970"/>
  <c r="C36" i="3970"/>
  <c r="H36" i="3970"/>
  <c r="H35" i="3970"/>
  <c r="C34" i="3970"/>
  <c r="H34" i="3970"/>
  <c r="H33" i="3970"/>
  <c r="H32" i="3970"/>
  <c r="H31" i="3970"/>
  <c r="H30" i="3970"/>
  <c r="B29" i="3970"/>
  <c r="H29" i="3970"/>
  <c r="B28" i="3970"/>
  <c r="H10" i="3970"/>
  <c r="B27" i="3970"/>
  <c r="H28" i="3970"/>
  <c r="B26" i="3970"/>
  <c r="H27" i="3970"/>
  <c r="C25" i="3970"/>
  <c r="H17" i="3970"/>
  <c r="C24" i="3970"/>
  <c r="H16" i="3970"/>
  <c r="C23" i="3970"/>
  <c r="H26" i="3970"/>
  <c r="C22" i="3970"/>
  <c r="H13" i="3970"/>
  <c r="C21" i="3970"/>
  <c r="H25" i="3970"/>
  <c r="C20" i="3970"/>
  <c r="H24" i="3970"/>
  <c r="C19" i="3970"/>
  <c r="H23" i="3970"/>
  <c r="C18" i="3970"/>
  <c r="H15" i="3970"/>
  <c r="C17" i="3970"/>
  <c r="H22" i="3970"/>
  <c r="C16" i="3970"/>
  <c r="H18" i="3970"/>
  <c r="C15" i="3970"/>
  <c r="H21" i="3970"/>
  <c r="C14" i="3970"/>
  <c r="H14" i="3970"/>
  <c r="O12" i="3970"/>
  <c r="H20" i="3970"/>
  <c r="B12" i="3970"/>
  <c r="O11" i="3970"/>
  <c r="H19" i="3970"/>
  <c r="B11" i="3970"/>
  <c r="O10" i="3970"/>
  <c r="H4" i="3970"/>
  <c r="B10" i="3970"/>
  <c r="H12" i="3970"/>
  <c r="C9" i="3970"/>
  <c r="H11" i="3970"/>
  <c r="C8" i="3970"/>
  <c r="O7" i="3970"/>
  <c r="H9" i="3970"/>
  <c r="C7" i="3970"/>
  <c r="O6" i="3970"/>
  <c r="H6" i="3970"/>
  <c r="B6" i="3970"/>
  <c r="O5" i="3970"/>
  <c r="H5" i="3970"/>
  <c r="B5" i="3970"/>
  <c r="O4" i="3970"/>
  <c r="H2" i="3970"/>
  <c r="O3" i="3970"/>
  <c r="H8" i="3970"/>
  <c r="O2" i="3970"/>
  <c r="H3" i="3970"/>
  <c r="O17" i="3969"/>
  <c r="O16" i="3969"/>
  <c r="O15" i="3969"/>
  <c r="H52" i="3969"/>
  <c r="H51" i="3969"/>
  <c r="H50" i="3969"/>
  <c r="H49" i="3969"/>
  <c r="H48" i="3969"/>
  <c r="C48" i="3969"/>
  <c r="H47" i="3969"/>
  <c r="C47" i="3969"/>
  <c r="H46" i="3969"/>
  <c r="C46" i="3969"/>
  <c r="H45" i="3969"/>
  <c r="C45" i="3969"/>
  <c r="H44" i="3969"/>
  <c r="C44" i="3969"/>
  <c r="H43" i="3969"/>
  <c r="C43" i="3969"/>
  <c r="H42" i="3969"/>
  <c r="C42" i="3969"/>
  <c r="H41" i="3969"/>
  <c r="C41" i="3969"/>
  <c r="H40" i="3969"/>
  <c r="C40" i="3969"/>
  <c r="H39" i="3969"/>
  <c r="C39" i="3969"/>
  <c r="H38" i="3969"/>
  <c r="C38" i="3969"/>
  <c r="H37" i="3969"/>
  <c r="C37" i="3969"/>
  <c r="H36" i="3969"/>
  <c r="C36" i="3969"/>
  <c r="H35" i="3969"/>
  <c r="H34" i="3969"/>
  <c r="C34" i="3969"/>
  <c r="H33" i="3969"/>
  <c r="H32" i="3969"/>
  <c r="H31" i="3969"/>
  <c r="H30" i="3969"/>
  <c r="H29" i="3969"/>
  <c r="B29" i="3969"/>
  <c r="H28" i="3969"/>
  <c r="B28" i="3969"/>
  <c r="H27" i="3969"/>
  <c r="B27" i="3969"/>
  <c r="H26" i="3969"/>
  <c r="B26" i="3969"/>
  <c r="H25" i="3969"/>
  <c r="C25" i="3969"/>
  <c r="H24" i="3969"/>
  <c r="C24" i="3969"/>
  <c r="H23" i="3969"/>
  <c r="C23" i="3969"/>
  <c r="H22" i="3969"/>
  <c r="C22" i="3969"/>
  <c r="H21" i="3969"/>
  <c r="C21" i="3969"/>
  <c r="H20" i="3969"/>
  <c r="C20" i="3969"/>
  <c r="H19" i="3969"/>
  <c r="C19" i="3969"/>
  <c r="H18" i="3969"/>
  <c r="C18" i="3969"/>
  <c r="H17" i="3969"/>
  <c r="C17" i="3969"/>
  <c r="H16" i="3969"/>
  <c r="C16" i="3969"/>
  <c r="H15" i="3969"/>
  <c r="C15" i="3969"/>
  <c r="H14" i="3969"/>
  <c r="C14" i="3969"/>
  <c r="H13" i="3969"/>
  <c r="O12" i="3969"/>
  <c r="H12" i="3969"/>
  <c r="B12" i="3969"/>
  <c r="O11" i="3969"/>
  <c r="H11" i="3969"/>
  <c r="B11" i="3969"/>
  <c r="O10" i="3969"/>
  <c r="H10" i="3969"/>
  <c r="B10" i="3969"/>
  <c r="H9" i="3969"/>
  <c r="C9" i="3969"/>
  <c r="H8" i="3969"/>
  <c r="C8" i="3969"/>
  <c r="O7" i="3969"/>
  <c r="H7" i="3969"/>
  <c r="C7" i="3969"/>
  <c r="O6" i="3969"/>
  <c r="H6" i="3969"/>
  <c r="B6" i="3969"/>
  <c r="O5" i="3969"/>
  <c r="H5" i="3969"/>
  <c r="B5" i="3969"/>
  <c r="O4" i="3969"/>
  <c r="H4" i="3969"/>
  <c r="O3" i="3969"/>
  <c r="H3" i="3969"/>
  <c r="O2" i="3969"/>
  <c r="H2" i="3969"/>
  <c r="O26" i="3968"/>
  <c r="O25" i="3968"/>
  <c r="O18" i="3968"/>
  <c r="O27" i="3968"/>
  <c r="O24" i="3968"/>
  <c r="O28" i="3968"/>
  <c r="O22" i="3968"/>
  <c r="O21" i="3968"/>
  <c r="O23" i="3968"/>
  <c r="O16" i="3968"/>
  <c r="O15" i="3968"/>
  <c r="H52" i="3968"/>
  <c r="H6" i="3968"/>
  <c r="H15" i="3968"/>
  <c r="H51" i="3968"/>
  <c r="H50" i="3968"/>
  <c r="C48" i="3968"/>
  <c r="H49" i="3968"/>
  <c r="C47" i="3968"/>
  <c r="H48" i="3968"/>
  <c r="C46" i="3968"/>
  <c r="H47" i="3968"/>
  <c r="C45" i="3968"/>
  <c r="H32" i="3968"/>
  <c r="C44" i="3968"/>
  <c r="H46" i="3968"/>
  <c r="C43" i="3968"/>
  <c r="H45" i="3968"/>
  <c r="C42" i="3968"/>
  <c r="H44" i="3968"/>
  <c r="C41" i="3968"/>
  <c r="H43" i="3968"/>
  <c r="C40" i="3968"/>
  <c r="H42" i="3968"/>
  <c r="C39" i="3968"/>
  <c r="H41" i="3968"/>
  <c r="C38" i="3968"/>
  <c r="H40" i="3968"/>
  <c r="C37" i="3968"/>
  <c r="H39" i="3968"/>
  <c r="C36" i="3968"/>
  <c r="H38" i="3968"/>
  <c r="H37" i="3968"/>
  <c r="C34" i="3968"/>
  <c r="H30" i="3968"/>
  <c r="H36" i="3968"/>
  <c r="H29" i="3968"/>
  <c r="H20" i="3968"/>
  <c r="H18" i="3968"/>
  <c r="B29" i="3968"/>
  <c r="H28" i="3968"/>
  <c r="B28" i="3968"/>
  <c r="H8" i="3968"/>
  <c r="B27" i="3968"/>
  <c r="H31" i="3968"/>
  <c r="B26" i="3968"/>
  <c r="H27" i="3968"/>
  <c r="C25" i="3968"/>
  <c r="H12" i="3968"/>
  <c r="C24" i="3968"/>
  <c r="H22" i="3968"/>
  <c r="C23" i="3968"/>
  <c r="H26" i="3968"/>
  <c r="C22" i="3968"/>
  <c r="H14" i="3968"/>
  <c r="C21" i="3968"/>
  <c r="H35" i="3968"/>
  <c r="C20" i="3968"/>
  <c r="H17" i="3968"/>
  <c r="C19" i="3968"/>
  <c r="H34" i="3968"/>
  <c r="C18" i="3968"/>
  <c r="H19" i="3968"/>
  <c r="C17" i="3968"/>
  <c r="H16" i="3968"/>
  <c r="C16" i="3968"/>
  <c r="H21" i="3968"/>
  <c r="C15" i="3968"/>
  <c r="H33" i="3968"/>
  <c r="C14" i="3968"/>
  <c r="H23" i="3968"/>
  <c r="O12" i="3968"/>
  <c r="H25" i="3968"/>
  <c r="B12" i="3968"/>
  <c r="O11" i="3968"/>
  <c r="H24" i="3968"/>
  <c r="B11" i="3968"/>
  <c r="O10" i="3968"/>
  <c r="H3" i="3968"/>
  <c r="B10" i="3968"/>
  <c r="H13" i="3968"/>
  <c r="C9" i="3968"/>
  <c r="H11" i="3968"/>
  <c r="C8" i="3968"/>
  <c r="O7" i="3968"/>
  <c r="H9" i="3968"/>
  <c r="C7" i="3968"/>
  <c r="O6" i="3968"/>
  <c r="H5" i="3968"/>
  <c r="B6" i="3968"/>
  <c r="O5" i="3968"/>
  <c r="H7" i="3968"/>
  <c r="B5" i="3968"/>
  <c r="O4" i="3968"/>
  <c r="H2" i="3968"/>
  <c r="O3" i="3968"/>
  <c r="H10" i="3968"/>
  <c r="O2" i="3968"/>
  <c r="H4" i="3968"/>
  <c r="O31" i="3967"/>
  <c r="O30" i="3967"/>
  <c r="O27" i="3967"/>
  <c r="O24" i="3967"/>
  <c r="O29" i="3967"/>
  <c r="O28" i="3967"/>
  <c r="O22" i="3967"/>
  <c r="O21" i="3967"/>
  <c r="O23" i="3967"/>
  <c r="O25" i="3967"/>
  <c r="O20" i="3967"/>
  <c r="O16" i="3967"/>
  <c r="O15" i="3967"/>
  <c r="H52" i="3967"/>
  <c r="H5" i="3967"/>
  <c r="H19" i="3967"/>
  <c r="H51" i="3967"/>
  <c r="H50" i="3967"/>
  <c r="C48" i="3967"/>
  <c r="H49" i="3967"/>
  <c r="C47" i="3967"/>
  <c r="H48" i="3967"/>
  <c r="C46" i="3967"/>
  <c r="H47" i="3967"/>
  <c r="C45" i="3967"/>
  <c r="H32" i="3967"/>
  <c r="C44" i="3967"/>
  <c r="H46" i="3967"/>
  <c r="C43" i="3967"/>
  <c r="H45" i="3967"/>
  <c r="C42" i="3967"/>
  <c r="H44" i="3967"/>
  <c r="C41" i="3967"/>
  <c r="H37" i="3967"/>
  <c r="C40" i="3967"/>
  <c r="H34" i="3967"/>
  <c r="C39" i="3967"/>
  <c r="H43" i="3967"/>
  <c r="C38" i="3967"/>
  <c r="H42" i="3967"/>
  <c r="C37" i="3967"/>
  <c r="H41" i="3967"/>
  <c r="C36" i="3967"/>
  <c r="H33" i="3967"/>
  <c r="H40" i="3967"/>
  <c r="C34" i="3967"/>
  <c r="H31" i="3967"/>
  <c r="H39" i="3967"/>
  <c r="H27" i="3967"/>
  <c r="H20" i="3967"/>
  <c r="H17" i="3967"/>
  <c r="B29" i="3967"/>
  <c r="H30" i="3967"/>
  <c r="B28" i="3967"/>
  <c r="H9" i="3967"/>
  <c r="B27" i="3967"/>
  <c r="H29" i="3967"/>
  <c r="B26" i="3967"/>
  <c r="H28" i="3967"/>
  <c r="C25" i="3967"/>
  <c r="H13" i="3967"/>
  <c r="C24" i="3967"/>
  <c r="H24" i="3967"/>
  <c r="C23" i="3967"/>
  <c r="H26" i="3967"/>
  <c r="C22" i="3967"/>
  <c r="H14" i="3967"/>
  <c r="C21" i="3967"/>
  <c r="H38" i="3967"/>
  <c r="C20" i="3967"/>
  <c r="H16" i="3967"/>
  <c r="C19" i="3967"/>
  <c r="H36" i="3967"/>
  <c r="C18" i="3967"/>
  <c r="H18" i="3967"/>
  <c r="C17" i="3967"/>
  <c r="H15" i="3967"/>
  <c r="C16" i="3967"/>
  <c r="H23" i="3967"/>
  <c r="C15" i="3967"/>
  <c r="H35" i="3967"/>
  <c r="C14" i="3967"/>
  <c r="H21" i="3967"/>
  <c r="O12" i="3967"/>
  <c r="H25" i="3967"/>
  <c r="B12" i="3967"/>
  <c r="O11" i="3967"/>
  <c r="H22" i="3967"/>
  <c r="B11" i="3967"/>
  <c r="O10" i="3967"/>
  <c r="H3" i="3967"/>
  <c r="B10" i="3967"/>
  <c r="H12" i="3967"/>
  <c r="C9" i="3967"/>
  <c r="H11" i="3967"/>
  <c r="C8" i="3967"/>
  <c r="O7" i="3967"/>
  <c r="H8" i="3967"/>
  <c r="C7" i="3967"/>
  <c r="O6" i="3967"/>
  <c r="H6" i="3967"/>
  <c r="B6" i="3967"/>
  <c r="O5" i="3967"/>
  <c r="H7" i="3967"/>
  <c r="B5" i="3967"/>
  <c r="O4" i="3967"/>
  <c r="H2" i="3967"/>
  <c r="O3" i="3967"/>
  <c r="H10" i="3967"/>
  <c r="O2" i="3967"/>
  <c r="H4" i="3967"/>
  <c r="B13" i="3979" l="1"/>
  <c r="B13" i="3980"/>
  <c r="B13" i="3974"/>
  <c r="B13" i="3975"/>
  <c r="B13" i="3968"/>
  <c r="B13" i="3978"/>
  <c r="B13" i="3977"/>
  <c r="B13" i="3976"/>
  <c r="B13" i="3973"/>
  <c r="B13" i="3972"/>
  <c r="B13" i="3971"/>
  <c r="B13" i="3970"/>
  <c r="B13" i="3969"/>
  <c r="B13" i="3967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<sst xmlns="http://schemas.openxmlformats.org/spreadsheetml/2006/main" count="4364" uniqueCount="207">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</sst>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全体!$K$2:$K$3392</c:f>
              <c:numCache>
                <c:formatCode>General</c:formatCode>
                <c:ptCount val="33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</c:numCache>
            </c:numRef>
          </c:xVal>
          <c:yVal>
            <c:numRef>
              <c:f>全体!$L$2:$L$3392</c:f>
              <c:numCache>
                <c:formatCode>\+0.0;\-0.0;\±0</c:formatCode>
                <c:ptCount val="339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F1-45D6-B8FC-4F7AFC44F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-20.220041629497473</c:v>
                </c:pt>
                <c:pt idx="1">
                  <c:v>-0.6082725060827251</c:v>
                </c:pt>
                <c:pt idx="2">
                  <c:v>4.5307443365695796</c:v>
                </c:pt>
                <c:pt idx="3">
                  <c:v>3.8759689922480618</c:v>
                </c:pt>
                <c:pt idx="4">
                  <c:v>-3.9032006245120998</c:v>
                </c:pt>
                <c:pt idx="5">
                  <c:v>24.812734082397004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CE-4E7C-AF57-66ED49445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542</c:v>
                </c:pt>
                <c:pt idx="1">
                  <c:v>1203</c:v>
                </c:pt>
                <c:pt idx="2">
                  <c:v>1450</c:v>
                </c:pt>
                <c:pt idx="3">
                  <c:v>1444</c:v>
                </c:pt>
                <c:pt idx="4">
                  <c:v>1198</c:v>
                </c:pt>
                <c:pt idx="5">
                  <c:v>781</c:v>
                </c:pt>
                <c:pt idx="6">
                  <c:v>464</c:v>
                </c:pt>
                <c:pt idx="7">
                  <c:v>252</c:v>
                </c:pt>
                <c:pt idx="8">
                  <c:v>145</c:v>
                </c:pt>
                <c:pt idx="9">
                  <c:v>72</c:v>
                </c:pt>
                <c:pt idx="10">
                  <c:v>40</c:v>
                </c:pt>
                <c:pt idx="11">
                  <c:v>18</c:v>
                </c:pt>
                <c:pt idx="12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2-4308-B307-D0673243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だいち!$K$2:$K$788</c:f>
              <c:numCache>
                <c:formatCode>General</c:formatCode>
                <c:ptCount val="7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</c:numCache>
            </c:numRef>
          </c:xVal>
          <c:yVal>
            <c:numRef>
              <c:f>だいち!$L$2:$L$788</c:f>
              <c:numCache>
                <c:formatCode>\+0.0;\-0.0;\±0</c:formatCode>
                <c:ptCount val="78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C-4101-A1F5-523BD9AEC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1268.5897435897436</c:v>
                </c:pt>
                <c:pt idx="1">
                  <c:v>1435.6110381077528</c:v>
                </c:pt>
                <c:pt idx="2">
                  <c:v>1482.8729281767955</c:v>
                </c:pt>
                <c:pt idx="3">
                  <c:v>1497.5830815709969</c:v>
                </c:pt>
                <c:pt idx="4">
                  <c:v>1182.608695652174</c:v>
                </c:pt>
                <c:pt idx="5">
                  <c:v>1682.5910931174089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A-4A2C-AC32-041B66993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136</c:v>
                </c:pt>
                <c:pt idx="1">
                  <c:v>283</c:v>
                </c:pt>
                <c:pt idx="2">
                  <c:v>377</c:v>
                </c:pt>
                <c:pt idx="3">
                  <c:v>390</c:v>
                </c:pt>
                <c:pt idx="4">
                  <c:v>296</c:v>
                </c:pt>
                <c:pt idx="5">
                  <c:v>209</c:v>
                </c:pt>
                <c:pt idx="6">
                  <c:v>131</c:v>
                </c:pt>
                <c:pt idx="7">
                  <c:v>61</c:v>
                </c:pt>
                <c:pt idx="8">
                  <c:v>40</c:v>
                </c:pt>
                <c:pt idx="9">
                  <c:v>18</c:v>
                </c:pt>
                <c:pt idx="10">
                  <c:v>10</c:v>
                </c:pt>
                <c:pt idx="11">
                  <c:v>4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7-4988-AF51-8EEC6E006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66-498C-88F8-53183D82C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6-4A9C-A90D-6D39CB9F5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3C-49BC-A197-1906CFA4A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7-45E1-863B-BD4EB24E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E-4957-9D10-B7066A522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D-4F2F-8D53-421BE1CA8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りくと!$K$2:$K$461</c:f>
              <c:numCache>
                <c:formatCode>General</c:formatCode>
                <c:ptCount val="4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</c:numCache>
            </c:numRef>
          </c:xVal>
          <c:yVal>
            <c:numRef>
              <c:f>りくと!$L$2:$L$461</c:f>
              <c:numCache>
                <c:formatCode>\+0.0;\-0.0;\±0</c:formatCode>
                <c:ptCount val="46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A-474E-B20D-F98C297CA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-633.1868131868132</c:v>
                </c:pt>
                <c:pt idx="1">
                  <c:v>-917.52808988764048</c:v>
                </c:pt>
                <c:pt idx="2">
                  <c:v>90.543735224586285</c:v>
                </c:pt>
                <c:pt idx="3">
                  <c:v>-696.12403100775191</c:v>
                </c:pt>
                <c:pt idx="4">
                  <c:v>-860.69364161849705</c:v>
                </c:pt>
                <c:pt idx="5">
                  <c:v>-1187.1186440677966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9-4D0A-9730-62E05101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58</c:v>
                </c:pt>
                <c:pt idx="1">
                  <c:v>127</c:v>
                </c:pt>
                <c:pt idx="2">
                  <c:v>188</c:v>
                </c:pt>
                <c:pt idx="3">
                  <c:v>167</c:v>
                </c:pt>
                <c:pt idx="4">
                  <c:v>151</c:v>
                </c:pt>
                <c:pt idx="5">
                  <c:v>109</c:v>
                </c:pt>
                <c:pt idx="6">
                  <c:v>67</c:v>
                </c:pt>
                <c:pt idx="7">
                  <c:v>32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2-49D8-A1A4-DB0F83699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B-4B68-BE4F-F1CA53C89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5-4DEB-96A9-8C8230375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DA-41CE-B64F-2FF7EB932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C-4102-88A4-DA4CB837D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3B-4CF7-8B94-3EE918182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3-4BC4-94EC-41D358FDC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たかの!$K$2:$K$320</c:f>
              <c:numCache>
                <c:formatCode>General</c:formatCode>
                <c:ptCount val="3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</c:numCache>
            </c:numRef>
          </c:xVal>
          <c:yVal>
            <c:numRef>
              <c:f>たかの!$L$2:$L$320</c:f>
              <c:numCache>
                <c:formatCode>\+0.0;\-0.0;\±0</c:formatCode>
                <c:ptCount val="31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9-4B77-9385-C66387F80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100.31446540880503</c:v>
                </c:pt>
                <c:pt idx="1">
                  <c:v>-1690.9677419354839</c:v>
                </c:pt>
                <c:pt idx="2">
                  <c:v>-1209.4076655052265</c:v>
                </c:pt>
                <c:pt idx="3">
                  <c:v>-158.88888888888889</c:v>
                </c:pt>
                <c:pt idx="4">
                  <c:v>-529.26829268292681</c:v>
                </c:pt>
                <c:pt idx="5">
                  <c:v>-1029.2682926829268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B-465B-99F8-4D8D478B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78</c:v>
                </c:pt>
                <c:pt idx="1">
                  <c:v>163</c:v>
                </c:pt>
                <c:pt idx="2">
                  <c:v>146</c:v>
                </c:pt>
                <c:pt idx="3">
                  <c:v>141</c:v>
                </c:pt>
                <c:pt idx="4">
                  <c:v>107</c:v>
                </c:pt>
                <c:pt idx="5">
                  <c:v>48</c:v>
                </c:pt>
                <c:pt idx="6">
                  <c:v>29</c:v>
                </c:pt>
                <c:pt idx="7">
                  <c:v>18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A-471D-811F-8A9C3111C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ただ!$L$2:$L$539</c:f>
              <c:numCache>
                <c:formatCode>\+0.0;\-0.0;\±0</c:formatCode>
                <c:ptCount val="53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A-4573-8C34-E8E0D836A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-536.34651600753295</c:v>
                </c:pt>
                <c:pt idx="1">
                  <c:v>-194.39071566731141</c:v>
                </c:pt>
                <c:pt idx="2">
                  <c:v>186.62551440329219</c:v>
                </c:pt>
                <c:pt idx="3">
                  <c:v>-994.26048565121414</c:v>
                </c:pt>
                <c:pt idx="4">
                  <c:v>-277.01711491442541</c:v>
                </c:pt>
                <c:pt idx="5">
                  <c:v>-61.031518624641834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0-4E60-8C89-2149A683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88</c:v>
                </c:pt>
                <c:pt idx="1">
                  <c:v>228</c:v>
                </c:pt>
                <c:pt idx="2">
                  <c:v>264</c:v>
                </c:pt>
                <c:pt idx="3">
                  <c:v>246</c:v>
                </c:pt>
                <c:pt idx="4">
                  <c:v>177</c:v>
                </c:pt>
                <c:pt idx="5">
                  <c:v>112</c:v>
                </c:pt>
                <c:pt idx="6">
                  <c:v>55</c:v>
                </c:pt>
                <c:pt idx="7">
                  <c:v>39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1-4025-B20C-7DEBB4D1E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6-4E58-B293-19B6AEA93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4-4754-8A81-4AEE2FC5B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F0-4EC9-9A50-30F7D1D6B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れんたろう!$K$2:$K$465</c:f>
              <c:numCache>
                <c:formatCode>General</c:formatCode>
                <c:ptCount val="4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</c:numCache>
            </c:numRef>
          </c:xVal>
          <c:yVal>
            <c:numRef>
              <c:f>れんたろう!$L$2:$L$465</c:f>
              <c:numCache>
                <c:formatCode>\+0.0;\-0.0;\±0</c:formatCode>
                <c:ptCount val="46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E3-4863-AEB3-E922F156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432.23684210526318</c:v>
                </c:pt>
                <c:pt idx="1">
                  <c:v>-577.90178571428567</c:v>
                </c:pt>
                <c:pt idx="2">
                  <c:v>311.62227602905568</c:v>
                </c:pt>
                <c:pt idx="3">
                  <c:v>621.39037433155079</c:v>
                </c:pt>
                <c:pt idx="4">
                  <c:v>-754.51895043731781</c:v>
                </c:pt>
                <c:pt idx="5">
                  <c:v>677.97833935018048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0-4FCB-A39E-913CDF9D7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34</c:v>
                </c:pt>
                <c:pt idx="1">
                  <c:v>107</c:v>
                </c:pt>
                <c:pt idx="2">
                  <c:v>151</c:v>
                </c:pt>
                <c:pt idx="3">
                  <c:v>212</c:v>
                </c:pt>
                <c:pt idx="4">
                  <c:v>198</c:v>
                </c:pt>
                <c:pt idx="5">
                  <c:v>127</c:v>
                </c:pt>
                <c:pt idx="6">
                  <c:v>81</c:v>
                </c:pt>
                <c:pt idx="7">
                  <c:v>53</c:v>
                </c:pt>
                <c:pt idx="8">
                  <c:v>34</c:v>
                </c:pt>
                <c:pt idx="9">
                  <c:v>12</c:v>
                </c:pt>
                <c:pt idx="10">
                  <c:v>8</c:v>
                </c:pt>
                <c:pt idx="11">
                  <c:v>5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E-42EC-A470-C52A97648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8E-4B04-A1A2-6AFA08B3F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0-4F71-BCAF-B8A25AB2B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0-4368-8B3A-8052BDC77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まっつん!$K$2:$K$385</c:f>
              <c:numCache>
                <c:formatCode>General</c:formatCode>
                <c:ptCount val="3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</c:numCache>
            </c:numRef>
          </c:xVal>
          <c:yVal>
            <c:numRef>
              <c:f>まっつん!$L$2:$L$385</c:f>
              <c:numCache>
                <c:formatCode>\+0.0;\-0.0;\±0</c:formatCode>
                <c:ptCount val="38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9-43C0-9359-948C532DB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-194.24083769633509</c:v>
                </c:pt>
                <c:pt idx="1">
                  <c:v>578.13333333333333</c:v>
                </c:pt>
                <c:pt idx="2">
                  <c:v>-518.13031161473089</c:v>
                </c:pt>
                <c:pt idx="3">
                  <c:v>49.541284403669728</c:v>
                </c:pt>
                <c:pt idx="4">
                  <c:v>-972.29729729729729</c:v>
                </c:pt>
                <c:pt idx="5">
                  <c:v>-527.75510204081638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B-4695-8BEF-0216F124E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61</c:v>
                </c:pt>
                <c:pt idx="1">
                  <c:v>138</c:v>
                </c:pt>
                <c:pt idx="2">
                  <c:v>163</c:v>
                </c:pt>
                <c:pt idx="3">
                  <c:v>151</c:v>
                </c:pt>
                <c:pt idx="4">
                  <c:v>123</c:v>
                </c:pt>
                <c:pt idx="5">
                  <c:v>84</c:v>
                </c:pt>
                <c:pt idx="6">
                  <c:v>50</c:v>
                </c:pt>
                <c:pt idx="7">
                  <c:v>22</c:v>
                </c:pt>
                <c:pt idx="8">
                  <c:v>16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C-4D7E-BCDC-DA418A6CE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D6-4748-BE66-99482E1DD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446.06741573033707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88-4B39-BC2E-7465C9FD0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E-4CD4-9CDA-512ABAABD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14-4289-98E1-F3DF1556C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C8-4650-B036-E5C152996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2-4CDB-83B1-1EF6C369D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8-47DD-9028-6BE821DE2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0-4269-809A-DDA12D4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3-4A11-B00E-2DE69CDCF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のり!$L$2:$L$99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05-4C5A-B39E-2560287A8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-2989.6907216494847</c:v>
                </c:pt>
                <c:pt idx="1">
                  <c:v>168.75</c:v>
                </c:pt>
                <c:pt idx="2">
                  <c:v>-1403.3333333333333</c:v>
                </c:pt>
                <c:pt idx="3">
                  <c:v>-1466.25</c:v>
                </c:pt>
                <c:pt idx="4">
                  <c:v>-1063.5135135135135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D-4B1C-B35A-37432EE24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35</c:v>
                </c:pt>
                <c:pt idx="2">
                  <c:v>42</c:v>
                </c:pt>
                <c:pt idx="3">
                  <c:v>36</c:v>
                </c:pt>
                <c:pt idx="4">
                  <c:v>27</c:v>
                </c:pt>
                <c:pt idx="5">
                  <c:v>17</c:v>
                </c:pt>
                <c:pt idx="6">
                  <c:v>10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3-4A9E-9A5D-89EAAD01B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6-44AD-A32D-C9FB2E2E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83-4927-A405-CAC7F76D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AA-4FC8-987F-D968DFF82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1-4F4F-8E4D-9A90AA6CF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1A-4F0F-B0E7-B0DEDD8AC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B-45DA-AB60-6D8BFAD0A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A-4083-897D-9AC0C5C18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3-4644-A497-E2C7FDBC6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D-4FF7-BC39-DD15235A5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21652B-E469-40E0-AD7B-D72E30F52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23DF2B-F8EC-49BF-B29B-284D3A042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D7510C-C84F-4772-B46C-741396741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A42B61-0C9A-4D3D-85F6-9BCC599B4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2AA3C3-59C2-414C-BE27-C17A1E870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0786B2-ACBE-432E-80B2-73F243DA70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6D386D-6F01-4E32-A476-608E13760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09F8E8-95C0-487C-97D1-BD6E6D26A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C2677B-8A13-4999-AB90-E128175C2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E1EACE-3F29-4199-8EC4-D40F168B9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1B3561-78D1-458F-B810-1B3BF64F2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EFDFC9-C335-4DF8-B13E-B3B24A6C8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986D25-2529-4069-8581-CFE6D1C1C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B2796B-1A27-4597-AE78-E59493D98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97D169-C19B-4823-A16F-EEDDA2FFB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F29995-601F-4E10-A7D0-477B3CBC8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20685D-C759-40EA-B3E3-BC2B4532F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A7A313B-114E-443E-9616-6D67C94AC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51301A-5F41-43BC-AEC0-E8774A367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C7202B-0E84-4B9C-B618-6F06B231C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B52FF96-9056-40B1-A8CA-5D2E5B6E3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C93E6B-1CF3-4B36-BBF5-6190EE8DF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7BC2B5-8D7C-4D42-94F6-C979114C7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693685-5331-461B-AC9D-814E6B256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E0BF4C-7E56-4FF6-9AAD-FA8194DD4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BA9E99-718C-4EAA-BFB2-65DFB0307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FE681B-9534-402C-8EF8-C9F152F7A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82BD34-16B8-4E5E-A9B3-9F8E09AE9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43BBF9-98BD-443F-A6EA-9DB3BE693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DECB4C0-4638-43C3-8848-D53C1F43B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905129-1AB4-4133-8767-1FC0F8DA8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3228E6-4604-4108-B2BE-AA29A3156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82E2AD-6DB4-4176-AF39-0AB6C0390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B0112C-8902-4863-BDA8-72250D9CA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A6A61F-046B-47FC-BD87-9CBA14ECD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9A6846-001C-4E11-9B84-C2AF59556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49FF82-D359-43D0-AF12-4B2213EC5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6F8B5E-724F-47D0-B2FD-2A89CCA6C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E62C78-AF4B-42C3-A3AF-854BA9A94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B42233-87B5-4BA7-936A-33555D50B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52FF6F-0833-4F52-ABB8-6DF2BC8B9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C6AC4D-764F-4CBE-BD3B-E1B4E2676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8C26F0-7DB0-4E13-BDC9-3D266738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275B71-94C8-45D1-AA89-FDA9C5238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E47D50-FE76-4417-B646-1B5238377D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E946E3-9891-4238-BA15-36FAD75DA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79C352-92B6-4D3C-8CD4-1ECBE6AF3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123521-B21C-409D-A1D1-B69BB3E06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A84769-529D-465B-B41A-07FA926FB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9D9EC9-2ED8-40A3-8AC5-6DF84AE5C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96FA4F-1221-4814-ABFC-7E098660F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DE746B-673C-4CE1-AA74-428E52773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B6D1E3-51B9-411C-BF36-A2F48F5EC9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02B6B3-4BF9-4D54-91C4-C2BFAC081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B8498C-09B7-4494-8A67-46EA98BD4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92212B-EF5A-405D-9A3C-EBE9FE15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19B330-C0C0-4F5B-814F-D2E59D605F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4A4915-6E4E-43DF-9A7B-5D6F9BA38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79600D-E18D-437B-B7EA-FC07144A7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40E4DA-2A9C-4544-8477-D57308E17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29"/>
      <c r="C1" s="13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33">
        <v>0</v>
      </c>
      <c r="C3" s="13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">
      <c r="A4" s="20" t="s">
        <v>6</v>
      </c>
      <c r="B4" s="135">
        <v>0</v>
      </c>
      <c r="C4" s="13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">
      <c r="A6" s="20" t="s">
        <v>1</v>
      </c>
      <c r="B6" s="145">
        <f>IF(B$2=0,0,(B$7*1+B$8*2+B$9*3)/B$2)</f>
        <v>0</v>
      </c>
      <c r="C6" s="14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">
      <c r="A32" s="64" t="s">
        <v>134</v>
      </c>
      <c r="B32" s="143">
        <v>0</v>
      </c>
      <c r="C32" s="14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">
      <c r="A33" s="40" t="s">
        <v>177</v>
      </c>
      <c r="B33" s="141">
        <v>-1000000</v>
      </c>
      <c r="C33" s="14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  <row r="19" spans="1:1" x14ac:dyDescent="0.4">
      <c r="A19" t="s">
        <v>202</v>
      </c>
    </row>
    <row r="20" spans="1:1" x14ac:dyDescent="0.4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9" customWidth="1"/>
    <col min="3" max="3" width="10.75" style="123" customWidth="1"/>
    <col min="4" max="4" width="10.75" style="57" customWidth="1"/>
    <col min="5" max="5" width="10.75" style="58" customWidth="1"/>
    <col min="6" max="6" width="10.75" style="59" customWidth="1"/>
    <col min="7" max="7" width="10.75" style="71" customWidth="1"/>
    <col min="8" max="8" width="10.75" style="59" customWidth="1"/>
    <col min="9" max="9" width="10.75" style="71" customWidth="1"/>
    <col min="10" max="10" width="10.75" style="59" customWidth="1"/>
    <col min="11" max="11" width="10.75" style="60" customWidth="1"/>
    <col min="12" max="12" width="10.75" style="59" customWidth="1"/>
    <col min="13" max="13" width="10.75" style="61" customWidth="1"/>
    <col min="14" max="14" width="10.75" style="59" customWidth="1"/>
    <col min="15" max="15" width="10.75" style="61" customWidth="1"/>
    <col min="16" max="16" width="10.75" style="59" customWidth="1"/>
    <col min="17" max="17" width="10.75" style="62" customWidth="1"/>
    <col min="18" max="18" width="10.75" style="59" customWidth="1"/>
    <col min="19" max="19" width="10.75" style="62" customWidth="1"/>
    <col min="20" max="20" width="10.75" style="59" customWidth="1"/>
    <col min="21" max="21" width="10.75" style="63" customWidth="1"/>
    <col min="22" max="22" width="10.75" style="59" customWidth="1"/>
    <col min="23" max="23" width="10.75" style="63" customWidth="1"/>
    <col min="24" max="24" width="10.75" style="59" customWidth="1"/>
    <col min="25" max="25" width="10.75" style="61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2" customWidth="1"/>
    <col min="34" max="34" width="10.75" style="59" customWidth="1"/>
    <col min="35" max="35" width="10.75" style="62" customWidth="1"/>
    <col min="36" max="36" width="10.75" style="59" customWidth="1"/>
    <col min="37" max="37" width="10.75" style="66" customWidth="1"/>
    <col min="38" max="16384" width="9" style="47"/>
  </cols>
  <sheetData>
    <row r="1" spans="1:37" x14ac:dyDescent="0.4">
      <c r="A1" s="46"/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206</v>
      </c>
      <c r="I1" s="152"/>
      <c r="J1" s="149" t="s">
        <v>15</v>
      </c>
      <c r="K1" s="150"/>
      <c r="L1" s="149" t="s">
        <v>14</v>
      </c>
      <c r="M1" s="150"/>
      <c r="N1" s="149" t="s">
        <v>147</v>
      </c>
      <c r="O1" s="150"/>
      <c r="P1" s="149" t="s">
        <v>137</v>
      </c>
      <c r="Q1" s="150"/>
      <c r="R1" s="149" t="s">
        <v>138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139</v>
      </c>
      <c r="AG1" s="150"/>
      <c r="AH1" s="149" t="s">
        <v>136</v>
      </c>
      <c r="AI1" s="150"/>
      <c r="AJ1" s="149" t="s">
        <v>177</v>
      </c>
      <c r="AK1" s="150"/>
    </row>
    <row r="2" spans="1:37" x14ac:dyDescent="0.4">
      <c r="A2" s="46" t="s">
        <v>146</v>
      </c>
      <c r="B2" s="147">
        <v>0.49422374216695719</v>
      </c>
      <c r="C2" s="148"/>
      <c r="D2" s="153"/>
      <c r="E2" s="154"/>
      <c r="F2" s="153"/>
      <c r="G2" s="154"/>
      <c r="H2" s="147">
        <v>0.2321336346600551</v>
      </c>
      <c r="I2" s="148"/>
      <c r="J2" s="147">
        <v>0.78442428867798375</v>
      </c>
      <c r="K2" s="148"/>
      <c r="L2" s="147">
        <v>0.60789439129040279</v>
      </c>
      <c r="M2" s="148"/>
      <c r="N2" s="147">
        <v>0.62304144866588818</v>
      </c>
      <c r="O2" s="148"/>
      <c r="P2" s="147">
        <v>0.59075450230627724</v>
      </c>
      <c r="Q2" s="148"/>
      <c r="R2" s="147">
        <v>0.36596800054239415</v>
      </c>
      <c r="S2" s="148"/>
      <c r="T2" s="147">
        <v>0.24649672306445494</v>
      </c>
      <c r="U2" s="148"/>
      <c r="V2" s="147">
        <v>-4.4644883071458343E-2</v>
      </c>
      <c r="W2" s="148"/>
      <c r="X2" s="147">
        <v>0.37402557387596935</v>
      </c>
      <c r="Y2" s="148"/>
      <c r="Z2" s="147">
        <v>0.22890282236693474</v>
      </c>
      <c r="AA2" s="148"/>
      <c r="AB2" s="147">
        <v>-1.8291897354238734E-2</v>
      </c>
      <c r="AC2" s="148"/>
      <c r="AD2" s="147">
        <v>0.36563497885129859</v>
      </c>
      <c r="AE2" s="148"/>
      <c r="AF2" s="147">
        <v>0.32052991946806714</v>
      </c>
      <c r="AG2" s="148"/>
      <c r="AH2" s="147">
        <v>-0.27410443344779328</v>
      </c>
      <c r="AI2" s="148"/>
      <c r="AJ2" s="147">
        <v>0.57139221063057344</v>
      </c>
      <c r="AK2" s="148"/>
    </row>
    <row r="3" spans="1:37" x14ac:dyDescent="0.4">
      <c r="A3" s="48">
        <v>1</v>
      </c>
      <c r="B3" s="51" t="s">
        <v>183</v>
      </c>
      <c r="C3" s="122">
        <v>1130</v>
      </c>
      <c r="D3" s="49" t="s">
        <v>195</v>
      </c>
      <c r="E3" s="50">
        <v>7460.5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-7443.2735426008967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0.6428571428571429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">
      <c r="A4" s="56">
        <v>2</v>
      </c>
      <c r="B4" s="59" t="s">
        <v>195</v>
      </c>
      <c r="C4" s="123">
        <v>786</v>
      </c>
      <c r="D4" s="57" t="s">
        <v>191</v>
      </c>
      <c r="E4" s="58">
        <v>449.10000000000036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1.7595419847328244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0.34133927151264515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7.6335877862595422E-2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186</v>
      </c>
      <c r="AI4" s="62">
        <v>0.52788104089219334</v>
      </c>
      <c r="AJ4" s="59" t="s">
        <v>183</v>
      </c>
      <c r="AK4" s="66">
        <v>149100</v>
      </c>
    </row>
    <row r="5" spans="1:37" x14ac:dyDescent="0.4">
      <c r="A5" s="56">
        <v>3</v>
      </c>
      <c r="B5" s="59" t="s">
        <v>193</v>
      </c>
      <c r="C5" s="123">
        <v>537</v>
      </c>
      <c r="D5" s="57" t="s">
        <v>196</v>
      </c>
      <c r="E5" s="58">
        <v>109</v>
      </c>
      <c r="F5" s="59" t="s">
        <v>195</v>
      </c>
      <c r="G5" s="71">
        <v>9.4917302798982188</v>
      </c>
      <c r="H5" s="59" t="s">
        <v>191</v>
      </c>
      <c r="I5" s="71">
        <v>1.7073258641000564</v>
      </c>
      <c r="J5" s="59" t="s">
        <v>199</v>
      </c>
      <c r="K5" s="60">
        <v>1.9285714285714286</v>
      </c>
      <c r="L5" s="59" t="s">
        <v>195</v>
      </c>
      <c r="M5" s="61">
        <v>0.46437659033078882</v>
      </c>
      <c r="N5" s="59" t="s">
        <v>195</v>
      </c>
      <c r="O5" s="61">
        <v>0.22391857506361323</v>
      </c>
      <c r="P5" s="59" t="s">
        <v>202</v>
      </c>
      <c r="Q5" s="62">
        <v>0.33333333333333331</v>
      </c>
      <c r="R5" s="59" t="s">
        <v>195</v>
      </c>
      <c r="S5" s="62">
        <v>0.13949419436933355</v>
      </c>
      <c r="T5" s="59" t="s">
        <v>191</v>
      </c>
      <c r="U5" s="63">
        <v>10554.976303317535</v>
      </c>
      <c r="V5" s="59" t="s">
        <v>186</v>
      </c>
      <c r="W5" s="63">
        <v>-8135.5329949238576</v>
      </c>
      <c r="X5" s="59" t="s">
        <v>196</v>
      </c>
      <c r="Y5" s="61">
        <v>0.1111111111111111</v>
      </c>
      <c r="Z5" s="59" t="s">
        <v>201</v>
      </c>
      <c r="AA5" s="62">
        <v>0.375</v>
      </c>
      <c r="AB5" s="59" t="s">
        <v>188</v>
      </c>
      <c r="AC5" s="62">
        <v>0.28473066018631027</v>
      </c>
      <c r="AD5" s="59" t="s">
        <v>196</v>
      </c>
      <c r="AE5" s="62">
        <v>0.61538461538461542</v>
      </c>
      <c r="AF5" s="59" t="s">
        <v>195</v>
      </c>
      <c r="AG5" s="62">
        <v>0.48701809598741147</v>
      </c>
      <c r="AH5" s="59" t="s">
        <v>189</v>
      </c>
      <c r="AI5" s="62">
        <v>0.52631578947368418</v>
      </c>
      <c r="AJ5" s="59" t="s">
        <v>191</v>
      </c>
      <c r="AK5" s="66">
        <v>124700</v>
      </c>
    </row>
    <row r="6" spans="1:37" x14ac:dyDescent="0.4">
      <c r="A6" s="56">
        <v>4</v>
      </c>
      <c r="B6" s="59" t="s">
        <v>191</v>
      </c>
      <c r="C6" s="123">
        <v>463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0.1429945495351074</v>
      </c>
      <c r="T6" s="59" t="s">
        <v>202</v>
      </c>
      <c r="U6" s="63">
        <v>9534.6153846153848</v>
      </c>
      <c r="V6" s="59" t="s">
        <v>197</v>
      </c>
      <c r="W6" s="63">
        <v>-8153.1468531468536</v>
      </c>
      <c r="X6" s="59" t="s">
        <v>187</v>
      </c>
      <c r="Y6" s="61">
        <v>0.11488250652741515</v>
      </c>
      <c r="Z6" s="59" t="s">
        <v>189</v>
      </c>
      <c r="AA6" s="62">
        <v>0.3359073359073359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">
      <c r="A7" s="56">
        <v>5</v>
      </c>
      <c r="B7" s="59" t="s">
        <v>190</v>
      </c>
      <c r="C7" s="123">
        <v>459</v>
      </c>
      <c r="D7" s="57" t="s">
        <v>200</v>
      </c>
      <c r="E7" s="58">
        <v>13.3</v>
      </c>
      <c r="F7" s="59" t="s">
        <v>191</v>
      </c>
      <c r="G7" s="71">
        <v>0.96997840172786254</v>
      </c>
      <c r="H7" s="59" t="s">
        <v>195</v>
      </c>
      <c r="I7" s="71">
        <v>0.69514228107182652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184</v>
      </c>
      <c r="W7" s="63">
        <v>-8240</v>
      </c>
      <c r="X7" s="59" t="s">
        <v>193</v>
      </c>
      <c r="Y7" s="61">
        <v>0.1154562383612663</v>
      </c>
      <c r="Z7" s="59" t="s">
        <v>191</v>
      </c>
      <c r="AA7" s="62">
        <v>0.29588521927449918</v>
      </c>
      <c r="AB7" s="59" t="s">
        <v>193</v>
      </c>
      <c r="AC7" s="62">
        <v>0.24699505067169455</v>
      </c>
      <c r="AD7" s="59" t="s">
        <v>195</v>
      </c>
      <c r="AE7" s="62">
        <v>0.60362537764350455</v>
      </c>
      <c r="AF7" s="59" t="s">
        <v>183</v>
      </c>
      <c r="AG7" s="62">
        <v>0.40815621219975806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">
      <c r="A8" s="56">
        <v>6</v>
      </c>
      <c r="B8" s="59" t="s">
        <v>187</v>
      </c>
      <c r="C8" s="123">
        <v>383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187</v>
      </c>
      <c r="I8" s="71">
        <v>0.65041707437299578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198</v>
      </c>
      <c r="Q8" s="62">
        <v>0.3125</v>
      </c>
      <c r="R8" s="59" t="s">
        <v>188</v>
      </c>
      <c r="S8" s="62">
        <v>0.16119290298225747</v>
      </c>
      <c r="T8" s="59" t="s">
        <v>195</v>
      </c>
      <c r="U8" s="63">
        <v>9223.1127679403544</v>
      </c>
      <c r="V8" s="59" t="s">
        <v>190</v>
      </c>
      <c r="W8" s="63">
        <v>-8271.6157205240179</v>
      </c>
      <c r="X8" s="59" t="s">
        <v>188</v>
      </c>
      <c r="Y8" s="61">
        <v>0.11635220125786164</v>
      </c>
      <c r="Z8" s="59" t="s">
        <v>195</v>
      </c>
      <c r="AA8" s="62">
        <v>0.2838278168410221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0.40256045519203415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">
      <c r="A9" s="56">
        <v>7</v>
      </c>
      <c r="B9" s="59" t="s">
        <v>188</v>
      </c>
      <c r="C9" s="123">
        <v>318</v>
      </c>
      <c r="D9" s="57" t="s">
        <v>183</v>
      </c>
      <c r="E9" s="58">
        <v>-1.2434497875801753E-14</v>
      </c>
      <c r="F9" s="59" t="s">
        <v>183</v>
      </c>
      <c r="G9" s="71">
        <v>-3.6679934736878328E-18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191</v>
      </c>
      <c r="M9" s="61">
        <v>0.33477321814254862</v>
      </c>
      <c r="N9" s="59" t="s">
        <v>187</v>
      </c>
      <c r="O9" s="61">
        <v>0.33681462140992169</v>
      </c>
      <c r="P9" s="59" t="s">
        <v>188</v>
      </c>
      <c r="Q9" s="62">
        <v>0.29898074745186864</v>
      </c>
      <c r="R9" s="59" t="s">
        <v>183</v>
      </c>
      <c r="S9" s="62">
        <v>0.16415739326496473</v>
      </c>
      <c r="T9" s="59" t="s">
        <v>190</v>
      </c>
      <c r="U9" s="63">
        <v>9140.3596403596403</v>
      </c>
      <c r="V9" s="59" t="s">
        <v>195</v>
      </c>
      <c r="W9" s="63">
        <v>-8305.7012542759403</v>
      </c>
      <c r="X9" s="59" t="s">
        <v>183</v>
      </c>
      <c r="Y9" s="61">
        <v>0.12035398230088495</v>
      </c>
      <c r="Z9" s="59" t="s">
        <v>190</v>
      </c>
      <c r="AA9" s="62">
        <v>0.27986151182919794</v>
      </c>
      <c r="AB9" s="59" t="s">
        <v>187</v>
      </c>
      <c r="AC9" s="62">
        <v>0.23116383456235973</v>
      </c>
      <c r="AD9" s="59" t="s">
        <v>190</v>
      </c>
      <c r="AE9" s="62">
        <v>0.5670103092783505</v>
      </c>
      <c r="AF9" s="59" t="s">
        <v>191</v>
      </c>
      <c r="AG9" s="62">
        <v>0.39290780141843973</v>
      </c>
      <c r="AH9" s="59" t="s">
        <v>197</v>
      </c>
      <c r="AI9" s="62">
        <v>0.46700507614213199</v>
      </c>
      <c r="AJ9" s="59" t="s">
        <v>192</v>
      </c>
      <c r="AK9" s="66">
        <v>109300</v>
      </c>
    </row>
    <row r="10" spans="1:37" x14ac:dyDescent="0.4">
      <c r="A10" s="56">
        <v>8</v>
      </c>
      <c r="B10" s="59" t="s">
        <v>186</v>
      </c>
      <c r="C10" s="123">
        <v>118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190</v>
      </c>
      <c r="I10" s="71">
        <v>6.3620609590249921E-4</v>
      </c>
      <c r="J10" s="59" t="s">
        <v>193</v>
      </c>
      <c r="K10" s="60">
        <v>2.0186219739292364</v>
      </c>
      <c r="L10" s="59" t="s">
        <v>183</v>
      </c>
      <c r="M10" s="61">
        <v>0.33333333333333331</v>
      </c>
      <c r="N10" s="59" t="s">
        <v>193</v>
      </c>
      <c r="O10" s="61">
        <v>0.3500931098696462</v>
      </c>
      <c r="P10" s="59" t="s">
        <v>193</v>
      </c>
      <c r="Q10" s="62">
        <v>0.29869535362783245</v>
      </c>
      <c r="R10" s="59" t="s">
        <v>192</v>
      </c>
      <c r="S10" s="62">
        <v>0.16772151898734178</v>
      </c>
      <c r="T10" s="59" t="s">
        <v>183</v>
      </c>
      <c r="U10" s="63">
        <v>8930.9070823616057</v>
      </c>
      <c r="V10" s="59" t="s">
        <v>183</v>
      </c>
      <c r="W10" s="63">
        <v>-8336.7301727957474</v>
      </c>
      <c r="X10" s="59" t="s">
        <v>191</v>
      </c>
      <c r="Y10" s="61">
        <v>0.13822894168466524</v>
      </c>
      <c r="Z10" s="59" t="s">
        <v>192</v>
      </c>
      <c r="AA10" s="62">
        <v>0.27777777777777779</v>
      </c>
      <c r="AB10" s="59" t="s">
        <v>197</v>
      </c>
      <c r="AC10" s="62">
        <v>0.22875000000000001</v>
      </c>
      <c r="AD10" s="59" t="s">
        <v>186</v>
      </c>
      <c r="AE10" s="62">
        <v>0.5662650602409639</v>
      </c>
      <c r="AF10" s="59" t="s">
        <v>199</v>
      </c>
      <c r="AG10" s="62">
        <v>0.39285714285714285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">
      <c r="A11" s="56">
        <v>9</v>
      </c>
      <c r="B11" s="59" t="s">
        <v>197</v>
      </c>
      <c r="C11" s="123">
        <v>97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183</v>
      </c>
      <c r="I11" s="71">
        <v>0</v>
      </c>
      <c r="J11" s="59" t="s">
        <v>191</v>
      </c>
      <c r="K11" s="60">
        <v>2.0215982721382288</v>
      </c>
      <c r="L11" s="59" t="s">
        <v>193</v>
      </c>
      <c r="M11" s="61">
        <v>0.33147113594040967</v>
      </c>
      <c r="N11" s="59" t="s">
        <v>191</v>
      </c>
      <c r="O11" s="61">
        <v>0.35637149028077753</v>
      </c>
      <c r="P11" s="59" t="s">
        <v>183</v>
      </c>
      <c r="Q11" s="62">
        <v>0.2962760928067496</v>
      </c>
      <c r="R11" s="59" t="s">
        <v>199</v>
      </c>
      <c r="S11" s="62">
        <v>0.16996047430830039</v>
      </c>
      <c r="T11" s="59" t="s">
        <v>196</v>
      </c>
      <c r="U11" s="63">
        <v>8891.6666666666661</v>
      </c>
      <c r="V11" s="59" t="s">
        <v>188</v>
      </c>
      <c r="W11" s="63">
        <v>-8359.2505854800929</v>
      </c>
      <c r="X11" s="59" t="s">
        <v>190</v>
      </c>
      <c r="Y11" s="61">
        <v>0.13943355119825709</v>
      </c>
      <c r="Z11" s="59" t="s">
        <v>183</v>
      </c>
      <c r="AA11" s="62">
        <v>0.2607928839812898</v>
      </c>
      <c r="AB11" s="59" t="s">
        <v>183</v>
      </c>
      <c r="AC11" s="62">
        <v>0.22187715665976535</v>
      </c>
      <c r="AD11" s="59" t="s">
        <v>183</v>
      </c>
      <c r="AE11" s="62">
        <v>0.56600999705968835</v>
      </c>
      <c r="AF11" s="59" t="s">
        <v>202</v>
      </c>
      <c r="AG11" s="62">
        <v>0.38461538461538464</v>
      </c>
      <c r="AH11" s="59" t="s">
        <v>191</v>
      </c>
      <c r="AI11" s="62">
        <v>0.45687203791469194</v>
      </c>
      <c r="AJ11" s="59" t="s">
        <v>188</v>
      </c>
      <c r="AK11" s="66">
        <v>106500</v>
      </c>
    </row>
    <row r="12" spans="1:37" x14ac:dyDescent="0.4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-1.4287206266318535</v>
      </c>
      <c r="H12" s="59" t="s">
        <v>188</v>
      </c>
      <c r="I12" s="71">
        <v>-4.6438746438752787E-3</v>
      </c>
      <c r="J12" s="59" t="s">
        <v>192</v>
      </c>
      <c r="K12" s="60">
        <v>2.0256410256410255</v>
      </c>
      <c r="L12" s="59" t="s">
        <v>187</v>
      </c>
      <c r="M12" s="61">
        <v>0.28459530026109658</v>
      </c>
      <c r="N12" s="59" t="s">
        <v>188</v>
      </c>
      <c r="O12" s="61">
        <v>0.37735849056603776</v>
      </c>
      <c r="P12" s="59" t="s">
        <v>189</v>
      </c>
      <c r="Q12" s="62">
        <v>0.2878787878787879</v>
      </c>
      <c r="R12" s="59" t="s">
        <v>193</v>
      </c>
      <c r="S12" s="62">
        <v>0.17029068436713207</v>
      </c>
      <c r="T12" s="59" t="s">
        <v>201</v>
      </c>
      <c r="U12" s="63">
        <v>8512.5</v>
      </c>
      <c r="V12" s="59" t="s">
        <v>189</v>
      </c>
      <c r="W12" s="63">
        <v>-8379.5918367346931</v>
      </c>
      <c r="X12" s="59" t="s">
        <v>189</v>
      </c>
      <c r="Y12" s="61">
        <v>0.15151515151515152</v>
      </c>
      <c r="Z12" s="59" t="s">
        <v>185</v>
      </c>
      <c r="AA12" s="62">
        <v>0.25806451612903225</v>
      </c>
      <c r="AB12" s="59" t="s">
        <v>195</v>
      </c>
      <c r="AC12" s="62">
        <v>0.21797290344709314</v>
      </c>
      <c r="AD12" s="59" t="s">
        <v>187</v>
      </c>
      <c r="AE12" s="62">
        <v>0.56481481481481477</v>
      </c>
      <c r="AF12" s="59" t="s">
        <v>197</v>
      </c>
      <c r="AG12" s="62">
        <v>0.38251366120218577</v>
      </c>
      <c r="AH12" s="59" t="s">
        <v>190</v>
      </c>
      <c r="AI12" s="62">
        <v>0.45454545454545453</v>
      </c>
      <c r="AJ12" s="59" t="s">
        <v>199</v>
      </c>
      <c r="AK12" s="66">
        <v>106300</v>
      </c>
    </row>
    <row r="13" spans="1:37" x14ac:dyDescent="0.4">
      <c r="A13" s="56">
        <v>11</v>
      </c>
      <c r="B13" s="59" t="s">
        <v>192</v>
      </c>
      <c r="C13" s="123">
        <v>39</v>
      </c>
      <c r="D13" s="57" t="s">
        <v>201</v>
      </c>
      <c r="E13" s="58">
        <v>-80.800000000000011</v>
      </c>
      <c r="F13" s="59" t="s">
        <v>193</v>
      </c>
      <c r="G13" s="71">
        <v>-2.2761638733705785</v>
      </c>
      <c r="H13" s="59" t="s">
        <v>194</v>
      </c>
      <c r="I13" s="71">
        <v>-0.4518996415770597</v>
      </c>
      <c r="J13" s="59" t="s">
        <v>187</v>
      </c>
      <c r="K13" s="60">
        <v>2.0522193211488249</v>
      </c>
      <c r="L13" s="59" t="s">
        <v>189</v>
      </c>
      <c r="M13" s="61">
        <v>0.27272727272727271</v>
      </c>
      <c r="N13" s="59" t="s">
        <v>192</v>
      </c>
      <c r="O13" s="61">
        <v>0.38461538461538464</v>
      </c>
      <c r="P13" s="59" t="s">
        <v>191</v>
      </c>
      <c r="Q13" s="62">
        <v>0.28276601447333155</v>
      </c>
      <c r="R13" s="59" t="s">
        <v>194</v>
      </c>
      <c r="S13" s="62">
        <v>0.17164179104477612</v>
      </c>
      <c r="T13" s="59" t="s">
        <v>187</v>
      </c>
      <c r="U13" s="63">
        <v>8505.0239234449764</v>
      </c>
      <c r="V13" s="59" t="s">
        <v>196</v>
      </c>
      <c r="W13" s="63">
        <v>-8400</v>
      </c>
      <c r="X13" s="59" t="s">
        <v>194</v>
      </c>
      <c r="Y13" s="61">
        <v>0.15384615384615385</v>
      </c>
      <c r="Z13" s="59" t="s">
        <v>199</v>
      </c>
      <c r="AA13" s="62">
        <v>0.24901185770750989</v>
      </c>
      <c r="AB13" s="59" t="s">
        <v>191</v>
      </c>
      <c r="AC13" s="62">
        <v>0.19085002707092583</v>
      </c>
      <c r="AD13" s="59" t="s">
        <v>191</v>
      </c>
      <c r="AE13" s="62">
        <v>0.55169258920402564</v>
      </c>
      <c r="AF13" s="59" t="s">
        <v>193</v>
      </c>
      <c r="AG13" s="62">
        <v>0.38072519083969464</v>
      </c>
      <c r="AH13" s="59" t="s">
        <v>187</v>
      </c>
      <c r="AI13" s="62">
        <v>0.44019138755980863</v>
      </c>
      <c r="AJ13" s="59" t="s">
        <v>187</v>
      </c>
      <c r="AK13" s="66">
        <v>103000</v>
      </c>
    </row>
    <row r="14" spans="1:37" x14ac:dyDescent="0.4">
      <c r="A14" s="56">
        <v>12</v>
      </c>
      <c r="B14" s="59" t="s">
        <v>189</v>
      </c>
      <c r="C14" s="123">
        <v>33</v>
      </c>
      <c r="D14" s="57" t="s">
        <v>185</v>
      </c>
      <c r="E14" s="58">
        <v>-86.4</v>
      </c>
      <c r="F14" s="59" t="s">
        <v>188</v>
      </c>
      <c r="G14" s="71">
        <v>-4.468553459119498</v>
      </c>
      <c r="H14" s="59" t="s">
        <v>197</v>
      </c>
      <c r="I14" s="71">
        <v>-1.2461866047231922</v>
      </c>
      <c r="J14" s="59" t="s">
        <v>188</v>
      </c>
      <c r="K14" s="60">
        <v>2.1226415094339623</v>
      </c>
      <c r="L14" s="59" t="s">
        <v>186</v>
      </c>
      <c r="M14" s="61">
        <v>0.2711864406779661</v>
      </c>
      <c r="N14" s="59" t="s">
        <v>190</v>
      </c>
      <c r="O14" s="61">
        <v>0.38562091503267976</v>
      </c>
      <c r="P14" s="59" t="s">
        <v>192</v>
      </c>
      <c r="Q14" s="62">
        <v>0.28164556962025317</v>
      </c>
      <c r="R14" s="59" t="s">
        <v>197</v>
      </c>
      <c r="S14" s="62">
        <v>0.17874999999999999</v>
      </c>
      <c r="T14" s="59" t="s">
        <v>193</v>
      </c>
      <c r="U14" s="63">
        <v>8440.3831417624515</v>
      </c>
      <c r="V14" s="59" t="s">
        <v>193</v>
      </c>
      <c r="W14" s="63">
        <v>-8450.1344086021509</v>
      </c>
      <c r="X14" s="59" t="s">
        <v>192</v>
      </c>
      <c r="Y14" s="61">
        <v>0.15384615384615385</v>
      </c>
      <c r="Z14" s="59" t="s">
        <v>186</v>
      </c>
      <c r="AA14" s="62">
        <v>0.24435721295387636</v>
      </c>
      <c r="AB14" s="59" t="s">
        <v>186</v>
      </c>
      <c r="AC14" s="62">
        <v>0.19038272816486751</v>
      </c>
      <c r="AD14" s="59" t="s">
        <v>197</v>
      </c>
      <c r="AE14" s="62">
        <v>0.55029585798816572</v>
      </c>
      <c r="AF14" s="59" t="s">
        <v>187</v>
      </c>
      <c r="AG14" s="62">
        <v>0.38002773925104022</v>
      </c>
      <c r="AH14" s="59" t="s">
        <v>183</v>
      </c>
      <c r="AI14" s="62">
        <v>0.43832085430219714</v>
      </c>
      <c r="AJ14" s="59" t="s">
        <v>197</v>
      </c>
      <c r="AK14" s="66">
        <v>89000</v>
      </c>
    </row>
    <row r="15" spans="1:37" x14ac:dyDescent="0.4">
      <c r="A15" s="56">
        <v>13</v>
      </c>
      <c r="B15" s="59" t="s">
        <v>199</v>
      </c>
      <c r="C15" s="123">
        <v>28</v>
      </c>
      <c r="D15" s="57" t="s">
        <v>184</v>
      </c>
      <c r="E15" s="58">
        <v>-132.1</v>
      </c>
      <c r="F15" s="59" t="s">
        <v>190</v>
      </c>
      <c r="G15" s="71">
        <v>-4.6204793028322433</v>
      </c>
      <c r="H15" s="59" t="s">
        <v>193</v>
      </c>
      <c r="I15" s="71">
        <v>-1.5813821748570167</v>
      </c>
      <c r="J15" s="59" t="s">
        <v>190</v>
      </c>
      <c r="K15" s="60">
        <v>2.1263616557734206</v>
      </c>
      <c r="L15" s="59" t="s">
        <v>190</v>
      </c>
      <c r="M15" s="61">
        <v>0.25925925925925924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191</v>
      </c>
      <c r="S15" s="62">
        <v>0.18118466898954705</v>
      </c>
      <c r="T15" s="59" t="s">
        <v>197</v>
      </c>
      <c r="U15" s="63">
        <v>8207.1065989847721</v>
      </c>
      <c r="V15" s="59" t="s">
        <v>191</v>
      </c>
      <c r="W15" s="63">
        <v>-8637.1301775147931</v>
      </c>
      <c r="X15" s="59" t="s">
        <v>197</v>
      </c>
      <c r="Y15" s="61">
        <v>0.15463917525773196</v>
      </c>
      <c r="Z15" s="59" t="s">
        <v>187</v>
      </c>
      <c r="AA15" s="62">
        <v>0.24238537992946457</v>
      </c>
      <c r="AB15" s="59" t="s">
        <v>190</v>
      </c>
      <c r="AC15" s="62">
        <v>0.1809001731102135</v>
      </c>
      <c r="AD15" s="59" t="s">
        <v>193</v>
      </c>
      <c r="AE15" s="62">
        <v>0.54093567251461994</v>
      </c>
      <c r="AF15" s="59" t="s">
        <v>190</v>
      </c>
      <c r="AG15" s="62">
        <v>0.37958532695374803</v>
      </c>
      <c r="AH15" s="59" t="s">
        <v>194</v>
      </c>
      <c r="AI15" s="62">
        <v>0.43636363636363634</v>
      </c>
      <c r="AJ15" s="59" t="s">
        <v>196</v>
      </c>
      <c r="AK15" s="66">
        <v>78000</v>
      </c>
    </row>
    <row r="16" spans="1:37" x14ac:dyDescent="0.4">
      <c r="A16" s="56">
        <v>14</v>
      </c>
      <c r="B16" s="59" t="s">
        <v>202</v>
      </c>
      <c r="C16" s="123">
        <v>10</v>
      </c>
      <c r="D16" s="57" t="s">
        <v>189</v>
      </c>
      <c r="E16" s="58">
        <v>-256.89999999999998</v>
      </c>
      <c r="F16" s="59" t="s">
        <v>189</v>
      </c>
      <c r="G16" s="71">
        <v>-7.7848484848484842</v>
      </c>
      <c r="H16" s="59" t="s">
        <v>186</v>
      </c>
      <c r="I16" s="71">
        <v>-2.7244212962962941</v>
      </c>
      <c r="J16" s="59" t="s">
        <v>189</v>
      </c>
      <c r="K16" s="60">
        <v>2.1515151515151514</v>
      </c>
      <c r="L16" s="59" t="s">
        <v>188</v>
      </c>
      <c r="M16" s="61">
        <v>0.25471698113207547</v>
      </c>
      <c r="N16" s="59" t="s">
        <v>201</v>
      </c>
      <c r="O16" s="61">
        <v>0.4</v>
      </c>
      <c r="P16" s="59" t="s">
        <v>190</v>
      </c>
      <c r="Q16" s="62">
        <v>0.26858062785081838</v>
      </c>
      <c r="R16" s="59" t="s">
        <v>190</v>
      </c>
      <c r="S16" s="62">
        <v>0.18433056077273946</v>
      </c>
      <c r="T16" s="59" t="s">
        <v>199</v>
      </c>
      <c r="U16" s="63">
        <v>7901.25</v>
      </c>
      <c r="V16" s="59" t="s">
        <v>199</v>
      </c>
      <c r="W16" s="63">
        <v>-8765.1162790697672</v>
      </c>
      <c r="X16" s="59" t="s">
        <v>186</v>
      </c>
      <c r="Y16" s="61">
        <v>0.17796610169491525</v>
      </c>
      <c r="Z16" s="59" t="s">
        <v>193</v>
      </c>
      <c r="AA16" s="62">
        <v>0.24181004006599105</v>
      </c>
      <c r="AB16" s="59" t="s">
        <v>202</v>
      </c>
      <c r="AC16" s="62">
        <v>0.16666666666666666</v>
      </c>
      <c r="AD16" s="59" t="s">
        <v>192</v>
      </c>
      <c r="AE16" s="62">
        <v>0.53846153846153844</v>
      </c>
      <c r="AF16" s="59" t="s">
        <v>186</v>
      </c>
      <c r="AG16" s="62">
        <v>0.33505154639175255</v>
      </c>
      <c r="AH16" s="59" t="s">
        <v>188</v>
      </c>
      <c r="AI16" s="62">
        <v>0.42929292929292928</v>
      </c>
      <c r="AJ16" s="59" t="s">
        <v>202</v>
      </c>
      <c r="AK16" s="66">
        <v>70900</v>
      </c>
    </row>
    <row r="17" spans="1:37" x14ac:dyDescent="0.4">
      <c r="A17" s="56">
        <v>15</v>
      </c>
      <c r="B17" s="59" t="s">
        <v>196</v>
      </c>
      <c r="C17" s="123">
        <v>9</v>
      </c>
      <c r="D17" s="57" t="s">
        <v>187</v>
      </c>
      <c r="E17" s="58">
        <v>-547.19999999999993</v>
      </c>
      <c r="F17" s="59" t="s">
        <v>186</v>
      </c>
      <c r="G17" s="71">
        <v>-8.6033898305084744</v>
      </c>
      <c r="H17" s="59" t="s">
        <v>189</v>
      </c>
      <c r="I17" s="71">
        <v>-2.7308994708994683</v>
      </c>
      <c r="J17" s="59" t="s">
        <v>186</v>
      </c>
      <c r="K17" s="60">
        <v>2.152542372881356</v>
      </c>
      <c r="L17" s="59" t="s">
        <v>198</v>
      </c>
      <c r="M17" s="61">
        <v>0.25</v>
      </c>
      <c r="N17" s="59" t="s">
        <v>197</v>
      </c>
      <c r="O17" s="61">
        <v>0.42268041237113402</v>
      </c>
      <c r="P17" s="59" t="s">
        <v>187</v>
      </c>
      <c r="Q17" s="62">
        <v>0.26803462648284709</v>
      </c>
      <c r="R17" s="59" t="s">
        <v>189</v>
      </c>
      <c r="S17" s="62">
        <v>0.18560606060606061</v>
      </c>
      <c r="T17" s="59" t="s">
        <v>186</v>
      </c>
      <c r="U17" s="63">
        <v>7805.2044609665427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0.53027139874739038</v>
      </c>
      <c r="AF17" s="59" t="s">
        <v>201</v>
      </c>
      <c r="AG17" s="62">
        <v>0.33333333333333331</v>
      </c>
      <c r="AH17" s="59" t="s">
        <v>193</v>
      </c>
      <c r="AI17" s="62">
        <v>0.41915708812260538</v>
      </c>
      <c r="AJ17" s="59" t="s">
        <v>189</v>
      </c>
      <c r="AK17" s="66">
        <v>66700</v>
      </c>
    </row>
    <row r="18" spans="1:37" x14ac:dyDescent="0.4">
      <c r="A18" s="56">
        <v>16</v>
      </c>
      <c r="B18" s="59" t="s">
        <v>185</v>
      </c>
      <c r="C18" s="123">
        <v>5</v>
      </c>
      <c r="D18" s="57" t="s">
        <v>186</v>
      </c>
      <c r="E18" s="58">
        <v>-1015.2</v>
      </c>
      <c r="F18" s="59" t="s">
        <v>197</v>
      </c>
      <c r="G18" s="71">
        <v>-12.03917525773196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0.42372881355932202</v>
      </c>
      <c r="P18" s="59" t="s">
        <v>186</v>
      </c>
      <c r="Q18" s="62">
        <v>0.26398429833169773</v>
      </c>
      <c r="R18" s="59" t="s">
        <v>186</v>
      </c>
      <c r="S18" s="62">
        <v>0.19332679097154074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0.4942528735632184</v>
      </c>
      <c r="AF18" s="59" t="s">
        <v>192</v>
      </c>
      <c r="AG18" s="62">
        <v>0.32142857142857145</v>
      </c>
      <c r="AH18" s="59" t="s">
        <v>195</v>
      </c>
      <c r="AI18" s="62">
        <v>0.41752096924510718</v>
      </c>
      <c r="AJ18" s="59" t="s">
        <v>185</v>
      </c>
      <c r="AK18" s="66">
        <v>57800</v>
      </c>
    </row>
    <row r="19" spans="1:37" x14ac:dyDescent="0.4">
      <c r="A19" s="56">
        <v>17</v>
      </c>
      <c r="B19" s="59" t="s">
        <v>201</v>
      </c>
      <c r="C19" s="123">
        <v>5</v>
      </c>
      <c r="D19" s="57" t="s">
        <v>197</v>
      </c>
      <c r="E19" s="58">
        <v>-1167.8000000000002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189</v>
      </c>
      <c r="O19" s="61">
        <v>0.42424242424242425</v>
      </c>
      <c r="P19" s="59" t="s">
        <v>197</v>
      </c>
      <c r="Q19" s="62">
        <v>0.24625</v>
      </c>
      <c r="R19" s="59" t="s">
        <v>201</v>
      </c>
      <c r="S19" s="62">
        <v>0.2</v>
      </c>
      <c r="T19" s="59" t="s">
        <v>189</v>
      </c>
      <c r="U19" s="63">
        <v>7605.2631578947367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">
      <c r="A20" s="56">
        <v>18</v>
      </c>
      <c r="B20" s="59" t="s">
        <v>184</v>
      </c>
      <c r="C20" s="123">
        <v>4</v>
      </c>
      <c r="D20" s="57" t="s">
        <v>193</v>
      </c>
      <c r="E20" s="58">
        <v>-1222.3000000000006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0.14432989690721648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188</v>
      </c>
      <c r="U20" s="63">
        <v>7435.227272727273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0.21124999999999999</v>
      </c>
      <c r="AB20" s="59" t="s">
        <v>189</v>
      </c>
      <c r="AC20" s="62">
        <v>0.10810810810810811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">
      <c r="A21" s="56">
        <v>19</v>
      </c>
      <c r="B21" s="59" t="s">
        <v>198</v>
      </c>
      <c r="C21" s="123">
        <v>4</v>
      </c>
      <c r="D21" s="57" t="s">
        <v>188</v>
      </c>
      <c r="E21" s="58">
        <v>-1421.0000000000002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2.2783505154639174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0.19400567031186716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">
      <c r="A22" s="56">
        <v>20</v>
      </c>
      <c r="B22" s="59" t="s">
        <v>200</v>
      </c>
      <c r="C22" s="123">
        <v>1</v>
      </c>
      <c r="D22" s="57" t="s">
        <v>190</v>
      </c>
      <c r="E22" s="58">
        <v>-2120.7999999999997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15862-198B-45E7-A0DE-E04BDE0CBA0A}">
  <sheetPr codeName="Sheet3"/>
  <dimension ref="A1:Q339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3390</v>
      </c>
      <c r="C2" s="132"/>
      <c r="E2" s="43" t="s">
        <v>66</v>
      </c>
      <c r="F2" s="25" t="s">
        <v>22</v>
      </c>
      <c r="G2" s="13">
        <v>5652</v>
      </c>
      <c r="H2" s="106">
        <f>IF(B$51=0,0,G2/B$51)</f>
        <v>0.73278879813302222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-20.220041629497473</v>
      </c>
      <c r="P2" s="92">
        <v>3363</v>
      </c>
      <c r="Q2" s="76">
        <v>-68000</v>
      </c>
    </row>
    <row r="3" spans="1:17" x14ac:dyDescent="0.4">
      <c r="A3" s="37" t="s">
        <v>8</v>
      </c>
      <c r="B3" s="133">
        <v>27498</v>
      </c>
      <c r="C3" s="134"/>
      <c r="E3" s="44" t="s">
        <v>72</v>
      </c>
      <c r="F3" s="41" t="s">
        <v>27</v>
      </c>
      <c r="G3" s="34">
        <v>4185</v>
      </c>
      <c r="H3" s="107">
        <f>IF(B$51=0,0,G3/B$51)</f>
        <v>0.54259043173862309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-0.6082725060827251</v>
      </c>
      <c r="P3" s="93">
        <v>3288</v>
      </c>
      <c r="Q3" s="77">
        <v>-2000</v>
      </c>
    </row>
    <row r="4" spans="1:17" x14ac:dyDescent="0.4">
      <c r="A4" s="37" t="s">
        <v>6</v>
      </c>
      <c r="B4" s="135">
        <v>-1.2434497875801753E-14</v>
      </c>
      <c r="C4" s="136"/>
      <c r="E4" s="44" t="s">
        <v>64</v>
      </c>
      <c r="F4" s="41" t="s">
        <v>20</v>
      </c>
      <c r="G4" s="34">
        <v>3720</v>
      </c>
      <c r="H4" s="107">
        <f>IF(B$51=0,0,G4/B$51)</f>
        <v>0.48230260598988722</v>
      </c>
      <c r="I4" s="68">
        <v>12</v>
      </c>
      <c r="K4" s="5">
        <v>2</v>
      </c>
      <c r="L4" s="73">
        <v>-7</v>
      </c>
      <c r="N4" s="89" t="s">
        <v>128</v>
      </c>
      <c r="O4" s="96">
        <f t="shared" si="0"/>
        <v>4.5307443365695796</v>
      </c>
      <c r="P4" s="93">
        <v>3090</v>
      </c>
      <c r="Q4" s="77">
        <v>14000</v>
      </c>
    </row>
    <row r="5" spans="1:17" x14ac:dyDescent="0.4">
      <c r="A5" s="37" t="s">
        <v>7</v>
      </c>
      <c r="B5" s="137">
        <f>IF(B$2=0,0,B$4/B$2)</f>
        <v>-3.6679934736878328E-18</v>
      </c>
      <c r="C5" s="138"/>
      <c r="E5" s="44" t="s">
        <v>157</v>
      </c>
      <c r="F5" s="41" t="s">
        <v>158</v>
      </c>
      <c r="G5" s="34">
        <v>2436</v>
      </c>
      <c r="H5" s="107">
        <f>IF(B$51=0,0,G5/B$51)</f>
        <v>0.31583041618047453</v>
      </c>
      <c r="I5" s="68">
        <v>11</v>
      </c>
      <c r="K5" s="5">
        <v>3</v>
      </c>
      <c r="L5" s="73">
        <v>0</v>
      </c>
      <c r="N5" s="89" t="s">
        <v>129</v>
      </c>
      <c r="O5" s="96">
        <f t="shared" si="0"/>
        <v>3.8759689922480618</v>
      </c>
      <c r="P5" s="93">
        <v>2838</v>
      </c>
      <c r="Q5" s="77">
        <v>11000</v>
      </c>
    </row>
    <row r="6" spans="1:17" x14ac:dyDescent="0.4">
      <c r="A6" s="37" t="s">
        <v>1</v>
      </c>
      <c r="B6" s="145">
        <f>IF(B$2=0,0,(B$7*1+B$8*2+B$9*3)/B$2)</f>
        <v>2</v>
      </c>
      <c r="C6" s="146"/>
      <c r="E6" s="44" t="s">
        <v>68</v>
      </c>
      <c r="F6" s="41" t="s">
        <v>12</v>
      </c>
      <c r="G6" s="34">
        <v>2394</v>
      </c>
      <c r="H6" s="107">
        <f>IF(B$51=0,0,G6/B$51)</f>
        <v>0.31038506417736289</v>
      </c>
      <c r="I6" s="68">
        <v>9</v>
      </c>
      <c r="K6" s="5">
        <v>4</v>
      </c>
      <c r="L6" s="73">
        <v>-1</v>
      </c>
      <c r="N6" s="89" t="s">
        <v>130</v>
      </c>
      <c r="O6" s="96">
        <f t="shared" si="0"/>
        <v>-3.9032006245120998</v>
      </c>
      <c r="P6" s="93">
        <v>2562</v>
      </c>
      <c r="Q6" s="77">
        <v>-10000</v>
      </c>
    </row>
    <row r="7" spans="1:17" x14ac:dyDescent="0.4">
      <c r="A7" s="37" t="s">
        <v>2</v>
      </c>
      <c r="B7" s="34">
        <v>1130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2188</v>
      </c>
      <c r="H7" s="107">
        <f>IF(B$51=0,0,G7/B$51)</f>
        <v>0.28367690911448207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24.812734082397004</v>
      </c>
      <c r="P7" s="94">
        <v>2136</v>
      </c>
      <c r="Q7" s="78">
        <v>53000</v>
      </c>
    </row>
    <row r="8" spans="1:17" x14ac:dyDescent="0.4">
      <c r="A8" s="37" t="s">
        <v>3</v>
      </c>
      <c r="B8" s="34">
        <v>1130</v>
      </c>
      <c r="C8" s="31">
        <f t="shared" si="1"/>
        <v>0.33333333333333331</v>
      </c>
      <c r="E8" s="44" t="s">
        <v>69</v>
      </c>
      <c r="F8" s="41" t="s">
        <v>24</v>
      </c>
      <c r="G8" s="34">
        <v>1151</v>
      </c>
      <c r="H8" s="107">
        <f>IF(B$51=0,0,G8/B$51)</f>
        <v>0.14922857513289253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1130</v>
      </c>
      <c r="C9" s="7">
        <f t="shared" si="1"/>
        <v>0.33333333333333331</v>
      </c>
      <c r="E9" s="44" t="s">
        <v>89</v>
      </c>
      <c r="F9" s="41" t="s">
        <v>44</v>
      </c>
      <c r="G9" s="34">
        <v>1083</v>
      </c>
      <c r="H9" s="107">
        <f>IF(B$51=0,0,G9/B$51)</f>
        <v>0.14041229093737845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37.867699115044253</v>
      </c>
      <c r="C10" s="121">
        <v>42790.500000000007</v>
      </c>
      <c r="E10" s="44" t="s">
        <v>65</v>
      </c>
      <c r="F10" s="41" t="s">
        <v>21</v>
      </c>
      <c r="G10" s="34">
        <v>831</v>
      </c>
      <c r="H10" s="107">
        <f>IF(B$51=0,0,G10/B$51)</f>
        <v>0.10774017891870867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-3.4311446317657488</v>
      </c>
      <c r="P10" s="92">
        <v>1127</v>
      </c>
      <c r="Q10" s="80">
        <v>-3866.8999999999987</v>
      </c>
    </row>
    <row r="11" spans="1:17" x14ac:dyDescent="0.4">
      <c r="A11" s="38" t="s">
        <v>204</v>
      </c>
      <c r="B11" s="120">
        <f>IF(B8=0,0,C11/B8)</f>
        <v>-0.97707964601769859</v>
      </c>
      <c r="C11" s="121">
        <v>-1104.0999999999995</v>
      </c>
      <c r="E11" s="44" t="s">
        <v>70</v>
      </c>
      <c r="F11" s="41" t="s">
        <v>25</v>
      </c>
      <c r="G11" s="34">
        <v>742</v>
      </c>
      <c r="H11" s="107">
        <f>IF(B$51=0,0,G11/B$51)</f>
        <v>9.6201218721638795E-2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1.2904170363797693</v>
      </c>
      <c r="P11" s="93">
        <v>1127</v>
      </c>
      <c r="Q11" s="81">
        <v>1454.3</v>
      </c>
    </row>
    <row r="12" spans="1:17" x14ac:dyDescent="0.4">
      <c r="A12" s="38" t="s">
        <v>205</v>
      </c>
      <c r="B12" s="120">
        <f>IF(B9=0,0,C12/B9)</f>
        <v>-36.890619469026554</v>
      </c>
      <c r="C12" s="121">
        <v>-41686.400000000009</v>
      </c>
      <c r="E12" s="44" t="s">
        <v>71</v>
      </c>
      <c r="F12" s="41" t="s">
        <v>26</v>
      </c>
      <c r="G12" s="34">
        <v>521</v>
      </c>
      <c r="H12" s="107">
        <f>IF(B$51=0,0,G12/B$51)</f>
        <v>6.7548295086218069E-2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2.1407275953859801</v>
      </c>
      <c r="P12" s="94">
        <v>1127</v>
      </c>
      <c r="Q12" s="82">
        <v>2412.5999999999995</v>
      </c>
    </row>
    <row r="13" spans="1:17" x14ac:dyDescent="0.4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436</v>
      </c>
      <c r="H13" s="107">
        <f>IF(B$51=0,0,G13/B$51)</f>
        <v>5.6527939841825491E-2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408</v>
      </c>
      <c r="C14" s="32">
        <f t="shared" si="1"/>
        <v>0.12035398230088495</v>
      </c>
      <c r="E14" s="44" t="s">
        <v>83</v>
      </c>
      <c r="F14" s="41" t="s">
        <v>38</v>
      </c>
      <c r="G14" s="34">
        <v>370</v>
      </c>
      <c r="H14" s="107">
        <f>IF(B$51=0,0,G14/B$51)</f>
        <v>4.7970958122650072E-2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6802</v>
      </c>
      <c r="C15" s="11">
        <f>IF(B$50=0,0,B15/B$50)</f>
        <v>0.2607928839812898</v>
      </c>
      <c r="E15" s="44" t="s">
        <v>78</v>
      </c>
      <c r="F15" s="41" t="s">
        <v>33</v>
      </c>
      <c r="G15" s="34">
        <v>219</v>
      </c>
      <c r="H15" s="107">
        <f>IF(B$51=0,0,G15/B$51)</f>
        <v>2.8393621159082068E-2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118</v>
      </c>
      <c r="B16" s="34">
        <v>5787</v>
      </c>
      <c r="C16" s="31">
        <f>IF(B$50=0,0,B16/B$50)</f>
        <v>0.22187715665976535</v>
      </c>
      <c r="E16" s="44" t="s">
        <v>81</v>
      </c>
      <c r="F16" s="41" t="s">
        <v>36</v>
      </c>
      <c r="G16" s="34">
        <v>199</v>
      </c>
      <c r="H16" s="107">
        <f>IF(B$51=0,0,G16/B$51)</f>
        <v>2.5800596395695579E-2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">
      <c r="A17" s="19" t="s">
        <v>123</v>
      </c>
      <c r="B17" s="13">
        <v>3850</v>
      </c>
      <c r="C17" s="4">
        <f>IF(B$15=0,0,B17/B$15)</f>
        <v>0.56600999705968835</v>
      </c>
      <c r="E17" s="44" t="s">
        <v>91</v>
      </c>
      <c r="F17" s="41" t="s">
        <v>46</v>
      </c>
      <c r="G17" s="34">
        <v>144</v>
      </c>
      <c r="H17" s="107">
        <f>IF(B$51=0,0,G17/B$51)</f>
        <v>1.8669778296382729E-2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">
      <c r="A18" s="19" t="s">
        <v>124</v>
      </c>
      <c r="B18" s="13">
        <v>2362</v>
      </c>
      <c r="C18" s="4">
        <f>IF(B$16=0,0,B18/B$16)</f>
        <v>0.40815621219975806</v>
      </c>
      <c r="E18" s="44" t="s">
        <v>79</v>
      </c>
      <c r="F18" s="41" t="s">
        <v>34</v>
      </c>
      <c r="G18" s="34">
        <v>121</v>
      </c>
      <c r="H18" s="107">
        <f>IF(B$51=0,0,G18/B$51)</f>
        <v>1.5687799818488266E-2</v>
      </c>
      <c r="I18" s="68">
        <v>10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">
      <c r="A19" s="19" t="s">
        <v>10</v>
      </c>
      <c r="B19" s="13">
        <v>8147</v>
      </c>
      <c r="C19" s="4">
        <f>IF(B$3=0,0,B19/B$3)</f>
        <v>0.2962760928067496</v>
      </c>
      <c r="E19" s="44" t="s">
        <v>153</v>
      </c>
      <c r="F19" s="41" t="s">
        <v>154</v>
      </c>
      <c r="G19" s="34">
        <v>113</v>
      </c>
      <c r="H19" s="107">
        <f>IF(B$51=0,0,G19/B$51)</f>
        <v>1.465058991313367E-2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18.058762886597918</v>
      </c>
      <c r="P19" s="93">
        <v>194</v>
      </c>
      <c r="Q19" s="81">
        <v>3503.399999999996</v>
      </c>
    </row>
    <row r="20" spans="1:17" x14ac:dyDescent="0.4">
      <c r="A20" s="37" t="s">
        <v>13</v>
      </c>
      <c r="B20" s="34">
        <v>4514</v>
      </c>
      <c r="C20" s="31">
        <f>IF(B$3=0,0,B20/B$3)</f>
        <v>0.16415739326496473</v>
      </c>
      <c r="E20" s="44" t="s">
        <v>92</v>
      </c>
      <c r="F20" s="41" t="s">
        <v>47</v>
      </c>
      <c r="G20" s="34">
        <v>48</v>
      </c>
      <c r="H20" s="107">
        <f>IF(B$51=0,0,G20/B$51)</f>
        <v>6.2232594321275769E-3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12.905084745762711</v>
      </c>
      <c r="P20" s="93">
        <v>236</v>
      </c>
      <c r="Q20" s="81">
        <v>3045.6</v>
      </c>
    </row>
    <row r="21" spans="1:17" x14ac:dyDescent="0.4">
      <c r="A21" s="37" t="s">
        <v>12</v>
      </c>
      <c r="B21" s="34">
        <v>3571</v>
      </c>
      <c r="C21" s="31">
        <f>IF(B$19=0,0,B21/B$19)</f>
        <v>0.43832085430219714</v>
      </c>
      <c r="E21" s="44" t="s">
        <v>75</v>
      </c>
      <c r="F21" s="41" t="s">
        <v>30</v>
      </c>
      <c r="G21" s="34">
        <v>47</v>
      </c>
      <c r="H21" s="107">
        <f>IF(B$51=0,0,G21/B$51)</f>
        <v>6.0936081939582526E-3</v>
      </c>
      <c r="I21" s="68">
        <v>6</v>
      </c>
      <c r="K21" s="5">
        <v>19</v>
      </c>
      <c r="L21" s="73">
        <v>-6.1</v>
      </c>
      <c r="N21" s="89" t="s">
        <v>189</v>
      </c>
      <c r="O21" s="99">
        <f>IF(P21=0,0,Q21/P21)</f>
        <v>11.677272727272726</v>
      </c>
      <c r="P21" s="93">
        <v>66</v>
      </c>
      <c r="Q21" s="81">
        <v>770.69999999999993</v>
      </c>
    </row>
    <row r="22" spans="1:17" x14ac:dyDescent="0.4">
      <c r="A22" s="37" t="s">
        <v>11</v>
      </c>
      <c r="B22" s="34">
        <v>4576</v>
      </c>
      <c r="C22" s="31">
        <f>IF(B$19=0,0,B22/B$19)</f>
        <v>0.56167914569780286</v>
      </c>
      <c r="E22" s="44" t="s">
        <v>73</v>
      </c>
      <c r="F22" s="41" t="s">
        <v>28</v>
      </c>
      <c r="G22" s="34">
        <v>41</v>
      </c>
      <c r="H22" s="107">
        <f>IF(B$51=0,0,G22/B$51)</f>
        <v>5.3157007649423053E-3</v>
      </c>
      <c r="I22" s="68">
        <v>8</v>
      </c>
      <c r="K22" s="5">
        <v>20</v>
      </c>
      <c r="L22" s="73">
        <v>4.9000000000000004</v>
      </c>
      <c r="N22" s="89" t="s">
        <v>190</v>
      </c>
      <c r="O22" s="99">
        <f>IF(P22=0,0,Q22/P22)</f>
        <v>6.9307189542483654</v>
      </c>
      <c r="P22" s="93">
        <v>918</v>
      </c>
      <c r="Q22" s="81">
        <v>6362.4</v>
      </c>
    </row>
    <row r="23" spans="1:17" x14ac:dyDescent="0.4">
      <c r="A23" s="37" t="s">
        <v>180</v>
      </c>
      <c r="B23" s="34">
        <v>3850</v>
      </c>
      <c r="C23" s="31">
        <f>IF(B$19=0,0,B23/B$19)</f>
        <v>0.47256658892843989</v>
      </c>
      <c r="E23" s="44" t="s">
        <v>77</v>
      </c>
      <c r="F23" s="41" t="s">
        <v>32</v>
      </c>
      <c r="G23" s="34">
        <v>41</v>
      </c>
      <c r="H23" s="107">
        <f>IF(B$51=0,0,G23/B$51)</f>
        <v>5.3157007649423053E-3</v>
      </c>
      <c r="I23" s="68">
        <v>7</v>
      </c>
      <c r="K23" s="5">
        <v>21</v>
      </c>
      <c r="L23" s="73">
        <v>0</v>
      </c>
      <c r="N23" s="89" t="s">
        <v>188</v>
      </c>
      <c r="O23" s="99">
        <f>IF(P23=0,0,Q23/P23)</f>
        <v>6.4559451219512169</v>
      </c>
      <c r="P23" s="93">
        <v>656</v>
      </c>
      <c r="Q23" s="81">
        <v>4235.0999999999985</v>
      </c>
    </row>
    <row r="24" spans="1:17" x14ac:dyDescent="0.4">
      <c r="A24" s="37" t="s">
        <v>178</v>
      </c>
      <c r="B24" s="34">
        <v>2362</v>
      </c>
      <c r="C24" s="31">
        <f>IF(B$19=0,0,B24/B$19)</f>
        <v>0.28992267092181173</v>
      </c>
      <c r="E24" s="44" t="s">
        <v>85</v>
      </c>
      <c r="F24" s="41" t="s">
        <v>40</v>
      </c>
      <c r="G24" s="34">
        <v>38</v>
      </c>
      <c r="H24" s="107">
        <f>IF(B$51=0,0,G24/B$51)</f>
        <v>4.9267470504343316E-3</v>
      </c>
      <c r="I24" s="68">
        <v>4</v>
      </c>
      <c r="K24" s="5">
        <v>22</v>
      </c>
      <c r="L24" s="73">
        <v>-36</v>
      </c>
      <c r="N24" s="89" t="s">
        <v>193</v>
      </c>
      <c r="O24" s="99">
        <f>IF(P24=0,0,Q24/P24)</f>
        <v>3.4142458100558732</v>
      </c>
      <c r="P24" s="93">
        <v>1074</v>
      </c>
      <c r="Q24" s="81">
        <v>3666.9000000000078</v>
      </c>
    </row>
    <row r="25" spans="1:17" x14ac:dyDescent="0.4">
      <c r="A25" s="37" t="s">
        <v>179</v>
      </c>
      <c r="B25" s="34">
        <v>1935</v>
      </c>
      <c r="C25" s="31">
        <f>IF(B$19=0,0,B25/B$19)</f>
        <v>0.23751074014974838</v>
      </c>
      <c r="E25" s="44" t="s">
        <v>74</v>
      </c>
      <c r="F25" s="41" t="s">
        <v>29</v>
      </c>
      <c r="G25" s="34">
        <v>26</v>
      </c>
      <c r="H25" s="107">
        <f>IF(B$51=0,0,G25/B$51)</f>
        <v>3.3709321924024374E-3</v>
      </c>
      <c r="I25" s="68">
        <v>6</v>
      </c>
      <c r="K25" s="5">
        <v>23</v>
      </c>
      <c r="L25" s="73">
        <v>-3</v>
      </c>
      <c r="N25" s="89" t="s">
        <v>187</v>
      </c>
      <c r="O25" s="99">
        <f>IF(P25=0,0,Q25/P25)</f>
        <v>2.1430809399477817</v>
      </c>
      <c r="P25" s="93">
        <v>766</v>
      </c>
      <c r="Q25" s="81">
        <v>1641.6000000000008</v>
      </c>
    </row>
    <row r="26" spans="1:17" x14ac:dyDescent="0.4">
      <c r="A26" s="37" t="s">
        <v>5</v>
      </c>
      <c r="B26" s="17">
        <f>IF(B$19=0,0,C26/B$19)</f>
        <v>8930.9070823616057</v>
      </c>
      <c r="C26" s="8">
        <v>72760100</v>
      </c>
      <c r="E26" s="44" t="s">
        <v>84</v>
      </c>
      <c r="F26" s="41" t="s">
        <v>39</v>
      </c>
      <c r="G26" s="34">
        <v>19</v>
      </c>
      <c r="H26" s="107">
        <f>IF(B$51=0,0,G26/B$51)</f>
        <v>2.4633735252171658E-3</v>
      </c>
      <c r="I26" s="68">
        <v>5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">
      <c r="A27" s="38" t="s">
        <v>162</v>
      </c>
      <c r="B27" s="114">
        <f>IF($B$19-B$18=0,0,C27/($B$19-B$18))</f>
        <v>9536.802074330164</v>
      </c>
      <c r="C27" s="115">
        <v>55170400</v>
      </c>
      <c r="E27" s="44" t="s">
        <v>93</v>
      </c>
      <c r="F27" s="41" t="s">
        <v>48</v>
      </c>
      <c r="G27" s="34">
        <v>19</v>
      </c>
      <c r="H27" s="107">
        <f>IF(B$51=0,0,G27/B$51)</f>
        <v>2.4633735252171658E-3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">
      <c r="A28" s="38" t="s">
        <v>163</v>
      </c>
      <c r="B28" s="114">
        <f>IF(B$18=0,0,C28/B$18)</f>
        <v>7446.9517358171042</v>
      </c>
      <c r="C28" s="115">
        <v>17589700</v>
      </c>
      <c r="E28" s="44" t="s">
        <v>87</v>
      </c>
      <c r="F28" s="41" t="s">
        <v>42</v>
      </c>
      <c r="G28" s="34">
        <v>18</v>
      </c>
      <c r="H28" s="107">
        <f>IF(B$51=0,0,G28/B$51)</f>
        <v>2.3337222870478411E-3</v>
      </c>
      <c r="I28" s="68">
        <v>6</v>
      </c>
      <c r="K28" s="5">
        <v>26</v>
      </c>
      <c r="L28" s="73">
        <v>11.5</v>
      </c>
      <c r="N28" s="89" t="s">
        <v>191</v>
      </c>
      <c r="O28" s="99">
        <f>IF(P28=0,0,Q28/P28)</f>
        <v>-1.4549676025917928</v>
      </c>
      <c r="P28" s="93">
        <v>926</v>
      </c>
      <c r="Q28" s="81">
        <v>-1347.3000000000002</v>
      </c>
    </row>
    <row r="29" spans="1:17" x14ac:dyDescent="0.4">
      <c r="A29" s="38" t="s">
        <v>161</v>
      </c>
      <c r="B29" s="114">
        <f>IF(B$20=0,0,C29/B$20)</f>
        <v>-8336.7301727957474</v>
      </c>
      <c r="C29" s="115">
        <v>-37632000</v>
      </c>
      <c r="E29" s="44" t="s">
        <v>88</v>
      </c>
      <c r="F29" s="41" t="s">
        <v>43</v>
      </c>
      <c r="G29" s="34">
        <v>13</v>
      </c>
      <c r="H29" s="107">
        <f>IF(B$51=0,0,G29/B$51)</f>
        <v>1.6854660962012187E-3</v>
      </c>
      <c r="I29" s="68">
        <v>5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">
      <c r="A30" s="37" t="s">
        <v>155</v>
      </c>
      <c r="B30" s="34">
        <v>9</v>
      </c>
      <c r="C30" s="109">
        <v>0</v>
      </c>
      <c r="E30" s="44" t="s">
        <v>90</v>
      </c>
      <c r="F30" s="41" t="s">
        <v>45</v>
      </c>
      <c r="G30" s="34">
        <v>13</v>
      </c>
      <c r="H30" s="107">
        <f>IF(B$51=0,0,G30/B$51)</f>
        <v>1.6854660962012187E-3</v>
      </c>
      <c r="I30" s="68">
        <v>4</v>
      </c>
      <c r="K30" s="5">
        <v>28</v>
      </c>
      <c r="L30" s="73">
        <v>-31.5</v>
      </c>
      <c r="N30" s="89" t="s">
        <v>195</v>
      </c>
      <c r="O30" s="99">
        <f>IF(P30=0,0,Q30/P30)</f>
        <v>-14.237595419847326</v>
      </c>
      <c r="P30" s="93">
        <v>1572</v>
      </c>
      <c r="Q30" s="81">
        <v>-22381.499999999996</v>
      </c>
    </row>
    <row r="31" spans="1:17" x14ac:dyDescent="0.4">
      <c r="A31" s="37" t="s">
        <v>156</v>
      </c>
      <c r="B31" s="34">
        <v>38</v>
      </c>
      <c r="C31" s="109">
        <v>0</v>
      </c>
      <c r="E31" s="44" t="s">
        <v>95</v>
      </c>
      <c r="F31" s="41" t="s">
        <v>50</v>
      </c>
      <c r="G31" s="34">
        <v>9</v>
      </c>
      <c r="H31" s="107">
        <f>IF(B$51=0,0,G31/B$51)</f>
        <v>1.1668611435239206E-3</v>
      </c>
      <c r="I31" s="68">
        <v>3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4</v>
      </c>
      <c r="H32" s="107">
        <f>IF(B$51=0,0,G32/B$51)</f>
        <v>5.1860495267729804E-4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">
      <c r="A33" s="40" t="s">
        <v>177</v>
      </c>
      <c r="B33" s="141">
        <v>149100</v>
      </c>
      <c r="C33" s="142"/>
      <c r="E33" s="44" t="s">
        <v>97</v>
      </c>
      <c r="F33" s="41" t="s">
        <v>52</v>
      </c>
      <c r="G33" s="34">
        <v>3</v>
      </c>
      <c r="H33" s="107">
        <f>IF(B$51=0,0,G33/B$51)</f>
        <v>3.8895371450797355E-4</v>
      </c>
      <c r="I33" s="68">
        <v>3</v>
      </c>
      <c r="K33" s="5">
        <v>31</v>
      </c>
      <c r="L33" s="73">
        <v>18.3</v>
      </c>
    </row>
    <row r="34" spans="1:12" x14ac:dyDescent="0.4">
      <c r="A34" s="39" t="s">
        <v>135</v>
      </c>
      <c r="B34" s="27">
        <v>76</v>
      </c>
      <c r="C34" s="32">
        <f>IF(B$3=0,0,B34/B$3)</f>
        <v>2.7638373699905446E-3</v>
      </c>
      <c r="E34" s="44" t="s">
        <v>101</v>
      </c>
      <c r="F34" s="41" t="s">
        <v>56</v>
      </c>
      <c r="G34" s="34">
        <v>2</v>
      </c>
      <c r="H34" s="107">
        <f>IF(B$51=0,0,G34/B$51)</f>
        <v>2.5930247633864902E-4</v>
      </c>
      <c r="I34" s="68">
        <v>2</v>
      </c>
      <c r="K34" s="5">
        <v>32</v>
      </c>
      <c r="L34" s="73">
        <v>8.6000000000000014</v>
      </c>
    </row>
    <row r="35" spans="1:12" x14ac:dyDescent="0.4">
      <c r="E35" s="44" t="s">
        <v>76</v>
      </c>
      <c r="F35" s="41" t="s">
        <v>31</v>
      </c>
      <c r="G35" s="34">
        <v>1</v>
      </c>
      <c r="H35" s="107">
        <f>IF(B$51=0,0,G35/B$51)</f>
        <v>1.2965123816932451E-4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64" t="s">
        <v>168</v>
      </c>
      <c r="B36" s="125">
        <v>542</v>
      </c>
      <c r="C36" s="119">
        <f>IF(B$19=0,0,B36/B$19)</f>
        <v>6.6527556155640113E-2</v>
      </c>
      <c r="E36" s="44" t="s">
        <v>80</v>
      </c>
      <c r="F36" s="41" t="s">
        <v>35</v>
      </c>
      <c r="G36" s="34">
        <v>1</v>
      </c>
      <c r="H36" s="107">
        <f>IF(B$51=0,0,G36/B$51)</f>
        <v>1.2965123816932451E-4</v>
      </c>
      <c r="I36" s="68">
        <v>2</v>
      </c>
      <c r="K36" s="5">
        <v>34</v>
      </c>
      <c r="L36" s="73">
        <v>12.800000000000002</v>
      </c>
    </row>
    <row r="37" spans="1:12" x14ac:dyDescent="0.4">
      <c r="A37" s="37" t="s">
        <v>164</v>
      </c>
      <c r="B37" s="34">
        <v>1203</v>
      </c>
      <c r="C37" s="31">
        <f t="shared" ref="C37:C48" si="2">IF(B$19=0,0,B37/B$19)</f>
        <v>0.14766171596906838</v>
      </c>
      <c r="E37" s="44" t="s">
        <v>102</v>
      </c>
      <c r="F37" s="41" t="s">
        <v>57</v>
      </c>
      <c r="G37" s="34">
        <v>1</v>
      </c>
      <c r="H37" s="107">
        <f>IF(B$51=0,0,G37/B$51)</f>
        <v>1.2965123816932451E-4</v>
      </c>
      <c r="I37" s="68">
        <v>2</v>
      </c>
      <c r="K37" s="5">
        <v>35</v>
      </c>
      <c r="L37" s="73">
        <v>36.400000000000006</v>
      </c>
    </row>
    <row r="38" spans="1:12" x14ac:dyDescent="0.4">
      <c r="A38" s="37" t="s">
        <v>165</v>
      </c>
      <c r="B38" s="128">
        <v>1450</v>
      </c>
      <c r="C38" s="31">
        <f>IF(B$19=0,0,B38/B$19)</f>
        <v>0.17797962440162024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166</v>
      </c>
      <c r="B39" s="128">
        <v>1444</v>
      </c>
      <c r="C39" s="31">
        <f t="shared" si="2"/>
        <v>0.17724315699030319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167</v>
      </c>
      <c r="B40" s="128">
        <v>1198</v>
      </c>
      <c r="C40" s="31">
        <f t="shared" si="2"/>
        <v>0.14704799312630415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169</v>
      </c>
      <c r="B41" s="128">
        <v>781</v>
      </c>
      <c r="C41" s="31">
        <f t="shared" si="2"/>
        <v>9.5863508039769244E-2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170</v>
      </c>
      <c r="B42" s="128">
        <v>464</v>
      </c>
      <c r="C42" s="31">
        <f t="shared" si="2"/>
        <v>5.6953479808518476E-2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171</v>
      </c>
      <c r="B43" s="128">
        <v>252</v>
      </c>
      <c r="C43" s="31">
        <f t="shared" si="2"/>
        <v>3.0931631275316066E-2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7" t="s">
        <v>172</v>
      </c>
      <c r="B44" s="128">
        <v>145</v>
      </c>
      <c r="C44" s="31">
        <f t="shared" si="2"/>
        <v>1.7797962440162022E-2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A45" s="37" t="s">
        <v>173</v>
      </c>
      <c r="B45" s="128">
        <v>72</v>
      </c>
      <c r="C45" s="31">
        <f t="shared" si="2"/>
        <v>8.8376089358045903E-3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37" t="s">
        <v>174</v>
      </c>
      <c r="B46" s="128">
        <v>40</v>
      </c>
      <c r="C46" s="31">
        <f t="shared" si="2"/>
        <v>4.9097827421136619E-3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7" t="s">
        <v>175</v>
      </c>
      <c r="B47" s="128">
        <v>18</v>
      </c>
      <c r="C47" s="31">
        <f t="shared" si="2"/>
        <v>2.2094022339511476E-3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A48" s="39" t="s">
        <v>176</v>
      </c>
      <c r="B48" s="124">
        <v>104</v>
      </c>
      <c r="C48" s="32">
        <f t="shared" si="2"/>
        <v>1.2765435129495521E-2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">
      <c r="A50" s="64" t="s">
        <v>181</v>
      </c>
      <c r="B50" s="131">
        <v>26082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">
      <c r="A51" s="39" t="s">
        <v>182</v>
      </c>
      <c r="B51" s="139">
        <v>7713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">
      <c r="K53" s="5">
        <v>51</v>
      </c>
      <c r="L53" s="73">
        <v>7.1054273576010019E-15</v>
      </c>
    </row>
    <row r="54" spans="1:12" x14ac:dyDescent="0.4">
      <c r="K54" s="5">
        <v>52</v>
      </c>
      <c r="L54" s="73">
        <v>14.900000000000007</v>
      </c>
    </row>
    <row r="55" spans="1:12" x14ac:dyDescent="0.4">
      <c r="K55" s="5">
        <v>53</v>
      </c>
      <c r="L55" s="73">
        <v>1.2000000000000082</v>
      </c>
    </row>
    <row r="56" spans="1:12" x14ac:dyDescent="0.4">
      <c r="K56" s="5">
        <v>54</v>
      </c>
      <c r="L56" s="73">
        <v>8.2156503822261584E-15</v>
      </c>
    </row>
    <row r="57" spans="1:12" x14ac:dyDescent="0.4">
      <c r="K57" s="5">
        <v>55</v>
      </c>
      <c r="L57" s="73">
        <v>57.20000000000001</v>
      </c>
    </row>
    <row r="58" spans="1:12" x14ac:dyDescent="0.4">
      <c r="K58" s="5">
        <v>56</v>
      </c>
      <c r="L58" s="73">
        <v>18.800000000000011</v>
      </c>
    </row>
    <row r="59" spans="1:12" x14ac:dyDescent="0.4">
      <c r="K59" s="5">
        <v>57</v>
      </c>
      <c r="L59" s="73">
        <v>1.0658141036401503E-14</v>
      </c>
    </row>
    <row r="60" spans="1:12" x14ac:dyDescent="0.4">
      <c r="K60" s="5">
        <v>58</v>
      </c>
      <c r="L60" s="73">
        <v>26.20000000000001</v>
      </c>
    </row>
    <row r="61" spans="1:12" x14ac:dyDescent="0.4">
      <c r="K61" s="5">
        <v>59</v>
      </c>
      <c r="L61" s="73">
        <v>1.0000000000000107</v>
      </c>
    </row>
    <row r="62" spans="1:12" x14ac:dyDescent="0.4">
      <c r="K62" s="5">
        <v>60</v>
      </c>
      <c r="L62" s="73">
        <v>1.0658141036401503E-14</v>
      </c>
    </row>
    <row r="63" spans="1:12" x14ac:dyDescent="0.4">
      <c r="K63" s="5">
        <v>61</v>
      </c>
      <c r="L63" s="73">
        <v>56.500000000000014</v>
      </c>
    </row>
    <row r="64" spans="1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6.8000000000000869</v>
      </c>
    </row>
    <row r="2218" spans="11:12" x14ac:dyDescent="0.4">
      <c r="K2218" s="5">
        <v>2216</v>
      </c>
      <c r="L2218" s="73">
        <v>31.600000000000087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-16.099999999999916</v>
      </c>
    </row>
    <row r="2221" spans="11:12" x14ac:dyDescent="0.4">
      <c r="K2221" s="5">
        <v>2219</v>
      </c>
      <c r="L2221" s="73">
        <v>26.900000000000084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6.6000000000000867</v>
      </c>
    </row>
    <row r="2224" spans="11:12" x14ac:dyDescent="0.4">
      <c r="K2224" s="5">
        <v>2222</v>
      </c>
      <c r="L2224" s="73">
        <v>28.800000000000082</v>
      </c>
    </row>
    <row r="2225" spans="11:12" x14ac:dyDescent="0.4">
      <c r="K2225" s="5">
        <v>2223</v>
      </c>
      <c r="L2225" s="73">
        <v>8.3488771451811772E-14</v>
      </c>
    </row>
    <row r="2226" spans="11:12" x14ac:dyDescent="0.4">
      <c r="K2226" s="5">
        <v>2224</v>
      </c>
      <c r="L2226" s="73">
        <v>4.4000000000000838</v>
      </c>
    </row>
    <row r="2227" spans="11:12" x14ac:dyDescent="0.4">
      <c r="K2227" s="5">
        <v>2225</v>
      </c>
      <c r="L2227" s="73">
        <v>20.300000000000082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18.300000000000082</v>
      </c>
    </row>
    <row r="2230" spans="11:12" x14ac:dyDescent="0.4">
      <c r="K2230" s="5">
        <v>2228</v>
      </c>
      <c r="L2230" s="73">
        <v>16.700000000000081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19.200000000000081</v>
      </c>
    </row>
    <row r="2233" spans="11:12" x14ac:dyDescent="0.4">
      <c r="K2233" s="5">
        <v>2231</v>
      </c>
      <c r="L2233" s="73">
        <v>27.800000000000082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12.400000000000084</v>
      </c>
    </row>
    <row r="2236" spans="11:12" x14ac:dyDescent="0.4">
      <c r="K2236" s="5">
        <v>2234</v>
      </c>
      <c r="L2236" s="73">
        <v>13.000000000000083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61.500000000000085</v>
      </c>
    </row>
    <row r="2239" spans="11:12" x14ac:dyDescent="0.4">
      <c r="K2239" s="5">
        <v>2237</v>
      </c>
      <c r="L2239" s="73">
        <v>8.8000000000000842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-1.9999999999999165</v>
      </c>
    </row>
    <row r="2242" spans="11:12" x14ac:dyDescent="0.4">
      <c r="K2242" s="5">
        <v>2240</v>
      </c>
      <c r="L2242" s="73">
        <v>35.200000000000088</v>
      </c>
    </row>
    <row r="2243" spans="11:12" x14ac:dyDescent="0.4">
      <c r="K2243" s="5">
        <v>2241</v>
      </c>
      <c r="L2243" s="73">
        <v>8.7041485130612273E-14</v>
      </c>
    </row>
    <row r="2244" spans="11:12" x14ac:dyDescent="0.4">
      <c r="K2244" s="5">
        <v>2242</v>
      </c>
      <c r="L2244" s="73">
        <v>30.500000000000085</v>
      </c>
    </row>
    <row r="2245" spans="11:12" x14ac:dyDescent="0.4">
      <c r="K2245" s="5">
        <v>2243</v>
      </c>
      <c r="L2245" s="73">
        <v>34.900000000000084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12.200000000000086</v>
      </c>
    </row>
    <row r="2248" spans="11:12" x14ac:dyDescent="0.4">
      <c r="K2248" s="5">
        <v>2246</v>
      </c>
      <c r="L2248" s="73">
        <v>-40.599999999999909</v>
      </c>
    </row>
    <row r="2249" spans="11:12" x14ac:dyDescent="0.4">
      <c r="K2249" s="5">
        <v>2247</v>
      </c>
      <c r="L2249" s="73">
        <v>9.4146912488213275E-14</v>
      </c>
    </row>
    <row r="2250" spans="11:12" x14ac:dyDescent="0.4">
      <c r="K2250" s="5">
        <v>2248</v>
      </c>
      <c r="L2250" s="73">
        <v>32.400000000000091</v>
      </c>
    </row>
    <row r="2251" spans="11:12" x14ac:dyDescent="0.4">
      <c r="K2251" s="5">
        <v>2249</v>
      </c>
      <c r="L2251" s="73">
        <v>48.000000000000092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55.100000000000094</v>
      </c>
    </row>
    <row r="2254" spans="11:12" x14ac:dyDescent="0.4">
      <c r="K2254" s="5">
        <v>2252</v>
      </c>
      <c r="L2254" s="73">
        <v>35.100000000000094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40.900000000000091</v>
      </c>
    </row>
    <row r="2257" spans="11:12" x14ac:dyDescent="0.4">
      <c r="K2257" s="5">
        <v>2255</v>
      </c>
      <c r="L2257" s="73">
        <v>31.700000000000095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-1.3999999999999058</v>
      </c>
    </row>
    <row r="2260" spans="11:12" x14ac:dyDescent="0.4">
      <c r="K2260" s="5">
        <v>2258</v>
      </c>
      <c r="L2260" s="73">
        <v>-18.399999999999906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-8.6999999999999051</v>
      </c>
    </row>
    <row r="2263" spans="11:12" x14ac:dyDescent="0.4">
      <c r="K2263" s="5">
        <v>2261</v>
      </c>
      <c r="L2263" s="73">
        <v>-35.499999999999908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28.800000000000097</v>
      </c>
    </row>
    <row r="2266" spans="11:12" x14ac:dyDescent="0.4">
      <c r="K2266" s="5">
        <v>2264</v>
      </c>
      <c r="L2266" s="73">
        <v>41.400000000000091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12.600000000000094</v>
      </c>
    </row>
    <row r="2269" spans="11:12" x14ac:dyDescent="0.4">
      <c r="K2269" s="5">
        <v>2267</v>
      </c>
      <c r="L2269" s="73">
        <v>-28.699999999999903</v>
      </c>
    </row>
    <row r="2270" spans="11:12" x14ac:dyDescent="0.4">
      <c r="K2270" s="5">
        <v>2268</v>
      </c>
      <c r="L2270" s="73">
        <v>9.7699626167013776E-14</v>
      </c>
    </row>
    <row r="2271" spans="11:12" x14ac:dyDescent="0.4">
      <c r="K2271" s="5">
        <v>2269</v>
      </c>
      <c r="L2271" s="73">
        <v>14.900000000000098</v>
      </c>
    </row>
    <row r="2272" spans="11:12" x14ac:dyDescent="0.4">
      <c r="K2272" s="5">
        <v>2270</v>
      </c>
      <c r="L2272" s="73">
        <v>42.700000000000095</v>
      </c>
    </row>
    <row r="2273" spans="11:12" x14ac:dyDescent="0.4">
      <c r="K2273" s="5">
        <v>2271</v>
      </c>
      <c r="L2273" s="73">
        <v>9.4146912488213275E-14</v>
      </c>
    </row>
    <row r="2274" spans="11:12" x14ac:dyDescent="0.4">
      <c r="K2274" s="5">
        <v>2272</v>
      </c>
      <c r="L2274" s="73">
        <v>-23.999999999999908</v>
      </c>
    </row>
    <row r="2275" spans="11:12" x14ac:dyDescent="0.4">
      <c r="K2275" s="5">
        <v>2273</v>
      </c>
      <c r="L2275" s="73">
        <v>-25.599999999999909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4.0000000000000941</v>
      </c>
    </row>
    <row r="2278" spans="11:12" x14ac:dyDescent="0.4">
      <c r="K2278" s="5">
        <v>2276</v>
      </c>
      <c r="L2278" s="73">
        <v>-24.099999999999909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-4.4999999999999059</v>
      </c>
    </row>
    <row r="2281" spans="11:12" x14ac:dyDescent="0.4">
      <c r="K2281" s="5">
        <v>2279</v>
      </c>
      <c r="L2281" s="73">
        <v>-34.499999999999908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-30.499999999999908</v>
      </c>
    </row>
    <row r="2284" spans="11:12" x14ac:dyDescent="0.4">
      <c r="K2284" s="5">
        <v>2282</v>
      </c>
      <c r="L2284" s="73">
        <v>-33.799999999999905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-31.299999999999905</v>
      </c>
    </row>
    <row r="2287" spans="11:12" x14ac:dyDescent="0.4">
      <c r="K2287" s="5">
        <v>2285</v>
      </c>
      <c r="L2287" s="73">
        <v>-6.4999999999999059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-22.399999999999906</v>
      </c>
    </row>
    <row r="2290" spans="11:12" x14ac:dyDescent="0.4">
      <c r="K2290" s="5">
        <v>2288</v>
      </c>
      <c r="L2290" s="73">
        <v>3.1000000000000956</v>
      </c>
    </row>
    <row r="2291" spans="11:12" x14ac:dyDescent="0.4">
      <c r="K2291" s="5">
        <v>2289</v>
      </c>
      <c r="L2291" s="73">
        <v>9.5479180117763462E-14</v>
      </c>
    </row>
    <row r="2292" spans="11:12" x14ac:dyDescent="0.4">
      <c r="K2292" s="5">
        <v>2290</v>
      </c>
      <c r="L2292" s="73">
        <v>1.3000000000000955</v>
      </c>
    </row>
    <row r="2293" spans="11:12" x14ac:dyDescent="0.4">
      <c r="K2293" s="5">
        <v>2291</v>
      </c>
      <c r="L2293" s="73">
        <v>26.100000000000094</v>
      </c>
    </row>
    <row r="2294" spans="11:12" x14ac:dyDescent="0.4">
      <c r="K2294" s="5">
        <v>2292</v>
      </c>
      <c r="L2294" s="73">
        <v>9.4146912488213275E-14</v>
      </c>
    </row>
    <row r="2295" spans="11:12" x14ac:dyDescent="0.4">
      <c r="K2295" s="5">
        <v>2293</v>
      </c>
      <c r="L2295" s="73">
        <v>5.6000000000000938</v>
      </c>
    </row>
    <row r="2296" spans="11:12" x14ac:dyDescent="0.4">
      <c r="K2296" s="5">
        <v>2294</v>
      </c>
      <c r="L2296" s="73">
        <v>-19.399999999999906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14.800000000000095</v>
      </c>
    </row>
    <row r="2299" spans="11:12" x14ac:dyDescent="0.4">
      <c r="K2299" s="5">
        <v>2297</v>
      </c>
      <c r="L2299" s="73">
        <v>14.200000000000095</v>
      </c>
    </row>
    <row r="2300" spans="11:12" x14ac:dyDescent="0.4">
      <c r="K2300" s="5">
        <v>2298</v>
      </c>
      <c r="L2300" s="73">
        <v>9.5923269327613525E-14</v>
      </c>
    </row>
    <row r="2301" spans="11:12" x14ac:dyDescent="0.4">
      <c r="K2301" s="5">
        <v>2299</v>
      </c>
      <c r="L2301" s="73">
        <v>-42.299999999999905</v>
      </c>
    </row>
    <row r="2302" spans="11:12" x14ac:dyDescent="0.4">
      <c r="K2302" s="5">
        <v>2300</v>
      </c>
      <c r="L2302" s="73">
        <v>-49.099999999999902</v>
      </c>
    </row>
    <row r="2303" spans="11:12" x14ac:dyDescent="0.4">
      <c r="K2303" s="5">
        <v>2301</v>
      </c>
      <c r="L2303" s="73">
        <v>1.0125233984581428E-13</v>
      </c>
    </row>
    <row r="2304" spans="11:12" x14ac:dyDescent="0.4">
      <c r="K2304" s="5">
        <v>2302</v>
      </c>
      <c r="L2304" s="73">
        <v>11.400000000000102</v>
      </c>
    </row>
    <row r="2305" spans="11:12" x14ac:dyDescent="0.4">
      <c r="K2305" s="5">
        <v>2303</v>
      </c>
      <c r="L2305" s="73">
        <v>53.400000000000098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22.200000000000102</v>
      </c>
    </row>
    <row r="2308" spans="11:12" x14ac:dyDescent="0.4">
      <c r="K2308" s="5">
        <v>2306</v>
      </c>
      <c r="L2308" s="73">
        <v>-9.3999999999999009</v>
      </c>
    </row>
    <row r="2309" spans="11:12" x14ac:dyDescent="0.4">
      <c r="K2309" s="5">
        <v>2307</v>
      </c>
      <c r="L2309" s="73">
        <v>9.9475983006414026E-14</v>
      </c>
    </row>
    <row r="2310" spans="11:12" x14ac:dyDescent="0.4">
      <c r="K2310" s="5">
        <v>2308</v>
      </c>
      <c r="L2310" s="73">
        <v>9.1000000000000991</v>
      </c>
    </row>
    <row r="2311" spans="11:12" x14ac:dyDescent="0.4">
      <c r="K2311" s="5">
        <v>2309</v>
      </c>
      <c r="L2311" s="73">
        <v>-20.399999999999899</v>
      </c>
    </row>
    <row r="2312" spans="11:12" x14ac:dyDescent="0.4">
      <c r="K2312" s="5">
        <v>2310</v>
      </c>
      <c r="L2312" s="73">
        <v>9.7699626167013776E-14</v>
      </c>
    </row>
    <row r="2313" spans="11:12" x14ac:dyDescent="0.4">
      <c r="K2313" s="5">
        <v>2311</v>
      </c>
      <c r="L2313" s="73">
        <v>-36.099999999999909</v>
      </c>
    </row>
    <row r="2314" spans="11:12" x14ac:dyDescent="0.4">
      <c r="K2314" s="5">
        <v>2312</v>
      </c>
      <c r="L2314" s="73">
        <v>-7.2999999999999066</v>
      </c>
    </row>
    <row r="2315" spans="11:12" x14ac:dyDescent="0.4">
      <c r="K2315" s="5">
        <v>2313</v>
      </c>
      <c r="L2315" s="73">
        <v>9.3258734068513149E-14</v>
      </c>
    </row>
    <row r="2316" spans="11:12" x14ac:dyDescent="0.4">
      <c r="K2316" s="5">
        <v>2314</v>
      </c>
      <c r="L2316" s="73">
        <v>-2.9999999999999067</v>
      </c>
    </row>
    <row r="2317" spans="11:12" x14ac:dyDescent="0.4">
      <c r="K2317" s="5">
        <v>2315</v>
      </c>
      <c r="L2317" s="73">
        <v>-31.499999999999908</v>
      </c>
    </row>
    <row r="2318" spans="11:12" x14ac:dyDescent="0.4">
      <c r="K2318" s="5">
        <v>2316</v>
      </c>
      <c r="L2318" s="73">
        <v>9.4146912488213275E-14</v>
      </c>
    </row>
    <row r="2319" spans="11:12" x14ac:dyDescent="0.4">
      <c r="K2319" s="5">
        <v>2317</v>
      </c>
      <c r="L2319" s="73">
        <v>32.500000000000092</v>
      </c>
    </row>
    <row r="2320" spans="11:12" x14ac:dyDescent="0.4">
      <c r="K2320" s="5">
        <v>2318</v>
      </c>
      <c r="L2320" s="73">
        <v>21.300000000000097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-22.399999999999906</v>
      </c>
    </row>
    <row r="2323" spans="11:12" x14ac:dyDescent="0.4">
      <c r="K2323" s="5">
        <v>2321</v>
      </c>
      <c r="L2323" s="73">
        <v>-69.099999999999909</v>
      </c>
    </row>
    <row r="2324" spans="11:12" x14ac:dyDescent="0.4">
      <c r="K2324" s="5">
        <v>2322</v>
      </c>
      <c r="L2324" s="73">
        <v>8.7041485130612273E-14</v>
      </c>
    </row>
    <row r="2325" spans="11:12" x14ac:dyDescent="0.4">
      <c r="K2325" s="5">
        <v>2323</v>
      </c>
      <c r="L2325" s="73">
        <v>15.200000000000086</v>
      </c>
    </row>
    <row r="2326" spans="11:12" x14ac:dyDescent="0.4">
      <c r="K2326" s="5">
        <v>2324</v>
      </c>
      <c r="L2326" s="73">
        <v>18.30000000000009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1.6000000000000871</v>
      </c>
    </row>
    <row r="2329" spans="11:12" x14ac:dyDescent="0.4">
      <c r="K2329" s="5">
        <v>2327</v>
      </c>
      <c r="L2329" s="73">
        <v>-48.899999999999913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26.80000000000009</v>
      </c>
    </row>
    <row r="2332" spans="11:12" x14ac:dyDescent="0.4">
      <c r="K2332" s="5">
        <v>2330</v>
      </c>
      <c r="L2332" s="73">
        <v>40.100000000000087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-21.299999999999912</v>
      </c>
    </row>
    <row r="2335" spans="11:12" x14ac:dyDescent="0.4">
      <c r="K2335" s="5">
        <v>2333</v>
      </c>
      <c r="L2335" s="73">
        <v>-4.6999999999999122</v>
      </c>
    </row>
    <row r="2336" spans="11:12" x14ac:dyDescent="0.4">
      <c r="K2336" s="5">
        <v>2334</v>
      </c>
      <c r="L2336" s="73">
        <v>8.7929663550312398E-14</v>
      </c>
    </row>
    <row r="2337" spans="11:12" x14ac:dyDescent="0.4">
      <c r="K2337" s="5">
        <v>2335</v>
      </c>
      <c r="L2337" s="73">
        <v>-29.899999999999913</v>
      </c>
    </row>
    <row r="2338" spans="11:12" x14ac:dyDescent="0.4">
      <c r="K2338" s="5">
        <v>2336</v>
      </c>
      <c r="L2338" s="73">
        <v>-5.0999999999999108</v>
      </c>
    </row>
    <row r="2339" spans="11:12" x14ac:dyDescent="0.4">
      <c r="K2339" s="5">
        <v>2337</v>
      </c>
      <c r="L2339" s="73">
        <v>8.8817841970012523E-14</v>
      </c>
    </row>
    <row r="2340" spans="11:12" x14ac:dyDescent="0.4">
      <c r="K2340" s="5">
        <v>2338</v>
      </c>
      <c r="L2340" s="73">
        <v>-13.799999999999912</v>
      </c>
    </row>
    <row r="2341" spans="11:12" x14ac:dyDescent="0.4">
      <c r="K2341" s="5">
        <v>2339</v>
      </c>
      <c r="L2341" s="73">
        <v>-39.299999999999912</v>
      </c>
    </row>
    <row r="2342" spans="11:12" x14ac:dyDescent="0.4">
      <c r="K2342" s="5">
        <v>2340</v>
      </c>
      <c r="L2342" s="73">
        <v>8.7041485130612273E-14</v>
      </c>
    </row>
    <row r="2343" spans="11:12" x14ac:dyDescent="0.4">
      <c r="K2343" s="5">
        <v>2341</v>
      </c>
      <c r="L2343" s="73">
        <v>10.900000000000087</v>
      </c>
    </row>
    <row r="2344" spans="11:12" x14ac:dyDescent="0.4">
      <c r="K2344" s="5">
        <v>2342</v>
      </c>
      <c r="L2344" s="73">
        <v>55.900000000000084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6.000000000000087</v>
      </c>
    </row>
    <row r="2347" spans="11:12" x14ac:dyDescent="0.4">
      <c r="K2347" s="5">
        <v>2345</v>
      </c>
      <c r="L2347" s="73">
        <v>-23.599999999999916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-15.299999999999914</v>
      </c>
    </row>
    <row r="2350" spans="11:12" x14ac:dyDescent="0.4">
      <c r="K2350" s="5">
        <v>2348</v>
      </c>
      <c r="L2350" s="73">
        <v>1.8000000000000878</v>
      </c>
    </row>
    <row r="2351" spans="11:12" x14ac:dyDescent="0.4">
      <c r="K2351" s="5">
        <v>2349</v>
      </c>
      <c r="L2351" s="73">
        <v>8.7707618945387367E-14</v>
      </c>
    </row>
    <row r="2352" spans="11:12" x14ac:dyDescent="0.4">
      <c r="K2352" s="5">
        <v>2350</v>
      </c>
      <c r="L2352" s="73">
        <v>34.600000000000087</v>
      </c>
    </row>
    <row r="2353" spans="11:12" x14ac:dyDescent="0.4">
      <c r="K2353" s="5">
        <v>2351</v>
      </c>
      <c r="L2353" s="73">
        <v>-19.899999999999913</v>
      </c>
    </row>
    <row r="2354" spans="11:12" x14ac:dyDescent="0.4">
      <c r="K2354" s="5">
        <v>2352</v>
      </c>
      <c r="L2354" s="73">
        <v>8.7041485130612273E-14</v>
      </c>
    </row>
    <row r="2355" spans="11:12" x14ac:dyDescent="0.4">
      <c r="K2355" s="5">
        <v>2353</v>
      </c>
      <c r="L2355" s="73">
        <v>-6.499999999999913</v>
      </c>
    </row>
    <row r="2356" spans="11:12" x14ac:dyDescent="0.4">
      <c r="K2356" s="5">
        <v>2354</v>
      </c>
      <c r="L2356" s="73">
        <v>36.700000000000088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-25.299999999999912</v>
      </c>
    </row>
    <row r="2359" spans="11:12" x14ac:dyDescent="0.4">
      <c r="K2359" s="5">
        <v>2357</v>
      </c>
      <c r="L2359" s="73">
        <v>-20.599999999999916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-20.899999999999913</v>
      </c>
    </row>
    <row r="2362" spans="11:12" x14ac:dyDescent="0.4">
      <c r="K2362" s="5">
        <v>2360</v>
      </c>
      <c r="L2362" s="73">
        <v>-3.999999999999913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16.500000000000085</v>
      </c>
    </row>
    <row r="2365" spans="11:12" x14ac:dyDescent="0.4">
      <c r="K2365" s="5">
        <v>2363</v>
      </c>
      <c r="L2365" s="73">
        <v>0.60000000000008669</v>
      </c>
    </row>
    <row r="2366" spans="11:12" x14ac:dyDescent="0.4">
      <c r="K2366" s="5">
        <v>2364</v>
      </c>
      <c r="L2366" s="73">
        <v>8.6708418223224726E-14</v>
      </c>
    </row>
    <row r="2367" spans="11:12" x14ac:dyDescent="0.4">
      <c r="K2367" s="5">
        <v>2365</v>
      </c>
      <c r="L2367" s="73">
        <v>3.5000000000000866</v>
      </c>
    </row>
    <row r="2368" spans="11:12" x14ac:dyDescent="0.4">
      <c r="K2368" s="5">
        <v>2366</v>
      </c>
      <c r="L2368" s="73">
        <v>39.000000000000085</v>
      </c>
    </row>
    <row r="2369" spans="11:12" x14ac:dyDescent="0.4">
      <c r="K2369" s="5">
        <v>2367</v>
      </c>
      <c r="L2369" s="73">
        <v>8.7041485130612273E-14</v>
      </c>
    </row>
    <row r="2370" spans="11:12" x14ac:dyDescent="0.4">
      <c r="K2370" s="5">
        <v>2368</v>
      </c>
      <c r="L2370" s="73">
        <v>-32.999999999999915</v>
      </c>
    </row>
    <row r="2371" spans="11:12" x14ac:dyDescent="0.4">
      <c r="K2371" s="5">
        <v>2369</v>
      </c>
      <c r="L2371" s="73">
        <v>45.60000000000008</v>
      </c>
    </row>
    <row r="2372" spans="11:12" x14ac:dyDescent="0.4">
      <c r="K2372" s="5">
        <v>2370</v>
      </c>
      <c r="L2372" s="73">
        <v>7.9936057773011271E-14</v>
      </c>
    </row>
    <row r="2373" spans="11:12" x14ac:dyDescent="0.4">
      <c r="K2373" s="5">
        <v>2371</v>
      </c>
      <c r="L2373" s="73">
        <v>-24.099999999999923</v>
      </c>
    </row>
    <row r="2374" spans="11:12" x14ac:dyDescent="0.4">
      <c r="K2374" s="5">
        <v>2372</v>
      </c>
      <c r="L2374" s="73">
        <v>-23.799999999999919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10.300000000000081</v>
      </c>
    </row>
    <row r="2377" spans="11:12" x14ac:dyDescent="0.4">
      <c r="K2377" s="5">
        <v>2375</v>
      </c>
      <c r="L2377" s="73">
        <v>45.400000000000077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26.700000000000081</v>
      </c>
    </row>
    <row r="2380" spans="11:12" x14ac:dyDescent="0.4">
      <c r="K2380" s="5">
        <v>2378</v>
      </c>
      <c r="L2380" s="73">
        <v>22.300000000000075</v>
      </c>
    </row>
    <row r="2381" spans="11:12" x14ac:dyDescent="0.4">
      <c r="K2381" s="5">
        <v>2379</v>
      </c>
      <c r="L2381" s="73">
        <v>7.638334409421077E-14</v>
      </c>
    </row>
    <row r="2382" spans="11:12" x14ac:dyDescent="0.4">
      <c r="K2382" s="5">
        <v>2380</v>
      </c>
      <c r="L2382" s="73">
        <v>-28.89999999999992</v>
      </c>
    </row>
    <row r="2383" spans="11:12" x14ac:dyDescent="0.4">
      <c r="K2383" s="5">
        <v>2381</v>
      </c>
      <c r="L2383" s="73">
        <v>-43.099999999999923</v>
      </c>
    </row>
    <row r="2384" spans="11:12" x14ac:dyDescent="0.4">
      <c r="K2384" s="5">
        <v>2382</v>
      </c>
      <c r="L2384" s="73">
        <v>7.9936057773011271E-14</v>
      </c>
    </row>
    <row r="2385" spans="11:12" x14ac:dyDescent="0.4">
      <c r="K2385" s="5">
        <v>2383</v>
      </c>
      <c r="L2385" s="73">
        <v>21.500000000000078</v>
      </c>
    </row>
    <row r="2386" spans="11:12" x14ac:dyDescent="0.4">
      <c r="K2386" s="5">
        <v>2384</v>
      </c>
      <c r="L2386" s="73">
        <v>24.000000000000078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-25.099999999999923</v>
      </c>
    </row>
    <row r="2389" spans="11:12" x14ac:dyDescent="0.4">
      <c r="K2389" s="5">
        <v>2387</v>
      </c>
      <c r="L2389" s="73">
        <v>5.0000000000000799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3.0000000000000799</v>
      </c>
    </row>
    <row r="2392" spans="11:12" x14ac:dyDescent="0.4">
      <c r="K2392" s="5">
        <v>2390</v>
      </c>
      <c r="L2392" s="73">
        <v>37.10000000000008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-1.89999999999992</v>
      </c>
    </row>
    <row r="2395" spans="11:12" x14ac:dyDescent="0.4">
      <c r="K2395" s="5">
        <v>2393</v>
      </c>
      <c r="L2395" s="73">
        <v>-27.699999999999918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35.900000000000077</v>
      </c>
    </row>
    <row r="2398" spans="11:12" x14ac:dyDescent="0.4">
      <c r="K2398" s="5">
        <v>2396</v>
      </c>
      <c r="L2398" s="73">
        <v>45.200000000000074</v>
      </c>
    </row>
    <row r="2399" spans="11:12" x14ac:dyDescent="0.4">
      <c r="K2399" s="5">
        <v>2397</v>
      </c>
      <c r="L2399" s="73">
        <v>7.2830630415410269E-14</v>
      </c>
    </row>
    <row r="2400" spans="11:12" x14ac:dyDescent="0.4">
      <c r="K2400" s="5">
        <v>2398</v>
      </c>
      <c r="L2400" s="73">
        <v>37.40000000000007</v>
      </c>
    </row>
    <row r="2401" spans="11:12" x14ac:dyDescent="0.4">
      <c r="K2401" s="5">
        <v>2399</v>
      </c>
      <c r="L2401" s="73">
        <v>59.100000000000065</v>
      </c>
    </row>
    <row r="2402" spans="11:12" x14ac:dyDescent="0.4">
      <c r="K2402" s="5">
        <v>2400</v>
      </c>
      <c r="L2402" s="73">
        <v>6.5725203057809267E-14</v>
      </c>
    </row>
    <row r="2403" spans="11:12" x14ac:dyDescent="0.4">
      <c r="K2403" s="5">
        <v>2401</v>
      </c>
      <c r="L2403" s="73">
        <v>-3.4999999999999343</v>
      </c>
    </row>
    <row r="2404" spans="11:12" x14ac:dyDescent="0.4">
      <c r="K2404" s="5">
        <v>2402</v>
      </c>
      <c r="L2404" s="73">
        <v>16.000000000000064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28.100000000000065</v>
      </c>
    </row>
    <row r="2407" spans="11:12" x14ac:dyDescent="0.4">
      <c r="K2407" s="5">
        <v>2405</v>
      </c>
      <c r="L2407" s="73">
        <v>41.700000000000067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51.900000000000063</v>
      </c>
    </row>
    <row r="2410" spans="11:12" x14ac:dyDescent="0.4">
      <c r="K2410" s="5">
        <v>2408</v>
      </c>
      <c r="L2410" s="73">
        <v>2.4000000000000643</v>
      </c>
    </row>
    <row r="2411" spans="11:12" x14ac:dyDescent="0.4">
      <c r="K2411" s="5">
        <v>2409</v>
      </c>
      <c r="L2411" s="73">
        <v>6.4392935428259079E-14</v>
      </c>
    </row>
    <row r="2412" spans="11:12" x14ac:dyDescent="0.4">
      <c r="K2412" s="5">
        <v>2410</v>
      </c>
      <c r="L2412" s="73">
        <v>-17.099999999999937</v>
      </c>
    </row>
    <row r="2413" spans="11:12" x14ac:dyDescent="0.4">
      <c r="K2413" s="5">
        <v>2411</v>
      </c>
      <c r="L2413" s="73">
        <v>-21.899999999999935</v>
      </c>
    </row>
    <row r="2414" spans="11:12" x14ac:dyDescent="0.4">
      <c r="K2414" s="5">
        <v>2412</v>
      </c>
      <c r="L2414" s="73">
        <v>6.2172489379008766E-14</v>
      </c>
    </row>
    <row r="2415" spans="11:12" x14ac:dyDescent="0.4">
      <c r="K2415" s="5">
        <v>2413</v>
      </c>
      <c r="L2415" s="73">
        <v>-46.099999999999937</v>
      </c>
    </row>
    <row r="2416" spans="11:12" x14ac:dyDescent="0.4">
      <c r="K2416" s="5">
        <v>2414</v>
      </c>
      <c r="L2416" s="73">
        <v>-41.899999999999935</v>
      </c>
    </row>
    <row r="2417" spans="11:12" x14ac:dyDescent="0.4">
      <c r="K2417" s="5">
        <v>2415</v>
      </c>
      <c r="L2417" s="73">
        <v>6.5725203057809267E-14</v>
      </c>
    </row>
    <row r="2418" spans="11:12" x14ac:dyDescent="0.4">
      <c r="K2418" s="5">
        <v>2416</v>
      </c>
      <c r="L2418" s="73">
        <v>-30.299999999999933</v>
      </c>
    </row>
    <row r="2419" spans="11:12" x14ac:dyDescent="0.4">
      <c r="K2419" s="5">
        <v>2417</v>
      </c>
      <c r="L2419" s="73">
        <v>16.500000000000064</v>
      </c>
    </row>
    <row r="2420" spans="11:12" x14ac:dyDescent="0.4">
      <c r="K2420" s="5">
        <v>2418</v>
      </c>
      <c r="L2420" s="73">
        <v>6.2172489379008766E-14</v>
      </c>
    </row>
    <row r="2421" spans="11:12" x14ac:dyDescent="0.4">
      <c r="K2421" s="5">
        <v>2419</v>
      </c>
      <c r="L2421" s="73">
        <v>-36.599999999999937</v>
      </c>
    </row>
    <row r="2422" spans="11:12" x14ac:dyDescent="0.4">
      <c r="K2422" s="5">
        <v>2420</v>
      </c>
      <c r="L2422" s="73">
        <v>-48.999999999999936</v>
      </c>
    </row>
    <row r="2423" spans="11:12" x14ac:dyDescent="0.4">
      <c r="K2423" s="5">
        <v>2421</v>
      </c>
      <c r="L2423" s="73">
        <v>6.5725203057809267E-14</v>
      </c>
    </row>
    <row r="2424" spans="11:12" x14ac:dyDescent="0.4">
      <c r="K2424" s="5">
        <v>2422</v>
      </c>
      <c r="L2424" s="73">
        <v>-48.599999999999937</v>
      </c>
    </row>
    <row r="2425" spans="11:12" x14ac:dyDescent="0.4">
      <c r="K2425" s="5">
        <v>2423</v>
      </c>
      <c r="L2425" s="73">
        <v>-44.399999999999935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-9.5999999999999339</v>
      </c>
    </row>
    <row r="2428" spans="11:12" x14ac:dyDescent="0.4">
      <c r="K2428" s="5">
        <v>2426</v>
      </c>
      <c r="L2428" s="73">
        <v>40.20000000000006</v>
      </c>
    </row>
    <row r="2429" spans="11:12" x14ac:dyDescent="0.4">
      <c r="K2429" s="5">
        <v>2427</v>
      </c>
      <c r="L2429" s="73">
        <v>5.8619775700208265E-14</v>
      </c>
    </row>
    <row r="2430" spans="11:12" x14ac:dyDescent="0.4">
      <c r="K2430" s="5">
        <v>2428</v>
      </c>
      <c r="L2430" s="73">
        <v>-48.79999999999994</v>
      </c>
    </row>
    <row r="2431" spans="11:12" x14ac:dyDescent="0.4">
      <c r="K2431" s="5">
        <v>2429</v>
      </c>
      <c r="L2431" s="73">
        <v>-49.999999999999943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-11.399999999999942</v>
      </c>
    </row>
    <row r="2434" spans="11:12" x14ac:dyDescent="0.4">
      <c r="K2434" s="5">
        <v>2432</v>
      </c>
      <c r="L2434" s="73">
        <v>33.70000000000006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124.10000000000005</v>
      </c>
    </row>
    <row r="2437" spans="11:12" x14ac:dyDescent="0.4">
      <c r="K2437" s="5">
        <v>2435</v>
      </c>
      <c r="L2437" s="73">
        <v>132.90000000000006</v>
      </c>
    </row>
    <row r="2438" spans="11:12" x14ac:dyDescent="0.4">
      <c r="K2438" s="5">
        <v>2436</v>
      </c>
      <c r="L2438" s="73">
        <v>4.4408920985006262E-14</v>
      </c>
    </row>
    <row r="2439" spans="11:12" x14ac:dyDescent="0.4">
      <c r="K2439" s="5">
        <v>2437</v>
      </c>
      <c r="L2439" s="73">
        <v>22.400000000000041</v>
      </c>
    </row>
    <row r="2440" spans="11:12" x14ac:dyDescent="0.4">
      <c r="K2440" s="5">
        <v>2438</v>
      </c>
      <c r="L2440" s="73">
        <v>29.400000000000041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13.600000000000044</v>
      </c>
    </row>
    <row r="2443" spans="11:12" x14ac:dyDescent="0.4">
      <c r="K2443" s="5">
        <v>2441</v>
      </c>
      <c r="L2443" s="73">
        <v>-0.49999999999995559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-48.19999999999996</v>
      </c>
    </row>
    <row r="2446" spans="11:12" x14ac:dyDescent="0.4">
      <c r="K2446" s="5">
        <v>2444</v>
      </c>
      <c r="L2446" s="73">
        <v>-70.599999999999952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44.500000000000043</v>
      </c>
    </row>
    <row r="2449" spans="11:12" x14ac:dyDescent="0.4">
      <c r="K2449" s="5">
        <v>2447</v>
      </c>
      <c r="L2449" s="73">
        <v>31.000000000000043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17.000000000000043</v>
      </c>
    </row>
    <row r="2452" spans="11:12" x14ac:dyDescent="0.4">
      <c r="K2452" s="5">
        <v>2450</v>
      </c>
      <c r="L2452" s="73">
        <v>-6.599999999999957</v>
      </c>
    </row>
    <row r="2453" spans="11:12" x14ac:dyDescent="0.4">
      <c r="K2453" s="5">
        <v>2451</v>
      </c>
      <c r="L2453" s="73">
        <v>4.2632564145606011E-14</v>
      </c>
    </row>
    <row r="2454" spans="11:12" x14ac:dyDescent="0.4">
      <c r="K2454" s="5">
        <v>2452</v>
      </c>
      <c r="L2454" s="73">
        <v>3.2000000000000428</v>
      </c>
    </row>
    <row r="2455" spans="11:12" x14ac:dyDescent="0.4">
      <c r="K2455" s="5">
        <v>2453</v>
      </c>
      <c r="L2455" s="73">
        <v>-26.399999999999956</v>
      </c>
    </row>
    <row r="2456" spans="11:12" x14ac:dyDescent="0.4">
      <c r="K2456" s="5">
        <v>2454</v>
      </c>
      <c r="L2456" s="73">
        <v>4.0856207306205761E-14</v>
      </c>
    </row>
    <row r="2457" spans="11:12" x14ac:dyDescent="0.4">
      <c r="K2457" s="5">
        <v>2455</v>
      </c>
      <c r="L2457" s="73">
        <v>-52.299999999999955</v>
      </c>
    </row>
    <row r="2458" spans="11:12" x14ac:dyDescent="0.4">
      <c r="K2458" s="5">
        <v>2456</v>
      </c>
      <c r="L2458" s="73">
        <v>-11.499999999999956</v>
      </c>
    </row>
    <row r="2459" spans="11:12" x14ac:dyDescent="0.4">
      <c r="K2459" s="5">
        <v>2457</v>
      </c>
      <c r="L2459" s="73">
        <v>4.4408920985006262E-14</v>
      </c>
    </row>
    <row r="2460" spans="11:12" x14ac:dyDescent="0.4">
      <c r="K2460" s="5">
        <v>2458</v>
      </c>
      <c r="L2460" s="73">
        <v>-22.799999999999955</v>
      </c>
    </row>
    <row r="2461" spans="11:12" x14ac:dyDescent="0.4">
      <c r="K2461" s="5">
        <v>2459</v>
      </c>
      <c r="L2461" s="73">
        <v>-70.599999999999952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5.8000000000000442</v>
      </c>
    </row>
    <row r="2464" spans="11:12" x14ac:dyDescent="0.4">
      <c r="K2464" s="5">
        <v>2462</v>
      </c>
      <c r="L2464" s="73">
        <v>-16.299999999999955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-41.099999999999959</v>
      </c>
    </row>
    <row r="2467" spans="11:12" x14ac:dyDescent="0.4">
      <c r="K2467" s="5">
        <v>2465</v>
      </c>
      <c r="L2467" s="73">
        <v>5.8000000000000416</v>
      </c>
    </row>
    <row r="2468" spans="11:12" x14ac:dyDescent="0.4">
      <c r="K2468" s="5">
        <v>2466</v>
      </c>
      <c r="L2468" s="73">
        <v>4.1744385725905886E-14</v>
      </c>
    </row>
    <row r="2469" spans="11:12" x14ac:dyDescent="0.4">
      <c r="K2469" s="5">
        <v>2467</v>
      </c>
      <c r="L2469" s="73">
        <v>-56.399999999999956</v>
      </c>
    </row>
    <row r="2470" spans="11:12" x14ac:dyDescent="0.4">
      <c r="K2470" s="5">
        <v>2468</v>
      </c>
      <c r="L2470" s="73">
        <v>-7.3999999999999542</v>
      </c>
    </row>
    <row r="2471" spans="11:12" x14ac:dyDescent="0.4">
      <c r="K2471" s="5">
        <v>2469</v>
      </c>
      <c r="L2471" s="73">
        <v>4.6185277824406512E-14</v>
      </c>
    </row>
    <row r="2472" spans="11:12" x14ac:dyDescent="0.4">
      <c r="K2472" s="5">
        <v>2470</v>
      </c>
      <c r="L2472" s="73">
        <v>36.200000000000045</v>
      </c>
    </row>
    <row r="2473" spans="11:12" x14ac:dyDescent="0.4">
      <c r="K2473" s="5">
        <v>2471</v>
      </c>
      <c r="L2473" s="73">
        <v>43.300000000000047</v>
      </c>
    </row>
    <row r="2474" spans="11:12" x14ac:dyDescent="0.4">
      <c r="K2474" s="5">
        <v>2472</v>
      </c>
      <c r="L2474" s="73">
        <v>5.1514348342607263E-14</v>
      </c>
    </row>
    <row r="2475" spans="11:12" x14ac:dyDescent="0.4">
      <c r="K2475" s="5">
        <v>2473</v>
      </c>
      <c r="L2475" s="73">
        <v>-26.399999999999949</v>
      </c>
    </row>
    <row r="2476" spans="11:12" x14ac:dyDescent="0.4">
      <c r="K2476" s="5">
        <v>2474</v>
      </c>
      <c r="L2476" s="73">
        <v>-24.99999999999995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-13.099999999999948</v>
      </c>
    </row>
    <row r="2479" spans="11:12" x14ac:dyDescent="0.4">
      <c r="K2479" s="5">
        <v>2477</v>
      </c>
      <c r="L2479" s="73">
        <v>36.100000000000051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-3.8999999999999484</v>
      </c>
    </row>
    <row r="2482" spans="11:12" x14ac:dyDescent="0.4">
      <c r="K2482" s="5">
        <v>2480</v>
      </c>
      <c r="L2482" s="73">
        <v>-19.199999999999946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-48.99999999999995</v>
      </c>
    </row>
    <row r="2485" spans="11:12" x14ac:dyDescent="0.4">
      <c r="K2485" s="5">
        <v>2483</v>
      </c>
      <c r="L2485" s="73">
        <v>13.000000000000052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-19.49999999999995</v>
      </c>
    </row>
    <row r="2488" spans="11:12" x14ac:dyDescent="0.4">
      <c r="K2488" s="5">
        <v>2486</v>
      </c>
      <c r="L2488" s="73">
        <v>-16.799999999999947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37.800000000000047</v>
      </c>
    </row>
    <row r="2491" spans="11:12" x14ac:dyDescent="0.4">
      <c r="K2491" s="5">
        <v>2489</v>
      </c>
      <c r="L2491" s="73">
        <v>-7.6999999999999513</v>
      </c>
    </row>
    <row r="2492" spans="11:12" x14ac:dyDescent="0.4">
      <c r="K2492" s="5">
        <v>2490</v>
      </c>
      <c r="L2492" s="73">
        <v>4.8849813083506888E-14</v>
      </c>
    </row>
    <row r="2493" spans="11:12" x14ac:dyDescent="0.4">
      <c r="K2493" s="5">
        <v>2491</v>
      </c>
      <c r="L2493" s="73">
        <v>-18.399999999999949</v>
      </c>
    </row>
    <row r="2494" spans="11:12" x14ac:dyDescent="0.4">
      <c r="K2494" s="5">
        <v>2492</v>
      </c>
      <c r="L2494" s="73">
        <v>-59.199999999999946</v>
      </c>
    </row>
    <row r="2495" spans="11:12" x14ac:dyDescent="0.4">
      <c r="K2495" s="5">
        <v>2493</v>
      </c>
      <c r="L2495" s="73">
        <v>5.8619775700208265E-14</v>
      </c>
    </row>
    <row r="2496" spans="11:12" x14ac:dyDescent="0.4">
      <c r="K2496" s="5">
        <v>2494</v>
      </c>
      <c r="L2496" s="73">
        <v>1.1000000000000587</v>
      </c>
    </row>
    <row r="2497" spans="11:12" x14ac:dyDescent="0.4">
      <c r="K2497" s="5">
        <v>2495</v>
      </c>
      <c r="L2497" s="73">
        <v>44.800000000000061</v>
      </c>
    </row>
    <row r="2498" spans="11:12" x14ac:dyDescent="0.4">
      <c r="K2498" s="5">
        <v>2496</v>
      </c>
      <c r="L2498" s="73">
        <v>6.5725203057809267E-14</v>
      </c>
    </row>
    <row r="2499" spans="11:12" x14ac:dyDescent="0.4">
      <c r="K2499" s="5">
        <v>2497</v>
      </c>
      <c r="L2499" s="73">
        <v>1.1000000000000658</v>
      </c>
    </row>
    <row r="2500" spans="11:12" x14ac:dyDescent="0.4">
      <c r="K2500" s="5">
        <v>2498</v>
      </c>
      <c r="L2500" s="73">
        <v>25.100000000000065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-9.999999999993428E-2</v>
      </c>
    </row>
    <row r="2503" spans="11:12" x14ac:dyDescent="0.4">
      <c r="K2503" s="5">
        <v>2501</v>
      </c>
      <c r="L2503" s="73">
        <v>-35.79999999999994</v>
      </c>
    </row>
    <row r="2504" spans="11:12" x14ac:dyDescent="0.4">
      <c r="K2504" s="5">
        <v>2502</v>
      </c>
      <c r="L2504" s="73">
        <v>5.8619775700208265E-14</v>
      </c>
    </row>
    <row r="2505" spans="11:12" x14ac:dyDescent="0.4">
      <c r="K2505" s="5">
        <v>2503</v>
      </c>
      <c r="L2505" s="73">
        <v>-22.499999999999943</v>
      </c>
    </row>
    <row r="2506" spans="11:12" x14ac:dyDescent="0.4">
      <c r="K2506" s="5">
        <v>2504</v>
      </c>
      <c r="L2506" s="73">
        <v>-30.399999999999942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-87.399999999999949</v>
      </c>
    </row>
    <row r="2509" spans="11:12" x14ac:dyDescent="0.4">
      <c r="K2509" s="5">
        <v>2507</v>
      </c>
      <c r="L2509" s="73">
        <v>9.7000000000000473</v>
      </c>
    </row>
    <row r="2510" spans="11:12" x14ac:dyDescent="0.4">
      <c r="K2510" s="5">
        <v>2508</v>
      </c>
      <c r="L2510" s="73">
        <v>4.7961634663806763E-14</v>
      </c>
    </row>
    <row r="2511" spans="11:12" x14ac:dyDescent="0.4">
      <c r="K2511" s="5">
        <v>2509</v>
      </c>
      <c r="L2511" s="73">
        <v>25.900000000000048</v>
      </c>
    </row>
    <row r="2512" spans="11:12" x14ac:dyDescent="0.4">
      <c r="K2512" s="5">
        <v>2510</v>
      </c>
      <c r="L2512" s="73">
        <v>2.8000000000000451</v>
      </c>
    </row>
    <row r="2513" spans="11:12" x14ac:dyDescent="0.4">
      <c r="K2513" s="5">
        <v>2511</v>
      </c>
      <c r="L2513" s="73">
        <v>4.5297099404706387E-14</v>
      </c>
    </row>
    <row r="2514" spans="11:12" x14ac:dyDescent="0.4">
      <c r="K2514" s="5">
        <v>2512</v>
      </c>
      <c r="L2514" s="73">
        <v>-12.899999999999954</v>
      </c>
    </row>
    <row r="2515" spans="11:12" x14ac:dyDescent="0.4">
      <c r="K2515" s="5">
        <v>2513</v>
      </c>
      <c r="L2515" s="73">
        <v>32.300000000000047</v>
      </c>
    </row>
    <row r="2516" spans="11:12" x14ac:dyDescent="0.4">
      <c r="K2516" s="5">
        <v>2514</v>
      </c>
      <c r="L2516" s="73">
        <v>5.1514348342607263E-14</v>
      </c>
    </row>
    <row r="2517" spans="11:12" x14ac:dyDescent="0.4">
      <c r="K2517" s="5">
        <v>2515</v>
      </c>
      <c r="L2517" s="73">
        <v>36.00000000000005</v>
      </c>
    </row>
    <row r="2518" spans="11:12" x14ac:dyDescent="0.4">
      <c r="K2518" s="5">
        <v>2516</v>
      </c>
      <c r="L2518" s="73">
        <v>-12.799999999999946</v>
      </c>
    </row>
    <row r="2519" spans="11:12" x14ac:dyDescent="0.4">
      <c r="K2519" s="5">
        <v>2517</v>
      </c>
      <c r="L2519" s="73">
        <v>5.5067062021407764E-14</v>
      </c>
    </row>
    <row r="2520" spans="11:12" x14ac:dyDescent="0.4">
      <c r="K2520" s="5">
        <v>2518</v>
      </c>
      <c r="L2520" s="73">
        <v>20.400000000000055</v>
      </c>
    </row>
    <row r="2521" spans="11:12" x14ac:dyDescent="0.4">
      <c r="K2521" s="5">
        <v>2519</v>
      </c>
      <c r="L2521" s="73">
        <v>-30.699999999999946</v>
      </c>
    </row>
    <row r="2522" spans="11:12" x14ac:dyDescent="0.4">
      <c r="K2522" s="5">
        <v>2520</v>
      </c>
      <c r="L2522" s="73">
        <v>5.1514348342607263E-14</v>
      </c>
    </row>
    <row r="2523" spans="11:12" x14ac:dyDescent="0.4">
      <c r="K2523" s="5">
        <v>2521</v>
      </c>
      <c r="L2523" s="73">
        <v>-60.299999999999947</v>
      </c>
    </row>
    <row r="2524" spans="11:12" x14ac:dyDescent="0.4">
      <c r="K2524" s="5">
        <v>2522</v>
      </c>
      <c r="L2524" s="73">
        <v>-0.29999999999994564</v>
      </c>
    </row>
    <row r="2525" spans="11:12" x14ac:dyDescent="0.4">
      <c r="K2525" s="5">
        <v>2523</v>
      </c>
      <c r="L2525" s="73">
        <v>5.4345417055401413E-14</v>
      </c>
    </row>
    <row r="2526" spans="11:12" x14ac:dyDescent="0.4">
      <c r="K2526" s="5">
        <v>2524</v>
      </c>
      <c r="L2526" s="73">
        <v>-45.599999999999952</v>
      </c>
    </row>
    <row r="2527" spans="11:12" x14ac:dyDescent="0.4">
      <c r="K2527" s="5">
        <v>2525</v>
      </c>
      <c r="L2527" s="73">
        <v>9.6000000000000529</v>
      </c>
    </row>
    <row r="2528" spans="11:12" x14ac:dyDescent="0.4">
      <c r="K2528" s="5">
        <v>2526</v>
      </c>
      <c r="L2528" s="73">
        <v>5.3290705182007514E-14</v>
      </c>
    </row>
    <row r="2529" spans="11:12" x14ac:dyDescent="0.4">
      <c r="K2529" s="5">
        <v>2527</v>
      </c>
      <c r="L2529" s="73">
        <v>28.900000000000048</v>
      </c>
    </row>
    <row r="2530" spans="11:12" x14ac:dyDescent="0.4">
      <c r="K2530" s="5">
        <v>2528</v>
      </c>
      <c r="L2530" s="73">
        <v>27.900000000000048</v>
      </c>
    </row>
    <row r="2531" spans="11:12" x14ac:dyDescent="0.4">
      <c r="K2531" s="5">
        <v>2529</v>
      </c>
      <c r="L2531" s="73">
        <v>5.1514348342607263E-14</v>
      </c>
    </row>
    <row r="2532" spans="11:12" x14ac:dyDescent="0.4">
      <c r="K2532" s="5">
        <v>2530</v>
      </c>
      <c r="L2532" s="73">
        <v>-31.49999999999995</v>
      </c>
    </row>
    <row r="2533" spans="11:12" x14ac:dyDescent="0.4">
      <c r="K2533" s="5">
        <v>2531</v>
      </c>
      <c r="L2533" s="73">
        <v>-38.399999999999949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33.50000000000005</v>
      </c>
    </row>
    <row r="2536" spans="11:12" x14ac:dyDescent="0.4">
      <c r="K2536" s="5">
        <v>2534</v>
      </c>
      <c r="L2536" s="73">
        <v>0.70000000000005436</v>
      </c>
    </row>
    <row r="2537" spans="11:12" x14ac:dyDescent="0.4">
      <c r="K2537" s="5">
        <v>2535</v>
      </c>
      <c r="L2537" s="73">
        <v>5.440092820663267E-14</v>
      </c>
    </row>
    <row r="2538" spans="11:12" x14ac:dyDescent="0.4">
      <c r="K2538" s="5">
        <v>2536</v>
      </c>
      <c r="L2538" s="73">
        <v>12.000000000000055</v>
      </c>
    </row>
    <row r="2539" spans="11:12" x14ac:dyDescent="0.4">
      <c r="K2539" s="5">
        <v>2537</v>
      </c>
      <c r="L2539" s="73">
        <v>38.300000000000054</v>
      </c>
    </row>
    <row r="2540" spans="11:12" x14ac:dyDescent="0.4">
      <c r="K2540" s="5">
        <v>2538</v>
      </c>
      <c r="L2540" s="73">
        <v>5.8619775700208265E-14</v>
      </c>
    </row>
    <row r="2541" spans="11:12" x14ac:dyDescent="0.4">
      <c r="K2541" s="5">
        <v>2539</v>
      </c>
      <c r="L2541" s="73">
        <v>7.400000000000059</v>
      </c>
    </row>
    <row r="2542" spans="11:12" x14ac:dyDescent="0.4">
      <c r="K2542" s="5">
        <v>2540</v>
      </c>
      <c r="L2542" s="73">
        <v>26.800000000000054</v>
      </c>
    </row>
    <row r="2543" spans="11:12" x14ac:dyDescent="0.4">
      <c r="K2543" s="5">
        <v>2541</v>
      </c>
      <c r="L2543" s="73">
        <v>5.5067062021407764E-14</v>
      </c>
    </row>
    <row r="2544" spans="11:12" x14ac:dyDescent="0.4">
      <c r="K2544" s="5">
        <v>2542</v>
      </c>
      <c r="L2544" s="73">
        <v>-26.799999999999947</v>
      </c>
    </row>
    <row r="2545" spans="11:12" x14ac:dyDescent="0.4">
      <c r="K2545" s="5">
        <v>2543</v>
      </c>
      <c r="L2545" s="73">
        <v>-5.2999999999999456</v>
      </c>
    </row>
    <row r="2546" spans="11:12" x14ac:dyDescent="0.4">
      <c r="K2546" s="5">
        <v>2544</v>
      </c>
      <c r="L2546" s="73">
        <v>5.4178883601707639E-14</v>
      </c>
    </row>
    <row r="2547" spans="11:12" x14ac:dyDescent="0.4">
      <c r="K2547" s="5">
        <v>2545</v>
      </c>
      <c r="L2547" s="73">
        <v>-20.199999999999946</v>
      </c>
    </row>
    <row r="2548" spans="11:12" x14ac:dyDescent="0.4">
      <c r="K2548" s="5">
        <v>2546</v>
      </c>
      <c r="L2548" s="73">
        <v>-28.899999999999942</v>
      </c>
    </row>
    <row r="2549" spans="11:12" x14ac:dyDescent="0.4">
      <c r="K2549" s="5">
        <v>2547</v>
      </c>
      <c r="L2549" s="73">
        <v>5.5067062021407764E-14</v>
      </c>
    </row>
    <row r="2550" spans="11:12" x14ac:dyDescent="0.4">
      <c r="K2550" s="5">
        <v>2548</v>
      </c>
      <c r="L2550" s="73">
        <v>-22.599999999999945</v>
      </c>
    </row>
    <row r="2551" spans="11:12" x14ac:dyDescent="0.4">
      <c r="K2551" s="5">
        <v>2549</v>
      </c>
      <c r="L2551" s="73">
        <v>-19.999999999999943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42.300000000000054</v>
      </c>
    </row>
    <row r="2554" spans="11:12" x14ac:dyDescent="0.4">
      <c r="K2554" s="5">
        <v>2552</v>
      </c>
      <c r="L2554" s="73">
        <v>47.000000000000057</v>
      </c>
    </row>
    <row r="2555" spans="11:12" x14ac:dyDescent="0.4">
      <c r="K2555" s="5">
        <v>2553</v>
      </c>
      <c r="L2555" s="73">
        <v>5.8619775700208265E-14</v>
      </c>
    </row>
    <row r="2556" spans="11:12" x14ac:dyDescent="0.4">
      <c r="K2556" s="5">
        <v>2554</v>
      </c>
      <c r="L2556" s="73">
        <v>-21.599999999999945</v>
      </c>
    </row>
    <row r="2557" spans="11:12" x14ac:dyDescent="0.4">
      <c r="K2557" s="5">
        <v>2555</v>
      </c>
      <c r="L2557" s="73">
        <v>0.60000000000005649</v>
      </c>
    </row>
    <row r="2558" spans="11:12" x14ac:dyDescent="0.4">
      <c r="K2558" s="5">
        <v>2556</v>
      </c>
      <c r="L2558" s="73">
        <v>5.6510351953420468E-14</v>
      </c>
    </row>
    <row r="2559" spans="11:12" x14ac:dyDescent="0.4">
      <c r="K2559" s="5">
        <v>2557</v>
      </c>
      <c r="L2559" s="73">
        <v>1.1000000000000565</v>
      </c>
    </row>
    <row r="2560" spans="11:12" x14ac:dyDescent="0.4">
      <c r="K2560" s="5">
        <v>2558</v>
      </c>
      <c r="L2560" s="73">
        <v>-47.399999999999949</v>
      </c>
    </row>
    <row r="2561" spans="11:12" x14ac:dyDescent="0.4">
      <c r="K2561" s="5">
        <v>2559</v>
      </c>
      <c r="L2561" s="73">
        <v>5.1514348342607263E-14</v>
      </c>
    </row>
    <row r="2562" spans="11:12" x14ac:dyDescent="0.4">
      <c r="K2562" s="5">
        <v>2560</v>
      </c>
      <c r="L2562" s="73">
        <v>-55.49999999999995</v>
      </c>
    </row>
    <row r="2563" spans="11:12" x14ac:dyDescent="0.4">
      <c r="K2563" s="5">
        <v>2561</v>
      </c>
      <c r="L2563" s="73">
        <v>-66.199999999999946</v>
      </c>
    </row>
    <row r="2564" spans="11:12" x14ac:dyDescent="0.4">
      <c r="K2564" s="5">
        <v>2562</v>
      </c>
      <c r="L2564" s="73">
        <v>5.8619775700208265E-14</v>
      </c>
    </row>
    <row r="2565" spans="11:12" x14ac:dyDescent="0.4">
      <c r="K2565" s="5">
        <v>2563</v>
      </c>
      <c r="L2565" s="73">
        <v>54.20000000000006</v>
      </c>
    </row>
    <row r="2566" spans="11:12" x14ac:dyDescent="0.4">
      <c r="K2566" s="5">
        <v>2564</v>
      </c>
      <c r="L2566" s="73">
        <v>48.70000000000006</v>
      </c>
    </row>
    <row r="2567" spans="11:12" x14ac:dyDescent="0.4">
      <c r="K2567" s="5">
        <v>2565</v>
      </c>
      <c r="L2567" s="73">
        <v>5.8619775700208265E-14</v>
      </c>
    </row>
    <row r="2568" spans="11:12" x14ac:dyDescent="0.4">
      <c r="K2568" s="5">
        <v>2566</v>
      </c>
      <c r="L2568" s="73">
        <v>15.700000000000058</v>
      </c>
    </row>
    <row r="2569" spans="11:12" x14ac:dyDescent="0.4">
      <c r="K2569" s="5">
        <v>2567</v>
      </c>
      <c r="L2569" s="73">
        <v>18.300000000000061</v>
      </c>
    </row>
    <row r="2570" spans="11:12" x14ac:dyDescent="0.4">
      <c r="K2570" s="5">
        <v>2568</v>
      </c>
      <c r="L2570" s="73">
        <v>5.8619775700208265E-14</v>
      </c>
    </row>
    <row r="2571" spans="11:12" x14ac:dyDescent="0.4">
      <c r="K2571" s="5">
        <v>2569</v>
      </c>
      <c r="L2571" s="73">
        <v>26.800000000000061</v>
      </c>
    </row>
    <row r="2572" spans="11:12" x14ac:dyDescent="0.4">
      <c r="K2572" s="5">
        <v>2570</v>
      </c>
      <c r="L2572" s="73">
        <v>-14.899999999999944</v>
      </c>
    </row>
    <row r="2573" spans="11:12" x14ac:dyDescent="0.4">
      <c r="K2573" s="5">
        <v>2571</v>
      </c>
      <c r="L2573" s="73">
        <v>5.6843418860808015E-14</v>
      </c>
    </row>
    <row r="2574" spans="11:12" x14ac:dyDescent="0.4">
      <c r="K2574" s="5">
        <v>2572</v>
      </c>
      <c r="L2574" s="73">
        <v>57.800000000000054</v>
      </c>
    </row>
    <row r="2575" spans="11:12" x14ac:dyDescent="0.4">
      <c r="K2575" s="5">
        <v>2573</v>
      </c>
      <c r="L2575" s="73">
        <v>45.200000000000053</v>
      </c>
    </row>
    <row r="2576" spans="11:12" x14ac:dyDescent="0.4">
      <c r="K2576" s="5">
        <v>2574</v>
      </c>
      <c r="L2576" s="73">
        <v>5.1514348342607263E-14</v>
      </c>
    </row>
    <row r="2577" spans="11:12" x14ac:dyDescent="0.4">
      <c r="K2577" s="5">
        <v>2575</v>
      </c>
      <c r="L2577" s="73">
        <v>-4.4999999999999485</v>
      </c>
    </row>
    <row r="2578" spans="11:12" x14ac:dyDescent="0.4">
      <c r="K2578" s="5">
        <v>2576</v>
      </c>
      <c r="L2578" s="73">
        <v>-28.799999999999947</v>
      </c>
    </row>
    <row r="2579" spans="11:12" x14ac:dyDescent="0.4">
      <c r="K2579" s="5">
        <v>2577</v>
      </c>
      <c r="L2579" s="73">
        <v>5.1514348342607263E-14</v>
      </c>
    </row>
    <row r="2580" spans="11:12" x14ac:dyDescent="0.4">
      <c r="K2580" s="5">
        <v>2578</v>
      </c>
      <c r="L2580" s="73">
        <v>-19.699999999999946</v>
      </c>
    </row>
    <row r="2581" spans="11:12" x14ac:dyDescent="0.4">
      <c r="K2581" s="5">
        <v>2579</v>
      </c>
      <c r="L2581" s="73">
        <v>-1.5999999999999464</v>
      </c>
    </row>
    <row r="2582" spans="11:12" x14ac:dyDescent="0.4">
      <c r="K2582" s="5">
        <v>2580</v>
      </c>
      <c r="L2582" s="73">
        <v>5.3734794391857577E-14</v>
      </c>
    </row>
    <row r="2583" spans="11:12" x14ac:dyDescent="0.4">
      <c r="K2583" s="5">
        <v>2581</v>
      </c>
      <c r="L2583" s="73">
        <v>-46.799999999999947</v>
      </c>
    </row>
    <row r="2584" spans="11:12" x14ac:dyDescent="0.4">
      <c r="K2584" s="5">
        <v>2582</v>
      </c>
      <c r="L2584" s="73">
        <v>29.600000000000058</v>
      </c>
    </row>
    <row r="2585" spans="11:12" x14ac:dyDescent="0.4">
      <c r="K2585" s="5">
        <v>2583</v>
      </c>
      <c r="L2585" s="73">
        <v>5.8619775700208265E-14</v>
      </c>
    </row>
    <row r="2586" spans="11:12" x14ac:dyDescent="0.4">
      <c r="K2586" s="5">
        <v>2584</v>
      </c>
      <c r="L2586" s="73">
        <v>36.800000000000054</v>
      </c>
    </row>
    <row r="2587" spans="11:12" x14ac:dyDescent="0.4">
      <c r="K2587" s="5">
        <v>2585</v>
      </c>
      <c r="L2587" s="73">
        <v>0.9000000000000572</v>
      </c>
    </row>
    <row r="2588" spans="11:12" x14ac:dyDescent="0.4">
      <c r="K2588" s="5">
        <v>2586</v>
      </c>
      <c r="L2588" s="73">
        <v>5.7176485768195562E-14</v>
      </c>
    </row>
    <row r="2589" spans="11:12" x14ac:dyDescent="0.4">
      <c r="K2589" s="5">
        <v>2587</v>
      </c>
      <c r="L2589" s="73">
        <v>0.60000000000005715</v>
      </c>
    </row>
    <row r="2590" spans="11:12" x14ac:dyDescent="0.4">
      <c r="K2590" s="5">
        <v>2588</v>
      </c>
      <c r="L2590" s="73">
        <v>18.70000000000006</v>
      </c>
    </row>
    <row r="2591" spans="11:12" x14ac:dyDescent="0.4">
      <c r="K2591" s="5">
        <v>2589</v>
      </c>
      <c r="L2591" s="73">
        <v>5.8619775700208265E-14</v>
      </c>
    </row>
    <row r="2592" spans="11:12" x14ac:dyDescent="0.4">
      <c r="K2592" s="5">
        <v>2590</v>
      </c>
      <c r="L2592" s="73">
        <v>-18.499999999999943</v>
      </c>
    </row>
    <row r="2593" spans="11:12" x14ac:dyDescent="0.4">
      <c r="K2593" s="5">
        <v>2591</v>
      </c>
      <c r="L2593" s="73">
        <v>-63.599999999999945</v>
      </c>
    </row>
    <row r="2594" spans="11:12" x14ac:dyDescent="0.4">
      <c r="K2594" s="5">
        <v>2592</v>
      </c>
      <c r="L2594" s="73">
        <v>5.8619775700208265E-14</v>
      </c>
    </row>
    <row r="2595" spans="11:12" x14ac:dyDescent="0.4">
      <c r="K2595" s="5">
        <v>2593</v>
      </c>
      <c r="L2595" s="73">
        <v>35.20000000000006</v>
      </c>
    </row>
    <row r="2596" spans="11:12" x14ac:dyDescent="0.4">
      <c r="K2596" s="5">
        <v>2594</v>
      </c>
      <c r="L2596" s="73">
        <v>-11.499999999999941</v>
      </c>
    </row>
    <row r="2597" spans="11:12" x14ac:dyDescent="0.4">
      <c r="K2597" s="5">
        <v>2595</v>
      </c>
      <c r="L2597" s="73">
        <v>5.8619775700208265E-14</v>
      </c>
    </row>
    <row r="2598" spans="11:12" x14ac:dyDescent="0.4">
      <c r="K2598" s="5">
        <v>2596</v>
      </c>
      <c r="L2598" s="73">
        <v>28.900000000000055</v>
      </c>
    </row>
    <row r="2599" spans="11:12" x14ac:dyDescent="0.4">
      <c r="K2599" s="5">
        <v>2597</v>
      </c>
      <c r="L2599" s="73">
        <v>25.400000000000055</v>
      </c>
    </row>
    <row r="2600" spans="11:12" x14ac:dyDescent="0.4">
      <c r="K2600" s="5">
        <v>2598</v>
      </c>
      <c r="L2600" s="73">
        <v>5.8619775700208265E-14</v>
      </c>
    </row>
    <row r="2601" spans="11:12" x14ac:dyDescent="0.4">
      <c r="K2601" s="5">
        <v>2599</v>
      </c>
      <c r="L2601" s="73">
        <v>3.3000000000000584</v>
      </c>
    </row>
    <row r="2602" spans="11:12" x14ac:dyDescent="0.4">
      <c r="K2602" s="5">
        <v>2600</v>
      </c>
      <c r="L2602" s="73">
        <v>22.70000000000006</v>
      </c>
    </row>
    <row r="2603" spans="11:12" x14ac:dyDescent="0.4">
      <c r="K2603" s="5">
        <v>2601</v>
      </c>
      <c r="L2603" s="73">
        <v>5.8619775700208265E-14</v>
      </c>
    </row>
    <row r="2604" spans="11:12" x14ac:dyDescent="0.4">
      <c r="K2604" s="5">
        <v>2602</v>
      </c>
      <c r="L2604" s="73">
        <v>9.0000000000000586</v>
      </c>
    </row>
    <row r="2605" spans="11:12" x14ac:dyDescent="0.4">
      <c r="K2605" s="5">
        <v>2603</v>
      </c>
      <c r="L2605" s="73">
        <v>-43.599999999999945</v>
      </c>
    </row>
    <row r="2606" spans="11:12" x14ac:dyDescent="0.4">
      <c r="K2606" s="5">
        <v>2604</v>
      </c>
      <c r="L2606" s="73">
        <v>5.8619775700208265E-14</v>
      </c>
    </row>
    <row r="2607" spans="11:12" x14ac:dyDescent="0.4">
      <c r="K2607" s="5">
        <v>2605</v>
      </c>
      <c r="L2607" s="73">
        <v>27.400000000000055</v>
      </c>
    </row>
    <row r="2608" spans="11:12" x14ac:dyDescent="0.4">
      <c r="K2608" s="5">
        <v>2606</v>
      </c>
      <c r="L2608" s="73">
        <v>42.000000000000057</v>
      </c>
    </row>
    <row r="2609" spans="11:12" x14ac:dyDescent="0.4">
      <c r="K2609" s="5">
        <v>2607</v>
      </c>
      <c r="L2609" s="73">
        <v>5.8619775700208265E-14</v>
      </c>
    </row>
    <row r="2610" spans="11:12" x14ac:dyDescent="0.4">
      <c r="K2610" s="5">
        <v>2608</v>
      </c>
      <c r="L2610" s="73">
        <v>-22.29999999999994</v>
      </c>
    </row>
    <row r="2611" spans="11:12" x14ac:dyDescent="0.4">
      <c r="K2611" s="5">
        <v>2609</v>
      </c>
      <c r="L2611" s="73">
        <v>-17.099999999999945</v>
      </c>
    </row>
    <row r="2612" spans="11:12" x14ac:dyDescent="0.4">
      <c r="K2612" s="5">
        <v>2610</v>
      </c>
      <c r="L2612" s="73">
        <v>5.8619775700208265E-14</v>
      </c>
    </row>
    <row r="2613" spans="11:12" x14ac:dyDescent="0.4">
      <c r="K2613" s="5">
        <v>2611</v>
      </c>
      <c r="L2613" s="73">
        <v>-4.9999999999999414</v>
      </c>
    </row>
    <row r="2614" spans="11:12" x14ac:dyDescent="0.4">
      <c r="K2614" s="5">
        <v>2612</v>
      </c>
      <c r="L2614" s="73">
        <v>20.000000000000057</v>
      </c>
    </row>
    <row r="2615" spans="11:12" x14ac:dyDescent="0.4">
      <c r="K2615" s="5">
        <v>2613</v>
      </c>
      <c r="L2615" s="73">
        <v>5.8619775700208265E-14</v>
      </c>
    </row>
    <row r="2616" spans="11:12" x14ac:dyDescent="0.4">
      <c r="K2616" s="5">
        <v>2614</v>
      </c>
      <c r="L2616" s="73">
        <v>47.500000000000057</v>
      </c>
    </row>
    <row r="2617" spans="11:12" x14ac:dyDescent="0.4">
      <c r="K2617" s="5">
        <v>2615</v>
      </c>
      <c r="L2617" s="73">
        <v>45.500000000000057</v>
      </c>
    </row>
    <row r="2618" spans="11:12" x14ac:dyDescent="0.4">
      <c r="K2618" s="5">
        <v>2616</v>
      </c>
      <c r="L2618" s="73">
        <v>5.8619775700208265E-14</v>
      </c>
    </row>
    <row r="2619" spans="11:12" x14ac:dyDescent="0.4">
      <c r="K2619" s="5">
        <v>2617</v>
      </c>
      <c r="L2619" s="73">
        <v>4.2000000000000588</v>
      </c>
    </row>
    <row r="2620" spans="11:12" x14ac:dyDescent="0.4">
      <c r="K2620" s="5">
        <v>2618</v>
      </c>
      <c r="L2620" s="73">
        <v>26.20000000000006</v>
      </c>
    </row>
    <row r="2621" spans="11:12" x14ac:dyDescent="0.4">
      <c r="K2621" s="5">
        <v>2619</v>
      </c>
      <c r="L2621" s="73">
        <v>5.8619775700208265E-14</v>
      </c>
    </row>
    <row r="2622" spans="11:12" x14ac:dyDescent="0.4">
      <c r="K2622" s="5">
        <v>2620</v>
      </c>
      <c r="L2622" s="73">
        <v>46.20000000000006</v>
      </c>
    </row>
    <row r="2623" spans="11:12" x14ac:dyDescent="0.4">
      <c r="K2623" s="5">
        <v>2621</v>
      </c>
      <c r="L2623" s="73">
        <v>-5.2999999999999385</v>
      </c>
    </row>
    <row r="2624" spans="11:12" x14ac:dyDescent="0.4">
      <c r="K2624" s="5">
        <v>2622</v>
      </c>
      <c r="L2624" s="73">
        <v>6.1284310959308641E-14</v>
      </c>
    </row>
    <row r="2625" spans="11:12" x14ac:dyDescent="0.4">
      <c r="K2625" s="5">
        <v>2623</v>
      </c>
      <c r="L2625" s="73">
        <v>5.6000000000000609</v>
      </c>
    </row>
    <row r="2626" spans="11:12" x14ac:dyDescent="0.4">
      <c r="K2626" s="5">
        <v>2624</v>
      </c>
      <c r="L2626" s="73">
        <v>23.20000000000006</v>
      </c>
    </row>
    <row r="2627" spans="11:12" x14ac:dyDescent="0.4">
      <c r="K2627" s="5">
        <v>2625</v>
      </c>
      <c r="L2627" s="73">
        <v>6.2172489379008766E-14</v>
      </c>
    </row>
    <row r="2628" spans="11:12" x14ac:dyDescent="0.4">
      <c r="K2628" s="5">
        <v>2626</v>
      </c>
      <c r="L2628" s="73">
        <v>3.9000000000000621</v>
      </c>
    </row>
    <row r="2629" spans="11:12" x14ac:dyDescent="0.4">
      <c r="K2629" s="5">
        <v>2627</v>
      </c>
      <c r="L2629" s="73">
        <v>-36.29999999999994</v>
      </c>
    </row>
    <row r="2630" spans="11:12" x14ac:dyDescent="0.4">
      <c r="K2630" s="5">
        <v>2628</v>
      </c>
      <c r="L2630" s="73">
        <v>5.8619775700208265E-14</v>
      </c>
    </row>
    <row r="2631" spans="11:12" x14ac:dyDescent="0.4">
      <c r="K2631" s="5">
        <v>2629</v>
      </c>
      <c r="L2631" s="73">
        <v>-6.9999999999999414</v>
      </c>
    </row>
    <row r="2632" spans="11:12" x14ac:dyDescent="0.4">
      <c r="K2632" s="5">
        <v>2630</v>
      </c>
      <c r="L2632" s="73">
        <v>-35.699999999999946</v>
      </c>
    </row>
    <row r="2633" spans="11:12" x14ac:dyDescent="0.4">
      <c r="K2633" s="5">
        <v>2631</v>
      </c>
      <c r="L2633" s="73">
        <v>5.8619775700208265E-14</v>
      </c>
    </row>
    <row r="2634" spans="11:12" x14ac:dyDescent="0.4">
      <c r="K2634" s="5">
        <v>2632</v>
      </c>
      <c r="L2634" s="73">
        <v>-7.099999999999941</v>
      </c>
    </row>
    <row r="2635" spans="11:12" x14ac:dyDescent="0.4">
      <c r="K2635" s="5">
        <v>2633</v>
      </c>
      <c r="L2635" s="73">
        <v>17.600000000000058</v>
      </c>
    </row>
    <row r="2636" spans="11:12" x14ac:dyDescent="0.4">
      <c r="K2636" s="5">
        <v>2634</v>
      </c>
      <c r="L2636" s="73">
        <v>5.8619775700208265E-14</v>
      </c>
    </row>
    <row r="2637" spans="11:12" x14ac:dyDescent="0.4">
      <c r="K2637" s="5">
        <v>2635</v>
      </c>
      <c r="L2637" s="73">
        <v>33.000000000000057</v>
      </c>
    </row>
    <row r="2638" spans="11:12" x14ac:dyDescent="0.4">
      <c r="K2638" s="5">
        <v>2636</v>
      </c>
      <c r="L2638" s="73">
        <v>33.100000000000058</v>
      </c>
    </row>
    <row r="2639" spans="11:12" x14ac:dyDescent="0.4">
      <c r="K2639" s="5">
        <v>2637</v>
      </c>
      <c r="L2639" s="73">
        <v>5.8619775700208265E-14</v>
      </c>
    </row>
    <row r="2640" spans="11:12" x14ac:dyDescent="0.4">
      <c r="K2640" s="5">
        <v>2638</v>
      </c>
      <c r="L2640" s="73">
        <v>-12.099999999999941</v>
      </c>
    </row>
    <row r="2641" spans="11:12" x14ac:dyDescent="0.4">
      <c r="K2641" s="5">
        <v>2639</v>
      </c>
      <c r="L2641" s="73">
        <v>-12.79999999999994</v>
      </c>
    </row>
    <row r="2642" spans="11:12" x14ac:dyDescent="0.4">
      <c r="K2642" s="5">
        <v>2640</v>
      </c>
      <c r="L2642" s="73">
        <v>6.0396132539608516E-14</v>
      </c>
    </row>
    <row r="2643" spans="11:12" x14ac:dyDescent="0.4">
      <c r="K2643" s="5">
        <v>2641</v>
      </c>
      <c r="L2643" s="73">
        <v>-13.79999999999994</v>
      </c>
    </row>
    <row r="2644" spans="11:12" x14ac:dyDescent="0.4">
      <c r="K2644" s="5">
        <v>2642</v>
      </c>
      <c r="L2644" s="73">
        <v>0.5000000000000604</v>
      </c>
    </row>
    <row r="2645" spans="11:12" x14ac:dyDescent="0.4">
      <c r="K2645" s="5">
        <v>2643</v>
      </c>
      <c r="L2645" s="73">
        <v>6.0396132539608516E-14</v>
      </c>
    </row>
    <row r="2646" spans="11:12" x14ac:dyDescent="0.4">
      <c r="K2646" s="5">
        <v>2644</v>
      </c>
      <c r="L2646" s="73">
        <v>-2.7999999999999394</v>
      </c>
    </row>
    <row r="2647" spans="11:12" x14ac:dyDescent="0.4">
      <c r="K2647" s="5">
        <v>2645</v>
      </c>
      <c r="L2647" s="73">
        <v>-15.699999999999941</v>
      </c>
    </row>
    <row r="2648" spans="11:12" x14ac:dyDescent="0.4">
      <c r="K2648" s="5">
        <v>2646</v>
      </c>
      <c r="L2648" s="73">
        <v>5.8619775700208265E-14</v>
      </c>
    </row>
    <row r="2649" spans="11:12" x14ac:dyDescent="0.4">
      <c r="K2649" s="5">
        <v>2647</v>
      </c>
      <c r="L2649" s="73">
        <v>10.200000000000058</v>
      </c>
    </row>
    <row r="2650" spans="11:12" x14ac:dyDescent="0.4">
      <c r="K2650" s="5">
        <v>2648</v>
      </c>
      <c r="L2650" s="73">
        <v>-37.699999999999946</v>
      </c>
    </row>
    <row r="2651" spans="11:12" x14ac:dyDescent="0.4">
      <c r="K2651" s="5">
        <v>2649</v>
      </c>
      <c r="L2651" s="73">
        <v>5.8619775700208265E-14</v>
      </c>
    </row>
    <row r="2652" spans="11:12" x14ac:dyDescent="0.4">
      <c r="K2652" s="5">
        <v>2650</v>
      </c>
      <c r="L2652" s="73">
        <v>-30.899999999999942</v>
      </c>
    </row>
    <row r="2653" spans="11:12" x14ac:dyDescent="0.4">
      <c r="K2653" s="5">
        <v>2651</v>
      </c>
      <c r="L2653" s="73">
        <v>-9.1999999999999407</v>
      </c>
    </row>
    <row r="2654" spans="11:12" x14ac:dyDescent="0.4">
      <c r="K2654" s="5">
        <v>2652</v>
      </c>
      <c r="L2654" s="73">
        <v>5.8619775700208265E-14</v>
      </c>
    </row>
    <row r="2655" spans="11:12" x14ac:dyDescent="0.4">
      <c r="K2655" s="5">
        <v>2653</v>
      </c>
      <c r="L2655" s="73">
        <v>-49.499999999999943</v>
      </c>
    </row>
    <row r="2656" spans="11:12" x14ac:dyDescent="0.4">
      <c r="K2656" s="5">
        <v>2654</v>
      </c>
      <c r="L2656" s="73">
        <v>-56.899999999999942</v>
      </c>
    </row>
    <row r="2657" spans="11:12" x14ac:dyDescent="0.4">
      <c r="K2657" s="5">
        <v>2655</v>
      </c>
      <c r="L2657" s="73">
        <v>5.8619775700208265E-14</v>
      </c>
    </row>
    <row r="2658" spans="11:12" x14ac:dyDescent="0.4">
      <c r="K2658" s="5">
        <v>2656</v>
      </c>
      <c r="L2658" s="73">
        <v>-36.399999999999942</v>
      </c>
    </row>
    <row r="2659" spans="11:12" x14ac:dyDescent="0.4">
      <c r="K2659" s="5">
        <v>2657</v>
      </c>
      <c r="L2659" s="73">
        <v>-32.699999999999939</v>
      </c>
    </row>
    <row r="2660" spans="11:12" x14ac:dyDescent="0.4">
      <c r="K2660" s="5">
        <v>2658</v>
      </c>
      <c r="L2660" s="73">
        <v>6.5725203057809267E-14</v>
      </c>
    </row>
    <row r="2661" spans="11:12" x14ac:dyDescent="0.4">
      <c r="K2661" s="5">
        <v>2659</v>
      </c>
      <c r="L2661" s="73">
        <v>35.000000000000064</v>
      </c>
    </row>
    <row r="2662" spans="11:12" x14ac:dyDescent="0.4">
      <c r="K2662" s="5">
        <v>2660</v>
      </c>
      <c r="L2662" s="73">
        <v>-1.2999999999999314</v>
      </c>
    </row>
    <row r="2663" spans="11:12" x14ac:dyDescent="0.4">
      <c r="K2663" s="5">
        <v>2661</v>
      </c>
      <c r="L2663" s="73">
        <v>6.8611782921834674E-14</v>
      </c>
    </row>
    <row r="2664" spans="11:12" x14ac:dyDescent="0.4">
      <c r="K2664" s="5">
        <v>2662</v>
      </c>
      <c r="L2664" s="73">
        <v>-16.59999999999993</v>
      </c>
    </row>
    <row r="2665" spans="11:12" x14ac:dyDescent="0.4">
      <c r="K2665" s="5">
        <v>2663</v>
      </c>
      <c r="L2665" s="73">
        <v>-14.599999999999932</v>
      </c>
    </row>
    <row r="2666" spans="11:12" x14ac:dyDescent="0.4">
      <c r="K2666" s="5">
        <v>2664</v>
      </c>
      <c r="L2666" s="73">
        <v>6.7501559897209518E-14</v>
      </c>
    </row>
    <row r="2667" spans="11:12" x14ac:dyDescent="0.4">
      <c r="K2667" s="5">
        <v>2665</v>
      </c>
      <c r="L2667" s="73">
        <v>45.900000000000063</v>
      </c>
    </row>
    <row r="2668" spans="11:12" x14ac:dyDescent="0.4">
      <c r="K2668" s="5">
        <v>2666</v>
      </c>
      <c r="L2668" s="73">
        <v>10.500000000000066</v>
      </c>
    </row>
    <row r="2669" spans="11:12" x14ac:dyDescent="0.4">
      <c r="K2669" s="5">
        <v>2667</v>
      </c>
      <c r="L2669" s="73">
        <v>6.5725203057809267E-14</v>
      </c>
    </row>
    <row r="2670" spans="11:12" x14ac:dyDescent="0.4">
      <c r="K2670" s="5">
        <v>2668</v>
      </c>
      <c r="L2670" s="73">
        <v>45.600000000000065</v>
      </c>
    </row>
    <row r="2671" spans="11:12" x14ac:dyDescent="0.4">
      <c r="K2671" s="5">
        <v>2669</v>
      </c>
      <c r="L2671" s="73">
        <v>57.200000000000067</v>
      </c>
    </row>
    <row r="2672" spans="11:12" x14ac:dyDescent="0.4">
      <c r="K2672" s="5">
        <v>2670</v>
      </c>
      <c r="L2672" s="73">
        <v>6.5725203057809267E-14</v>
      </c>
    </row>
    <row r="2673" spans="11:12" x14ac:dyDescent="0.4">
      <c r="K2673" s="5">
        <v>2671</v>
      </c>
      <c r="L2673" s="73">
        <v>11.400000000000066</v>
      </c>
    </row>
    <row r="2674" spans="11:12" x14ac:dyDescent="0.4">
      <c r="K2674" s="5">
        <v>2672</v>
      </c>
      <c r="L2674" s="73">
        <v>49.500000000000064</v>
      </c>
    </row>
    <row r="2675" spans="11:12" x14ac:dyDescent="0.4">
      <c r="K2675" s="5">
        <v>2673</v>
      </c>
      <c r="L2675" s="73">
        <v>6.5725203057809267E-14</v>
      </c>
    </row>
    <row r="2676" spans="11:12" x14ac:dyDescent="0.4">
      <c r="K2676" s="5">
        <v>2674</v>
      </c>
      <c r="L2676" s="73">
        <v>-3.7999999999999341</v>
      </c>
    </row>
    <row r="2677" spans="11:12" x14ac:dyDescent="0.4">
      <c r="K2677" s="5">
        <v>2675</v>
      </c>
      <c r="L2677" s="73">
        <v>-28.299999999999933</v>
      </c>
    </row>
    <row r="2678" spans="11:12" x14ac:dyDescent="0.4">
      <c r="K2678" s="5">
        <v>2676</v>
      </c>
      <c r="L2678" s="73">
        <v>6.5725203057809267E-14</v>
      </c>
    </row>
    <row r="2679" spans="11:12" x14ac:dyDescent="0.4">
      <c r="K2679" s="5">
        <v>2677</v>
      </c>
      <c r="L2679" s="73">
        <v>42.500000000000064</v>
      </c>
    </row>
    <row r="2680" spans="11:12" x14ac:dyDescent="0.4">
      <c r="K2680" s="5">
        <v>2678</v>
      </c>
      <c r="L2680" s="73">
        <v>-3.8999999999999329</v>
      </c>
    </row>
    <row r="2681" spans="11:12" x14ac:dyDescent="0.4">
      <c r="K2681" s="5">
        <v>2679</v>
      </c>
      <c r="L2681" s="73">
        <v>6.7057470687359455E-14</v>
      </c>
    </row>
    <row r="2682" spans="11:12" x14ac:dyDescent="0.4">
      <c r="K2682" s="5">
        <v>2680</v>
      </c>
      <c r="L2682" s="73">
        <v>-25.199999999999932</v>
      </c>
    </row>
    <row r="2683" spans="11:12" x14ac:dyDescent="0.4">
      <c r="K2683" s="5">
        <v>2681</v>
      </c>
      <c r="L2683" s="73">
        <v>1.8000000000000664</v>
      </c>
    </row>
    <row r="2684" spans="11:12" x14ac:dyDescent="0.4">
      <c r="K2684" s="5">
        <v>2682</v>
      </c>
      <c r="L2684" s="73">
        <v>6.6391336872584361E-14</v>
      </c>
    </row>
    <row r="2685" spans="11:12" x14ac:dyDescent="0.4">
      <c r="K2685" s="5">
        <v>2683</v>
      </c>
      <c r="L2685" s="73">
        <v>44.400000000000063</v>
      </c>
    </row>
    <row r="2686" spans="11:12" x14ac:dyDescent="0.4">
      <c r="K2686" s="5">
        <v>2684</v>
      </c>
      <c r="L2686" s="73">
        <v>3.0000000000000657</v>
      </c>
    </row>
    <row r="2687" spans="11:12" x14ac:dyDescent="0.4">
      <c r="K2687" s="5">
        <v>2685</v>
      </c>
      <c r="L2687" s="73">
        <v>6.5725203057809267E-14</v>
      </c>
    </row>
    <row r="2688" spans="11:12" x14ac:dyDescent="0.4">
      <c r="K2688" s="5">
        <v>2686</v>
      </c>
      <c r="L2688" s="73">
        <v>26.200000000000067</v>
      </c>
    </row>
    <row r="2689" spans="11:12" x14ac:dyDescent="0.4">
      <c r="K2689" s="5">
        <v>2687</v>
      </c>
      <c r="L2689" s="73">
        <v>-15.399999999999936</v>
      </c>
    </row>
    <row r="2690" spans="11:12" x14ac:dyDescent="0.4">
      <c r="K2690" s="5">
        <v>2688</v>
      </c>
      <c r="L2690" s="73">
        <v>6.3948846218409017E-14</v>
      </c>
    </row>
    <row r="2691" spans="11:12" x14ac:dyDescent="0.4">
      <c r="K2691" s="5">
        <v>2689</v>
      </c>
      <c r="L2691" s="73">
        <v>0.90000000000006397</v>
      </c>
    </row>
    <row r="2692" spans="11:12" x14ac:dyDescent="0.4">
      <c r="K2692" s="5">
        <v>2690</v>
      </c>
      <c r="L2692" s="73">
        <v>41.800000000000061</v>
      </c>
    </row>
    <row r="2693" spans="11:12" x14ac:dyDescent="0.4">
      <c r="K2693" s="5">
        <v>2691</v>
      </c>
      <c r="L2693" s="73">
        <v>6.5725203057809267E-14</v>
      </c>
    </row>
    <row r="2694" spans="11:12" x14ac:dyDescent="0.4">
      <c r="K2694" s="5">
        <v>2692</v>
      </c>
      <c r="L2694" s="73">
        <v>34.500000000000064</v>
      </c>
    </row>
    <row r="2695" spans="11:12" x14ac:dyDescent="0.4">
      <c r="K2695" s="5">
        <v>2693</v>
      </c>
      <c r="L2695" s="73">
        <v>29.100000000000065</v>
      </c>
    </row>
    <row r="2696" spans="11:12" x14ac:dyDescent="0.4">
      <c r="K2696" s="5">
        <v>2694</v>
      </c>
      <c r="L2696" s="73">
        <v>6.5725203057809267E-14</v>
      </c>
    </row>
    <row r="2697" spans="11:12" x14ac:dyDescent="0.4">
      <c r="K2697" s="5">
        <v>2695</v>
      </c>
      <c r="L2697" s="73">
        <v>2.4000000000000656</v>
      </c>
    </row>
    <row r="2698" spans="11:12" x14ac:dyDescent="0.4">
      <c r="K2698" s="5">
        <v>2696</v>
      </c>
      <c r="L2698" s="73">
        <v>17.000000000000064</v>
      </c>
    </row>
    <row r="2699" spans="11:12" x14ac:dyDescent="0.4">
      <c r="K2699" s="5">
        <v>2697</v>
      </c>
      <c r="L2699" s="73">
        <v>6.5725203057809267E-14</v>
      </c>
    </row>
    <row r="2700" spans="11:12" x14ac:dyDescent="0.4">
      <c r="K2700" s="5">
        <v>2698</v>
      </c>
      <c r="L2700" s="73">
        <v>-7.1999999999999345</v>
      </c>
    </row>
    <row r="2701" spans="11:12" x14ac:dyDescent="0.4">
      <c r="K2701" s="5">
        <v>2699</v>
      </c>
      <c r="L2701" s="73">
        <v>-42.79999999999994</v>
      </c>
    </row>
    <row r="2702" spans="11:12" x14ac:dyDescent="0.4">
      <c r="K2702" s="5">
        <v>2700</v>
      </c>
      <c r="L2702" s="73">
        <v>5.8619775700208265E-14</v>
      </c>
    </row>
    <row r="2703" spans="11:12" x14ac:dyDescent="0.4">
      <c r="K2703" s="5">
        <v>2701</v>
      </c>
      <c r="L2703" s="73">
        <v>-26.699999999999939</v>
      </c>
    </row>
    <row r="2704" spans="11:12" x14ac:dyDescent="0.4">
      <c r="K2704" s="5">
        <v>2702</v>
      </c>
      <c r="L2704" s="73">
        <v>-34.79999999999994</v>
      </c>
    </row>
    <row r="2705" spans="11:12" x14ac:dyDescent="0.4">
      <c r="K2705" s="5">
        <v>2703</v>
      </c>
      <c r="L2705" s="73">
        <v>5.8619775700208265E-14</v>
      </c>
    </row>
    <row r="2706" spans="11:12" x14ac:dyDescent="0.4">
      <c r="K2706" s="5">
        <v>2704</v>
      </c>
      <c r="L2706" s="73">
        <v>-18.999999999999943</v>
      </c>
    </row>
    <row r="2707" spans="11:12" x14ac:dyDescent="0.4">
      <c r="K2707" s="5">
        <v>2705</v>
      </c>
      <c r="L2707" s="73">
        <v>5.8619775700208265E-14</v>
      </c>
    </row>
    <row r="2708" spans="11:12" x14ac:dyDescent="0.4">
      <c r="K2708" s="5">
        <v>2706</v>
      </c>
      <c r="L2708" s="73">
        <v>5.8619775700208265E-14</v>
      </c>
    </row>
    <row r="2709" spans="11:12" x14ac:dyDescent="0.4">
      <c r="K2709" s="5">
        <v>2707</v>
      </c>
      <c r="L2709" s="73">
        <v>6.6000000000000583</v>
      </c>
    </row>
    <row r="2710" spans="11:12" x14ac:dyDescent="0.4">
      <c r="K2710" s="5">
        <v>2708</v>
      </c>
      <c r="L2710" s="73">
        <v>-18.199999999999946</v>
      </c>
    </row>
    <row r="2711" spans="11:12" x14ac:dyDescent="0.4">
      <c r="K2711" s="5">
        <v>2709</v>
      </c>
      <c r="L2711" s="73">
        <v>5.5067062021407764E-14</v>
      </c>
    </row>
    <row r="2712" spans="11:12" x14ac:dyDescent="0.4">
      <c r="K2712" s="5">
        <v>2710</v>
      </c>
      <c r="L2712" s="73">
        <v>-36.599999999999952</v>
      </c>
    </row>
    <row r="2713" spans="11:12" x14ac:dyDescent="0.4">
      <c r="K2713" s="5">
        <v>2711</v>
      </c>
      <c r="L2713" s="73">
        <v>1.8000000000000487</v>
      </c>
    </row>
    <row r="2714" spans="11:12" x14ac:dyDescent="0.4">
      <c r="K2714" s="5">
        <v>2712</v>
      </c>
      <c r="L2714" s="73">
        <v>4.8627768478581856E-14</v>
      </c>
    </row>
    <row r="2715" spans="11:12" x14ac:dyDescent="0.4">
      <c r="K2715" s="5">
        <v>2713</v>
      </c>
      <c r="L2715" s="73">
        <v>23.50000000000005</v>
      </c>
    </row>
    <row r="2716" spans="11:12" x14ac:dyDescent="0.4">
      <c r="K2716" s="5">
        <v>2714</v>
      </c>
      <c r="L2716" s="73">
        <v>29.900000000000048</v>
      </c>
    </row>
    <row r="2717" spans="11:12" x14ac:dyDescent="0.4">
      <c r="K2717" s="5">
        <v>2715</v>
      </c>
      <c r="L2717" s="73">
        <v>5.1514348342607263E-14</v>
      </c>
    </row>
    <row r="2718" spans="11:12" x14ac:dyDescent="0.4">
      <c r="K2718" s="5">
        <v>2716</v>
      </c>
      <c r="L2718" s="73">
        <v>36.200000000000053</v>
      </c>
    </row>
    <row r="2719" spans="11:12" x14ac:dyDescent="0.4">
      <c r="K2719" s="5">
        <v>2717</v>
      </c>
      <c r="L2719" s="73">
        <v>9.9000000000000536</v>
      </c>
    </row>
    <row r="2720" spans="11:12" x14ac:dyDescent="0.4">
      <c r="K2720" s="5">
        <v>2718</v>
      </c>
      <c r="L2720" s="73">
        <v>5.3290705182007514E-14</v>
      </c>
    </row>
    <row r="2721" spans="11:12" x14ac:dyDescent="0.4">
      <c r="K2721" s="5">
        <v>2719</v>
      </c>
      <c r="L2721" s="73">
        <v>-32.49999999999995</v>
      </c>
    </row>
    <row r="2722" spans="11:12" x14ac:dyDescent="0.4">
      <c r="K2722" s="5">
        <v>2720</v>
      </c>
      <c r="L2722" s="73">
        <v>-30.399999999999949</v>
      </c>
    </row>
    <row r="2723" spans="11:12" x14ac:dyDescent="0.4">
      <c r="K2723" s="5">
        <v>2721</v>
      </c>
      <c r="L2723" s="73">
        <v>5.1514348342607263E-14</v>
      </c>
    </row>
    <row r="2724" spans="11:12" x14ac:dyDescent="0.4">
      <c r="K2724" s="5">
        <v>2722</v>
      </c>
      <c r="L2724" s="73">
        <v>42.400000000000048</v>
      </c>
    </row>
    <row r="2725" spans="11:12" x14ac:dyDescent="0.4">
      <c r="K2725" s="5">
        <v>2723</v>
      </c>
      <c r="L2725" s="73">
        <v>34.100000000000051</v>
      </c>
    </row>
    <row r="2726" spans="11:12" x14ac:dyDescent="0.4">
      <c r="K2726" s="5">
        <v>2724</v>
      </c>
      <c r="L2726" s="73">
        <v>5.1514348342607263E-14</v>
      </c>
    </row>
    <row r="2727" spans="11:12" x14ac:dyDescent="0.4">
      <c r="K2727" s="5">
        <v>2725</v>
      </c>
      <c r="L2727" s="73">
        <v>32.900000000000048</v>
      </c>
    </row>
    <row r="2728" spans="11:12" x14ac:dyDescent="0.4">
      <c r="K2728" s="5">
        <v>2726</v>
      </c>
      <c r="L2728" s="73">
        <v>37.100000000000051</v>
      </c>
    </row>
    <row r="2729" spans="11:12" x14ac:dyDescent="0.4">
      <c r="K2729" s="5">
        <v>2727</v>
      </c>
      <c r="L2729" s="73">
        <v>5.1514348342607263E-14</v>
      </c>
    </row>
    <row r="2730" spans="11:12" x14ac:dyDescent="0.4">
      <c r="K2730" s="5">
        <v>2728</v>
      </c>
      <c r="L2730" s="73">
        <v>-31.899999999999949</v>
      </c>
    </row>
    <row r="2731" spans="11:12" x14ac:dyDescent="0.4">
      <c r="K2731" s="5">
        <v>2729</v>
      </c>
      <c r="L2731" s="73">
        <v>-36.699999999999946</v>
      </c>
    </row>
    <row r="2732" spans="11:12" x14ac:dyDescent="0.4">
      <c r="K2732" s="5">
        <v>2730</v>
      </c>
      <c r="L2732" s="73">
        <v>5.8619775700208265E-14</v>
      </c>
    </row>
    <row r="2733" spans="11:12" x14ac:dyDescent="0.4">
      <c r="K2733" s="5">
        <v>2731</v>
      </c>
      <c r="L2733" s="73">
        <v>50.100000000000058</v>
      </c>
    </row>
    <row r="2734" spans="11:12" x14ac:dyDescent="0.4">
      <c r="K2734" s="5">
        <v>2732</v>
      </c>
      <c r="L2734" s="73">
        <v>39.600000000000058</v>
      </c>
    </row>
    <row r="2735" spans="11:12" x14ac:dyDescent="0.4">
      <c r="K2735" s="5">
        <v>2733</v>
      </c>
      <c r="L2735" s="73">
        <v>5.8619775700208265E-14</v>
      </c>
    </row>
    <row r="2736" spans="11:12" x14ac:dyDescent="0.4">
      <c r="K2736" s="5">
        <v>2734</v>
      </c>
      <c r="L2736" s="73">
        <v>6.400000000000059</v>
      </c>
    </row>
    <row r="2737" spans="11:12" x14ac:dyDescent="0.4">
      <c r="K2737" s="5">
        <v>2735</v>
      </c>
      <c r="L2737" s="73">
        <v>-23.499999999999943</v>
      </c>
    </row>
    <row r="2738" spans="11:12" x14ac:dyDescent="0.4">
      <c r="K2738" s="5">
        <v>2736</v>
      </c>
      <c r="L2738" s="73">
        <v>5.8619775700208265E-14</v>
      </c>
    </row>
    <row r="2739" spans="11:12" x14ac:dyDescent="0.4">
      <c r="K2739" s="5">
        <v>2737</v>
      </c>
      <c r="L2739" s="73">
        <v>-3.5999999999999415</v>
      </c>
    </row>
    <row r="2740" spans="11:12" x14ac:dyDescent="0.4">
      <c r="K2740" s="5">
        <v>2738</v>
      </c>
      <c r="L2740" s="73">
        <v>18.000000000000057</v>
      </c>
    </row>
    <row r="2741" spans="11:12" x14ac:dyDescent="0.4">
      <c r="K2741" s="5">
        <v>2739</v>
      </c>
      <c r="L2741" s="73">
        <v>5.8619775700208265E-14</v>
      </c>
    </row>
    <row r="2742" spans="11:12" x14ac:dyDescent="0.4">
      <c r="K2742" s="5">
        <v>2740</v>
      </c>
      <c r="L2742" s="73">
        <v>9.400000000000059</v>
      </c>
    </row>
    <row r="2743" spans="11:12" x14ac:dyDescent="0.4">
      <c r="K2743" s="5">
        <v>2741</v>
      </c>
      <c r="L2743" s="73">
        <v>47.300000000000054</v>
      </c>
    </row>
    <row r="2744" spans="11:12" x14ac:dyDescent="0.4">
      <c r="K2744" s="5">
        <v>2742</v>
      </c>
      <c r="L2744" s="73">
        <v>5.8619775700208265E-14</v>
      </c>
    </row>
    <row r="2745" spans="11:12" x14ac:dyDescent="0.4">
      <c r="K2745" s="5">
        <v>2743</v>
      </c>
      <c r="L2745" s="73">
        <v>-13.199999999999941</v>
      </c>
    </row>
    <row r="2746" spans="11:12" x14ac:dyDescent="0.4">
      <c r="K2746" s="5">
        <v>2744</v>
      </c>
      <c r="L2746" s="73">
        <v>-13.499999999999941</v>
      </c>
    </row>
    <row r="2747" spans="11:12" x14ac:dyDescent="0.4">
      <c r="K2747" s="5">
        <v>2745</v>
      </c>
      <c r="L2747" s="73">
        <v>5.8619775700208265E-14</v>
      </c>
    </row>
    <row r="2748" spans="11:12" x14ac:dyDescent="0.4">
      <c r="K2748" s="5">
        <v>2746</v>
      </c>
      <c r="L2748" s="73">
        <v>-28.999999999999943</v>
      </c>
    </row>
    <row r="2749" spans="11:12" x14ac:dyDescent="0.4">
      <c r="K2749" s="5">
        <v>2747</v>
      </c>
      <c r="L2749" s="73">
        <v>49.300000000000054</v>
      </c>
    </row>
    <row r="2750" spans="11:12" x14ac:dyDescent="0.4">
      <c r="K2750" s="5">
        <v>2748</v>
      </c>
      <c r="L2750" s="73">
        <v>5.8619775700208265E-14</v>
      </c>
    </row>
    <row r="2751" spans="11:12" x14ac:dyDescent="0.4">
      <c r="K2751" s="5">
        <v>2749</v>
      </c>
      <c r="L2751" s="73">
        <v>15.600000000000058</v>
      </c>
    </row>
    <row r="2752" spans="11:12" x14ac:dyDescent="0.4">
      <c r="K2752" s="5">
        <v>2750</v>
      </c>
      <c r="L2752" s="73">
        <v>52.500000000000057</v>
      </c>
    </row>
    <row r="2753" spans="11:12" x14ac:dyDescent="0.4">
      <c r="K2753" s="5">
        <v>2751</v>
      </c>
      <c r="L2753" s="73">
        <v>5.8619775700208265E-14</v>
      </c>
    </row>
    <row r="2754" spans="11:12" x14ac:dyDescent="0.4">
      <c r="K2754" s="5">
        <v>2752</v>
      </c>
      <c r="L2754" s="73">
        <v>-1.4999999999999414</v>
      </c>
    </row>
    <row r="2755" spans="11:12" x14ac:dyDescent="0.4">
      <c r="K2755" s="5">
        <v>2753</v>
      </c>
      <c r="L2755" s="73">
        <v>20.20000000000006</v>
      </c>
    </row>
    <row r="2756" spans="11:12" x14ac:dyDescent="0.4">
      <c r="K2756" s="5">
        <v>2754</v>
      </c>
      <c r="L2756" s="73">
        <v>5.8619775700208265E-14</v>
      </c>
    </row>
    <row r="2757" spans="11:12" x14ac:dyDescent="0.4">
      <c r="K2757" s="5">
        <v>2755</v>
      </c>
      <c r="L2757" s="73">
        <v>-29.999999999999943</v>
      </c>
    </row>
    <row r="2758" spans="11:12" x14ac:dyDescent="0.4">
      <c r="K2758" s="5">
        <v>2756</v>
      </c>
      <c r="L2758" s="73">
        <v>1.0000000000000586</v>
      </c>
    </row>
    <row r="2759" spans="11:12" x14ac:dyDescent="0.4">
      <c r="K2759" s="5">
        <v>2757</v>
      </c>
      <c r="L2759" s="73">
        <v>5.8619775700208265E-14</v>
      </c>
    </row>
    <row r="2760" spans="11:12" x14ac:dyDescent="0.4">
      <c r="K2760" s="5">
        <v>2758</v>
      </c>
      <c r="L2760" s="73">
        <v>-55.999999999999943</v>
      </c>
    </row>
    <row r="2761" spans="11:12" x14ac:dyDescent="0.4">
      <c r="K2761" s="5">
        <v>2759</v>
      </c>
      <c r="L2761" s="73">
        <v>-46.499999999999943</v>
      </c>
    </row>
    <row r="2762" spans="11:12" x14ac:dyDescent="0.4">
      <c r="K2762" s="5">
        <v>2760</v>
      </c>
      <c r="L2762" s="73">
        <v>5.8619775700208265E-14</v>
      </c>
    </row>
    <row r="2763" spans="11:12" x14ac:dyDescent="0.4">
      <c r="K2763" s="5">
        <v>2761</v>
      </c>
      <c r="L2763" s="73">
        <v>-22.29999999999994</v>
      </c>
    </row>
    <row r="2764" spans="11:12" x14ac:dyDescent="0.4">
      <c r="K2764" s="5">
        <v>2762</v>
      </c>
      <c r="L2764" s="73">
        <v>-19.099999999999945</v>
      </c>
    </row>
    <row r="2765" spans="11:12" x14ac:dyDescent="0.4">
      <c r="K2765" s="5">
        <v>2763</v>
      </c>
      <c r="L2765" s="73">
        <v>5.8619775700208265E-14</v>
      </c>
    </row>
    <row r="2766" spans="11:12" x14ac:dyDescent="0.4">
      <c r="K2766" s="5">
        <v>2764</v>
      </c>
      <c r="L2766" s="73">
        <v>-48.599999999999945</v>
      </c>
    </row>
    <row r="2767" spans="11:12" x14ac:dyDescent="0.4">
      <c r="K2767" s="5">
        <v>2765</v>
      </c>
      <c r="L2767" s="73">
        <v>-48.799999999999947</v>
      </c>
    </row>
    <row r="2768" spans="11:12" x14ac:dyDescent="0.4">
      <c r="K2768" s="5">
        <v>2766</v>
      </c>
      <c r="L2768" s="73">
        <v>5.1514348342607263E-14</v>
      </c>
    </row>
    <row r="2769" spans="11:12" x14ac:dyDescent="0.4">
      <c r="K2769" s="5">
        <v>2767</v>
      </c>
      <c r="L2769" s="73">
        <v>-29.199999999999946</v>
      </c>
    </row>
    <row r="2770" spans="11:12" x14ac:dyDescent="0.4">
      <c r="K2770" s="5">
        <v>2768</v>
      </c>
      <c r="L2770" s="73">
        <v>-30.699999999999946</v>
      </c>
    </row>
    <row r="2771" spans="11:12" x14ac:dyDescent="0.4">
      <c r="K2771" s="5">
        <v>2769</v>
      </c>
      <c r="L2771" s="73">
        <v>5.1514348342607263E-14</v>
      </c>
    </row>
    <row r="2772" spans="11:12" x14ac:dyDescent="0.4">
      <c r="K2772" s="5">
        <v>2770</v>
      </c>
      <c r="L2772" s="73">
        <v>-20.599999999999952</v>
      </c>
    </row>
    <row r="2773" spans="11:12" x14ac:dyDescent="0.4">
      <c r="K2773" s="5">
        <v>2771</v>
      </c>
      <c r="L2773" s="73">
        <v>39.600000000000051</v>
      </c>
    </row>
    <row r="2774" spans="11:12" x14ac:dyDescent="0.4">
      <c r="K2774" s="5">
        <v>2772</v>
      </c>
      <c r="L2774" s="73">
        <v>5.1514348342607263E-14</v>
      </c>
    </row>
    <row r="2775" spans="11:12" x14ac:dyDescent="0.4">
      <c r="K2775" s="5">
        <v>2773</v>
      </c>
      <c r="L2775" s="73">
        <v>34.400000000000048</v>
      </c>
    </row>
    <row r="2776" spans="11:12" x14ac:dyDescent="0.4">
      <c r="K2776" s="5">
        <v>2774</v>
      </c>
      <c r="L2776" s="73">
        <v>22.900000000000048</v>
      </c>
    </row>
    <row r="2777" spans="11:12" x14ac:dyDescent="0.4">
      <c r="K2777" s="5">
        <v>2775</v>
      </c>
      <c r="L2777" s="73">
        <v>5.1514348342607263E-14</v>
      </c>
    </row>
    <row r="2778" spans="11:12" x14ac:dyDescent="0.4">
      <c r="K2778" s="5">
        <v>2776</v>
      </c>
      <c r="L2778" s="73">
        <v>4.2000000000000517</v>
      </c>
    </row>
    <row r="2779" spans="11:12" x14ac:dyDescent="0.4">
      <c r="K2779" s="5">
        <v>2777</v>
      </c>
      <c r="L2779" s="73">
        <v>34.400000000000048</v>
      </c>
    </row>
    <row r="2780" spans="11:12" x14ac:dyDescent="0.4">
      <c r="K2780" s="5">
        <v>2778</v>
      </c>
      <c r="L2780" s="73">
        <v>5.1514348342607263E-14</v>
      </c>
    </row>
    <row r="2781" spans="11:12" x14ac:dyDescent="0.4">
      <c r="K2781" s="5">
        <v>2779</v>
      </c>
      <c r="L2781" s="73">
        <v>-28.799999999999947</v>
      </c>
    </row>
    <row r="2782" spans="11:12" x14ac:dyDescent="0.4">
      <c r="K2782" s="5">
        <v>2780</v>
      </c>
      <c r="L2782" s="73">
        <v>-87.099999999999952</v>
      </c>
    </row>
    <row r="2783" spans="11:12" x14ac:dyDescent="0.4">
      <c r="K2783" s="5">
        <v>2781</v>
      </c>
      <c r="L2783" s="73">
        <v>4.4408920985006262E-14</v>
      </c>
    </row>
    <row r="2784" spans="11:12" x14ac:dyDescent="0.4">
      <c r="K2784" s="5">
        <v>2782</v>
      </c>
      <c r="L2784" s="73">
        <v>2.8000000000000442</v>
      </c>
    </row>
    <row r="2785" spans="11:12" x14ac:dyDescent="0.4">
      <c r="K2785" s="5">
        <v>2783</v>
      </c>
      <c r="L2785" s="73">
        <v>33.30000000000004</v>
      </c>
    </row>
    <row r="2786" spans="11:12" x14ac:dyDescent="0.4">
      <c r="K2786" s="5">
        <v>2784</v>
      </c>
      <c r="L2786" s="73">
        <v>4.4408920985006262E-14</v>
      </c>
    </row>
    <row r="2787" spans="11:12" x14ac:dyDescent="0.4">
      <c r="K2787" s="5">
        <v>2785</v>
      </c>
      <c r="L2787" s="73">
        <v>-11.999999999999956</v>
      </c>
    </row>
    <row r="2788" spans="11:12" x14ac:dyDescent="0.4">
      <c r="K2788" s="5">
        <v>2786</v>
      </c>
      <c r="L2788" s="73">
        <v>-62.399999999999956</v>
      </c>
    </row>
    <row r="2789" spans="11:12" x14ac:dyDescent="0.4">
      <c r="K2789" s="5">
        <v>2787</v>
      </c>
      <c r="L2789" s="73">
        <v>4.4408920985006262E-14</v>
      </c>
    </row>
    <row r="2790" spans="11:12" x14ac:dyDescent="0.4">
      <c r="K2790" s="5">
        <v>2788</v>
      </c>
      <c r="L2790" s="73">
        <v>22.100000000000044</v>
      </c>
    </row>
    <row r="2791" spans="11:12" x14ac:dyDescent="0.4">
      <c r="K2791" s="5">
        <v>2789</v>
      </c>
      <c r="L2791" s="73">
        <v>23.400000000000048</v>
      </c>
    </row>
    <row r="2792" spans="11:12" x14ac:dyDescent="0.4">
      <c r="K2792" s="5">
        <v>2790</v>
      </c>
      <c r="L2792" s="73">
        <v>4.7961634663806763E-14</v>
      </c>
    </row>
    <row r="2793" spans="11:12" x14ac:dyDescent="0.4">
      <c r="K2793" s="5">
        <v>2791</v>
      </c>
      <c r="L2793" s="73">
        <v>60.600000000000051</v>
      </c>
    </row>
    <row r="2794" spans="11:12" x14ac:dyDescent="0.4">
      <c r="K2794" s="5">
        <v>2792</v>
      </c>
      <c r="L2794" s="73">
        <v>46.200000000000053</v>
      </c>
    </row>
    <row r="2795" spans="11:12" x14ac:dyDescent="0.4">
      <c r="K2795" s="5">
        <v>2793</v>
      </c>
      <c r="L2795" s="73">
        <v>5.1514348342607263E-14</v>
      </c>
    </row>
    <row r="2796" spans="11:12" x14ac:dyDescent="0.4">
      <c r="K2796" s="5">
        <v>2794</v>
      </c>
      <c r="L2796" s="73">
        <v>-38.49999999999995</v>
      </c>
    </row>
    <row r="2797" spans="11:12" x14ac:dyDescent="0.4">
      <c r="K2797" s="5">
        <v>2795</v>
      </c>
      <c r="L2797" s="73">
        <v>-26.299999999999947</v>
      </c>
    </row>
    <row r="2798" spans="11:12" x14ac:dyDescent="0.4">
      <c r="K2798" s="5">
        <v>2796</v>
      </c>
      <c r="L2798" s="73">
        <v>5.1514348342607263E-14</v>
      </c>
    </row>
    <row r="2799" spans="11:12" x14ac:dyDescent="0.4">
      <c r="K2799" s="5">
        <v>2797</v>
      </c>
      <c r="L2799" s="73">
        <v>39.800000000000047</v>
      </c>
    </row>
    <row r="2800" spans="11:12" x14ac:dyDescent="0.4">
      <c r="K2800" s="5">
        <v>2798</v>
      </c>
      <c r="L2800" s="73">
        <v>-10.699999999999951</v>
      </c>
    </row>
    <row r="2801" spans="11:12" x14ac:dyDescent="0.4">
      <c r="K2801" s="5">
        <v>2799</v>
      </c>
      <c r="L2801" s="73">
        <v>4.7961634663806763E-14</v>
      </c>
    </row>
    <row r="2802" spans="11:12" x14ac:dyDescent="0.4">
      <c r="K2802" s="5">
        <v>2800</v>
      </c>
      <c r="L2802" s="73">
        <v>-31.999999999999957</v>
      </c>
    </row>
    <row r="2803" spans="11:12" x14ac:dyDescent="0.4">
      <c r="K2803" s="5">
        <v>2801</v>
      </c>
      <c r="L2803" s="73">
        <v>1.900000000000043</v>
      </c>
    </row>
    <row r="2804" spans="11:12" x14ac:dyDescent="0.4">
      <c r="K2804" s="5">
        <v>2802</v>
      </c>
      <c r="L2804" s="73">
        <v>4.3076653355456074E-14</v>
      </c>
    </row>
    <row r="2805" spans="11:12" x14ac:dyDescent="0.4">
      <c r="K2805" s="5">
        <v>2803</v>
      </c>
      <c r="L2805" s="73">
        <v>-42.299999999999955</v>
      </c>
    </row>
    <row r="2806" spans="11:12" x14ac:dyDescent="0.4">
      <c r="K2806" s="5">
        <v>2804</v>
      </c>
      <c r="L2806" s="73">
        <v>-60.799999999999955</v>
      </c>
    </row>
    <row r="2807" spans="11:12" x14ac:dyDescent="0.4">
      <c r="K2807" s="5">
        <v>2805</v>
      </c>
      <c r="L2807" s="73">
        <v>4.4408920985006262E-14</v>
      </c>
    </row>
    <row r="2808" spans="11:12" x14ac:dyDescent="0.4">
      <c r="K2808" s="5">
        <v>2806</v>
      </c>
      <c r="L2808" s="73">
        <v>33.000000000000043</v>
      </c>
    </row>
    <row r="2809" spans="11:12" x14ac:dyDescent="0.4">
      <c r="K2809" s="5">
        <v>2807</v>
      </c>
      <c r="L2809" s="73">
        <v>-1.9999999999999556</v>
      </c>
    </row>
    <row r="2810" spans="11:12" x14ac:dyDescent="0.4">
      <c r="K2810" s="5">
        <v>2808</v>
      </c>
      <c r="L2810" s="73">
        <v>4.4408920985006262E-14</v>
      </c>
    </row>
    <row r="2811" spans="11:12" x14ac:dyDescent="0.4">
      <c r="K2811" s="5">
        <v>2809</v>
      </c>
      <c r="L2811" s="73">
        <v>26.800000000000047</v>
      </c>
    </row>
    <row r="2812" spans="11:12" x14ac:dyDescent="0.4">
      <c r="K2812" s="5">
        <v>2810</v>
      </c>
      <c r="L2812" s="73">
        <v>32.200000000000045</v>
      </c>
    </row>
    <row r="2813" spans="11:12" x14ac:dyDescent="0.4">
      <c r="K2813" s="5">
        <v>2811</v>
      </c>
      <c r="L2813" s="73">
        <v>4.4408920985006262E-14</v>
      </c>
    </row>
    <row r="2814" spans="11:12" x14ac:dyDescent="0.4">
      <c r="K2814" s="5">
        <v>2812</v>
      </c>
      <c r="L2814" s="73">
        <v>45.200000000000045</v>
      </c>
    </row>
    <row r="2815" spans="11:12" x14ac:dyDescent="0.4">
      <c r="K2815" s="5">
        <v>2813</v>
      </c>
      <c r="L2815" s="73">
        <v>10.200000000000047</v>
      </c>
    </row>
    <row r="2816" spans="11:12" x14ac:dyDescent="0.4">
      <c r="K2816" s="5">
        <v>2814</v>
      </c>
      <c r="L2816" s="73">
        <v>4.7961634663806763E-14</v>
      </c>
    </row>
    <row r="2817" spans="11:12" x14ac:dyDescent="0.4">
      <c r="K2817" s="5">
        <v>2815</v>
      </c>
      <c r="L2817" s="73">
        <v>-12.499999999999952</v>
      </c>
    </row>
    <row r="2818" spans="11:12" x14ac:dyDescent="0.4">
      <c r="K2818" s="5">
        <v>2816</v>
      </c>
      <c r="L2818" s="73">
        <v>-12.199999999999951</v>
      </c>
    </row>
    <row r="2819" spans="11:12" x14ac:dyDescent="0.4">
      <c r="K2819" s="5">
        <v>2817</v>
      </c>
      <c r="L2819" s="73">
        <v>4.7961634663806763E-14</v>
      </c>
    </row>
    <row r="2820" spans="11:12" x14ac:dyDescent="0.4">
      <c r="K2820" s="5">
        <v>2818</v>
      </c>
      <c r="L2820" s="73">
        <v>-65.499999999999957</v>
      </c>
    </row>
    <row r="2821" spans="11:12" x14ac:dyDescent="0.4">
      <c r="K2821" s="5">
        <v>2819</v>
      </c>
      <c r="L2821" s="73">
        <v>-11.999999999999956</v>
      </c>
    </row>
    <row r="2822" spans="11:12" x14ac:dyDescent="0.4">
      <c r="K2822" s="5">
        <v>2820</v>
      </c>
      <c r="L2822" s="73">
        <v>4.4408920985006262E-14</v>
      </c>
    </row>
    <row r="2823" spans="11:12" x14ac:dyDescent="0.4">
      <c r="K2823" s="5">
        <v>2821</v>
      </c>
      <c r="L2823" s="73">
        <v>-9.1999999999999549</v>
      </c>
    </row>
    <row r="2824" spans="11:12" x14ac:dyDescent="0.4">
      <c r="K2824" s="5">
        <v>2822</v>
      </c>
      <c r="L2824" s="73">
        <v>-39.69999999999996</v>
      </c>
    </row>
    <row r="2825" spans="11:12" x14ac:dyDescent="0.4">
      <c r="K2825" s="5">
        <v>2823</v>
      </c>
      <c r="L2825" s="73">
        <v>4.4408920985006262E-14</v>
      </c>
    </row>
    <row r="2826" spans="11:12" x14ac:dyDescent="0.4">
      <c r="K2826" s="5">
        <v>2824</v>
      </c>
      <c r="L2826" s="73">
        <v>-36.299999999999955</v>
      </c>
    </row>
    <row r="2827" spans="11:12" x14ac:dyDescent="0.4">
      <c r="K2827" s="5">
        <v>2825</v>
      </c>
      <c r="L2827" s="73">
        <v>-56.299999999999955</v>
      </c>
    </row>
    <row r="2828" spans="11:12" x14ac:dyDescent="0.4">
      <c r="K2828" s="5">
        <v>2826</v>
      </c>
      <c r="L2828" s="73">
        <v>4.4408920985006262E-14</v>
      </c>
    </row>
    <row r="2829" spans="11:12" x14ac:dyDescent="0.4">
      <c r="K2829" s="5">
        <v>2827</v>
      </c>
      <c r="L2829" s="73">
        <v>-37.19999999999996</v>
      </c>
    </row>
    <row r="2830" spans="11:12" x14ac:dyDescent="0.4">
      <c r="K2830" s="5">
        <v>2828</v>
      </c>
      <c r="L2830" s="73">
        <v>-8.3999999999999577</v>
      </c>
    </row>
    <row r="2831" spans="11:12" x14ac:dyDescent="0.4">
      <c r="K2831" s="5">
        <v>2829</v>
      </c>
      <c r="L2831" s="73">
        <v>4.2632564145606011E-14</v>
      </c>
    </row>
    <row r="2832" spans="11:12" x14ac:dyDescent="0.4">
      <c r="K2832" s="5">
        <v>2830</v>
      </c>
      <c r="L2832" s="73">
        <v>-27.399999999999956</v>
      </c>
    </row>
    <row r="2833" spans="11:12" x14ac:dyDescent="0.4">
      <c r="K2833" s="5">
        <v>2831</v>
      </c>
      <c r="L2833" s="73">
        <v>-35.69999999999996</v>
      </c>
    </row>
    <row r="2834" spans="11:12" x14ac:dyDescent="0.4">
      <c r="K2834" s="5">
        <v>2832</v>
      </c>
      <c r="L2834" s="73">
        <v>4.4408920985006262E-14</v>
      </c>
    </row>
    <row r="2835" spans="11:12" x14ac:dyDescent="0.4">
      <c r="K2835" s="5">
        <v>2833</v>
      </c>
      <c r="L2835" s="73">
        <v>-3.3999999999999555</v>
      </c>
    </row>
    <row r="2836" spans="11:12" x14ac:dyDescent="0.4">
      <c r="K2836" s="5">
        <v>2834</v>
      </c>
      <c r="L2836" s="73">
        <v>17.600000000000044</v>
      </c>
    </row>
    <row r="2837" spans="11:12" x14ac:dyDescent="0.4">
      <c r="K2837" s="5">
        <v>2835</v>
      </c>
      <c r="L2837" s="73">
        <v>4.4408920985006262E-14</v>
      </c>
    </row>
    <row r="2838" spans="11:12" x14ac:dyDescent="0.4">
      <c r="K2838" s="5">
        <v>2836</v>
      </c>
      <c r="L2838" s="73">
        <v>-10.999999999999956</v>
      </c>
    </row>
    <row r="2839" spans="11:12" x14ac:dyDescent="0.4">
      <c r="K2839" s="5">
        <v>2837</v>
      </c>
      <c r="L2839" s="73">
        <v>27.200000000000045</v>
      </c>
    </row>
    <row r="2840" spans="11:12" x14ac:dyDescent="0.4">
      <c r="K2840" s="5">
        <v>2838</v>
      </c>
      <c r="L2840" s="73">
        <v>4.7961634663806763E-14</v>
      </c>
    </row>
    <row r="2841" spans="11:12" x14ac:dyDescent="0.4">
      <c r="K2841" s="5">
        <v>2839</v>
      </c>
      <c r="L2841" s="73">
        <v>-28.699999999999953</v>
      </c>
    </row>
    <row r="2842" spans="11:12" x14ac:dyDescent="0.4">
      <c r="K2842" s="5">
        <v>2840</v>
      </c>
      <c r="L2842" s="73">
        <v>-27.899999999999949</v>
      </c>
    </row>
    <row r="2843" spans="11:12" x14ac:dyDescent="0.4">
      <c r="K2843" s="5">
        <v>2841</v>
      </c>
      <c r="L2843" s="73">
        <v>4.7961634663806763E-14</v>
      </c>
    </row>
    <row r="2844" spans="11:12" x14ac:dyDescent="0.4">
      <c r="K2844" s="5">
        <v>2842</v>
      </c>
      <c r="L2844" s="73">
        <v>-43.999999999999957</v>
      </c>
    </row>
    <row r="2845" spans="11:12" x14ac:dyDescent="0.4">
      <c r="K2845" s="5">
        <v>2843</v>
      </c>
      <c r="L2845" s="73">
        <v>0.80000000000004157</v>
      </c>
    </row>
    <row r="2846" spans="11:12" x14ac:dyDescent="0.4">
      <c r="K2846" s="5">
        <v>2844</v>
      </c>
      <c r="L2846" s="73">
        <v>4.1522341120980855E-14</v>
      </c>
    </row>
    <row r="2847" spans="11:12" x14ac:dyDescent="0.4">
      <c r="K2847" s="5">
        <v>2845</v>
      </c>
      <c r="L2847" s="73">
        <v>-18.899999999999956</v>
      </c>
    </row>
    <row r="2848" spans="11:12" x14ac:dyDescent="0.4">
      <c r="K2848" s="5">
        <v>2846</v>
      </c>
      <c r="L2848" s="73">
        <v>-56.399999999999963</v>
      </c>
    </row>
    <row r="2849" spans="11:12" x14ac:dyDescent="0.4">
      <c r="K2849" s="5">
        <v>2847</v>
      </c>
      <c r="L2849" s="73">
        <v>3.730349362740526E-14</v>
      </c>
    </row>
    <row r="2850" spans="11:12" x14ac:dyDescent="0.4">
      <c r="K2850" s="5">
        <v>2848</v>
      </c>
      <c r="L2850" s="73">
        <v>12.200000000000037</v>
      </c>
    </row>
    <row r="2851" spans="11:12" x14ac:dyDescent="0.4">
      <c r="K2851" s="5">
        <v>2849</v>
      </c>
      <c r="L2851" s="73">
        <v>34.500000000000036</v>
      </c>
    </row>
    <row r="2852" spans="11:12" x14ac:dyDescent="0.4">
      <c r="K2852" s="5">
        <v>2850</v>
      </c>
      <c r="L2852" s="73">
        <v>3.730349362740526E-14</v>
      </c>
    </row>
    <row r="2853" spans="11:12" x14ac:dyDescent="0.4">
      <c r="K2853" s="5">
        <v>2851</v>
      </c>
      <c r="L2853" s="73">
        <v>-46.999999999999964</v>
      </c>
    </row>
    <row r="2854" spans="11:12" x14ac:dyDescent="0.4">
      <c r="K2854" s="5">
        <v>2852</v>
      </c>
      <c r="L2854" s="73">
        <v>-47.299999999999962</v>
      </c>
    </row>
    <row r="2855" spans="11:12" x14ac:dyDescent="0.4">
      <c r="K2855" s="5">
        <v>2853</v>
      </c>
      <c r="L2855" s="73">
        <v>3.730349362740526E-14</v>
      </c>
    </row>
    <row r="2856" spans="11:12" x14ac:dyDescent="0.4">
      <c r="K2856" s="5">
        <v>2854</v>
      </c>
      <c r="L2856" s="73">
        <v>-34.499999999999964</v>
      </c>
    </row>
    <row r="2857" spans="11:12" x14ac:dyDescent="0.4">
      <c r="K2857" s="5">
        <v>2855</v>
      </c>
      <c r="L2857" s="73">
        <v>-47.499999999999964</v>
      </c>
    </row>
    <row r="2858" spans="11:12" x14ac:dyDescent="0.4">
      <c r="K2858" s="5">
        <v>2856</v>
      </c>
      <c r="L2858" s="73">
        <v>3.730349362740526E-14</v>
      </c>
    </row>
    <row r="2859" spans="11:12" x14ac:dyDescent="0.4">
      <c r="K2859" s="5">
        <v>2857</v>
      </c>
      <c r="L2859" s="73">
        <v>-21.999999999999964</v>
      </c>
    </row>
    <row r="2860" spans="11:12" x14ac:dyDescent="0.4">
      <c r="K2860" s="5">
        <v>2858</v>
      </c>
      <c r="L2860" s="73">
        <v>-60.699999999999967</v>
      </c>
    </row>
    <row r="2861" spans="11:12" x14ac:dyDescent="0.4">
      <c r="K2861" s="5">
        <v>2859</v>
      </c>
      <c r="L2861" s="73">
        <v>3.730349362740526E-14</v>
      </c>
    </row>
    <row r="2862" spans="11:12" x14ac:dyDescent="0.4">
      <c r="K2862" s="5">
        <v>2860</v>
      </c>
      <c r="L2862" s="73">
        <v>31.200000000000038</v>
      </c>
    </row>
    <row r="2863" spans="11:12" x14ac:dyDescent="0.4">
      <c r="K2863" s="5">
        <v>2861</v>
      </c>
      <c r="L2863" s="73">
        <v>6.7000000000000366</v>
      </c>
    </row>
    <row r="2864" spans="11:12" x14ac:dyDescent="0.4">
      <c r="K2864" s="5">
        <v>2862</v>
      </c>
      <c r="L2864" s="73">
        <v>3.6415315207705135E-14</v>
      </c>
    </row>
    <row r="2865" spans="11:12" x14ac:dyDescent="0.4">
      <c r="K2865" s="5">
        <v>2863</v>
      </c>
      <c r="L2865" s="73">
        <v>-45.299999999999962</v>
      </c>
    </row>
    <row r="2866" spans="11:12" x14ac:dyDescent="0.4">
      <c r="K2866" s="5">
        <v>2864</v>
      </c>
      <c r="L2866" s="73">
        <v>-4.4999999999999627</v>
      </c>
    </row>
    <row r="2867" spans="11:12" x14ac:dyDescent="0.4">
      <c r="K2867" s="5">
        <v>2865</v>
      </c>
      <c r="L2867" s="73">
        <v>3.730349362740526E-14</v>
      </c>
    </row>
    <row r="2868" spans="11:12" x14ac:dyDescent="0.4">
      <c r="K2868" s="5">
        <v>2866</v>
      </c>
      <c r="L2868" s="73">
        <v>-31.69999999999996</v>
      </c>
    </row>
    <row r="2869" spans="11:12" x14ac:dyDescent="0.4">
      <c r="K2869" s="5">
        <v>2867</v>
      </c>
      <c r="L2869" s="73">
        <v>-25.19999999999996</v>
      </c>
    </row>
    <row r="2870" spans="11:12" x14ac:dyDescent="0.4">
      <c r="K2870" s="5">
        <v>2868</v>
      </c>
      <c r="L2870" s="73">
        <v>3.730349362740526E-14</v>
      </c>
    </row>
    <row r="2871" spans="11:12" x14ac:dyDescent="0.4">
      <c r="K2871" s="5">
        <v>2869</v>
      </c>
      <c r="L2871" s="73">
        <v>-61.299999999999962</v>
      </c>
    </row>
    <row r="2872" spans="11:12" x14ac:dyDescent="0.4">
      <c r="K2872" s="5">
        <v>2870</v>
      </c>
      <c r="L2872" s="73">
        <v>-20.099999999999959</v>
      </c>
    </row>
    <row r="2873" spans="11:12" x14ac:dyDescent="0.4">
      <c r="K2873" s="5">
        <v>2871</v>
      </c>
      <c r="L2873" s="73">
        <v>4.4408920985006262E-14</v>
      </c>
    </row>
    <row r="2874" spans="11:12" x14ac:dyDescent="0.4">
      <c r="K2874" s="5">
        <v>2872</v>
      </c>
      <c r="L2874" s="73">
        <v>-25.699999999999953</v>
      </c>
    </row>
    <row r="2875" spans="11:12" x14ac:dyDescent="0.4">
      <c r="K2875" s="5">
        <v>2873</v>
      </c>
      <c r="L2875" s="73">
        <v>7.7000000000000437</v>
      </c>
    </row>
    <row r="2876" spans="11:12" x14ac:dyDescent="0.4">
      <c r="K2876" s="5">
        <v>2874</v>
      </c>
      <c r="L2876" s="73">
        <v>4.3520742565306136E-14</v>
      </c>
    </row>
    <row r="2877" spans="11:12" x14ac:dyDescent="0.4">
      <c r="K2877" s="5">
        <v>2875</v>
      </c>
      <c r="L2877" s="73">
        <v>-31.799999999999955</v>
      </c>
    </row>
    <row r="2878" spans="11:12" x14ac:dyDescent="0.4">
      <c r="K2878" s="5">
        <v>2876</v>
      </c>
      <c r="L2878" s="73">
        <v>-24.19999999999996</v>
      </c>
    </row>
    <row r="2879" spans="11:12" x14ac:dyDescent="0.4">
      <c r="K2879" s="5">
        <v>2877</v>
      </c>
      <c r="L2879" s="73">
        <v>4.0856207306205761E-14</v>
      </c>
    </row>
    <row r="2880" spans="11:12" x14ac:dyDescent="0.4">
      <c r="K2880" s="5">
        <v>2878</v>
      </c>
      <c r="L2880" s="73">
        <v>-0.59999999999995912</v>
      </c>
    </row>
    <row r="2881" spans="11:12" x14ac:dyDescent="0.4">
      <c r="K2881" s="5">
        <v>2879</v>
      </c>
      <c r="L2881" s="73">
        <v>-25.19999999999996</v>
      </c>
    </row>
    <row r="2882" spans="11:12" x14ac:dyDescent="0.4">
      <c r="K2882" s="5">
        <v>2880</v>
      </c>
      <c r="L2882" s="73">
        <v>3.730349362740526E-14</v>
      </c>
    </row>
    <row r="2883" spans="11:12" x14ac:dyDescent="0.4">
      <c r="K2883" s="5">
        <v>2881</v>
      </c>
      <c r="L2883" s="73">
        <v>31.700000000000038</v>
      </c>
    </row>
    <row r="2884" spans="11:12" x14ac:dyDescent="0.4">
      <c r="K2884" s="5">
        <v>2882</v>
      </c>
      <c r="L2884" s="73">
        <v>23.800000000000033</v>
      </c>
    </row>
    <row r="2885" spans="11:12" x14ac:dyDescent="0.4">
      <c r="K2885" s="5">
        <v>2883</v>
      </c>
      <c r="L2885" s="73">
        <v>3.3750779948604759E-14</v>
      </c>
    </row>
    <row r="2886" spans="11:12" x14ac:dyDescent="0.4">
      <c r="K2886" s="5">
        <v>2884</v>
      </c>
      <c r="L2886" s="73">
        <v>-7.7999999999999661</v>
      </c>
    </row>
    <row r="2887" spans="11:12" x14ac:dyDescent="0.4">
      <c r="K2887" s="5">
        <v>2885</v>
      </c>
      <c r="L2887" s="73">
        <v>-32.199999999999967</v>
      </c>
    </row>
    <row r="2888" spans="11:12" x14ac:dyDescent="0.4">
      <c r="K2888" s="5">
        <v>2886</v>
      </c>
      <c r="L2888" s="73">
        <v>3.730349362740526E-14</v>
      </c>
    </row>
    <row r="2889" spans="11:12" x14ac:dyDescent="0.4">
      <c r="K2889" s="5">
        <v>2887</v>
      </c>
      <c r="L2889" s="73">
        <v>-2.8999999999999626</v>
      </c>
    </row>
    <row r="2890" spans="11:12" x14ac:dyDescent="0.4">
      <c r="K2890" s="5">
        <v>2888</v>
      </c>
      <c r="L2890" s="73">
        <v>33.100000000000037</v>
      </c>
    </row>
    <row r="2891" spans="11:12" x14ac:dyDescent="0.4">
      <c r="K2891" s="5">
        <v>2889</v>
      </c>
      <c r="L2891" s="73">
        <v>3.730349362740526E-14</v>
      </c>
    </row>
    <row r="2892" spans="11:12" x14ac:dyDescent="0.4">
      <c r="K2892" s="5">
        <v>2890</v>
      </c>
      <c r="L2892" s="73">
        <v>32.000000000000036</v>
      </c>
    </row>
    <row r="2893" spans="11:12" x14ac:dyDescent="0.4">
      <c r="K2893" s="5">
        <v>2891</v>
      </c>
      <c r="L2893" s="73">
        <v>38.000000000000036</v>
      </c>
    </row>
    <row r="2894" spans="11:12" x14ac:dyDescent="0.4">
      <c r="K2894" s="5">
        <v>2892</v>
      </c>
      <c r="L2894" s="73">
        <v>3.730349362740526E-14</v>
      </c>
    </row>
    <row r="2895" spans="11:12" x14ac:dyDescent="0.4">
      <c r="K2895" s="5">
        <v>2893</v>
      </c>
      <c r="L2895" s="73">
        <v>-52.999999999999964</v>
      </c>
    </row>
    <row r="2896" spans="11:12" x14ac:dyDescent="0.4">
      <c r="K2896" s="5">
        <v>2894</v>
      </c>
      <c r="L2896" s="73">
        <v>-11.499999999999963</v>
      </c>
    </row>
    <row r="2897" spans="11:12" x14ac:dyDescent="0.4">
      <c r="K2897" s="5">
        <v>2895</v>
      </c>
      <c r="L2897" s="73">
        <v>3.730349362740526E-14</v>
      </c>
    </row>
    <row r="2898" spans="11:12" x14ac:dyDescent="0.4">
      <c r="K2898" s="5">
        <v>2896</v>
      </c>
      <c r="L2898" s="73">
        <v>-53.199999999999967</v>
      </c>
    </row>
    <row r="2899" spans="11:12" x14ac:dyDescent="0.4">
      <c r="K2899" s="5">
        <v>2897</v>
      </c>
      <c r="L2899" s="73">
        <v>-16.599999999999966</v>
      </c>
    </row>
    <row r="2900" spans="11:12" x14ac:dyDescent="0.4">
      <c r="K2900" s="5">
        <v>2898</v>
      </c>
      <c r="L2900" s="73">
        <v>3.730349362740526E-14</v>
      </c>
    </row>
    <row r="2901" spans="11:12" x14ac:dyDescent="0.4">
      <c r="K2901" s="5">
        <v>2899</v>
      </c>
      <c r="L2901" s="73">
        <v>-23.19999999999996</v>
      </c>
    </row>
    <row r="2902" spans="11:12" x14ac:dyDescent="0.4">
      <c r="K2902" s="5">
        <v>2900</v>
      </c>
      <c r="L2902" s="73">
        <v>-31.899999999999963</v>
      </c>
    </row>
    <row r="2903" spans="11:12" x14ac:dyDescent="0.4">
      <c r="K2903" s="5">
        <v>2901</v>
      </c>
      <c r="L2903" s="73">
        <v>3.730349362740526E-14</v>
      </c>
    </row>
    <row r="2904" spans="11:12" x14ac:dyDescent="0.4">
      <c r="K2904" s="5">
        <v>2902</v>
      </c>
      <c r="L2904" s="73">
        <v>-47.399999999999963</v>
      </c>
    </row>
    <row r="2905" spans="11:12" x14ac:dyDescent="0.4">
      <c r="K2905" s="5">
        <v>2903</v>
      </c>
      <c r="L2905" s="73">
        <v>-41.499999999999964</v>
      </c>
    </row>
    <row r="2906" spans="11:12" x14ac:dyDescent="0.4">
      <c r="K2906" s="5">
        <v>2904</v>
      </c>
      <c r="L2906" s="73">
        <v>3.730349362740526E-14</v>
      </c>
    </row>
    <row r="2907" spans="11:12" x14ac:dyDescent="0.4">
      <c r="K2907" s="5">
        <v>2905</v>
      </c>
      <c r="L2907" s="73">
        <v>-10.899999999999963</v>
      </c>
    </row>
    <row r="2908" spans="11:12" x14ac:dyDescent="0.4">
      <c r="K2908" s="5">
        <v>2906</v>
      </c>
      <c r="L2908" s="73">
        <v>-49.599999999999966</v>
      </c>
    </row>
    <row r="2909" spans="11:12" x14ac:dyDescent="0.4">
      <c r="K2909" s="5">
        <v>2907</v>
      </c>
      <c r="L2909" s="73">
        <v>3.730349362740526E-14</v>
      </c>
    </row>
    <row r="2910" spans="11:12" x14ac:dyDescent="0.4">
      <c r="K2910" s="5">
        <v>2908</v>
      </c>
      <c r="L2910" s="73">
        <v>9.2000000000000366</v>
      </c>
    </row>
    <row r="2911" spans="11:12" x14ac:dyDescent="0.4">
      <c r="K2911" s="5">
        <v>2909</v>
      </c>
      <c r="L2911" s="73">
        <v>45.500000000000028</v>
      </c>
    </row>
    <row r="2912" spans="11:12" x14ac:dyDescent="0.4">
      <c r="K2912" s="5">
        <v>2910</v>
      </c>
      <c r="L2912" s="73">
        <v>3.0198066269804258E-14</v>
      </c>
    </row>
    <row r="2913" spans="11:12" x14ac:dyDescent="0.4">
      <c r="K2913" s="5">
        <v>2911</v>
      </c>
      <c r="L2913" s="73">
        <v>30.300000000000033</v>
      </c>
    </row>
    <row r="2914" spans="11:12" x14ac:dyDescent="0.4">
      <c r="K2914" s="5">
        <v>2912</v>
      </c>
      <c r="L2914" s="73">
        <v>46.500000000000028</v>
      </c>
    </row>
    <row r="2915" spans="11:12" x14ac:dyDescent="0.4">
      <c r="K2915" s="5">
        <v>2913</v>
      </c>
      <c r="L2915" s="73">
        <v>3.0198066269804258E-14</v>
      </c>
    </row>
    <row r="2916" spans="11:12" x14ac:dyDescent="0.4">
      <c r="K2916" s="5">
        <v>2914</v>
      </c>
      <c r="L2916" s="73">
        <v>30.400000000000027</v>
      </c>
    </row>
    <row r="2917" spans="11:12" x14ac:dyDescent="0.4">
      <c r="K2917" s="5">
        <v>2915</v>
      </c>
      <c r="L2917" s="73">
        <v>45.500000000000028</v>
      </c>
    </row>
    <row r="2918" spans="11:12" x14ac:dyDescent="0.4">
      <c r="K2918" s="5">
        <v>2916</v>
      </c>
      <c r="L2918" s="73">
        <v>3.0198066269804258E-14</v>
      </c>
    </row>
    <row r="2919" spans="11:12" x14ac:dyDescent="0.4">
      <c r="K2919" s="5">
        <v>2917</v>
      </c>
      <c r="L2919" s="73">
        <v>34.60000000000003</v>
      </c>
    </row>
    <row r="2920" spans="11:12" x14ac:dyDescent="0.4">
      <c r="K2920" s="5">
        <v>2918</v>
      </c>
      <c r="L2920" s="73">
        <v>-11.49999999999997</v>
      </c>
    </row>
    <row r="2921" spans="11:12" x14ac:dyDescent="0.4">
      <c r="K2921" s="5">
        <v>2919</v>
      </c>
      <c r="L2921" s="73">
        <v>3.0198066269804258E-14</v>
      </c>
    </row>
    <row r="2922" spans="11:12" x14ac:dyDescent="0.4">
      <c r="K2922" s="5">
        <v>2920</v>
      </c>
      <c r="L2922" s="73">
        <v>1.3000000000000302</v>
      </c>
    </row>
    <row r="2923" spans="11:12" x14ac:dyDescent="0.4">
      <c r="K2923" s="5">
        <v>2921</v>
      </c>
      <c r="L2923" s="73">
        <v>-15.799999999999971</v>
      </c>
    </row>
    <row r="2924" spans="11:12" x14ac:dyDescent="0.4">
      <c r="K2924" s="5">
        <v>2922</v>
      </c>
      <c r="L2924" s="73">
        <v>3.0198066269804258E-14</v>
      </c>
    </row>
    <row r="2925" spans="11:12" x14ac:dyDescent="0.4">
      <c r="K2925" s="5">
        <v>2923</v>
      </c>
      <c r="L2925" s="73">
        <v>74.100000000000023</v>
      </c>
    </row>
    <row r="2926" spans="11:12" x14ac:dyDescent="0.4">
      <c r="K2926" s="5">
        <v>2924</v>
      </c>
      <c r="L2926" s="73">
        <v>27.500000000000021</v>
      </c>
    </row>
    <row r="2927" spans="11:12" x14ac:dyDescent="0.4">
      <c r="K2927" s="5">
        <v>2925</v>
      </c>
      <c r="L2927" s="73">
        <v>2.3092638912203256E-14</v>
      </c>
    </row>
    <row r="2928" spans="11:12" x14ac:dyDescent="0.4">
      <c r="K2928" s="5">
        <v>2926</v>
      </c>
      <c r="L2928" s="73">
        <v>62.600000000000023</v>
      </c>
    </row>
    <row r="2929" spans="11:12" x14ac:dyDescent="0.4">
      <c r="K2929" s="5">
        <v>2927</v>
      </c>
      <c r="L2929" s="73">
        <v>9.5000000000000231</v>
      </c>
    </row>
    <row r="2930" spans="11:12" x14ac:dyDescent="0.4">
      <c r="K2930" s="5">
        <v>2928</v>
      </c>
      <c r="L2930" s="73">
        <v>2.3092638912203256E-14</v>
      </c>
    </row>
    <row r="2931" spans="11:12" x14ac:dyDescent="0.4">
      <c r="K2931" s="5">
        <v>2929</v>
      </c>
      <c r="L2931" s="73">
        <v>-51.999999999999979</v>
      </c>
    </row>
    <row r="2932" spans="11:12" x14ac:dyDescent="0.4">
      <c r="K2932" s="5">
        <v>2930</v>
      </c>
      <c r="L2932" s="73">
        <v>-55.499999999999979</v>
      </c>
    </row>
    <row r="2933" spans="11:12" x14ac:dyDescent="0.4">
      <c r="K2933" s="5">
        <v>2931</v>
      </c>
      <c r="L2933" s="73">
        <v>2.3092638912203256E-14</v>
      </c>
    </row>
    <row r="2934" spans="11:12" x14ac:dyDescent="0.4">
      <c r="K2934" s="5">
        <v>2932</v>
      </c>
      <c r="L2934" s="73">
        <v>-45.199999999999982</v>
      </c>
    </row>
    <row r="2935" spans="11:12" x14ac:dyDescent="0.4">
      <c r="K2935" s="5">
        <v>2933</v>
      </c>
      <c r="L2935" s="73">
        <v>-28.199999999999982</v>
      </c>
    </row>
    <row r="2936" spans="11:12" x14ac:dyDescent="0.4">
      <c r="K2936" s="5">
        <v>2934</v>
      </c>
      <c r="L2936" s="73">
        <v>1.9539925233402755E-14</v>
      </c>
    </row>
    <row r="2937" spans="11:12" x14ac:dyDescent="0.4">
      <c r="K2937" s="5">
        <v>2935</v>
      </c>
      <c r="L2937" s="73">
        <v>24.100000000000023</v>
      </c>
    </row>
    <row r="2938" spans="11:12" x14ac:dyDescent="0.4">
      <c r="K2938" s="5">
        <v>2936</v>
      </c>
      <c r="L2938" s="73">
        <v>24.90000000000002</v>
      </c>
    </row>
    <row r="2939" spans="11:12" x14ac:dyDescent="0.4">
      <c r="K2939" s="5">
        <v>2937</v>
      </c>
      <c r="L2939" s="73">
        <v>2.3092638912203256E-14</v>
      </c>
    </row>
    <row r="2940" spans="11:12" x14ac:dyDescent="0.4">
      <c r="K2940" s="5">
        <v>2938</v>
      </c>
      <c r="L2940" s="73">
        <v>22.40000000000002</v>
      </c>
    </row>
    <row r="2941" spans="11:12" x14ac:dyDescent="0.4">
      <c r="K2941" s="5">
        <v>2939</v>
      </c>
      <c r="L2941" s="73">
        <v>17.40000000000002</v>
      </c>
    </row>
    <row r="2942" spans="11:12" x14ac:dyDescent="0.4">
      <c r="K2942" s="5">
        <v>2940</v>
      </c>
      <c r="L2942" s="73">
        <v>2.3092638912203256E-14</v>
      </c>
    </row>
    <row r="2943" spans="11:12" x14ac:dyDescent="0.4">
      <c r="K2943" s="5">
        <v>2941</v>
      </c>
      <c r="L2943" s="73">
        <v>-35.999999999999979</v>
      </c>
    </row>
    <row r="2944" spans="11:12" x14ac:dyDescent="0.4">
      <c r="K2944" s="5">
        <v>2942</v>
      </c>
      <c r="L2944" s="73">
        <v>4.7000000000000259</v>
      </c>
    </row>
    <row r="2945" spans="11:12" x14ac:dyDescent="0.4">
      <c r="K2945" s="5">
        <v>2943</v>
      </c>
      <c r="L2945" s="73">
        <v>2.5757174171303632E-14</v>
      </c>
    </row>
    <row r="2946" spans="11:12" x14ac:dyDescent="0.4">
      <c r="K2946" s="5">
        <v>2944</v>
      </c>
      <c r="L2946" s="73">
        <v>-13.299999999999974</v>
      </c>
    </row>
    <row r="2947" spans="11:12" x14ac:dyDescent="0.4">
      <c r="K2947" s="5">
        <v>2945</v>
      </c>
      <c r="L2947" s="73">
        <v>-13.999999999999973</v>
      </c>
    </row>
    <row r="2948" spans="11:12" x14ac:dyDescent="0.4">
      <c r="K2948" s="5">
        <v>2946</v>
      </c>
      <c r="L2948" s="73">
        <v>2.6645352591003757E-14</v>
      </c>
    </row>
    <row r="2949" spans="11:12" x14ac:dyDescent="0.4">
      <c r="K2949" s="5">
        <v>2947</v>
      </c>
      <c r="L2949" s="73">
        <v>6.8000000000000265</v>
      </c>
    </row>
    <row r="2950" spans="11:12" x14ac:dyDescent="0.4">
      <c r="K2950" s="5">
        <v>2948</v>
      </c>
      <c r="L2950" s="73">
        <v>35.800000000000026</v>
      </c>
    </row>
    <row r="2951" spans="11:12" x14ac:dyDescent="0.4">
      <c r="K2951" s="5">
        <v>2949</v>
      </c>
      <c r="L2951" s="73">
        <v>3.0198066269804258E-14</v>
      </c>
    </row>
    <row r="2952" spans="11:12" x14ac:dyDescent="0.4">
      <c r="K2952" s="5">
        <v>2950</v>
      </c>
      <c r="L2952" s="73">
        <v>-47.599999999999973</v>
      </c>
    </row>
    <row r="2953" spans="11:12" x14ac:dyDescent="0.4">
      <c r="K2953" s="5">
        <v>2951</v>
      </c>
      <c r="L2953" s="73">
        <v>19.300000000000033</v>
      </c>
    </row>
    <row r="2954" spans="11:12" x14ac:dyDescent="0.4">
      <c r="K2954" s="5">
        <v>2952</v>
      </c>
      <c r="L2954" s="73">
        <v>3.3750779948604759E-14</v>
      </c>
    </row>
    <row r="2955" spans="11:12" x14ac:dyDescent="0.4">
      <c r="K2955" s="5">
        <v>2953</v>
      </c>
      <c r="L2955" s="73">
        <v>16.700000000000031</v>
      </c>
    </row>
    <row r="2956" spans="11:12" x14ac:dyDescent="0.4">
      <c r="K2956" s="5">
        <v>2954</v>
      </c>
      <c r="L2956" s="73">
        <v>46.700000000000031</v>
      </c>
    </row>
    <row r="2957" spans="11:12" x14ac:dyDescent="0.4">
      <c r="K2957" s="5">
        <v>2955</v>
      </c>
      <c r="L2957" s="73">
        <v>3.0198066269804258E-14</v>
      </c>
    </row>
    <row r="2958" spans="11:12" x14ac:dyDescent="0.4">
      <c r="K2958" s="5">
        <v>2956</v>
      </c>
      <c r="L2958" s="73">
        <v>-62.199999999999974</v>
      </c>
    </row>
    <row r="2959" spans="11:12" x14ac:dyDescent="0.4">
      <c r="K2959" s="5">
        <v>2957</v>
      </c>
      <c r="L2959" s="73">
        <v>-3.1999999999999726</v>
      </c>
    </row>
    <row r="2960" spans="11:12" x14ac:dyDescent="0.4">
      <c r="K2960" s="5">
        <v>2958</v>
      </c>
      <c r="L2960" s="73">
        <v>2.7533531010703882E-14</v>
      </c>
    </row>
    <row r="2961" spans="11:12" x14ac:dyDescent="0.4">
      <c r="K2961" s="5">
        <v>2959</v>
      </c>
      <c r="L2961" s="73">
        <v>16.500000000000028</v>
      </c>
    </row>
    <row r="2962" spans="11:12" x14ac:dyDescent="0.4">
      <c r="K2962" s="5">
        <v>2960</v>
      </c>
      <c r="L2962" s="73">
        <v>16.200000000000024</v>
      </c>
    </row>
    <row r="2963" spans="11:12" x14ac:dyDescent="0.4">
      <c r="K2963" s="5">
        <v>2961</v>
      </c>
      <c r="L2963" s="73">
        <v>2.6645352591003757E-14</v>
      </c>
    </row>
    <row r="2964" spans="11:12" x14ac:dyDescent="0.4">
      <c r="K2964" s="5">
        <v>2962</v>
      </c>
      <c r="L2964" s="73">
        <v>-54.699999999999974</v>
      </c>
    </row>
    <row r="2965" spans="11:12" x14ac:dyDescent="0.4">
      <c r="K2965" s="5">
        <v>2963</v>
      </c>
      <c r="L2965" s="73">
        <v>-14.799999999999974</v>
      </c>
    </row>
    <row r="2966" spans="11:12" x14ac:dyDescent="0.4">
      <c r="K2966" s="5">
        <v>2964</v>
      </c>
      <c r="L2966" s="73">
        <v>2.6645352591003757E-14</v>
      </c>
    </row>
    <row r="2967" spans="11:12" x14ac:dyDescent="0.4">
      <c r="K2967" s="5">
        <v>2965</v>
      </c>
      <c r="L2967" s="73">
        <v>20.900000000000027</v>
      </c>
    </row>
    <row r="2968" spans="11:12" x14ac:dyDescent="0.4">
      <c r="K2968" s="5">
        <v>2966</v>
      </c>
      <c r="L2968" s="73">
        <v>2.2000000000000259</v>
      </c>
    </row>
    <row r="2969" spans="11:12" x14ac:dyDescent="0.4">
      <c r="K2969" s="5">
        <v>2967</v>
      </c>
      <c r="L2969" s="73">
        <v>2.5757174171303632E-14</v>
      </c>
    </row>
    <row r="2970" spans="11:12" x14ac:dyDescent="0.4">
      <c r="K2970" s="5">
        <v>2968</v>
      </c>
      <c r="L2970" s="73">
        <v>60.90000000000002</v>
      </c>
    </row>
    <row r="2971" spans="11:12" x14ac:dyDescent="0.4">
      <c r="K2971" s="5">
        <v>2969</v>
      </c>
      <c r="L2971" s="73">
        <v>51.100000000000023</v>
      </c>
    </row>
    <row r="2972" spans="11:12" x14ac:dyDescent="0.4">
      <c r="K2972" s="5">
        <v>2970</v>
      </c>
      <c r="L2972" s="73">
        <v>2.3092638912203256E-14</v>
      </c>
    </row>
    <row r="2973" spans="11:12" x14ac:dyDescent="0.4">
      <c r="K2973" s="5">
        <v>2971</v>
      </c>
      <c r="L2973" s="73">
        <v>-3.8999999999999768</v>
      </c>
    </row>
    <row r="2974" spans="11:12" x14ac:dyDescent="0.4">
      <c r="K2974" s="5">
        <v>2972</v>
      </c>
      <c r="L2974" s="73">
        <v>14.400000000000023</v>
      </c>
    </row>
    <row r="2975" spans="11:12" x14ac:dyDescent="0.4">
      <c r="K2975" s="5">
        <v>2973</v>
      </c>
      <c r="L2975" s="73">
        <v>2.3092638912203256E-14</v>
      </c>
    </row>
    <row r="2976" spans="11:12" x14ac:dyDescent="0.4">
      <c r="K2976" s="5">
        <v>2974</v>
      </c>
      <c r="L2976" s="73">
        <v>-21.199999999999974</v>
      </c>
    </row>
    <row r="2977" spans="11:12" x14ac:dyDescent="0.4">
      <c r="K2977" s="5">
        <v>2975</v>
      </c>
      <c r="L2977" s="73">
        <v>4.1000000000000245</v>
      </c>
    </row>
    <row r="2978" spans="11:12" x14ac:dyDescent="0.4">
      <c r="K2978" s="5">
        <v>2976</v>
      </c>
      <c r="L2978" s="73">
        <v>2.4868995751603507E-14</v>
      </c>
    </row>
    <row r="2979" spans="11:12" x14ac:dyDescent="0.4">
      <c r="K2979" s="5">
        <v>2977</v>
      </c>
      <c r="L2979" s="73">
        <v>-41.999999999999979</v>
      </c>
    </row>
    <row r="2980" spans="11:12" x14ac:dyDescent="0.4">
      <c r="K2980" s="5">
        <v>2978</v>
      </c>
      <c r="L2980" s="73">
        <v>-48.899999999999977</v>
      </c>
    </row>
    <row r="2981" spans="11:12" x14ac:dyDescent="0.4">
      <c r="K2981" s="5">
        <v>2979</v>
      </c>
      <c r="L2981" s="73">
        <v>2.3092638912203256E-14</v>
      </c>
    </row>
    <row r="2982" spans="11:12" x14ac:dyDescent="0.4">
      <c r="K2982" s="5">
        <v>2980</v>
      </c>
      <c r="L2982" s="73">
        <v>21.700000000000024</v>
      </c>
    </row>
    <row r="2983" spans="11:12" x14ac:dyDescent="0.4">
      <c r="K2983" s="5">
        <v>2981</v>
      </c>
      <c r="L2983" s="73">
        <v>26.90000000000002</v>
      </c>
    </row>
    <row r="2984" spans="11:12" x14ac:dyDescent="0.4">
      <c r="K2984" s="5">
        <v>2982</v>
      </c>
      <c r="L2984" s="73">
        <v>2.3092638912203256E-14</v>
      </c>
    </row>
    <row r="2985" spans="11:12" x14ac:dyDescent="0.4">
      <c r="K2985" s="5">
        <v>2983</v>
      </c>
      <c r="L2985" s="73">
        <v>44.500000000000021</v>
      </c>
    </row>
    <row r="2986" spans="11:12" x14ac:dyDescent="0.4">
      <c r="K2986" s="5">
        <v>2984</v>
      </c>
      <c r="L2986" s="73">
        <v>54.600000000000023</v>
      </c>
    </row>
    <row r="2987" spans="11:12" x14ac:dyDescent="0.4">
      <c r="K2987" s="5">
        <v>2985</v>
      </c>
      <c r="L2987" s="73">
        <v>2.3092638912203256E-14</v>
      </c>
    </row>
    <row r="2988" spans="11:12" x14ac:dyDescent="0.4">
      <c r="K2988" s="5">
        <v>2986</v>
      </c>
      <c r="L2988" s="73">
        <v>-60.199999999999982</v>
      </c>
    </row>
    <row r="2989" spans="11:12" x14ac:dyDescent="0.4">
      <c r="K2989" s="5">
        <v>2987</v>
      </c>
      <c r="L2989" s="73">
        <v>4.9000000000000146</v>
      </c>
    </row>
    <row r="2990" spans="11:12" x14ac:dyDescent="0.4">
      <c r="K2990" s="5">
        <v>2988</v>
      </c>
      <c r="L2990" s="73">
        <v>1.4210854715202004E-14</v>
      </c>
    </row>
    <row r="2991" spans="11:12" x14ac:dyDescent="0.4">
      <c r="K2991" s="5">
        <v>2989</v>
      </c>
      <c r="L2991" s="73">
        <v>37.500000000000014</v>
      </c>
    </row>
    <row r="2992" spans="11:12" x14ac:dyDescent="0.4">
      <c r="K2992" s="5">
        <v>2990</v>
      </c>
      <c r="L2992" s="73">
        <v>-8.6999999999999869</v>
      </c>
    </row>
    <row r="2993" spans="11:12" x14ac:dyDescent="0.4">
      <c r="K2993" s="5">
        <v>2991</v>
      </c>
      <c r="L2993" s="73">
        <v>1.2434497875801753E-14</v>
      </c>
    </row>
    <row r="2994" spans="11:12" x14ac:dyDescent="0.4">
      <c r="K2994" s="5">
        <v>2992</v>
      </c>
      <c r="L2994" s="73">
        <v>-21.79999999999999</v>
      </c>
    </row>
    <row r="2995" spans="11:12" x14ac:dyDescent="0.4">
      <c r="K2995" s="5">
        <v>2993</v>
      </c>
      <c r="L2995" s="73">
        <v>-32.29999999999999</v>
      </c>
    </row>
    <row r="2996" spans="11:12" x14ac:dyDescent="0.4">
      <c r="K2996" s="5">
        <v>2994</v>
      </c>
      <c r="L2996" s="73">
        <v>8.8817841970012523E-15</v>
      </c>
    </row>
    <row r="2997" spans="11:12" x14ac:dyDescent="0.4">
      <c r="K2997" s="5">
        <v>2995</v>
      </c>
      <c r="L2997" s="73">
        <v>12.700000000000008</v>
      </c>
    </row>
    <row r="2998" spans="11:12" x14ac:dyDescent="0.4">
      <c r="K2998" s="5">
        <v>2996</v>
      </c>
      <c r="L2998" s="73">
        <v>13.100000000000009</v>
      </c>
    </row>
    <row r="2999" spans="11:12" x14ac:dyDescent="0.4">
      <c r="K2999" s="5">
        <v>2997</v>
      </c>
      <c r="L2999" s="73">
        <v>8.8817841970012523E-15</v>
      </c>
    </row>
    <row r="3000" spans="11:12" x14ac:dyDescent="0.4">
      <c r="K3000" s="5">
        <v>2998</v>
      </c>
      <c r="L3000" s="73">
        <v>-17.099999999999994</v>
      </c>
    </row>
    <row r="3001" spans="11:12" x14ac:dyDescent="0.4">
      <c r="K3001" s="5">
        <v>2999</v>
      </c>
      <c r="L3001" s="73">
        <v>4.800000000000006</v>
      </c>
    </row>
    <row r="3002" spans="11:12" x14ac:dyDescent="0.4">
      <c r="K3002" s="5">
        <v>3000</v>
      </c>
      <c r="L3002" s="73">
        <v>6.2172489379008766E-15</v>
      </c>
    </row>
    <row r="3003" spans="11:12" x14ac:dyDescent="0.4">
      <c r="K3003" s="5">
        <v>3001</v>
      </c>
      <c r="L3003" s="73">
        <v>-49.399999999999991</v>
      </c>
    </row>
    <row r="3004" spans="11:12" x14ac:dyDescent="0.4">
      <c r="K3004" s="5">
        <v>3002</v>
      </c>
      <c r="L3004" s="73">
        <v>7.0000000000000089</v>
      </c>
    </row>
    <row r="3005" spans="11:12" x14ac:dyDescent="0.4">
      <c r="K3005" s="5">
        <v>3003</v>
      </c>
      <c r="L3005" s="73">
        <v>8.8817841970012523E-15</v>
      </c>
    </row>
    <row r="3006" spans="11:12" x14ac:dyDescent="0.4">
      <c r="K3006" s="5">
        <v>3004</v>
      </c>
      <c r="L3006" s="73">
        <v>-6.7999999999999909</v>
      </c>
    </row>
    <row r="3007" spans="11:12" x14ac:dyDescent="0.4">
      <c r="K3007" s="5">
        <v>3005</v>
      </c>
      <c r="L3007" s="73">
        <v>-40.399999999999991</v>
      </c>
    </row>
    <row r="3008" spans="11:12" x14ac:dyDescent="0.4">
      <c r="K3008" s="5">
        <v>3006</v>
      </c>
      <c r="L3008" s="73">
        <v>8.8817841970012523E-15</v>
      </c>
    </row>
    <row r="3009" spans="11:12" x14ac:dyDescent="0.4">
      <c r="K3009" s="5">
        <v>3007</v>
      </c>
      <c r="L3009" s="73">
        <v>-8.2999999999999918</v>
      </c>
    </row>
    <row r="3010" spans="11:12" x14ac:dyDescent="0.4">
      <c r="K3010" s="5">
        <v>3008</v>
      </c>
      <c r="L3010" s="73">
        <v>18.600000000000009</v>
      </c>
    </row>
    <row r="3011" spans="11:12" x14ac:dyDescent="0.4">
      <c r="K3011" s="5">
        <v>3009</v>
      </c>
      <c r="L3011" s="73">
        <v>5.3290705182007514E-15</v>
      </c>
    </row>
    <row r="3012" spans="11:12" x14ac:dyDescent="0.4">
      <c r="K3012" s="5">
        <v>3010</v>
      </c>
      <c r="L3012" s="73">
        <v>31.400000000000006</v>
      </c>
    </row>
    <row r="3013" spans="11:12" x14ac:dyDescent="0.4">
      <c r="K3013" s="5">
        <v>3011</v>
      </c>
      <c r="L3013" s="73">
        <v>43.400000000000006</v>
      </c>
    </row>
    <row r="3014" spans="11:12" x14ac:dyDescent="0.4">
      <c r="K3014" s="5">
        <v>3012</v>
      </c>
      <c r="L3014" s="73">
        <v>8.8817841970012523E-15</v>
      </c>
    </row>
    <row r="3015" spans="11:12" x14ac:dyDescent="0.4">
      <c r="K3015" s="5">
        <v>3013</v>
      </c>
      <c r="L3015" s="73">
        <v>-38.999999999999993</v>
      </c>
    </row>
    <row r="3016" spans="11:12" x14ac:dyDescent="0.4">
      <c r="K3016" s="5">
        <v>3014</v>
      </c>
      <c r="L3016" s="73">
        <v>3.7000000000000117</v>
      </c>
    </row>
    <row r="3017" spans="11:12" x14ac:dyDescent="0.4">
      <c r="K3017" s="5">
        <v>3015</v>
      </c>
      <c r="L3017" s="73">
        <v>1.1546319456101628E-14</v>
      </c>
    </row>
    <row r="3018" spans="11:12" x14ac:dyDescent="0.4">
      <c r="K3018" s="5">
        <v>3016</v>
      </c>
      <c r="L3018" s="73">
        <v>1.2000000000000115</v>
      </c>
    </row>
    <row r="3019" spans="11:12" x14ac:dyDescent="0.4">
      <c r="K3019" s="5">
        <v>3017</v>
      </c>
      <c r="L3019" s="73">
        <v>-24.79999999999999</v>
      </c>
    </row>
    <row r="3020" spans="11:12" x14ac:dyDescent="0.4">
      <c r="K3020" s="5">
        <v>3018</v>
      </c>
      <c r="L3020" s="73">
        <v>1.2434497875801753E-14</v>
      </c>
    </row>
    <row r="3021" spans="11:12" x14ac:dyDescent="0.4">
      <c r="K3021" s="5">
        <v>3019</v>
      </c>
      <c r="L3021" s="73">
        <v>16.900000000000013</v>
      </c>
    </row>
    <row r="3022" spans="11:12" x14ac:dyDescent="0.4">
      <c r="K3022" s="5">
        <v>3020</v>
      </c>
      <c r="L3022" s="73">
        <v>0.40000000000001101</v>
      </c>
    </row>
    <row r="3023" spans="11:12" x14ac:dyDescent="0.4">
      <c r="K3023" s="5">
        <v>3021</v>
      </c>
      <c r="L3023" s="73">
        <v>1.099120794378905E-14</v>
      </c>
    </row>
    <row r="3024" spans="11:12" x14ac:dyDescent="0.4">
      <c r="K3024" s="5">
        <v>3022</v>
      </c>
      <c r="L3024" s="73">
        <v>28.000000000000014</v>
      </c>
    </row>
    <row r="3025" spans="11:12" x14ac:dyDescent="0.4">
      <c r="K3025" s="5">
        <v>3023</v>
      </c>
      <c r="L3025" s="73">
        <v>41.800000000000011</v>
      </c>
    </row>
    <row r="3026" spans="11:12" x14ac:dyDescent="0.4">
      <c r="K3026" s="5">
        <v>3024</v>
      </c>
      <c r="L3026" s="73">
        <v>1.5987211554602254E-14</v>
      </c>
    </row>
    <row r="3027" spans="11:12" x14ac:dyDescent="0.4">
      <c r="K3027" s="5">
        <v>3025</v>
      </c>
      <c r="L3027" s="73">
        <v>-48.699999999999989</v>
      </c>
    </row>
    <row r="3028" spans="11:12" x14ac:dyDescent="0.4">
      <c r="K3028" s="5">
        <v>3026</v>
      </c>
      <c r="L3028" s="73">
        <v>-16.29999999999999</v>
      </c>
    </row>
    <row r="3029" spans="11:12" x14ac:dyDescent="0.4">
      <c r="K3029" s="5">
        <v>3027</v>
      </c>
      <c r="L3029" s="73">
        <v>1.2434497875801753E-14</v>
      </c>
    </row>
    <row r="3030" spans="11:12" x14ac:dyDescent="0.4">
      <c r="K3030" s="5">
        <v>3028</v>
      </c>
      <c r="L3030" s="73">
        <v>-19.699999999999989</v>
      </c>
    </row>
    <row r="3031" spans="11:12" x14ac:dyDescent="0.4">
      <c r="K3031" s="5">
        <v>3029</v>
      </c>
      <c r="L3031" s="73">
        <v>9.5000000000000124</v>
      </c>
    </row>
    <row r="3032" spans="11:12" x14ac:dyDescent="0.4">
      <c r="K3032" s="5">
        <v>3030</v>
      </c>
      <c r="L3032" s="73">
        <v>1.2434497875801753E-14</v>
      </c>
    </row>
    <row r="3033" spans="11:12" x14ac:dyDescent="0.4">
      <c r="K3033" s="5">
        <v>3031</v>
      </c>
      <c r="L3033" s="73">
        <v>-46.399999999999991</v>
      </c>
    </row>
    <row r="3034" spans="11:12" x14ac:dyDescent="0.4">
      <c r="K3034" s="5">
        <v>3032</v>
      </c>
      <c r="L3034" s="73">
        <v>-54.199999999999989</v>
      </c>
    </row>
    <row r="3035" spans="11:12" x14ac:dyDescent="0.4">
      <c r="K3035" s="5">
        <v>3033</v>
      </c>
      <c r="L3035" s="73">
        <v>1.5987211554602254E-14</v>
      </c>
    </row>
    <row r="3036" spans="11:12" x14ac:dyDescent="0.4">
      <c r="K3036" s="5">
        <v>3034</v>
      </c>
      <c r="L3036" s="73">
        <v>-16.499999999999986</v>
      </c>
    </row>
    <row r="3037" spans="11:12" x14ac:dyDescent="0.4">
      <c r="K3037" s="5">
        <v>3035</v>
      </c>
      <c r="L3037" s="73">
        <v>55.800000000000011</v>
      </c>
    </row>
    <row r="3038" spans="11:12" x14ac:dyDescent="0.4">
      <c r="K3038" s="5">
        <v>3036</v>
      </c>
      <c r="L3038" s="73">
        <v>1.5987211554602254E-14</v>
      </c>
    </row>
    <row r="3039" spans="11:12" x14ac:dyDescent="0.4">
      <c r="K3039" s="5">
        <v>3037</v>
      </c>
      <c r="L3039" s="73">
        <v>-70.899999999999991</v>
      </c>
    </row>
    <row r="3040" spans="11:12" x14ac:dyDescent="0.4">
      <c r="K3040" s="5">
        <v>3038</v>
      </c>
      <c r="L3040" s="73">
        <v>-7.9999999999999911</v>
      </c>
    </row>
    <row r="3041" spans="11:12" x14ac:dyDescent="0.4">
      <c r="K3041" s="5">
        <v>3039</v>
      </c>
      <c r="L3041" s="73">
        <v>8.8817841970012523E-15</v>
      </c>
    </row>
    <row r="3042" spans="11:12" x14ac:dyDescent="0.4">
      <c r="K3042" s="5">
        <v>3040</v>
      </c>
      <c r="L3042" s="73">
        <v>33.000000000000007</v>
      </c>
    </row>
    <row r="3043" spans="11:12" x14ac:dyDescent="0.4">
      <c r="K3043" s="5">
        <v>3041</v>
      </c>
      <c r="L3043" s="73">
        <v>7.4000000000000075</v>
      </c>
    </row>
    <row r="3044" spans="11:12" x14ac:dyDescent="0.4">
      <c r="K3044" s="5">
        <v>3042</v>
      </c>
      <c r="L3044" s="73">
        <v>7.1054273576010019E-15</v>
      </c>
    </row>
    <row r="3045" spans="11:12" x14ac:dyDescent="0.4">
      <c r="K3045" s="5">
        <v>3043</v>
      </c>
      <c r="L3045" s="73">
        <v>-56.199999999999996</v>
      </c>
    </row>
    <row r="3046" spans="11:12" x14ac:dyDescent="0.4">
      <c r="K3046" s="5">
        <v>3044</v>
      </c>
      <c r="L3046" s="73">
        <v>-12.399999999999997</v>
      </c>
    </row>
    <row r="3047" spans="11:12" x14ac:dyDescent="0.4">
      <c r="K3047" s="5">
        <v>3045</v>
      </c>
      <c r="L3047" s="73">
        <v>3.5527136788005009E-15</v>
      </c>
    </row>
    <row r="3048" spans="11:12" x14ac:dyDescent="0.4">
      <c r="K3048" s="5">
        <v>3046</v>
      </c>
      <c r="L3048" s="73">
        <v>25.6</v>
      </c>
    </row>
    <row r="3049" spans="11:12" x14ac:dyDescent="0.4">
      <c r="K3049" s="5">
        <v>3047</v>
      </c>
      <c r="L3049" s="73">
        <v>33.900000000000006</v>
      </c>
    </row>
    <row r="3050" spans="11:12" x14ac:dyDescent="0.4">
      <c r="K3050" s="5">
        <v>3048</v>
      </c>
      <c r="L3050" s="73">
        <v>8.8817841970012523E-15</v>
      </c>
    </row>
    <row r="3051" spans="11:12" x14ac:dyDescent="0.4">
      <c r="K3051" s="5">
        <v>3049</v>
      </c>
      <c r="L3051" s="73">
        <v>-31.29999999999999</v>
      </c>
    </row>
    <row r="3052" spans="11:12" x14ac:dyDescent="0.4">
      <c r="K3052" s="5">
        <v>3050</v>
      </c>
      <c r="L3052" s="73">
        <v>-6.3999999999999932</v>
      </c>
    </row>
    <row r="3053" spans="11:12" x14ac:dyDescent="0.4">
      <c r="K3053" s="5">
        <v>3051</v>
      </c>
      <c r="L3053" s="73">
        <v>7.1054273576010019E-15</v>
      </c>
    </row>
    <row r="3054" spans="11:12" x14ac:dyDescent="0.4">
      <c r="K3054" s="5">
        <v>3052</v>
      </c>
      <c r="L3054" s="73">
        <v>-29.999999999999993</v>
      </c>
    </row>
    <row r="3055" spans="11:12" x14ac:dyDescent="0.4">
      <c r="K3055" s="5">
        <v>3053</v>
      </c>
      <c r="L3055" s="73">
        <v>10.60000000000001</v>
      </c>
    </row>
    <row r="3056" spans="11:12" x14ac:dyDescent="0.4">
      <c r="K3056" s="5">
        <v>3054</v>
      </c>
      <c r="L3056" s="73">
        <v>1.0658141036401503E-14</v>
      </c>
    </row>
    <row r="3057" spans="11:12" x14ac:dyDescent="0.4">
      <c r="K3057" s="5">
        <v>3055</v>
      </c>
      <c r="L3057" s="73">
        <v>-8.9999999999999893</v>
      </c>
    </row>
    <row r="3058" spans="11:12" x14ac:dyDescent="0.4">
      <c r="K3058" s="5">
        <v>3056</v>
      </c>
      <c r="L3058" s="73">
        <v>30.100000000000009</v>
      </c>
    </row>
    <row r="3059" spans="11:12" x14ac:dyDescent="0.4">
      <c r="K3059" s="5">
        <v>3057</v>
      </c>
      <c r="L3059" s="73">
        <v>8.8817841970012523E-15</v>
      </c>
    </row>
    <row r="3060" spans="11:12" x14ac:dyDescent="0.4">
      <c r="K3060" s="5">
        <v>3058</v>
      </c>
      <c r="L3060" s="73">
        <v>-48.499999999999993</v>
      </c>
    </row>
    <row r="3061" spans="11:12" x14ac:dyDescent="0.4">
      <c r="K3061" s="5">
        <v>3059</v>
      </c>
      <c r="L3061" s="73">
        <v>-42.499999999999993</v>
      </c>
    </row>
    <row r="3062" spans="11:12" x14ac:dyDescent="0.4">
      <c r="K3062" s="5">
        <v>3060</v>
      </c>
      <c r="L3062" s="73">
        <v>8.8817841970012523E-15</v>
      </c>
    </row>
    <row r="3063" spans="11:12" x14ac:dyDescent="0.4">
      <c r="K3063" s="5">
        <v>3061</v>
      </c>
      <c r="L3063" s="73">
        <v>48.20000000000001</v>
      </c>
    </row>
    <row r="3064" spans="11:12" x14ac:dyDescent="0.4">
      <c r="K3064" s="5">
        <v>3062</v>
      </c>
      <c r="L3064" s="73">
        <v>-0.29999999999998828</v>
      </c>
    </row>
    <row r="3065" spans="11:12" x14ac:dyDescent="0.4">
      <c r="K3065" s="5">
        <v>3063</v>
      </c>
      <c r="L3065" s="73">
        <v>1.1712852909795402E-14</v>
      </c>
    </row>
    <row r="3066" spans="11:12" x14ac:dyDescent="0.4">
      <c r="K3066" s="5">
        <v>3064</v>
      </c>
      <c r="L3066" s="73">
        <v>-2.4999999999999885</v>
      </c>
    </row>
    <row r="3067" spans="11:12" x14ac:dyDescent="0.4">
      <c r="K3067" s="5">
        <v>3065</v>
      </c>
      <c r="L3067" s="73">
        <v>-16.899999999999991</v>
      </c>
    </row>
    <row r="3068" spans="11:12" x14ac:dyDescent="0.4">
      <c r="K3068" s="5">
        <v>3066</v>
      </c>
      <c r="L3068" s="73">
        <v>8.8817841970012523E-15</v>
      </c>
    </row>
    <row r="3069" spans="11:12" x14ac:dyDescent="0.4">
      <c r="K3069" s="5">
        <v>3067</v>
      </c>
      <c r="L3069" s="73">
        <v>-34.499999999999993</v>
      </c>
    </row>
    <row r="3070" spans="11:12" x14ac:dyDescent="0.4">
      <c r="K3070" s="5">
        <v>3068</v>
      </c>
      <c r="L3070" s="73">
        <v>-11.499999999999991</v>
      </c>
    </row>
    <row r="3071" spans="11:12" x14ac:dyDescent="0.4">
      <c r="K3071" s="5">
        <v>3069</v>
      </c>
      <c r="L3071" s="73">
        <v>8.8817841970012523E-15</v>
      </c>
    </row>
    <row r="3072" spans="11:12" x14ac:dyDescent="0.4">
      <c r="K3072" s="5">
        <v>3070</v>
      </c>
      <c r="L3072" s="73">
        <v>-25.599999999999994</v>
      </c>
    </row>
    <row r="3073" spans="11:12" x14ac:dyDescent="0.4">
      <c r="K3073" s="5">
        <v>3071</v>
      </c>
      <c r="L3073" s="73">
        <v>-27.599999999999994</v>
      </c>
    </row>
    <row r="3074" spans="11:12" x14ac:dyDescent="0.4">
      <c r="K3074" s="5">
        <v>3072</v>
      </c>
      <c r="L3074" s="73">
        <v>8.8817841970012523E-15</v>
      </c>
    </row>
    <row r="3075" spans="11:12" x14ac:dyDescent="0.4">
      <c r="K3075" s="5">
        <v>3073</v>
      </c>
      <c r="L3075" s="73">
        <v>-15.399999999999991</v>
      </c>
    </row>
    <row r="3076" spans="11:12" x14ac:dyDescent="0.4">
      <c r="K3076" s="5">
        <v>3074</v>
      </c>
      <c r="L3076" s="73">
        <v>-48.399999999999991</v>
      </c>
    </row>
    <row r="3077" spans="11:12" x14ac:dyDescent="0.4">
      <c r="K3077" s="5">
        <v>3075</v>
      </c>
      <c r="L3077" s="73">
        <v>8.8817841970012523E-15</v>
      </c>
    </row>
    <row r="3078" spans="11:12" x14ac:dyDescent="0.4">
      <c r="K3078" s="5">
        <v>3076</v>
      </c>
      <c r="L3078" s="73">
        <v>-7.3999999999999915</v>
      </c>
    </row>
    <row r="3079" spans="11:12" x14ac:dyDescent="0.4">
      <c r="K3079" s="5">
        <v>3077</v>
      </c>
      <c r="L3079" s="73">
        <v>31.100000000000009</v>
      </c>
    </row>
    <row r="3080" spans="11:12" x14ac:dyDescent="0.4">
      <c r="K3080" s="5">
        <v>3078</v>
      </c>
      <c r="L3080" s="73">
        <v>8.8817841970012523E-15</v>
      </c>
    </row>
    <row r="3081" spans="11:12" x14ac:dyDescent="0.4">
      <c r="K3081" s="5">
        <v>3079</v>
      </c>
      <c r="L3081" s="73">
        <v>-2.899999999999991</v>
      </c>
    </row>
    <row r="3082" spans="11:12" x14ac:dyDescent="0.4">
      <c r="K3082" s="5">
        <v>3080</v>
      </c>
      <c r="L3082" s="73">
        <v>-39.199999999999989</v>
      </c>
    </row>
    <row r="3083" spans="11:12" x14ac:dyDescent="0.4">
      <c r="K3083" s="5">
        <v>3081</v>
      </c>
      <c r="L3083" s="73">
        <v>1.5987211554602254E-14</v>
      </c>
    </row>
    <row r="3084" spans="11:12" x14ac:dyDescent="0.4">
      <c r="K3084" s="5">
        <v>3082</v>
      </c>
      <c r="L3084" s="73">
        <v>-55.499999999999986</v>
      </c>
    </row>
    <row r="3085" spans="11:12" x14ac:dyDescent="0.4">
      <c r="K3085" s="5">
        <v>3083</v>
      </c>
      <c r="L3085" s="73">
        <v>-55.999999999999986</v>
      </c>
    </row>
    <row r="3086" spans="11:12" x14ac:dyDescent="0.4">
      <c r="K3086" s="5">
        <v>3084</v>
      </c>
      <c r="L3086" s="73">
        <v>1.5987211554602254E-14</v>
      </c>
    </row>
    <row r="3087" spans="11:12" x14ac:dyDescent="0.4">
      <c r="K3087" s="5">
        <v>3085</v>
      </c>
      <c r="L3087" s="73">
        <v>-50.999999999999986</v>
      </c>
    </row>
    <row r="3088" spans="11:12" x14ac:dyDescent="0.4">
      <c r="K3088" s="5">
        <v>3086</v>
      </c>
      <c r="L3088" s="73">
        <v>-81.499999999999986</v>
      </c>
    </row>
    <row r="3089" spans="11:12" x14ac:dyDescent="0.4">
      <c r="K3089" s="5">
        <v>3087</v>
      </c>
      <c r="L3089" s="73">
        <v>8.8817841970012523E-15</v>
      </c>
    </row>
    <row r="3090" spans="11:12" x14ac:dyDescent="0.4">
      <c r="K3090" s="5">
        <v>3088</v>
      </c>
      <c r="L3090" s="73">
        <v>60.400000000000006</v>
      </c>
    </row>
    <row r="3091" spans="11:12" x14ac:dyDescent="0.4">
      <c r="K3091" s="5">
        <v>3089</v>
      </c>
      <c r="L3091" s="73">
        <v>-1.8999999999999897</v>
      </c>
    </row>
    <row r="3092" spans="11:12" x14ac:dyDescent="0.4">
      <c r="K3092" s="5">
        <v>3090</v>
      </c>
      <c r="L3092" s="73">
        <v>1.021405182655144E-14</v>
      </c>
    </row>
    <row r="3093" spans="11:12" x14ac:dyDescent="0.4">
      <c r="K3093" s="5">
        <v>3091</v>
      </c>
      <c r="L3093" s="73">
        <v>14.300000000000011</v>
      </c>
    </row>
    <row r="3094" spans="11:12" x14ac:dyDescent="0.4">
      <c r="K3094" s="5">
        <v>3092</v>
      </c>
      <c r="L3094" s="73">
        <v>12.800000000000011</v>
      </c>
    </row>
    <row r="3095" spans="11:12" x14ac:dyDescent="0.4">
      <c r="K3095" s="5">
        <v>3093</v>
      </c>
      <c r="L3095" s="73">
        <v>1.0658141036401503E-14</v>
      </c>
    </row>
    <row r="3096" spans="11:12" x14ac:dyDescent="0.4">
      <c r="K3096" s="5">
        <v>3094</v>
      </c>
      <c r="L3096" s="73">
        <v>3.4000000000000106</v>
      </c>
    </row>
    <row r="3097" spans="11:12" x14ac:dyDescent="0.4">
      <c r="K3097" s="5">
        <v>3095</v>
      </c>
      <c r="L3097" s="73">
        <v>-35.799999999999997</v>
      </c>
    </row>
    <row r="3098" spans="11:12" x14ac:dyDescent="0.4">
      <c r="K3098" s="5">
        <v>3096</v>
      </c>
      <c r="L3098" s="73">
        <v>1.7763568394002505E-15</v>
      </c>
    </row>
    <row r="3099" spans="11:12" x14ac:dyDescent="0.4">
      <c r="K3099" s="5">
        <v>3097</v>
      </c>
      <c r="L3099" s="73">
        <v>-27.1</v>
      </c>
    </row>
    <row r="3100" spans="11:12" x14ac:dyDescent="0.4">
      <c r="K3100" s="5">
        <v>3098</v>
      </c>
      <c r="L3100" s="73">
        <v>-28.6</v>
      </c>
    </row>
    <row r="3101" spans="11:12" x14ac:dyDescent="0.4">
      <c r="K3101" s="5">
        <v>3099</v>
      </c>
      <c r="L3101" s="73">
        <v>1.7763568394002505E-15</v>
      </c>
    </row>
    <row r="3102" spans="11:12" x14ac:dyDescent="0.4">
      <c r="K3102" s="5">
        <v>3100</v>
      </c>
      <c r="L3102" s="73">
        <v>-7.4999999999999982</v>
      </c>
    </row>
    <row r="3103" spans="11:12" x14ac:dyDescent="0.4">
      <c r="K3103" s="5">
        <v>3101</v>
      </c>
      <c r="L3103" s="73">
        <v>-41.6</v>
      </c>
    </row>
    <row r="3104" spans="11:12" x14ac:dyDescent="0.4">
      <c r="K3104" s="5">
        <v>3102</v>
      </c>
      <c r="L3104" s="73">
        <v>1.7763568394002505E-15</v>
      </c>
    </row>
    <row r="3105" spans="11:12" x14ac:dyDescent="0.4">
      <c r="K3105" s="5">
        <v>3103</v>
      </c>
      <c r="L3105" s="73">
        <v>-20.9</v>
      </c>
    </row>
    <row r="3106" spans="11:12" x14ac:dyDescent="0.4">
      <c r="K3106" s="5">
        <v>3104</v>
      </c>
      <c r="L3106" s="73">
        <v>-21.4</v>
      </c>
    </row>
    <row r="3107" spans="11:12" x14ac:dyDescent="0.4">
      <c r="K3107" s="5">
        <v>3105</v>
      </c>
      <c r="L3107" s="73">
        <v>1.7763568394002505E-15</v>
      </c>
    </row>
    <row r="3108" spans="11:12" x14ac:dyDescent="0.4">
      <c r="K3108" s="5">
        <v>3106</v>
      </c>
      <c r="L3108" s="73">
        <v>4.0000000000000018</v>
      </c>
    </row>
    <row r="3109" spans="11:12" x14ac:dyDescent="0.4">
      <c r="K3109" s="5">
        <v>3107</v>
      </c>
      <c r="L3109" s="73">
        <v>30</v>
      </c>
    </row>
    <row r="3110" spans="11:12" x14ac:dyDescent="0.4">
      <c r="K3110" s="5">
        <v>3108</v>
      </c>
      <c r="L3110" s="73">
        <v>1.7763568394002505E-15</v>
      </c>
    </row>
    <row r="3111" spans="11:12" x14ac:dyDescent="0.4">
      <c r="K3111" s="5">
        <v>3109</v>
      </c>
      <c r="L3111" s="73">
        <v>-22.5</v>
      </c>
    </row>
    <row r="3112" spans="11:12" x14ac:dyDescent="0.4">
      <c r="K3112" s="5">
        <v>3110</v>
      </c>
      <c r="L3112" s="73">
        <v>-31.9</v>
      </c>
    </row>
    <row r="3113" spans="11:12" x14ac:dyDescent="0.4">
      <c r="K3113" s="5">
        <v>3111</v>
      </c>
      <c r="L3113" s="73">
        <v>1.7763568394002505E-15</v>
      </c>
    </row>
    <row r="3114" spans="11:12" x14ac:dyDescent="0.4">
      <c r="K3114" s="5">
        <v>3112</v>
      </c>
      <c r="L3114" s="73">
        <v>-35.9</v>
      </c>
    </row>
    <row r="3115" spans="11:12" x14ac:dyDescent="0.4">
      <c r="K3115" s="5">
        <v>3113</v>
      </c>
      <c r="L3115" s="73">
        <v>-25.599999999999994</v>
      </c>
    </row>
    <row r="3116" spans="11:12" x14ac:dyDescent="0.4">
      <c r="K3116" s="5">
        <v>3114</v>
      </c>
      <c r="L3116" s="73">
        <v>5.3290705182007514E-15</v>
      </c>
    </row>
    <row r="3117" spans="11:12" x14ac:dyDescent="0.4">
      <c r="K3117" s="5">
        <v>3115</v>
      </c>
      <c r="L3117" s="73">
        <v>-26.699999999999996</v>
      </c>
    </row>
    <row r="3118" spans="11:12" x14ac:dyDescent="0.4">
      <c r="K3118" s="5">
        <v>3116</v>
      </c>
      <c r="L3118" s="73">
        <v>-18.699999999999996</v>
      </c>
    </row>
    <row r="3119" spans="11:12" x14ac:dyDescent="0.4">
      <c r="K3119" s="5">
        <v>3117</v>
      </c>
      <c r="L3119" s="73">
        <v>5.3290705182007514E-15</v>
      </c>
    </row>
    <row r="3120" spans="11:12" x14ac:dyDescent="0.4">
      <c r="K3120" s="5">
        <v>3118</v>
      </c>
      <c r="L3120" s="73">
        <v>21.500000000000007</v>
      </c>
    </row>
    <row r="3121" spans="11:12" x14ac:dyDescent="0.4">
      <c r="K3121" s="5">
        <v>3119</v>
      </c>
      <c r="L3121" s="73">
        <v>-5.3999999999999932</v>
      </c>
    </row>
    <row r="3122" spans="11:12" x14ac:dyDescent="0.4">
      <c r="K3122" s="5">
        <v>3120</v>
      </c>
      <c r="L3122" s="73">
        <v>7.1054273576010019E-15</v>
      </c>
    </row>
    <row r="3123" spans="11:12" x14ac:dyDescent="0.4">
      <c r="K3123" s="5">
        <v>3121</v>
      </c>
      <c r="L3123" s="73">
        <v>-46.599999999999994</v>
      </c>
    </row>
    <row r="3124" spans="11:12" x14ac:dyDescent="0.4">
      <c r="K3124" s="5">
        <v>3122</v>
      </c>
      <c r="L3124" s="73">
        <v>31.100000000000009</v>
      </c>
    </row>
    <row r="3125" spans="11:12" x14ac:dyDescent="0.4">
      <c r="K3125" s="5">
        <v>3123</v>
      </c>
      <c r="L3125" s="73">
        <v>8.8817841970012523E-15</v>
      </c>
    </row>
    <row r="3126" spans="11:12" x14ac:dyDescent="0.4">
      <c r="K3126" s="5">
        <v>3124</v>
      </c>
      <c r="L3126" s="73">
        <v>-41.599999999999994</v>
      </c>
    </row>
    <row r="3127" spans="11:12" x14ac:dyDescent="0.4">
      <c r="K3127" s="5">
        <v>3125</v>
      </c>
      <c r="L3127" s="73">
        <v>-27.899999999999991</v>
      </c>
    </row>
    <row r="3128" spans="11:12" x14ac:dyDescent="0.4">
      <c r="K3128" s="5">
        <v>3126</v>
      </c>
      <c r="L3128" s="73">
        <v>5.3290705182007514E-15</v>
      </c>
    </row>
    <row r="3129" spans="11:12" x14ac:dyDescent="0.4">
      <c r="K3129" s="5">
        <v>3127</v>
      </c>
      <c r="L3129" s="73">
        <v>-38.29999999999999</v>
      </c>
    </row>
    <row r="3130" spans="11:12" x14ac:dyDescent="0.4">
      <c r="K3130" s="5">
        <v>3128</v>
      </c>
      <c r="L3130" s="73">
        <v>-26.999999999999986</v>
      </c>
    </row>
    <row r="3131" spans="11:12" x14ac:dyDescent="0.4">
      <c r="K3131" s="5">
        <v>3129</v>
      </c>
      <c r="L3131" s="73">
        <v>1.2434497875801753E-14</v>
      </c>
    </row>
    <row r="3132" spans="11:12" x14ac:dyDescent="0.4">
      <c r="K3132" s="5">
        <v>3130</v>
      </c>
      <c r="L3132" s="73">
        <v>68.200000000000017</v>
      </c>
    </row>
    <row r="3133" spans="11:12" x14ac:dyDescent="0.4">
      <c r="K3133" s="5">
        <v>3131</v>
      </c>
      <c r="L3133" s="73">
        <v>44.70000000000001</v>
      </c>
    </row>
    <row r="3134" spans="11:12" x14ac:dyDescent="0.4">
      <c r="K3134" s="5">
        <v>3132</v>
      </c>
      <c r="L3134" s="73">
        <v>8.8817841970012523E-15</v>
      </c>
    </row>
    <row r="3135" spans="11:12" x14ac:dyDescent="0.4">
      <c r="K3135" s="5">
        <v>3133</v>
      </c>
      <c r="L3135" s="73">
        <v>-0.99999999999999112</v>
      </c>
    </row>
    <row r="3136" spans="11:12" x14ac:dyDescent="0.4">
      <c r="K3136" s="5">
        <v>3134</v>
      </c>
      <c r="L3136" s="73">
        <v>27.000000000000007</v>
      </c>
    </row>
    <row r="3137" spans="11:12" x14ac:dyDescent="0.4">
      <c r="K3137" s="5">
        <v>3135</v>
      </c>
      <c r="L3137" s="73">
        <v>8.8817841970012523E-15</v>
      </c>
    </row>
    <row r="3138" spans="11:12" x14ac:dyDescent="0.4">
      <c r="K3138" s="5">
        <v>3136</v>
      </c>
      <c r="L3138" s="73">
        <v>-32.29999999999999</v>
      </c>
    </row>
    <row r="3139" spans="11:12" x14ac:dyDescent="0.4">
      <c r="K3139" s="5">
        <v>3137</v>
      </c>
      <c r="L3139" s="73">
        <v>-52.199999999999989</v>
      </c>
    </row>
    <row r="3140" spans="11:12" x14ac:dyDescent="0.4">
      <c r="K3140" s="5">
        <v>3138</v>
      </c>
      <c r="L3140" s="73">
        <v>1.5987211554602254E-14</v>
      </c>
    </row>
    <row r="3141" spans="11:12" x14ac:dyDescent="0.4">
      <c r="K3141" s="5">
        <v>3139</v>
      </c>
      <c r="L3141" s="73">
        <v>43.500000000000014</v>
      </c>
    </row>
    <row r="3142" spans="11:12" x14ac:dyDescent="0.4">
      <c r="K3142" s="5">
        <v>3140</v>
      </c>
      <c r="L3142" s="73">
        <v>7.8000000000000131</v>
      </c>
    </row>
    <row r="3143" spans="11:12" x14ac:dyDescent="0.4">
      <c r="K3143" s="5">
        <v>3141</v>
      </c>
      <c r="L3143" s="73">
        <v>1.3322676295501878E-14</v>
      </c>
    </row>
    <row r="3144" spans="11:12" x14ac:dyDescent="0.4">
      <c r="K3144" s="5">
        <v>3142</v>
      </c>
      <c r="L3144" s="73">
        <v>-52.799999999999983</v>
      </c>
    </row>
    <row r="3145" spans="11:12" x14ac:dyDescent="0.4">
      <c r="K3145" s="5">
        <v>3143</v>
      </c>
      <c r="L3145" s="73">
        <v>7.500000000000016</v>
      </c>
    </row>
    <row r="3146" spans="11:12" x14ac:dyDescent="0.4">
      <c r="K3146" s="5">
        <v>3144</v>
      </c>
      <c r="L3146" s="73">
        <v>1.5987211554602254E-14</v>
      </c>
    </row>
    <row r="3147" spans="11:12" x14ac:dyDescent="0.4">
      <c r="K3147" s="5">
        <v>3145</v>
      </c>
      <c r="L3147" s="73">
        <v>-14.799999999999985</v>
      </c>
    </row>
    <row r="3148" spans="11:12" x14ac:dyDescent="0.4">
      <c r="K3148" s="5">
        <v>3146</v>
      </c>
      <c r="L3148" s="73">
        <v>-49.499999999999993</v>
      </c>
    </row>
    <row r="3149" spans="11:12" x14ac:dyDescent="0.4">
      <c r="K3149" s="5">
        <v>3147</v>
      </c>
      <c r="L3149" s="73">
        <v>8.8817841970012523E-15</v>
      </c>
    </row>
    <row r="3150" spans="11:12" x14ac:dyDescent="0.4">
      <c r="K3150" s="5">
        <v>3148</v>
      </c>
      <c r="L3150" s="73">
        <v>6.4000000000000092</v>
      </c>
    </row>
    <row r="3151" spans="11:12" x14ac:dyDescent="0.4">
      <c r="K3151" s="5">
        <v>3149</v>
      </c>
      <c r="L3151" s="73">
        <v>-24.599999999999994</v>
      </c>
    </row>
    <row r="3152" spans="11:12" x14ac:dyDescent="0.4">
      <c r="K3152" s="5">
        <v>3150</v>
      </c>
      <c r="L3152" s="73">
        <v>8.8817841970012523E-15</v>
      </c>
    </row>
    <row r="3153" spans="11:12" x14ac:dyDescent="0.4">
      <c r="K3153" s="5">
        <v>3151</v>
      </c>
      <c r="L3153" s="73">
        <v>-49.399999999999991</v>
      </c>
    </row>
    <row r="3154" spans="11:12" x14ac:dyDescent="0.4">
      <c r="K3154" s="5">
        <v>3152</v>
      </c>
      <c r="L3154" s="73">
        <v>-37.199999999999996</v>
      </c>
    </row>
    <row r="3155" spans="11:12" x14ac:dyDescent="0.4">
      <c r="K3155" s="5">
        <v>3153</v>
      </c>
      <c r="L3155" s="73">
        <v>8.8817841970012523E-15</v>
      </c>
    </row>
    <row r="3156" spans="11:12" x14ac:dyDescent="0.4">
      <c r="K3156" s="5">
        <v>3154</v>
      </c>
      <c r="L3156" s="73">
        <v>-14.599999999999991</v>
      </c>
    </row>
    <row r="3157" spans="11:12" x14ac:dyDescent="0.4">
      <c r="K3157" s="5">
        <v>3155</v>
      </c>
      <c r="L3157" s="73">
        <v>-63.499999999999993</v>
      </c>
    </row>
    <row r="3158" spans="11:12" x14ac:dyDescent="0.4">
      <c r="K3158" s="5">
        <v>3156</v>
      </c>
      <c r="L3158" s="73">
        <v>8.8817841970012523E-15</v>
      </c>
    </row>
    <row r="3159" spans="11:12" x14ac:dyDescent="0.4">
      <c r="K3159" s="5">
        <v>3157</v>
      </c>
      <c r="L3159" s="73">
        <v>30.000000000000007</v>
      </c>
    </row>
    <row r="3160" spans="11:12" x14ac:dyDescent="0.4">
      <c r="K3160" s="5">
        <v>3158</v>
      </c>
      <c r="L3160" s="73">
        <v>21.600000000000009</v>
      </c>
    </row>
    <row r="3161" spans="11:12" x14ac:dyDescent="0.4">
      <c r="K3161" s="5">
        <v>3159</v>
      </c>
      <c r="L3161" s="73">
        <v>8.8817841970012523E-15</v>
      </c>
    </row>
    <row r="3162" spans="11:12" x14ac:dyDescent="0.4">
      <c r="K3162" s="5">
        <v>3160</v>
      </c>
      <c r="L3162" s="73">
        <v>1.5000000000000089</v>
      </c>
    </row>
    <row r="3163" spans="11:12" x14ac:dyDescent="0.4">
      <c r="K3163" s="5">
        <v>3161</v>
      </c>
      <c r="L3163" s="73">
        <v>50.100000000000009</v>
      </c>
    </row>
    <row r="3164" spans="11:12" x14ac:dyDescent="0.4">
      <c r="K3164" s="5">
        <v>3162</v>
      </c>
      <c r="L3164" s="73">
        <v>8.8817841970012523E-15</v>
      </c>
    </row>
    <row r="3165" spans="11:12" x14ac:dyDescent="0.4">
      <c r="K3165" s="5">
        <v>3163</v>
      </c>
      <c r="L3165" s="73">
        <v>26.000000000000007</v>
      </c>
    </row>
    <row r="3166" spans="11:12" x14ac:dyDescent="0.4">
      <c r="K3166" s="5">
        <v>3164</v>
      </c>
      <c r="L3166" s="73">
        <v>-5.6999999999999904</v>
      </c>
    </row>
    <row r="3167" spans="11:12" x14ac:dyDescent="0.4">
      <c r="K3167" s="5">
        <v>3165</v>
      </c>
      <c r="L3167" s="73">
        <v>9.7699626167013776E-15</v>
      </c>
    </row>
    <row r="3168" spans="11:12" x14ac:dyDescent="0.4">
      <c r="K3168" s="5">
        <v>3166</v>
      </c>
      <c r="L3168" s="73">
        <v>-45.199999999999996</v>
      </c>
    </row>
    <row r="3169" spans="11:12" x14ac:dyDescent="0.4">
      <c r="K3169" s="5">
        <v>3167</v>
      </c>
      <c r="L3169" s="73">
        <v>-3.4999999999999911</v>
      </c>
    </row>
    <row r="3170" spans="11:12" x14ac:dyDescent="0.4">
      <c r="K3170" s="5">
        <v>3168</v>
      </c>
      <c r="L3170" s="73">
        <v>8.8817841970012523E-15</v>
      </c>
    </row>
    <row r="3171" spans="11:12" x14ac:dyDescent="0.4">
      <c r="K3171" s="5">
        <v>3169</v>
      </c>
      <c r="L3171" s="73">
        <v>-10.69999999999999</v>
      </c>
    </row>
    <row r="3172" spans="11:12" x14ac:dyDescent="0.4">
      <c r="K3172" s="5">
        <v>3170</v>
      </c>
      <c r="L3172" s="73">
        <v>-33.999999999999993</v>
      </c>
    </row>
    <row r="3173" spans="11:12" x14ac:dyDescent="0.4">
      <c r="K3173" s="5">
        <v>3171</v>
      </c>
      <c r="L3173" s="73">
        <v>8.8817841970012523E-15</v>
      </c>
    </row>
    <row r="3174" spans="11:12" x14ac:dyDescent="0.4">
      <c r="K3174" s="5">
        <v>3172</v>
      </c>
      <c r="L3174" s="73">
        <v>-0.89999999999999114</v>
      </c>
    </row>
    <row r="3175" spans="11:12" x14ac:dyDescent="0.4">
      <c r="K3175" s="5">
        <v>3173</v>
      </c>
      <c r="L3175" s="73">
        <v>15.20000000000001</v>
      </c>
    </row>
    <row r="3176" spans="11:12" x14ac:dyDescent="0.4">
      <c r="K3176" s="5">
        <v>3174</v>
      </c>
      <c r="L3176" s="73">
        <v>1.0658141036401503E-14</v>
      </c>
    </row>
    <row r="3177" spans="11:12" x14ac:dyDescent="0.4">
      <c r="K3177" s="5">
        <v>3175</v>
      </c>
      <c r="L3177" s="73">
        <v>-12.599999999999989</v>
      </c>
    </row>
    <row r="3178" spans="11:12" x14ac:dyDescent="0.4">
      <c r="K3178" s="5">
        <v>3176</v>
      </c>
      <c r="L3178" s="73">
        <v>-57.79999999999999</v>
      </c>
    </row>
    <row r="3179" spans="11:12" x14ac:dyDescent="0.4">
      <c r="K3179" s="5">
        <v>3177</v>
      </c>
      <c r="L3179" s="73">
        <v>8.8817841970012523E-15</v>
      </c>
    </row>
    <row r="3180" spans="11:12" x14ac:dyDescent="0.4">
      <c r="K3180" s="5">
        <v>3178</v>
      </c>
      <c r="L3180" s="73">
        <v>-3.9999999999999911</v>
      </c>
    </row>
    <row r="3181" spans="11:12" x14ac:dyDescent="0.4">
      <c r="K3181" s="5">
        <v>3179</v>
      </c>
      <c r="L3181" s="73">
        <v>47.300000000000004</v>
      </c>
    </row>
    <row r="3182" spans="11:12" x14ac:dyDescent="0.4">
      <c r="K3182" s="5">
        <v>3180</v>
      </c>
      <c r="L3182" s="73">
        <v>8.8817841970012523E-15</v>
      </c>
    </row>
    <row r="3183" spans="11:12" x14ac:dyDescent="0.4">
      <c r="K3183" s="5">
        <v>3181</v>
      </c>
      <c r="L3183" s="73">
        <v>-57.099999999999994</v>
      </c>
    </row>
    <row r="3184" spans="11:12" x14ac:dyDescent="0.4">
      <c r="K3184" s="5">
        <v>3182</v>
      </c>
      <c r="L3184" s="73">
        <v>-52.8</v>
      </c>
    </row>
    <row r="3185" spans="11:12" x14ac:dyDescent="0.4">
      <c r="K3185" s="5">
        <v>3183</v>
      </c>
      <c r="L3185" s="73">
        <v>1.7763568394002505E-15</v>
      </c>
    </row>
    <row r="3186" spans="11:12" x14ac:dyDescent="0.4">
      <c r="K3186" s="5">
        <v>3184</v>
      </c>
      <c r="L3186" s="73">
        <v>-20</v>
      </c>
    </row>
    <row r="3187" spans="11:12" x14ac:dyDescent="0.4">
      <c r="K3187" s="5">
        <v>3185</v>
      </c>
      <c r="L3187" s="73">
        <v>53</v>
      </c>
    </row>
    <row r="3188" spans="11:12" x14ac:dyDescent="0.4">
      <c r="K3188" s="5">
        <v>3186</v>
      </c>
      <c r="L3188" s="73">
        <v>1.7763568394002505E-15</v>
      </c>
    </row>
    <row r="3189" spans="11:12" x14ac:dyDescent="0.4">
      <c r="K3189" s="5">
        <v>3187</v>
      </c>
      <c r="L3189" s="73">
        <v>54.4</v>
      </c>
    </row>
    <row r="3190" spans="11:12" x14ac:dyDescent="0.4">
      <c r="K3190" s="5">
        <v>3188</v>
      </c>
      <c r="L3190" s="73">
        <v>4.2999999999999989</v>
      </c>
    </row>
    <row r="3191" spans="11:12" x14ac:dyDescent="0.4">
      <c r="K3191" s="5">
        <v>3189</v>
      </c>
      <c r="L3191" s="73">
        <v>-8.8817841970012523E-16</v>
      </c>
    </row>
    <row r="3192" spans="11:12" x14ac:dyDescent="0.4">
      <c r="K3192" s="5">
        <v>3190</v>
      </c>
      <c r="L3192" s="73">
        <v>-48.2</v>
      </c>
    </row>
    <row r="3193" spans="11:12" x14ac:dyDescent="0.4">
      <c r="K3193" s="5">
        <v>3191</v>
      </c>
      <c r="L3193" s="73">
        <v>11.500000000000002</v>
      </c>
    </row>
    <row r="3194" spans="11:12" x14ac:dyDescent="0.4">
      <c r="K3194" s="5">
        <v>3192</v>
      </c>
      <c r="L3194" s="73">
        <v>1.7763568394002505E-15</v>
      </c>
    </row>
    <row r="3195" spans="11:12" x14ac:dyDescent="0.4">
      <c r="K3195" s="5">
        <v>3193</v>
      </c>
      <c r="L3195" s="73">
        <v>22.300000000000004</v>
      </c>
    </row>
    <row r="3196" spans="11:12" x14ac:dyDescent="0.4">
      <c r="K3196" s="5">
        <v>3194</v>
      </c>
      <c r="L3196" s="73">
        <v>27.300000000000004</v>
      </c>
    </row>
    <row r="3197" spans="11:12" x14ac:dyDescent="0.4">
      <c r="K3197" s="5">
        <v>3195</v>
      </c>
      <c r="L3197" s="73">
        <v>1.7763568394002505E-15</v>
      </c>
    </row>
    <row r="3198" spans="11:12" x14ac:dyDescent="0.4">
      <c r="K3198" s="5">
        <v>3196</v>
      </c>
      <c r="L3198" s="73">
        <v>-9.4999999999999982</v>
      </c>
    </row>
    <row r="3199" spans="11:12" x14ac:dyDescent="0.4">
      <c r="K3199" s="5">
        <v>3197</v>
      </c>
      <c r="L3199" s="73">
        <v>22.1</v>
      </c>
    </row>
    <row r="3200" spans="11:12" x14ac:dyDescent="0.4">
      <c r="K3200" s="5">
        <v>3198</v>
      </c>
      <c r="L3200" s="73">
        <v>1.7763568394002505E-15</v>
      </c>
    </row>
    <row r="3201" spans="11:12" x14ac:dyDescent="0.4">
      <c r="K3201" s="5">
        <v>3199</v>
      </c>
      <c r="L3201" s="73">
        <v>-36.4</v>
      </c>
    </row>
    <row r="3202" spans="11:12" x14ac:dyDescent="0.4">
      <c r="K3202" s="5">
        <v>3200</v>
      </c>
      <c r="L3202" s="73">
        <v>-61.6</v>
      </c>
    </row>
    <row r="3203" spans="11:12" x14ac:dyDescent="0.4">
      <c r="K3203" s="5">
        <v>3201</v>
      </c>
      <c r="L3203" s="73">
        <v>1.7763568394002505E-15</v>
      </c>
    </row>
    <row r="3204" spans="11:12" x14ac:dyDescent="0.4">
      <c r="K3204" s="5">
        <v>3202</v>
      </c>
      <c r="L3204" s="73">
        <v>-2.299999999999998</v>
      </c>
    </row>
    <row r="3205" spans="11:12" x14ac:dyDescent="0.4">
      <c r="K3205" s="5">
        <v>3203</v>
      </c>
      <c r="L3205" s="73">
        <v>-24.799999999999997</v>
      </c>
    </row>
    <row r="3206" spans="11:12" x14ac:dyDescent="0.4">
      <c r="K3206" s="5">
        <v>3204</v>
      </c>
      <c r="L3206" s="73">
        <v>1.7763568394002505E-15</v>
      </c>
    </row>
    <row r="3207" spans="11:12" x14ac:dyDescent="0.4">
      <c r="K3207" s="5">
        <v>3205</v>
      </c>
      <c r="L3207" s="73">
        <v>-27.5</v>
      </c>
    </row>
    <row r="3208" spans="11:12" x14ac:dyDescent="0.4">
      <c r="K3208" s="5">
        <v>3206</v>
      </c>
      <c r="L3208" s="73">
        <v>-22</v>
      </c>
    </row>
    <row r="3209" spans="11:12" x14ac:dyDescent="0.4">
      <c r="K3209" s="5">
        <v>3207</v>
      </c>
      <c r="L3209" s="73">
        <v>1.7763568394002505E-15</v>
      </c>
    </row>
    <row r="3210" spans="11:12" x14ac:dyDescent="0.4">
      <c r="K3210" s="5">
        <v>3208</v>
      </c>
      <c r="L3210" s="73">
        <v>70.000000000000014</v>
      </c>
    </row>
    <row r="3211" spans="11:12" x14ac:dyDescent="0.4">
      <c r="K3211" s="5">
        <v>3209</v>
      </c>
      <c r="L3211" s="73">
        <v>46.500000000000007</v>
      </c>
    </row>
    <row r="3212" spans="11:12" x14ac:dyDescent="0.4">
      <c r="K3212" s="5">
        <v>3210</v>
      </c>
      <c r="L3212" s="73">
        <v>8.8817841970012523E-15</v>
      </c>
    </row>
    <row r="3213" spans="11:12" x14ac:dyDescent="0.4">
      <c r="K3213" s="5">
        <v>3211</v>
      </c>
      <c r="L3213" s="73">
        <v>-5.3999999999999915</v>
      </c>
    </row>
    <row r="3214" spans="11:12" x14ac:dyDescent="0.4">
      <c r="K3214" s="5">
        <v>3212</v>
      </c>
      <c r="L3214" s="73">
        <v>31.900000000000006</v>
      </c>
    </row>
    <row r="3215" spans="11:12" x14ac:dyDescent="0.4">
      <c r="K3215" s="5">
        <v>3213</v>
      </c>
      <c r="L3215" s="73">
        <v>8.8817841970012523E-15</v>
      </c>
    </row>
    <row r="3216" spans="11:12" x14ac:dyDescent="0.4">
      <c r="K3216" s="5">
        <v>3214</v>
      </c>
      <c r="L3216" s="73">
        <v>1.3000000000000089</v>
      </c>
    </row>
    <row r="3217" spans="11:12" x14ac:dyDescent="0.4">
      <c r="K3217" s="5">
        <v>3215</v>
      </c>
      <c r="L3217" s="73">
        <v>-13.79999999999999</v>
      </c>
    </row>
    <row r="3218" spans="11:12" x14ac:dyDescent="0.4">
      <c r="K3218" s="5">
        <v>3216</v>
      </c>
      <c r="L3218" s="73">
        <v>1.0658141036401503E-14</v>
      </c>
    </row>
    <row r="3219" spans="11:12" x14ac:dyDescent="0.4">
      <c r="K3219" s="5">
        <v>3217</v>
      </c>
      <c r="L3219" s="73">
        <v>87.300000000000011</v>
      </c>
    </row>
    <row r="3220" spans="11:12" x14ac:dyDescent="0.4">
      <c r="K3220" s="5">
        <v>3218</v>
      </c>
      <c r="L3220" s="73">
        <v>65.000000000000014</v>
      </c>
    </row>
    <row r="3221" spans="11:12" x14ac:dyDescent="0.4">
      <c r="K3221" s="5">
        <v>3219</v>
      </c>
      <c r="L3221" s="73">
        <v>8.8817841970012523E-15</v>
      </c>
    </row>
    <row r="3222" spans="11:12" x14ac:dyDescent="0.4">
      <c r="K3222" s="5">
        <v>3220</v>
      </c>
      <c r="L3222" s="73">
        <v>6.3000000000000087</v>
      </c>
    </row>
    <row r="3223" spans="11:12" x14ac:dyDescent="0.4">
      <c r="K3223" s="5">
        <v>3221</v>
      </c>
      <c r="L3223" s="73">
        <v>52.900000000000006</v>
      </c>
    </row>
    <row r="3224" spans="11:12" x14ac:dyDescent="0.4">
      <c r="K3224" s="5">
        <v>3222</v>
      </c>
      <c r="L3224" s="73">
        <v>8.8817841970012523E-15</v>
      </c>
    </row>
    <row r="3225" spans="11:12" x14ac:dyDescent="0.4">
      <c r="K3225" s="5">
        <v>3223</v>
      </c>
      <c r="L3225" s="73">
        <v>-72.699999999999989</v>
      </c>
    </row>
    <row r="3226" spans="11:12" x14ac:dyDescent="0.4">
      <c r="K3226" s="5">
        <v>3224</v>
      </c>
      <c r="L3226" s="73">
        <v>-49.499999999999993</v>
      </c>
    </row>
    <row r="3227" spans="11:12" x14ac:dyDescent="0.4">
      <c r="K3227" s="5">
        <v>3225</v>
      </c>
      <c r="L3227" s="73">
        <v>8.8817841970012523E-15</v>
      </c>
    </row>
    <row r="3228" spans="11:12" x14ac:dyDescent="0.4">
      <c r="K3228" s="5">
        <v>3226</v>
      </c>
      <c r="L3228" s="73">
        <v>8.6000000000000085</v>
      </c>
    </row>
    <row r="3229" spans="11:12" x14ac:dyDescent="0.4">
      <c r="K3229" s="5">
        <v>3227</v>
      </c>
      <c r="L3229" s="73">
        <v>46.600000000000009</v>
      </c>
    </row>
    <row r="3230" spans="11:12" x14ac:dyDescent="0.4">
      <c r="K3230" s="5">
        <v>3228</v>
      </c>
      <c r="L3230" s="73">
        <v>8.8817841970012523E-15</v>
      </c>
    </row>
    <row r="3231" spans="11:12" x14ac:dyDescent="0.4">
      <c r="K3231" s="5">
        <v>3229</v>
      </c>
      <c r="L3231" s="73">
        <v>-40.79999999999999</v>
      </c>
    </row>
    <row r="3232" spans="11:12" x14ac:dyDescent="0.4">
      <c r="K3232" s="5">
        <v>3230</v>
      </c>
      <c r="L3232" s="73">
        <v>-33.599999999999987</v>
      </c>
    </row>
    <row r="3233" spans="11:12" x14ac:dyDescent="0.4">
      <c r="K3233" s="5">
        <v>3231</v>
      </c>
      <c r="L3233" s="73">
        <v>1.5987211554602254E-14</v>
      </c>
    </row>
    <row r="3234" spans="11:12" x14ac:dyDescent="0.4">
      <c r="K3234" s="5">
        <v>3232</v>
      </c>
      <c r="L3234" s="73">
        <v>-33.399999999999984</v>
      </c>
    </row>
    <row r="3235" spans="11:12" x14ac:dyDescent="0.4">
      <c r="K3235" s="5">
        <v>3233</v>
      </c>
      <c r="L3235" s="73">
        <v>-41.599999999999987</v>
      </c>
    </row>
    <row r="3236" spans="11:12" x14ac:dyDescent="0.4">
      <c r="K3236" s="5">
        <v>3234</v>
      </c>
      <c r="L3236" s="73">
        <v>1.5987211554602254E-14</v>
      </c>
    </row>
    <row r="3237" spans="11:12" x14ac:dyDescent="0.4">
      <c r="K3237" s="5">
        <v>3235</v>
      </c>
      <c r="L3237" s="73">
        <v>-33.399999999999984</v>
      </c>
    </row>
    <row r="3238" spans="11:12" x14ac:dyDescent="0.4">
      <c r="K3238" s="5">
        <v>3236</v>
      </c>
      <c r="L3238" s="73">
        <v>57.600000000000016</v>
      </c>
    </row>
    <row r="3239" spans="11:12" x14ac:dyDescent="0.4">
      <c r="K3239" s="5">
        <v>3237</v>
      </c>
      <c r="L3239" s="73">
        <v>1.5987211554602254E-14</v>
      </c>
    </row>
    <row r="3240" spans="11:12" x14ac:dyDescent="0.4">
      <c r="K3240" s="5">
        <v>3238</v>
      </c>
      <c r="L3240" s="73">
        <v>6.8000000000000158</v>
      </c>
    </row>
    <row r="3241" spans="11:12" x14ac:dyDescent="0.4">
      <c r="K3241" s="5">
        <v>3239</v>
      </c>
      <c r="L3241" s="73">
        <v>48.100000000000009</v>
      </c>
    </row>
    <row r="3242" spans="11:12" x14ac:dyDescent="0.4">
      <c r="K3242" s="5">
        <v>3240</v>
      </c>
      <c r="L3242" s="73">
        <v>8.8817841970012523E-15</v>
      </c>
    </row>
    <row r="3243" spans="11:12" x14ac:dyDescent="0.4">
      <c r="K3243" s="5">
        <v>3241</v>
      </c>
      <c r="L3243" s="73">
        <v>64.000000000000014</v>
      </c>
    </row>
    <row r="3244" spans="11:12" x14ac:dyDescent="0.4">
      <c r="K3244" s="5">
        <v>3242</v>
      </c>
      <c r="L3244" s="73">
        <v>26.800000000000004</v>
      </c>
    </row>
    <row r="3245" spans="11:12" x14ac:dyDescent="0.4">
      <c r="K3245" s="5">
        <v>3243</v>
      </c>
      <c r="L3245" s="73">
        <v>5.3290705182007514E-15</v>
      </c>
    </row>
    <row r="3246" spans="11:12" x14ac:dyDescent="0.4">
      <c r="K3246" s="5">
        <v>3244</v>
      </c>
      <c r="L3246" s="73">
        <v>-25.799999999999997</v>
      </c>
    </row>
    <row r="3247" spans="11:12" x14ac:dyDescent="0.4">
      <c r="K3247" s="5">
        <v>3245</v>
      </c>
      <c r="L3247" s="73">
        <v>-19.099999999999994</v>
      </c>
    </row>
    <row r="3248" spans="11:12" x14ac:dyDescent="0.4">
      <c r="K3248" s="5">
        <v>3246</v>
      </c>
      <c r="L3248" s="73">
        <v>5.3290705182007514E-15</v>
      </c>
    </row>
    <row r="3249" spans="11:12" x14ac:dyDescent="0.4">
      <c r="K3249" s="5">
        <v>3247</v>
      </c>
      <c r="L3249" s="73">
        <v>3.2000000000000055</v>
      </c>
    </row>
    <row r="3250" spans="11:12" x14ac:dyDescent="0.4">
      <c r="K3250" s="5">
        <v>3248</v>
      </c>
      <c r="L3250" s="73">
        <v>-44.4</v>
      </c>
    </row>
    <row r="3251" spans="11:12" x14ac:dyDescent="0.4">
      <c r="K3251" s="5">
        <v>3249</v>
      </c>
      <c r="L3251" s="73">
        <v>1.7763568394002505E-15</v>
      </c>
    </row>
    <row r="3252" spans="11:12" x14ac:dyDescent="0.4">
      <c r="K3252" s="5">
        <v>3250</v>
      </c>
      <c r="L3252" s="73">
        <v>-26.299999999999997</v>
      </c>
    </row>
    <row r="3253" spans="11:12" x14ac:dyDescent="0.4">
      <c r="K3253" s="5">
        <v>3251</v>
      </c>
      <c r="L3253" s="73">
        <v>-25.5</v>
      </c>
    </row>
    <row r="3254" spans="11:12" x14ac:dyDescent="0.4">
      <c r="K3254" s="5">
        <v>3252</v>
      </c>
      <c r="L3254" s="73">
        <v>1.7763568394002505E-15</v>
      </c>
    </row>
    <row r="3255" spans="11:12" x14ac:dyDescent="0.4">
      <c r="K3255" s="5">
        <v>3253</v>
      </c>
      <c r="L3255" s="73">
        <v>54.7</v>
      </c>
    </row>
    <row r="3256" spans="11:12" x14ac:dyDescent="0.4">
      <c r="K3256" s="5">
        <v>3254</v>
      </c>
      <c r="L3256" s="73">
        <v>50.300000000000004</v>
      </c>
    </row>
    <row r="3257" spans="11:12" x14ac:dyDescent="0.4">
      <c r="K3257" s="5">
        <v>3255</v>
      </c>
      <c r="L3257" s="73">
        <v>8.8817841970012523E-15</v>
      </c>
    </row>
    <row r="3258" spans="11:12" x14ac:dyDescent="0.4">
      <c r="K3258" s="5">
        <v>3256</v>
      </c>
      <c r="L3258" s="73">
        <v>8.6000000000000085</v>
      </c>
    </row>
    <row r="3259" spans="11:12" x14ac:dyDescent="0.4">
      <c r="K3259" s="5">
        <v>3257</v>
      </c>
      <c r="L3259" s="73">
        <v>47.300000000000011</v>
      </c>
    </row>
    <row r="3260" spans="11:12" x14ac:dyDescent="0.4">
      <c r="K3260" s="5">
        <v>3258</v>
      </c>
      <c r="L3260" s="73">
        <v>1.5987211554602254E-14</v>
      </c>
    </row>
    <row r="3261" spans="11:12" x14ac:dyDescent="0.4">
      <c r="K3261" s="5">
        <v>3259</v>
      </c>
      <c r="L3261" s="73">
        <v>-11.799999999999985</v>
      </c>
    </row>
    <row r="3262" spans="11:12" x14ac:dyDescent="0.4">
      <c r="K3262" s="5">
        <v>3260</v>
      </c>
      <c r="L3262" s="73">
        <v>-44.79999999999999</v>
      </c>
    </row>
    <row r="3263" spans="11:12" x14ac:dyDescent="0.4">
      <c r="K3263" s="5">
        <v>3261</v>
      </c>
      <c r="L3263" s="73">
        <v>8.8817841970012523E-15</v>
      </c>
    </row>
    <row r="3264" spans="11:12" x14ac:dyDescent="0.4">
      <c r="K3264" s="5">
        <v>3262</v>
      </c>
      <c r="L3264" s="73">
        <v>-45.599999999999994</v>
      </c>
    </row>
    <row r="3265" spans="11:12" x14ac:dyDescent="0.4">
      <c r="K3265" s="5">
        <v>3263</v>
      </c>
      <c r="L3265" s="73">
        <v>3.9000000000000075</v>
      </c>
    </row>
    <row r="3266" spans="11:12" x14ac:dyDescent="0.4">
      <c r="K3266" s="5">
        <v>3264</v>
      </c>
      <c r="L3266" s="73">
        <v>7.5495165674510645E-15</v>
      </c>
    </row>
    <row r="3267" spans="11:12" x14ac:dyDescent="0.4">
      <c r="K3267" s="5">
        <v>3265</v>
      </c>
      <c r="L3267" s="73">
        <v>45.300000000000004</v>
      </c>
    </row>
    <row r="3268" spans="11:12" x14ac:dyDescent="0.4">
      <c r="K3268" s="5">
        <v>3266</v>
      </c>
      <c r="L3268" s="73">
        <v>40.6</v>
      </c>
    </row>
    <row r="3269" spans="11:12" x14ac:dyDescent="0.4">
      <c r="K3269" s="5">
        <v>3267</v>
      </c>
      <c r="L3269" s="73">
        <v>1.7763568394002505E-15</v>
      </c>
    </row>
    <row r="3270" spans="11:12" x14ac:dyDescent="0.4">
      <c r="K3270" s="5">
        <v>3268</v>
      </c>
      <c r="L3270" s="73">
        <v>-54.4</v>
      </c>
    </row>
    <row r="3271" spans="11:12" x14ac:dyDescent="0.4">
      <c r="K3271" s="5">
        <v>3269</v>
      </c>
      <c r="L3271" s="73">
        <v>16.600000000000001</v>
      </c>
    </row>
    <row r="3272" spans="11:12" x14ac:dyDescent="0.4">
      <c r="K3272" s="5">
        <v>3270</v>
      </c>
      <c r="L3272" s="73">
        <v>1.7763568394002505E-15</v>
      </c>
    </row>
    <row r="3273" spans="11:12" x14ac:dyDescent="0.4">
      <c r="K3273" s="5">
        <v>3271</v>
      </c>
      <c r="L3273" s="73">
        <v>-23.699999999999996</v>
      </c>
    </row>
    <row r="3274" spans="11:12" x14ac:dyDescent="0.4">
      <c r="K3274" s="5">
        <v>3272</v>
      </c>
      <c r="L3274" s="73">
        <v>-22.299999999999997</v>
      </c>
    </row>
    <row r="3275" spans="11:12" x14ac:dyDescent="0.4">
      <c r="K3275" s="5">
        <v>3273</v>
      </c>
      <c r="L3275" s="73">
        <v>1.7763568394002505E-15</v>
      </c>
    </row>
    <row r="3276" spans="11:12" x14ac:dyDescent="0.4">
      <c r="K3276" s="5">
        <v>3274</v>
      </c>
      <c r="L3276" s="73">
        <v>-50.4</v>
      </c>
    </row>
    <row r="3277" spans="11:12" x14ac:dyDescent="0.4">
      <c r="K3277" s="5">
        <v>3275</v>
      </c>
      <c r="L3277" s="73">
        <v>-79.099999999999994</v>
      </c>
    </row>
    <row r="3278" spans="11:12" x14ac:dyDescent="0.4">
      <c r="K3278" s="5">
        <v>3276</v>
      </c>
      <c r="L3278" s="73">
        <v>-5.3290705182007514E-15</v>
      </c>
    </row>
    <row r="3279" spans="11:12" x14ac:dyDescent="0.4">
      <c r="K3279" s="5">
        <v>3277</v>
      </c>
      <c r="L3279" s="73">
        <v>29.399999999999991</v>
      </c>
    </row>
    <row r="3280" spans="11:12" x14ac:dyDescent="0.4">
      <c r="K3280" s="5">
        <v>3278</v>
      </c>
      <c r="L3280" s="73">
        <v>-6.5000000000000053</v>
      </c>
    </row>
    <row r="3281" spans="11:12" x14ac:dyDescent="0.4">
      <c r="K3281" s="5">
        <v>3279</v>
      </c>
      <c r="L3281" s="73">
        <v>-5.3290705182007514E-15</v>
      </c>
    </row>
    <row r="3282" spans="11:12" x14ac:dyDescent="0.4">
      <c r="K3282" s="5">
        <v>3280</v>
      </c>
      <c r="L3282" s="73">
        <v>12.499999999999995</v>
      </c>
    </row>
    <row r="3283" spans="11:12" x14ac:dyDescent="0.4">
      <c r="K3283" s="5">
        <v>3281</v>
      </c>
      <c r="L3283" s="73">
        <v>13.199999999999994</v>
      </c>
    </row>
    <row r="3284" spans="11:12" x14ac:dyDescent="0.4">
      <c r="K3284" s="5">
        <v>3282</v>
      </c>
      <c r="L3284" s="73">
        <v>-5.3290705182007514E-15</v>
      </c>
    </row>
    <row r="3285" spans="11:12" x14ac:dyDescent="0.4">
      <c r="K3285" s="5">
        <v>3283</v>
      </c>
      <c r="L3285" s="73">
        <v>40.099999999999994</v>
      </c>
    </row>
    <row r="3286" spans="11:12" x14ac:dyDescent="0.4">
      <c r="K3286" s="5">
        <v>3284</v>
      </c>
      <c r="L3286" s="73">
        <v>4.7999999999999989</v>
      </c>
    </row>
    <row r="3287" spans="11:12" x14ac:dyDescent="0.4">
      <c r="K3287" s="5">
        <v>3285</v>
      </c>
      <c r="L3287" s="73">
        <v>-8.8817841970012523E-16</v>
      </c>
    </row>
    <row r="3288" spans="11:12" x14ac:dyDescent="0.4">
      <c r="K3288" s="5">
        <v>3286</v>
      </c>
      <c r="L3288" s="73">
        <v>5.4999999999999991</v>
      </c>
    </row>
    <row r="3289" spans="11:12" x14ac:dyDescent="0.4">
      <c r="K3289" s="5">
        <v>3287</v>
      </c>
      <c r="L3289" s="73">
        <v>-45.1</v>
      </c>
    </row>
    <row r="3290" spans="11:12" x14ac:dyDescent="0.4">
      <c r="K3290" s="5">
        <v>3288</v>
      </c>
      <c r="L3290" s="73">
        <v>1.7763568394002505E-15</v>
      </c>
    </row>
    <row r="3291" spans="11:12" x14ac:dyDescent="0.4">
      <c r="K3291" s="5">
        <v>3289</v>
      </c>
      <c r="L3291" s="73">
        <v>-25.9</v>
      </c>
    </row>
    <row r="3292" spans="11:12" x14ac:dyDescent="0.4">
      <c r="K3292" s="5">
        <v>3290</v>
      </c>
      <c r="L3292" s="73">
        <v>-21</v>
      </c>
    </row>
    <row r="3293" spans="11:12" x14ac:dyDescent="0.4">
      <c r="K3293" s="5">
        <v>3291</v>
      </c>
      <c r="L3293" s="73">
        <v>1.7763568394002505E-15</v>
      </c>
    </row>
    <row r="3294" spans="11:12" x14ac:dyDescent="0.4">
      <c r="K3294" s="5">
        <v>3292</v>
      </c>
      <c r="L3294" s="73">
        <v>73.7</v>
      </c>
    </row>
    <row r="3295" spans="11:12" x14ac:dyDescent="0.4">
      <c r="K3295" s="5">
        <v>3293</v>
      </c>
      <c r="L3295" s="73">
        <v>51.199999999999996</v>
      </c>
    </row>
    <row r="3296" spans="11:12" x14ac:dyDescent="0.4">
      <c r="K3296" s="5">
        <v>3294</v>
      </c>
      <c r="L3296" s="73">
        <v>-5.3290705182007514E-15</v>
      </c>
    </row>
    <row r="3297" spans="11:12" x14ac:dyDescent="0.4">
      <c r="K3297" s="5">
        <v>3295</v>
      </c>
      <c r="L3297" s="73">
        <v>-65.2</v>
      </c>
    </row>
    <row r="3298" spans="11:12" x14ac:dyDescent="0.4">
      <c r="K3298" s="5">
        <v>3296</v>
      </c>
      <c r="L3298" s="73">
        <v>-45.800000000000011</v>
      </c>
    </row>
    <row r="3299" spans="11:12" x14ac:dyDescent="0.4">
      <c r="K3299" s="5">
        <v>3297</v>
      </c>
      <c r="L3299" s="73">
        <v>-1.2434497875801753E-14</v>
      </c>
    </row>
    <row r="3300" spans="11:12" x14ac:dyDescent="0.4">
      <c r="K3300" s="5">
        <v>3298</v>
      </c>
      <c r="L3300" s="73">
        <v>6.4999999999999876</v>
      </c>
    </row>
    <row r="3301" spans="11:12" x14ac:dyDescent="0.4">
      <c r="K3301" s="5">
        <v>3299</v>
      </c>
      <c r="L3301" s="73">
        <v>-32.500000000000014</v>
      </c>
    </row>
    <row r="3302" spans="11:12" x14ac:dyDescent="0.4">
      <c r="K3302" s="5">
        <v>3300</v>
      </c>
      <c r="L3302" s="73">
        <v>-1.2434497875801753E-14</v>
      </c>
    </row>
    <row r="3303" spans="11:12" x14ac:dyDescent="0.4">
      <c r="K3303" s="5">
        <v>3301</v>
      </c>
      <c r="L3303" s="73">
        <v>-23.300000000000011</v>
      </c>
    </row>
    <row r="3304" spans="11:12" x14ac:dyDescent="0.4">
      <c r="K3304" s="5">
        <v>3302</v>
      </c>
      <c r="L3304" s="73">
        <v>-57.900000000000013</v>
      </c>
    </row>
    <row r="3305" spans="11:12" x14ac:dyDescent="0.4">
      <c r="K3305" s="5">
        <v>3303</v>
      </c>
      <c r="L3305" s="73">
        <v>-1.2434497875801753E-14</v>
      </c>
    </row>
    <row r="3306" spans="11:12" x14ac:dyDescent="0.4">
      <c r="K3306" s="5">
        <v>3304</v>
      </c>
      <c r="L3306" s="73">
        <v>-39.100000000000016</v>
      </c>
    </row>
    <row r="3307" spans="11:12" x14ac:dyDescent="0.4">
      <c r="K3307" s="5">
        <v>3305</v>
      </c>
      <c r="L3307" s="73">
        <v>-25.300000000000011</v>
      </c>
    </row>
    <row r="3308" spans="11:12" x14ac:dyDescent="0.4">
      <c r="K3308" s="5">
        <v>3306</v>
      </c>
      <c r="L3308" s="73">
        <v>-1.2434497875801753E-14</v>
      </c>
    </row>
    <row r="3309" spans="11:12" x14ac:dyDescent="0.4">
      <c r="K3309" s="5">
        <v>3307</v>
      </c>
      <c r="L3309" s="73">
        <v>-6.3000000000000123</v>
      </c>
    </row>
    <row r="3310" spans="11:12" x14ac:dyDescent="0.4">
      <c r="K3310" s="5">
        <v>3308</v>
      </c>
      <c r="L3310" s="73">
        <v>45.599999999999987</v>
      </c>
    </row>
    <row r="3311" spans="11:12" x14ac:dyDescent="0.4">
      <c r="K3311" s="5">
        <v>3309</v>
      </c>
      <c r="L3311" s="73">
        <v>-1.2434497875801753E-14</v>
      </c>
    </row>
    <row r="3312" spans="11:12" x14ac:dyDescent="0.4">
      <c r="K3312" s="5">
        <v>3310</v>
      </c>
      <c r="L3312" s="73">
        <v>28.499999999999986</v>
      </c>
    </row>
    <row r="3313" spans="11:12" x14ac:dyDescent="0.4">
      <c r="K3313" s="5">
        <v>3311</v>
      </c>
      <c r="L3313" s="73">
        <v>8.2999999999999883</v>
      </c>
    </row>
    <row r="3314" spans="11:12" x14ac:dyDescent="0.4">
      <c r="K3314" s="5">
        <v>3312</v>
      </c>
      <c r="L3314" s="73">
        <v>-1.2434497875801753E-14</v>
      </c>
    </row>
    <row r="3315" spans="11:12" x14ac:dyDescent="0.4">
      <c r="K3315" s="5">
        <v>3313</v>
      </c>
      <c r="L3315" s="73">
        <v>-25.70000000000001</v>
      </c>
    </row>
    <row r="3316" spans="11:12" x14ac:dyDescent="0.4">
      <c r="K3316" s="5">
        <v>3314</v>
      </c>
      <c r="L3316" s="73">
        <v>-18.600000000000016</v>
      </c>
    </row>
    <row r="3317" spans="11:12" x14ac:dyDescent="0.4">
      <c r="K3317" s="5">
        <v>3315</v>
      </c>
      <c r="L3317" s="73">
        <v>-1.2434497875801753E-14</v>
      </c>
    </row>
    <row r="3318" spans="11:12" x14ac:dyDescent="0.4">
      <c r="K3318" s="5">
        <v>3316</v>
      </c>
      <c r="L3318" s="73">
        <v>-1.4000000000000123</v>
      </c>
    </row>
    <row r="3319" spans="11:12" x14ac:dyDescent="0.4">
      <c r="K3319" s="5">
        <v>3317</v>
      </c>
      <c r="L3319" s="73">
        <v>21.79999999999999</v>
      </c>
    </row>
    <row r="3320" spans="11:12" x14ac:dyDescent="0.4">
      <c r="K3320" s="5">
        <v>3318</v>
      </c>
      <c r="L3320" s="73">
        <v>-1.2434497875801753E-14</v>
      </c>
    </row>
    <row r="3321" spans="11:12" x14ac:dyDescent="0.4">
      <c r="K3321" s="5">
        <v>3319</v>
      </c>
      <c r="L3321" s="73">
        <v>-33.000000000000014</v>
      </c>
    </row>
    <row r="3322" spans="11:12" x14ac:dyDescent="0.4">
      <c r="K3322" s="5">
        <v>3320</v>
      </c>
      <c r="L3322" s="73">
        <v>-40.900000000000013</v>
      </c>
    </row>
    <row r="3323" spans="11:12" x14ac:dyDescent="0.4">
      <c r="K3323" s="5">
        <v>3321</v>
      </c>
      <c r="L3323" s="73">
        <v>-1.2434497875801753E-14</v>
      </c>
    </row>
    <row r="3324" spans="11:12" x14ac:dyDescent="0.4">
      <c r="K3324" s="5">
        <v>3322</v>
      </c>
      <c r="L3324" s="73">
        <v>-3.4000000000000123</v>
      </c>
    </row>
    <row r="3325" spans="11:12" x14ac:dyDescent="0.4">
      <c r="K3325" s="5">
        <v>3323</v>
      </c>
      <c r="L3325" s="73">
        <v>14.499999999999986</v>
      </c>
    </row>
    <row r="3326" spans="11:12" x14ac:dyDescent="0.4">
      <c r="K3326" s="5">
        <v>3324</v>
      </c>
      <c r="L3326" s="73">
        <v>-1.4210854715202004E-14</v>
      </c>
    </row>
    <row r="3327" spans="11:12" x14ac:dyDescent="0.4">
      <c r="K3327" s="5">
        <v>3325</v>
      </c>
      <c r="L3327" s="73">
        <v>-29.800000000000018</v>
      </c>
    </row>
    <row r="3328" spans="11:12" x14ac:dyDescent="0.4">
      <c r="K3328" s="5">
        <v>3326</v>
      </c>
      <c r="L3328" s="73">
        <v>4.0999999999999819</v>
      </c>
    </row>
    <row r="3329" spans="11:12" x14ac:dyDescent="0.4">
      <c r="K3329" s="5">
        <v>3327</v>
      </c>
      <c r="L3329" s="73">
        <v>-1.7763568394002505E-14</v>
      </c>
    </row>
    <row r="3330" spans="11:12" x14ac:dyDescent="0.4">
      <c r="K3330" s="5">
        <v>3328</v>
      </c>
      <c r="L3330" s="73">
        <v>13.499999999999982</v>
      </c>
    </row>
    <row r="3331" spans="11:12" x14ac:dyDescent="0.4">
      <c r="K3331" s="5">
        <v>3329</v>
      </c>
      <c r="L3331" s="73">
        <v>-34.500000000000021</v>
      </c>
    </row>
    <row r="3332" spans="11:12" x14ac:dyDescent="0.4">
      <c r="K3332" s="5">
        <v>3330</v>
      </c>
      <c r="L3332" s="73">
        <v>-1.9539925233402755E-14</v>
      </c>
    </row>
    <row r="3333" spans="11:12" x14ac:dyDescent="0.4">
      <c r="K3333" s="5">
        <v>3331</v>
      </c>
      <c r="L3333" s="73">
        <v>-46.300000000000018</v>
      </c>
    </row>
    <row r="3334" spans="11:12" x14ac:dyDescent="0.4">
      <c r="K3334" s="5">
        <v>3332</v>
      </c>
      <c r="L3334" s="73">
        <v>-43.500000000000021</v>
      </c>
    </row>
    <row r="3335" spans="11:12" x14ac:dyDescent="0.4">
      <c r="K3335" s="5">
        <v>3333</v>
      </c>
      <c r="L3335" s="73">
        <v>-1.9539925233402755E-14</v>
      </c>
    </row>
    <row r="3336" spans="11:12" x14ac:dyDescent="0.4">
      <c r="K3336" s="5">
        <v>3334</v>
      </c>
      <c r="L3336" s="73">
        <v>-23.600000000000023</v>
      </c>
    </row>
    <row r="3337" spans="11:12" x14ac:dyDescent="0.4">
      <c r="K3337" s="5">
        <v>3335</v>
      </c>
      <c r="L3337" s="73">
        <v>45.499999999999972</v>
      </c>
    </row>
    <row r="3338" spans="11:12" x14ac:dyDescent="0.4">
      <c r="K3338" s="5">
        <v>3336</v>
      </c>
      <c r="L3338" s="73">
        <v>-2.6645352591003757E-14</v>
      </c>
    </row>
    <row r="3339" spans="11:12" x14ac:dyDescent="0.4">
      <c r="K3339" s="5">
        <v>3337</v>
      </c>
      <c r="L3339" s="73">
        <v>3.3999999999999733</v>
      </c>
    </row>
    <row r="3340" spans="11:12" x14ac:dyDescent="0.4">
      <c r="K3340" s="5">
        <v>3338</v>
      </c>
      <c r="L3340" s="73">
        <v>-15.300000000000026</v>
      </c>
    </row>
    <row r="3341" spans="11:12" x14ac:dyDescent="0.4">
      <c r="K3341" s="5">
        <v>3339</v>
      </c>
      <c r="L3341" s="73">
        <v>-2.4868995751603507E-14</v>
      </c>
    </row>
    <row r="3342" spans="11:12" x14ac:dyDescent="0.4">
      <c r="K3342" s="5">
        <v>3340</v>
      </c>
      <c r="L3342" s="73">
        <v>-20.700000000000024</v>
      </c>
    </row>
    <row r="3343" spans="11:12" x14ac:dyDescent="0.4">
      <c r="K3343" s="5">
        <v>3341</v>
      </c>
      <c r="L3343" s="73">
        <v>-19.500000000000021</v>
      </c>
    </row>
    <row r="3344" spans="11:12" x14ac:dyDescent="0.4">
      <c r="K3344" s="5">
        <v>3342</v>
      </c>
      <c r="L3344" s="73">
        <v>-2.3092638912203256E-14</v>
      </c>
    </row>
    <row r="3345" spans="11:12" x14ac:dyDescent="0.4">
      <c r="K3345" s="5">
        <v>3343</v>
      </c>
      <c r="L3345" s="73">
        <v>-8.9000000000000234</v>
      </c>
    </row>
    <row r="3346" spans="11:12" x14ac:dyDescent="0.4">
      <c r="K3346" s="5">
        <v>3344</v>
      </c>
      <c r="L3346" s="73">
        <v>27.099999999999973</v>
      </c>
    </row>
    <row r="3347" spans="11:12" x14ac:dyDescent="0.4">
      <c r="K3347" s="5">
        <v>3345</v>
      </c>
      <c r="L3347" s="73">
        <v>-2.6645352591003757E-14</v>
      </c>
    </row>
    <row r="3348" spans="11:12" x14ac:dyDescent="0.4">
      <c r="K3348" s="5">
        <v>3346</v>
      </c>
      <c r="L3348" s="73">
        <v>-15.700000000000026</v>
      </c>
    </row>
    <row r="3349" spans="11:12" x14ac:dyDescent="0.4">
      <c r="K3349" s="5">
        <v>3347</v>
      </c>
      <c r="L3349" s="73">
        <v>4.6999999999999726</v>
      </c>
    </row>
    <row r="3350" spans="11:12" x14ac:dyDescent="0.4">
      <c r="K3350" s="5">
        <v>3348</v>
      </c>
      <c r="L3350" s="73">
        <v>-2.7533531010703882E-14</v>
      </c>
    </row>
    <row r="3351" spans="11:12" x14ac:dyDescent="0.4">
      <c r="K3351" s="5">
        <v>3349</v>
      </c>
      <c r="L3351" s="73">
        <v>-16.000000000000028</v>
      </c>
    </row>
    <row r="3352" spans="11:12" x14ac:dyDescent="0.4">
      <c r="K3352" s="5">
        <v>3350</v>
      </c>
      <c r="L3352" s="73">
        <v>1.4999999999999734</v>
      </c>
    </row>
    <row r="3353" spans="11:12" x14ac:dyDescent="0.4">
      <c r="K3353" s="5">
        <v>3351</v>
      </c>
      <c r="L3353" s="73">
        <v>-2.6645352591003757E-14</v>
      </c>
    </row>
    <row r="3354" spans="11:12" x14ac:dyDescent="0.4">
      <c r="K3354" s="5">
        <v>3352</v>
      </c>
      <c r="L3354" s="73">
        <v>-34.800000000000026</v>
      </c>
    </row>
    <row r="3355" spans="11:12" x14ac:dyDescent="0.4">
      <c r="K3355" s="5">
        <v>3353</v>
      </c>
      <c r="L3355" s="73">
        <v>-50.800000000000026</v>
      </c>
    </row>
    <row r="3356" spans="11:12" x14ac:dyDescent="0.4">
      <c r="K3356" s="5">
        <v>3354</v>
      </c>
      <c r="L3356" s="73">
        <v>-2.6645352591003757E-14</v>
      </c>
    </row>
    <row r="3357" spans="11:12" x14ac:dyDescent="0.4">
      <c r="K3357" s="5">
        <v>3355</v>
      </c>
      <c r="L3357" s="73">
        <v>33.199999999999974</v>
      </c>
    </row>
    <row r="3358" spans="11:12" x14ac:dyDescent="0.4">
      <c r="K3358" s="5">
        <v>3356</v>
      </c>
      <c r="L3358" s="73">
        <v>41.599999999999973</v>
      </c>
    </row>
    <row r="3359" spans="11:12" x14ac:dyDescent="0.4">
      <c r="K3359" s="5">
        <v>3357</v>
      </c>
      <c r="L3359" s="73">
        <v>-2.6645352591003757E-14</v>
      </c>
    </row>
    <row r="3360" spans="11:12" x14ac:dyDescent="0.4">
      <c r="K3360" s="5">
        <v>3358</v>
      </c>
      <c r="L3360" s="73">
        <v>11.899999999999974</v>
      </c>
    </row>
    <row r="3361" spans="11:12" x14ac:dyDescent="0.4">
      <c r="K3361" s="5">
        <v>3359</v>
      </c>
      <c r="L3361" s="73">
        <v>36.199999999999974</v>
      </c>
    </row>
    <row r="3362" spans="11:12" x14ac:dyDescent="0.4">
      <c r="K3362" s="5">
        <v>3360</v>
      </c>
      <c r="L3362" s="73">
        <v>-2.6645352591003757E-14</v>
      </c>
    </row>
    <row r="3363" spans="11:12" x14ac:dyDescent="0.4">
      <c r="K3363" s="5">
        <v>3361</v>
      </c>
      <c r="L3363" s="73">
        <v>6.1999999999999735</v>
      </c>
    </row>
    <row r="3364" spans="11:12" x14ac:dyDescent="0.4">
      <c r="K3364" s="5">
        <v>3362</v>
      </c>
      <c r="L3364" s="73">
        <v>-28.100000000000023</v>
      </c>
    </row>
    <row r="3365" spans="11:12" x14ac:dyDescent="0.4">
      <c r="K3365" s="5">
        <v>3363</v>
      </c>
      <c r="L3365" s="73">
        <v>-2.3092638912203256E-14</v>
      </c>
    </row>
    <row r="3366" spans="11:12" x14ac:dyDescent="0.4">
      <c r="K3366" s="5">
        <v>3364</v>
      </c>
      <c r="L3366" s="73">
        <v>-40.800000000000018</v>
      </c>
    </row>
    <row r="3367" spans="11:12" x14ac:dyDescent="0.4">
      <c r="K3367" s="5">
        <v>3365</v>
      </c>
      <c r="L3367" s="73">
        <v>-33.700000000000017</v>
      </c>
    </row>
    <row r="3368" spans="11:12" x14ac:dyDescent="0.4">
      <c r="K3368" s="5">
        <v>3366</v>
      </c>
      <c r="L3368" s="73">
        <v>-1.2434497875801753E-14</v>
      </c>
    </row>
    <row r="3369" spans="11:12" x14ac:dyDescent="0.4">
      <c r="K3369" s="5">
        <v>3367</v>
      </c>
      <c r="L3369" s="73">
        <v>0.99999999999998757</v>
      </c>
    </row>
    <row r="3370" spans="11:12" x14ac:dyDescent="0.4">
      <c r="K3370" s="5">
        <v>3368</v>
      </c>
      <c r="L3370" s="73">
        <v>-24.400000000000013</v>
      </c>
    </row>
    <row r="3371" spans="11:12" x14ac:dyDescent="0.4">
      <c r="K3371" s="5">
        <v>3369</v>
      </c>
      <c r="L3371" s="73">
        <v>-1.2434497875801753E-14</v>
      </c>
    </row>
    <row r="3372" spans="11:12" x14ac:dyDescent="0.4">
      <c r="K3372" s="5">
        <v>3370</v>
      </c>
      <c r="L3372" s="73">
        <v>-0.10000000000001244</v>
      </c>
    </row>
    <row r="3373" spans="11:12" x14ac:dyDescent="0.4">
      <c r="K3373" s="5">
        <v>3371</v>
      </c>
      <c r="L3373" s="73">
        <v>-19.400000000000013</v>
      </c>
    </row>
    <row r="3374" spans="11:12" x14ac:dyDescent="0.4">
      <c r="K3374" s="5">
        <v>3372</v>
      </c>
      <c r="L3374" s="73">
        <v>-1.5987211554602254E-14</v>
      </c>
    </row>
    <row r="3375" spans="11:12" x14ac:dyDescent="0.4">
      <c r="K3375" s="5">
        <v>3373</v>
      </c>
      <c r="L3375" s="73">
        <v>60.499999999999979</v>
      </c>
    </row>
    <row r="3376" spans="11:12" x14ac:dyDescent="0.4">
      <c r="K3376" s="5">
        <v>3374</v>
      </c>
      <c r="L3376" s="73">
        <v>54.699999999999982</v>
      </c>
    </row>
    <row r="3377" spans="11:12" x14ac:dyDescent="0.4">
      <c r="K3377" s="5">
        <v>3375</v>
      </c>
      <c r="L3377" s="73">
        <v>-1.9539925233402755E-14</v>
      </c>
    </row>
    <row r="3378" spans="11:12" x14ac:dyDescent="0.4">
      <c r="K3378" s="5">
        <v>3376</v>
      </c>
      <c r="L3378" s="73">
        <v>20.199999999999982</v>
      </c>
    </row>
    <row r="3379" spans="11:12" x14ac:dyDescent="0.4">
      <c r="K3379" s="5">
        <v>3377</v>
      </c>
      <c r="L3379" s="73">
        <v>18.199999999999982</v>
      </c>
    </row>
    <row r="3380" spans="11:12" x14ac:dyDescent="0.4">
      <c r="K3380" s="5">
        <v>3378</v>
      </c>
      <c r="L3380" s="73">
        <v>-1.9539925233402755E-14</v>
      </c>
    </row>
    <row r="3381" spans="11:12" x14ac:dyDescent="0.4">
      <c r="K3381" s="5">
        <v>3379</v>
      </c>
      <c r="L3381" s="73">
        <v>-27.500000000000021</v>
      </c>
    </row>
    <row r="3382" spans="11:12" x14ac:dyDescent="0.4">
      <c r="K3382" s="5">
        <v>3380</v>
      </c>
      <c r="L3382" s="73">
        <v>-19.100000000000023</v>
      </c>
    </row>
    <row r="3383" spans="11:12" x14ac:dyDescent="0.4">
      <c r="K3383" s="5">
        <v>3381</v>
      </c>
      <c r="L3383" s="73">
        <v>-1.9539925233402755E-14</v>
      </c>
    </row>
    <row r="3384" spans="11:12" x14ac:dyDescent="0.4">
      <c r="K3384" s="5">
        <v>3382</v>
      </c>
      <c r="L3384" s="73">
        <v>29.499999999999979</v>
      </c>
    </row>
    <row r="3385" spans="11:12" x14ac:dyDescent="0.4">
      <c r="K3385" s="5">
        <v>3383</v>
      </c>
      <c r="L3385" s="73">
        <v>30.799999999999983</v>
      </c>
    </row>
    <row r="3386" spans="11:12" x14ac:dyDescent="0.4">
      <c r="K3386" s="5">
        <v>3384</v>
      </c>
      <c r="L3386" s="73">
        <v>-1.9539925233402755E-14</v>
      </c>
    </row>
    <row r="3387" spans="11:12" x14ac:dyDescent="0.4">
      <c r="K3387" s="5">
        <v>3385</v>
      </c>
      <c r="L3387" s="73">
        <v>14.09999999999998</v>
      </c>
    </row>
    <row r="3388" spans="11:12" x14ac:dyDescent="0.4">
      <c r="K3388" s="5">
        <v>3386</v>
      </c>
      <c r="L3388" s="73">
        <v>50.299999999999983</v>
      </c>
    </row>
    <row r="3389" spans="11:12" x14ac:dyDescent="0.4">
      <c r="K3389" s="5">
        <v>3387</v>
      </c>
      <c r="L3389" s="73">
        <v>-1.2434497875801753E-14</v>
      </c>
    </row>
    <row r="3390" spans="11:12" x14ac:dyDescent="0.4">
      <c r="K3390" s="5">
        <v>3388</v>
      </c>
      <c r="L3390" s="73">
        <v>8.3999999999999879</v>
      </c>
    </row>
    <row r="3391" spans="11:12" x14ac:dyDescent="0.4">
      <c r="K3391" s="5">
        <v>3389</v>
      </c>
      <c r="L3391" s="73">
        <v>42.499999999999986</v>
      </c>
    </row>
    <row r="3392" spans="11:12" x14ac:dyDescent="0.4">
      <c r="K3392" s="5">
        <v>3390</v>
      </c>
      <c r="L3392" s="73">
        <v>-1.2434497875801753E-14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3092B-0CDF-4E23-8324-9DC9A580F23B}">
  <sheetPr codeName="Sheet4"/>
  <dimension ref="A1:Q78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786</v>
      </c>
      <c r="C2" s="132"/>
      <c r="E2" s="43" t="s">
        <v>66</v>
      </c>
      <c r="F2" s="25" t="s">
        <v>22</v>
      </c>
      <c r="G2" s="13">
        <v>1452</v>
      </c>
      <c r="H2" s="106">
        <f>IF(B$51=0,0,G2/B$51)</f>
        <v>0.72964824120603011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1268.5897435897436</v>
      </c>
      <c r="P2" s="92">
        <v>780</v>
      </c>
      <c r="Q2" s="76">
        <v>989500</v>
      </c>
    </row>
    <row r="3" spans="1:17" x14ac:dyDescent="0.4">
      <c r="A3" s="37" t="s">
        <v>8</v>
      </c>
      <c r="B3" s="133">
        <v>6287</v>
      </c>
      <c r="C3" s="134"/>
      <c r="E3" s="44" t="s">
        <v>72</v>
      </c>
      <c r="F3" s="41" t="s">
        <v>27</v>
      </c>
      <c r="G3" s="34">
        <v>1084</v>
      </c>
      <c r="H3" s="107">
        <f>IF(B$51=0,0,G3/B$51)</f>
        <v>0.54472361809045222</v>
      </c>
      <c r="I3" s="68">
        <v>9</v>
      </c>
      <c r="K3" s="5">
        <v>1</v>
      </c>
      <c r="L3" s="73">
        <v>15</v>
      </c>
      <c r="N3" s="89" t="s">
        <v>127</v>
      </c>
      <c r="O3" s="96">
        <f t="shared" si="0"/>
        <v>1435.6110381077528</v>
      </c>
      <c r="P3" s="93">
        <v>761</v>
      </c>
      <c r="Q3" s="77">
        <v>1092500</v>
      </c>
    </row>
    <row r="4" spans="1:17" x14ac:dyDescent="0.4">
      <c r="A4" s="37" t="s">
        <v>6</v>
      </c>
      <c r="B4" s="135">
        <v>7460.5</v>
      </c>
      <c r="C4" s="136"/>
      <c r="E4" s="44" t="s">
        <v>64</v>
      </c>
      <c r="F4" s="41" t="s">
        <v>20</v>
      </c>
      <c r="G4" s="34">
        <v>942</v>
      </c>
      <c r="H4" s="107">
        <f>IF(B$51=0,0,G4/B$51)</f>
        <v>0.47336683417085429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1482.8729281767955</v>
      </c>
      <c r="P4" s="93">
        <v>724</v>
      </c>
      <c r="Q4" s="77">
        <v>1073600</v>
      </c>
    </row>
    <row r="5" spans="1:17" x14ac:dyDescent="0.4">
      <c r="A5" s="37" t="s">
        <v>7</v>
      </c>
      <c r="B5" s="137">
        <f>IF(B$2=0,0,B$4/B$2)</f>
        <v>9.4917302798982188</v>
      </c>
      <c r="C5" s="138"/>
      <c r="E5" s="44" t="s">
        <v>68</v>
      </c>
      <c r="F5" s="41" t="s">
        <v>12</v>
      </c>
      <c r="G5" s="34">
        <v>589</v>
      </c>
      <c r="H5" s="107">
        <f>IF(B$51=0,0,G5/B$51)</f>
        <v>0.29597989949748743</v>
      </c>
      <c r="I5" s="68">
        <v>12</v>
      </c>
      <c r="K5" s="5">
        <v>3</v>
      </c>
      <c r="L5" s="73">
        <v>29.1</v>
      </c>
      <c r="N5" s="89" t="s">
        <v>129</v>
      </c>
      <c r="O5" s="96">
        <f t="shared" si="0"/>
        <v>1497.5830815709969</v>
      </c>
      <c r="P5" s="93">
        <v>662</v>
      </c>
      <c r="Q5" s="77">
        <v>991400</v>
      </c>
    </row>
    <row r="6" spans="1:17" x14ac:dyDescent="0.4">
      <c r="A6" s="37" t="s">
        <v>1</v>
      </c>
      <c r="B6" s="145">
        <f>IF(B$2=0,0,(B$7*1+B$8*2+B$9*3)/B$2)</f>
        <v>1.7595419847328244</v>
      </c>
      <c r="C6" s="146"/>
      <c r="E6" s="44" t="s">
        <v>157</v>
      </c>
      <c r="F6" s="41" t="s">
        <v>158</v>
      </c>
      <c r="G6" s="34">
        <v>572</v>
      </c>
      <c r="H6" s="107">
        <f>IF(B$51=0,0,G6/B$51)</f>
        <v>0.28743718592964823</v>
      </c>
      <c r="I6" s="68">
        <v>14</v>
      </c>
      <c r="K6" s="5">
        <v>4</v>
      </c>
      <c r="L6" s="73">
        <v>114.30000000000001</v>
      </c>
      <c r="N6" s="89" t="s">
        <v>130</v>
      </c>
      <c r="O6" s="96">
        <f t="shared" si="0"/>
        <v>1182.608695652174</v>
      </c>
      <c r="P6" s="93">
        <v>598</v>
      </c>
      <c r="Q6" s="77">
        <v>707200</v>
      </c>
    </row>
    <row r="7" spans="1:17" x14ac:dyDescent="0.4">
      <c r="A7" s="37" t="s">
        <v>2</v>
      </c>
      <c r="B7" s="34">
        <v>365</v>
      </c>
      <c r="C7" s="31">
        <f t="shared" ref="C7:C14" si="1">IF(B$2=0,0,B7/B$2)</f>
        <v>0.46437659033078882</v>
      </c>
      <c r="E7" s="44" t="s">
        <v>67</v>
      </c>
      <c r="F7" s="41" t="s">
        <v>23</v>
      </c>
      <c r="G7" s="34">
        <v>555</v>
      </c>
      <c r="H7" s="107">
        <f>IF(B$51=0,0,G7/B$51)</f>
        <v>0.27889447236180903</v>
      </c>
      <c r="I7" s="68">
        <v>11</v>
      </c>
      <c r="K7" s="5">
        <v>5</v>
      </c>
      <c r="L7" s="73">
        <v>145.80000000000001</v>
      </c>
      <c r="N7" s="90" t="s">
        <v>131</v>
      </c>
      <c r="O7" s="97">
        <f t="shared" si="0"/>
        <v>1682.5910931174089</v>
      </c>
      <c r="P7" s="94">
        <v>494</v>
      </c>
      <c r="Q7" s="78">
        <v>831200</v>
      </c>
    </row>
    <row r="8" spans="1:17" x14ac:dyDescent="0.4">
      <c r="A8" s="37" t="s">
        <v>3</v>
      </c>
      <c r="B8" s="34">
        <v>245</v>
      </c>
      <c r="C8" s="31">
        <f t="shared" si="1"/>
        <v>0.31170483460559795</v>
      </c>
      <c r="E8" s="44" t="s">
        <v>89</v>
      </c>
      <c r="F8" s="41" t="s">
        <v>44</v>
      </c>
      <c r="G8" s="34">
        <v>329</v>
      </c>
      <c r="H8" s="107">
        <f>IF(B$51=0,0,G8/B$51)</f>
        <v>0.16532663316582916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176</v>
      </c>
      <c r="C9" s="7">
        <f t="shared" si="1"/>
        <v>0.22391857506361323</v>
      </c>
      <c r="E9" s="44" t="s">
        <v>69</v>
      </c>
      <c r="F9" s="41" t="s">
        <v>24</v>
      </c>
      <c r="G9" s="34">
        <v>293</v>
      </c>
      <c r="H9" s="107">
        <f>IF(B$51=0,0,G9/B$51)</f>
        <v>0.14723618090452262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37.524109589041089</v>
      </c>
      <c r="C10" s="121">
        <v>13696.299999999997</v>
      </c>
      <c r="E10" s="44" t="s">
        <v>65</v>
      </c>
      <c r="F10" s="41" t="s">
        <v>21</v>
      </c>
      <c r="G10" s="34">
        <v>233</v>
      </c>
      <c r="H10" s="107">
        <f>IF(B$51=0,0,G10/B$51)</f>
        <v>0.11708542713567839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11.589400921658989</v>
      </c>
      <c r="P10" s="92">
        <v>217</v>
      </c>
      <c r="Q10" s="80">
        <v>2514.9000000000005</v>
      </c>
    </row>
    <row r="11" spans="1:17" x14ac:dyDescent="0.4">
      <c r="A11" s="38" t="s">
        <v>204</v>
      </c>
      <c r="B11" s="120">
        <f>IF(B8=0,0,C11/B8)</f>
        <v>2.0408163265305715E-2</v>
      </c>
      <c r="C11" s="121">
        <v>4.9999999999999005</v>
      </c>
      <c r="E11" s="44" t="s">
        <v>70</v>
      </c>
      <c r="F11" s="41" t="s">
        <v>25</v>
      </c>
      <c r="G11" s="34">
        <v>150</v>
      </c>
      <c r="H11" s="107">
        <f>IF(B$51=0,0,G11/B$51)</f>
        <v>7.5376884422110546E-2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7.6212</v>
      </c>
      <c r="P11" s="93">
        <v>250</v>
      </c>
      <c r="Q11" s="81">
        <v>1905.3</v>
      </c>
    </row>
    <row r="12" spans="1:17" x14ac:dyDescent="0.4">
      <c r="A12" s="38" t="s">
        <v>205</v>
      </c>
      <c r="B12" s="120">
        <f>IF(B9=0,0,C12/B9)</f>
        <v>-35.459090909090918</v>
      </c>
      <c r="C12" s="121">
        <v>-6240.8000000000011</v>
      </c>
      <c r="E12" s="44" t="s">
        <v>86</v>
      </c>
      <c r="F12" s="41" t="s">
        <v>41</v>
      </c>
      <c r="G12" s="34">
        <v>134</v>
      </c>
      <c r="H12" s="107">
        <f>IF(B$51=0,0,G12/B$51)</f>
        <v>6.733668341708543E-2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9.5338607594936722</v>
      </c>
      <c r="P12" s="94">
        <v>316</v>
      </c>
      <c r="Q12" s="82">
        <v>3012.7000000000003</v>
      </c>
    </row>
    <row r="13" spans="1:17" x14ac:dyDescent="0.4">
      <c r="A13" s="38" t="s">
        <v>206</v>
      </c>
      <c r="B13" s="137">
        <f>AVERAGE(B10:B12)</f>
        <v>0.69514228107182652</v>
      </c>
      <c r="C13" s="138"/>
      <c r="E13" s="44" t="s">
        <v>71</v>
      </c>
      <c r="F13" s="41" t="s">
        <v>26</v>
      </c>
      <c r="G13" s="34">
        <v>133</v>
      </c>
      <c r="H13" s="107">
        <f>IF(B$51=0,0,G13/B$51)</f>
        <v>6.683417085427136E-2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60</v>
      </c>
      <c r="C14" s="32">
        <f t="shared" si="1"/>
        <v>7.6335877862595422E-2</v>
      </c>
      <c r="E14" s="44" t="s">
        <v>83</v>
      </c>
      <c r="F14" s="41" t="s">
        <v>38</v>
      </c>
      <c r="G14" s="34">
        <v>91</v>
      </c>
      <c r="H14" s="107">
        <f>IF(B$51=0,0,G14/B$51)</f>
        <v>4.5728643216080403E-2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1655</v>
      </c>
      <c r="C15" s="11">
        <f>IF(B$50=0,0,B15/B$50)</f>
        <v>0.2838278168410221</v>
      </c>
      <c r="E15" s="44" t="s">
        <v>153</v>
      </c>
      <c r="F15" s="41" t="s">
        <v>154</v>
      </c>
      <c r="G15" s="34">
        <v>51</v>
      </c>
      <c r="H15" s="107">
        <f>IF(B$51=0,0,G15/B$51)</f>
        <v>2.5628140703517589E-2</v>
      </c>
      <c r="I15" s="68">
        <v>2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118</v>
      </c>
      <c r="B16" s="34">
        <v>1271</v>
      </c>
      <c r="C16" s="31">
        <f>IF(B$50=0,0,B16/B$50)</f>
        <v>0.21797290344709314</v>
      </c>
      <c r="E16" s="44" t="s">
        <v>78</v>
      </c>
      <c r="F16" s="41" t="s">
        <v>33</v>
      </c>
      <c r="G16" s="34">
        <v>50</v>
      </c>
      <c r="H16" s="107">
        <f>IF(B$51=0,0,G16/B$51)</f>
        <v>2.5125628140703519E-2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19" t="s">
        <v>123</v>
      </c>
      <c r="B17" s="13">
        <v>999</v>
      </c>
      <c r="C17" s="4">
        <f>IF(B$15=0,0,B17/B$15)</f>
        <v>0.60362537764350455</v>
      </c>
      <c r="E17" s="44" t="s">
        <v>81</v>
      </c>
      <c r="F17" s="41" t="s">
        <v>36</v>
      </c>
      <c r="G17" s="34">
        <v>40</v>
      </c>
      <c r="H17" s="107">
        <f>IF(B$51=0,0,G17/B$51)</f>
        <v>2.0100502512562814E-2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19" t="s">
        <v>124</v>
      </c>
      <c r="B18" s="13">
        <v>619</v>
      </c>
      <c r="C18" s="4">
        <f>IF(B$16=0,0,B18/B$16)</f>
        <v>0.48701809598741147</v>
      </c>
      <c r="E18" s="44" t="s">
        <v>91</v>
      </c>
      <c r="F18" s="41" t="s">
        <v>46</v>
      </c>
      <c r="G18" s="34">
        <v>31</v>
      </c>
      <c r="H18" s="107">
        <f>IF(B$51=0,0,G18/B$51)</f>
        <v>1.5577889447236181E-2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40.286666666666662</v>
      </c>
      <c r="P18" s="93">
        <v>15</v>
      </c>
      <c r="Q18" s="81">
        <v>604.29999999999995</v>
      </c>
    </row>
    <row r="19" spans="1:17" x14ac:dyDescent="0.4">
      <c r="A19" s="19" t="s">
        <v>10</v>
      </c>
      <c r="B19" s="13">
        <v>2146</v>
      </c>
      <c r="C19" s="4">
        <f>IF(B$3=0,0,B19/B$3)</f>
        <v>0.34133927151264515</v>
      </c>
      <c r="E19" s="44" t="s">
        <v>79</v>
      </c>
      <c r="F19" s="41" t="s">
        <v>34</v>
      </c>
      <c r="G19" s="34">
        <v>24</v>
      </c>
      <c r="H19" s="107">
        <f>IF(B$51=0,0,G19/B$51)</f>
        <v>1.2060301507537688E-2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30.043333333333344</v>
      </c>
      <c r="P19" s="93">
        <v>30</v>
      </c>
      <c r="Q19" s="81">
        <v>901.3000000000003</v>
      </c>
    </row>
    <row r="20" spans="1:17" x14ac:dyDescent="0.4">
      <c r="A20" s="37" t="s">
        <v>13</v>
      </c>
      <c r="B20" s="34">
        <v>877</v>
      </c>
      <c r="C20" s="31">
        <f>IF(B$3=0,0,B20/B$3)</f>
        <v>0.13949419436933355</v>
      </c>
      <c r="E20" s="44" t="s">
        <v>92</v>
      </c>
      <c r="F20" s="41" t="s">
        <v>47</v>
      </c>
      <c r="G20" s="34">
        <v>16</v>
      </c>
      <c r="H20" s="107">
        <f>IF(B$51=0,0,G20/B$51)</f>
        <v>8.0402010050251264E-3</v>
      </c>
      <c r="I20" s="68">
        <v>4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">
      <c r="A21" s="37" t="s">
        <v>12</v>
      </c>
      <c r="B21" s="34">
        <v>896</v>
      </c>
      <c r="C21" s="31">
        <f>IF(B$19=0,0,B21/B$19)</f>
        <v>0.41752096924510718</v>
      </c>
      <c r="E21" s="44" t="s">
        <v>77</v>
      </c>
      <c r="F21" s="41" t="s">
        <v>32</v>
      </c>
      <c r="G21" s="34">
        <v>13</v>
      </c>
      <c r="H21" s="107">
        <f>IF(B$51=0,0,G21/B$51)</f>
        <v>6.5326633165829146E-3</v>
      </c>
      <c r="I21" s="68">
        <v>4</v>
      </c>
      <c r="K21" s="5">
        <v>19</v>
      </c>
      <c r="L21" s="73">
        <v>42.600000000000016</v>
      </c>
      <c r="N21" s="89" t="s">
        <v>186</v>
      </c>
      <c r="O21" s="99">
        <f>IF(P21=0,0,Q21/P21)</f>
        <v>24.82586206896552</v>
      </c>
      <c r="P21" s="93">
        <v>58</v>
      </c>
      <c r="Q21" s="81">
        <v>1439.9</v>
      </c>
    </row>
    <row r="22" spans="1:17" x14ac:dyDescent="0.4">
      <c r="A22" s="37" t="s">
        <v>11</v>
      </c>
      <c r="B22" s="34">
        <v>1250</v>
      </c>
      <c r="C22" s="31">
        <f>IF(B$19=0,0,B22/B$19)</f>
        <v>0.58247903075489282</v>
      </c>
      <c r="E22" s="44" t="s">
        <v>85</v>
      </c>
      <c r="F22" s="41" t="s">
        <v>40</v>
      </c>
      <c r="G22" s="34">
        <v>13</v>
      </c>
      <c r="H22" s="107">
        <f>IF(B$51=0,0,G22/B$51)</f>
        <v>6.5326633165829146E-3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20.463535911602211</v>
      </c>
      <c r="P22" s="93">
        <v>181</v>
      </c>
      <c r="Q22" s="81">
        <v>3703.9</v>
      </c>
    </row>
    <row r="23" spans="1:17" x14ac:dyDescent="0.4">
      <c r="A23" s="37" t="s">
        <v>180</v>
      </c>
      <c r="B23" s="34">
        <v>999</v>
      </c>
      <c r="C23" s="31">
        <f>IF(B$19=0,0,B23/B$19)</f>
        <v>0.46551724137931033</v>
      </c>
      <c r="E23" s="44" t="s">
        <v>75</v>
      </c>
      <c r="F23" s="41" t="s">
        <v>30</v>
      </c>
      <c r="G23" s="34">
        <v>10</v>
      </c>
      <c r="H23" s="107">
        <f>IF(B$51=0,0,G23/B$51)</f>
        <v>5.0251256281407036E-3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18.294791666666672</v>
      </c>
      <c r="P23" s="93">
        <v>192</v>
      </c>
      <c r="Q23" s="81">
        <v>3512.6000000000008</v>
      </c>
    </row>
    <row r="24" spans="1:17" x14ac:dyDescent="0.4">
      <c r="A24" s="37" t="s">
        <v>178</v>
      </c>
      <c r="B24" s="34">
        <v>619</v>
      </c>
      <c r="C24" s="31">
        <f>IF(B$19=0,0,B24/B$19)</f>
        <v>0.28844361602982294</v>
      </c>
      <c r="E24" s="44" t="s">
        <v>73</v>
      </c>
      <c r="F24" s="41" t="s">
        <v>28</v>
      </c>
      <c r="G24" s="34">
        <v>8</v>
      </c>
      <c r="H24" s="107">
        <f>IF(B$51=0,0,G24/B$51)</f>
        <v>4.0201005025125632E-3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15.339209726443768</v>
      </c>
      <c r="P24" s="93">
        <v>329</v>
      </c>
      <c r="Q24" s="81">
        <v>5046.5999999999995</v>
      </c>
    </row>
    <row r="25" spans="1:17" x14ac:dyDescent="0.4">
      <c r="A25" s="37" t="s">
        <v>179</v>
      </c>
      <c r="B25" s="34">
        <v>528</v>
      </c>
      <c r="C25" s="31">
        <f>IF(B$19=0,0,B25/B$19)</f>
        <v>0.24603914259086673</v>
      </c>
      <c r="E25" s="44" t="s">
        <v>74</v>
      </c>
      <c r="F25" s="41" t="s">
        <v>29</v>
      </c>
      <c r="G25" s="34">
        <v>6</v>
      </c>
      <c r="H25" s="107">
        <f>IF(B$51=0,0,G25/B$51)</f>
        <v>3.015075376884422E-3</v>
      </c>
      <c r="I25" s="68">
        <v>8</v>
      </c>
      <c r="K25" s="5">
        <v>23</v>
      </c>
      <c r="L25" s="73">
        <v>124.50000000000001</v>
      </c>
      <c r="N25" s="89" t="s">
        <v>193</v>
      </c>
      <c r="O25" s="99">
        <f>IF(P25=0,0,Q25/P25)</f>
        <v>12.782352941176477</v>
      </c>
      <c r="P25" s="93">
        <v>374</v>
      </c>
      <c r="Q25" s="81">
        <v>4780.6000000000022</v>
      </c>
    </row>
    <row r="26" spans="1:17" x14ac:dyDescent="0.4">
      <c r="A26" s="37" t="s">
        <v>5</v>
      </c>
      <c r="B26" s="17">
        <f>IF(B$19=0,0,C26/B$19)</f>
        <v>9223.1127679403544</v>
      </c>
      <c r="C26" s="8">
        <v>19792800</v>
      </c>
      <c r="E26" s="44" t="s">
        <v>84</v>
      </c>
      <c r="F26" s="41" t="s">
        <v>39</v>
      </c>
      <c r="G26" s="34">
        <v>5</v>
      </c>
      <c r="H26" s="107">
        <f>IF(B$51=0,0,G26/B$51)</f>
        <v>2.5125628140703518E-3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">
      <c r="A27" s="38" t="s">
        <v>162</v>
      </c>
      <c r="B27" s="114">
        <f>IF($B$19-B$18=0,0,C27/($B$19-B$18))</f>
        <v>9633.7262606417808</v>
      </c>
      <c r="C27" s="115">
        <v>14710700</v>
      </c>
      <c r="E27" s="44" t="s">
        <v>87</v>
      </c>
      <c r="F27" s="41" t="s">
        <v>42</v>
      </c>
      <c r="G27" s="34">
        <v>5</v>
      </c>
      <c r="H27" s="107">
        <f>IF(B$51=0,0,G27/B$51)</f>
        <v>2.5125628140703518E-3</v>
      </c>
      <c r="I27" s="68">
        <v>4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">
      <c r="A28" s="38" t="s">
        <v>163</v>
      </c>
      <c r="B28" s="114">
        <f>IF(B$18=0,0,C28/B$18)</f>
        <v>8210.1777059773831</v>
      </c>
      <c r="C28" s="115">
        <v>5082100</v>
      </c>
      <c r="E28" s="44" t="s">
        <v>90</v>
      </c>
      <c r="F28" s="41" t="s">
        <v>45</v>
      </c>
      <c r="G28" s="34">
        <v>5</v>
      </c>
      <c r="H28" s="107">
        <f>IF(B$51=0,0,G28/B$51)</f>
        <v>2.5125628140703518E-3</v>
      </c>
      <c r="I28" s="68">
        <v>2</v>
      </c>
      <c r="K28" s="5">
        <v>26</v>
      </c>
      <c r="L28" s="73">
        <v>108.20000000000002</v>
      </c>
      <c r="N28" s="89" t="s">
        <v>191</v>
      </c>
      <c r="O28" s="99">
        <f>IF(P28=0,0,Q28/P28)</f>
        <v>4.7721830985915483</v>
      </c>
      <c r="P28" s="93">
        <v>284</v>
      </c>
      <c r="Q28" s="81">
        <v>1355.2999999999997</v>
      </c>
    </row>
    <row r="29" spans="1:17" x14ac:dyDescent="0.4">
      <c r="A29" s="38" t="s">
        <v>161</v>
      </c>
      <c r="B29" s="114">
        <f>IF(B$20=0,0,C29/B$20)</f>
        <v>-8305.7012542759403</v>
      </c>
      <c r="C29" s="115">
        <v>-7284100</v>
      </c>
      <c r="E29" s="44" t="s">
        <v>93</v>
      </c>
      <c r="F29" s="41" t="s">
        <v>48</v>
      </c>
      <c r="G29" s="34">
        <v>5</v>
      </c>
      <c r="H29" s="107">
        <f>IF(B$51=0,0,G29/B$51)</f>
        <v>2.5125628140703518E-3</v>
      </c>
      <c r="I29" s="68">
        <v>5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5</v>
      </c>
      <c r="H30" s="107">
        <f>IF(B$51=0,0,G30/B$51)</f>
        <v>2.5125628140703518E-3</v>
      </c>
      <c r="I30" s="68">
        <v>2</v>
      </c>
      <c r="K30" s="5">
        <v>28</v>
      </c>
      <c r="L30" s="73">
        <v>129.20000000000002</v>
      </c>
    </row>
    <row r="31" spans="1:17" x14ac:dyDescent="0.4">
      <c r="A31" s="37" t="s">
        <v>156</v>
      </c>
      <c r="B31" s="34">
        <v>45</v>
      </c>
      <c r="C31" s="109">
        <v>0</v>
      </c>
      <c r="E31" s="44" t="s">
        <v>88</v>
      </c>
      <c r="F31" s="41" t="s">
        <v>43</v>
      </c>
      <c r="G31" s="34">
        <v>4</v>
      </c>
      <c r="H31" s="107">
        <f>IF(B$51=0,0,G31/B$51)</f>
        <v>2.0100502512562816E-3</v>
      </c>
      <c r="I31" s="68">
        <v>4</v>
      </c>
      <c r="K31" s="5">
        <v>29</v>
      </c>
      <c r="L31" s="73">
        <v>120.80000000000001</v>
      </c>
    </row>
    <row r="32" spans="1:17" x14ac:dyDescent="0.4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3</v>
      </c>
      <c r="H32" s="107">
        <f>IF(B$51=0,0,G32/B$51)</f>
        <v>1.507537688442211E-3</v>
      </c>
      <c r="I32" s="68">
        <v>2</v>
      </c>
      <c r="K32" s="5">
        <v>30</v>
      </c>
      <c r="L32" s="73">
        <v>174.10000000000002</v>
      </c>
    </row>
    <row r="33" spans="1:12" x14ac:dyDescent="0.4">
      <c r="A33" s="40" t="s">
        <v>177</v>
      </c>
      <c r="B33" s="141">
        <v>149100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">
      <c r="A34" s="39" t="s">
        <v>135</v>
      </c>
      <c r="B34" s="27">
        <v>5</v>
      </c>
      <c r="C34" s="32">
        <f>IF(B$3=0,0,B34/B$3)</f>
        <v>7.9529187211706698E-4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64" t="s">
        <v>168</v>
      </c>
      <c r="B36" s="125">
        <v>136</v>
      </c>
      <c r="C36" s="119">
        <f>IF(B$19=0,0,B36/B$19)</f>
        <v>6.3373718546132343E-2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164</v>
      </c>
      <c r="B37" s="34">
        <v>283</v>
      </c>
      <c r="C37" s="31">
        <f t="shared" ref="C37:C48" si="2">IF(B$19=0,0,B37/B$19)</f>
        <v>0.13187325256290774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165</v>
      </c>
      <c r="B38" s="128">
        <v>377</v>
      </c>
      <c r="C38" s="31">
        <f>IF(B$19=0,0,B38/B$19)</f>
        <v>0.17567567567567569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166</v>
      </c>
      <c r="B39" s="128">
        <v>390</v>
      </c>
      <c r="C39" s="31">
        <f t="shared" si="2"/>
        <v>0.18173345759552656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167</v>
      </c>
      <c r="B40" s="128">
        <v>296</v>
      </c>
      <c r="C40" s="31">
        <f t="shared" si="2"/>
        <v>0.13793103448275862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169</v>
      </c>
      <c r="B41" s="128">
        <v>209</v>
      </c>
      <c r="C41" s="31">
        <f t="shared" si="2"/>
        <v>9.7390493942218076E-2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170</v>
      </c>
      <c r="B42" s="128">
        <v>131</v>
      </c>
      <c r="C42" s="31">
        <f t="shared" si="2"/>
        <v>6.1043802423112768E-2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171</v>
      </c>
      <c r="B43" s="128">
        <v>61</v>
      </c>
      <c r="C43" s="31">
        <f t="shared" si="2"/>
        <v>2.842497670083877E-2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">
      <c r="A44" s="37" t="s">
        <v>172</v>
      </c>
      <c r="B44" s="128">
        <v>40</v>
      </c>
      <c r="C44" s="31">
        <f t="shared" si="2"/>
        <v>1.8639328984156569E-2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A45" s="37" t="s">
        <v>173</v>
      </c>
      <c r="B45" s="128">
        <v>18</v>
      </c>
      <c r="C45" s="31">
        <f t="shared" si="2"/>
        <v>8.3876980428704562E-3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37" t="s">
        <v>174</v>
      </c>
      <c r="B46" s="128">
        <v>10</v>
      </c>
      <c r="C46" s="31">
        <f t="shared" si="2"/>
        <v>4.6598322460391422E-3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7" t="s">
        <v>175</v>
      </c>
      <c r="B47" s="128">
        <v>4</v>
      </c>
      <c r="C47" s="31">
        <f t="shared" si="2"/>
        <v>1.863932898415657E-3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A48" s="39" t="s">
        <v>176</v>
      </c>
      <c r="B48" s="124">
        <v>35</v>
      </c>
      <c r="C48" s="32">
        <f t="shared" si="2"/>
        <v>1.6309412861136997E-2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">
      <c r="A50" s="64" t="s">
        <v>181</v>
      </c>
      <c r="B50" s="131">
        <v>5831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">
      <c r="A51" s="39" t="s">
        <v>182</v>
      </c>
      <c r="B51" s="139">
        <v>1990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">
      <c r="K53" s="5">
        <v>51</v>
      </c>
      <c r="L53" s="73">
        <v>145.80000000000004</v>
      </c>
    </row>
    <row r="54" spans="1:12" x14ac:dyDescent="0.4">
      <c r="K54" s="5">
        <v>52</v>
      </c>
      <c r="L54" s="73">
        <v>139.10000000000005</v>
      </c>
    </row>
    <row r="55" spans="1:12" x14ac:dyDescent="0.4">
      <c r="K55" s="5">
        <v>53</v>
      </c>
      <c r="L55" s="73">
        <v>111.10000000000005</v>
      </c>
    </row>
    <row r="56" spans="1:12" x14ac:dyDescent="0.4">
      <c r="K56" s="5">
        <v>54</v>
      </c>
      <c r="L56" s="73">
        <v>127.80000000000005</v>
      </c>
    </row>
    <row r="57" spans="1:12" x14ac:dyDescent="0.4">
      <c r="K57" s="5">
        <v>55</v>
      </c>
      <c r="L57" s="73">
        <v>120.80000000000005</v>
      </c>
    </row>
    <row r="58" spans="1:12" x14ac:dyDescent="0.4">
      <c r="K58" s="5">
        <v>56</v>
      </c>
      <c r="L58" s="73">
        <v>152.40000000000006</v>
      </c>
    </row>
    <row r="59" spans="1:12" x14ac:dyDescent="0.4">
      <c r="K59" s="5">
        <v>57</v>
      </c>
      <c r="L59" s="73">
        <v>168.20000000000007</v>
      </c>
    </row>
    <row r="60" spans="1:12" x14ac:dyDescent="0.4">
      <c r="K60" s="5">
        <v>58</v>
      </c>
      <c r="L60" s="73">
        <v>225.20000000000007</v>
      </c>
    </row>
    <row r="61" spans="1:12" x14ac:dyDescent="0.4">
      <c r="K61" s="5">
        <v>59</v>
      </c>
      <c r="L61" s="73">
        <v>230.50000000000009</v>
      </c>
    </row>
    <row r="62" spans="1:12" x14ac:dyDescent="0.4">
      <c r="K62" s="5">
        <v>60</v>
      </c>
      <c r="L62" s="73">
        <v>184.40000000000009</v>
      </c>
    </row>
    <row r="63" spans="1:12" x14ac:dyDescent="0.4">
      <c r="K63" s="5">
        <v>61</v>
      </c>
      <c r="L63" s="73">
        <v>205.50000000000009</v>
      </c>
    </row>
    <row r="64" spans="1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5155.7999999999993</v>
      </c>
    </row>
    <row r="543" spans="11:12" x14ac:dyDescent="0.4">
      <c r="K543" s="5">
        <v>541</v>
      </c>
      <c r="L543" s="73">
        <v>5175</v>
      </c>
    </row>
    <row r="544" spans="11:12" x14ac:dyDescent="0.4">
      <c r="K544" s="5">
        <v>542</v>
      </c>
      <c r="L544" s="73">
        <v>5175.5999999999995</v>
      </c>
    </row>
    <row r="545" spans="11:12" x14ac:dyDescent="0.4">
      <c r="K545" s="5">
        <v>543</v>
      </c>
      <c r="L545" s="73">
        <v>5140.3999999999996</v>
      </c>
    </row>
    <row r="546" spans="11:12" x14ac:dyDescent="0.4">
      <c r="K546" s="5">
        <v>544</v>
      </c>
      <c r="L546" s="73">
        <v>5181</v>
      </c>
    </row>
    <row r="547" spans="11:12" x14ac:dyDescent="0.4">
      <c r="K547" s="5">
        <v>545</v>
      </c>
      <c r="L547" s="73">
        <v>5213.3999999999996</v>
      </c>
    </row>
    <row r="548" spans="11:12" x14ac:dyDescent="0.4">
      <c r="K548" s="5">
        <v>546</v>
      </c>
      <c r="L548" s="73">
        <v>5181.7</v>
      </c>
    </row>
    <row r="549" spans="11:12" x14ac:dyDescent="0.4">
      <c r="K549" s="5">
        <v>547</v>
      </c>
      <c r="L549" s="73">
        <v>5139</v>
      </c>
    </row>
    <row r="550" spans="11:12" x14ac:dyDescent="0.4">
      <c r="K550" s="5">
        <v>548</v>
      </c>
      <c r="L550" s="73">
        <v>5163.0999999999995</v>
      </c>
    </row>
    <row r="551" spans="11:12" x14ac:dyDescent="0.4">
      <c r="K551" s="5">
        <v>549</v>
      </c>
      <c r="L551" s="73">
        <v>5187.8999999999996</v>
      </c>
    </row>
    <row r="552" spans="11:12" x14ac:dyDescent="0.4">
      <c r="K552" s="5">
        <v>550</v>
      </c>
      <c r="L552" s="73">
        <v>5213.3999999999996</v>
      </c>
    </row>
    <row r="553" spans="11:12" x14ac:dyDescent="0.4">
      <c r="K553" s="5">
        <v>551</v>
      </c>
      <c r="L553" s="73">
        <v>5238.2</v>
      </c>
    </row>
    <row r="554" spans="11:12" x14ac:dyDescent="0.4">
      <c r="K554" s="5">
        <v>552</v>
      </c>
      <c r="L554" s="73">
        <v>5213.2</v>
      </c>
    </row>
    <row r="555" spans="11:12" x14ac:dyDescent="0.4">
      <c r="K555" s="5">
        <v>553</v>
      </c>
      <c r="L555" s="73">
        <v>5183.7</v>
      </c>
    </row>
    <row r="556" spans="11:12" x14ac:dyDescent="0.4">
      <c r="K556" s="5">
        <v>554</v>
      </c>
      <c r="L556" s="73">
        <v>5216.2</v>
      </c>
    </row>
    <row r="557" spans="11:12" x14ac:dyDescent="0.4">
      <c r="K557" s="5">
        <v>555</v>
      </c>
      <c r="L557" s="73">
        <v>5193.7999999999993</v>
      </c>
    </row>
    <row r="558" spans="11:12" x14ac:dyDescent="0.4">
      <c r="K558" s="5">
        <v>556</v>
      </c>
      <c r="L558" s="73">
        <v>5209</v>
      </c>
    </row>
    <row r="559" spans="11:12" x14ac:dyDescent="0.4">
      <c r="K559" s="5">
        <v>557</v>
      </c>
      <c r="L559" s="73">
        <v>5158.5</v>
      </c>
    </row>
    <row r="560" spans="11:12" x14ac:dyDescent="0.4">
      <c r="K560" s="5">
        <v>558</v>
      </c>
      <c r="L560" s="73">
        <v>5185.2999999999993</v>
      </c>
    </row>
    <row r="561" spans="11:12" x14ac:dyDescent="0.4">
      <c r="K561" s="5">
        <v>559</v>
      </c>
      <c r="L561" s="73">
        <v>5183.5</v>
      </c>
    </row>
    <row r="562" spans="11:12" x14ac:dyDescent="0.4">
      <c r="K562" s="5">
        <v>560</v>
      </c>
      <c r="L562" s="73">
        <v>5203.3999999999996</v>
      </c>
    </row>
    <row r="563" spans="11:12" x14ac:dyDescent="0.4">
      <c r="K563" s="5">
        <v>561</v>
      </c>
      <c r="L563" s="73">
        <v>5166.7</v>
      </c>
    </row>
    <row r="564" spans="11:12" x14ac:dyDescent="0.4">
      <c r="K564" s="5">
        <v>562</v>
      </c>
      <c r="L564" s="73">
        <v>5187.2999999999993</v>
      </c>
    </row>
    <row r="565" spans="11:12" x14ac:dyDescent="0.4">
      <c r="K565" s="5">
        <v>563</v>
      </c>
      <c r="L565" s="73">
        <v>5191.2999999999993</v>
      </c>
    </row>
    <row r="566" spans="11:12" x14ac:dyDescent="0.4">
      <c r="K566" s="5">
        <v>564</v>
      </c>
      <c r="L566" s="73">
        <v>5207.7999999999993</v>
      </c>
    </row>
    <row r="567" spans="11:12" x14ac:dyDescent="0.4">
      <c r="K567" s="5">
        <v>565</v>
      </c>
      <c r="L567" s="73">
        <v>5168.7999999999993</v>
      </c>
    </row>
    <row r="568" spans="11:12" x14ac:dyDescent="0.4">
      <c r="K568" s="5">
        <v>566</v>
      </c>
      <c r="L568" s="73">
        <v>5123.2</v>
      </c>
    </row>
    <row r="569" spans="11:12" x14ac:dyDescent="0.4">
      <c r="K569" s="5">
        <v>567</v>
      </c>
      <c r="L569" s="73">
        <v>5157.2999999999993</v>
      </c>
    </row>
    <row r="570" spans="11:12" x14ac:dyDescent="0.4">
      <c r="K570" s="5">
        <v>568</v>
      </c>
      <c r="L570" s="73">
        <v>5185</v>
      </c>
    </row>
    <row r="571" spans="11:12" x14ac:dyDescent="0.4">
      <c r="K571" s="5">
        <v>569</v>
      </c>
      <c r="L571" s="73">
        <v>5220.8999999999996</v>
      </c>
    </row>
    <row r="572" spans="11:12" x14ac:dyDescent="0.4">
      <c r="K572" s="5">
        <v>570</v>
      </c>
      <c r="L572" s="73">
        <v>5242.5999999999995</v>
      </c>
    </row>
    <row r="573" spans="11:12" x14ac:dyDescent="0.4">
      <c r="K573" s="5">
        <v>571</v>
      </c>
      <c r="L573" s="73">
        <v>5262.0999999999995</v>
      </c>
    </row>
    <row r="574" spans="11:12" x14ac:dyDescent="0.4">
      <c r="K574" s="5">
        <v>572</v>
      </c>
      <c r="L574" s="73">
        <v>5275.7</v>
      </c>
    </row>
    <row r="575" spans="11:12" x14ac:dyDescent="0.4">
      <c r="K575" s="5">
        <v>573</v>
      </c>
      <c r="L575" s="73">
        <v>5317.5999999999995</v>
      </c>
    </row>
    <row r="576" spans="11:12" x14ac:dyDescent="0.4">
      <c r="K576" s="5">
        <v>574</v>
      </c>
      <c r="L576" s="73">
        <v>5301.0999999999995</v>
      </c>
    </row>
    <row r="577" spans="11:12" x14ac:dyDescent="0.4">
      <c r="K577" s="5">
        <v>575</v>
      </c>
      <c r="L577" s="73">
        <v>5350.0999999999995</v>
      </c>
    </row>
    <row r="578" spans="11:12" x14ac:dyDescent="0.4">
      <c r="K578" s="5">
        <v>576</v>
      </c>
      <c r="L578" s="73">
        <v>5394.5</v>
      </c>
    </row>
    <row r="579" spans="11:12" x14ac:dyDescent="0.4">
      <c r="K579" s="5">
        <v>577</v>
      </c>
      <c r="L579" s="73">
        <v>5354.2999999999993</v>
      </c>
    </row>
    <row r="580" spans="11:12" x14ac:dyDescent="0.4">
      <c r="K580" s="5">
        <v>578</v>
      </c>
      <c r="L580" s="73">
        <v>5404.2999999999993</v>
      </c>
    </row>
    <row r="581" spans="11:12" x14ac:dyDescent="0.4">
      <c r="K581" s="5">
        <v>579</v>
      </c>
      <c r="L581" s="73">
        <v>5528.4</v>
      </c>
    </row>
    <row r="582" spans="11:12" x14ac:dyDescent="0.4">
      <c r="K582" s="5">
        <v>580</v>
      </c>
      <c r="L582" s="73">
        <v>5535.4</v>
      </c>
    </row>
    <row r="583" spans="11:12" x14ac:dyDescent="0.4">
      <c r="K583" s="5">
        <v>581</v>
      </c>
      <c r="L583" s="73">
        <v>5521.2999999999993</v>
      </c>
    </row>
    <row r="584" spans="11:12" x14ac:dyDescent="0.4">
      <c r="K584" s="5">
        <v>582</v>
      </c>
      <c r="L584" s="73">
        <v>5591.9</v>
      </c>
    </row>
    <row r="585" spans="11:12" x14ac:dyDescent="0.4">
      <c r="K585" s="5">
        <v>583</v>
      </c>
      <c r="L585" s="73">
        <v>5560.9</v>
      </c>
    </row>
    <row r="586" spans="11:12" x14ac:dyDescent="0.4">
      <c r="K586" s="5">
        <v>584</v>
      </c>
      <c r="L586" s="73">
        <v>5537.2999999999993</v>
      </c>
    </row>
    <row r="587" spans="11:12" x14ac:dyDescent="0.4">
      <c r="K587" s="5">
        <v>585</v>
      </c>
      <c r="L587" s="73">
        <v>5540.5</v>
      </c>
    </row>
    <row r="588" spans="11:12" x14ac:dyDescent="0.4">
      <c r="K588" s="5">
        <v>586</v>
      </c>
      <c r="L588" s="73">
        <v>5552</v>
      </c>
    </row>
    <row r="589" spans="11:12" x14ac:dyDescent="0.4">
      <c r="K589" s="5">
        <v>587</v>
      </c>
      <c r="L589" s="73">
        <v>5622.5999999999995</v>
      </c>
    </row>
    <row r="590" spans="11:12" x14ac:dyDescent="0.4">
      <c r="K590" s="5">
        <v>588</v>
      </c>
      <c r="L590" s="73">
        <v>5628.4</v>
      </c>
    </row>
    <row r="591" spans="11:12" x14ac:dyDescent="0.4">
      <c r="K591" s="5">
        <v>589</v>
      </c>
      <c r="L591" s="73">
        <v>5675.2999999999993</v>
      </c>
    </row>
    <row r="592" spans="11:12" x14ac:dyDescent="0.4">
      <c r="K592" s="5">
        <v>590</v>
      </c>
      <c r="L592" s="73">
        <v>5682.7</v>
      </c>
    </row>
    <row r="593" spans="11:12" x14ac:dyDescent="0.4">
      <c r="K593" s="5">
        <v>591</v>
      </c>
      <c r="L593" s="73">
        <v>5684.0999999999995</v>
      </c>
    </row>
    <row r="594" spans="11:12" x14ac:dyDescent="0.4">
      <c r="K594" s="5">
        <v>592</v>
      </c>
      <c r="L594" s="73">
        <v>5680.2</v>
      </c>
    </row>
    <row r="595" spans="11:12" x14ac:dyDescent="0.4">
      <c r="K595" s="5">
        <v>593</v>
      </c>
      <c r="L595" s="73">
        <v>5697</v>
      </c>
    </row>
    <row r="596" spans="11:12" x14ac:dyDescent="0.4">
      <c r="K596" s="5">
        <v>594</v>
      </c>
      <c r="L596" s="73">
        <v>5704.7</v>
      </c>
    </row>
    <row r="597" spans="11:12" x14ac:dyDescent="0.4">
      <c r="K597" s="5">
        <v>595</v>
      </c>
      <c r="L597" s="73">
        <v>5663.9</v>
      </c>
    </row>
    <row r="598" spans="11:12" x14ac:dyDescent="0.4">
      <c r="K598" s="5">
        <v>596</v>
      </c>
      <c r="L598" s="73">
        <v>5707.5999999999995</v>
      </c>
    </row>
    <row r="599" spans="11:12" x14ac:dyDescent="0.4">
      <c r="K599" s="5">
        <v>597</v>
      </c>
      <c r="L599" s="73">
        <v>5708.7</v>
      </c>
    </row>
    <row r="600" spans="11:12" x14ac:dyDescent="0.4">
      <c r="K600" s="5">
        <v>598</v>
      </c>
      <c r="L600" s="73">
        <v>5747.0999999999995</v>
      </c>
    </row>
    <row r="601" spans="11:12" x14ac:dyDescent="0.4">
      <c r="K601" s="5">
        <v>599</v>
      </c>
      <c r="L601" s="73">
        <v>5714.2999999999993</v>
      </c>
    </row>
    <row r="602" spans="11:12" x14ac:dyDescent="0.4">
      <c r="K602" s="5">
        <v>600</v>
      </c>
      <c r="L602" s="73">
        <v>5740.5999999999995</v>
      </c>
    </row>
    <row r="603" spans="11:12" x14ac:dyDescent="0.4">
      <c r="K603" s="5">
        <v>601</v>
      </c>
      <c r="L603" s="73">
        <v>5762.0999999999995</v>
      </c>
    </row>
    <row r="604" spans="11:12" x14ac:dyDescent="0.4">
      <c r="K604" s="5">
        <v>602</v>
      </c>
      <c r="L604" s="73">
        <v>5753.4</v>
      </c>
    </row>
    <row r="605" spans="11:12" x14ac:dyDescent="0.4">
      <c r="K605" s="5">
        <v>603</v>
      </c>
      <c r="L605" s="73">
        <v>5730.7999999999993</v>
      </c>
    </row>
    <row r="606" spans="11:12" x14ac:dyDescent="0.4">
      <c r="K606" s="5">
        <v>604</v>
      </c>
      <c r="L606" s="73">
        <v>5735.5</v>
      </c>
    </row>
    <row r="607" spans="11:12" x14ac:dyDescent="0.4">
      <c r="K607" s="5">
        <v>605</v>
      </c>
      <c r="L607" s="73">
        <v>5757.7</v>
      </c>
    </row>
    <row r="608" spans="11:12" x14ac:dyDescent="0.4">
      <c r="K608" s="5">
        <v>606</v>
      </c>
      <c r="L608" s="73">
        <v>5709.2</v>
      </c>
    </row>
    <row r="609" spans="11:12" x14ac:dyDescent="0.4">
      <c r="K609" s="5">
        <v>607</v>
      </c>
      <c r="L609" s="73">
        <v>5775.4</v>
      </c>
    </row>
    <row r="610" spans="11:12" x14ac:dyDescent="0.4">
      <c r="K610" s="5">
        <v>608</v>
      </c>
      <c r="L610" s="73">
        <v>5829.6</v>
      </c>
    </row>
    <row r="611" spans="11:12" x14ac:dyDescent="0.4">
      <c r="K611" s="5">
        <v>609</v>
      </c>
      <c r="L611" s="73">
        <v>5845.3</v>
      </c>
    </row>
    <row r="612" spans="11:12" x14ac:dyDescent="0.4">
      <c r="K612" s="5">
        <v>610</v>
      </c>
      <c r="L612" s="73">
        <v>5803.6</v>
      </c>
    </row>
    <row r="613" spans="11:12" x14ac:dyDescent="0.4">
      <c r="K613" s="5">
        <v>611</v>
      </c>
      <c r="L613" s="73">
        <v>5791</v>
      </c>
    </row>
    <row r="614" spans="11:12" x14ac:dyDescent="0.4">
      <c r="K614" s="5">
        <v>612</v>
      </c>
      <c r="L614" s="73">
        <v>5766.7</v>
      </c>
    </row>
    <row r="615" spans="11:12" x14ac:dyDescent="0.4">
      <c r="K615" s="5">
        <v>613</v>
      </c>
      <c r="L615" s="73">
        <v>5748</v>
      </c>
    </row>
    <row r="616" spans="11:12" x14ac:dyDescent="0.4">
      <c r="K616" s="5">
        <v>614</v>
      </c>
      <c r="L616" s="73">
        <v>5811.6</v>
      </c>
    </row>
    <row r="617" spans="11:12" x14ac:dyDescent="0.4">
      <c r="K617" s="5">
        <v>615</v>
      </c>
      <c r="L617" s="73">
        <v>5855.2</v>
      </c>
    </row>
    <row r="618" spans="11:12" x14ac:dyDescent="0.4">
      <c r="K618" s="5">
        <v>616</v>
      </c>
      <c r="L618" s="73">
        <v>5882.6</v>
      </c>
    </row>
    <row r="619" spans="11:12" x14ac:dyDescent="0.4">
      <c r="K619" s="5">
        <v>617</v>
      </c>
      <c r="L619" s="73">
        <v>5899.7</v>
      </c>
    </row>
    <row r="620" spans="11:12" x14ac:dyDescent="0.4">
      <c r="K620" s="5">
        <v>618</v>
      </c>
      <c r="L620" s="73">
        <v>5879.7</v>
      </c>
    </row>
    <row r="621" spans="11:12" x14ac:dyDescent="0.4">
      <c r="K621" s="5">
        <v>619</v>
      </c>
      <c r="L621" s="73">
        <v>5834.2</v>
      </c>
    </row>
    <row r="622" spans="11:12" x14ac:dyDescent="0.4">
      <c r="K622" s="5">
        <v>620</v>
      </c>
      <c r="L622" s="73">
        <v>5808</v>
      </c>
    </row>
    <row r="623" spans="11:12" x14ac:dyDescent="0.4">
      <c r="K623" s="5">
        <v>621</v>
      </c>
      <c r="L623" s="73">
        <v>5811.9</v>
      </c>
    </row>
    <row r="624" spans="11:12" x14ac:dyDescent="0.4">
      <c r="K624" s="5">
        <v>622</v>
      </c>
      <c r="L624" s="73">
        <v>5809.1</v>
      </c>
    </row>
    <row r="625" spans="11:12" x14ac:dyDescent="0.4">
      <c r="K625" s="5">
        <v>623</v>
      </c>
      <c r="L625" s="73">
        <v>5778.2</v>
      </c>
    </row>
    <row r="626" spans="11:12" x14ac:dyDescent="0.4">
      <c r="K626" s="5">
        <v>624</v>
      </c>
      <c r="L626" s="73">
        <v>5781.9</v>
      </c>
    </row>
    <row r="627" spans="11:12" x14ac:dyDescent="0.4">
      <c r="K627" s="5">
        <v>625</v>
      </c>
      <c r="L627" s="73">
        <v>5796.5</v>
      </c>
    </row>
    <row r="628" spans="11:12" x14ac:dyDescent="0.4">
      <c r="K628" s="5">
        <v>626</v>
      </c>
      <c r="L628" s="73">
        <v>5807.9</v>
      </c>
    </row>
    <row r="629" spans="11:12" x14ac:dyDescent="0.4">
      <c r="K629" s="5">
        <v>627</v>
      </c>
      <c r="L629" s="73">
        <v>5850.4</v>
      </c>
    </row>
    <row r="630" spans="11:12" x14ac:dyDescent="0.4">
      <c r="K630" s="5">
        <v>628</v>
      </c>
      <c r="L630" s="73">
        <v>5884.9</v>
      </c>
    </row>
    <row r="631" spans="11:12" x14ac:dyDescent="0.4">
      <c r="K631" s="5">
        <v>629</v>
      </c>
      <c r="L631" s="73">
        <v>5887.3</v>
      </c>
    </row>
    <row r="632" spans="11:12" x14ac:dyDescent="0.4">
      <c r="K632" s="5">
        <v>630</v>
      </c>
      <c r="L632" s="73">
        <v>5860.6</v>
      </c>
    </row>
    <row r="633" spans="11:12" x14ac:dyDescent="0.4">
      <c r="K633" s="5">
        <v>631</v>
      </c>
      <c r="L633" s="73">
        <v>5850.7</v>
      </c>
    </row>
    <row r="634" spans="11:12" x14ac:dyDescent="0.4">
      <c r="K634" s="5">
        <v>632</v>
      </c>
      <c r="L634" s="73">
        <v>5900.7999999999993</v>
      </c>
    </row>
    <row r="635" spans="11:12" x14ac:dyDescent="0.4">
      <c r="K635" s="5">
        <v>633</v>
      </c>
      <c r="L635" s="73">
        <v>5924.2999999999993</v>
      </c>
    </row>
    <row r="636" spans="11:12" x14ac:dyDescent="0.4">
      <c r="K636" s="5">
        <v>634</v>
      </c>
      <c r="L636" s="73">
        <v>5945.9</v>
      </c>
    </row>
    <row r="637" spans="11:12" x14ac:dyDescent="0.4">
      <c r="K637" s="5">
        <v>635</v>
      </c>
      <c r="L637" s="73">
        <v>5982.7999999999993</v>
      </c>
    </row>
    <row r="638" spans="11:12" x14ac:dyDescent="0.4">
      <c r="K638" s="5">
        <v>636</v>
      </c>
      <c r="L638" s="73">
        <v>5981.2999999999993</v>
      </c>
    </row>
    <row r="639" spans="11:12" x14ac:dyDescent="0.4">
      <c r="K639" s="5">
        <v>637</v>
      </c>
      <c r="L639" s="73">
        <v>6012.2999999999993</v>
      </c>
    </row>
    <row r="640" spans="11:12" x14ac:dyDescent="0.4">
      <c r="K640" s="5">
        <v>638</v>
      </c>
      <c r="L640" s="73">
        <v>6058.7999999999993</v>
      </c>
    </row>
    <row r="641" spans="11:12" x14ac:dyDescent="0.4">
      <c r="K641" s="5">
        <v>639</v>
      </c>
      <c r="L641" s="73">
        <v>6062</v>
      </c>
    </row>
    <row r="642" spans="11:12" x14ac:dyDescent="0.4">
      <c r="K642" s="5">
        <v>640</v>
      </c>
      <c r="L642" s="73">
        <v>6039.0999999999995</v>
      </c>
    </row>
    <row r="643" spans="11:12" x14ac:dyDescent="0.4">
      <c r="K643" s="5">
        <v>641</v>
      </c>
      <c r="L643" s="73">
        <v>6069.2999999999993</v>
      </c>
    </row>
    <row r="644" spans="11:12" x14ac:dyDescent="0.4">
      <c r="K644" s="5">
        <v>642</v>
      </c>
      <c r="L644" s="73">
        <v>6091.4</v>
      </c>
    </row>
    <row r="645" spans="11:12" x14ac:dyDescent="0.4">
      <c r="K645" s="5">
        <v>643</v>
      </c>
      <c r="L645" s="73">
        <v>6045.2</v>
      </c>
    </row>
    <row r="646" spans="11:12" x14ac:dyDescent="0.4">
      <c r="K646" s="5">
        <v>644</v>
      </c>
      <c r="L646" s="73">
        <v>6071.5</v>
      </c>
    </row>
    <row r="647" spans="11:12" x14ac:dyDescent="0.4">
      <c r="K647" s="5">
        <v>645</v>
      </c>
      <c r="L647" s="73">
        <v>6111.2999999999993</v>
      </c>
    </row>
    <row r="648" spans="11:12" x14ac:dyDescent="0.4">
      <c r="K648" s="5">
        <v>646</v>
      </c>
      <c r="L648" s="73">
        <v>6109.4</v>
      </c>
    </row>
    <row r="649" spans="11:12" x14ac:dyDescent="0.4">
      <c r="K649" s="5">
        <v>647</v>
      </c>
      <c r="L649" s="73">
        <v>6170.1999999999989</v>
      </c>
    </row>
    <row r="650" spans="11:12" x14ac:dyDescent="0.4">
      <c r="K650" s="5">
        <v>648</v>
      </c>
      <c r="L650" s="73">
        <v>6172.1999999999989</v>
      </c>
    </row>
    <row r="651" spans="11:12" x14ac:dyDescent="0.4">
      <c r="K651" s="5">
        <v>649</v>
      </c>
      <c r="L651" s="73">
        <v>6139.9999999999991</v>
      </c>
    </row>
    <row r="652" spans="11:12" x14ac:dyDescent="0.4">
      <c r="K652" s="5">
        <v>650</v>
      </c>
      <c r="L652" s="73">
        <v>6185.1999999999989</v>
      </c>
    </row>
    <row r="653" spans="11:12" x14ac:dyDescent="0.4">
      <c r="K653" s="5">
        <v>651</v>
      </c>
      <c r="L653" s="73">
        <v>6172.6999999999989</v>
      </c>
    </row>
    <row r="654" spans="11:12" x14ac:dyDescent="0.4">
      <c r="K654" s="5">
        <v>652</v>
      </c>
      <c r="L654" s="73">
        <v>6201.4999999999991</v>
      </c>
    </row>
    <row r="655" spans="11:12" x14ac:dyDescent="0.4">
      <c r="K655" s="5">
        <v>653</v>
      </c>
      <c r="L655" s="73">
        <v>6174.0999999999995</v>
      </c>
    </row>
    <row r="656" spans="11:12" x14ac:dyDescent="0.4">
      <c r="K656" s="5">
        <v>654</v>
      </c>
      <c r="L656" s="73">
        <v>6163.0999999999995</v>
      </c>
    </row>
    <row r="657" spans="11:12" x14ac:dyDescent="0.4">
      <c r="K657" s="5">
        <v>655</v>
      </c>
      <c r="L657" s="73">
        <v>6190.9999999999991</v>
      </c>
    </row>
    <row r="658" spans="11:12" x14ac:dyDescent="0.4">
      <c r="K658" s="5">
        <v>656</v>
      </c>
      <c r="L658" s="73">
        <v>6190.1999999999989</v>
      </c>
    </row>
    <row r="659" spans="11:12" x14ac:dyDescent="0.4">
      <c r="K659" s="5">
        <v>657</v>
      </c>
      <c r="L659" s="73">
        <v>6189.9</v>
      </c>
    </row>
    <row r="660" spans="11:12" x14ac:dyDescent="0.4">
      <c r="K660" s="5">
        <v>658</v>
      </c>
      <c r="L660" s="73">
        <v>6237.4</v>
      </c>
    </row>
    <row r="661" spans="11:12" x14ac:dyDescent="0.4">
      <c r="K661" s="5">
        <v>659</v>
      </c>
      <c r="L661" s="73">
        <v>6215.4</v>
      </c>
    </row>
    <row r="662" spans="11:12" x14ac:dyDescent="0.4">
      <c r="K662" s="5">
        <v>660</v>
      </c>
      <c r="L662" s="73">
        <v>6190.9</v>
      </c>
    </row>
    <row r="663" spans="11:12" x14ac:dyDescent="0.4">
      <c r="K663" s="5">
        <v>661</v>
      </c>
      <c r="L663" s="73">
        <v>6231.6999999999989</v>
      </c>
    </row>
    <row r="664" spans="11:12" x14ac:dyDescent="0.4">
      <c r="K664" s="5">
        <v>662</v>
      </c>
      <c r="L664" s="73">
        <v>6272.9</v>
      </c>
    </row>
    <row r="665" spans="11:12" x14ac:dyDescent="0.4">
      <c r="K665" s="5">
        <v>663</v>
      </c>
      <c r="L665" s="73">
        <v>6265.1999999999989</v>
      </c>
    </row>
    <row r="666" spans="11:12" x14ac:dyDescent="0.4">
      <c r="K666" s="5">
        <v>664</v>
      </c>
      <c r="L666" s="73">
        <v>6296.9</v>
      </c>
    </row>
    <row r="667" spans="11:12" x14ac:dyDescent="0.4">
      <c r="K667" s="5">
        <v>665</v>
      </c>
      <c r="L667" s="73">
        <v>6329.0999999999995</v>
      </c>
    </row>
    <row r="668" spans="11:12" x14ac:dyDescent="0.4">
      <c r="K668" s="5">
        <v>666</v>
      </c>
      <c r="L668" s="73">
        <v>6326.1999999999989</v>
      </c>
    </row>
    <row r="669" spans="11:12" x14ac:dyDescent="0.4">
      <c r="K669" s="5">
        <v>667</v>
      </c>
      <c r="L669" s="73">
        <v>6358.1999999999989</v>
      </c>
    </row>
    <row r="670" spans="11:12" x14ac:dyDescent="0.4">
      <c r="K670" s="5">
        <v>668</v>
      </c>
      <c r="L670" s="73">
        <v>6399.6999999999989</v>
      </c>
    </row>
    <row r="671" spans="11:12" x14ac:dyDescent="0.4">
      <c r="K671" s="5">
        <v>669</v>
      </c>
      <c r="L671" s="73">
        <v>6436.2999999999993</v>
      </c>
    </row>
    <row r="672" spans="11:12" x14ac:dyDescent="0.4">
      <c r="K672" s="5">
        <v>670</v>
      </c>
      <c r="L672" s="73">
        <v>6468.1999999999989</v>
      </c>
    </row>
    <row r="673" spans="11:12" x14ac:dyDescent="0.4">
      <c r="K673" s="5">
        <v>671</v>
      </c>
      <c r="L673" s="73">
        <v>6509.6999999999989</v>
      </c>
    </row>
    <row r="674" spans="11:12" x14ac:dyDescent="0.4">
      <c r="K674" s="5">
        <v>672</v>
      </c>
      <c r="L674" s="73">
        <v>6470.9999999999991</v>
      </c>
    </row>
    <row r="675" spans="11:12" x14ac:dyDescent="0.4">
      <c r="K675" s="5">
        <v>673</v>
      </c>
      <c r="L675" s="73">
        <v>6425.4999999999991</v>
      </c>
    </row>
    <row r="676" spans="11:12" x14ac:dyDescent="0.4">
      <c r="K676" s="5">
        <v>674</v>
      </c>
      <c r="L676" s="73">
        <v>6441.6999999999989</v>
      </c>
    </row>
    <row r="677" spans="11:12" x14ac:dyDescent="0.4">
      <c r="K677" s="5">
        <v>675</v>
      </c>
      <c r="L677" s="73">
        <v>6442.9999999999991</v>
      </c>
    </row>
    <row r="678" spans="11:12" x14ac:dyDescent="0.4">
      <c r="K678" s="5">
        <v>676</v>
      </c>
      <c r="L678" s="73">
        <v>6467.0999999999995</v>
      </c>
    </row>
    <row r="679" spans="11:12" x14ac:dyDescent="0.4">
      <c r="K679" s="5">
        <v>677</v>
      </c>
      <c r="L679" s="73">
        <v>6449.6999999999989</v>
      </c>
    </row>
    <row r="680" spans="11:12" x14ac:dyDescent="0.4">
      <c r="K680" s="5">
        <v>678</v>
      </c>
      <c r="L680" s="73">
        <v>6490.4</v>
      </c>
    </row>
    <row r="681" spans="11:12" x14ac:dyDescent="0.4">
      <c r="K681" s="5">
        <v>679</v>
      </c>
      <c r="L681" s="73">
        <v>6504.4</v>
      </c>
    </row>
    <row r="682" spans="11:12" x14ac:dyDescent="0.4">
      <c r="K682" s="5">
        <v>680</v>
      </c>
      <c r="L682" s="73">
        <v>6571.2999999999993</v>
      </c>
    </row>
    <row r="683" spans="11:12" x14ac:dyDescent="0.4">
      <c r="K683" s="5">
        <v>681</v>
      </c>
      <c r="L683" s="73">
        <v>6574.4999999999991</v>
      </c>
    </row>
    <row r="684" spans="11:12" x14ac:dyDescent="0.4">
      <c r="K684" s="5">
        <v>682</v>
      </c>
      <c r="L684" s="73">
        <v>6574.1999999999989</v>
      </c>
    </row>
    <row r="685" spans="11:12" x14ac:dyDescent="0.4">
      <c r="K685" s="5">
        <v>683</v>
      </c>
      <c r="L685" s="73">
        <v>6614.0999999999995</v>
      </c>
    </row>
    <row r="686" spans="11:12" x14ac:dyDescent="0.4">
      <c r="K686" s="5">
        <v>684</v>
      </c>
      <c r="L686" s="73">
        <v>6611.9</v>
      </c>
    </row>
    <row r="687" spans="11:12" x14ac:dyDescent="0.4">
      <c r="K687" s="5">
        <v>685</v>
      </c>
      <c r="L687" s="73">
        <v>6560.7999999999993</v>
      </c>
    </row>
    <row r="688" spans="11:12" x14ac:dyDescent="0.4">
      <c r="K688" s="5">
        <v>686</v>
      </c>
      <c r="L688" s="73">
        <v>6586.0999999999995</v>
      </c>
    </row>
    <row r="689" spans="11:12" x14ac:dyDescent="0.4">
      <c r="K689" s="5">
        <v>687</v>
      </c>
      <c r="L689" s="73">
        <v>6607.7999999999993</v>
      </c>
    </row>
    <row r="690" spans="11:12" x14ac:dyDescent="0.4">
      <c r="K690" s="5">
        <v>688</v>
      </c>
      <c r="L690" s="73">
        <v>6652.2999999999993</v>
      </c>
    </row>
    <row r="691" spans="11:12" x14ac:dyDescent="0.4">
      <c r="K691" s="5">
        <v>689</v>
      </c>
      <c r="L691" s="73">
        <v>6689.7999999999993</v>
      </c>
    </row>
    <row r="692" spans="11:12" x14ac:dyDescent="0.4">
      <c r="K692" s="5">
        <v>690</v>
      </c>
      <c r="L692" s="73">
        <v>6667.9999999999991</v>
      </c>
    </row>
    <row r="693" spans="11:12" x14ac:dyDescent="0.4">
      <c r="K693" s="5">
        <v>691</v>
      </c>
      <c r="L693" s="73">
        <v>6654.9</v>
      </c>
    </row>
    <row r="694" spans="11:12" x14ac:dyDescent="0.4">
      <c r="K694" s="5">
        <v>692</v>
      </c>
      <c r="L694" s="73">
        <v>6650.0999999999995</v>
      </c>
    </row>
    <row r="695" spans="11:12" x14ac:dyDescent="0.4">
      <c r="K695" s="5">
        <v>693</v>
      </c>
      <c r="L695" s="73">
        <v>6600.6999999999989</v>
      </c>
    </row>
    <row r="696" spans="11:12" x14ac:dyDescent="0.4">
      <c r="K696" s="5">
        <v>694</v>
      </c>
      <c r="L696" s="73">
        <v>6567.0999999999995</v>
      </c>
    </row>
    <row r="697" spans="11:12" x14ac:dyDescent="0.4">
      <c r="K697" s="5">
        <v>695</v>
      </c>
      <c r="L697" s="73">
        <v>6594</v>
      </c>
    </row>
    <row r="698" spans="11:12" x14ac:dyDescent="0.4">
      <c r="K698" s="5">
        <v>696</v>
      </c>
      <c r="L698" s="73">
        <v>6606</v>
      </c>
    </row>
    <row r="699" spans="11:12" x14ac:dyDescent="0.4">
      <c r="K699" s="5">
        <v>697</v>
      </c>
      <c r="L699" s="73">
        <v>6602.2999999999993</v>
      </c>
    </row>
    <row r="700" spans="11:12" x14ac:dyDescent="0.4">
      <c r="K700" s="5">
        <v>698</v>
      </c>
      <c r="L700" s="73">
        <v>6592.7999999999993</v>
      </c>
    </row>
    <row r="701" spans="11:12" x14ac:dyDescent="0.4">
      <c r="K701" s="5">
        <v>699</v>
      </c>
      <c r="L701" s="73">
        <v>6647</v>
      </c>
    </row>
    <row r="702" spans="11:12" x14ac:dyDescent="0.4">
      <c r="K702" s="5">
        <v>700</v>
      </c>
      <c r="L702" s="73">
        <v>6672.5999999999995</v>
      </c>
    </row>
    <row r="703" spans="11:12" x14ac:dyDescent="0.4">
      <c r="K703" s="5">
        <v>701</v>
      </c>
      <c r="L703" s="73">
        <v>6679</v>
      </c>
    </row>
    <row r="704" spans="11:12" x14ac:dyDescent="0.4">
      <c r="K704" s="5">
        <v>702</v>
      </c>
      <c r="L704" s="73">
        <v>6668.4</v>
      </c>
    </row>
    <row r="705" spans="11:12" x14ac:dyDescent="0.4">
      <c r="K705" s="5">
        <v>703</v>
      </c>
      <c r="L705" s="73">
        <v>6638.2999999999993</v>
      </c>
    </row>
    <row r="706" spans="11:12" x14ac:dyDescent="0.4">
      <c r="K706" s="5">
        <v>704</v>
      </c>
      <c r="L706" s="73">
        <v>6644.2999999999993</v>
      </c>
    </row>
    <row r="707" spans="11:12" x14ac:dyDescent="0.4">
      <c r="K707" s="5">
        <v>705</v>
      </c>
      <c r="L707" s="73">
        <v>6595.7999999999993</v>
      </c>
    </row>
    <row r="708" spans="11:12" x14ac:dyDescent="0.4">
      <c r="K708" s="5">
        <v>706</v>
      </c>
      <c r="L708" s="73">
        <v>6581.4</v>
      </c>
    </row>
    <row r="709" spans="11:12" x14ac:dyDescent="0.4">
      <c r="K709" s="5">
        <v>707</v>
      </c>
      <c r="L709" s="73">
        <v>6604.4</v>
      </c>
    </row>
    <row r="710" spans="11:12" x14ac:dyDescent="0.4">
      <c r="K710" s="5">
        <v>708</v>
      </c>
      <c r="L710" s="73">
        <v>6632</v>
      </c>
    </row>
    <row r="711" spans="11:12" x14ac:dyDescent="0.4">
      <c r="K711" s="5">
        <v>709</v>
      </c>
      <c r="L711" s="73">
        <v>6680.4</v>
      </c>
    </row>
    <row r="712" spans="11:12" x14ac:dyDescent="0.4">
      <c r="K712" s="5">
        <v>710</v>
      </c>
      <c r="L712" s="73">
        <v>6718.9</v>
      </c>
    </row>
    <row r="713" spans="11:12" x14ac:dyDescent="0.4">
      <c r="K713" s="5">
        <v>711</v>
      </c>
      <c r="L713" s="73">
        <v>6758.0999999999995</v>
      </c>
    </row>
    <row r="714" spans="11:12" x14ac:dyDescent="0.4">
      <c r="K714" s="5">
        <v>712</v>
      </c>
      <c r="L714" s="73">
        <v>6818.5</v>
      </c>
    </row>
    <row r="715" spans="11:12" x14ac:dyDescent="0.4">
      <c r="K715" s="5">
        <v>713</v>
      </c>
      <c r="L715" s="73">
        <v>6817</v>
      </c>
    </row>
    <row r="716" spans="11:12" x14ac:dyDescent="0.4">
      <c r="K716" s="5">
        <v>714</v>
      </c>
      <c r="L716" s="73">
        <v>6820.4</v>
      </c>
    </row>
    <row r="717" spans="11:12" x14ac:dyDescent="0.4">
      <c r="K717" s="5">
        <v>715</v>
      </c>
      <c r="L717" s="73">
        <v>6862</v>
      </c>
    </row>
    <row r="718" spans="11:12" x14ac:dyDescent="0.4">
      <c r="K718" s="5">
        <v>716</v>
      </c>
      <c r="L718" s="73">
        <v>6883.4</v>
      </c>
    </row>
    <row r="719" spans="11:12" x14ac:dyDescent="0.4">
      <c r="K719" s="5">
        <v>717</v>
      </c>
      <c r="L719" s="73">
        <v>6887.4</v>
      </c>
    </row>
    <row r="720" spans="11:12" x14ac:dyDescent="0.4">
      <c r="K720" s="5">
        <v>718</v>
      </c>
      <c r="L720" s="73">
        <v>6851.5</v>
      </c>
    </row>
    <row r="721" spans="11:12" x14ac:dyDescent="0.4">
      <c r="K721" s="5">
        <v>719</v>
      </c>
      <c r="L721" s="73">
        <v>6870.2</v>
      </c>
    </row>
    <row r="722" spans="11:12" x14ac:dyDescent="0.4">
      <c r="K722" s="5">
        <v>720</v>
      </c>
      <c r="L722" s="73">
        <v>6947.9</v>
      </c>
    </row>
    <row r="723" spans="11:12" x14ac:dyDescent="0.4">
      <c r="K723" s="5">
        <v>721</v>
      </c>
      <c r="L723" s="73">
        <v>6961.5999999999995</v>
      </c>
    </row>
    <row r="724" spans="11:12" x14ac:dyDescent="0.4">
      <c r="K724" s="5">
        <v>722</v>
      </c>
      <c r="L724" s="73">
        <v>6916.9</v>
      </c>
    </row>
    <row r="725" spans="11:12" x14ac:dyDescent="0.4">
      <c r="K725" s="5">
        <v>723</v>
      </c>
      <c r="L725" s="73">
        <v>6915.9</v>
      </c>
    </row>
    <row r="726" spans="11:12" x14ac:dyDescent="0.4">
      <c r="K726" s="5">
        <v>724</v>
      </c>
      <c r="L726" s="73">
        <v>6968.0999999999995</v>
      </c>
    </row>
    <row r="727" spans="11:12" x14ac:dyDescent="0.4">
      <c r="K727" s="5">
        <v>725</v>
      </c>
      <c r="L727" s="73">
        <v>6932.4</v>
      </c>
    </row>
    <row r="728" spans="11:12" x14ac:dyDescent="0.4">
      <c r="K728" s="5">
        <v>726</v>
      </c>
      <c r="L728" s="73">
        <v>6992.7</v>
      </c>
    </row>
    <row r="729" spans="11:12" x14ac:dyDescent="0.4">
      <c r="K729" s="5">
        <v>727</v>
      </c>
      <c r="L729" s="73">
        <v>6961.7</v>
      </c>
    </row>
    <row r="730" spans="11:12" x14ac:dyDescent="0.4">
      <c r="K730" s="5">
        <v>728</v>
      </c>
      <c r="L730" s="73">
        <v>6998.9</v>
      </c>
    </row>
    <row r="731" spans="11:12" x14ac:dyDescent="0.4">
      <c r="K731" s="5">
        <v>729</v>
      </c>
      <c r="L731" s="73">
        <v>7000.4</v>
      </c>
    </row>
    <row r="732" spans="11:12" x14ac:dyDescent="0.4">
      <c r="K732" s="5">
        <v>730</v>
      </c>
      <c r="L732" s="73">
        <v>7006.0999999999995</v>
      </c>
    </row>
    <row r="733" spans="11:12" x14ac:dyDescent="0.4">
      <c r="K733" s="5">
        <v>731</v>
      </c>
      <c r="L733" s="73">
        <v>7005.2</v>
      </c>
    </row>
    <row r="734" spans="11:12" x14ac:dyDescent="0.4">
      <c r="K734" s="5">
        <v>732</v>
      </c>
      <c r="L734" s="73">
        <v>7063</v>
      </c>
    </row>
    <row r="735" spans="11:12" x14ac:dyDescent="0.4">
      <c r="K735" s="5">
        <v>733</v>
      </c>
      <c r="L735" s="73">
        <v>7115.7999999999993</v>
      </c>
    </row>
    <row r="736" spans="11:12" x14ac:dyDescent="0.4">
      <c r="K736" s="5">
        <v>734</v>
      </c>
      <c r="L736" s="73">
        <v>7188.7999999999993</v>
      </c>
    </row>
    <row r="737" spans="11:12" x14ac:dyDescent="0.4">
      <c r="K737" s="5">
        <v>735</v>
      </c>
      <c r="L737" s="73">
        <v>7184.5</v>
      </c>
    </row>
    <row r="738" spans="11:12" x14ac:dyDescent="0.4">
      <c r="K738" s="5">
        <v>736</v>
      </c>
      <c r="L738" s="73">
        <v>7244.2</v>
      </c>
    </row>
    <row r="739" spans="11:12" x14ac:dyDescent="0.4">
      <c r="K739" s="5">
        <v>737</v>
      </c>
      <c r="L739" s="73">
        <v>7249.2</v>
      </c>
    </row>
    <row r="740" spans="11:12" x14ac:dyDescent="0.4">
      <c r="K740" s="5">
        <v>738</v>
      </c>
      <c r="L740" s="73">
        <v>7280.7999999999993</v>
      </c>
    </row>
    <row r="741" spans="11:12" x14ac:dyDescent="0.4">
      <c r="K741" s="5">
        <v>739</v>
      </c>
      <c r="L741" s="73">
        <v>7342.4</v>
      </c>
    </row>
    <row r="742" spans="11:12" x14ac:dyDescent="0.4">
      <c r="K742" s="5">
        <v>740</v>
      </c>
      <c r="L742" s="73">
        <v>7319.9</v>
      </c>
    </row>
    <row r="743" spans="11:12" x14ac:dyDescent="0.4">
      <c r="K743" s="5">
        <v>741</v>
      </c>
      <c r="L743" s="73">
        <v>7325.4</v>
      </c>
    </row>
    <row r="744" spans="11:12" x14ac:dyDescent="0.4">
      <c r="K744" s="5">
        <v>742</v>
      </c>
      <c r="L744" s="73">
        <v>7301.9</v>
      </c>
    </row>
    <row r="745" spans="11:12" x14ac:dyDescent="0.4">
      <c r="K745" s="5">
        <v>743</v>
      </c>
      <c r="L745" s="73">
        <v>7296.5</v>
      </c>
    </row>
    <row r="746" spans="11:12" x14ac:dyDescent="0.4">
      <c r="K746" s="5">
        <v>744</v>
      </c>
      <c r="L746" s="73">
        <v>7310.2999999999993</v>
      </c>
    </row>
    <row r="747" spans="11:12" x14ac:dyDescent="0.4">
      <c r="K747" s="5">
        <v>745</v>
      </c>
      <c r="L747" s="73">
        <v>7245.2999999999993</v>
      </c>
    </row>
    <row r="748" spans="11:12" x14ac:dyDescent="0.4">
      <c r="K748" s="5">
        <v>746</v>
      </c>
      <c r="L748" s="73">
        <v>7283.2999999999993</v>
      </c>
    </row>
    <row r="749" spans="11:12" x14ac:dyDescent="0.4">
      <c r="K749" s="5">
        <v>747</v>
      </c>
      <c r="L749" s="73">
        <v>7242.5</v>
      </c>
    </row>
    <row r="750" spans="11:12" x14ac:dyDescent="0.4">
      <c r="K750" s="5">
        <v>748</v>
      </c>
      <c r="L750" s="73">
        <v>7216.7</v>
      </c>
    </row>
    <row r="751" spans="11:12" x14ac:dyDescent="0.4">
      <c r="K751" s="5">
        <v>749</v>
      </c>
      <c r="L751" s="73">
        <v>7219.9</v>
      </c>
    </row>
    <row r="752" spans="11:12" x14ac:dyDescent="0.4">
      <c r="K752" s="5">
        <v>750</v>
      </c>
      <c r="L752" s="73">
        <v>7245.4</v>
      </c>
    </row>
    <row r="753" spans="11:12" x14ac:dyDescent="0.4">
      <c r="K753" s="5">
        <v>751</v>
      </c>
      <c r="L753" s="73">
        <v>7241</v>
      </c>
    </row>
    <row r="754" spans="11:12" x14ac:dyDescent="0.4">
      <c r="K754" s="5">
        <v>752</v>
      </c>
      <c r="L754" s="73">
        <v>7249.5999999999995</v>
      </c>
    </row>
    <row r="755" spans="11:12" x14ac:dyDescent="0.4">
      <c r="K755" s="5">
        <v>753</v>
      </c>
      <c r="L755" s="73">
        <v>7294.4</v>
      </c>
    </row>
    <row r="756" spans="11:12" x14ac:dyDescent="0.4">
      <c r="K756" s="5">
        <v>754</v>
      </c>
      <c r="L756" s="73">
        <v>7290.5</v>
      </c>
    </row>
    <row r="757" spans="11:12" x14ac:dyDescent="0.4">
      <c r="K757" s="5">
        <v>755</v>
      </c>
      <c r="L757" s="73">
        <v>7335.7999999999993</v>
      </c>
    </row>
    <row r="758" spans="11:12" x14ac:dyDescent="0.4">
      <c r="K758" s="5">
        <v>756</v>
      </c>
      <c r="L758" s="73">
        <v>7406.7999999999993</v>
      </c>
    </row>
    <row r="759" spans="11:12" x14ac:dyDescent="0.4">
      <c r="K759" s="5">
        <v>757</v>
      </c>
      <c r="L759" s="73">
        <v>7429.0999999999995</v>
      </c>
    </row>
    <row r="760" spans="11:12" x14ac:dyDescent="0.4">
      <c r="K760" s="5">
        <v>758</v>
      </c>
      <c r="L760" s="73">
        <v>7378.7</v>
      </c>
    </row>
    <row r="761" spans="11:12" x14ac:dyDescent="0.4">
      <c r="K761" s="5">
        <v>759</v>
      </c>
      <c r="L761" s="73">
        <v>7408.0999999999995</v>
      </c>
    </row>
    <row r="762" spans="11:12" x14ac:dyDescent="0.4">
      <c r="K762" s="5">
        <v>760</v>
      </c>
      <c r="L762" s="73">
        <v>7408.7999999999993</v>
      </c>
    </row>
    <row r="763" spans="11:12" x14ac:dyDescent="0.4">
      <c r="K763" s="5">
        <v>761</v>
      </c>
      <c r="L763" s="73">
        <v>7358.2</v>
      </c>
    </row>
    <row r="764" spans="11:12" x14ac:dyDescent="0.4">
      <c r="K764" s="5">
        <v>762</v>
      </c>
      <c r="L764" s="73">
        <v>7363.0999999999995</v>
      </c>
    </row>
    <row r="765" spans="11:12" x14ac:dyDescent="0.4">
      <c r="K765" s="5">
        <v>763</v>
      </c>
      <c r="L765" s="73">
        <v>7324.0999999999995</v>
      </c>
    </row>
    <row r="766" spans="11:12" x14ac:dyDescent="0.4">
      <c r="K766" s="5">
        <v>764</v>
      </c>
      <c r="L766" s="73">
        <v>7317.7999999999993</v>
      </c>
    </row>
    <row r="767" spans="11:12" x14ac:dyDescent="0.4">
      <c r="K767" s="5">
        <v>765</v>
      </c>
      <c r="L767" s="73">
        <v>7346.2999999999993</v>
      </c>
    </row>
    <row r="768" spans="11:12" x14ac:dyDescent="0.4">
      <c r="K768" s="5">
        <v>766</v>
      </c>
      <c r="L768" s="73">
        <v>7364.9</v>
      </c>
    </row>
    <row r="769" spans="11:12" x14ac:dyDescent="0.4">
      <c r="K769" s="5">
        <v>767</v>
      </c>
      <c r="L769" s="73">
        <v>7363.5</v>
      </c>
    </row>
    <row r="770" spans="11:12" x14ac:dyDescent="0.4">
      <c r="K770" s="5">
        <v>768</v>
      </c>
      <c r="L770" s="73">
        <v>7355.5999999999995</v>
      </c>
    </row>
    <row r="771" spans="11:12" x14ac:dyDescent="0.4">
      <c r="K771" s="5">
        <v>769</v>
      </c>
      <c r="L771" s="73">
        <v>7352.2</v>
      </c>
    </row>
    <row r="772" spans="11:12" x14ac:dyDescent="0.4">
      <c r="K772" s="5">
        <v>770</v>
      </c>
      <c r="L772" s="73">
        <v>7348.0999999999995</v>
      </c>
    </row>
    <row r="773" spans="11:12" x14ac:dyDescent="0.4">
      <c r="K773" s="5">
        <v>771</v>
      </c>
      <c r="L773" s="73">
        <v>7300.0999999999995</v>
      </c>
    </row>
    <row r="774" spans="11:12" x14ac:dyDescent="0.4">
      <c r="K774" s="5">
        <v>772</v>
      </c>
      <c r="L774" s="73">
        <v>7253.8</v>
      </c>
    </row>
    <row r="775" spans="11:12" x14ac:dyDescent="0.4">
      <c r="K775" s="5">
        <v>773</v>
      </c>
      <c r="L775" s="73">
        <v>7230.2</v>
      </c>
    </row>
    <row r="776" spans="11:12" x14ac:dyDescent="0.4">
      <c r="K776" s="5">
        <v>774</v>
      </c>
      <c r="L776" s="73">
        <v>7231.4</v>
      </c>
    </row>
    <row r="777" spans="11:12" x14ac:dyDescent="0.4">
      <c r="K777" s="5">
        <v>775</v>
      </c>
      <c r="L777" s="73">
        <v>7267.4</v>
      </c>
    </row>
    <row r="778" spans="11:12" x14ac:dyDescent="0.4">
      <c r="K778" s="5">
        <v>776</v>
      </c>
      <c r="L778" s="73">
        <v>7287.8</v>
      </c>
    </row>
    <row r="779" spans="11:12" x14ac:dyDescent="0.4">
      <c r="K779" s="5">
        <v>777</v>
      </c>
      <c r="L779" s="73">
        <v>7305.3</v>
      </c>
    </row>
    <row r="780" spans="11:12" x14ac:dyDescent="0.4">
      <c r="K780" s="5">
        <v>778</v>
      </c>
      <c r="L780" s="73">
        <v>7338.5</v>
      </c>
    </row>
    <row r="781" spans="11:12" x14ac:dyDescent="0.4">
      <c r="K781" s="5">
        <v>779</v>
      </c>
      <c r="L781" s="73">
        <v>7350.4</v>
      </c>
    </row>
    <row r="782" spans="11:12" x14ac:dyDescent="0.4">
      <c r="K782" s="5">
        <v>780</v>
      </c>
      <c r="L782" s="73">
        <v>7316.1</v>
      </c>
    </row>
    <row r="783" spans="11:12" x14ac:dyDescent="0.4">
      <c r="K783" s="5">
        <v>781</v>
      </c>
      <c r="L783" s="73">
        <v>7335.5</v>
      </c>
    </row>
    <row r="784" spans="11:12" x14ac:dyDescent="0.4">
      <c r="K784" s="5">
        <v>782</v>
      </c>
      <c r="L784" s="73">
        <v>7396</v>
      </c>
    </row>
    <row r="785" spans="11:12" x14ac:dyDescent="0.4">
      <c r="K785" s="5">
        <v>783</v>
      </c>
      <c r="L785" s="73">
        <v>7377.8</v>
      </c>
    </row>
    <row r="786" spans="11:12" x14ac:dyDescent="0.4">
      <c r="K786" s="5">
        <v>784</v>
      </c>
      <c r="L786" s="73">
        <v>7396.9</v>
      </c>
    </row>
    <row r="787" spans="11:12" x14ac:dyDescent="0.4">
      <c r="K787" s="5">
        <v>785</v>
      </c>
      <c r="L787" s="73">
        <v>7426.4</v>
      </c>
    </row>
    <row r="788" spans="11:12" x14ac:dyDescent="0.4">
      <c r="K788" s="5">
        <v>786</v>
      </c>
      <c r="L788" s="73">
        <v>7460.5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41388-5EC7-4953-8703-253E8F9C6560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33">
        <v>25</v>
      </c>
      <c r="C3" s="13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35">
        <v>-132.1</v>
      </c>
      <c r="C4" s="13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45">
        <f>IF(B$2=0,0,(B$7*1+B$8*2+B$9*3)/B$2)</f>
        <v>3</v>
      </c>
      <c r="C6" s="14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11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10</v>
      </c>
    </row>
    <row r="24" spans="1:17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3">
        <v>0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41">
        <v>13000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8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0F66F-00DB-4FE4-92A8-037677C1B63C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33</v>
      </c>
      <c r="C2" s="132"/>
      <c r="E2" s="43" t="s">
        <v>66</v>
      </c>
      <c r="F2" s="25" t="s">
        <v>22</v>
      </c>
      <c r="G2" s="13">
        <v>52</v>
      </c>
      <c r="H2" s="106">
        <f>IF(B$51=0,0,G2/B$51)</f>
        <v>0.70270270270270274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-2756.25</v>
      </c>
      <c r="P2" s="92">
        <v>32</v>
      </c>
      <c r="Q2" s="76">
        <v>-88200</v>
      </c>
    </row>
    <row r="3" spans="1:17" x14ac:dyDescent="0.4">
      <c r="A3" s="37" t="s">
        <v>8</v>
      </c>
      <c r="B3" s="133">
        <v>264</v>
      </c>
      <c r="C3" s="134"/>
      <c r="E3" s="44" t="s">
        <v>64</v>
      </c>
      <c r="F3" s="41" t="s">
        <v>20</v>
      </c>
      <c r="G3" s="34">
        <v>45</v>
      </c>
      <c r="H3" s="107">
        <f>IF(B$51=0,0,G3/B$51)</f>
        <v>0.60810810810810811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-1312.5</v>
      </c>
      <c r="P3" s="93">
        <v>32</v>
      </c>
      <c r="Q3" s="77">
        <v>-42000</v>
      </c>
    </row>
    <row r="4" spans="1:17" x14ac:dyDescent="0.4">
      <c r="A4" s="37" t="s">
        <v>6</v>
      </c>
      <c r="B4" s="135">
        <v>-256.89999999999998</v>
      </c>
      <c r="C4" s="136"/>
      <c r="E4" s="44" t="s">
        <v>72</v>
      </c>
      <c r="F4" s="41" t="s">
        <v>27</v>
      </c>
      <c r="G4" s="34">
        <v>37</v>
      </c>
      <c r="H4" s="107">
        <f>IF(B$51=0,0,G4/B$51)</f>
        <v>0.5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-2771.875</v>
      </c>
      <c r="P4" s="93">
        <v>32</v>
      </c>
      <c r="Q4" s="77">
        <v>-88700</v>
      </c>
    </row>
    <row r="5" spans="1:17" x14ac:dyDescent="0.4">
      <c r="A5" s="37" t="s">
        <v>7</v>
      </c>
      <c r="B5" s="137">
        <f>IF(B$2=0,0,B$4/B$2)</f>
        <v>-7.7848484848484842</v>
      </c>
      <c r="C5" s="138"/>
      <c r="E5" s="44" t="s">
        <v>67</v>
      </c>
      <c r="F5" s="41" t="s">
        <v>23</v>
      </c>
      <c r="G5" s="34">
        <v>31</v>
      </c>
      <c r="H5" s="107">
        <f>IF(B$51=0,0,G5/B$51)</f>
        <v>0.41891891891891891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1825</v>
      </c>
      <c r="P5" s="93">
        <v>28</v>
      </c>
      <c r="Q5" s="77">
        <v>51100</v>
      </c>
    </row>
    <row r="6" spans="1:17" x14ac:dyDescent="0.4">
      <c r="A6" s="37" t="s">
        <v>1</v>
      </c>
      <c r="B6" s="145">
        <f>IF(B$2=0,0,(B$7*1+B$8*2+B$9*3)/B$2)</f>
        <v>2.1515151515151514</v>
      </c>
      <c r="C6" s="146"/>
      <c r="E6" s="44" t="s">
        <v>68</v>
      </c>
      <c r="F6" s="41" t="s">
        <v>12</v>
      </c>
      <c r="G6" s="34">
        <v>27</v>
      </c>
      <c r="H6" s="107">
        <f>IF(B$51=0,0,G6/B$51)</f>
        <v>0.36486486486486486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500</v>
      </c>
      <c r="P6" s="93">
        <v>25</v>
      </c>
      <c r="Q6" s="77">
        <v>12500</v>
      </c>
    </row>
    <row r="7" spans="1:17" x14ac:dyDescent="0.4">
      <c r="A7" s="37" t="s">
        <v>2</v>
      </c>
      <c r="B7" s="34">
        <v>9</v>
      </c>
      <c r="C7" s="31">
        <f t="shared" ref="C7:C14" si="1">IF(B$2=0,0,B7/B$2)</f>
        <v>0.27272727272727271</v>
      </c>
      <c r="E7" s="44" t="s">
        <v>157</v>
      </c>
      <c r="F7" s="41" t="s">
        <v>158</v>
      </c>
      <c r="G7" s="34">
        <v>23</v>
      </c>
      <c r="H7" s="107">
        <f>IF(B$51=0,0,G7/B$51)</f>
        <v>0.3108108108108108</v>
      </c>
      <c r="I7" s="68">
        <v>12</v>
      </c>
      <c r="K7" s="5">
        <v>5</v>
      </c>
      <c r="L7" s="73">
        <v>2.1000000000000014</v>
      </c>
      <c r="N7" s="90" t="s">
        <v>131</v>
      </c>
      <c r="O7" s="97">
        <f t="shared" si="0"/>
        <v>-1854.5454545454545</v>
      </c>
      <c r="P7" s="94">
        <v>22</v>
      </c>
      <c r="Q7" s="78">
        <v>-40800</v>
      </c>
    </row>
    <row r="8" spans="1:17" x14ac:dyDescent="0.4">
      <c r="A8" s="37" t="s">
        <v>3</v>
      </c>
      <c r="B8" s="34">
        <v>10</v>
      </c>
      <c r="C8" s="31">
        <f t="shared" si="1"/>
        <v>0.30303030303030304</v>
      </c>
      <c r="E8" s="44" t="s">
        <v>65</v>
      </c>
      <c r="F8" s="41" t="s">
        <v>21</v>
      </c>
      <c r="G8" s="34">
        <v>11</v>
      </c>
      <c r="H8" s="107">
        <f>IF(B$51=0,0,G8/B$51)</f>
        <v>0.14864864864864866</v>
      </c>
      <c r="I8" s="68">
        <v>3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">
      <c r="A9" s="38" t="s">
        <v>4</v>
      </c>
      <c r="B9" s="35">
        <v>14</v>
      </c>
      <c r="C9" s="7">
        <f t="shared" si="1"/>
        <v>0.42424242424242425</v>
      </c>
      <c r="E9" s="44" t="s">
        <v>69</v>
      </c>
      <c r="F9" s="41" t="s">
        <v>24</v>
      </c>
      <c r="G9" s="34">
        <v>8</v>
      </c>
      <c r="H9" s="107">
        <f>IF(B$51=0,0,G9/B$51)</f>
        <v>0.10810810810810811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28.544444444444448</v>
      </c>
      <c r="C10" s="121">
        <v>256.90000000000003</v>
      </c>
      <c r="E10" s="44" t="s">
        <v>89</v>
      </c>
      <c r="F10" s="41" t="s">
        <v>44</v>
      </c>
      <c r="G10" s="34">
        <v>8</v>
      </c>
      <c r="H10" s="107">
        <f>IF(B$51=0,0,G10/B$51)</f>
        <v>0.10810810810810811</v>
      </c>
      <c r="I10" s="68">
        <v>12</v>
      </c>
      <c r="K10" s="5">
        <v>8</v>
      </c>
      <c r="L10" s="73">
        <v>37.6</v>
      </c>
      <c r="N10" s="88" t="s">
        <v>149</v>
      </c>
      <c r="O10" s="98">
        <f>IF(P10=0,0,Q10/P10)</f>
        <v>-13.972727272727271</v>
      </c>
      <c r="P10" s="92">
        <v>11</v>
      </c>
      <c r="Q10" s="80">
        <v>-153.69999999999999</v>
      </c>
    </row>
    <row r="11" spans="1:17" x14ac:dyDescent="0.4">
      <c r="A11" s="38" t="s">
        <v>204</v>
      </c>
      <c r="B11" s="120">
        <f>IF(B8=0,0,C11/B8)</f>
        <v>-0.13000000000000042</v>
      </c>
      <c r="C11" s="121">
        <v>-1.3000000000000043</v>
      </c>
      <c r="E11" s="44" t="s">
        <v>70</v>
      </c>
      <c r="F11" s="41" t="s">
        <v>25</v>
      </c>
      <c r="G11" s="34">
        <v>6</v>
      </c>
      <c r="H11" s="107">
        <f>IF(B$51=0,0,G11/B$51)</f>
        <v>8.1081081081081086E-2</v>
      </c>
      <c r="I11" s="68">
        <v>12</v>
      </c>
      <c r="K11" s="5">
        <v>9</v>
      </c>
      <c r="L11" s="73">
        <v>13.100000000000001</v>
      </c>
      <c r="N11" s="89" t="s">
        <v>150</v>
      </c>
      <c r="O11" s="99">
        <f>IF(P11=0,0,Q11/P11)</f>
        <v>-4.5785714285714283</v>
      </c>
      <c r="P11" s="93">
        <v>14</v>
      </c>
      <c r="Q11" s="81">
        <v>-64.099999999999994</v>
      </c>
    </row>
    <row r="12" spans="1:17" x14ac:dyDescent="0.4">
      <c r="A12" s="38" t="s">
        <v>205</v>
      </c>
      <c r="B12" s="120">
        <f>IF(B9=0,0,C12/B9)</f>
        <v>-36.607142857142854</v>
      </c>
      <c r="C12" s="121">
        <v>-512.5</v>
      </c>
      <c r="E12" s="44" t="s">
        <v>71</v>
      </c>
      <c r="F12" s="41" t="s">
        <v>26</v>
      </c>
      <c r="G12" s="34">
        <v>4</v>
      </c>
      <c r="H12" s="107">
        <f>IF(B$51=0,0,G12/B$51)</f>
        <v>5.4054054054054057E-2</v>
      </c>
      <c r="I12" s="68">
        <v>11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">
      <c r="A13" s="38" t="s">
        <v>206</v>
      </c>
      <c r="B13" s="137">
        <f>AVERAGE(B10:B12)</f>
        <v>-2.7308994708994683</v>
      </c>
      <c r="C13" s="138"/>
      <c r="E13" s="44" t="s">
        <v>83</v>
      </c>
      <c r="F13" s="41" t="s">
        <v>38</v>
      </c>
      <c r="G13" s="34">
        <v>4</v>
      </c>
      <c r="H13" s="107">
        <f>IF(B$51=0,0,G13/B$51)</f>
        <v>5.4054054054054057E-2</v>
      </c>
      <c r="I13" s="68">
        <v>5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</v>
      </c>
      <c r="C14" s="32">
        <f t="shared" si="1"/>
        <v>0.15151515151515152</v>
      </c>
      <c r="E14" s="44" t="s">
        <v>75</v>
      </c>
      <c r="F14" s="41" t="s">
        <v>30</v>
      </c>
      <c r="G14" s="34">
        <v>2</v>
      </c>
      <c r="H14" s="107">
        <f>IF(B$51=0,0,G14/B$51)</f>
        <v>2.7027027027027029E-2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87</v>
      </c>
      <c r="C15" s="11">
        <f>IF(B$50=0,0,B15/B$50)</f>
        <v>0.3359073359073359</v>
      </c>
      <c r="E15" s="44" t="s">
        <v>79</v>
      </c>
      <c r="F15" s="41" t="s">
        <v>34</v>
      </c>
      <c r="G15" s="34">
        <v>2</v>
      </c>
      <c r="H15" s="107">
        <f>IF(B$51=0,0,G15/B$51)</f>
        <v>2.7027027027027029E-2</v>
      </c>
      <c r="I15" s="68">
        <v>3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">
      <c r="A16" s="37" t="s">
        <v>118</v>
      </c>
      <c r="B16" s="34">
        <v>28</v>
      </c>
      <c r="C16" s="31">
        <f>IF(B$50=0,0,B16/B$50)</f>
        <v>0.10810810810810811</v>
      </c>
      <c r="E16" s="44" t="s">
        <v>85</v>
      </c>
      <c r="F16" s="41" t="s">
        <v>40</v>
      </c>
      <c r="G16" s="34">
        <v>2</v>
      </c>
      <c r="H16" s="107">
        <f>IF(B$51=0,0,G16/B$51)</f>
        <v>2.7027027027027029E-2</v>
      </c>
      <c r="I16" s="68">
        <v>1</v>
      </c>
      <c r="K16" s="5">
        <v>14</v>
      </c>
      <c r="L16" s="73">
        <v>70.599999999999994</v>
      </c>
      <c r="N16" s="89" t="s">
        <v>193</v>
      </c>
      <c r="O16" s="99">
        <f>IF(P16=0,0,Q16/P16)</f>
        <v>12.000000000000002</v>
      </c>
      <c r="P16" s="93">
        <v>6</v>
      </c>
      <c r="Q16" s="81">
        <v>72.000000000000014</v>
      </c>
    </row>
    <row r="17" spans="1:17" x14ac:dyDescent="0.4">
      <c r="A17" s="19" t="s">
        <v>123</v>
      </c>
      <c r="B17" s="13">
        <v>43</v>
      </c>
      <c r="C17" s="4">
        <f>IF(B$15=0,0,B17/B$15)</f>
        <v>0.4942528735632184</v>
      </c>
      <c r="E17" s="44" t="s">
        <v>86</v>
      </c>
      <c r="F17" s="41" t="s">
        <v>41</v>
      </c>
      <c r="G17" s="34">
        <v>2</v>
      </c>
      <c r="H17" s="107">
        <f>IF(B$51=0,0,G17/B$51)</f>
        <v>2.7027027027027029E-2</v>
      </c>
      <c r="I17" s="68">
        <v>14</v>
      </c>
      <c r="K17" s="5">
        <v>15</v>
      </c>
      <c r="L17" s="73">
        <v>38.699999999999996</v>
      </c>
      <c r="N17" s="89" t="s">
        <v>187</v>
      </c>
      <c r="O17" s="99">
        <f>IF(P17=0,0,Q17/P17)</f>
        <v>8.3571428571428594</v>
      </c>
      <c r="P17" s="93">
        <v>7</v>
      </c>
      <c r="Q17" s="81">
        <v>58.500000000000014</v>
      </c>
    </row>
    <row r="18" spans="1:17" x14ac:dyDescent="0.4">
      <c r="A18" s="19" t="s">
        <v>124</v>
      </c>
      <c r="B18" s="13">
        <v>18</v>
      </c>
      <c r="C18" s="4">
        <f>IF(B$16=0,0,B18/B$16)</f>
        <v>0.6428571428571429</v>
      </c>
      <c r="E18" s="44" t="s">
        <v>77</v>
      </c>
      <c r="F18" s="41" t="s">
        <v>32</v>
      </c>
      <c r="G18" s="34">
        <v>1</v>
      </c>
      <c r="H18" s="107">
        <f>IF(B$51=0,0,G18/B$51)</f>
        <v>1.3513513513513514E-2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">
      <c r="A19" s="19" t="s">
        <v>10</v>
      </c>
      <c r="B19" s="13">
        <v>76</v>
      </c>
      <c r="C19" s="4">
        <f>IF(B$3=0,0,B19/B$3)</f>
        <v>0.2878787878787879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">
      <c r="A20" s="37" t="s">
        <v>13</v>
      </c>
      <c r="B20" s="34">
        <v>49</v>
      </c>
      <c r="C20" s="31">
        <f>IF(B$3=0,0,B20/B$3)</f>
        <v>0.18560606060606061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">
      <c r="A21" s="37" t="s">
        <v>12</v>
      </c>
      <c r="B21" s="34">
        <v>40</v>
      </c>
      <c r="C21" s="31">
        <f>IF(B$19=0,0,B21/B$19)</f>
        <v>0.52631578947368418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">
      <c r="A22" s="37" t="s">
        <v>11</v>
      </c>
      <c r="B22" s="34">
        <v>36</v>
      </c>
      <c r="C22" s="31">
        <f>IF(B$19=0,0,B22/B$19)</f>
        <v>0.47368421052631576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188</v>
      </c>
      <c r="O22" s="99">
        <f>IF(P22=0,0,Q22/P22)</f>
        <v>-26.928571428571427</v>
      </c>
      <c r="P22" s="93">
        <v>7</v>
      </c>
      <c r="Q22" s="81">
        <v>-188.5</v>
      </c>
    </row>
    <row r="23" spans="1:17" x14ac:dyDescent="0.4">
      <c r="A23" s="37" t="s">
        <v>180</v>
      </c>
      <c r="B23" s="34">
        <v>43</v>
      </c>
      <c r="C23" s="31">
        <f>IF(B$19=0,0,B23/B$19)</f>
        <v>0.56578947368421051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195</v>
      </c>
      <c r="O23" s="99">
        <f>IF(P23=0,0,Q23/P23)</f>
        <v>-40.286666666666662</v>
      </c>
      <c r="P23" s="93">
        <v>15</v>
      </c>
      <c r="Q23" s="81">
        <v>-604.29999999999995</v>
      </c>
    </row>
    <row r="24" spans="1:17" x14ac:dyDescent="0.4">
      <c r="A24" s="37" t="s">
        <v>178</v>
      </c>
      <c r="B24" s="34">
        <v>18</v>
      </c>
      <c r="C24" s="31">
        <f>IF(B$19=0,0,B24/B$19)</f>
        <v>0.23684210526315788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">
      <c r="A25" s="37" t="s">
        <v>179</v>
      </c>
      <c r="B25" s="34">
        <v>15</v>
      </c>
      <c r="C25" s="31">
        <f>IF(B$19=0,0,B25/B$19)</f>
        <v>0.19736842105263158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">
      <c r="A26" s="37" t="s">
        <v>5</v>
      </c>
      <c r="B26" s="17">
        <f>IF(B$19=0,0,C26/B$19)</f>
        <v>7605.2631578947367</v>
      </c>
      <c r="C26" s="8">
        <v>578000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">
      <c r="A27" s="38" t="s">
        <v>162</v>
      </c>
      <c r="B27" s="114">
        <f>IF($B$19-B$18=0,0,C27/($B$19-B$18))</f>
        <v>7822.4137931034484</v>
      </c>
      <c r="C27" s="115">
        <v>453700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">
      <c r="A28" s="38" t="s">
        <v>163</v>
      </c>
      <c r="B28" s="114">
        <f>IF(B$18=0,0,C28/B$18)</f>
        <v>6905.5555555555557</v>
      </c>
      <c r="C28" s="115">
        <v>124300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">
      <c r="A29" s="38" t="s">
        <v>161</v>
      </c>
      <c r="B29" s="114">
        <f>IF(B$20=0,0,C29/B$20)</f>
        <v>-8379.5918367346931</v>
      </c>
      <c r="C29" s="115">
        <v>-410600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-209.3</v>
      </c>
    </row>
    <row r="32" spans="1:17" x14ac:dyDescent="0.4">
      <c r="A32" s="64" t="s">
        <v>134</v>
      </c>
      <c r="B32" s="143">
        <v>7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-167.6</v>
      </c>
    </row>
    <row r="33" spans="1:12" x14ac:dyDescent="0.4">
      <c r="A33" s="40" t="s">
        <v>177</v>
      </c>
      <c r="B33" s="141">
        <v>66700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-178.29999999999998</v>
      </c>
    </row>
    <row r="34" spans="1:12" x14ac:dyDescent="0.4">
      <c r="A34" s="39" t="s">
        <v>135</v>
      </c>
      <c r="B34" s="27">
        <v>3</v>
      </c>
      <c r="C34" s="32">
        <f>IF(B$3=0,0,B34/B$3)</f>
        <v>1.1363636363636364E-2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-211.3</v>
      </c>
    </row>
    <row r="35" spans="1:12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-256.89999999999998</v>
      </c>
    </row>
    <row r="36" spans="1:12" x14ac:dyDescent="0.4">
      <c r="A36" s="64" t="s">
        <v>168</v>
      </c>
      <c r="B36" s="125">
        <v>6</v>
      </c>
      <c r="C36" s="119">
        <f>IF(B$19=0,0,B36/B$19)</f>
        <v>7.8947368421052627E-2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12" x14ac:dyDescent="0.4">
      <c r="A37" s="37" t="s">
        <v>164</v>
      </c>
      <c r="B37" s="34">
        <v>20</v>
      </c>
      <c r="C37" s="31">
        <f t="shared" ref="C37:C48" si="2">IF(B$19=0,0,B37/B$19)</f>
        <v>0.26315789473684209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12" x14ac:dyDescent="0.4">
      <c r="A38" s="37" t="s">
        <v>165</v>
      </c>
      <c r="B38" s="128">
        <v>8</v>
      </c>
      <c r="C38" s="31">
        <f>IF(B$19=0,0,B38/B$19)</f>
        <v>0.10526315789473684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12" x14ac:dyDescent="0.4">
      <c r="A39" s="37" t="s">
        <v>166</v>
      </c>
      <c r="B39" s="128">
        <v>11</v>
      </c>
      <c r="C39" s="31">
        <f t="shared" si="2"/>
        <v>0.14473684210526316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12" x14ac:dyDescent="0.4">
      <c r="A40" s="37" t="s">
        <v>167</v>
      </c>
      <c r="B40" s="128">
        <v>14</v>
      </c>
      <c r="C40" s="31">
        <f t="shared" si="2"/>
        <v>0.18421052631578946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12" x14ac:dyDescent="0.4">
      <c r="A41" s="37" t="s">
        <v>169</v>
      </c>
      <c r="B41" s="128">
        <v>8</v>
      </c>
      <c r="C41" s="31">
        <f t="shared" si="2"/>
        <v>0.10526315789473684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12" x14ac:dyDescent="0.4">
      <c r="A42" s="37" t="s">
        <v>170</v>
      </c>
      <c r="B42" s="128">
        <v>4</v>
      </c>
      <c r="C42" s="31">
        <f t="shared" si="2"/>
        <v>5.2631578947368418E-2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12" x14ac:dyDescent="0.4">
      <c r="A43" s="37" t="s">
        <v>171</v>
      </c>
      <c r="B43" s="128">
        <v>1</v>
      </c>
      <c r="C43" s="31">
        <f t="shared" si="2"/>
        <v>1.3157894736842105E-2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12" x14ac:dyDescent="0.4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12" x14ac:dyDescent="0.4">
      <c r="A45" s="37" t="s">
        <v>173</v>
      </c>
      <c r="B45" s="128">
        <v>2</v>
      </c>
      <c r="C45" s="31">
        <f t="shared" si="2"/>
        <v>2.6315789473684209E-2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12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12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12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259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74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1C1B-EBAF-47E6-9BEB-4226B637B4B4}">
  <sheetPr codeName="Sheet7"/>
  <dimension ref="A1:Q461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459</v>
      </c>
      <c r="C2" s="132"/>
      <c r="E2" s="43" t="s">
        <v>66</v>
      </c>
      <c r="F2" s="25" t="s">
        <v>22</v>
      </c>
      <c r="G2" s="13">
        <v>686</v>
      </c>
      <c r="H2" s="106">
        <f>IF(B$51=0,0,G2/B$51)</f>
        <v>0.72978723404255319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-633.1868131868132</v>
      </c>
      <c r="P2" s="92">
        <v>455</v>
      </c>
      <c r="Q2" s="76">
        <v>-288100</v>
      </c>
    </row>
    <row r="3" spans="1:17" x14ac:dyDescent="0.4">
      <c r="A3" s="37" t="s">
        <v>8</v>
      </c>
      <c r="B3" s="133">
        <v>3727</v>
      </c>
      <c r="C3" s="134"/>
      <c r="E3" s="44" t="s">
        <v>64</v>
      </c>
      <c r="F3" s="41" t="s">
        <v>20</v>
      </c>
      <c r="G3" s="34">
        <v>537</v>
      </c>
      <c r="H3" s="107">
        <f>IF(B$51=0,0,G3/B$51)</f>
        <v>0.57127659574468082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-917.52808988764048</v>
      </c>
      <c r="P3" s="93">
        <v>445</v>
      </c>
      <c r="Q3" s="77">
        <v>-408300</v>
      </c>
    </row>
    <row r="4" spans="1:17" x14ac:dyDescent="0.4">
      <c r="A4" s="37" t="s">
        <v>6</v>
      </c>
      <c r="B4" s="135">
        <v>-2120.7999999999997</v>
      </c>
      <c r="C4" s="136"/>
      <c r="E4" s="44" t="s">
        <v>72</v>
      </c>
      <c r="F4" s="41" t="s">
        <v>27</v>
      </c>
      <c r="G4" s="34">
        <v>461</v>
      </c>
      <c r="H4" s="107">
        <f>IF(B$51=0,0,G4/B$51)</f>
        <v>0.49042553191489363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90.543735224586285</v>
      </c>
      <c r="P4" s="93">
        <v>423</v>
      </c>
      <c r="Q4" s="77">
        <v>38300</v>
      </c>
    </row>
    <row r="5" spans="1:17" x14ac:dyDescent="0.4">
      <c r="A5" s="37" t="s">
        <v>7</v>
      </c>
      <c r="B5" s="137">
        <f>IF(B$2=0,0,B$4/B$2)</f>
        <v>-4.6204793028322433</v>
      </c>
      <c r="C5" s="138"/>
      <c r="E5" s="44" t="s">
        <v>68</v>
      </c>
      <c r="F5" s="41" t="s">
        <v>12</v>
      </c>
      <c r="G5" s="34">
        <v>330</v>
      </c>
      <c r="H5" s="107">
        <f>IF(B$51=0,0,G5/B$51)</f>
        <v>0.35106382978723405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-696.12403100775191</v>
      </c>
      <c r="P5" s="93">
        <v>387</v>
      </c>
      <c r="Q5" s="77">
        <v>-269400</v>
      </c>
    </row>
    <row r="6" spans="1:17" x14ac:dyDescent="0.4">
      <c r="A6" s="37" t="s">
        <v>1</v>
      </c>
      <c r="B6" s="145">
        <f>IF(B$2=0,0,(B$7*1+B$8*2+B$9*3)/B$2)</f>
        <v>2.1263616557734206</v>
      </c>
      <c r="C6" s="146"/>
      <c r="E6" s="44" t="s">
        <v>67</v>
      </c>
      <c r="F6" s="41" t="s">
        <v>23</v>
      </c>
      <c r="G6" s="34">
        <v>307</v>
      </c>
      <c r="H6" s="107">
        <f>IF(B$51=0,0,G6/B$51)</f>
        <v>0.32659574468085106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-860.69364161849705</v>
      </c>
      <c r="P6" s="93">
        <v>346</v>
      </c>
      <c r="Q6" s="77">
        <v>-297800</v>
      </c>
    </row>
    <row r="7" spans="1:17" x14ac:dyDescent="0.4">
      <c r="A7" s="37" t="s">
        <v>2</v>
      </c>
      <c r="B7" s="34">
        <v>119</v>
      </c>
      <c r="C7" s="31">
        <f t="shared" ref="C7:C14" si="1">IF(B$2=0,0,B7/B$2)</f>
        <v>0.25925925925925924</v>
      </c>
      <c r="E7" s="44" t="s">
        <v>157</v>
      </c>
      <c r="F7" s="41" t="s">
        <v>158</v>
      </c>
      <c r="G7" s="34">
        <v>302</v>
      </c>
      <c r="H7" s="107">
        <f>IF(B$51=0,0,G7/B$51)</f>
        <v>0.32127659574468087</v>
      </c>
      <c r="I7" s="68">
        <v>8</v>
      </c>
      <c r="K7" s="5">
        <v>5</v>
      </c>
      <c r="L7" s="73">
        <v>14.600000000000001</v>
      </c>
      <c r="N7" s="90" t="s">
        <v>131</v>
      </c>
      <c r="O7" s="97">
        <f t="shared" si="0"/>
        <v>-1187.1186440677966</v>
      </c>
      <c r="P7" s="94">
        <v>295</v>
      </c>
      <c r="Q7" s="78">
        <v>-350200</v>
      </c>
    </row>
    <row r="8" spans="1:17" x14ac:dyDescent="0.4">
      <c r="A8" s="37" t="s">
        <v>3</v>
      </c>
      <c r="B8" s="34">
        <v>163</v>
      </c>
      <c r="C8" s="31">
        <f t="shared" si="1"/>
        <v>0.355119825708061</v>
      </c>
      <c r="E8" s="44" t="s">
        <v>69</v>
      </c>
      <c r="F8" s="41" t="s">
        <v>24</v>
      </c>
      <c r="G8" s="34">
        <v>166</v>
      </c>
      <c r="H8" s="107">
        <f>IF(B$51=0,0,G8/B$51)</f>
        <v>0.17659574468085107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177</v>
      </c>
      <c r="C9" s="7">
        <f t="shared" si="1"/>
        <v>0.38562091503267976</v>
      </c>
      <c r="E9" s="44" t="s">
        <v>89</v>
      </c>
      <c r="F9" s="41" t="s">
        <v>44</v>
      </c>
      <c r="G9" s="34">
        <v>125</v>
      </c>
      <c r="H9" s="107">
        <f>IF(B$51=0,0,G9/B$51)</f>
        <v>0.13297872340425532</v>
      </c>
      <c r="I9" s="68">
        <v>9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36.789915966386552</v>
      </c>
      <c r="C10" s="121">
        <v>4378</v>
      </c>
      <c r="E10" s="44" t="s">
        <v>65</v>
      </c>
      <c r="F10" s="41" t="s">
        <v>21</v>
      </c>
      <c r="G10" s="34">
        <v>122</v>
      </c>
      <c r="H10" s="107">
        <f>IF(B$51=0,0,G10/B$51)</f>
        <v>0.12978723404255318</v>
      </c>
      <c r="I10" s="68">
        <v>5</v>
      </c>
      <c r="K10" s="5">
        <v>8</v>
      </c>
      <c r="L10" s="73">
        <v>60.199999999999996</v>
      </c>
      <c r="N10" s="88" t="s">
        <v>149</v>
      </c>
      <c r="O10" s="98">
        <f>IF(P10=0,0,Q10/P10)</f>
        <v>-8.471978021978023</v>
      </c>
      <c r="P10" s="92">
        <v>182</v>
      </c>
      <c r="Q10" s="80">
        <v>-1541.9000000000003</v>
      </c>
    </row>
    <row r="11" spans="1:17" x14ac:dyDescent="0.4">
      <c r="A11" s="38" t="s">
        <v>204</v>
      </c>
      <c r="B11" s="120">
        <f>IF(B8=0,0,C11/B8)</f>
        <v>-0.90552147239263781</v>
      </c>
      <c r="C11" s="121">
        <v>-147.59999999999997</v>
      </c>
      <c r="E11" s="44" t="s">
        <v>70</v>
      </c>
      <c r="F11" s="41" t="s">
        <v>25</v>
      </c>
      <c r="G11" s="34">
        <v>115</v>
      </c>
      <c r="H11" s="107">
        <f>IF(B$51=0,0,G11/B$51)</f>
        <v>0.12234042553191489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-4.1210884353741504</v>
      </c>
      <c r="P11" s="93">
        <v>147</v>
      </c>
      <c r="Q11" s="81">
        <v>-605.80000000000007</v>
      </c>
    </row>
    <row r="12" spans="1:17" x14ac:dyDescent="0.4">
      <c r="A12" s="38" t="s">
        <v>205</v>
      </c>
      <c r="B12" s="120">
        <f>IF(B9=0,0,C12/B9)</f>
        <v>-35.882485875706209</v>
      </c>
      <c r="C12" s="121">
        <v>-6351.1999999999989</v>
      </c>
      <c r="E12" s="44" t="s">
        <v>86</v>
      </c>
      <c r="F12" s="41" t="s">
        <v>41</v>
      </c>
      <c r="G12" s="34">
        <v>57</v>
      </c>
      <c r="H12" s="107">
        <f>IF(B$51=0,0,G12/B$51)</f>
        <v>6.0638297872340423E-2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-0.17906976744186021</v>
      </c>
      <c r="P12" s="94">
        <v>129</v>
      </c>
      <c r="Q12" s="82">
        <v>-23.099999999999966</v>
      </c>
    </row>
    <row r="13" spans="1:17" x14ac:dyDescent="0.4">
      <c r="A13" s="38" t="s">
        <v>206</v>
      </c>
      <c r="B13" s="137">
        <f>AVERAGE(B10:B12)</f>
        <v>6.3620609590249921E-4</v>
      </c>
      <c r="C13" s="138"/>
      <c r="E13" s="44" t="s">
        <v>83</v>
      </c>
      <c r="F13" s="41" t="s">
        <v>38</v>
      </c>
      <c r="G13" s="34">
        <v>46</v>
      </c>
      <c r="H13" s="107">
        <f>IF(B$51=0,0,G13/B$51)</f>
        <v>4.8936170212765959E-2</v>
      </c>
      <c r="I13" s="68">
        <v>8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64</v>
      </c>
      <c r="C14" s="32">
        <f t="shared" si="1"/>
        <v>0.13943355119825709</v>
      </c>
      <c r="E14" s="44" t="s">
        <v>71</v>
      </c>
      <c r="F14" s="41" t="s">
        <v>26</v>
      </c>
      <c r="G14" s="34">
        <v>39</v>
      </c>
      <c r="H14" s="107">
        <f>IF(B$51=0,0,G14/B$51)</f>
        <v>4.1489361702127657E-2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970</v>
      </c>
      <c r="C15" s="11">
        <f>IF(B$50=0,0,B15/B$50)</f>
        <v>0.27986151182919794</v>
      </c>
      <c r="E15" s="44" t="s">
        <v>81</v>
      </c>
      <c r="F15" s="41" t="s">
        <v>36</v>
      </c>
      <c r="G15" s="34">
        <v>29</v>
      </c>
      <c r="H15" s="107">
        <f>IF(B$51=0,0,G15/B$51)</f>
        <v>3.0851063829787233E-2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">
      <c r="A16" s="37" t="s">
        <v>118</v>
      </c>
      <c r="B16" s="34">
        <v>627</v>
      </c>
      <c r="C16" s="31">
        <f>IF(B$50=0,0,B16/B$50)</f>
        <v>0.1809001731102135</v>
      </c>
      <c r="E16" s="44" t="s">
        <v>78</v>
      </c>
      <c r="F16" s="41" t="s">
        <v>33</v>
      </c>
      <c r="G16" s="34">
        <v>25</v>
      </c>
      <c r="H16" s="107">
        <f>IF(B$51=0,0,G16/B$51)</f>
        <v>2.6595744680851064E-2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">
      <c r="A17" s="19" t="s">
        <v>123</v>
      </c>
      <c r="B17" s="13">
        <v>550</v>
      </c>
      <c r="C17" s="4">
        <f>IF(B$15=0,0,B17/B$15)</f>
        <v>0.5670103092783505</v>
      </c>
      <c r="E17" s="44" t="s">
        <v>91</v>
      </c>
      <c r="F17" s="41" t="s">
        <v>46</v>
      </c>
      <c r="G17" s="34">
        <v>16</v>
      </c>
      <c r="H17" s="107">
        <f>IF(B$51=0,0,G17/B$51)</f>
        <v>1.7021276595744681E-2</v>
      </c>
      <c r="I17" s="68">
        <v>8</v>
      </c>
      <c r="K17" s="5">
        <v>15</v>
      </c>
      <c r="L17" s="73">
        <v>38.5</v>
      </c>
      <c r="N17" s="89" t="s">
        <v>191</v>
      </c>
      <c r="O17" s="99">
        <f>IF(P17=0,0,Q17/P17)</f>
        <v>3.2516666666666678</v>
      </c>
      <c r="P17" s="93">
        <v>120</v>
      </c>
      <c r="Q17" s="81">
        <v>390.20000000000016</v>
      </c>
    </row>
    <row r="18" spans="1:17" x14ac:dyDescent="0.4">
      <c r="A18" s="19" t="s">
        <v>124</v>
      </c>
      <c r="B18" s="13">
        <v>238</v>
      </c>
      <c r="C18" s="4">
        <f>IF(B$16=0,0,B18/B$16)</f>
        <v>0.37958532695374803</v>
      </c>
      <c r="E18" s="44" t="s">
        <v>79</v>
      </c>
      <c r="F18" s="41" t="s">
        <v>34</v>
      </c>
      <c r="G18" s="34">
        <v>14</v>
      </c>
      <c r="H18" s="107">
        <f>IF(B$51=0,0,G18/B$51)</f>
        <v>1.4893617021276596E-2</v>
      </c>
      <c r="I18" s="68">
        <v>11</v>
      </c>
      <c r="K18" s="5">
        <v>16</v>
      </c>
      <c r="L18" s="73">
        <v>14.600000000000001</v>
      </c>
      <c r="N18" s="89" t="s">
        <v>188</v>
      </c>
      <c r="O18" s="99">
        <f>IF(P18=0,0,Q18/P18)</f>
        <v>0.69670329670329767</v>
      </c>
      <c r="P18" s="93">
        <v>91</v>
      </c>
      <c r="Q18" s="81">
        <v>63.400000000000091</v>
      </c>
    </row>
    <row r="19" spans="1:17" x14ac:dyDescent="0.4">
      <c r="A19" s="19" t="s">
        <v>10</v>
      </c>
      <c r="B19" s="13">
        <v>1001</v>
      </c>
      <c r="C19" s="4">
        <f>IF(B$3=0,0,B19/B$3)</f>
        <v>0.26858062785081838</v>
      </c>
      <c r="E19" s="44" t="s">
        <v>153</v>
      </c>
      <c r="F19" s="41" t="s">
        <v>154</v>
      </c>
      <c r="G19" s="34">
        <v>12</v>
      </c>
      <c r="H19" s="107">
        <f>IF(B$51=0,0,G19/B$51)</f>
        <v>1.276595744680851E-2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">
      <c r="A20" s="37" t="s">
        <v>13</v>
      </c>
      <c r="B20" s="34">
        <v>687</v>
      </c>
      <c r="C20" s="31">
        <f>IF(B$3=0,0,B20/B$3)</f>
        <v>0.18433056077273946</v>
      </c>
      <c r="E20" s="44" t="s">
        <v>75</v>
      </c>
      <c r="F20" s="41" t="s">
        <v>30</v>
      </c>
      <c r="G20" s="34">
        <v>8</v>
      </c>
      <c r="H20" s="107">
        <f>IF(B$51=0,0,G20/B$51)</f>
        <v>8.5106382978723406E-3</v>
      </c>
      <c r="I20" s="68">
        <v>3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12</v>
      </c>
      <c r="B21" s="34">
        <v>455</v>
      </c>
      <c r="C21" s="31">
        <f>IF(B$19=0,0,B21/B$19)</f>
        <v>0.45454545454545453</v>
      </c>
      <c r="E21" s="44" t="s">
        <v>92</v>
      </c>
      <c r="F21" s="41" t="s">
        <v>47</v>
      </c>
      <c r="G21" s="34">
        <v>5</v>
      </c>
      <c r="H21" s="107">
        <f>IF(B$51=0,0,G21/B$51)</f>
        <v>5.3191489361702126E-3</v>
      </c>
      <c r="I21" s="68">
        <v>6</v>
      </c>
      <c r="K21" s="5">
        <v>19</v>
      </c>
      <c r="L21" s="73">
        <v>-26.699999999999996</v>
      </c>
      <c r="N21" s="89" t="s">
        <v>187</v>
      </c>
      <c r="O21" s="99">
        <f>IF(P21=0,0,Q21/P21)</f>
        <v>-3.687654320987654</v>
      </c>
      <c r="P21" s="93">
        <v>81</v>
      </c>
      <c r="Q21" s="81">
        <v>-298.7</v>
      </c>
    </row>
    <row r="22" spans="1:17" x14ac:dyDescent="0.4">
      <c r="A22" s="37" t="s">
        <v>11</v>
      </c>
      <c r="B22" s="34">
        <v>546</v>
      </c>
      <c r="C22" s="31">
        <f>IF(B$19=0,0,B22/B$19)</f>
        <v>0.54545454545454541</v>
      </c>
      <c r="E22" s="44" t="s">
        <v>73</v>
      </c>
      <c r="F22" s="41" t="s">
        <v>28</v>
      </c>
      <c r="G22" s="34">
        <v>4</v>
      </c>
      <c r="H22" s="107">
        <f>IF(B$51=0,0,G22/B$51)</f>
        <v>4.2553191489361703E-3</v>
      </c>
      <c r="I22" s="68">
        <v>9</v>
      </c>
      <c r="K22" s="5">
        <v>20</v>
      </c>
      <c r="L22" s="73">
        <v>-57.899999999999991</v>
      </c>
      <c r="N22" s="89" t="s">
        <v>193</v>
      </c>
      <c r="O22" s="99">
        <f>IF(P22=0,0,Q22/P22)</f>
        <v>-8.1392045454545432</v>
      </c>
      <c r="P22" s="93">
        <v>176</v>
      </c>
      <c r="Q22" s="81">
        <v>-1432.4999999999995</v>
      </c>
    </row>
    <row r="23" spans="1:17" x14ac:dyDescent="0.4">
      <c r="A23" s="37" t="s">
        <v>180</v>
      </c>
      <c r="B23" s="34">
        <v>550</v>
      </c>
      <c r="C23" s="31">
        <f>IF(B$19=0,0,B23/B$19)</f>
        <v>0.5494505494505495</v>
      </c>
      <c r="E23" s="44" t="s">
        <v>74</v>
      </c>
      <c r="F23" s="41" t="s">
        <v>29</v>
      </c>
      <c r="G23" s="34">
        <v>3</v>
      </c>
      <c r="H23" s="107">
        <f>IF(B$51=0,0,G23/B$51)</f>
        <v>3.1914893617021275E-3</v>
      </c>
      <c r="I23" s="68">
        <v>7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7" t="s">
        <v>178</v>
      </c>
      <c r="B24" s="34">
        <v>238</v>
      </c>
      <c r="C24" s="31">
        <f>IF(B$19=0,0,B24/B$19)</f>
        <v>0.23776223776223776</v>
      </c>
      <c r="E24" s="44" t="s">
        <v>84</v>
      </c>
      <c r="F24" s="41" t="s">
        <v>39</v>
      </c>
      <c r="G24" s="34">
        <v>3</v>
      </c>
      <c r="H24" s="107">
        <f>IF(B$51=0,0,G24/B$51)</f>
        <v>3.1914893617021275E-3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-15.339209726443768</v>
      </c>
      <c r="P24" s="93">
        <v>329</v>
      </c>
      <c r="Q24" s="81">
        <v>-5046.5999999999995</v>
      </c>
    </row>
    <row r="25" spans="1:17" x14ac:dyDescent="0.4">
      <c r="A25" s="37" t="s">
        <v>179</v>
      </c>
      <c r="B25" s="34">
        <v>213</v>
      </c>
      <c r="C25" s="31">
        <f>IF(B$19=0,0,B25/B$19)</f>
        <v>0.2127872127872128</v>
      </c>
      <c r="E25" s="44" t="s">
        <v>85</v>
      </c>
      <c r="F25" s="41" t="s">
        <v>40</v>
      </c>
      <c r="G25" s="34">
        <v>3</v>
      </c>
      <c r="H25" s="107">
        <f>IF(B$51=0,0,G25/B$51)</f>
        <v>3.1914893617021275E-3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5</v>
      </c>
      <c r="B26" s="17">
        <f>IF(B$19=0,0,C26/B$19)</f>
        <v>9140.3596403596403</v>
      </c>
      <c r="C26" s="8">
        <v>9149500</v>
      </c>
      <c r="E26" s="44" t="s">
        <v>87</v>
      </c>
      <c r="F26" s="41" t="s">
        <v>42</v>
      </c>
      <c r="G26" s="34">
        <v>2</v>
      </c>
      <c r="H26" s="107">
        <f>IF(B$51=0,0,G26/B$51)</f>
        <v>2.1276595744680851E-3</v>
      </c>
      <c r="I26" s="68">
        <v>7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8" t="s">
        <v>162</v>
      </c>
      <c r="B27" s="114">
        <f>IF($B$19-B$18=0,0,C27/($B$19-B$18))</f>
        <v>9652.2935779816507</v>
      </c>
      <c r="C27" s="115">
        <v>7364700</v>
      </c>
      <c r="E27" s="44" t="s">
        <v>88</v>
      </c>
      <c r="F27" s="41" t="s">
        <v>43</v>
      </c>
      <c r="G27" s="34">
        <v>2</v>
      </c>
      <c r="H27" s="107">
        <f>IF(B$51=0,0,G27/B$51)</f>
        <v>2.1276595744680851E-3</v>
      </c>
      <c r="I27" s="68">
        <v>3</v>
      </c>
      <c r="K27" s="5">
        <v>25</v>
      </c>
      <c r="L27" s="73">
        <v>-70.899999999999991</v>
      </c>
    </row>
    <row r="28" spans="1:17" x14ac:dyDescent="0.4">
      <c r="A28" s="38" t="s">
        <v>163</v>
      </c>
      <c r="B28" s="114">
        <f>IF(B$18=0,0,C28/B$18)</f>
        <v>7499.1596638655465</v>
      </c>
      <c r="C28" s="115">
        <v>1784800</v>
      </c>
      <c r="E28" s="44" t="s">
        <v>77</v>
      </c>
      <c r="F28" s="41" t="s">
        <v>32</v>
      </c>
      <c r="G28" s="34">
        <v>1</v>
      </c>
      <c r="H28" s="107">
        <f>IF(B$51=0,0,G28/B$51)</f>
        <v>1.0638297872340426E-3</v>
      </c>
      <c r="I28" s="68">
        <v>10</v>
      </c>
      <c r="K28" s="5">
        <v>26</v>
      </c>
      <c r="L28" s="73">
        <v>-125.89999999999999</v>
      </c>
    </row>
    <row r="29" spans="1:17" x14ac:dyDescent="0.4">
      <c r="A29" s="38" t="s">
        <v>161</v>
      </c>
      <c r="B29" s="114">
        <f>IF(B$20=0,0,C29/B$20)</f>
        <v>-8271.6157205240179</v>
      </c>
      <c r="C29" s="115">
        <v>-5682600</v>
      </c>
      <c r="E29" s="44" t="s">
        <v>80</v>
      </c>
      <c r="F29" s="41" t="s">
        <v>35</v>
      </c>
      <c r="G29" s="34">
        <v>1</v>
      </c>
      <c r="H29" s="107">
        <f>IF(B$51=0,0,G29/B$51)</f>
        <v>1.0638297872340426E-3</v>
      </c>
      <c r="I29" s="68">
        <v>1</v>
      </c>
      <c r="K29" s="5">
        <v>27</v>
      </c>
      <c r="L29" s="73">
        <v>-163.6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1.0638297872340426E-3</v>
      </c>
      <c r="I30" s="68">
        <v>8</v>
      </c>
      <c r="K30" s="5">
        <v>28</v>
      </c>
      <c r="L30" s="73">
        <v>-169.5</v>
      </c>
    </row>
    <row r="31" spans="1:17" x14ac:dyDescent="0.4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1.0638297872340426E-3</v>
      </c>
      <c r="I31" s="68">
        <v>4</v>
      </c>
      <c r="K31" s="5">
        <v>29</v>
      </c>
      <c r="L31" s="73">
        <v>-163.30000000000001</v>
      </c>
    </row>
    <row r="32" spans="1:17" x14ac:dyDescent="0.4">
      <c r="A32" s="64" t="s">
        <v>134</v>
      </c>
      <c r="B32" s="143">
        <v>10</v>
      </c>
      <c r="C32" s="14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">
      <c r="A33" s="40" t="s">
        <v>177</v>
      </c>
      <c r="B33" s="141">
        <v>107600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9" t="s">
        <v>135</v>
      </c>
      <c r="B34" s="27">
        <v>14</v>
      </c>
      <c r="C34" s="32">
        <f>IF(B$3=0,0,B34/B$3)</f>
        <v>3.756372417493963E-3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64" t="s">
        <v>168</v>
      </c>
      <c r="B36" s="125">
        <v>58</v>
      </c>
      <c r="C36" s="119">
        <f>IF(B$19=0,0,B36/B$19)</f>
        <v>5.7942057942057944E-2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164</v>
      </c>
      <c r="B37" s="34">
        <v>127</v>
      </c>
      <c r="C37" s="31">
        <f t="shared" ref="C37:C48" si="2">IF(B$19=0,0,B37/B$19)</f>
        <v>0.12687312687312688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165</v>
      </c>
      <c r="B38" s="128">
        <v>188</v>
      </c>
      <c r="C38" s="31">
        <f>IF(B$19=0,0,B38/B$19)</f>
        <v>0.18781218781218781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166</v>
      </c>
      <c r="B39" s="128">
        <v>167</v>
      </c>
      <c r="C39" s="31">
        <f t="shared" si="2"/>
        <v>0.16683316683316685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167</v>
      </c>
      <c r="B40" s="128">
        <v>151</v>
      </c>
      <c r="C40" s="31">
        <f t="shared" si="2"/>
        <v>0.15084915084915085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169</v>
      </c>
      <c r="B41" s="128">
        <v>109</v>
      </c>
      <c r="C41" s="31">
        <f t="shared" si="2"/>
        <v>0.1088911088911089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170</v>
      </c>
      <c r="B42" s="128">
        <v>67</v>
      </c>
      <c r="C42" s="31">
        <f t="shared" si="2"/>
        <v>6.6933066933066929E-2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">
      <c r="A43" s="37" t="s">
        <v>171</v>
      </c>
      <c r="B43" s="128">
        <v>32</v>
      </c>
      <c r="C43" s="31">
        <f t="shared" si="2"/>
        <v>3.1968031968031968E-2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7" t="s">
        <v>172</v>
      </c>
      <c r="B44" s="128">
        <v>15</v>
      </c>
      <c r="C44" s="31">
        <f t="shared" si="2"/>
        <v>1.4985014985014986E-2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A45" s="37" t="s">
        <v>173</v>
      </c>
      <c r="B45" s="128">
        <v>8</v>
      </c>
      <c r="C45" s="31">
        <f t="shared" si="2"/>
        <v>7.992007992007992E-3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37" t="s">
        <v>174</v>
      </c>
      <c r="B46" s="128">
        <v>3</v>
      </c>
      <c r="C46" s="31">
        <f t="shared" si="2"/>
        <v>2.997002997002997E-3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7" t="s">
        <v>175</v>
      </c>
      <c r="B47" s="128">
        <v>5</v>
      </c>
      <c r="C47" s="31">
        <f t="shared" si="2"/>
        <v>4.995004995004995E-3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A48" s="39" t="s">
        <v>176</v>
      </c>
      <c r="B48" s="124">
        <v>10</v>
      </c>
      <c r="C48" s="32">
        <f t="shared" si="2"/>
        <v>9.99000999000999E-3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">
      <c r="A50" s="64" t="s">
        <v>181</v>
      </c>
      <c r="B50" s="131">
        <v>3466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">
      <c r="A51" s="39" t="s">
        <v>182</v>
      </c>
      <c r="B51" s="139">
        <v>940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">
      <c r="K53" s="5">
        <v>51</v>
      </c>
      <c r="L53" s="73">
        <v>-269.59999999999997</v>
      </c>
    </row>
    <row r="54" spans="1:12" x14ac:dyDescent="0.4">
      <c r="K54" s="5">
        <v>52</v>
      </c>
      <c r="L54" s="73">
        <v>-308.09999999999997</v>
      </c>
    </row>
    <row r="55" spans="1:12" x14ac:dyDescent="0.4">
      <c r="K55" s="5">
        <v>53</v>
      </c>
      <c r="L55" s="73">
        <v>-336.49999999999994</v>
      </c>
    </row>
    <row r="56" spans="1:12" x14ac:dyDescent="0.4">
      <c r="K56" s="5">
        <v>54</v>
      </c>
      <c r="L56" s="73">
        <v>-378.89999999999992</v>
      </c>
    </row>
    <row r="57" spans="1:12" x14ac:dyDescent="0.4">
      <c r="K57" s="5">
        <v>55</v>
      </c>
      <c r="L57" s="73">
        <v>-364.2999999999999</v>
      </c>
    </row>
    <row r="58" spans="1:12" x14ac:dyDescent="0.4">
      <c r="K58" s="5">
        <v>56</v>
      </c>
      <c r="L58" s="73">
        <v>-316.2999999999999</v>
      </c>
    </row>
    <row r="59" spans="1:12" x14ac:dyDescent="0.4">
      <c r="K59" s="5">
        <v>57</v>
      </c>
      <c r="L59" s="73">
        <v>-312.49999999999989</v>
      </c>
    </row>
    <row r="60" spans="1:12" x14ac:dyDescent="0.4">
      <c r="K60" s="5">
        <v>58</v>
      </c>
      <c r="L60" s="73">
        <v>-254.59999999999988</v>
      </c>
    </row>
    <row r="61" spans="1:12" x14ac:dyDescent="0.4">
      <c r="K61" s="5">
        <v>59</v>
      </c>
      <c r="L61" s="73">
        <v>-205.09999999999988</v>
      </c>
    </row>
    <row r="62" spans="1:12" x14ac:dyDescent="0.4">
      <c r="K62" s="5">
        <v>60</v>
      </c>
      <c r="L62" s="73">
        <v>-214.59999999999988</v>
      </c>
    </row>
    <row r="63" spans="1:12" x14ac:dyDescent="0.4">
      <c r="K63" s="5">
        <v>61</v>
      </c>
      <c r="L63" s="73">
        <v>-211.89999999999989</v>
      </c>
    </row>
    <row r="64" spans="1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-1342.2999999999997</v>
      </c>
    </row>
    <row r="343" spans="11:12" x14ac:dyDescent="0.4">
      <c r="K343" s="5">
        <v>341</v>
      </c>
      <c r="L343" s="73">
        <v>-1329.8999999999999</v>
      </c>
    </row>
    <row r="344" spans="11:12" x14ac:dyDescent="0.4">
      <c r="K344" s="5">
        <v>342</v>
      </c>
      <c r="L344" s="73">
        <v>-1338.6999999999998</v>
      </c>
    </row>
    <row r="345" spans="11:12" x14ac:dyDescent="0.4">
      <c r="K345" s="5">
        <v>343</v>
      </c>
      <c r="L345" s="73">
        <v>-1323.1</v>
      </c>
    </row>
    <row r="346" spans="11:12" x14ac:dyDescent="0.4">
      <c r="K346" s="5">
        <v>344</v>
      </c>
      <c r="L346" s="73">
        <v>-1304.6999999999998</v>
      </c>
    </row>
    <row r="347" spans="11:12" x14ac:dyDescent="0.4">
      <c r="K347" s="5">
        <v>345</v>
      </c>
      <c r="L347" s="73">
        <v>-1346.1</v>
      </c>
    </row>
    <row r="348" spans="11:12" x14ac:dyDescent="0.4">
      <c r="K348" s="5">
        <v>346</v>
      </c>
      <c r="L348" s="73">
        <v>-1342.1</v>
      </c>
    </row>
    <row r="349" spans="11:12" x14ac:dyDescent="0.4">
      <c r="K349" s="5">
        <v>347</v>
      </c>
      <c r="L349" s="73">
        <v>-1346.6</v>
      </c>
    </row>
    <row r="350" spans="11:12" x14ac:dyDescent="0.4">
      <c r="K350" s="5">
        <v>348</v>
      </c>
      <c r="L350" s="73">
        <v>-1377.1</v>
      </c>
    </row>
    <row r="351" spans="11:12" x14ac:dyDescent="0.4">
      <c r="K351" s="5">
        <v>349</v>
      </c>
      <c r="L351" s="73">
        <v>-1408.3999999999999</v>
      </c>
    </row>
    <row r="352" spans="11:12" x14ac:dyDescent="0.4">
      <c r="K352" s="5">
        <v>350</v>
      </c>
      <c r="L352" s="73">
        <v>-1430.7999999999997</v>
      </c>
    </row>
    <row r="353" spans="11:12" x14ac:dyDescent="0.4">
      <c r="K353" s="5">
        <v>351</v>
      </c>
      <c r="L353" s="73">
        <v>-1429.4999999999998</v>
      </c>
    </row>
    <row r="354" spans="11:12" x14ac:dyDescent="0.4">
      <c r="K354" s="5">
        <v>352</v>
      </c>
      <c r="L354" s="73">
        <v>-1423.8999999999996</v>
      </c>
    </row>
    <row r="355" spans="11:12" x14ac:dyDescent="0.4">
      <c r="K355" s="5">
        <v>353</v>
      </c>
      <c r="L355" s="73">
        <v>-1435.0999999999997</v>
      </c>
    </row>
    <row r="356" spans="11:12" x14ac:dyDescent="0.4">
      <c r="K356" s="5">
        <v>354</v>
      </c>
      <c r="L356" s="73">
        <v>-1481.7999999999997</v>
      </c>
    </row>
    <row r="357" spans="11:12" x14ac:dyDescent="0.4">
      <c r="K357" s="5">
        <v>355</v>
      </c>
      <c r="L357" s="73">
        <v>-1478.6999999999998</v>
      </c>
    </row>
    <row r="358" spans="11:12" x14ac:dyDescent="0.4">
      <c r="K358" s="5">
        <v>356</v>
      </c>
      <c r="L358" s="73">
        <v>-1492.4999999999998</v>
      </c>
    </row>
    <row r="359" spans="11:12" x14ac:dyDescent="0.4">
      <c r="K359" s="5">
        <v>357</v>
      </c>
      <c r="L359" s="73">
        <v>-1481.5999999999997</v>
      </c>
    </row>
    <row r="360" spans="11:12" x14ac:dyDescent="0.4">
      <c r="K360" s="5">
        <v>358</v>
      </c>
      <c r="L360" s="73">
        <v>-1464.4999999999998</v>
      </c>
    </row>
    <row r="361" spans="11:12" x14ac:dyDescent="0.4">
      <c r="K361" s="5">
        <v>359</v>
      </c>
      <c r="L361" s="73">
        <v>-1518.9999999999998</v>
      </c>
    </row>
    <row r="362" spans="11:12" x14ac:dyDescent="0.4">
      <c r="K362" s="5">
        <v>360</v>
      </c>
      <c r="L362" s="73">
        <v>-1475.7999999999997</v>
      </c>
    </row>
    <row r="363" spans="11:12" x14ac:dyDescent="0.4">
      <c r="K363" s="5">
        <v>361</v>
      </c>
      <c r="L363" s="73">
        <v>-1471.0999999999997</v>
      </c>
    </row>
    <row r="364" spans="11:12" x14ac:dyDescent="0.4">
      <c r="K364" s="5">
        <v>362</v>
      </c>
      <c r="L364" s="73">
        <v>-1454.1999999999998</v>
      </c>
    </row>
    <row r="365" spans="11:12" x14ac:dyDescent="0.4">
      <c r="K365" s="5">
        <v>363</v>
      </c>
      <c r="L365" s="73">
        <v>-1451.1999999999998</v>
      </c>
    </row>
    <row r="366" spans="11:12" x14ac:dyDescent="0.4">
      <c r="K366" s="5">
        <v>364</v>
      </c>
      <c r="L366" s="73">
        <v>-1476.9999999999998</v>
      </c>
    </row>
    <row r="367" spans="11:12" x14ac:dyDescent="0.4">
      <c r="K367" s="5">
        <v>365</v>
      </c>
      <c r="L367" s="73">
        <v>-1526.4999999999998</v>
      </c>
    </row>
    <row r="368" spans="11:12" x14ac:dyDescent="0.4">
      <c r="K368" s="5">
        <v>366</v>
      </c>
      <c r="L368" s="73">
        <v>-1531.2999999999997</v>
      </c>
    </row>
    <row r="369" spans="11:12" x14ac:dyDescent="0.4">
      <c r="K369" s="5">
        <v>367</v>
      </c>
      <c r="L369" s="73">
        <v>-1579.4999999999998</v>
      </c>
    </row>
    <row r="370" spans="11:12" x14ac:dyDescent="0.4">
      <c r="K370" s="5">
        <v>368</v>
      </c>
      <c r="L370" s="73">
        <v>-1534.9999999999998</v>
      </c>
    </row>
    <row r="371" spans="11:12" x14ac:dyDescent="0.4">
      <c r="K371" s="5">
        <v>369</v>
      </c>
      <c r="L371" s="73">
        <v>-1498.7999999999997</v>
      </c>
    </row>
    <row r="372" spans="11:12" x14ac:dyDescent="0.4">
      <c r="K372" s="5">
        <v>370</v>
      </c>
      <c r="L372" s="73">
        <v>-1543.6</v>
      </c>
    </row>
    <row r="373" spans="11:12" x14ac:dyDescent="0.4">
      <c r="K373" s="5">
        <v>371</v>
      </c>
      <c r="L373" s="73">
        <v>-1519.6</v>
      </c>
    </row>
    <row r="374" spans="11:12" x14ac:dyDescent="0.4">
      <c r="K374" s="5">
        <v>372</v>
      </c>
      <c r="L374" s="73">
        <v>-1555.2999999999997</v>
      </c>
    </row>
    <row r="375" spans="11:12" x14ac:dyDescent="0.4">
      <c r="K375" s="5">
        <v>373</v>
      </c>
      <c r="L375" s="73">
        <v>-1554.9999999999998</v>
      </c>
    </row>
    <row r="376" spans="11:12" x14ac:dyDescent="0.4">
      <c r="K376" s="5">
        <v>374</v>
      </c>
      <c r="L376" s="73">
        <v>-1564.6</v>
      </c>
    </row>
    <row r="377" spans="11:12" x14ac:dyDescent="0.4">
      <c r="K377" s="5">
        <v>375</v>
      </c>
      <c r="L377" s="73">
        <v>-1535.6999999999998</v>
      </c>
    </row>
    <row r="378" spans="11:12" x14ac:dyDescent="0.4">
      <c r="K378" s="5">
        <v>376</v>
      </c>
      <c r="L378" s="73">
        <v>-1562.4999999999998</v>
      </c>
    </row>
    <row r="379" spans="11:12" x14ac:dyDescent="0.4">
      <c r="K379" s="5">
        <v>377</v>
      </c>
      <c r="L379" s="73">
        <v>-1584.1</v>
      </c>
    </row>
    <row r="380" spans="11:12" x14ac:dyDescent="0.4">
      <c r="K380" s="5">
        <v>378</v>
      </c>
      <c r="L380" s="73">
        <v>-1582.9999999999998</v>
      </c>
    </row>
    <row r="381" spans="11:12" x14ac:dyDescent="0.4">
      <c r="K381" s="5">
        <v>379</v>
      </c>
      <c r="L381" s="73">
        <v>-1568.1</v>
      </c>
    </row>
    <row r="382" spans="11:12" x14ac:dyDescent="0.4">
      <c r="K382" s="5">
        <v>380</v>
      </c>
      <c r="L382" s="73">
        <v>-1567.4999999999998</v>
      </c>
    </row>
    <row r="383" spans="11:12" x14ac:dyDescent="0.4">
      <c r="K383" s="5">
        <v>381</v>
      </c>
      <c r="L383" s="73">
        <v>-1570.9999999999998</v>
      </c>
    </row>
    <row r="384" spans="11:12" x14ac:dyDescent="0.4">
      <c r="K384" s="5">
        <v>382</v>
      </c>
      <c r="L384" s="73">
        <v>-1551.6</v>
      </c>
    </row>
    <row r="385" spans="11:12" x14ac:dyDescent="0.4">
      <c r="K385" s="5">
        <v>383</v>
      </c>
      <c r="L385" s="73">
        <v>-1536.9999999999998</v>
      </c>
    </row>
    <row r="386" spans="11:12" x14ac:dyDescent="0.4">
      <c r="K386" s="5">
        <v>384</v>
      </c>
      <c r="L386" s="73">
        <v>-1559.2999999999997</v>
      </c>
    </row>
    <row r="387" spans="11:12" x14ac:dyDescent="0.4">
      <c r="K387" s="5">
        <v>385</v>
      </c>
      <c r="L387" s="73">
        <v>-1564.2999999999997</v>
      </c>
    </row>
    <row r="388" spans="11:12" x14ac:dyDescent="0.4">
      <c r="K388" s="5">
        <v>386</v>
      </c>
      <c r="L388" s="73">
        <v>-1581.8999999999999</v>
      </c>
    </row>
    <row r="389" spans="11:12" x14ac:dyDescent="0.4">
      <c r="K389" s="5">
        <v>387</v>
      </c>
      <c r="L389" s="73">
        <v>-1615</v>
      </c>
    </row>
    <row r="390" spans="11:12" x14ac:dyDescent="0.4">
      <c r="K390" s="5">
        <v>388</v>
      </c>
      <c r="L390" s="73">
        <v>-1602.1999999999998</v>
      </c>
    </row>
    <row r="391" spans="11:12" x14ac:dyDescent="0.4">
      <c r="K391" s="5">
        <v>389</v>
      </c>
      <c r="L391" s="73">
        <v>-1602.6999999999998</v>
      </c>
    </row>
    <row r="392" spans="11:12" x14ac:dyDescent="0.4">
      <c r="K392" s="5">
        <v>390</v>
      </c>
      <c r="L392" s="73">
        <v>-1587</v>
      </c>
    </row>
    <row r="393" spans="11:12" x14ac:dyDescent="0.4">
      <c r="K393" s="5">
        <v>391</v>
      </c>
      <c r="L393" s="73">
        <v>-1577.8</v>
      </c>
    </row>
    <row r="394" spans="11:12" x14ac:dyDescent="0.4">
      <c r="K394" s="5">
        <v>392</v>
      </c>
      <c r="L394" s="73">
        <v>-1627.3</v>
      </c>
    </row>
    <row r="395" spans="11:12" x14ac:dyDescent="0.4">
      <c r="K395" s="5">
        <v>393</v>
      </c>
      <c r="L395" s="73">
        <v>-1589.1999999999998</v>
      </c>
    </row>
    <row r="396" spans="11:12" x14ac:dyDescent="0.4">
      <c r="K396" s="5">
        <v>394</v>
      </c>
      <c r="L396" s="73">
        <v>-1593</v>
      </c>
    </row>
    <row r="397" spans="11:12" x14ac:dyDescent="0.4">
      <c r="K397" s="5">
        <v>395</v>
      </c>
      <c r="L397" s="73">
        <v>-1634.7999999999997</v>
      </c>
    </row>
    <row r="398" spans="11:12" x14ac:dyDescent="0.4">
      <c r="K398" s="5">
        <v>396</v>
      </c>
      <c r="L398" s="73">
        <v>-1661.1</v>
      </c>
    </row>
    <row r="399" spans="11:12" x14ac:dyDescent="0.4">
      <c r="K399" s="5">
        <v>397</v>
      </c>
      <c r="L399" s="73">
        <v>-1665.8999999999996</v>
      </c>
    </row>
    <row r="400" spans="11:12" x14ac:dyDescent="0.4">
      <c r="K400" s="5">
        <v>398</v>
      </c>
      <c r="L400" s="73">
        <v>-1705.4999999999998</v>
      </c>
    </row>
    <row r="401" spans="11:12" x14ac:dyDescent="0.4">
      <c r="K401" s="5">
        <v>399</v>
      </c>
      <c r="L401" s="73">
        <v>-1695.9999999999998</v>
      </c>
    </row>
    <row r="402" spans="11:12" x14ac:dyDescent="0.4">
      <c r="K402" s="5">
        <v>400</v>
      </c>
      <c r="L402" s="73">
        <v>-1676.8999999999996</v>
      </c>
    </row>
    <row r="403" spans="11:12" x14ac:dyDescent="0.4">
      <c r="K403" s="5">
        <v>401</v>
      </c>
      <c r="L403" s="73">
        <v>-1708.8999999999996</v>
      </c>
    </row>
    <row r="404" spans="11:12" x14ac:dyDescent="0.4">
      <c r="K404" s="5">
        <v>402</v>
      </c>
      <c r="L404" s="73">
        <v>-1751.1999999999998</v>
      </c>
    </row>
    <row r="405" spans="11:12" x14ac:dyDescent="0.4">
      <c r="K405" s="5">
        <v>403</v>
      </c>
      <c r="L405" s="73">
        <v>-1778.3999999999996</v>
      </c>
    </row>
    <row r="406" spans="11:12" x14ac:dyDescent="0.4">
      <c r="K406" s="5">
        <v>404</v>
      </c>
      <c r="L406" s="73">
        <v>-1785.1</v>
      </c>
    </row>
    <row r="407" spans="11:12" x14ac:dyDescent="0.4">
      <c r="K407" s="5">
        <v>405</v>
      </c>
      <c r="L407" s="73">
        <v>-1830.3999999999996</v>
      </c>
    </row>
    <row r="408" spans="11:12" x14ac:dyDescent="0.4">
      <c r="K408" s="5">
        <v>406</v>
      </c>
      <c r="L408" s="73">
        <v>-1843.6999999999998</v>
      </c>
    </row>
    <row r="409" spans="11:12" x14ac:dyDescent="0.4">
      <c r="K409" s="5">
        <v>407</v>
      </c>
      <c r="L409" s="73">
        <v>-1836.8999999999996</v>
      </c>
    </row>
    <row r="410" spans="11:12" x14ac:dyDescent="0.4">
      <c r="K410" s="5">
        <v>408</v>
      </c>
      <c r="L410" s="73">
        <v>-1818.6</v>
      </c>
    </row>
    <row r="411" spans="11:12" x14ac:dyDescent="0.4">
      <c r="K411" s="5">
        <v>409</v>
      </c>
      <c r="L411" s="73">
        <v>-1839.7999999999997</v>
      </c>
    </row>
    <row r="412" spans="11:12" x14ac:dyDescent="0.4">
      <c r="K412" s="5">
        <v>410</v>
      </c>
      <c r="L412" s="73">
        <v>-1827.1</v>
      </c>
    </row>
    <row r="413" spans="11:12" x14ac:dyDescent="0.4">
      <c r="K413" s="5">
        <v>411</v>
      </c>
      <c r="L413" s="73">
        <v>-1805.1999999999998</v>
      </c>
    </row>
    <row r="414" spans="11:12" x14ac:dyDescent="0.4">
      <c r="K414" s="5">
        <v>412</v>
      </c>
      <c r="L414" s="73">
        <v>-1762.4999999999998</v>
      </c>
    </row>
    <row r="415" spans="11:12" x14ac:dyDescent="0.4">
      <c r="K415" s="5">
        <v>413</v>
      </c>
      <c r="L415" s="73">
        <v>-1737.6999999999998</v>
      </c>
    </row>
    <row r="416" spans="11:12" x14ac:dyDescent="0.4">
      <c r="K416" s="5">
        <v>414</v>
      </c>
      <c r="L416" s="73">
        <v>-1754.1999999999998</v>
      </c>
    </row>
    <row r="417" spans="11:12" x14ac:dyDescent="0.4">
      <c r="K417" s="5">
        <v>415</v>
      </c>
      <c r="L417" s="73">
        <v>-1691.2999999999997</v>
      </c>
    </row>
    <row r="418" spans="11:12" x14ac:dyDescent="0.4">
      <c r="K418" s="5">
        <v>416</v>
      </c>
      <c r="L418" s="73">
        <v>-1716.8999999999999</v>
      </c>
    </row>
    <row r="419" spans="11:12" x14ac:dyDescent="0.4">
      <c r="K419" s="5">
        <v>417</v>
      </c>
      <c r="L419" s="73">
        <v>-1748.1999999999998</v>
      </c>
    </row>
    <row r="420" spans="11:12" x14ac:dyDescent="0.4">
      <c r="K420" s="5">
        <v>418</v>
      </c>
      <c r="L420" s="73">
        <v>-1778.1999999999998</v>
      </c>
    </row>
    <row r="421" spans="11:12" x14ac:dyDescent="0.4">
      <c r="K421" s="5">
        <v>419</v>
      </c>
      <c r="L421" s="73">
        <v>-1787.1999999999998</v>
      </c>
    </row>
    <row r="422" spans="11:12" x14ac:dyDescent="0.4">
      <c r="K422" s="5">
        <v>420</v>
      </c>
      <c r="L422" s="73">
        <v>-1835.6999999999998</v>
      </c>
    </row>
    <row r="423" spans="11:12" x14ac:dyDescent="0.4">
      <c r="K423" s="5">
        <v>421</v>
      </c>
      <c r="L423" s="73">
        <v>-1787.4999999999998</v>
      </c>
    </row>
    <row r="424" spans="11:12" x14ac:dyDescent="0.4">
      <c r="K424" s="5">
        <v>422</v>
      </c>
      <c r="L424" s="73">
        <v>-1789.9999999999998</v>
      </c>
    </row>
    <row r="425" spans="11:12" x14ac:dyDescent="0.4">
      <c r="K425" s="5">
        <v>423</v>
      </c>
      <c r="L425" s="73">
        <v>-1778.4999999999998</v>
      </c>
    </row>
    <row r="426" spans="11:12" x14ac:dyDescent="0.4">
      <c r="K426" s="5">
        <v>424</v>
      </c>
      <c r="L426" s="73">
        <v>-1780.4999999999998</v>
      </c>
    </row>
    <row r="427" spans="11:12" x14ac:dyDescent="0.4">
      <c r="K427" s="5">
        <v>425</v>
      </c>
      <c r="L427" s="73">
        <v>-1813.4999999999998</v>
      </c>
    </row>
    <row r="428" spans="11:12" x14ac:dyDescent="0.4">
      <c r="K428" s="5">
        <v>426</v>
      </c>
      <c r="L428" s="73">
        <v>-1844.6</v>
      </c>
    </row>
    <row r="429" spans="11:12" x14ac:dyDescent="0.4">
      <c r="K429" s="5">
        <v>427</v>
      </c>
      <c r="L429" s="73">
        <v>-1900.1</v>
      </c>
    </row>
    <row r="430" spans="11:12" x14ac:dyDescent="0.4">
      <c r="K430" s="5">
        <v>428</v>
      </c>
      <c r="L430" s="73">
        <v>-1951.1</v>
      </c>
    </row>
    <row r="431" spans="11:12" x14ac:dyDescent="0.4">
      <c r="K431" s="5">
        <v>429</v>
      </c>
      <c r="L431" s="73">
        <v>-1952.6</v>
      </c>
    </row>
    <row r="432" spans="11:12" x14ac:dyDescent="0.4">
      <c r="K432" s="5">
        <v>430</v>
      </c>
      <c r="L432" s="73">
        <v>-1960.1</v>
      </c>
    </row>
    <row r="433" spans="11:12" x14ac:dyDescent="0.4">
      <c r="K433" s="5">
        <v>431</v>
      </c>
      <c r="L433" s="73">
        <v>-1960.6</v>
      </c>
    </row>
    <row r="434" spans="11:12" x14ac:dyDescent="0.4">
      <c r="K434" s="5">
        <v>432</v>
      </c>
      <c r="L434" s="73">
        <v>-1990.6</v>
      </c>
    </row>
    <row r="435" spans="11:12" x14ac:dyDescent="0.4">
      <c r="K435" s="5">
        <v>433</v>
      </c>
      <c r="L435" s="73">
        <v>-2013.1</v>
      </c>
    </row>
    <row r="436" spans="11:12" x14ac:dyDescent="0.4">
      <c r="K436" s="5">
        <v>434</v>
      </c>
      <c r="L436" s="73">
        <v>-2001.8</v>
      </c>
    </row>
    <row r="437" spans="11:12" x14ac:dyDescent="0.4">
      <c r="K437" s="5">
        <v>435</v>
      </c>
      <c r="L437" s="73">
        <v>-2017</v>
      </c>
    </row>
    <row r="438" spans="11:12" x14ac:dyDescent="0.4">
      <c r="K438" s="5">
        <v>436</v>
      </c>
      <c r="L438" s="73">
        <v>-2062.1999999999998</v>
      </c>
    </row>
    <row r="439" spans="11:12" x14ac:dyDescent="0.4">
      <c r="K439" s="5">
        <v>437</v>
      </c>
      <c r="L439" s="73">
        <v>-2109.5</v>
      </c>
    </row>
    <row r="440" spans="11:12" x14ac:dyDescent="0.4">
      <c r="K440" s="5">
        <v>438</v>
      </c>
      <c r="L440" s="73">
        <v>-2105.1999999999998</v>
      </c>
    </row>
    <row r="441" spans="11:12" x14ac:dyDescent="0.4">
      <c r="K441" s="5">
        <v>439</v>
      </c>
      <c r="L441" s="73">
        <v>-2125.1999999999998</v>
      </c>
    </row>
    <row r="442" spans="11:12" x14ac:dyDescent="0.4">
      <c r="K442" s="5">
        <v>440</v>
      </c>
      <c r="L442" s="73">
        <v>-2175.2999999999997</v>
      </c>
    </row>
    <row r="443" spans="11:12" x14ac:dyDescent="0.4">
      <c r="K443" s="5">
        <v>441</v>
      </c>
      <c r="L443" s="73">
        <v>-2128.6999999999998</v>
      </c>
    </row>
    <row r="444" spans="11:12" x14ac:dyDescent="0.4">
      <c r="K444" s="5">
        <v>442</v>
      </c>
      <c r="L444" s="73">
        <v>-2079.1999999999998</v>
      </c>
    </row>
    <row r="445" spans="11:12" x14ac:dyDescent="0.4">
      <c r="K445" s="5">
        <v>443</v>
      </c>
      <c r="L445" s="73">
        <v>-2077.7999999999997</v>
      </c>
    </row>
    <row r="446" spans="11:12" x14ac:dyDescent="0.4">
      <c r="K446" s="5">
        <v>444</v>
      </c>
      <c r="L446" s="73">
        <v>-1998.6999999999998</v>
      </c>
    </row>
    <row r="447" spans="11:12" x14ac:dyDescent="0.4">
      <c r="K447" s="5">
        <v>445</v>
      </c>
      <c r="L447" s="73">
        <v>-2011.8999999999999</v>
      </c>
    </row>
    <row r="448" spans="11:12" x14ac:dyDescent="0.4">
      <c r="K448" s="5">
        <v>446</v>
      </c>
      <c r="L448" s="73">
        <v>-2047.1999999999998</v>
      </c>
    </row>
    <row r="449" spans="11:12" x14ac:dyDescent="0.4">
      <c r="K449" s="5">
        <v>447</v>
      </c>
      <c r="L449" s="73">
        <v>-2069.6999999999998</v>
      </c>
    </row>
    <row r="450" spans="11:12" x14ac:dyDescent="0.4">
      <c r="K450" s="5">
        <v>448</v>
      </c>
      <c r="L450" s="73">
        <v>-2134.8999999999996</v>
      </c>
    </row>
    <row r="451" spans="11:12" x14ac:dyDescent="0.4">
      <c r="K451" s="5">
        <v>449</v>
      </c>
      <c r="L451" s="73">
        <v>-2077</v>
      </c>
    </row>
    <row r="452" spans="11:12" x14ac:dyDescent="0.4">
      <c r="K452" s="5">
        <v>450</v>
      </c>
      <c r="L452" s="73">
        <v>-2051.6999999999998</v>
      </c>
    </row>
    <row r="453" spans="11:12" x14ac:dyDescent="0.4">
      <c r="K453" s="5">
        <v>451</v>
      </c>
      <c r="L453" s="73">
        <v>-2071.8999999999996</v>
      </c>
    </row>
    <row r="454" spans="11:12" x14ac:dyDescent="0.4">
      <c r="K454" s="5">
        <v>452</v>
      </c>
      <c r="L454" s="73">
        <v>-2104.8999999999996</v>
      </c>
    </row>
    <row r="455" spans="11:12" x14ac:dyDescent="0.4">
      <c r="K455" s="5">
        <v>453</v>
      </c>
      <c r="L455" s="73">
        <v>-2070.3999999999996</v>
      </c>
    </row>
    <row r="456" spans="11:12" x14ac:dyDescent="0.4">
      <c r="K456" s="5">
        <v>454</v>
      </c>
      <c r="L456" s="73">
        <v>-2067</v>
      </c>
    </row>
    <row r="457" spans="11:12" x14ac:dyDescent="0.4">
      <c r="K457" s="5">
        <v>455</v>
      </c>
      <c r="L457" s="73">
        <v>-2087.6999999999998</v>
      </c>
    </row>
    <row r="458" spans="11:12" x14ac:dyDescent="0.4">
      <c r="K458" s="5">
        <v>456</v>
      </c>
      <c r="L458" s="73">
        <v>-2114.7999999999997</v>
      </c>
    </row>
    <row r="459" spans="11:12" x14ac:dyDescent="0.4">
      <c r="K459" s="5">
        <v>457</v>
      </c>
      <c r="L459" s="73">
        <v>-2130.5</v>
      </c>
    </row>
    <row r="460" spans="11:12" x14ac:dyDescent="0.4">
      <c r="K460" s="5">
        <v>458</v>
      </c>
      <c r="L460" s="73">
        <v>-2122.1</v>
      </c>
    </row>
    <row r="461" spans="11:12" x14ac:dyDescent="0.4">
      <c r="K461" s="5">
        <v>459</v>
      </c>
      <c r="L461" s="73">
        <v>-2120.7999999999997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C97D-77EE-4C6B-AE13-C09F299A9964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33">
        <v>670</v>
      </c>
      <c r="C3" s="13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35">
        <v>-3.4999999999999893</v>
      </c>
      <c r="C4" s="13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16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45">
        <f>IF(B$2=0,0,(B$7*1+B$8*2+B$9*3)/B$2)</f>
        <v>1.9890109890109891</v>
      </c>
      <c r="C6" s="14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6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6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164.79999999999998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">
      <c r="A33" s="40" t="s">
        <v>177</v>
      </c>
      <c r="B33" s="141">
        <v>118000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">
      <c r="A36" s="64" t="s">
        <v>168</v>
      </c>
      <c r="B36" s="125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165</v>
      </c>
      <c r="B38" s="128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166</v>
      </c>
      <c r="B39" s="128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167</v>
      </c>
      <c r="B40" s="128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169</v>
      </c>
      <c r="B41" s="128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">
      <c r="A42" s="37" t="s">
        <v>170</v>
      </c>
      <c r="B42" s="128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171</v>
      </c>
      <c r="B43" s="128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7" t="s">
        <v>172</v>
      </c>
      <c r="B44" s="128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">
      <c r="A45" s="37" t="s">
        <v>173</v>
      </c>
      <c r="B45" s="128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A48" s="39" t="s">
        <v>176</v>
      </c>
      <c r="B48" s="124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">
      <c r="A51" s="39" t="s">
        <v>182</v>
      </c>
      <c r="B51" s="139">
        <v>133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">
      <c r="K53" s="5">
        <v>51</v>
      </c>
      <c r="L53" s="73">
        <v>292.60000000000002</v>
      </c>
    </row>
    <row r="54" spans="1:12" x14ac:dyDescent="0.4">
      <c r="K54" s="5">
        <v>52</v>
      </c>
      <c r="L54" s="73">
        <v>319.10000000000002</v>
      </c>
    </row>
    <row r="55" spans="1:12" x14ac:dyDescent="0.4">
      <c r="K55" s="5">
        <v>53</v>
      </c>
      <c r="L55" s="73">
        <v>268.60000000000002</v>
      </c>
    </row>
    <row r="56" spans="1:12" x14ac:dyDescent="0.4">
      <c r="K56" s="5">
        <v>54</v>
      </c>
      <c r="L56" s="73">
        <v>253.50000000000003</v>
      </c>
    </row>
    <row r="57" spans="1:12" x14ac:dyDescent="0.4">
      <c r="K57" s="5">
        <v>55</v>
      </c>
      <c r="L57" s="73">
        <v>269.40000000000003</v>
      </c>
    </row>
    <row r="58" spans="1:12" x14ac:dyDescent="0.4">
      <c r="K58" s="5">
        <v>56</v>
      </c>
      <c r="L58" s="73">
        <v>273.8</v>
      </c>
    </row>
    <row r="59" spans="1:12" x14ac:dyDescent="0.4">
      <c r="K59" s="5">
        <v>57</v>
      </c>
      <c r="L59" s="73">
        <v>260.3</v>
      </c>
    </row>
    <row r="60" spans="1:12" x14ac:dyDescent="0.4">
      <c r="K60" s="5">
        <v>58</v>
      </c>
      <c r="L60" s="73">
        <v>293.3</v>
      </c>
    </row>
    <row r="61" spans="1:12" x14ac:dyDescent="0.4">
      <c r="K61" s="5">
        <v>59</v>
      </c>
      <c r="L61" s="73">
        <v>283.3</v>
      </c>
    </row>
    <row r="62" spans="1:12" x14ac:dyDescent="0.4">
      <c r="K62" s="5">
        <v>60</v>
      </c>
      <c r="L62" s="73">
        <v>272.60000000000002</v>
      </c>
    </row>
    <row r="63" spans="1:12" x14ac:dyDescent="0.4">
      <c r="K63" s="5">
        <v>61</v>
      </c>
      <c r="L63" s="73">
        <v>259.20000000000005</v>
      </c>
    </row>
    <row r="64" spans="1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F16A4-817B-4078-9BE7-6EA0D6BCD391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33">
        <v>37</v>
      </c>
      <c r="C3" s="13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35">
        <v>-86.4</v>
      </c>
      <c r="C4" s="13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6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45">
        <f>IF(B$2=0,0,(B$7*1+B$8*2+B$9*3)/B$2)</f>
        <v>2.2000000000000002</v>
      </c>
      <c r="C6" s="14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16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3">
        <v>3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41">
        <v>57800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8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39">
        <v>9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85A1E-45E3-488B-A13C-DBE915725EF1}">
  <sheetPr codeName="Sheet10"/>
  <dimension ref="A1:Q32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318</v>
      </c>
      <c r="C2" s="132"/>
      <c r="E2" s="43" t="s">
        <v>66</v>
      </c>
      <c r="F2" s="25" t="s">
        <v>22</v>
      </c>
      <c r="G2" s="13">
        <v>491</v>
      </c>
      <c r="H2" s="106">
        <f>IF(B$51=0,0,G2/B$51)</f>
        <v>0.66261808367071529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100.31446540880503</v>
      </c>
      <c r="P2" s="92">
        <v>318</v>
      </c>
      <c r="Q2" s="76">
        <v>31900</v>
      </c>
    </row>
    <row r="3" spans="1:17" x14ac:dyDescent="0.4">
      <c r="A3" s="37" t="s">
        <v>8</v>
      </c>
      <c r="B3" s="133">
        <v>2649</v>
      </c>
      <c r="C3" s="134"/>
      <c r="E3" s="44" t="s">
        <v>72</v>
      </c>
      <c r="F3" s="41" t="s">
        <v>27</v>
      </c>
      <c r="G3" s="34">
        <v>428</v>
      </c>
      <c r="H3" s="107">
        <f>IF(B$51=0,0,G3/B$51)</f>
        <v>0.5775978407557355</v>
      </c>
      <c r="I3" s="68">
        <v>5</v>
      </c>
      <c r="K3" s="5">
        <v>1</v>
      </c>
      <c r="L3" s="73">
        <v>68.2</v>
      </c>
      <c r="N3" s="89" t="s">
        <v>127</v>
      </c>
      <c r="O3" s="96">
        <f t="shared" si="0"/>
        <v>-1690.9677419354839</v>
      </c>
      <c r="P3" s="93">
        <v>310</v>
      </c>
      <c r="Q3" s="77">
        <v>-524200</v>
      </c>
    </row>
    <row r="4" spans="1:17" x14ac:dyDescent="0.4">
      <c r="A4" s="37" t="s">
        <v>6</v>
      </c>
      <c r="B4" s="135">
        <v>-1421.0000000000002</v>
      </c>
      <c r="C4" s="136"/>
      <c r="E4" s="44" t="s">
        <v>64</v>
      </c>
      <c r="F4" s="41" t="s">
        <v>20</v>
      </c>
      <c r="G4" s="34">
        <v>253</v>
      </c>
      <c r="H4" s="107">
        <f>IF(B$51=0,0,G4/B$51)</f>
        <v>0.34143049932523617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-1209.4076655052265</v>
      </c>
      <c r="P4" s="93">
        <v>287</v>
      </c>
      <c r="Q4" s="77">
        <v>-347100</v>
      </c>
    </row>
    <row r="5" spans="1:17" x14ac:dyDescent="0.4">
      <c r="A5" s="37" t="s">
        <v>7</v>
      </c>
      <c r="B5" s="137">
        <f>IF(B$2=0,0,B$4/B$2)</f>
        <v>-4.468553459119498</v>
      </c>
      <c r="C5" s="138"/>
      <c r="E5" s="44" t="s">
        <v>157</v>
      </c>
      <c r="F5" s="41" t="s">
        <v>158</v>
      </c>
      <c r="G5" s="34">
        <v>235</v>
      </c>
      <c r="H5" s="107">
        <f>IF(B$51=0,0,G5/B$51)</f>
        <v>0.31713900134952766</v>
      </c>
      <c r="I5" s="68">
        <v>10</v>
      </c>
      <c r="K5" s="5">
        <v>3</v>
      </c>
      <c r="L5" s="73">
        <v>82.1</v>
      </c>
      <c r="N5" s="89" t="s">
        <v>129</v>
      </c>
      <c r="O5" s="96">
        <f t="shared" si="0"/>
        <v>-158.88888888888889</v>
      </c>
      <c r="P5" s="93">
        <v>270</v>
      </c>
      <c r="Q5" s="77">
        <v>-42900</v>
      </c>
    </row>
    <row r="6" spans="1:17" x14ac:dyDescent="0.4">
      <c r="A6" s="37" t="s">
        <v>1</v>
      </c>
      <c r="B6" s="145">
        <f>IF(B$2=0,0,(B$7*1+B$8*2+B$9*3)/B$2)</f>
        <v>2.1226415094339623</v>
      </c>
      <c r="C6" s="146"/>
      <c r="E6" s="44" t="s">
        <v>68</v>
      </c>
      <c r="F6" s="41" t="s">
        <v>12</v>
      </c>
      <c r="G6" s="34">
        <v>199</v>
      </c>
      <c r="H6" s="107">
        <f>IF(B$51=0,0,G6/B$51)</f>
        <v>0.26855600539811064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-529.26829268292681</v>
      </c>
      <c r="P6" s="93">
        <v>246</v>
      </c>
      <c r="Q6" s="77">
        <v>-130200</v>
      </c>
    </row>
    <row r="7" spans="1:17" x14ac:dyDescent="0.4">
      <c r="A7" s="37" t="s">
        <v>2</v>
      </c>
      <c r="B7" s="34">
        <v>81</v>
      </c>
      <c r="C7" s="31">
        <f t="shared" ref="C7:C14" si="1">IF(B$2=0,0,B7/B$2)</f>
        <v>0.25471698113207547</v>
      </c>
      <c r="E7" s="44" t="s">
        <v>67</v>
      </c>
      <c r="F7" s="41" t="s">
        <v>23</v>
      </c>
      <c r="G7" s="34">
        <v>132</v>
      </c>
      <c r="H7" s="107">
        <f>IF(B$51=0,0,G7/B$51)</f>
        <v>0.17813765182186234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-1029.2682926829268</v>
      </c>
      <c r="P7" s="94">
        <v>205</v>
      </c>
      <c r="Q7" s="78">
        <v>-211000</v>
      </c>
    </row>
    <row r="8" spans="1:17" x14ac:dyDescent="0.4">
      <c r="A8" s="37" t="s">
        <v>3</v>
      </c>
      <c r="B8" s="34">
        <v>117</v>
      </c>
      <c r="C8" s="31">
        <f t="shared" si="1"/>
        <v>0.36792452830188677</v>
      </c>
      <c r="E8" s="44" t="s">
        <v>69</v>
      </c>
      <c r="F8" s="41" t="s">
        <v>24</v>
      </c>
      <c r="G8" s="34">
        <v>113</v>
      </c>
      <c r="H8" s="107">
        <f>IF(B$51=0,0,G8/B$51)</f>
        <v>0.1524966261808367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120</v>
      </c>
      <c r="C9" s="7">
        <f t="shared" si="1"/>
        <v>0.37735849056603776</v>
      </c>
      <c r="E9" s="44" t="s">
        <v>65</v>
      </c>
      <c r="F9" s="41" t="s">
        <v>21</v>
      </c>
      <c r="G9" s="34">
        <v>70</v>
      </c>
      <c r="H9" s="107">
        <f>IF(B$51=0,0,G9/B$51)</f>
        <v>9.4466936572199733E-2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36.499999999999993</v>
      </c>
      <c r="C10" s="121">
        <v>2956.4999999999995</v>
      </c>
      <c r="E10" s="44" t="s">
        <v>71</v>
      </c>
      <c r="F10" s="41" t="s">
        <v>26</v>
      </c>
      <c r="G10" s="34">
        <v>64</v>
      </c>
      <c r="H10" s="107">
        <f>IF(B$51=0,0,G10/B$51)</f>
        <v>8.6369770580296892E-2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-8.4186440677966115</v>
      </c>
      <c r="P10" s="92">
        <v>118</v>
      </c>
      <c r="Q10" s="80">
        <v>-993.4000000000002</v>
      </c>
    </row>
    <row r="11" spans="1:17" x14ac:dyDescent="0.4">
      <c r="A11" s="38" t="s">
        <v>204</v>
      </c>
      <c r="B11" s="120">
        <f>IF(B8=0,0,C11/B8)</f>
        <v>-1.390598290598291</v>
      </c>
      <c r="C11" s="121">
        <v>-162.70000000000005</v>
      </c>
      <c r="E11" s="44" t="s">
        <v>70</v>
      </c>
      <c r="F11" s="41" t="s">
        <v>25</v>
      </c>
      <c r="G11" s="34">
        <v>62</v>
      </c>
      <c r="H11" s="107">
        <f>IF(B$51=0,0,G11/B$51)</f>
        <v>8.3670715249662617E-2</v>
      </c>
      <c r="I11" s="68">
        <v>9</v>
      </c>
      <c r="K11" s="5">
        <v>9</v>
      </c>
      <c r="L11" s="73">
        <v>82.8</v>
      </c>
      <c r="N11" s="89" t="s">
        <v>150</v>
      </c>
      <c r="O11" s="99">
        <f>IF(P11=0,0,Q11/P11)</f>
        <v>-2.5195652173913041</v>
      </c>
      <c r="P11" s="93">
        <v>92</v>
      </c>
      <c r="Q11" s="81">
        <v>-231.79999999999998</v>
      </c>
    </row>
    <row r="12" spans="1:17" x14ac:dyDescent="0.4">
      <c r="A12" s="38" t="s">
        <v>205</v>
      </c>
      <c r="B12" s="120">
        <f>IF(B9=0,0,C12/B9)</f>
        <v>-35.123333333333328</v>
      </c>
      <c r="C12" s="121">
        <v>-4214.7999999999993</v>
      </c>
      <c r="E12" s="44" t="s">
        <v>89</v>
      </c>
      <c r="F12" s="41" t="s">
        <v>44</v>
      </c>
      <c r="G12" s="34">
        <v>60</v>
      </c>
      <c r="H12" s="107">
        <f>IF(B$51=0,0,G12/B$51)</f>
        <v>8.0971659919028341E-2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-1.8129629629629631</v>
      </c>
      <c r="P12" s="94">
        <v>108</v>
      </c>
      <c r="Q12" s="82">
        <v>-195.8</v>
      </c>
    </row>
    <row r="13" spans="1:17" x14ac:dyDescent="0.4">
      <c r="A13" s="38" t="s">
        <v>206</v>
      </c>
      <c r="B13" s="137">
        <f>AVERAGE(B10:B12)</f>
        <v>-4.6438746438752787E-3</v>
      </c>
      <c r="C13" s="138"/>
      <c r="E13" s="44" t="s">
        <v>83</v>
      </c>
      <c r="F13" s="41" t="s">
        <v>38</v>
      </c>
      <c r="G13" s="34">
        <v>54</v>
      </c>
      <c r="H13" s="107">
        <f>IF(B$51=0,0,G13/B$51)</f>
        <v>7.28744939271255E-2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37</v>
      </c>
      <c r="C14" s="32">
        <f t="shared" si="1"/>
        <v>0.11635220125786164</v>
      </c>
      <c r="E14" s="44" t="s">
        <v>81</v>
      </c>
      <c r="F14" s="41" t="s">
        <v>36</v>
      </c>
      <c r="G14" s="34">
        <v>28</v>
      </c>
      <c r="H14" s="107">
        <f>IF(B$51=0,0,G14/B$51)</f>
        <v>3.7786774628879895E-2</v>
      </c>
      <c r="I14" s="68">
        <v>5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479</v>
      </c>
      <c r="C15" s="11">
        <f>IF(B$50=0,0,B15/B$50)</f>
        <v>0.19400567031186716</v>
      </c>
      <c r="E15" s="44" t="s">
        <v>86</v>
      </c>
      <c r="F15" s="41" t="s">
        <v>41</v>
      </c>
      <c r="G15" s="34">
        <v>26</v>
      </c>
      <c r="H15" s="107">
        <f>IF(B$51=0,0,G15/B$51)</f>
        <v>3.5087719298245612E-2</v>
      </c>
      <c r="I15" s="68">
        <v>13</v>
      </c>
      <c r="K15" s="5">
        <v>13</v>
      </c>
      <c r="L15" s="73">
        <v>13.299999999999994</v>
      </c>
      <c r="N15" s="88" t="s">
        <v>189</v>
      </c>
      <c r="O15" s="98">
        <f>IF(P15=0,0,Q15/P15)</f>
        <v>26.928571428571434</v>
      </c>
      <c r="P15" s="92">
        <v>7</v>
      </c>
      <c r="Q15" s="80">
        <v>188.50000000000003</v>
      </c>
    </row>
    <row r="16" spans="1:17" x14ac:dyDescent="0.4">
      <c r="A16" s="37" t="s">
        <v>118</v>
      </c>
      <c r="B16" s="34">
        <v>703</v>
      </c>
      <c r="C16" s="31">
        <f>IF(B$50=0,0,B16/B$50)</f>
        <v>0.28473066018631027</v>
      </c>
      <c r="E16" s="44" t="s">
        <v>78</v>
      </c>
      <c r="F16" s="41" t="s">
        <v>33</v>
      </c>
      <c r="G16" s="34">
        <v>14</v>
      </c>
      <c r="H16" s="107">
        <f>IF(B$51=0,0,G16/B$51)</f>
        <v>1.8893387314439947E-2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">
      <c r="A17" s="19" t="s">
        <v>123</v>
      </c>
      <c r="B17" s="13">
        <v>254</v>
      </c>
      <c r="C17" s="4">
        <f>IF(B$15=0,0,B17/B$15)</f>
        <v>0.53027139874739038</v>
      </c>
      <c r="E17" s="44" t="s">
        <v>79</v>
      </c>
      <c r="F17" s="41" t="s">
        <v>34</v>
      </c>
      <c r="G17" s="34">
        <v>13</v>
      </c>
      <c r="H17" s="107">
        <f>IF(B$51=0,0,G17/B$51)</f>
        <v>1.7543859649122806E-2</v>
      </c>
      <c r="I17" s="68">
        <v>8</v>
      </c>
      <c r="K17" s="5">
        <v>15</v>
      </c>
      <c r="L17" s="73">
        <v>-33.700000000000003</v>
      </c>
      <c r="N17" s="89" t="s">
        <v>193</v>
      </c>
      <c r="O17" s="99">
        <f>IF(P17=0,0,Q17/P17)</f>
        <v>5.7897435897435878</v>
      </c>
      <c r="P17" s="93">
        <v>117</v>
      </c>
      <c r="Q17" s="81">
        <v>677.39999999999975</v>
      </c>
    </row>
    <row r="18" spans="1:17" x14ac:dyDescent="0.4">
      <c r="A18" s="19" t="s">
        <v>124</v>
      </c>
      <c r="B18" s="13">
        <v>283</v>
      </c>
      <c r="C18" s="4">
        <f>IF(B$16=0,0,B18/B$16)</f>
        <v>0.40256045519203415</v>
      </c>
      <c r="E18" s="44" t="s">
        <v>91</v>
      </c>
      <c r="F18" s="41" t="s">
        <v>46</v>
      </c>
      <c r="G18" s="34">
        <v>8</v>
      </c>
      <c r="H18" s="107">
        <f>IF(B$51=0,0,G18/B$51)</f>
        <v>1.0796221322537112E-2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">
      <c r="A19" s="19" t="s">
        <v>10</v>
      </c>
      <c r="B19" s="13">
        <v>792</v>
      </c>
      <c r="C19" s="4">
        <f>IF(B$3=0,0,B19/B$3)</f>
        <v>0.29898074745186864</v>
      </c>
      <c r="E19" s="44" t="s">
        <v>74</v>
      </c>
      <c r="F19" s="41" t="s">
        <v>29</v>
      </c>
      <c r="G19" s="34">
        <v>5</v>
      </c>
      <c r="H19" s="107">
        <f>IF(B$51=0,0,G19/B$51)</f>
        <v>6.7476383265856954E-3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-0.64835164835164993</v>
      </c>
      <c r="P19" s="93">
        <v>91</v>
      </c>
      <c r="Q19" s="81">
        <v>-59.000000000000142</v>
      </c>
    </row>
    <row r="20" spans="1:17" x14ac:dyDescent="0.4">
      <c r="A20" s="37" t="s">
        <v>13</v>
      </c>
      <c r="B20" s="34">
        <v>427</v>
      </c>
      <c r="C20" s="31">
        <f>IF(B$3=0,0,B20/B$3)</f>
        <v>0.16119290298225747</v>
      </c>
      <c r="E20" s="44" t="s">
        <v>75</v>
      </c>
      <c r="F20" s="41" t="s">
        <v>30</v>
      </c>
      <c r="G20" s="34">
        <v>5</v>
      </c>
      <c r="H20" s="107">
        <f>IF(B$51=0,0,G20/B$51)</f>
        <v>6.7476383265856954E-3</v>
      </c>
      <c r="I20" s="68">
        <v>5</v>
      </c>
      <c r="K20" s="5">
        <v>18</v>
      </c>
      <c r="L20" s="73">
        <v>-30.300000000000008</v>
      </c>
      <c r="N20" s="89" t="s">
        <v>190</v>
      </c>
      <c r="O20" s="99">
        <f>IF(P20=0,0,Q20/P20)</f>
        <v>-0.696703296703299</v>
      </c>
      <c r="P20" s="93">
        <v>91</v>
      </c>
      <c r="Q20" s="81">
        <v>-63.400000000000205</v>
      </c>
    </row>
    <row r="21" spans="1:17" x14ac:dyDescent="0.4">
      <c r="A21" s="37" t="s">
        <v>12</v>
      </c>
      <c r="B21" s="34">
        <v>340</v>
      </c>
      <c r="C21" s="31">
        <f>IF(B$19=0,0,B21/B$19)</f>
        <v>0.42929292929292928</v>
      </c>
      <c r="E21" s="44" t="s">
        <v>77</v>
      </c>
      <c r="F21" s="41" t="s">
        <v>32</v>
      </c>
      <c r="G21" s="34">
        <v>4</v>
      </c>
      <c r="H21" s="107">
        <f>IF(B$51=0,0,G21/B$51)</f>
        <v>5.3981106612685558E-3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-8.9312500000000004</v>
      </c>
      <c r="P21" s="93">
        <v>80</v>
      </c>
      <c r="Q21" s="81">
        <v>-714.5</v>
      </c>
    </row>
    <row r="22" spans="1:17" x14ac:dyDescent="0.4">
      <c r="A22" s="37" t="s">
        <v>11</v>
      </c>
      <c r="B22" s="34">
        <v>452</v>
      </c>
      <c r="C22" s="31">
        <f>IF(B$19=0,0,B22/B$19)</f>
        <v>0.57070707070707072</v>
      </c>
      <c r="E22" s="44" t="s">
        <v>88</v>
      </c>
      <c r="F22" s="41" t="s">
        <v>43</v>
      </c>
      <c r="G22" s="34">
        <v>3</v>
      </c>
      <c r="H22" s="107">
        <f>IF(B$51=0,0,G22/B$51)</f>
        <v>4.048582995951417E-3</v>
      </c>
      <c r="I22" s="68">
        <v>1</v>
      </c>
      <c r="K22" s="5">
        <v>20</v>
      </c>
      <c r="L22" s="73">
        <v>-24.100000000000005</v>
      </c>
      <c r="N22" s="89" t="s">
        <v>197</v>
      </c>
      <c r="O22" s="99">
        <f>IF(P22=0,0,Q22/P22)</f>
        <v>-11.755555555555553</v>
      </c>
      <c r="P22" s="93">
        <v>18</v>
      </c>
      <c r="Q22" s="81">
        <v>-211.59999999999997</v>
      </c>
    </row>
    <row r="23" spans="1:17" x14ac:dyDescent="0.4">
      <c r="A23" s="37" t="s">
        <v>180</v>
      </c>
      <c r="B23" s="34">
        <v>254</v>
      </c>
      <c r="C23" s="31">
        <f>IF(B$19=0,0,B23/B$19)</f>
        <v>0.32070707070707072</v>
      </c>
      <c r="E23" s="44" t="s">
        <v>85</v>
      </c>
      <c r="F23" s="41" t="s">
        <v>40</v>
      </c>
      <c r="G23" s="34">
        <v>2</v>
      </c>
      <c r="H23" s="107">
        <f>IF(B$51=0,0,G23/B$51)</f>
        <v>2.6990553306342779E-3</v>
      </c>
      <c r="I23" s="68">
        <v>8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">
      <c r="A24" s="37" t="s">
        <v>178</v>
      </c>
      <c r="B24" s="34">
        <v>283</v>
      </c>
      <c r="C24" s="31">
        <f>IF(B$19=0,0,B24/B$19)</f>
        <v>0.35732323232323232</v>
      </c>
      <c r="E24" s="44" t="s">
        <v>87</v>
      </c>
      <c r="F24" s="41" t="s">
        <v>42</v>
      </c>
      <c r="G24" s="34">
        <v>2</v>
      </c>
      <c r="H24" s="107">
        <f>IF(B$51=0,0,G24/B$51)</f>
        <v>2.6990553306342779E-3</v>
      </c>
      <c r="I24" s="68">
        <v>3</v>
      </c>
      <c r="K24" s="5">
        <v>22</v>
      </c>
      <c r="L24" s="73">
        <v>-4.7000000000000064</v>
      </c>
      <c r="N24" s="89" t="s">
        <v>195</v>
      </c>
      <c r="O24" s="99">
        <f>IF(P24=0,0,Q24/P24)</f>
        <v>-20.40388888888889</v>
      </c>
      <c r="P24" s="93">
        <v>180</v>
      </c>
      <c r="Q24" s="81">
        <v>-3672.7000000000003</v>
      </c>
    </row>
    <row r="25" spans="1:17" x14ac:dyDescent="0.4">
      <c r="A25" s="37" t="s">
        <v>179</v>
      </c>
      <c r="B25" s="34">
        <v>255</v>
      </c>
      <c r="C25" s="31">
        <f>IF(B$19=0,0,B25/B$19)</f>
        <v>0.32196969696969696</v>
      </c>
      <c r="E25" s="44" t="s">
        <v>93</v>
      </c>
      <c r="F25" s="41" t="s">
        <v>48</v>
      </c>
      <c r="G25" s="34">
        <v>2</v>
      </c>
      <c r="H25" s="107">
        <f>IF(B$51=0,0,G25/B$51)</f>
        <v>2.6990553306342779E-3</v>
      </c>
      <c r="I25" s="68">
        <v>4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">
      <c r="A26" s="37" t="s">
        <v>5</v>
      </c>
      <c r="B26" s="17">
        <f>IF(B$19=0,0,C26/B$19)</f>
        <v>7435.227272727273</v>
      </c>
      <c r="C26" s="8">
        <v>5888700</v>
      </c>
      <c r="E26" s="44" t="s">
        <v>73</v>
      </c>
      <c r="F26" s="41" t="s">
        <v>28</v>
      </c>
      <c r="G26" s="34">
        <v>1</v>
      </c>
      <c r="H26" s="107">
        <f>IF(B$51=0,0,G26/B$51)</f>
        <v>1.3495276653171389E-3</v>
      </c>
      <c r="I26" s="68">
        <v>11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">
      <c r="A27" s="38" t="s">
        <v>162</v>
      </c>
      <c r="B27" s="114">
        <f>IF($B$19-B$18=0,0,C27/($B$19-B$18))</f>
        <v>8111.0019646365427</v>
      </c>
      <c r="C27" s="115">
        <v>4128500</v>
      </c>
      <c r="E27" s="44" t="s">
        <v>84</v>
      </c>
      <c r="F27" s="41" t="s">
        <v>39</v>
      </c>
      <c r="G27" s="34">
        <v>1</v>
      </c>
      <c r="H27" s="107">
        <f>IF(B$51=0,0,G27/B$51)</f>
        <v>1.3495276653171389E-3</v>
      </c>
      <c r="I27" s="68">
        <v>6</v>
      </c>
      <c r="K27" s="5">
        <v>25</v>
      </c>
      <c r="L27" s="73">
        <v>-37.900000000000006</v>
      </c>
    </row>
    <row r="28" spans="1:17" x14ac:dyDescent="0.4">
      <c r="A28" s="38" t="s">
        <v>163</v>
      </c>
      <c r="B28" s="114">
        <f>IF(B$18=0,0,C28/B$18)</f>
        <v>6219.7879858657243</v>
      </c>
      <c r="C28" s="115">
        <v>1760200</v>
      </c>
      <c r="E28" s="44" t="s">
        <v>90</v>
      </c>
      <c r="F28" s="41" t="s">
        <v>45</v>
      </c>
      <c r="G28" s="34">
        <v>1</v>
      </c>
      <c r="H28" s="107">
        <f>IF(B$51=0,0,G28/B$51)</f>
        <v>1.3495276653171389E-3</v>
      </c>
      <c r="I28" s="68">
        <v>6</v>
      </c>
      <c r="K28" s="5">
        <v>26</v>
      </c>
      <c r="L28" s="73">
        <v>-59.800000000000004</v>
      </c>
    </row>
    <row r="29" spans="1:17" x14ac:dyDescent="0.4">
      <c r="A29" s="38" t="s">
        <v>161</v>
      </c>
      <c r="B29" s="114">
        <f>IF(B$20=0,0,C29/B$20)</f>
        <v>-8359.2505854800929</v>
      </c>
      <c r="C29" s="115">
        <v>-3569400</v>
      </c>
      <c r="E29" s="44" t="s">
        <v>102</v>
      </c>
      <c r="F29" s="41" t="s">
        <v>57</v>
      </c>
      <c r="G29" s="34">
        <v>1</v>
      </c>
      <c r="H29" s="107">
        <f>IF(B$51=0,0,G29/B$51)</f>
        <v>1.3495276653171389E-3</v>
      </c>
      <c r="I29" s="68">
        <v>1</v>
      </c>
      <c r="K29" s="5">
        <v>27</v>
      </c>
      <c r="L29" s="73">
        <v>-53.7</v>
      </c>
    </row>
    <row r="30" spans="1:17" x14ac:dyDescent="0.4">
      <c r="A30" s="37" t="s">
        <v>155</v>
      </c>
      <c r="B30" s="34">
        <v>10</v>
      </c>
      <c r="C30" s="109">
        <v>0</v>
      </c>
      <c r="E30" s="44" t="s">
        <v>76</v>
      </c>
      <c r="F30" s="41" t="s">
        <v>31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80</v>
      </c>
      <c r="F31" s="41" t="s">
        <v>35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-12.899999999999999</v>
      </c>
    </row>
    <row r="32" spans="1:17" x14ac:dyDescent="0.4">
      <c r="A32" s="64" t="s">
        <v>134</v>
      </c>
      <c r="B32" s="143">
        <v>7</v>
      </c>
      <c r="C32" s="144"/>
      <c r="E32" s="44" t="s">
        <v>82</v>
      </c>
      <c r="F32" s="41" t="s">
        <v>37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-48.6</v>
      </c>
    </row>
    <row r="33" spans="1:12" x14ac:dyDescent="0.4">
      <c r="A33" s="40" t="s">
        <v>177</v>
      </c>
      <c r="B33" s="141">
        <v>106500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">
      <c r="A34" s="39" t="s">
        <v>135</v>
      </c>
      <c r="B34" s="27">
        <v>6</v>
      </c>
      <c r="C34" s="32">
        <f>IF(B$3=0,0,B34/B$3)</f>
        <v>2.2650056625141564E-3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-122.29999999999998</v>
      </c>
    </row>
    <row r="36" spans="1:12" x14ac:dyDescent="0.4">
      <c r="A36" s="64" t="s">
        <v>168</v>
      </c>
      <c r="B36" s="125">
        <v>78</v>
      </c>
      <c r="C36" s="119">
        <f>IF(B$19=0,0,B36/B$19)</f>
        <v>9.8484848484848481E-2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">
      <c r="A37" s="37" t="s">
        <v>164</v>
      </c>
      <c r="B37" s="34">
        <v>163</v>
      </c>
      <c r="C37" s="31">
        <f t="shared" ref="C37:C48" si="2">IF(B$19=0,0,B37/B$19)</f>
        <v>0.2058080808080808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">
      <c r="A38" s="37" t="s">
        <v>165</v>
      </c>
      <c r="B38" s="128">
        <v>146</v>
      </c>
      <c r="C38" s="31">
        <f>IF(B$19=0,0,B38/B$19)</f>
        <v>0.18434343434343434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166</v>
      </c>
      <c r="B39" s="128">
        <v>141</v>
      </c>
      <c r="C39" s="31">
        <f t="shared" si="2"/>
        <v>0.17803030303030304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167</v>
      </c>
      <c r="B40" s="128">
        <v>107</v>
      </c>
      <c r="C40" s="31">
        <f t="shared" si="2"/>
        <v>0.13510101010101011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">
      <c r="A41" s="37" t="s">
        <v>169</v>
      </c>
      <c r="B41" s="128">
        <v>48</v>
      </c>
      <c r="C41" s="31">
        <f t="shared" si="2"/>
        <v>6.0606060606060608E-2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">
      <c r="A42" s="37" t="s">
        <v>170</v>
      </c>
      <c r="B42" s="128">
        <v>29</v>
      </c>
      <c r="C42" s="31">
        <f t="shared" si="2"/>
        <v>3.6616161616161616E-2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171</v>
      </c>
      <c r="B43" s="128">
        <v>18</v>
      </c>
      <c r="C43" s="31">
        <f t="shared" si="2"/>
        <v>2.2727272727272728E-2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7" t="s">
        <v>172</v>
      </c>
      <c r="B44" s="128">
        <v>5</v>
      </c>
      <c r="C44" s="31">
        <f t="shared" si="2"/>
        <v>6.313131313131313E-3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A45" s="37" t="s">
        <v>173</v>
      </c>
      <c r="B45" s="128">
        <v>2</v>
      </c>
      <c r="C45" s="31">
        <f t="shared" si="2"/>
        <v>2.5252525252525255E-3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37" t="s">
        <v>174</v>
      </c>
      <c r="B46" s="128">
        <v>1</v>
      </c>
      <c r="C46" s="31">
        <f t="shared" si="2"/>
        <v>1.2626262626262627E-3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A48" s="39" t="s">
        <v>176</v>
      </c>
      <c r="B48" s="124">
        <v>3</v>
      </c>
      <c r="C48" s="32">
        <f t="shared" si="2"/>
        <v>3.787878787878788E-3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">
      <c r="A50" s="64" t="s">
        <v>181</v>
      </c>
      <c r="B50" s="131">
        <v>2469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">
      <c r="A51" s="39" t="s">
        <v>182</v>
      </c>
      <c r="B51" s="139">
        <v>741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">
      <c r="K53" s="5">
        <v>51</v>
      </c>
      <c r="L53" s="73">
        <v>-417.29999999999995</v>
      </c>
    </row>
    <row r="54" spans="1:12" x14ac:dyDescent="0.4">
      <c r="K54" s="5">
        <v>52</v>
      </c>
      <c r="L54" s="73">
        <v>-421.29999999999995</v>
      </c>
    </row>
    <row r="55" spans="1:12" x14ac:dyDescent="0.4">
      <c r="K55" s="5">
        <v>53</v>
      </c>
      <c r="L55" s="73">
        <v>-451.69999999999993</v>
      </c>
    </row>
    <row r="56" spans="1:12" x14ac:dyDescent="0.4">
      <c r="K56" s="5">
        <v>54</v>
      </c>
      <c r="L56" s="73">
        <v>-445.09999999999991</v>
      </c>
    </row>
    <row r="57" spans="1:12" x14ac:dyDescent="0.4">
      <c r="K57" s="5">
        <v>55</v>
      </c>
      <c r="L57" s="73">
        <v>-465.59999999999991</v>
      </c>
    </row>
    <row r="58" spans="1:12" x14ac:dyDescent="0.4">
      <c r="K58" s="5">
        <v>56</v>
      </c>
      <c r="L58" s="73">
        <v>-502.59999999999991</v>
      </c>
    </row>
    <row r="59" spans="1:12" x14ac:dyDescent="0.4">
      <c r="K59" s="5">
        <v>57</v>
      </c>
      <c r="L59" s="73">
        <v>-533.29999999999995</v>
      </c>
    </row>
    <row r="60" spans="1:12" x14ac:dyDescent="0.4">
      <c r="K60" s="5">
        <v>58</v>
      </c>
      <c r="L60" s="73">
        <v>-573.29999999999995</v>
      </c>
    </row>
    <row r="61" spans="1:12" x14ac:dyDescent="0.4">
      <c r="K61" s="5">
        <v>59</v>
      </c>
      <c r="L61" s="73">
        <v>-550.79999999999995</v>
      </c>
    </row>
    <row r="62" spans="1:12" x14ac:dyDescent="0.4">
      <c r="K62" s="5">
        <v>60</v>
      </c>
      <c r="L62" s="73">
        <v>-535.29999999999995</v>
      </c>
    </row>
    <row r="63" spans="1:12" x14ac:dyDescent="0.4">
      <c r="K63" s="5">
        <v>61</v>
      </c>
      <c r="L63" s="73">
        <v>-492.29999999999995</v>
      </c>
    </row>
    <row r="64" spans="1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  <row r="249" spans="11:12" x14ac:dyDescent="0.4">
      <c r="K249" s="5">
        <v>247</v>
      </c>
      <c r="L249" s="73">
        <v>-1191.7</v>
      </c>
    </row>
    <row r="250" spans="11:12" x14ac:dyDescent="0.4">
      <c r="K250" s="5">
        <v>248</v>
      </c>
      <c r="L250" s="73">
        <v>-1238.5</v>
      </c>
    </row>
    <row r="251" spans="11:12" x14ac:dyDescent="0.4">
      <c r="K251" s="5">
        <v>249</v>
      </c>
      <c r="L251" s="73">
        <v>-1201.7</v>
      </c>
    </row>
    <row r="252" spans="11:12" x14ac:dyDescent="0.4">
      <c r="K252" s="5">
        <v>250</v>
      </c>
      <c r="L252" s="73">
        <v>-1246.8000000000002</v>
      </c>
    </row>
    <row r="253" spans="11:12" x14ac:dyDescent="0.4">
      <c r="K253" s="5">
        <v>251</v>
      </c>
      <c r="L253" s="73">
        <v>-1293.5</v>
      </c>
    </row>
    <row r="254" spans="11:12" x14ac:dyDescent="0.4">
      <c r="K254" s="5">
        <v>252</v>
      </c>
      <c r="L254" s="73">
        <v>-1284.5</v>
      </c>
    </row>
    <row r="255" spans="11:12" x14ac:dyDescent="0.4">
      <c r="K255" s="5">
        <v>253</v>
      </c>
      <c r="L255" s="73">
        <v>-1324.7000000000003</v>
      </c>
    </row>
    <row r="256" spans="11:12" x14ac:dyDescent="0.4">
      <c r="K256" s="5">
        <v>254</v>
      </c>
      <c r="L256" s="73">
        <v>-1353.4</v>
      </c>
    </row>
    <row r="257" spans="11:12" x14ac:dyDescent="0.4">
      <c r="K257" s="5">
        <v>255</v>
      </c>
      <c r="L257" s="73">
        <v>-1328.7000000000003</v>
      </c>
    </row>
    <row r="258" spans="11:12" x14ac:dyDescent="0.4">
      <c r="K258" s="5">
        <v>256</v>
      </c>
      <c r="L258" s="73">
        <v>-1300.4000000000001</v>
      </c>
    </row>
    <row r="259" spans="11:12" x14ac:dyDescent="0.4">
      <c r="K259" s="5">
        <v>257</v>
      </c>
      <c r="L259" s="73">
        <v>-1296.5000000000002</v>
      </c>
    </row>
    <row r="260" spans="11:12" x14ac:dyDescent="0.4">
      <c r="K260" s="5">
        <v>258</v>
      </c>
      <c r="L260" s="73">
        <v>-1315.5000000000002</v>
      </c>
    </row>
    <row r="261" spans="11:12" x14ac:dyDescent="0.4">
      <c r="K261" s="5">
        <v>259</v>
      </c>
      <c r="L261" s="73">
        <v>-1285.1000000000004</v>
      </c>
    </row>
    <row r="262" spans="11:12" x14ac:dyDescent="0.4">
      <c r="K262" s="5">
        <v>260</v>
      </c>
      <c r="L262" s="73">
        <v>-1293.4000000000003</v>
      </c>
    </row>
    <row r="263" spans="11:12" x14ac:dyDescent="0.4">
      <c r="K263" s="5">
        <v>261</v>
      </c>
      <c r="L263" s="73">
        <v>-1289.2000000000003</v>
      </c>
    </row>
    <row r="264" spans="11:12" x14ac:dyDescent="0.4">
      <c r="K264" s="5">
        <v>262</v>
      </c>
      <c r="L264" s="73">
        <v>-1252.5000000000002</v>
      </c>
    </row>
    <row r="265" spans="11:12" x14ac:dyDescent="0.4">
      <c r="K265" s="5">
        <v>263</v>
      </c>
      <c r="L265" s="73">
        <v>-1263.0000000000002</v>
      </c>
    </row>
    <row r="266" spans="11:12" x14ac:dyDescent="0.4">
      <c r="K266" s="5">
        <v>264</v>
      </c>
      <c r="L266" s="73">
        <v>-1263.2000000000003</v>
      </c>
    </row>
    <row r="267" spans="11:12" x14ac:dyDescent="0.4">
      <c r="K267" s="5">
        <v>265</v>
      </c>
      <c r="L267" s="73">
        <v>-1264.7000000000003</v>
      </c>
    </row>
    <row r="268" spans="11:12" x14ac:dyDescent="0.4">
      <c r="K268" s="5">
        <v>266</v>
      </c>
      <c r="L268" s="73">
        <v>-1323.0000000000002</v>
      </c>
    </row>
    <row r="269" spans="11:12" x14ac:dyDescent="0.4">
      <c r="K269" s="5">
        <v>267</v>
      </c>
      <c r="L269" s="73">
        <v>-1292.5000000000002</v>
      </c>
    </row>
    <row r="270" spans="11:12" x14ac:dyDescent="0.4">
      <c r="K270" s="5">
        <v>268</v>
      </c>
      <c r="L270" s="73">
        <v>-1230.1000000000004</v>
      </c>
    </row>
    <row r="271" spans="11:12" x14ac:dyDescent="0.4">
      <c r="K271" s="5">
        <v>269</v>
      </c>
      <c r="L271" s="73">
        <v>-1221.7000000000003</v>
      </c>
    </row>
    <row r="272" spans="11:12" x14ac:dyDescent="0.4">
      <c r="K272" s="5">
        <v>270</v>
      </c>
      <c r="L272" s="73">
        <v>-1230.0000000000002</v>
      </c>
    </row>
    <row r="273" spans="11:12" x14ac:dyDescent="0.4">
      <c r="K273" s="5">
        <v>271</v>
      </c>
      <c r="L273" s="73">
        <v>-1233.4000000000003</v>
      </c>
    </row>
    <row r="274" spans="11:12" x14ac:dyDescent="0.4">
      <c r="K274" s="5">
        <v>272</v>
      </c>
      <c r="L274" s="73">
        <v>-1270.9000000000003</v>
      </c>
    </row>
    <row r="275" spans="11:12" x14ac:dyDescent="0.4">
      <c r="K275" s="5">
        <v>273</v>
      </c>
      <c r="L275" s="73">
        <v>-1305.4000000000003</v>
      </c>
    </row>
    <row r="276" spans="11:12" x14ac:dyDescent="0.4">
      <c r="K276" s="5">
        <v>274</v>
      </c>
      <c r="L276" s="73">
        <v>-1366.7000000000003</v>
      </c>
    </row>
    <row r="277" spans="11:12" x14ac:dyDescent="0.4">
      <c r="K277" s="5">
        <v>275</v>
      </c>
      <c r="L277" s="73">
        <v>-1392.4000000000003</v>
      </c>
    </row>
    <row r="278" spans="11:12" x14ac:dyDescent="0.4">
      <c r="K278" s="5">
        <v>276</v>
      </c>
      <c r="L278" s="73">
        <v>-1384.8000000000002</v>
      </c>
    </row>
    <row r="279" spans="11:12" x14ac:dyDescent="0.4">
      <c r="K279" s="5">
        <v>277</v>
      </c>
      <c r="L279" s="73">
        <v>-1409.4000000000003</v>
      </c>
    </row>
    <row r="280" spans="11:12" x14ac:dyDescent="0.4">
      <c r="K280" s="5">
        <v>278</v>
      </c>
      <c r="L280" s="73">
        <v>-1400.2000000000003</v>
      </c>
    </row>
    <row r="281" spans="11:12" x14ac:dyDescent="0.4">
      <c r="K281" s="5">
        <v>279</v>
      </c>
      <c r="L281" s="73">
        <v>-1383.5000000000002</v>
      </c>
    </row>
    <row r="282" spans="11:12" x14ac:dyDescent="0.4">
      <c r="K282" s="5">
        <v>280</v>
      </c>
      <c r="L282" s="73">
        <v>-1387.4</v>
      </c>
    </row>
    <row r="283" spans="11:12" x14ac:dyDescent="0.4">
      <c r="K283" s="5">
        <v>281</v>
      </c>
      <c r="L283" s="73">
        <v>-1391.5000000000002</v>
      </c>
    </row>
    <row r="284" spans="11:12" x14ac:dyDescent="0.4">
      <c r="K284" s="5">
        <v>282</v>
      </c>
      <c r="L284" s="73">
        <v>-1446.1000000000004</v>
      </c>
    </row>
    <row r="285" spans="11:12" x14ac:dyDescent="0.4">
      <c r="K285" s="5">
        <v>283</v>
      </c>
      <c r="L285" s="73">
        <v>-1506.3000000000002</v>
      </c>
    </row>
    <row r="286" spans="11:12" x14ac:dyDescent="0.4">
      <c r="K286" s="5">
        <v>284</v>
      </c>
      <c r="L286" s="73">
        <v>-1505.1000000000004</v>
      </c>
    </row>
    <row r="287" spans="11:12" x14ac:dyDescent="0.4">
      <c r="K287" s="5">
        <v>285</v>
      </c>
      <c r="L287" s="73">
        <v>-1505.5000000000002</v>
      </c>
    </row>
    <row r="288" spans="11:12" x14ac:dyDescent="0.4">
      <c r="K288" s="5">
        <v>286</v>
      </c>
      <c r="L288" s="73">
        <v>-1449.5000000000002</v>
      </c>
    </row>
    <row r="289" spans="11:12" x14ac:dyDescent="0.4">
      <c r="K289" s="5">
        <v>287</v>
      </c>
      <c r="L289" s="73">
        <v>-1368.0000000000002</v>
      </c>
    </row>
    <row r="290" spans="11:12" x14ac:dyDescent="0.4">
      <c r="K290" s="5">
        <v>288</v>
      </c>
      <c r="L290" s="73">
        <v>-1346.5000000000002</v>
      </c>
    </row>
    <row r="291" spans="11:12" x14ac:dyDescent="0.4">
      <c r="K291" s="5">
        <v>289</v>
      </c>
      <c r="L291" s="73">
        <v>-1393.1000000000001</v>
      </c>
    </row>
    <row r="292" spans="11:12" x14ac:dyDescent="0.4">
      <c r="K292" s="5">
        <v>290</v>
      </c>
      <c r="L292" s="73">
        <v>-1365.2000000000003</v>
      </c>
    </row>
    <row r="293" spans="11:12" x14ac:dyDescent="0.4">
      <c r="K293" s="5">
        <v>291</v>
      </c>
      <c r="L293" s="73">
        <v>-1338.2000000000003</v>
      </c>
    </row>
    <row r="294" spans="11:12" x14ac:dyDescent="0.4">
      <c r="K294" s="5">
        <v>292</v>
      </c>
      <c r="L294" s="73">
        <v>-1387.1000000000001</v>
      </c>
    </row>
    <row r="295" spans="11:12" x14ac:dyDescent="0.4">
      <c r="K295" s="5">
        <v>293</v>
      </c>
      <c r="L295" s="73">
        <v>-1408.7000000000003</v>
      </c>
    </row>
    <row r="296" spans="11:12" x14ac:dyDescent="0.4">
      <c r="K296" s="5">
        <v>294</v>
      </c>
      <c r="L296" s="73">
        <v>-1453.9000000000003</v>
      </c>
    </row>
    <row r="297" spans="11:12" x14ac:dyDescent="0.4">
      <c r="K297" s="5">
        <v>295</v>
      </c>
      <c r="L297" s="73">
        <v>-1477.2000000000003</v>
      </c>
    </row>
    <row r="298" spans="11:12" x14ac:dyDescent="0.4">
      <c r="K298" s="5">
        <v>296</v>
      </c>
      <c r="L298" s="73">
        <v>-1461.1000000000001</v>
      </c>
    </row>
    <row r="299" spans="11:12" x14ac:dyDescent="0.4">
      <c r="K299" s="5">
        <v>297</v>
      </c>
      <c r="L299" s="73">
        <v>-1473.7000000000003</v>
      </c>
    </row>
    <row r="300" spans="11:12" x14ac:dyDescent="0.4">
      <c r="K300" s="5">
        <v>298</v>
      </c>
      <c r="L300" s="73">
        <v>-1422.4000000000003</v>
      </c>
    </row>
    <row r="301" spans="11:12" x14ac:dyDescent="0.4">
      <c r="K301" s="5">
        <v>299</v>
      </c>
      <c r="L301" s="73">
        <v>-1416.1000000000001</v>
      </c>
    </row>
    <row r="302" spans="11:12" x14ac:dyDescent="0.4">
      <c r="K302" s="5">
        <v>300</v>
      </c>
      <c r="L302" s="73">
        <v>-1392.9000000000003</v>
      </c>
    </row>
    <row r="303" spans="11:12" x14ac:dyDescent="0.4">
      <c r="K303" s="5">
        <v>301</v>
      </c>
      <c r="L303" s="73">
        <v>-1386.2000000000003</v>
      </c>
    </row>
    <row r="304" spans="11:12" x14ac:dyDescent="0.4">
      <c r="K304" s="5">
        <v>302</v>
      </c>
      <c r="L304" s="73">
        <v>-1433.8000000000002</v>
      </c>
    </row>
    <row r="305" spans="11:12" x14ac:dyDescent="0.4">
      <c r="K305" s="5">
        <v>303</v>
      </c>
      <c r="L305" s="73">
        <v>-1460.1000000000001</v>
      </c>
    </row>
    <row r="306" spans="11:12" x14ac:dyDescent="0.4">
      <c r="K306" s="5">
        <v>304</v>
      </c>
      <c r="L306" s="73">
        <v>-1405.4000000000003</v>
      </c>
    </row>
    <row r="307" spans="11:12" x14ac:dyDescent="0.4">
      <c r="K307" s="5">
        <v>305</v>
      </c>
      <c r="L307" s="73">
        <v>-1452.7000000000003</v>
      </c>
    </row>
    <row r="308" spans="11:12" x14ac:dyDescent="0.4">
      <c r="K308" s="5">
        <v>306</v>
      </c>
      <c r="L308" s="73">
        <v>-1464.5000000000002</v>
      </c>
    </row>
    <row r="309" spans="11:12" x14ac:dyDescent="0.4">
      <c r="K309" s="5">
        <v>307</v>
      </c>
      <c r="L309" s="73">
        <v>-1415.0000000000002</v>
      </c>
    </row>
    <row r="310" spans="11:12" x14ac:dyDescent="0.4">
      <c r="K310" s="5">
        <v>308</v>
      </c>
      <c r="L310" s="73">
        <v>-1408.5000000000002</v>
      </c>
    </row>
    <row r="311" spans="11:12" x14ac:dyDescent="0.4">
      <c r="K311" s="5">
        <v>309</v>
      </c>
      <c r="L311" s="73">
        <v>-1413.3000000000002</v>
      </c>
    </row>
    <row r="312" spans="11:12" x14ac:dyDescent="0.4">
      <c r="K312" s="5">
        <v>310</v>
      </c>
      <c r="L312" s="73">
        <v>-1464.5000000000002</v>
      </c>
    </row>
    <row r="313" spans="11:12" x14ac:dyDescent="0.4">
      <c r="K313" s="5">
        <v>311</v>
      </c>
      <c r="L313" s="73">
        <v>-1418.7000000000003</v>
      </c>
    </row>
    <row r="314" spans="11:12" x14ac:dyDescent="0.4">
      <c r="K314" s="5">
        <v>312</v>
      </c>
      <c r="L314" s="73">
        <v>-1420.2000000000003</v>
      </c>
    </row>
    <row r="315" spans="11:12" x14ac:dyDescent="0.4">
      <c r="K315" s="5">
        <v>313</v>
      </c>
      <c r="L315" s="73">
        <v>-1455.0000000000002</v>
      </c>
    </row>
    <row r="316" spans="11:12" x14ac:dyDescent="0.4">
      <c r="K316" s="5">
        <v>314</v>
      </c>
      <c r="L316" s="73">
        <v>-1447.9000000000003</v>
      </c>
    </row>
    <row r="317" spans="11:12" x14ac:dyDescent="0.4">
      <c r="K317" s="5">
        <v>315</v>
      </c>
      <c r="L317" s="73">
        <v>-1423.5000000000002</v>
      </c>
    </row>
    <row r="318" spans="11:12" x14ac:dyDescent="0.4">
      <c r="K318" s="5">
        <v>316</v>
      </c>
      <c r="L318" s="73">
        <v>-1423.6000000000001</v>
      </c>
    </row>
    <row r="319" spans="11:12" x14ac:dyDescent="0.4">
      <c r="K319" s="5">
        <v>317</v>
      </c>
      <c r="L319" s="73">
        <v>-1429.4000000000003</v>
      </c>
    </row>
    <row r="320" spans="11:12" x14ac:dyDescent="0.4">
      <c r="K320" s="5">
        <v>318</v>
      </c>
      <c r="L320" s="73">
        <v>-1421.0000000000002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09CBC-F042-41F7-A54F-A4E9DD04006B}">
  <sheetPr codeName="Sheet11"/>
  <dimension ref="A1:Q53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537</v>
      </c>
      <c r="C2" s="132"/>
      <c r="E2" s="43" t="s">
        <v>66</v>
      </c>
      <c r="F2" s="25" t="s">
        <v>22</v>
      </c>
      <c r="G2" s="13">
        <v>972</v>
      </c>
      <c r="H2" s="106">
        <f>IF(B$51=0,0,G2/B$51)</f>
        <v>0.7665615141955836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-536.34651600753295</v>
      </c>
      <c r="P2" s="92">
        <v>531</v>
      </c>
      <c r="Q2" s="76">
        <v>-284800</v>
      </c>
    </row>
    <row r="3" spans="1:17" x14ac:dyDescent="0.4">
      <c r="A3" s="37" t="s">
        <v>8</v>
      </c>
      <c r="B3" s="133">
        <v>4369</v>
      </c>
      <c r="C3" s="134"/>
      <c r="E3" s="44" t="s">
        <v>72</v>
      </c>
      <c r="F3" s="41" t="s">
        <v>27</v>
      </c>
      <c r="G3" s="34">
        <v>671</v>
      </c>
      <c r="H3" s="107">
        <f>IF(B$51=0,0,G3/B$51)</f>
        <v>0.52917981072555209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-194.39071566731141</v>
      </c>
      <c r="P3" s="93">
        <v>517</v>
      </c>
      <c r="Q3" s="77">
        <v>-100500</v>
      </c>
    </row>
    <row r="4" spans="1:17" x14ac:dyDescent="0.4">
      <c r="A4" s="37" t="s">
        <v>6</v>
      </c>
      <c r="B4" s="135">
        <v>-1222.3000000000006</v>
      </c>
      <c r="C4" s="136"/>
      <c r="E4" s="44" t="s">
        <v>64</v>
      </c>
      <c r="F4" s="41" t="s">
        <v>20</v>
      </c>
      <c r="G4" s="34">
        <v>542</v>
      </c>
      <c r="H4" s="107">
        <f>IF(B$51=0,0,G4/B$51)</f>
        <v>0.4274447949526814</v>
      </c>
      <c r="I4" s="68">
        <v>17</v>
      </c>
      <c r="K4" s="5">
        <v>2</v>
      </c>
      <c r="L4" s="73">
        <v>-45.300000000000004</v>
      </c>
      <c r="N4" s="89" t="s">
        <v>128</v>
      </c>
      <c r="O4" s="96">
        <f t="shared" si="0"/>
        <v>186.62551440329219</v>
      </c>
      <c r="P4" s="93">
        <v>486</v>
      </c>
      <c r="Q4" s="77">
        <v>90700</v>
      </c>
    </row>
    <row r="5" spans="1:17" x14ac:dyDescent="0.4">
      <c r="A5" s="37" t="s">
        <v>7</v>
      </c>
      <c r="B5" s="137">
        <f>IF(B$2=0,0,B$4/B$2)</f>
        <v>-2.2761638733705785</v>
      </c>
      <c r="C5" s="138"/>
      <c r="E5" s="44" t="s">
        <v>157</v>
      </c>
      <c r="F5" s="41" t="s">
        <v>158</v>
      </c>
      <c r="G5" s="34">
        <v>406</v>
      </c>
      <c r="H5" s="107">
        <f>IF(B$51=0,0,G5/B$51)</f>
        <v>0.32018927444794953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-994.26048565121414</v>
      </c>
      <c r="P5" s="93">
        <v>453</v>
      </c>
      <c r="Q5" s="77">
        <v>-450400</v>
      </c>
    </row>
    <row r="6" spans="1:17" x14ac:dyDescent="0.4">
      <c r="A6" s="37" t="s">
        <v>1</v>
      </c>
      <c r="B6" s="145">
        <f>IF(B$2=0,0,(B$7*1+B$8*2+B$9*3)/B$2)</f>
        <v>2.0186219739292364</v>
      </c>
      <c r="C6" s="146"/>
      <c r="E6" s="44" t="s">
        <v>68</v>
      </c>
      <c r="F6" s="41" t="s">
        <v>12</v>
      </c>
      <c r="G6" s="34">
        <v>372</v>
      </c>
      <c r="H6" s="107">
        <f>IF(B$51=0,0,G6/B$51)</f>
        <v>0.29337539432176657</v>
      </c>
      <c r="I6" s="68">
        <v>14</v>
      </c>
      <c r="K6" s="5">
        <v>4</v>
      </c>
      <c r="L6" s="73">
        <v>-114.30000000000001</v>
      </c>
      <c r="N6" s="89" t="s">
        <v>130</v>
      </c>
      <c r="O6" s="96">
        <f t="shared" si="0"/>
        <v>-277.01711491442541</v>
      </c>
      <c r="P6" s="93">
        <v>409</v>
      </c>
      <c r="Q6" s="77">
        <v>-113300</v>
      </c>
    </row>
    <row r="7" spans="1:17" x14ac:dyDescent="0.4">
      <c r="A7" s="37" t="s">
        <v>2</v>
      </c>
      <c r="B7" s="34">
        <v>178</v>
      </c>
      <c r="C7" s="31">
        <f t="shared" ref="C7:C14" si="1">IF(B$2=0,0,B7/B$2)</f>
        <v>0.33147113594040967</v>
      </c>
      <c r="E7" s="44" t="s">
        <v>67</v>
      </c>
      <c r="F7" s="41" t="s">
        <v>23</v>
      </c>
      <c r="G7" s="34">
        <v>306</v>
      </c>
      <c r="H7" s="107">
        <f>IF(B$51=0,0,G7/B$51)</f>
        <v>0.24132492113564669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-61.031518624641834</v>
      </c>
      <c r="P7" s="94">
        <v>349</v>
      </c>
      <c r="Q7" s="78">
        <v>-21300</v>
      </c>
    </row>
    <row r="8" spans="1:17" x14ac:dyDescent="0.4">
      <c r="A8" s="37" t="s">
        <v>3</v>
      </c>
      <c r="B8" s="34">
        <v>171</v>
      </c>
      <c r="C8" s="31">
        <f t="shared" si="1"/>
        <v>0.31843575418994413</v>
      </c>
      <c r="E8" s="44" t="s">
        <v>69</v>
      </c>
      <c r="F8" s="41" t="s">
        <v>24</v>
      </c>
      <c r="G8" s="34">
        <v>178</v>
      </c>
      <c r="H8" s="107">
        <f>IF(B$51=0,0,G8/B$51)</f>
        <v>0.14037854889589904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188</v>
      </c>
      <c r="C9" s="7">
        <f t="shared" si="1"/>
        <v>0.3500931098696462</v>
      </c>
      <c r="E9" s="44" t="s">
        <v>89</v>
      </c>
      <c r="F9" s="41" t="s">
        <v>44</v>
      </c>
      <c r="G9" s="34">
        <v>161</v>
      </c>
      <c r="H9" s="107">
        <f>IF(B$51=0,0,G9/B$51)</f>
        <v>0.12697160883280756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35.664606741573039</v>
      </c>
      <c r="C10" s="121">
        <v>6348.3000000000011</v>
      </c>
      <c r="E10" s="44" t="s">
        <v>70</v>
      </c>
      <c r="F10" s="41" t="s">
        <v>25</v>
      </c>
      <c r="G10" s="34">
        <v>143</v>
      </c>
      <c r="H10" s="107">
        <f>IF(B$51=0,0,G10/B$51)</f>
        <v>0.11277602523659307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-3.2005586592178759</v>
      </c>
      <c r="P10" s="92">
        <v>179</v>
      </c>
      <c r="Q10" s="80">
        <v>-572.89999999999975</v>
      </c>
    </row>
    <row r="11" spans="1:17" x14ac:dyDescent="0.4">
      <c r="A11" s="38" t="s">
        <v>204</v>
      </c>
      <c r="B11" s="120">
        <f>IF(B8=0,0,C11/B8)</f>
        <v>-1.5438596491228067</v>
      </c>
      <c r="C11" s="121">
        <v>-263.99999999999994</v>
      </c>
      <c r="E11" s="44" t="s">
        <v>65</v>
      </c>
      <c r="F11" s="41" t="s">
        <v>21</v>
      </c>
      <c r="G11" s="34">
        <v>112</v>
      </c>
      <c r="H11" s="107">
        <f>IF(B$51=0,0,G11/B$51)</f>
        <v>8.8328075709779186E-2</v>
      </c>
      <c r="I11" s="68">
        <v>17</v>
      </c>
      <c r="K11" s="5">
        <v>9</v>
      </c>
      <c r="L11" s="73">
        <v>-53.500000000000021</v>
      </c>
      <c r="N11" s="89" t="s">
        <v>150</v>
      </c>
      <c r="O11" s="99">
        <f>IF(P11=0,0,Q11/P11)</f>
        <v>-0.41828571428571432</v>
      </c>
      <c r="P11" s="93">
        <v>175</v>
      </c>
      <c r="Q11" s="81">
        <v>-73.2</v>
      </c>
    </row>
    <row r="12" spans="1:17" x14ac:dyDescent="0.4">
      <c r="A12" s="38" t="s">
        <v>205</v>
      </c>
      <c r="B12" s="120">
        <f>IF(B9=0,0,C12/B9)</f>
        <v>-38.864893617021281</v>
      </c>
      <c r="C12" s="121">
        <v>-7306.6000000000013</v>
      </c>
      <c r="E12" s="44" t="s">
        <v>71</v>
      </c>
      <c r="F12" s="41" t="s">
        <v>26</v>
      </c>
      <c r="G12" s="34">
        <v>107</v>
      </c>
      <c r="H12" s="107">
        <f>IF(B$51=0,0,G12/B$51)</f>
        <v>8.4384858044164041E-2</v>
      </c>
      <c r="I12" s="68">
        <v>4</v>
      </c>
      <c r="K12" s="5">
        <v>10</v>
      </c>
      <c r="L12" s="73">
        <v>-72.800000000000026</v>
      </c>
      <c r="N12" s="90" t="s">
        <v>151</v>
      </c>
      <c r="O12" s="100">
        <f>IF(P12=0,0,Q12/P12)</f>
        <v>-3.3751381215469607</v>
      </c>
      <c r="P12" s="94">
        <v>181</v>
      </c>
      <c r="Q12" s="82">
        <v>-610.89999999999986</v>
      </c>
    </row>
    <row r="13" spans="1:17" x14ac:dyDescent="0.4">
      <c r="A13" s="38" t="s">
        <v>206</v>
      </c>
      <c r="B13" s="137">
        <f>AVERAGE(B10:B12)</f>
        <v>-1.5813821748570167</v>
      </c>
      <c r="C13" s="138"/>
      <c r="E13" s="44" t="s">
        <v>86</v>
      </c>
      <c r="F13" s="41" t="s">
        <v>41</v>
      </c>
      <c r="G13" s="34">
        <v>64</v>
      </c>
      <c r="H13" s="107">
        <f>IF(B$51=0,0,G13/B$51)</f>
        <v>5.0473186119873815E-2</v>
      </c>
      <c r="I13" s="68">
        <v>11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62</v>
      </c>
      <c r="C14" s="32">
        <f t="shared" si="1"/>
        <v>0.1154562383612663</v>
      </c>
      <c r="E14" s="44" t="s">
        <v>83</v>
      </c>
      <c r="F14" s="41" t="s">
        <v>38</v>
      </c>
      <c r="G14" s="34">
        <v>52</v>
      </c>
      <c r="H14" s="107">
        <f>IF(B$51=0,0,G14/B$51)</f>
        <v>4.1009463722397478E-2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1026</v>
      </c>
      <c r="C15" s="11">
        <f>IF(B$50=0,0,B15/B$50)</f>
        <v>0.24181004006599105</v>
      </c>
      <c r="E15" s="44" t="s">
        <v>78</v>
      </c>
      <c r="F15" s="41" t="s">
        <v>33</v>
      </c>
      <c r="G15" s="34">
        <v>49</v>
      </c>
      <c r="H15" s="107">
        <f>IF(B$51=0,0,G15/B$51)</f>
        <v>3.8643533123028394E-2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118</v>
      </c>
      <c r="B16" s="34">
        <v>1048</v>
      </c>
      <c r="C16" s="31">
        <f>IF(B$50=0,0,B16/B$50)</f>
        <v>0.24699505067169455</v>
      </c>
      <c r="E16" s="44" t="s">
        <v>81</v>
      </c>
      <c r="F16" s="41" t="s">
        <v>36</v>
      </c>
      <c r="G16" s="34">
        <v>36</v>
      </c>
      <c r="H16" s="107">
        <f>IF(B$51=0,0,G16/B$51)</f>
        <v>2.8391167192429023E-2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">
      <c r="A17" s="19" t="s">
        <v>123</v>
      </c>
      <c r="B17" s="13">
        <v>555</v>
      </c>
      <c r="C17" s="4">
        <f>IF(B$15=0,0,B17/B$15)</f>
        <v>0.54093567251461994</v>
      </c>
      <c r="E17" s="44" t="s">
        <v>91</v>
      </c>
      <c r="F17" s="41" t="s">
        <v>46</v>
      </c>
      <c r="G17" s="34">
        <v>25</v>
      </c>
      <c r="H17" s="107">
        <f>IF(B$51=0,0,G17/B$51)</f>
        <v>1.9716088328075709E-2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">
      <c r="A18" s="19" t="s">
        <v>124</v>
      </c>
      <c r="B18" s="13">
        <v>399</v>
      </c>
      <c r="C18" s="4">
        <f>IF(B$16=0,0,B18/B$16)</f>
        <v>0.38072519083969464</v>
      </c>
      <c r="E18" s="44" t="s">
        <v>79</v>
      </c>
      <c r="F18" s="41" t="s">
        <v>34</v>
      </c>
      <c r="G18" s="34">
        <v>16</v>
      </c>
      <c r="H18" s="107">
        <f>IF(B$51=0,0,G18/B$51)</f>
        <v>1.2618296529968454E-2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8.1392045454545432</v>
      </c>
      <c r="P18" s="93">
        <v>176</v>
      </c>
      <c r="Q18" s="81">
        <v>1432.4999999999995</v>
      </c>
    </row>
    <row r="19" spans="1:17" x14ac:dyDescent="0.4">
      <c r="A19" s="19" t="s">
        <v>10</v>
      </c>
      <c r="B19" s="13">
        <v>1305</v>
      </c>
      <c r="C19" s="4">
        <f>IF(B$3=0,0,B19/B$3)</f>
        <v>0.29869535362783245</v>
      </c>
      <c r="E19" s="44" t="s">
        <v>77</v>
      </c>
      <c r="F19" s="41" t="s">
        <v>32</v>
      </c>
      <c r="G19" s="34">
        <v>9</v>
      </c>
      <c r="H19" s="107">
        <f>IF(B$51=0,0,G19/B$51)</f>
        <v>7.0977917981072556E-3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">
      <c r="A20" s="37" t="s">
        <v>13</v>
      </c>
      <c r="B20" s="34">
        <v>744</v>
      </c>
      <c r="C20" s="31">
        <f>IF(B$3=0,0,B20/B$3)</f>
        <v>0.17029068436713207</v>
      </c>
      <c r="E20" s="44" t="s">
        <v>153</v>
      </c>
      <c r="F20" s="41" t="s">
        <v>154</v>
      </c>
      <c r="G20" s="34">
        <v>8</v>
      </c>
      <c r="H20" s="107">
        <f>IF(B$51=0,0,G20/B$51)</f>
        <v>6.3091482649842269E-3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">
      <c r="A21" s="37" t="s">
        <v>12</v>
      </c>
      <c r="B21" s="34">
        <v>547</v>
      </c>
      <c r="C21" s="31">
        <f>IF(B$19=0,0,B21/B$19)</f>
        <v>0.41915708812260538</v>
      </c>
      <c r="E21" s="44" t="s">
        <v>73</v>
      </c>
      <c r="F21" s="41" t="s">
        <v>28</v>
      </c>
      <c r="G21" s="34">
        <v>7</v>
      </c>
      <c r="H21" s="107">
        <f>IF(B$51=0,0,G21/B$51)</f>
        <v>5.5205047318611991E-3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-0.493999999999999</v>
      </c>
      <c r="P21" s="93">
        <v>150</v>
      </c>
      <c r="Q21" s="81">
        <v>-74.099999999999852</v>
      </c>
    </row>
    <row r="22" spans="1:17" x14ac:dyDescent="0.4">
      <c r="A22" s="37" t="s">
        <v>11</v>
      </c>
      <c r="B22" s="34">
        <v>758</v>
      </c>
      <c r="C22" s="31">
        <f>IF(B$19=0,0,B22/B$19)</f>
        <v>0.58084291187739467</v>
      </c>
      <c r="E22" s="44" t="s">
        <v>74</v>
      </c>
      <c r="F22" s="41" t="s">
        <v>29</v>
      </c>
      <c r="G22" s="34">
        <v>6</v>
      </c>
      <c r="H22" s="107">
        <f>IF(B$51=0,0,G22/B$51)</f>
        <v>4.7318611987381704E-3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-3.1111111111111089</v>
      </c>
      <c r="P22" s="93">
        <v>162</v>
      </c>
      <c r="Q22" s="81">
        <v>-503.99999999999966</v>
      </c>
    </row>
    <row r="23" spans="1:17" x14ac:dyDescent="0.4">
      <c r="A23" s="37" t="s">
        <v>180</v>
      </c>
      <c r="B23" s="34">
        <v>555</v>
      </c>
      <c r="C23" s="31">
        <f>IF(B$19=0,0,B23/B$19)</f>
        <v>0.42528735632183906</v>
      </c>
      <c r="E23" s="44" t="s">
        <v>75</v>
      </c>
      <c r="F23" s="41" t="s">
        <v>30</v>
      </c>
      <c r="G23" s="34">
        <v>6</v>
      </c>
      <c r="H23" s="107">
        <f>IF(B$51=0,0,G23/B$51)</f>
        <v>4.7318611987381704E-3</v>
      </c>
      <c r="I23" s="68">
        <v>9</v>
      </c>
      <c r="K23" s="5">
        <v>21</v>
      </c>
      <c r="L23" s="73">
        <v>129.69999999999996</v>
      </c>
      <c r="N23" s="89" t="s">
        <v>188</v>
      </c>
      <c r="O23" s="99">
        <f>IF(P23=0,0,Q23/P23)</f>
        <v>-5.7897435897435896</v>
      </c>
      <c r="P23" s="93">
        <v>117</v>
      </c>
      <c r="Q23" s="81">
        <v>-677.4</v>
      </c>
    </row>
    <row r="24" spans="1:17" x14ac:dyDescent="0.4">
      <c r="A24" s="37" t="s">
        <v>178</v>
      </c>
      <c r="B24" s="34">
        <v>399</v>
      </c>
      <c r="C24" s="31">
        <f>IF(B$19=0,0,B24/B$19)</f>
        <v>0.30574712643678159</v>
      </c>
      <c r="E24" s="44" t="s">
        <v>92</v>
      </c>
      <c r="F24" s="41" t="s">
        <v>47</v>
      </c>
      <c r="G24" s="34">
        <v>6</v>
      </c>
      <c r="H24" s="107">
        <f>IF(B$51=0,0,G24/B$51)</f>
        <v>4.7318611987381704E-3</v>
      </c>
      <c r="I24" s="68">
        <v>8</v>
      </c>
      <c r="K24" s="5">
        <v>22</v>
      </c>
      <c r="L24" s="73">
        <v>174.29999999999995</v>
      </c>
      <c r="N24" s="89" t="s">
        <v>196</v>
      </c>
      <c r="O24" s="99">
        <f>IF(P24=0,0,Q24/P24)</f>
        <v>-6.2</v>
      </c>
      <c r="P24" s="93">
        <v>3</v>
      </c>
      <c r="Q24" s="81">
        <v>-18.600000000000001</v>
      </c>
    </row>
    <row r="25" spans="1:17" x14ac:dyDescent="0.4">
      <c r="A25" s="37" t="s">
        <v>179</v>
      </c>
      <c r="B25" s="34">
        <v>351</v>
      </c>
      <c r="C25" s="31">
        <f>IF(B$19=0,0,B25/B$19)</f>
        <v>0.26896551724137929</v>
      </c>
      <c r="E25" s="44" t="s">
        <v>84</v>
      </c>
      <c r="F25" s="41" t="s">
        <v>39</v>
      </c>
      <c r="G25" s="34">
        <v>4</v>
      </c>
      <c r="H25" s="107">
        <f>IF(B$51=0,0,G25/B$51)</f>
        <v>3.1545741324921135E-3</v>
      </c>
      <c r="I25" s="68">
        <v>3</v>
      </c>
      <c r="K25" s="5">
        <v>23</v>
      </c>
      <c r="L25" s="73">
        <v>172.89999999999995</v>
      </c>
      <c r="N25" s="89" t="s">
        <v>189</v>
      </c>
      <c r="O25" s="99">
        <f>IF(P25=0,0,Q25/P25)</f>
        <v>-12</v>
      </c>
      <c r="P25" s="93">
        <v>6</v>
      </c>
      <c r="Q25" s="81">
        <v>-72</v>
      </c>
    </row>
    <row r="26" spans="1:17" x14ac:dyDescent="0.4">
      <c r="A26" s="37" t="s">
        <v>5</v>
      </c>
      <c r="B26" s="17">
        <f>IF(B$19=0,0,C26/B$19)</f>
        <v>8440.3831417624515</v>
      </c>
      <c r="C26" s="8">
        <v>11014700</v>
      </c>
      <c r="E26" s="44" t="s">
        <v>93</v>
      </c>
      <c r="F26" s="41" t="s">
        <v>48</v>
      </c>
      <c r="G26" s="34">
        <v>4</v>
      </c>
      <c r="H26" s="107">
        <f>IF(B$51=0,0,G26/B$51)</f>
        <v>3.1545741324921135E-3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-12.782352941176478</v>
      </c>
      <c r="P26" s="93">
        <v>374</v>
      </c>
      <c r="Q26" s="81">
        <v>-4780.6000000000031</v>
      </c>
    </row>
    <row r="27" spans="1:17" x14ac:dyDescent="0.4">
      <c r="A27" s="38" t="s">
        <v>162</v>
      </c>
      <c r="B27" s="114">
        <f>IF($B$19-B$18=0,0,C27/($B$19-B$18))</f>
        <v>9122.9580573951444</v>
      </c>
      <c r="C27" s="115">
        <v>8265400</v>
      </c>
      <c r="E27" s="44" t="s">
        <v>87</v>
      </c>
      <c r="F27" s="41" t="s">
        <v>42</v>
      </c>
      <c r="G27" s="34">
        <v>3</v>
      </c>
      <c r="H27" s="107">
        <f>IF(B$51=0,0,G27/B$51)</f>
        <v>2.3659305993690852E-3</v>
      </c>
      <c r="I27" s="68">
        <v>5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">
      <c r="A28" s="38" t="s">
        <v>163</v>
      </c>
      <c r="B28" s="114">
        <f>IF(B$18=0,0,C28/B$18)</f>
        <v>6890.4761904761908</v>
      </c>
      <c r="C28" s="115">
        <v>2749300</v>
      </c>
      <c r="E28" s="44" t="s">
        <v>90</v>
      </c>
      <c r="F28" s="41" t="s">
        <v>45</v>
      </c>
      <c r="G28" s="34">
        <v>2</v>
      </c>
      <c r="H28" s="107">
        <f>IF(B$51=0,0,G28/B$51)</f>
        <v>1.5772870662460567E-3</v>
      </c>
      <c r="I28" s="68">
        <v>5</v>
      </c>
      <c r="K28" s="5">
        <v>26</v>
      </c>
      <c r="L28" s="73">
        <v>128.69999999999993</v>
      </c>
    </row>
    <row r="29" spans="1:17" x14ac:dyDescent="0.4">
      <c r="A29" s="38" t="s">
        <v>161</v>
      </c>
      <c r="B29" s="114">
        <f>IF(B$20=0,0,C29/B$20)</f>
        <v>-8450.1344086021509</v>
      </c>
      <c r="C29" s="115">
        <v>-6286900</v>
      </c>
      <c r="E29" s="44" t="s">
        <v>76</v>
      </c>
      <c r="F29" s="41" t="s">
        <v>31</v>
      </c>
      <c r="G29" s="34">
        <v>1</v>
      </c>
      <c r="H29" s="107">
        <f>IF(B$51=0,0,G29/B$51)</f>
        <v>7.8864353312302837E-4</v>
      </c>
      <c r="I29" s="68">
        <v>1</v>
      </c>
      <c r="K29" s="5">
        <v>27</v>
      </c>
      <c r="L29" s="73">
        <v>84.699999999999932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7.8864353312302837E-4</v>
      </c>
      <c r="I30" s="68">
        <v>9</v>
      </c>
      <c r="K30" s="5">
        <v>28</v>
      </c>
      <c r="L30" s="73">
        <v>43.699999999999932</v>
      </c>
    </row>
    <row r="31" spans="1:17" x14ac:dyDescent="0.4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7.8864353312302837E-4</v>
      </c>
      <c r="I31" s="68">
        <v>7</v>
      </c>
      <c r="K31" s="5">
        <v>29</v>
      </c>
      <c r="L31" s="73">
        <v>32.899999999999935</v>
      </c>
    </row>
    <row r="32" spans="1:17" x14ac:dyDescent="0.4">
      <c r="A32" s="64" t="s">
        <v>134</v>
      </c>
      <c r="B32" s="143">
        <v>9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7.8864353312302837E-4</v>
      </c>
      <c r="I32" s="68">
        <v>6</v>
      </c>
      <c r="K32" s="5">
        <v>30</v>
      </c>
      <c r="L32" s="73">
        <v>48.499999999999936</v>
      </c>
    </row>
    <row r="33" spans="1:12" x14ac:dyDescent="0.4">
      <c r="A33" s="40" t="s">
        <v>177</v>
      </c>
      <c r="B33" s="141">
        <v>109300</v>
      </c>
      <c r="C33" s="14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">
      <c r="A34" s="39" t="s">
        <v>135</v>
      </c>
      <c r="B34" s="27">
        <v>14</v>
      </c>
      <c r="C34" s="32">
        <f>IF(B$3=0,0,B34/B$3)</f>
        <v>3.2043945983062485E-3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64" t="s">
        <v>168</v>
      </c>
      <c r="B36" s="125">
        <v>88</v>
      </c>
      <c r="C36" s="119">
        <f>IF(B$19=0,0,B36/B$19)</f>
        <v>6.7432950191570876E-2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164</v>
      </c>
      <c r="B37" s="34">
        <v>228</v>
      </c>
      <c r="C37" s="31">
        <f t="shared" ref="C37:C48" si="2">IF(B$19=0,0,B37/B$19)</f>
        <v>0.17471264367816092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165</v>
      </c>
      <c r="B38" s="128">
        <v>264</v>
      </c>
      <c r="C38" s="31">
        <f>IF(B$19=0,0,B38/B$19)</f>
        <v>0.20229885057471264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166</v>
      </c>
      <c r="B39" s="128">
        <v>246</v>
      </c>
      <c r="C39" s="31">
        <f t="shared" si="2"/>
        <v>0.18850574712643678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167</v>
      </c>
      <c r="B40" s="128">
        <v>177</v>
      </c>
      <c r="C40" s="31">
        <f t="shared" si="2"/>
        <v>0.13563218390804599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169</v>
      </c>
      <c r="B41" s="128">
        <v>112</v>
      </c>
      <c r="C41" s="31">
        <f t="shared" si="2"/>
        <v>8.5823754789272025E-2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170</v>
      </c>
      <c r="B42" s="128">
        <v>55</v>
      </c>
      <c r="C42" s="31">
        <f t="shared" si="2"/>
        <v>4.2145593869731802E-2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">
      <c r="A43" s="37" t="s">
        <v>171</v>
      </c>
      <c r="B43" s="128">
        <v>39</v>
      </c>
      <c r="C43" s="31">
        <f t="shared" si="2"/>
        <v>2.9885057471264367E-2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7" t="s">
        <v>172</v>
      </c>
      <c r="B44" s="128">
        <v>19</v>
      </c>
      <c r="C44" s="31">
        <f t="shared" si="2"/>
        <v>1.4559386973180077E-2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A45" s="37" t="s">
        <v>173</v>
      </c>
      <c r="B45" s="128">
        <v>13</v>
      </c>
      <c r="C45" s="31">
        <f t="shared" si="2"/>
        <v>9.9616858237547897E-3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37" t="s">
        <v>174</v>
      </c>
      <c r="B46" s="128">
        <v>11</v>
      </c>
      <c r="C46" s="31">
        <f t="shared" si="2"/>
        <v>8.4291187739463595E-3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7" t="s">
        <v>175</v>
      </c>
      <c r="B47" s="128">
        <v>2</v>
      </c>
      <c r="C47" s="31">
        <f t="shared" si="2"/>
        <v>1.5325670498084292E-3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A48" s="39" t="s">
        <v>176</v>
      </c>
      <c r="B48" s="124">
        <v>14</v>
      </c>
      <c r="C48" s="32">
        <f t="shared" si="2"/>
        <v>1.0727969348659003E-2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">
      <c r="A50" s="64" t="s">
        <v>181</v>
      </c>
      <c r="B50" s="131">
        <v>4243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">
      <c r="A51" s="39" t="s">
        <v>182</v>
      </c>
      <c r="B51" s="139">
        <v>1268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">
      <c r="K53" s="5">
        <v>51</v>
      </c>
      <c r="L53" s="73">
        <v>196.99999999999994</v>
      </c>
    </row>
    <row r="54" spans="1:12" x14ac:dyDescent="0.4">
      <c r="K54" s="5">
        <v>52</v>
      </c>
      <c r="L54" s="73">
        <v>196.59999999999994</v>
      </c>
    </row>
    <row r="55" spans="1:12" x14ac:dyDescent="0.4">
      <c r="K55" s="5">
        <v>53</v>
      </c>
      <c r="L55" s="73">
        <v>214.69999999999993</v>
      </c>
    </row>
    <row r="56" spans="1:12" x14ac:dyDescent="0.4">
      <c r="K56" s="5">
        <v>54</v>
      </c>
      <c r="L56" s="73">
        <v>237.49999999999994</v>
      </c>
    </row>
    <row r="57" spans="1:12" x14ac:dyDescent="0.4">
      <c r="K57" s="5">
        <v>55</v>
      </c>
      <c r="L57" s="73">
        <v>224.69999999999993</v>
      </c>
    </row>
    <row r="58" spans="1:12" x14ac:dyDescent="0.4">
      <c r="K58" s="5">
        <v>56</v>
      </c>
      <c r="L58" s="73">
        <v>260.69999999999993</v>
      </c>
    </row>
    <row r="59" spans="1:12" x14ac:dyDescent="0.4">
      <c r="K59" s="5">
        <v>57</v>
      </c>
      <c r="L59" s="73">
        <v>211.59999999999994</v>
      </c>
    </row>
    <row r="60" spans="1:12" x14ac:dyDescent="0.4">
      <c r="K60" s="5">
        <v>58</v>
      </c>
      <c r="L60" s="73">
        <v>208.99999999999994</v>
      </c>
    </row>
    <row r="61" spans="1:12" x14ac:dyDescent="0.4">
      <c r="K61" s="5">
        <v>59</v>
      </c>
      <c r="L61" s="73">
        <v>221.49999999999994</v>
      </c>
    </row>
    <row r="62" spans="1:12" x14ac:dyDescent="0.4">
      <c r="K62" s="5">
        <v>60</v>
      </c>
      <c r="L62" s="73">
        <v>233.79999999999995</v>
      </c>
    </row>
    <row r="63" spans="1:12" x14ac:dyDescent="0.4">
      <c r="K63" s="5">
        <v>61</v>
      </c>
      <c r="L63" s="73">
        <v>234.69999999999996</v>
      </c>
    </row>
    <row r="64" spans="1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  <row r="422" spans="11:12" x14ac:dyDescent="0.4">
      <c r="K422" s="5">
        <v>420</v>
      </c>
      <c r="L422" s="73">
        <v>-908.20000000000061</v>
      </c>
    </row>
    <row r="423" spans="11:12" x14ac:dyDescent="0.4">
      <c r="K423" s="5">
        <v>421</v>
      </c>
      <c r="L423" s="73">
        <v>-860.80000000000064</v>
      </c>
    </row>
    <row r="424" spans="11:12" x14ac:dyDescent="0.4">
      <c r="K424" s="5">
        <v>422</v>
      </c>
      <c r="L424" s="73">
        <v>-871.50000000000057</v>
      </c>
    </row>
    <row r="425" spans="11:12" x14ac:dyDescent="0.4">
      <c r="K425" s="5">
        <v>423</v>
      </c>
      <c r="L425" s="73">
        <v>-877.00000000000057</v>
      </c>
    </row>
    <row r="426" spans="11:12" x14ac:dyDescent="0.4">
      <c r="K426" s="5">
        <v>424</v>
      </c>
      <c r="L426" s="73">
        <v>-874.40000000000055</v>
      </c>
    </row>
    <row r="427" spans="11:12" x14ac:dyDescent="0.4">
      <c r="K427" s="5">
        <v>425</v>
      </c>
      <c r="L427" s="73">
        <v>-847.60000000000059</v>
      </c>
    </row>
    <row r="428" spans="11:12" x14ac:dyDescent="0.4">
      <c r="K428" s="5">
        <v>426</v>
      </c>
      <c r="L428" s="73">
        <v>-829.50000000000057</v>
      </c>
    </row>
    <row r="429" spans="11:12" x14ac:dyDescent="0.4">
      <c r="K429" s="5">
        <v>427</v>
      </c>
      <c r="L429" s="73">
        <v>-882.10000000000059</v>
      </c>
    </row>
    <row r="430" spans="11:12" x14ac:dyDescent="0.4">
      <c r="K430" s="5">
        <v>428</v>
      </c>
      <c r="L430" s="73">
        <v>-924.10000000000059</v>
      </c>
    </row>
    <row r="431" spans="11:12" x14ac:dyDescent="0.4">
      <c r="K431" s="5">
        <v>429</v>
      </c>
      <c r="L431" s="73">
        <v>-918.90000000000055</v>
      </c>
    </row>
    <row r="432" spans="11:12" x14ac:dyDescent="0.4">
      <c r="K432" s="5">
        <v>430</v>
      </c>
      <c r="L432" s="73">
        <v>-970.40000000000055</v>
      </c>
    </row>
    <row r="433" spans="11:12" x14ac:dyDescent="0.4">
      <c r="K433" s="5">
        <v>431</v>
      </c>
      <c r="L433" s="73">
        <v>-977.40000000000055</v>
      </c>
    </row>
    <row r="434" spans="11:12" x14ac:dyDescent="0.4">
      <c r="K434" s="5">
        <v>432</v>
      </c>
      <c r="L434" s="73">
        <v>-990.30000000000052</v>
      </c>
    </row>
    <row r="435" spans="11:12" x14ac:dyDescent="0.4">
      <c r="K435" s="5">
        <v>433</v>
      </c>
      <c r="L435" s="73">
        <v>-968.60000000000059</v>
      </c>
    </row>
    <row r="436" spans="11:12" x14ac:dyDescent="0.4">
      <c r="K436" s="5">
        <v>434</v>
      </c>
      <c r="L436" s="73">
        <v>-911.7000000000005</v>
      </c>
    </row>
    <row r="437" spans="11:12" x14ac:dyDescent="0.4">
      <c r="K437" s="5">
        <v>435</v>
      </c>
      <c r="L437" s="73">
        <v>-910.80000000000052</v>
      </c>
    </row>
    <row r="438" spans="11:12" x14ac:dyDescent="0.4">
      <c r="K438" s="5">
        <v>436</v>
      </c>
      <c r="L438" s="73">
        <v>-946.40000000000055</v>
      </c>
    </row>
    <row r="439" spans="11:12" x14ac:dyDescent="0.4">
      <c r="K439" s="5">
        <v>437</v>
      </c>
      <c r="L439" s="73">
        <v>-954.50000000000057</v>
      </c>
    </row>
    <row r="440" spans="11:12" x14ac:dyDescent="0.4">
      <c r="K440" s="5">
        <v>438</v>
      </c>
      <c r="L440" s="73">
        <v>-979.30000000000052</v>
      </c>
    </row>
    <row r="441" spans="11:12" x14ac:dyDescent="0.4">
      <c r="K441" s="5">
        <v>439</v>
      </c>
      <c r="L441" s="73">
        <v>-943.10000000000059</v>
      </c>
    </row>
    <row r="442" spans="11:12" x14ac:dyDescent="0.4">
      <c r="K442" s="5">
        <v>440</v>
      </c>
      <c r="L442" s="73">
        <v>-941.00000000000057</v>
      </c>
    </row>
    <row r="443" spans="11:12" x14ac:dyDescent="0.4">
      <c r="K443" s="5">
        <v>441</v>
      </c>
      <c r="L443" s="73">
        <v>-970.00000000000057</v>
      </c>
    </row>
    <row r="444" spans="11:12" x14ac:dyDescent="0.4">
      <c r="K444" s="5">
        <v>442</v>
      </c>
      <c r="L444" s="73">
        <v>-990.2000000000005</v>
      </c>
    </row>
    <row r="445" spans="11:12" x14ac:dyDescent="0.4">
      <c r="K445" s="5">
        <v>443</v>
      </c>
      <c r="L445" s="73">
        <v>-1020.2000000000005</v>
      </c>
    </row>
    <row r="446" spans="11:12" x14ac:dyDescent="0.4">
      <c r="K446" s="5">
        <v>444</v>
      </c>
      <c r="L446" s="73">
        <v>-971.40000000000055</v>
      </c>
    </row>
    <row r="447" spans="11:12" x14ac:dyDescent="0.4">
      <c r="K447" s="5">
        <v>445</v>
      </c>
      <c r="L447" s="73">
        <v>-940.7000000000005</v>
      </c>
    </row>
    <row r="448" spans="11:12" x14ac:dyDescent="0.4">
      <c r="K448" s="5">
        <v>446</v>
      </c>
      <c r="L448" s="73">
        <v>-980.30000000000052</v>
      </c>
    </row>
    <row r="449" spans="11:12" x14ac:dyDescent="0.4">
      <c r="K449" s="5">
        <v>447</v>
      </c>
      <c r="L449" s="73">
        <v>-945.90000000000055</v>
      </c>
    </row>
    <row r="450" spans="11:12" x14ac:dyDescent="0.4">
      <c r="K450" s="5">
        <v>448</v>
      </c>
      <c r="L450" s="73">
        <v>-980.30000000000052</v>
      </c>
    </row>
    <row r="451" spans="11:12" x14ac:dyDescent="0.4">
      <c r="K451" s="5">
        <v>449</v>
      </c>
      <c r="L451" s="73">
        <v>-1003.7000000000005</v>
      </c>
    </row>
    <row r="452" spans="11:12" x14ac:dyDescent="0.4">
      <c r="K452" s="5">
        <v>450</v>
      </c>
      <c r="L452" s="73">
        <v>-943.10000000000059</v>
      </c>
    </row>
    <row r="453" spans="11:12" x14ac:dyDescent="0.4">
      <c r="K453" s="5">
        <v>451</v>
      </c>
      <c r="L453" s="73">
        <v>-981.60000000000059</v>
      </c>
    </row>
    <row r="454" spans="11:12" x14ac:dyDescent="0.4">
      <c r="K454" s="5">
        <v>452</v>
      </c>
      <c r="L454" s="73">
        <v>-1016.6000000000006</v>
      </c>
    </row>
    <row r="455" spans="11:12" x14ac:dyDescent="0.4">
      <c r="K455" s="5">
        <v>453</v>
      </c>
      <c r="L455" s="73">
        <v>-1011.2000000000005</v>
      </c>
    </row>
    <row r="456" spans="11:12" x14ac:dyDescent="0.4">
      <c r="K456" s="5">
        <v>454</v>
      </c>
      <c r="L456" s="73">
        <v>-1046.2000000000005</v>
      </c>
    </row>
    <row r="457" spans="11:12" x14ac:dyDescent="0.4">
      <c r="K457" s="5">
        <v>455</v>
      </c>
      <c r="L457" s="73">
        <v>-1045.9000000000005</v>
      </c>
    </row>
    <row r="458" spans="11:12" x14ac:dyDescent="0.4">
      <c r="K458" s="5">
        <v>456</v>
      </c>
      <c r="L458" s="73">
        <v>-1033.9000000000005</v>
      </c>
    </row>
    <row r="459" spans="11:12" x14ac:dyDescent="0.4">
      <c r="K459" s="5">
        <v>457</v>
      </c>
      <c r="L459" s="73">
        <v>-994.2000000000005</v>
      </c>
    </row>
    <row r="460" spans="11:12" x14ac:dyDescent="0.4">
      <c r="K460" s="5">
        <v>458</v>
      </c>
      <c r="L460" s="73">
        <v>-1014.2000000000005</v>
      </c>
    </row>
    <row r="461" spans="11:12" x14ac:dyDescent="0.4">
      <c r="K461" s="5">
        <v>459</v>
      </c>
      <c r="L461" s="73">
        <v>-993.2000000000005</v>
      </c>
    </row>
    <row r="462" spans="11:12" x14ac:dyDescent="0.4">
      <c r="K462" s="5">
        <v>460</v>
      </c>
      <c r="L462" s="73">
        <v>-955.00000000000057</v>
      </c>
    </row>
    <row r="463" spans="11:12" x14ac:dyDescent="0.4">
      <c r="K463" s="5">
        <v>461</v>
      </c>
      <c r="L463" s="73">
        <v>-983.7000000000005</v>
      </c>
    </row>
    <row r="464" spans="11:12" x14ac:dyDescent="0.4">
      <c r="K464" s="5">
        <v>462</v>
      </c>
      <c r="L464" s="73">
        <v>-1027.7000000000005</v>
      </c>
    </row>
    <row r="465" spans="11:12" x14ac:dyDescent="0.4">
      <c r="K465" s="5">
        <v>463</v>
      </c>
      <c r="L465" s="73">
        <v>-1046.6000000000006</v>
      </c>
    </row>
    <row r="466" spans="11:12" x14ac:dyDescent="0.4">
      <c r="K466" s="5">
        <v>464</v>
      </c>
      <c r="L466" s="73">
        <v>-1024.3000000000006</v>
      </c>
    </row>
    <row r="467" spans="11:12" x14ac:dyDescent="0.4">
      <c r="K467" s="5">
        <v>465</v>
      </c>
      <c r="L467" s="73">
        <v>-977.00000000000057</v>
      </c>
    </row>
    <row r="468" spans="11:12" x14ac:dyDescent="0.4">
      <c r="K468" s="5">
        <v>466</v>
      </c>
      <c r="L468" s="73">
        <v>-1011.5000000000006</v>
      </c>
    </row>
    <row r="469" spans="11:12" x14ac:dyDescent="0.4">
      <c r="K469" s="5">
        <v>467</v>
      </c>
      <c r="L469" s="73">
        <v>-1050.2000000000005</v>
      </c>
    </row>
    <row r="470" spans="11:12" x14ac:dyDescent="0.4">
      <c r="K470" s="5">
        <v>468</v>
      </c>
      <c r="L470" s="73">
        <v>-1025.0000000000005</v>
      </c>
    </row>
    <row r="471" spans="11:12" x14ac:dyDescent="0.4">
      <c r="K471" s="5">
        <v>469</v>
      </c>
      <c r="L471" s="73">
        <v>-1004.9000000000005</v>
      </c>
    </row>
    <row r="472" spans="11:12" x14ac:dyDescent="0.4">
      <c r="K472" s="5">
        <v>470</v>
      </c>
      <c r="L472" s="73">
        <v>-980.7000000000005</v>
      </c>
    </row>
    <row r="473" spans="11:12" x14ac:dyDescent="0.4">
      <c r="K473" s="5">
        <v>471</v>
      </c>
      <c r="L473" s="73">
        <v>-981.30000000000052</v>
      </c>
    </row>
    <row r="474" spans="11:12" x14ac:dyDescent="0.4">
      <c r="K474" s="5">
        <v>472</v>
      </c>
      <c r="L474" s="73">
        <v>-1005.1000000000006</v>
      </c>
    </row>
    <row r="475" spans="11:12" x14ac:dyDescent="0.4">
      <c r="K475" s="5">
        <v>473</v>
      </c>
      <c r="L475" s="73">
        <v>-1029.5000000000005</v>
      </c>
    </row>
    <row r="476" spans="11:12" x14ac:dyDescent="0.4">
      <c r="K476" s="5">
        <v>474</v>
      </c>
      <c r="L476" s="73">
        <v>-1062.6000000000006</v>
      </c>
    </row>
    <row r="477" spans="11:12" x14ac:dyDescent="0.4">
      <c r="K477" s="5">
        <v>475</v>
      </c>
      <c r="L477" s="73">
        <v>-1073.5000000000005</v>
      </c>
    </row>
    <row r="478" spans="11:12" x14ac:dyDescent="0.4">
      <c r="K478" s="5">
        <v>476</v>
      </c>
      <c r="L478" s="73">
        <v>-1043.2000000000005</v>
      </c>
    </row>
    <row r="479" spans="11:12" x14ac:dyDescent="0.4">
      <c r="K479" s="5">
        <v>477</v>
      </c>
      <c r="L479" s="73">
        <v>-1070.7000000000005</v>
      </c>
    </row>
    <row r="480" spans="11:12" x14ac:dyDescent="0.4">
      <c r="K480" s="5">
        <v>478</v>
      </c>
      <c r="L480" s="73">
        <v>-1008.1000000000006</v>
      </c>
    </row>
    <row r="481" spans="11:12" x14ac:dyDescent="0.4">
      <c r="K481" s="5">
        <v>479</v>
      </c>
      <c r="L481" s="73">
        <v>-1013.1000000000006</v>
      </c>
    </row>
    <row r="482" spans="11:12" x14ac:dyDescent="0.4">
      <c r="K482" s="5">
        <v>480</v>
      </c>
      <c r="L482" s="73">
        <v>-1049.1000000000006</v>
      </c>
    </row>
    <row r="483" spans="11:12" x14ac:dyDescent="0.4">
      <c r="K483" s="5">
        <v>481</v>
      </c>
      <c r="L483" s="73">
        <v>-1103.8000000000006</v>
      </c>
    </row>
    <row r="484" spans="11:12" x14ac:dyDescent="0.4">
      <c r="K484" s="5">
        <v>482</v>
      </c>
      <c r="L484" s="73">
        <v>-1082.9000000000005</v>
      </c>
    </row>
    <row r="485" spans="11:12" x14ac:dyDescent="0.4">
      <c r="K485" s="5">
        <v>483</v>
      </c>
      <c r="L485" s="73">
        <v>-1092.7000000000005</v>
      </c>
    </row>
    <row r="486" spans="11:12" x14ac:dyDescent="0.4">
      <c r="K486" s="5">
        <v>484</v>
      </c>
      <c r="L486" s="73">
        <v>-1099.6000000000006</v>
      </c>
    </row>
    <row r="487" spans="11:12" x14ac:dyDescent="0.4">
      <c r="K487" s="5">
        <v>485</v>
      </c>
      <c r="L487" s="73">
        <v>-1094.4000000000005</v>
      </c>
    </row>
    <row r="488" spans="11:12" x14ac:dyDescent="0.4">
      <c r="K488" s="5">
        <v>486</v>
      </c>
      <c r="L488" s="73">
        <v>-1029.3000000000006</v>
      </c>
    </row>
    <row r="489" spans="11:12" x14ac:dyDescent="0.4">
      <c r="K489" s="5">
        <v>487</v>
      </c>
      <c r="L489" s="73">
        <v>-1020.6000000000006</v>
      </c>
    </row>
    <row r="490" spans="11:12" x14ac:dyDescent="0.4">
      <c r="K490" s="5">
        <v>488</v>
      </c>
      <c r="L490" s="73">
        <v>-1031.1000000000006</v>
      </c>
    </row>
    <row r="491" spans="11:12" x14ac:dyDescent="0.4">
      <c r="K491" s="5">
        <v>489</v>
      </c>
      <c r="L491" s="73">
        <v>-1030.7000000000005</v>
      </c>
    </row>
    <row r="492" spans="11:12" x14ac:dyDescent="0.4">
      <c r="K492" s="5">
        <v>490</v>
      </c>
      <c r="L492" s="73">
        <v>-1047.8000000000006</v>
      </c>
    </row>
    <row r="493" spans="11:12" x14ac:dyDescent="0.4">
      <c r="K493" s="5">
        <v>491</v>
      </c>
      <c r="L493" s="73">
        <v>-1091.2000000000005</v>
      </c>
    </row>
    <row r="494" spans="11:12" x14ac:dyDescent="0.4">
      <c r="K494" s="5">
        <v>492</v>
      </c>
      <c r="L494" s="73">
        <v>-1074.3000000000006</v>
      </c>
    </row>
    <row r="495" spans="11:12" x14ac:dyDescent="0.4">
      <c r="K495" s="5">
        <v>493</v>
      </c>
      <c r="L495" s="73">
        <v>-1041.9000000000005</v>
      </c>
    </row>
    <row r="496" spans="11:12" x14ac:dyDescent="0.4">
      <c r="K496" s="5">
        <v>494</v>
      </c>
      <c r="L496" s="73">
        <v>-1061.6000000000006</v>
      </c>
    </row>
    <row r="497" spans="11:12" x14ac:dyDescent="0.4">
      <c r="K497" s="5">
        <v>495</v>
      </c>
      <c r="L497" s="73">
        <v>-1036.7000000000005</v>
      </c>
    </row>
    <row r="498" spans="11:12" x14ac:dyDescent="0.4">
      <c r="K498" s="5">
        <v>496</v>
      </c>
      <c r="L498" s="73">
        <v>-996.10000000000059</v>
      </c>
    </row>
    <row r="499" spans="11:12" x14ac:dyDescent="0.4">
      <c r="K499" s="5">
        <v>497</v>
      </c>
      <c r="L499" s="73">
        <v>-957.00000000000057</v>
      </c>
    </row>
    <row r="500" spans="11:12" x14ac:dyDescent="0.4">
      <c r="K500" s="5">
        <v>498</v>
      </c>
      <c r="L500" s="73">
        <v>-914.50000000000057</v>
      </c>
    </row>
    <row r="501" spans="11:12" x14ac:dyDescent="0.4">
      <c r="K501" s="5">
        <v>499</v>
      </c>
      <c r="L501" s="73">
        <v>-914.20000000000061</v>
      </c>
    </row>
    <row r="502" spans="11:12" x14ac:dyDescent="0.4">
      <c r="K502" s="5">
        <v>500</v>
      </c>
      <c r="L502" s="73">
        <v>-897.30000000000064</v>
      </c>
    </row>
    <row r="503" spans="11:12" x14ac:dyDescent="0.4">
      <c r="K503" s="5">
        <v>501</v>
      </c>
      <c r="L503" s="73">
        <v>-931.80000000000064</v>
      </c>
    </row>
    <row r="504" spans="11:12" x14ac:dyDescent="0.4">
      <c r="K504" s="5">
        <v>502</v>
      </c>
      <c r="L504" s="73">
        <v>-957.40000000000055</v>
      </c>
    </row>
    <row r="505" spans="11:12" x14ac:dyDescent="0.4">
      <c r="K505" s="5">
        <v>503</v>
      </c>
      <c r="L505" s="73">
        <v>-972.80000000000064</v>
      </c>
    </row>
    <row r="506" spans="11:12" x14ac:dyDescent="0.4">
      <c r="K506" s="5">
        <v>504</v>
      </c>
      <c r="L506" s="73">
        <v>-980.20000000000061</v>
      </c>
    </row>
    <row r="507" spans="11:12" x14ac:dyDescent="0.4">
      <c r="K507" s="5">
        <v>505</v>
      </c>
      <c r="L507" s="73">
        <v>-912.00000000000057</v>
      </c>
    </row>
    <row r="508" spans="11:12" x14ac:dyDescent="0.4">
      <c r="K508" s="5">
        <v>506</v>
      </c>
      <c r="L508" s="73">
        <v>-939.00000000000057</v>
      </c>
    </row>
    <row r="509" spans="11:12" x14ac:dyDescent="0.4">
      <c r="K509" s="5">
        <v>507</v>
      </c>
      <c r="L509" s="73">
        <v>-971.30000000000064</v>
      </c>
    </row>
    <row r="510" spans="11:12" x14ac:dyDescent="0.4">
      <c r="K510" s="5">
        <v>508</v>
      </c>
      <c r="L510" s="73">
        <v>-1021.4000000000007</v>
      </c>
    </row>
    <row r="511" spans="11:12" x14ac:dyDescent="0.4">
      <c r="K511" s="5">
        <v>509</v>
      </c>
      <c r="L511" s="73">
        <v>-1053.1000000000006</v>
      </c>
    </row>
    <row r="512" spans="11:12" x14ac:dyDescent="0.4">
      <c r="K512" s="5">
        <v>510</v>
      </c>
      <c r="L512" s="73">
        <v>-1110.2000000000007</v>
      </c>
    </row>
    <row r="513" spans="11:12" x14ac:dyDescent="0.4">
      <c r="K513" s="5">
        <v>511</v>
      </c>
      <c r="L513" s="73">
        <v>-1163.2000000000007</v>
      </c>
    </row>
    <row r="514" spans="11:12" x14ac:dyDescent="0.4">
      <c r="K514" s="5">
        <v>512</v>
      </c>
      <c r="L514" s="73">
        <v>-1108.8000000000006</v>
      </c>
    </row>
    <row r="515" spans="11:12" x14ac:dyDescent="0.4">
      <c r="K515" s="5">
        <v>513</v>
      </c>
      <c r="L515" s="73">
        <v>-1100.2000000000007</v>
      </c>
    </row>
    <row r="516" spans="11:12" x14ac:dyDescent="0.4">
      <c r="K516" s="5">
        <v>514</v>
      </c>
      <c r="L516" s="73">
        <v>-1093.0000000000007</v>
      </c>
    </row>
    <row r="517" spans="11:12" x14ac:dyDescent="0.4">
      <c r="K517" s="5">
        <v>515</v>
      </c>
      <c r="L517" s="73">
        <v>-1101.2000000000007</v>
      </c>
    </row>
    <row r="518" spans="11:12" x14ac:dyDescent="0.4">
      <c r="K518" s="5">
        <v>516</v>
      </c>
      <c r="L518" s="73">
        <v>-1088.7000000000007</v>
      </c>
    </row>
    <row r="519" spans="11:12" x14ac:dyDescent="0.4">
      <c r="K519" s="5">
        <v>517</v>
      </c>
      <c r="L519" s="73">
        <v>-1043.6000000000006</v>
      </c>
    </row>
    <row r="520" spans="11:12" x14ac:dyDescent="0.4">
      <c r="K520" s="5">
        <v>518</v>
      </c>
      <c r="L520" s="73">
        <v>-1022.6000000000006</v>
      </c>
    </row>
    <row r="521" spans="11:12" x14ac:dyDescent="0.4">
      <c r="K521" s="5">
        <v>519</v>
      </c>
      <c r="L521" s="73">
        <v>-1045.9000000000005</v>
      </c>
    </row>
    <row r="522" spans="11:12" x14ac:dyDescent="0.4">
      <c r="K522" s="5">
        <v>520</v>
      </c>
      <c r="L522" s="73">
        <v>-1085.0000000000007</v>
      </c>
    </row>
    <row r="523" spans="11:12" x14ac:dyDescent="0.4">
      <c r="K523" s="5">
        <v>521</v>
      </c>
      <c r="L523" s="73">
        <v>-1033.1000000000006</v>
      </c>
    </row>
    <row r="524" spans="11:12" x14ac:dyDescent="0.4">
      <c r="K524" s="5">
        <v>522</v>
      </c>
      <c r="L524" s="73">
        <v>-1026.0000000000007</v>
      </c>
    </row>
    <row r="525" spans="11:12" x14ac:dyDescent="0.4">
      <c r="K525" s="5">
        <v>523</v>
      </c>
      <c r="L525" s="73">
        <v>-1047.8000000000006</v>
      </c>
    </row>
    <row r="526" spans="11:12" x14ac:dyDescent="0.4">
      <c r="K526" s="5">
        <v>524</v>
      </c>
      <c r="L526" s="73">
        <v>-1006.9000000000007</v>
      </c>
    </row>
    <row r="527" spans="11:12" x14ac:dyDescent="0.4">
      <c r="K527" s="5">
        <v>525</v>
      </c>
      <c r="L527" s="73">
        <v>-1021.4000000000007</v>
      </c>
    </row>
    <row r="528" spans="11:12" x14ac:dyDescent="0.4">
      <c r="K528" s="5">
        <v>526</v>
      </c>
      <c r="L528" s="73">
        <v>-1018.6000000000006</v>
      </c>
    </row>
    <row r="529" spans="11:12" x14ac:dyDescent="0.4">
      <c r="K529" s="5">
        <v>527</v>
      </c>
      <c r="L529" s="73">
        <v>-1064.1000000000006</v>
      </c>
    </row>
    <row r="530" spans="11:12" x14ac:dyDescent="0.4">
      <c r="K530" s="5">
        <v>528</v>
      </c>
      <c r="L530" s="73">
        <v>-1048.8000000000006</v>
      </c>
    </row>
    <row r="531" spans="11:12" x14ac:dyDescent="0.4">
      <c r="K531" s="5">
        <v>529</v>
      </c>
      <c r="L531" s="73">
        <v>-1029.3000000000006</v>
      </c>
    </row>
    <row r="532" spans="11:12" x14ac:dyDescent="0.4">
      <c r="K532" s="5">
        <v>530</v>
      </c>
      <c r="L532" s="73">
        <v>-1038.2000000000007</v>
      </c>
    </row>
    <row r="533" spans="11:12" x14ac:dyDescent="0.4">
      <c r="K533" s="5">
        <v>531</v>
      </c>
      <c r="L533" s="73">
        <v>-1042.9000000000005</v>
      </c>
    </row>
    <row r="534" spans="11:12" x14ac:dyDescent="0.4">
      <c r="K534" s="5">
        <v>532</v>
      </c>
      <c r="L534" s="73">
        <v>-1084.5000000000007</v>
      </c>
    </row>
    <row r="535" spans="11:12" x14ac:dyDescent="0.4">
      <c r="K535" s="5">
        <v>533</v>
      </c>
      <c r="L535" s="73">
        <v>-1120.7000000000007</v>
      </c>
    </row>
    <row r="536" spans="11:12" x14ac:dyDescent="0.4">
      <c r="K536" s="5">
        <v>534</v>
      </c>
      <c r="L536" s="73">
        <v>-1161.5000000000007</v>
      </c>
    </row>
    <row r="537" spans="11:12" x14ac:dyDescent="0.4">
      <c r="K537" s="5">
        <v>535</v>
      </c>
      <c r="L537" s="73">
        <v>-1160.5000000000007</v>
      </c>
    </row>
    <row r="538" spans="11:12" x14ac:dyDescent="0.4">
      <c r="K538" s="5">
        <v>536</v>
      </c>
      <c r="L538" s="73">
        <v>-1179.8000000000006</v>
      </c>
    </row>
    <row r="539" spans="11:12" x14ac:dyDescent="0.4">
      <c r="K539" s="5">
        <v>537</v>
      </c>
      <c r="L539" s="73">
        <v>-1222.3000000000006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69C71-F4BC-4088-8BC0-F85590F2F477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33">
        <v>316</v>
      </c>
      <c r="C3" s="13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6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35">
        <v>91.000000000000014</v>
      </c>
      <c r="C4" s="13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45">
        <f>IF(B$2=0,0,(B$7*1+B$8*2+B$9*3)/B$2)</f>
        <v>2.0256410256410255</v>
      </c>
      <c r="C6" s="14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4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10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101.30000000000003</v>
      </c>
    </row>
    <row r="25" spans="1:17" x14ac:dyDescent="0.4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64.700000000000031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">
      <c r="A33" s="40" t="s">
        <v>177</v>
      </c>
      <c r="B33" s="141">
        <v>109300</v>
      </c>
      <c r="C33" s="14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">
      <c r="A36" s="64" t="s">
        <v>168</v>
      </c>
      <c r="B36" s="125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165</v>
      </c>
      <c r="B38" s="128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166</v>
      </c>
      <c r="B39" s="128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167</v>
      </c>
      <c r="B40" s="128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169</v>
      </c>
      <c r="B41" s="128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170</v>
      </c>
      <c r="B42" s="128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">
      <c r="A43" s="37" t="s">
        <v>171</v>
      </c>
      <c r="B43" s="128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">
      <c r="A44" s="37" t="s">
        <v>172</v>
      </c>
      <c r="B44" s="128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">
      <c r="A45" s="37" t="s">
        <v>173</v>
      </c>
      <c r="B45" s="128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">
      <c r="A46" s="37" t="s">
        <v>174</v>
      </c>
      <c r="B46" s="128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">
      <c r="A48" s="39" t="s">
        <v>176</v>
      </c>
      <c r="B48" s="124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61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B8913-B6A7-4623-B9DE-CB1FEDF9017E}">
  <sheetPr codeName="Sheet13"/>
  <dimension ref="A1:Q46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463</v>
      </c>
      <c r="C2" s="132"/>
      <c r="E2" s="43" t="s">
        <v>66</v>
      </c>
      <c r="F2" s="25" t="s">
        <v>22</v>
      </c>
      <c r="G2" s="13">
        <v>876</v>
      </c>
      <c r="H2" s="106">
        <f>IF(B$51=0,0,G2/B$51)</f>
        <v>0.83827751196172251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432.23684210526318</v>
      </c>
      <c r="P2" s="92">
        <v>456</v>
      </c>
      <c r="Q2" s="76">
        <v>197100</v>
      </c>
    </row>
    <row r="3" spans="1:17" x14ac:dyDescent="0.4">
      <c r="A3" s="37" t="s">
        <v>8</v>
      </c>
      <c r="B3" s="133">
        <v>3731</v>
      </c>
      <c r="C3" s="134"/>
      <c r="E3" s="44" t="s">
        <v>72</v>
      </c>
      <c r="F3" s="41" t="s">
        <v>27</v>
      </c>
      <c r="G3" s="34">
        <v>591</v>
      </c>
      <c r="H3" s="107">
        <f>IF(B$51=0,0,G3/B$51)</f>
        <v>0.5655502392344498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-577.90178571428567</v>
      </c>
      <c r="P3" s="93">
        <v>448</v>
      </c>
      <c r="Q3" s="77">
        <v>-258900</v>
      </c>
    </row>
    <row r="4" spans="1:17" x14ac:dyDescent="0.4">
      <c r="A4" s="37" t="s">
        <v>6</v>
      </c>
      <c r="B4" s="135">
        <v>449.10000000000036</v>
      </c>
      <c r="C4" s="136"/>
      <c r="E4" s="44" t="s">
        <v>64</v>
      </c>
      <c r="F4" s="41" t="s">
        <v>20</v>
      </c>
      <c r="G4" s="34">
        <v>575</v>
      </c>
      <c r="H4" s="107">
        <f>IF(B$51=0,0,G4/B$51)</f>
        <v>0.55023923444976075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311.62227602905568</v>
      </c>
      <c r="P4" s="93">
        <v>413</v>
      </c>
      <c r="Q4" s="77">
        <v>128700</v>
      </c>
    </row>
    <row r="5" spans="1:17" x14ac:dyDescent="0.4">
      <c r="A5" s="37" t="s">
        <v>7</v>
      </c>
      <c r="B5" s="137">
        <f>IF(B$2=0,0,B$4/B$2)</f>
        <v>0.96997840172786254</v>
      </c>
      <c r="C5" s="138"/>
      <c r="E5" s="44" t="s">
        <v>67</v>
      </c>
      <c r="F5" s="41" t="s">
        <v>23</v>
      </c>
      <c r="G5" s="34">
        <v>363</v>
      </c>
      <c r="H5" s="107">
        <f>IF(B$51=0,0,G5/B$51)</f>
        <v>0.3473684210526316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621.39037433155079</v>
      </c>
      <c r="P5" s="93">
        <v>374</v>
      </c>
      <c r="Q5" s="77">
        <v>232400</v>
      </c>
    </row>
    <row r="6" spans="1:17" x14ac:dyDescent="0.4">
      <c r="A6" s="37" t="s">
        <v>1</v>
      </c>
      <c r="B6" s="145">
        <f>IF(B$2=0,0,(B$7*1+B$8*2+B$9*3)/B$2)</f>
        <v>2.0215982721382288</v>
      </c>
      <c r="C6" s="146"/>
      <c r="E6" s="44" t="s">
        <v>68</v>
      </c>
      <c r="F6" s="41" t="s">
        <v>12</v>
      </c>
      <c r="G6" s="34">
        <v>348</v>
      </c>
      <c r="H6" s="107">
        <f>IF(B$51=0,0,G6/B$51)</f>
        <v>0.33301435406698565</v>
      </c>
      <c r="I6" s="68">
        <v>7</v>
      </c>
      <c r="K6" s="5">
        <v>4</v>
      </c>
      <c r="L6" s="73">
        <v>-35.099999999999994</v>
      </c>
      <c r="N6" s="89" t="s">
        <v>130</v>
      </c>
      <c r="O6" s="96">
        <f t="shared" si="0"/>
        <v>-754.51895043731781</v>
      </c>
      <c r="P6" s="93">
        <v>343</v>
      </c>
      <c r="Q6" s="77">
        <v>-258800</v>
      </c>
    </row>
    <row r="7" spans="1:17" x14ac:dyDescent="0.4">
      <c r="A7" s="37" t="s">
        <v>2</v>
      </c>
      <c r="B7" s="34">
        <v>155</v>
      </c>
      <c r="C7" s="31">
        <f t="shared" ref="C7:C14" si="1">IF(B$2=0,0,B7/B$2)</f>
        <v>0.33477321814254862</v>
      </c>
      <c r="E7" s="44" t="s">
        <v>157</v>
      </c>
      <c r="F7" s="41" t="s">
        <v>158</v>
      </c>
      <c r="G7" s="34">
        <v>314</v>
      </c>
      <c r="H7" s="107">
        <f>IF(B$51=0,0,G7/B$51)</f>
        <v>0.30047846889952151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677.97833935018048</v>
      </c>
      <c r="P7" s="94">
        <v>277</v>
      </c>
      <c r="Q7" s="78">
        <v>187800</v>
      </c>
    </row>
    <row r="8" spans="1:17" x14ac:dyDescent="0.4">
      <c r="A8" s="37" t="s">
        <v>3</v>
      </c>
      <c r="B8" s="34">
        <v>143</v>
      </c>
      <c r="C8" s="31">
        <f t="shared" si="1"/>
        <v>0.30885529157667385</v>
      </c>
      <c r="E8" s="44" t="s">
        <v>89</v>
      </c>
      <c r="F8" s="41" t="s">
        <v>44</v>
      </c>
      <c r="G8" s="34">
        <v>189</v>
      </c>
      <c r="H8" s="107">
        <f>IF(B$51=0,0,G8/B$51)</f>
        <v>0.18086124401913875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165</v>
      </c>
      <c r="C9" s="7">
        <f t="shared" si="1"/>
        <v>0.35637149028077753</v>
      </c>
      <c r="E9" s="44" t="s">
        <v>69</v>
      </c>
      <c r="F9" s="41" t="s">
        <v>24</v>
      </c>
      <c r="G9" s="34">
        <v>181</v>
      </c>
      <c r="H9" s="107">
        <f>IF(B$51=0,0,G9/B$51)</f>
        <v>0.17320574162679425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42.230322580645158</v>
      </c>
      <c r="C10" s="121">
        <v>6545.7</v>
      </c>
      <c r="E10" s="44" t="s">
        <v>65</v>
      </c>
      <c r="F10" s="41" t="s">
        <v>21</v>
      </c>
      <c r="G10" s="34">
        <v>125</v>
      </c>
      <c r="H10" s="107">
        <f>IF(B$51=0,0,G10/B$51)</f>
        <v>0.11961722488038277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-6.51376811594203</v>
      </c>
      <c r="P10" s="92">
        <v>138</v>
      </c>
      <c r="Q10" s="80">
        <v>-898.90000000000009</v>
      </c>
    </row>
    <row r="11" spans="1:17" x14ac:dyDescent="0.4">
      <c r="A11" s="38" t="s">
        <v>204</v>
      </c>
      <c r="B11" s="120">
        <f>IF(B8=0,0,C11/B8)</f>
        <v>-1.1944055944055949</v>
      </c>
      <c r="C11" s="121">
        <v>-170.80000000000007</v>
      </c>
      <c r="E11" s="44" t="s">
        <v>70</v>
      </c>
      <c r="F11" s="41" t="s">
        <v>25</v>
      </c>
      <c r="G11" s="34">
        <v>122</v>
      </c>
      <c r="H11" s="107">
        <f>IF(B$51=0,0,G11/B$51)</f>
        <v>0.11674641148325358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4.9370588235294104</v>
      </c>
      <c r="P11" s="93">
        <v>170</v>
      </c>
      <c r="Q11" s="81">
        <v>839.29999999999984</v>
      </c>
    </row>
    <row r="12" spans="1:17" x14ac:dyDescent="0.4">
      <c r="A12" s="38" t="s">
        <v>205</v>
      </c>
      <c r="B12" s="120">
        <f>IF(B9=0,0,C12/B9)</f>
        <v>-35.913939393939394</v>
      </c>
      <c r="C12" s="121">
        <v>-5925.8</v>
      </c>
      <c r="E12" s="44" t="s">
        <v>86</v>
      </c>
      <c r="F12" s="41" t="s">
        <v>41</v>
      </c>
      <c r="G12" s="34">
        <v>68</v>
      </c>
      <c r="H12" s="107">
        <f>IF(B$51=0,0,G12/B$51)</f>
        <v>6.5071770334928225E-2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4.0855263157894735</v>
      </c>
      <c r="P12" s="94">
        <v>152</v>
      </c>
      <c r="Q12" s="82">
        <v>621</v>
      </c>
    </row>
    <row r="13" spans="1:17" x14ac:dyDescent="0.4">
      <c r="A13" s="38" t="s">
        <v>206</v>
      </c>
      <c r="B13" s="137">
        <f>AVERAGE(B10:B12)</f>
        <v>1.7073258641000564</v>
      </c>
      <c r="C13" s="138"/>
      <c r="E13" s="44" t="s">
        <v>71</v>
      </c>
      <c r="F13" s="41" t="s">
        <v>26</v>
      </c>
      <c r="G13" s="34">
        <v>57</v>
      </c>
      <c r="H13" s="107">
        <f>IF(B$51=0,0,G13/B$51)</f>
        <v>5.4545454545454543E-2</v>
      </c>
      <c r="I13" s="68">
        <v>10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64</v>
      </c>
      <c r="C14" s="32">
        <f t="shared" si="1"/>
        <v>0.13822894168466524</v>
      </c>
      <c r="E14" s="44" t="s">
        <v>83</v>
      </c>
      <c r="F14" s="41" t="s">
        <v>38</v>
      </c>
      <c r="G14" s="34">
        <v>35</v>
      </c>
      <c r="H14" s="107">
        <f>IF(B$51=0,0,G14/B$51)</f>
        <v>3.3492822966507178E-2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1093</v>
      </c>
      <c r="C15" s="11">
        <f>IF(B$50=0,0,B15/B$50)</f>
        <v>0.29588521927449918</v>
      </c>
      <c r="E15" s="44" t="s">
        <v>91</v>
      </c>
      <c r="F15" s="41" t="s">
        <v>46</v>
      </c>
      <c r="G15" s="34">
        <v>33</v>
      </c>
      <c r="H15" s="107">
        <f>IF(B$51=0,0,G15/B$51)</f>
        <v>3.1578947368421054E-2</v>
      </c>
      <c r="I15" s="68">
        <v>3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118</v>
      </c>
      <c r="B16" s="34">
        <v>705</v>
      </c>
      <c r="C16" s="31">
        <f>IF(B$50=0,0,B16/B$50)</f>
        <v>0.19085002707092583</v>
      </c>
      <c r="E16" s="44" t="s">
        <v>78</v>
      </c>
      <c r="F16" s="41" t="s">
        <v>33</v>
      </c>
      <c r="G16" s="34">
        <v>31</v>
      </c>
      <c r="H16" s="107">
        <f>IF(B$51=0,0,G16/B$51)</f>
        <v>2.9665071770334929E-2</v>
      </c>
      <c r="I16" s="68">
        <v>7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19" t="s">
        <v>123</v>
      </c>
      <c r="B17" s="13">
        <v>603</v>
      </c>
      <c r="C17" s="4">
        <f>IF(B$15=0,0,B17/B$15)</f>
        <v>0.55169258920402564</v>
      </c>
      <c r="E17" s="44" t="s">
        <v>153</v>
      </c>
      <c r="F17" s="41" t="s">
        <v>154</v>
      </c>
      <c r="G17" s="34">
        <v>26</v>
      </c>
      <c r="H17" s="107">
        <f>IF(B$51=0,0,G17/B$51)</f>
        <v>2.4880382775119617E-2</v>
      </c>
      <c r="I17" s="68">
        <v>3</v>
      </c>
      <c r="K17" s="5">
        <v>15</v>
      </c>
      <c r="L17" s="73">
        <v>-212.5</v>
      </c>
      <c r="N17" s="89" t="s">
        <v>186</v>
      </c>
      <c r="O17" s="99">
        <f>IF(P17=0,0,Q17/P17)</f>
        <v>17.893478260869564</v>
      </c>
      <c r="P17" s="93">
        <v>46</v>
      </c>
      <c r="Q17" s="81">
        <v>823.1</v>
      </c>
    </row>
    <row r="18" spans="1:17" x14ac:dyDescent="0.4">
      <c r="A18" s="19" t="s">
        <v>124</v>
      </c>
      <c r="B18" s="13">
        <v>277</v>
      </c>
      <c r="C18" s="4">
        <f>IF(B$16=0,0,B18/B$16)</f>
        <v>0.39290780141843973</v>
      </c>
      <c r="E18" s="44" t="s">
        <v>81</v>
      </c>
      <c r="F18" s="41" t="s">
        <v>36</v>
      </c>
      <c r="G18" s="34">
        <v>25</v>
      </c>
      <c r="H18" s="107">
        <f>IF(B$51=0,0,G18/B$51)</f>
        <v>2.3923444976076555E-2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15.439473684210531</v>
      </c>
      <c r="P18" s="93">
        <v>38</v>
      </c>
      <c r="Q18" s="81">
        <v>586.70000000000016</v>
      </c>
    </row>
    <row r="19" spans="1:17" x14ac:dyDescent="0.4">
      <c r="A19" s="19" t="s">
        <v>10</v>
      </c>
      <c r="B19" s="13">
        <v>1055</v>
      </c>
      <c r="C19" s="4">
        <f>IF(B$3=0,0,B19/B$3)</f>
        <v>0.28276601447333155</v>
      </c>
      <c r="E19" s="44" t="s">
        <v>79</v>
      </c>
      <c r="F19" s="41" t="s">
        <v>34</v>
      </c>
      <c r="G19" s="34">
        <v>17</v>
      </c>
      <c r="H19" s="107">
        <f>IF(B$51=0,0,G19/B$51)</f>
        <v>1.6267942583732056E-2</v>
      </c>
      <c r="I19" s="68">
        <v>9</v>
      </c>
      <c r="K19" s="5">
        <v>17</v>
      </c>
      <c r="L19" s="73">
        <v>-268.7</v>
      </c>
      <c r="N19" s="89" t="s">
        <v>194</v>
      </c>
      <c r="O19" s="99">
        <f>IF(P19=0,0,Q19/P19)</f>
        <v>11.2125</v>
      </c>
      <c r="P19" s="93">
        <v>16</v>
      </c>
      <c r="Q19" s="81">
        <v>179.4</v>
      </c>
    </row>
    <row r="20" spans="1:17" x14ac:dyDescent="0.4">
      <c r="A20" s="37" t="s">
        <v>13</v>
      </c>
      <c r="B20" s="34">
        <v>676</v>
      </c>
      <c r="C20" s="31">
        <f>IF(B$3=0,0,B20/B$3)</f>
        <v>0.18118466898954705</v>
      </c>
      <c r="E20" s="44" t="s">
        <v>92</v>
      </c>
      <c r="F20" s="41" t="s">
        <v>47</v>
      </c>
      <c r="G20" s="34">
        <v>12</v>
      </c>
      <c r="H20" s="107">
        <f>IF(B$51=0,0,G20/B$51)</f>
        <v>1.1483253588516746E-2</v>
      </c>
      <c r="I20" s="68">
        <v>2</v>
      </c>
      <c r="K20" s="5">
        <v>18</v>
      </c>
      <c r="L20" s="73">
        <v>-295.8</v>
      </c>
      <c r="N20" s="89" t="s">
        <v>188</v>
      </c>
      <c r="O20" s="99">
        <f>IF(P20=0,0,Q20/P20)</f>
        <v>10.919512195121952</v>
      </c>
      <c r="P20" s="93">
        <v>82</v>
      </c>
      <c r="Q20" s="81">
        <v>895.40000000000009</v>
      </c>
    </row>
    <row r="21" spans="1:17" x14ac:dyDescent="0.4">
      <c r="A21" s="37" t="s">
        <v>12</v>
      </c>
      <c r="B21" s="34">
        <v>482</v>
      </c>
      <c r="C21" s="31">
        <f>IF(B$19=0,0,B21/B$19)</f>
        <v>0.45687203791469194</v>
      </c>
      <c r="E21" s="44" t="s">
        <v>73</v>
      </c>
      <c r="F21" s="41" t="s">
        <v>28</v>
      </c>
      <c r="G21" s="34">
        <v>9</v>
      </c>
      <c r="H21" s="107">
        <f>IF(B$51=0,0,G21/B$51)</f>
        <v>8.6124401913875593E-3</v>
      </c>
      <c r="I21" s="68">
        <v>4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11</v>
      </c>
      <c r="B22" s="34">
        <v>573</v>
      </c>
      <c r="C22" s="31">
        <f>IF(B$19=0,0,B22/B$19)</f>
        <v>0.543127962085308</v>
      </c>
      <c r="E22" s="44" t="s">
        <v>75</v>
      </c>
      <c r="F22" s="41" t="s">
        <v>30</v>
      </c>
      <c r="G22" s="34">
        <v>9</v>
      </c>
      <c r="H22" s="107">
        <f>IF(B$51=0,0,G22/B$51)</f>
        <v>8.6124401913875593E-3</v>
      </c>
      <c r="I22" s="68">
        <v>2</v>
      </c>
      <c r="K22" s="5">
        <v>20</v>
      </c>
      <c r="L22" s="73">
        <v>-270</v>
      </c>
      <c r="N22" s="89" t="s">
        <v>189</v>
      </c>
      <c r="O22" s="99">
        <f>IF(P22=0,0,Q22/P22)</f>
        <v>3.8647058823529403</v>
      </c>
      <c r="P22" s="93">
        <v>17</v>
      </c>
      <c r="Q22" s="81">
        <v>65.699999999999989</v>
      </c>
    </row>
    <row r="23" spans="1:17" x14ac:dyDescent="0.4">
      <c r="A23" s="37" t="s">
        <v>180</v>
      </c>
      <c r="B23" s="34">
        <v>603</v>
      </c>
      <c r="C23" s="31">
        <f>IF(B$19=0,0,B23/B$19)</f>
        <v>0.57156398104265405</v>
      </c>
      <c r="E23" s="44" t="s">
        <v>77</v>
      </c>
      <c r="F23" s="41" t="s">
        <v>32</v>
      </c>
      <c r="G23" s="34">
        <v>6</v>
      </c>
      <c r="H23" s="107">
        <f>IF(B$51=0,0,G23/B$51)</f>
        <v>5.7416267942583732E-3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3.1111111111111085</v>
      </c>
      <c r="P23" s="93">
        <v>162</v>
      </c>
      <c r="Q23" s="81">
        <v>503.99999999999955</v>
      </c>
    </row>
    <row r="24" spans="1:17" x14ac:dyDescent="0.4">
      <c r="A24" s="37" t="s">
        <v>178</v>
      </c>
      <c r="B24" s="34">
        <v>277</v>
      </c>
      <c r="C24" s="31">
        <f>IF(B$19=0,0,B24/B$19)</f>
        <v>0.26255924170616113</v>
      </c>
      <c r="E24" s="44" t="s">
        <v>84</v>
      </c>
      <c r="F24" s="41" t="s">
        <v>39</v>
      </c>
      <c r="G24" s="34">
        <v>6</v>
      </c>
      <c r="H24" s="107">
        <f>IF(B$51=0,0,G24/B$51)</f>
        <v>5.7416267942583732E-3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-0.22708333333333522</v>
      </c>
      <c r="P24" s="93">
        <v>144</v>
      </c>
      <c r="Q24" s="81">
        <v>-32.700000000000273</v>
      </c>
    </row>
    <row r="25" spans="1:17" x14ac:dyDescent="0.4">
      <c r="A25" s="37" t="s">
        <v>179</v>
      </c>
      <c r="B25" s="34">
        <v>175</v>
      </c>
      <c r="C25" s="31">
        <f>IF(B$19=0,0,B25/B$19)</f>
        <v>0.16587677725118483</v>
      </c>
      <c r="E25" s="44" t="s">
        <v>85</v>
      </c>
      <c r="F25" s="41" t="s">
        <v>40</v>
      </c>
      <c r="G25" s="34">
        <v>5</v>
      </c>
      <c r="H25" s="107">
        <f>IF(B$51=0,0,G25/B$51)</f>
        <v>4.7846889952153108E-3</v>
      </c>
      <c r="I25" s="68">
        <v>5</v>
      </c>
      <c r="K25" s="5">
        <v>23</v>
      </c>
      <c r="L25" s="73">
        <v>-200.9</v>
      </c>
      <c r="N25" s="89" t="s">
        <v>190</v>
      </c>
      <c r="O25" s="99">
        <f>IF(P25=0,0,Q25/P25)</f>
        <v>-3.2516666666666669</v>
      </c>
      <c r="P25" s="93">
        <v>120</v>
      </c>
      <c r="Q25" s="81">
        <v>-390.20000000000005</v>
      </c>
    </row>
    <row r="26" spans="1:17" x14ac:dyDescent="0.4">
      <c r="A26" s="37" t="s">
        <v>5</v>
      </c>
      <c r="B26" s="17">
        <f>IF(B$19=0,0,C26/B$19)</f>
        <v>10554.976303317535</v>
      </c>
      <c r="C26" s="8">
        <v>11135500</v>
      </c>
      <c r="E26" s="44" t="s">
        <v>93</v>
      </c>
      <c r="F26" s="41" t="s">
        <v>48</v>
      </c>
      <c r="G26" s="34">
        <v>4</v>
      </c>
      <c r="H26" s="107">
        <f>IF(B$51=0,0,G26/B$51)</f>
        <v>3.8277511961722489E-3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-4.7721830985915474</v>
      </c>
      <c r="P26" s="93">
        <v>284</v>
      </c>
      <c r="Q26" s="81">
        <v>-1355.2999999999995</v>
      </c>
    </row>
    <row r="27" spans="1:17" x14ac:dyDescent="0.4">
      <c r="A27" s="38" t="s">
        <v>162</v>
      </c>
      <c r="B27" s="114">
        <f>IF($B$19-B$18=0,0,C27/($B$19-B$18))</f>
        <v>11261.953727506427</v>
      </c>
      <c r="C27" s="115">
        <v>8761800</v>
      </c>
      <c r="E27" s="44" t="s">
        <v>90</v>
      </c>
      <c r="F27" s="41" t="s">
        <v>45</v>
      </c>
      <c r="G27" s="34">
        <v>3</v>
      </c>
      <c r="H27" s="107">
        <f>IF(B$51=0,0,G27/B$51)</f>
        <v>2.8708133971291866E-3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38" t="s">
        <v>163</v>
      </c>
      <c r="B28" s="114">
        <f>IF(B$18=0,0,C28/B$18)</f>
        <v>8569.3140794223818</v>
      </c>
      <c r="C28" s="115">
        <v>2373700</v>
      </c>
      <c r="E28" s="44" t="s">
        <v>87</v>
      </c>
      <c r="F28" s="41" t="s">
        <v>42</v>
      </c>
      <c r="G28" s="34">
        <v>2</v>
      </c>
      <c r="H28" s="107">
        <f>IF(B$51=0,0,G28/B$51)</f>
        <v>1.9138755980861245E-3</v>
      </c>
      <c r="I28" s="68">
        <v>8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38" t="s">
        <v>161</v>
      </c>
      <c r="B29" s="114">
        <f>IF(B$20=0,0,C29/B$20)</f>
        <v>-8637.1301775147931</v>
      </c>
      <c r="C29" s="115">
        <v>-5838700</v>
      </c>
      <c r="E29" s="44" t="s">
        <v>97</v>
      </c>
      <c r="F29" s="41" t="s">
        <v>52</v>
      </c>
      <c r="G29" s="34">
        <v>2</v>
      </c>
      <c r="H29" s="107">
        <f>IF(B$51=0,0,G29/B$51)</f>
        <v>1.9138755980861245E-3</v>
      </c>
      <c r="I29" s="68">
        <v>2</v>
      </c>
      <c r="K29" s="5">
        <v>27</v>
      </c>
      <c r="L29" s="73">
        <v>-296.29999999999995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74</v>
      </c>
      <c r="F30" s="41" t="s">
        <v>29</v>
      </c>
      <c r="G30" s="34">
        <v>1</v>
      </c>
      <c r="H30" s="107">
        <f>IF(B$51=0,0,G30/B$51)</f>
        <v>9.5693779904306223E-4</v>
      </c>
      <c r="I30" s="68">
        <v>9</v>
      </c>
      <c r="K30" s="5">
        <v>28</v>
      </c>
      <c r="L30" s="73">
        <v>-290.19999999999993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9.5693779904306223E-4</v>
      </c>
      <c r="I31" s="68">
        <v>6</v>
      </c>
      <c r="K31" s="5">
        <v>29</v>
      </c>
      <c r="L31" s="73">
        <v>-239.19999999999993</v>
      </c>
    </row>
    <row r="32" spans="1:17" x14ac:dyDescent="0.4">
      <c r="A32" s="64" t="s">
        <v>134</v>
      </c>
      <c r="B32" s="143">
        <v>8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9.5693779904306223E-4</v>
      </c>
      <c r="I32" s="68">
        <v>5</v>
      </c>
      <c r="K32" s="5">
        <v>30</v>
      </c>
      <c r="L32" s="73">
        <v>-257.29999999999995</v>
      </c>
    </row>
    <row r="33" spans="1:12" x14ac:dyDescent="0.4">
      <c r="A33" s="40" t="s">
        <v>177</v>
      </c>
      <c r="B33" s="141">
        <v>124700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">
      <c r="A34" s="39" t="s">
        <v>135</v>
      </c>
      <c r="B34" s="27">
        <v>14</v>
      </c>
      <c r="C34" s="32">
        <f>IF(B$3=0,0,B34/B$3)</f>
        <v>3.7523452157598499E-3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64" t="s">
        <v>168</v>
      </c>
      <c r="B36" s="125">
        <v>34</v>
      </c>
      <c r="C36" s="119">
        <f>IF(B$19=0,0,B36/B$19)</f>
        <v>3.2227488151658767E-2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">
      <c r="A37" s="37" t="s">
        <v>164</v>
      </c>
      <c r="B37" s="34">
        <v>107</v>
      </c>
      <c r="C37" s="31">
        <f t="shared" ref="C37:C48" si="2">IF(B$19=0,0,B37/B$19)</f>
        <v>0.1014218009478673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165</v>
      </c>
      <c r="B38" s="128">
        <v>151</v>
      </c>
      <c r="C38" s="31">
        <f>IF(B$19=0,0,B38/B$19)</f>
        <v>0.14312796208530806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166</v>
      </c>
      <c r="B39" s="128">
        <v>212</v>
      </c>
      <c r="C39" s="31">
        <f t="shared" si="2"/>
        <v>0.20094786729857819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167</v>
      </c>
      <c r="B40" s="128">
        <v>198</v>
      </c>
      <c r="C40" s="31">
        <f t="shared" si="2"/>
        <v>0.18767772511848341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169</v>
      </c>
      <c r="B41" s="128">
        <v>127</v>
      </c>
      <c r="C41" s="31">
        <f t="shared" si="2"/>
        <v>0.12037914691943127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170</v>
      </c>
      <c r="B42" s="128">
        <v>81</v>
      </c>
      <c r="C42" s="31">
        <f t="shared" si="2"/>
        <v>7.6777251184834125E-2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">
      <c r="A43" s="37" t="s">
        <v>171</v>
      </c>
      <c r="B43" s="128">
        <v>53</v>
      </c>
      <c r="C43" s="31">
        <f t="shared" si="2"/>
        <v>5.0236966824644548E-2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7" t="s">
        <v>172</v>
      </c>
      <c r="B44" s="128">
        <v>34</v>
      </c>
      <c r="C44" s="31">
        <f t="shared" si="2"/>
        <v>3.2227488151658767E-2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A45" s="37" t="s">
        <v>173</v>
      </c>
      <c r="B45" s="128">
        <v>12</v>
      </c>
      <c r="C45" s="31">
        <f t="shared" si="2"/>
        <v>1.1374407582938388E-2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37" t="s">
        <v>174</v>
      </c>
      <c r="B46" s="128">
        <v>8</v>
      </c>
      <c r="C46" s="31">
        <f t="shared" si="2"/>
        <v>7.5829383886255926E-3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7" t="s">
        <v>175</v>
      </c>
      <c r="B47" s="128">
        <v>5</v>
      </c>
      <c r="C47" s="31">
        <f t="shared" si="2"/>
        <v>4.7393364928909956E-3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A48" s="39" t="s">
        <v>176</v>
      </c>
      <c r="B48" s="124">
        <v>23</v>
      </c>
      <c r="C48" s="32">
        <f t="shared" si="2"/>
        <v>2.1800947867298578E-2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">
      <c r="A50" s="64" t="s">
        <v>181</v>
      </c>
      <c r="B50" s="131">
        <v>3694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">
      <c r="A51" s="39" t="s">
        <v>182</v>
      </c>
      <c r="B51" s="139">
        <v>1045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">
      <c r="K53" s="5">
        <v>51</v>
      </c>
      <c r="L53" s="73">
        <v>-409.99999999999994</v>
      </c>
    </row>
    <row r="54" spans="1:12" x14ac:dyDescent="0.4">
      <c r="K54" s="5">
        <v>52</v>
      </c>
      <c r="L54" s="73">
        <v>-426.39999999999992</v>
      </c>
    </row>
    <row r="55" spans="1:12" x14ac:dyDescent="0.4">
      <c r="K55" s="5">
        <v>53</v>
      </c>
      <c r="L55" s="73">
        <v>-399.89999999999992</v>
      </c>
    </row>
    <row r="56" spans="1:12" x14ac:dyDescent="0.4">
      <c r="K56" s="5">
        <v>54</v>
      </c>
      <c r="L56" s="73">
        <v>-411.19999999999993</v>
      </c>
    </row>
    <row r="57" spans="1:12" x14ac:dyDescent="0.4">
      <c r="K57" s="5">
        <v>55</v>
      </c>
      <c r="L57" s="73">
        <v>-420.49999999999994</v>
      </c>
    </row>
    <row r="58" spans="1:12" x14ac:dyDescent="0.4">
      <c r="K58" s="5">
        <v>56</v>
      </c>
      <c r="L58" s="73">
        <v>-395.39999999999992</v>
      </c>
    </row>
    <row r="59" spans="1:12" x14ac:dyDescent="0.4">
      <c r="K59" s="5">
        <v>57</v>
      </c>
      <c r="L59" s="73">
        <v>-428.89999999999992</v>
      </c>
    </row>
    <row r="60" spans="1:12" x14ac:dyDescent="0.4">
      <c r="K60" s="5">
        <v>58</v>
      </c>
      <c r="L60" s="73">
        <v>-466.39999999999992</v>
      </c>
    </row>
    <row r="61" spans="1:12" x14ac:dyDescent="0.4">
      <c r="K61" s="5">
        <v>59</v>
      </c>
      <c r="L61" s="73">
        <v>-475.7999999999999</v>
      </c>
    </row>
    <row r="62" spans="1:12" x14ac:dyDescent="0.4">
      <c r="K62" s="5">
        <v>60</v>
      </c>
      <c r="L62" s="73">
        <v>-475.2999999999999</v>
      </c>
    </row>
    <row r="63" spans="1:12" x14ac:dyDescent="0.4">
      <c r="K63" s="5">
        <v>61</v>
      </c>
      <c r="L63" s="73">
        <v>-487.39999999999992</v>
      </c>
    </row>
    <row r="64" spans="1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  <row r="321" spans="11:12" x14ac:dyDescent="0.4">
      <c r="K321" s="5">
        <v>319</v>
      </c>
      <c r="L321" s="73">
        <v>-12.499999999999773</v>
      </c>
    </row>
    <row r="322" spans="11:12" x14ac:dyDescent="0.4">
      <c r="K322" s="5">
        <v>320</v>
      </c>
      <c r="L322" s="73">
        <v>-61.199999999999761</v>
      </c>
    </row>
    <row r="323" spans="11:12" x14ac:dyDescent="0.4">
      <c r="K323" s="5">
        <v>321</v>
      </c>
      <c r="L323" s="73">
        <v>-79.499999999999773</v>
      </c>
    </row>
    <row r="324" spans="11:12" x14ac:dyDescent="0.4">
      <c r="K324" s="5">
        <v>322</v>
      </c>
      <c r="L324" s="73">
        <v>-124.69999999999976</v>
      </c>
    </row>
    <row r="325" spans="11:12" x14ac:dyDescent="0.4">
      <c r="K325" s="5">
        <v>323</v>
      </c>
      <c r="L325" s="73">
        <v>-95.89999999999975</v>
      </c>
    </row>
    <row r="326" spans="11:12" x14ac:dyDescent="0.4">
      <c r="K326" s="5">
        <v>324</v>
      </c>
      <c r="L326" s="73">
        <v>-94.299999999999756</v>
      </c>
    </row>
    <row r="327" spans="11:12" x14ac:dyDescent="0.4">
      <c r="K327" s="5">
        <v>325</v>
      </c>
      <c r="L327" s="73">
        <v>-123.89999999999975</v>
      </c>
    </row>
    <row r="328" spans="11:12" x14ac:dyDescent="0.4">
      <c r="K328" s="5">
        <v>326</v>
      </c>
      <c r="L328" s="73">
        <v>-124.79999999999976</v>
      </c>
    </row>
    <row r="329" spans="11:12" x14ac:dyDescent="0.4">
      <c r="K329" s="5">
        <v>327</v>
      </c>
      <c r="L329" s="73">
        <v>-113.29999999999976</v>
      </c>
    </row>
    <row r="330" spans="11:12" x14ac:dyDescent="0.4">
      <c r="K330" s="5">
        <v>328</v>
      </c>
      <c r="L330" s="73">
        <v>-138.69999999999976</v>
      </c>
    </row>
    <row r="331" spans="11:12" x14ac:dyDescent="0.4">
      <c r="K331" s="5">
        <v>329</v>
      </c>
      <c r="L331" s="73">
        <v>-161.39999999999975</v>
      </c>
    </row>
    <row r="332" spans="11:12" x14ac:dyDescent="0.4">
      <c r="K332" s="5">
        <v>330</v>
      </c>
      <c r="L332" s="73">
        <v>-136.39999999999975</v>
      </c>
    </row>
    <row r="333" spans="11:12" x14ac:dyDescent="0.4">
      <c r="K333" s="5">
        <v>331</v>
      </c>
      <c r="L333" s="73">
        <v>-88.89999999999975</v>
      </c>
    </row>
    <row r="334" spans="11:12" x14ac:dyDescent="0.4">
      <c r="K334" s="5">
        <v>332</v>
      </c>
      <c r="L334" s="73">
        <v>-84.699999999999761</v>
      </c>
    </row>
    <row r="335" spans="11:12" x14ac:dyDescent="0.4">
      <c r="K335" s="5">
        <v>333</v>
      </c>
      <c r="L335" s="73">
        <v>-38.499999999999773</v>
      </c>
    </row>
    <row r="336" spans="11:12" x14ac:dyDescent="0.4">
      <c r="K336" s="5">
        <v>334</v>
      </c>
      <c r="L336" s="73">
        <v>-61.699999999999761</v>
      </c>
    </row>
    <row r="337" spans="11:12" x14ac:dyDescent="0.4">
      <c r="K337" s="5">
        <v>335</v>
      </c>
      <c r="L337" s="73">
        <v>-25.39999999999975</v>
      </c>
    </row>
    <row r="338" spans="11:12" x14ac:dyDescent="0.4">
      <c r="K338" s="5">
        <v>336</v>
      </c>
      <c r="L338" s="73">
        <v>10.300000000000239</v>
      </c>
    </row>
    <row r="339" spans="11:12" x14ac:dyDescent="0.4">
      <c r="K339" s="5">
        <v>337</v>
      </c>
      <c r="L339" s="73">
        <v>10.400000000000261</v>
      </c>
    </row>
    <row r="340" spans="11:12" x14ac:dyDescent="0.4">
      <c r="K340" s="5">
        <v>338</v>
      </c>
      <c r="L340" s="73">
        <v>9.7000000000002728</v>
      </c>
    </row>
    <row r="341" spans="11:12" x14ac:dyDescent="0.4">
      <c r="K341" s="5">
        <v>339</v>
      </c>
      <c r="L341" s="73">
        <v>24.000000000000284</v>
      </c>
    </row>
    <row r="342" spans="11:12" x14ac:dyDescent="0.4">
      <c r="K342" s="5">
        <v>340</v>
      </c>
      <c r="L342" s="73">
        <v>61.700000000000273</v>
      </c>
    </row>
    <row r="343" spans="11:12" x14ac:dyDescent="0.4">
      <c r="K343" s="5">
        <v>341</v>
      </c>
      <c r="L343" s="73">
        <v>25.300000000000296</v>
      </c>
    </row>
    <row r="344" spans="11:12" x14ac:dyDescent="0.4">
      <c r="K344" s="5">
        <v>342</v>
      </c>
      <c r="L344" s="73">
        <v>19.900000000000318</v>
      </c>
    </row>
    <row r="345" spans="11:12" x14ac:dyDescent="0.4">
      <c r="K345" s="5">
        <v>343</v>
      </c>
      <c r="L345" s="73">
        <v>34.500000000000341</v>
      </c>
    </row>
    <row r="346" spans="11:12" x14ac:dyDescent="0.4">
      <c r="K346" s="5">
        <v>344</v>
      </c>
      <c r="L346" s="73">
        <v>77.300000000000352</v>
      </c>
    </row>
    <row r="347" spans="11:12" x14ac:dyDescent="0.4">
      <c r="K347" s="5">
        <v>345</v>
      </c>
      <c r="L347" s="73">
        <v>83.900000000000375</v>
      </c>
    </row>
    <row r="348" spans="11:12" x14ac:dyDescent="0.4">
      <c r="K348" s="5">
        <v>346</v>
      </c>
      <c r="L348" s="73">
        <v>47.300000000000352</v>
      </c>
    </row>
    <row r="349" spans="11:12" x14ac:dyDescent="0.4">
      <c r="K349" s="5">
        <v>347</v>
      </c>
      <c r="L349" s="73">
        <v>70.800000000000352</v>
      </c>
    </row>
    <row r="350" spans="11:12" x14ac:dyDescent="0.4">
      <c r="K350" s="5">
        <v>348</v>
      </c>
      <c r="L350" s="73">
        <v>113.20000000000033</v>
      </c>
    </row>
    <row r="351" spans="11:12" x14ac:dyDescent="0.4">
      <c r="K351" s="5">
        <v>349</v>
      </c>
      <c r="L351" s="73">
        <v>146.10000000000031</v>
      </c>
    </row>
    <row r="352" spans="11:12" x14ac:dyDescent="0.4">
      <c r="K352" s="5">
        <v>350</v>
      </c>
      <c r="L352" s="73">
        <v>184.00000000000028</v>
      </c>
    </row>
    <row r="353" spans="11:12" x14ac:dyDescent="0.4">
      <c r="K353" s="5">
        <v>351</v>
      </c>
      <c r="L353" s="73">
        <v>197.50000000000034</v>
      </c>
    </row>
    <row r="354" spans="11:12" x14ac:dyDescent="0.4">
      <c r="K354" s="5">
        <v>352</v>
      </c>
      <c r="L354" s="73">
        <v>275.8000000000003</v>
      </c>
    </row>
    <row r="355" spans="11:12" x14ac:dyDescent="0.4">
      <c r="K355" s="5">
        <v>353</v>
      </c>
      <c r="L355" s="73">
        <v>291.40000000000032</v>
      </c>
    </row>
    <row r="356" spans="11:12" x14ac:dyDescent="0.4">
      <c r="K356" s="5">
        <v>354</v>
      </c>
      <c r="L356" s="73">
        <v>313.10000000000036</v>
      </c>
    </row>
    <row r="357" spans="11:12" x14ac:dyDescent="0.4">
      <c r="K357" s="5">
        <v>355</v>
      </c>
      <c r="L357" s="73">
        <v>312.10000000000036</v>
      </c>
    </row>
    <row r="358" spans="11:12" x14ac:dyDescent="0.4">
      <c r="K358" s="5">
        <v>356</v>
      </c>
      <c r="L358" s="73">
        <v>256.10000000000036</v>
      </c>
    </row>
    <row r="359" spans="11:12" x14ac:dyDescent="0.4">
      <c r="K359" s="5">
        <v>357</v>
      </c>
      <c r="L359" s="73">
        <v>233.80000000000041</v>
      </c>
    </row>
    <row r="360" spans="11:12" x14ac:dyDescent="0.4">
      <c r="K360" s="5">
        <v>358</v>
      </c>
      <c r="L360" s="73">
        <v>294.00000000000045</v>
      </c>
    </row>
    <row r="361" spans="11:12" x14ac:dyDescent="0.4">
      <c r="K361" s="5">
        <v>359</v>
      </c>
      <c r="L361" s="73">
        <v>381.10000000000048</v>
      </c>
    </row>
    <row r="362" spans="11:12" x14ac:dyDescent="0.4">
      <c r="K362" s="5">
        <v>360</v>
      </c>
      <c r="L362" s="73">
        <v>347.80000000000052</v>
      </c>
    </row>
    <row r="363" spans="11:12" x14ac:dyDescent="0.4">
      <c r="K363" s="5">
        <v>361</v>
      </c>
      <c r="L363" s="73">
        <v>297.40000000000055</v>
      </c>
    </row>
    <row r="364" spans="11:12" x14ac:dyDescent="0.4">
      <c r="K364" s="5">
        <v>362</v>
      </c>
      <c r="L364" s="73">
        <v>298.7000000000005</v>
      </c>
    </row>
    <row r="365" spans="11:12" x14ac:dyDescent="0.4">
      <c r="K365" s="5">
        <v>363</v>
      </c>
      <c r="L365" s="73">
        <v>284.30000000000052</v>
      </c>
    </row>
    <row r="366" spans="11:12" x14ac:dyDescent="0.4">
      <c r="K366" s="5">
        <v>364</v>
      </c>
      <c r="L366" s="73">
        <v>296.50000000000057</v>
      </c>
    </row>
    <row r="367" spans="11:12" x14ac:dyDescent="0.4">
      <c r="K367" s="5">
        <v>365</v>
      </c>
      <c r="L367" s="73">
        <v>246.00000000000057</v>
      </c>
    </row>
    <row r="368" spans="11:12" x14ac:dyDescent="0.4">
      <c r="K368" s="5">
        <v>366</v>
      </c>
      <c r="L368" s="73">
        <v>180.50000000000057</v>
      </c>
    </row>
    <row r="369" spans="11:12" x14ac:dyDescent="0.4">
      <c r="K369" s="5">
        <v>367</v>
      </c>
      <c r="L369" s="73">
        <v>150.00000000000057</v>
      </c>
    </row>
    <row r="370" spans="11:12" x14ac:dyDescent="0.4">
      <c r="K370" s="5">
        <v>368</v>
      </c>
      <c r="L370" s="73">
        <v>206.30000000000052</v>
      </c>
    </row>
    <row r="371" spans="11:12" x14ac:dyDescent="0.4">
      <c r="K371" s="5">
        <v>369</v>
      </c>
      <c r="L371" s="73">
        <v>169.10000000000053</v>
      </c>
    </row>
    <row r="372" spans="11:12" x14ac:dyDescent="0.4">
      <c r="K372" s="5">
        <v>370</v>
      </c>
      <c r="L372" s="73">
        <v>204.80000000000052</v>
      </c>
    </row>
    <row r="373" spans="11:12" x14ac:dyDescent="0.4">
      <c r="K373" s="5">
        <v>371</v>
      </c>
      <c r="L373" s="73">
        <v>187.2000000000005</v>
      </c>
    </row>
    <row r="374" spans="11:12" x14ac:dyDescent="0.4">
      <c r="K374" s="5">
        <v>372</v>
      </c>
      <c r="L374" s="73">
        <v>140.2000000000005</v>
      </c>
    </row>
    <row r="375" spans="11:12" x14ac:dyDescent="0.4">
      <c r="K375" s="5">
        <v>373</v>
      </c>
      <c r="L375" s="73">
        <v>127.2000000000005</v>
      </c>
    </row>
    <row r="376" spans="11:12" x14ac:dyDescent="0.4">
      <c r="K376" s="5">
        <v>374</v>
      </c>
      <c r="L376" s="73">
        <v>187.90000000000055</v>
      </c>
    </row>
    <row r="377" spans="11:12" x14ac:dyDescent="0.4">
      <c r="K377" s="5">
        <v>375</v>
      </c>
      <c r="L377" s="73">
        <v>219.10000000000059</v>
      </c>
    </row>
    <row r="378" spans="11:12" x14ac:dyDescent="0.4">
      <c r="K378" s="5">
        <v>376</v>
      </c>
      <c r="L378" s="73">
        <v>223.60000000000059</v>
      </c>
    </row>
    <row r="379" spans="11:12" x14ac:dyDescent="0.4">
      <c r="K379" s="5">
        <v>377</v>
      </c>
      <c r="L379" s="73">
        <v>230.10000000000059</v>
      </c>
    </row>
    <row r="380" spans="11:12" x14ac:dyDescent="0.4">
      <c r="K380" s="5">
        <v>378</v>
      </c>
      <c r="L380" s="73">
        <v>263.50000000000057</v>
      </c>
    </row>
    <row r="381" spans="11:12" x14ac:dyDescent="0.4">
      <c r="K381" s="5">
        <v>379</v>
      </c>
      <c r="L381" s="73">
        <v>231.70000000000061</v>
      </c>
    </row>
    <row r="382" spans="11:12" x14ac:dyDescent="0.4">
      <c r="K382" s="5">
        <v>380</v>
      </c>
      <c r="L382" s="73">
        <v>256.90000000000066</v>
      </c>
    </row>
    <row r="383" spans="11:12" x14ac:dyDescent="0.4">
      <c r="K383" s="5">
        <v>381</v>
      </c>
      <c r="L383" s="73">
        <v>262.90000000000066</v>
      </c>
    </row>
    <row r="384" spans="11:12" x14ac:dyDescent="0.4">
      <c r="K384" s="5">
        <v>382</v>
      </c>
      <c r="L384" s="73">
        <v>209.90000000000066</v>
      </c>
    </row>
    <row r="385" spans="11:12" x14ac:dyDescent="0.4">
      <c r="K385" s="5">
        <v>383</v>
      </c>
      <c r="L385" s="73">
        <v>226.50000000000068</v>
      </c>
    </row>
    <row r="386" spans="11:12" x14ac:dyDescent="0.4">
      <c r="K386" s="5">
        <v>384</v>
      </c>
      <c r="L386" s="73">
        <v>203.30000000000064</v>
      </c>
    </row>
    <row r="387" spans="11:12" x14ac:dyDescent="0.4">
      <c r="K387" s="5">
        <v>385</v>
      </c>
      <c r="L387" s="73">
        <v>155.90000000000066</v>
      </c>
    </row>
    <row r="388" spans="11:12" x14ac:dyDescent="0.4">
      <c r="K388" s="5">
        <v>386</v>
      </c>
      <c r="L388" s="73">
        <v>171.00000000000068</v>
      </c>
    </row>
    <row r="389" spans="11:12" x14ac:dyDescent="0.4">
      <c r="K389" s="5">
        <v>387</v>
      </c>
      <c r="L389" s="73">
        <v>124.90000000000066</v>
      </c>
    </row>
    <row r="390" spans="11:12" x14ac:dyDescent="0.4">
      <c r="K390" s="5">
        <v>388</v>
      </c>
      <c r="L390" s="73">
        <v>199.00000000000068</v>
      </c>
    </row>
    <row r="391" spans="11:12" x14ac:dyDescent="0.4">
      <c r="K391" s="5">
        <v>389</v>
      </c>
      <c r="L391" s="73">
        <v>189.50000000000068</v>
      </c>
    </row>
    <row r="392" spans="11:12" x14ac:dyDescent="0.4">
      <c r="K392" s="5">
        <v>390</v>
      </c>
      <c r="L392" s="73">
        <v>245.00000000000068</v>
      </c>
    </row>
    <row r="393" spans="11:12" x14ac:dyDescent="0.4">
      <c r="K393" s="5">
        <v>391</v>
      </c>
      <c r="L393" s="73">
        <v>273.20000000000073</v>
      </c>
    </row>
    <row r="394" spans="11:12" x14ac:dyDescent="0.4">
      <c r="K394" s="5">
        <v>392</v>
      </c>
      <c r="L394" s="73">
        <v>268.50000000000068</v>
      </c>
    </row>
    <row r="395" spans="11:12" x14ac:dyDescent="0.4">
      <c r="K395" s="5">
        <v>393</v>
      </c>
      <c r="L395" s="73">
        <v>298.50000000000068</v>
      </c>
    </row>
    <row r="396" spans="11:12" x14ac:dyDescent="0.4">
      <c r="K396" s="5">
        <v>394</v>
      </c>
      <c r="L396" s="73">
        <v>357.50000000000068</v>
      </c>
    </row>
    <row r="397" spans="11:12" x14ac:dyDescent="0.4">
      <c r="K397" s="5">
        <v>395</v>
      </c>
      <c r="L397" s="73">
        <v>374.00000000000068</v>
      </c>
    </row>
    <row r="398" spans="11:12" x14ac:dyDescent="0.4">
      <c r="K398" s="5">
        <v>396</v>
      </c>
      <c r="L398" s="73">
        <v>388.80000000000064</v>
      </c>
    </row>
    <row r="399" spans="11:12" x14ac:dyDescent="0.4">
      <c r="K399" s="5">
        <v>397</v>
      </c>
      <c r="L399" s="73">
        <v>370.10000000000059</v>
      </c>
    </row>
    <row r="400" spans="11:12" x14ac:dyDescent="0.4">
      <c r="K400" s="5">
        <v>398</v>
      </c>
      <c r="L400" s="73">
        <v>431.00000000000057</v>
      </c>
    </row>
    <row r="401" spans="11:12" x14ac:dyDescent="0.4">
      <c r="K401" s="5">
        <v>399</v>
      </c>
      <c r="L401" s="73">
        <v>416.60000000000059</v>
      </c>
    </row>
    <row r="402" spans="11:12" x14ac:dyDescent="0.4">
      <c r="K402" s="5">
        <v>400</v>
      </c>
      <c r="L402" s="73">
        <v>374.60000000000059</v>
      </c>
    </row>
    <row r="403" spans="11:12" x14ac:dyDescent="0.4">
      <c r="K403" s="5">
        <v>401</v>
      </c>
      <c r="L403" s="73">
        <v>431.00000000000057</v>
      </c>
    </row>
    <row r="404" spans="11:12" x14ac:dyDescent="0.4">
      <c r="K404" s="5">
        <v>402</v>
      </c>
      <c r="L404" s="73">
        <v>471.40000000000055</v>
      </c>
    </row>
    <row r="405" spans="11:12" x14ac:dyDescent="0.4">
      <c r="K405" s="5">
        <v>403</v>
      </c>
      <c r="L405" s="73">
        <v>452.80000000000052</v>
      </c>
    </row>
    <row r="406" spans="11:12" x14ac:dyDescent="0.4">
      <c r="K406" s="5">
        <v>404</v>
      </c>
      <c r="L406" s="73">
        <v>466.60000000000048</v>
      </c>
    </row>
    <row r="407" spans="11:12" x14ac:dyDescent="0.4">
      <c r="K407" s="5">
        <v>405</v>
      </c>
      <c r="L407" s="73">
        <v>417.90000000000043</v>
      </c>
    </row>
    <row r="408" spans="11:12" x14ac:dyDescent="0.4">
      <c r="K408" s="5">
        <v>406</v>
      </c>
      <c r="L408" s="73">
        <v>447.10000000000048</v>
      </c>
    </row>
    <row r="409" spans="11:12" x14ac:dyDescent="0.4">
      <c r="K409" s="5">
        <v>407</v>
      </c>
      <c r="L409" s="73">
        <v>519.40000000000043</v>
      </c>
    </row>
    <row r="410" spans="11:12" x14ac:dyDescent="0.4">
      <c r="K410" s="5">
        <v>408</v>
      </c>
      <c r="L410" s="73">
        <v>563.20000000000039</v>
      </c>
    </row>
    <row r="411" spans="11:12" x14ac:dyDescent="0.4">
      <c r="K411" s="5">
        <v>409</v>
      </c>
      <c r="L411" s="73">
        <v>560.30000000000041</v>
      </c>
    </row>
    <row r="412" spans="11:12" x14ac:dyDescent="0.4">
      <c r="K412" s="5">
        <v>410</v>
      </c>
      <c r="L412" s="73">
        <v>596.10000000000036</v>
      </c>
    </row>
    <row r="413" spans="11:12" x14ac:dyDescent="0.4">
      <c r="K413" s="5">
        <v>411</v>
      </c>
      <c r="L413" s="73">
        <v>624.70000000000039</v>
      </c>
    </row>
    <row r="414" spans="11:12" x14ac:dyDescent="0.4">
      <c r="K414" s="5">
        <v>412</v>
      </c>
      <c r="L414" s="73">
        <v>590.60000000000036</v>
      </c>
    </row>
    <row r="415" spans="11:12" x14ac:dyDescent="0.4">
      <c r="K415" s="5">
        <v>413</v>
      </c>
      <c r="L415" s="73">
        <v>581.20000000000039</v>
      </c>
    </row>
    <row r="416" spans="11:12" x14ac:dyDescent="0.4">
      <c r="K416" s="5">
        <v>414</v>
      </c>
      <c r="L416" s="73">
        <v>606.80000000000041</v>
      </c>
    </row>
    <row r="417" spans="11:12" x14ac:dyDescent="0.4">
      <c r="K417" s="5">
        <v>415</v>
      </c>
      <c r="L417" s="73">
        <v>580.10000000000036</v>
      </c>
    </row>
    <row r="418" spans="11:12" x14ac:dyDescent="0.4">
      <c r="K418" s="5">
        <v>416</v>
      </c>
      <c r="L418" s="73">
        <v>553.20000000000039</v>
      </c>
    </row>
    <row r="419" spans="11:12" x14ac:dyDescent="0.4">
      <c r="K419" s="5">
        <v>417</v>
      </c>
      <c r="L419" s="73">
        <v>596.70000000000039</v>
      </c>
    </row>
    <row r="420" spans="11:12" x14ac:dyDescent="0.4">
      <c r="K420" s="5">
        <v>418</v>
      </c>
      <c r="L420" s="73">
        <v>589.20000000000039</v>
      </c>
    </row>
    <row r="421" spans="11:12" x14ac:dyDescent="0.4">
      <c r="K421" s="5">
        <v>419</v>
      </c>
      <c r="L421" s="73">
        <v>554.50000000000034</v>
      </c>
    </row>
    <row r="422" spans="11:12" x14ac:dyDescent="0.4">
      <c r="K422" s="5">
        <v>420</v>
      </c>
      <c r="L422" s="73">
        <v>579.10000000000036</v>
      </c>
    </row>
    <row r="423" spans="11:12" x14ac:dyDescent="0.4">
      <c r="K423" s="5">
        <v>421</v>
      </c>
      <c r="L423" s="73">
        <v>529.70000000000039</v>
      </c>
    </row>
    <row r="424" spans="11:12" x14ac:dyDescent="0.4">
      <c r="K424" s="5">
        <v>422</v>
      </c>
      <c r="L424" s="73">
        <v>578.30000000000041</v>
      </c>
    </row>
    <row r="425" spans="11:12" x14ac:dyDescent="0.4">
      <c r="K425" s="5">
        <v>423</v>
      </c>
      <c r="L425" s="73">
        <v>530.10000000000036</v>
      </c>
    </row>
    <row r="426" spans="11:12" x14ac:dyDescent="0.4">
      <c r="K426" s="5">
        <v>424</v>
      </c>
      <c r="L426" s="73">
        <v>552.40000000000043</v>
      </c>
    </row>
    <row r="427" spans="11:12" x14ac:dyDescent="0.4">
      <c r="K427" s="5">
        <v>425</v>
      </c>
      <c r="L427" s="73">
        <v>530.30000000000041</v>
      </c>
    </row>
    <row r="428" spans="11:12" x14ac:dyDescent="0.4">
      <c r="K428" s="5">
        <v>426</v>
      </c>
      <c r="L428" s="73">
        <v>493.90000000000038</v>
      </c>
    </row>
    <row r="429" spans="11:12" x14ac:dyDescent="0.4">
      <c r="K429" s="5">
        <v>427</v>
      </c>
      <c r="L429" s="73">
        <v>518.70000000000039</v>
      </c>
    </row>
    <row r="430" spans="11:12" x14ac:dyDescent="0.4">
      <c r="K430" s="5">
        <v>428</v>
      </c>
      <c r="L430" s="73">
        <v>491.20000000000039</v>
      </c>
    </row>
    <row r="431" spans="11:12" x14ac:dyDescent="0.4">
      <c r="K431" s="5">
        <v>429</v>
      </c>
      <c r="L431" s="73">
        <v>444.70000000000039</v>
      </c>
    </row>
    <row r="432" spans="11:12" x14ac:dyDescent="0.4">
      <c r="K432" s="5">
        <v>430</v>
      </c>
      <c r="L432" s="73">
        <v>482.00000000000034</v>
      </c>
    </row>
    <row r="433" spans="11:12" x14ac:dyDescent="0.4">
      <c r="K433" s="5">
        <v>431</v>
      </c>
      <c r="L433" s="73">
        <v>483.30000000000035</v>
      </c>
    </row>
    <row r="434" spans="11:12" x14ac:dyDescent="0.4">
      <c r="K434" s="5">
        <v>432</v>
      </c>
      <c r="L434" s="73">
        <v>570.60000000000036</v>
      </c>
    </row>
    <row r="435" spans="11:12" x14ac:dyDescent="0.4">
      <c r="K435" s="5">
        <v>433</v>
      </c>
      <c r="L435" s="73">
        <v>517.70000000000039</v>
      </c>
    </row>
    <row r="436" spans="11:12" x14ac:dyDescent="0.4">
      <c r="K436" s="5">
        <v>434</v>
      </c>
      <c r="L436" s="73">
        <v>445.00000000000034</v>
      </c>
    </row>
    <row r="437" spans="11:12" x14ac:dyDescent="0.4">
      <c r="K437" s="5">
        <v>435</v>
      </c>
      <c r="L437" s="73">
        <v>398.40000000000038</v>
      </c>
    </row>
    <row r="438" spans="11:12" x14ac:dyDescent="0.4">
      <c r="K438" s="5">
        <v>436</v>
      </c>
      <c r="L438" s="73">
        <v>432.00000000000034</v>
      </c>
    </row>
    <row r="439" spans="11:12" x14ac:dyDescent="0.4">
      <c r="K439" s="5">
        <v>437</v>
      </c>
      <c r="L439" s="73">
        <v>473.60000000000036</v>
      </c>
    </row>
    <row r="440" spans="11:12" x14ac:dyDescent="0.4">
      <c r="K440" s="5">
        <v>438</v>
      </c>
      <c r="L440" s="73">
        <v>564.60000000000036</v>
      </c>
    </row>
    <row r="441" spans="11:12" x14ac:dyDescent="0.4">
      <c r="K441" s="5">
        <v>439</v>
      </c>
      <c r="L441" s="73">
        <v>571.40000000000032</v>
      </c>
    </row>
    <row r="442" spans="11:12" x14ac:dyDescent="0.4">
      <c r="K442" s="5">
        <v>440</v>
      </c>
      <c r="L442" s="73">
        <v>544.60000000000036</v>
      </c>
    </row>
    <row r="443" spans="11:12" x14ac:dyDescent="0.4">
      <c r="K443" s="5">
        <v>441</v>
      </c>
      <c r="L443" s="73">
        <v>545.40000000000032</v>
      </c>
    </row>
    <row r="444" spans="11:12" x14ac:dyDescent="0.4">
      <c r="K444" s="5">
        <v>442</v>
      </c>
      <c r="L444" s="73">
        <v>495.10000000000036</v>
      </c>
    </row>
    <row r="445" spans="11:12" x14ac:dyDescent="0.4">
      <c r="K445" s="5">
        <v>443</v>
      </c>
      <c r="L445" s="73">
        <v>533.80000000000041</v>
      </c>
    </row>
    <row r="446" spans="11:12" x14ac:dyDescent="0.4">
      <c r="K446" s="5">
        <v>444</v>
      </c>
      <c r="L446" s="73">
        <v>493.20000000000039</v>
      </c>
    </row>
    <row r="447" spans="11:12" x14ac:dyDescent="0.4">
      <c r="K447" s="5">
        <v>445</v>
      </c>
      <c r="L447" s="73">
        <v>438.80000000000035</v>
      </c>
    </row>
    <row r="448" spans="11:12" x14ac:dyDescent="0.4">
      <c r="K448" s="5">
        <v>446</v>
      </c>
      <c r="L448" s="73">
        <v>402.90000000000032</v>
      </c>
    </row>
    <row r="449" spans="11:12" x14ac:dyDescent="0.4">
      <c r="K449" s="5">
        <v>447</v>
      </c>
      <c r="L449" s="73">
        <v>408.40000000000032</v>
      </c>
    </row>
    <row r="450" spans="11:12" x14ac:dyDescent="0.4">
      <c r="K450" s="5">
        <v>448</v>
      </c>
      <c r="L450" s="73">
        <v>382.50000000000034</v>
      </c>
    </row>
    <row r="451" spans="11:12" x14ac:dyDescent="0.4">
      <c r="K451" s="5">
        <v>449</v>
      </c>
      <c r="L451" s="73">
        <v>415.00000000000034</v>
      </c>
    </row>
    <row r="452" spans="11:12" x14ac:dyDescent="0.4">
      <c r="K452" s="5">
        <v>450</v>
      </c>
      <c r="L452" s="73">
        <v>369.40000000000032</v>
      </c>
    </row>
    <row r="453" spans="11:12" x14ac:dyDescent="0.4">
      <c r="K453" s="5">
        <v>451</v>
      </c>
      <c r="L453" s="73">
        <v>361.10000000000036</v>
      </c>
    </row>
    <row r="454" spans="11:12" x14ac:dyDescent="0.4">
      <c r="K454" s="5">
        <v>452</v>
      </c>
      <c r="L454" s="73">
        <v>379.00000000000034</v>
      </c>
    </row>
    <row r="455" spans="11:12" x14ac:dyDescent="0.4">
      <c r="K455" s="5">
        <v>453</v>
      </c>
      <c r="L455" s="73">
        <v>349.20000000000033</v>
      </c>
    </row>
    <row r="456" spans="11:12" x14ac:dyDescent="0.4">
      <c r="K456" s="5">
        <v>454</v>
      </c>
      <c r="L456" s="73">
        <v>362.70000000000033</v>
      </c>
    </row>
    <row r="457" spans="11:12" x14ac:dyDescent="0.4">
      <c r="K457" s="5">
        <v>455</v>
      </c>
      <c r="L457" s="73">
        <v>406.20000000000033</v>
      </c>
    </row>
    <row r="458" spans="11:12" x14ac:dyDescent="0.4">
      <c r="K458" s="5">
        <v>456</v>
      </c>
      <c r="L458" s="73">
        <v>475.3000000000003</v>
      </c>
    </row>
    <row r="459" spans="11:12" x14ac:dyDescent="0.4">
      <c r="K459" s="5">
        <v>457</v>
      </c>
      <c r="L459" s="73">
        <v>456.60000000000031</v>
      </c>
    </row>
    <row r="460" spans="11:12" x14ac:dyDescent="0.4">
      <c r="K460" s="5">
        <v>458</v>
      </c>
      <c r="L460" s="73">
        <v>440.60000000000031</v>
      </c>
    </row>
    <row r="461" spans="11:12" x14ac:dyDescent="0.4">
      <c r="K461" s="5">
        <v>459</v>
      </c>
      <c r="L461" s="73">
        <v>449.00000000000034</v>
      </c>
    </row>
    <row r="462" spans="11:12" x14ac:dyDescent="0.4">
      <c r="K462" s="5">
        <v>460</v>
      </c>
      <c r="L462" s="73">
        <v>473.3000000000003</v>
      </c>
    </row>
    <row r="463" spans="11:12" x14ac:dyDescent="0.4">
      <c r="K463" s="5">
        <v>461</v>
      </c>
      <c r="L463" s="73">
        <v>501.40000000000032</v>
      </c>
    </row>
    <row r="464" spans="11:12" x14ac:dyDescent="0.4">
      <c r="K464" s="5">
        <v>462</v>
      </c>
      <c r="L464" s="73">
        <v>499.40000000000032</v>
      </c>
    </row>
    <row r="465" spans="11:12" x14ac:dyDescent="0.4">
      <c r="K465" s="5">
        <v>463</v>
      </c>
      <c r="L465" s="73">
        <v>449.10000000000036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8B243-3E38-4759-9195-9DC7424E4CB5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33">
        <v>69</v>
      </c>
      <c r="C3" s="13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35">
        <v>109</v>
      </c>
      <c r="C4" s="13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11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45">
        <f>IF(B$2=0,0,(B$7*1+B$8*2+B$9*3)/B$2)</f>
        <v>1.6666666666666667</v>
      </c>
      <c r="C6" s="14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10</v>
      </c>
    </row>
    <row r="28" spans="1:17" x14ac:dyDescent="0.4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41">
        <v>78000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8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24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5AF9-9A5F-4DAA-B71A-620D51E8EC39}">
  <sheetPr codeName="Sheet15"/>
  <dimension ref="A1:Q38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383</v>
      </c>
      <c r="C2" s="132"/>
      <c r="E2" s="43" t="s">
        <v>66</v>
      </c>
      <c r="F2" s="25" t="s">
        <v>22</v>
      </c>
      <c r="G2" s="13">
        <v>565</v>
      </c>
      <c r="H2" s="106">
        <f>IF(B$51=0,0,G2/B$51)</f>
        <v>0.67583732057416268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-194.24083769633509</v>
      </c>
      <c r="P2" s="92">
        <v>382</v>
      </c>
      <c r="Q2" s="76">
        <v>-74200</v>
      </c>
    </row>
    <row r="3" spans="1:17" x14ac:dyDescent="0.4">
      <c r="A3" s="37" t="s">
        <v>8</v>
      </c>
      <c r="B3" s="133">
        <v>3119</v>
      </c>
      <c r="C3" s="134"/>
      <c r="E3" s="44" t="s">
        <v>72</v>
      </c>
      <c r="F3" s="41" t="s">
        <v>27</v>
      </c>
      <c r="G3" s="34">
        <v>463</v>
      </c>
      <c r="H3" s="107">
        <f>IF(B$51=0,0,G3/B$51)</f>
        <v>0.55382775119617222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578.13333333333333</v>
      </c>
      <c r="P3" s="93">
        <v>375</v>
      </c>
      <c r="Q3" s="77">
        <v>216800</v>
      </c>
    </row>
    <row r="4" spans="1:17" x14ac:dyDescent="0.4">
      <c r="A4" s="37" t="s">
        <v>6</v>
      </c>
      <c r="B4" s="135">
        <v>-547.19999999999993</v>
      </c>
      <c r="C4" s="136"/>
      <c r="E4" s="44" t="s">
        <v>64</v>
      </c>
      <c r="F4" s="41" t="s">
        <v>20</v>
      </c>
      <c r="G4" s="34">
        <v>418</v>
      </c>
      <c r="H4" s="107">
        <f>IF(B$51=0,0,G4/B$51)</f>
        <v>0.5</v>
      </c>
      <c r="I4" s="68">
        <v>10</v>
      </c>
      <c r="K4" s="5">
        <v>2</v>
      </c>
      <c r="L4" s="73">
        <v>-24.299999999999997</v>
      </c>
      <c r="N4" s="89" t="s">
        <v>128</v>
      </c>
      <c r="O4" s="96">
        <f t="shared" si="0"/>
        <v>-518.13031161473089</v>
      </c>
      <c r="P4" s="93">
        <v>353</v>
      </c>
      <c r="Q4" s="77">
        <v>-182900</v>
      </c>
    </row>
    <row r="5" spans="1:17" x14ac:dyDescent="0.4">
      <c r="A5" s="37" t="s">
        <v>7</v>
      </c>
      <c r="B5" s="137">
        <f>IF(B$2=0,0,B$4/B$2)</f>
        <v>-1.4287206266318535</v>
      </c>
      <c r="C5" s="138"/>
      <c r="E5" s="44" t="s">
        <v>157</v>
      </c>
      <c r="F5" s="41" t="s">
        <v>158</v>
      </c>
      <c r="G5" s="34">
        <v>339</v>
      </c>
      <c r="H5" s="107">
        <f>IF(B$51=0,0,G5/B$51)</f>
        <v>0.40550239234449759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49.541284403669728</v>
      </c>
      <c r="P5" s="93">
        <v>327</v>
      </c>
      <c r="Q5" s="77">
        <v>16200</v>
      </c>
    </row>
    <row r="6" spans="1:17" x14ac:dyDescent="0.4">
      <c r="A6" s="37" t="s">
        <v>1</v>
      </c>
      <c r="B6" s="145">
        <f>IF(B$2=0,0,(B$7*1+B$8*2+B$9*3)/B$2)</f>
        <v>2.0522193211488249</v>
      </c>
      <c r="C6" s="146"/>
      <c r="E6" s="44" t="s">
        <v>67</v>
      </c>
      <c r="F6" s="41" t="s">
        <v>23</v>
      </c>
      <c r="G6" s="34">
        <v>266</v>
      </c>
      <c r="H6" s="107">
        <f>IF(B$51=0,0,G6/B$51)</f>
        <v>0.31818181818181818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-972.29729729729729</v>
      </c>
      <c r="P6" s="93">
        <v>296</v>
      </c>
      <c r="Q6" s="77">
        <v>-287800</v>
      </c>
    </row>
    <row r="7" spans="1:17" x14ac:dyDescent="0.4">
      <c r="A7" s="37" t="s">
        <v>2</v>
      </c>
      <c r="B7" s="34">
        <v>109</v>
      </c>
      <c r="C7" s="31">
        <f t="shared" ref="C7:C14" si="1">IF(B$2=0,0,B7/B$2)</f>
        <v>0.28459530026109658</v>
      </c>
      <c r="E7" s="44" t="s">
        <v>68</v>
      </c>
      <c r="F7" s="41" t="s">
        <v>12</v>
      </c>
      <c r="G7" s="34">
        <v>254</v>
      </c>
      <c r="H7" s="107">
        <f>IF(B$51=0,0,G7/B$51)</f>
        <v>0.30382775119617222</v>
      </c>
      <c r="I7" s="68">
        <v>11</v>
      </c>
      <c r="K7" s="5">
        <v>5</v>
      </c>
      <c r="L7" s="73">
        <v>9.6000000000000014</v>
      </c>
      <c r="N7" s="90" t="s">
        <v>131</v>
      </c>
      <c r="O7" s="97">
        <f t="shared" si="0"/>
        <v>-527.75510204081638</v>
      </c>
      <c r="P7" s="94">
        <v>245</v>
      </c>
      <c r="Q7" s="78">
        <v>-129300</v>
      </c>
    </row>
    <row r="8" spans="1:17" x14ac:dyDescent="0.4">
      <c r="A8" s="37" t="s">
        <v>3</v>
      </c>
      <c r="B8" s="34">
        <v>145</v>
      </c>
      <c r="C8" s="31">
        <f t="shared" si="1"/>
        <v>0.37859007832898173</v>
      </c>
      <c r="E8" s="44" t="s">
        <v>69</v>
      </c>
      <c r="F8" s="41" t="s">
        <v>24</v>
      </c>
      <c r="G8" s="34">
        <v>109</v>
      </c>
      <c r="H8" s="107">
        <f>IF(B$51=0,0,G8/B$51)</f>
        <v>0.13038277511961721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129</v>
      </c>
      <c r="C9" s="7">
        <f t="shared" si="1"/>
        <v>0.33681462140992169</v>
      </c>
      <c r="E9" s="44" t="s">
        <v>89</v>
      </c>
      <c r="F9" s="41" t="s">
        <v>44</v>
      </c>
      <c r="G9" s="34">
        <v>108</v>
      </c>
      <c r="H9" s="107">
        <f>IF(B$51=0,0,G9/B$51)</f>
        <v>0.12918660287081341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39.756880733944961</v>
      </c>
      <c r="C10" s="121">
        <v>4333.5000000000009</v>
      </c>
      <c r="E10" s="44" t="s">
        <v>65</v>
      </c>
      <c r="F10" s="41" t="s">
        <v>21</v>
      </c>
      <c r="G10" s="34">
        <v>76</v>
      </c>
      <c r="H10" s="107">
        <f>IF(B$51=0,0,G10/B$51)</f>
        <v>9.0909090909090912E-2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-4.5482269503546116</v>
      </c>
      <c r="P10" s="92">
        <v>141</v>
      </c>
      <c r="Q10" s="80">
        <v>-641.30000000000018</v>
      </c>
    </row>
    <row r="11" spans="1:17" x14ac:dyDescent="0.4">
      <c r="A11" s="38" t="s">
        <v>204</v>
      </c>
      <c r="B11" s="120">
        <f>IF(B8=0,0,C11/B8)</f>
        <v>-0.23586206896551717</v>
      </c>
      <c r="C11" s="121">
        <v>-34.199999999999989</v>
      </c>
      <c r="E11" s="44" t="s">
        <v>71</v>
      </c>
      <c r="F11" s="41" t="s">
        <v>26</v>
      </c>
      <c r="G11" s="34">
        <v>69</v>
      </c>
      <c r="H11" s="107">
        <f>IF(B$51=0,0,G11/B$51)</f>
        <v>8.2535885167464115E-2</v>
      </c>
      <c r="I11" s="68">
        <v>6</v>
      </c>
      <c r="K11" s="5">
        <v>9</v>
      </c>
      <c r="L11" s="73">
        <v>-9.3999999999999968</v>
      </c>
      <c r="N11" s="89" t="s">
        <v>150</v>
      </c>
      <c r="O11" s="99">
        <f>IF(P11=0,0,Q11/P11)</f>
        <v>-0.36557377049180334</v>
      </c>
      <c r="P11" s="93">
        <v>122</v>
      </c>
      <c r="Q11" s="81">
        <v>-44.600000000000009</v>
      </c>
    </row>
    <row r="12" spans="1:17" x14ac:dyDescent="0.4">
      <c r="A12" s="38" t="s">
        <v>205</v>
      </c>
      <c r="B12" s="120">
        <f>IF(B9=0,0,C12/B9)</f>
        <v>-37.569767441860456</v>
      </c>
      <c r="C12" s="121">
        <v>-4846.4999999999991</v>
      </c>
      <c r="E12" s="44" t="s">
        <v>70</v>
      </c>
      <c r="F12" s="41" t="s">
        <v>25</v>
      </c>
      <c r="G12" s="34">
        <v>65</v>
      </c>
      <c r="H12" s="107">
        <f>IF(B$51=0,0,G12/B$51)</f>
        <v>7.7751196172248807E-2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1.1558333333333333</v>
      </c>
      <c r="P12" s="94">
        <v>120</v>
      </c>
      <c r="Q12" s="82">
        <v>138.69999999999999</v>
      </c>
    </row>
    <row r="13" spans="1:17" x14ac:dyDescent="0.4">
      <c r="A13" s="38" t="s">
        <v>206</v>
      </c>
      <c r="B13" s="137">
        <f>AVERAGE(B10:B12)</f>
        <v>0.65041707437299578</v>
      </c>
      <c r="C13" s="138"/>
      <c r="E13" s="44" t="s">
        <v>83</v>
      </c>
      <c r="F13" s="41" t="s">
        <v>38</v>
      </c>
      <c r="G13" s="34">
        <v>48</v>
      </c>
      <c r="H13" s="107">
        <f>IF(B$51=0,0,G13/B$51)</f>
        <v>5.7416267942583733E-2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39" t="s">
        <v>18</v>
      </c>
      <c r="B14" s="36">
        <v>44</v>
      </c>
      <c r="C14" s="32">
        <f t="shared" si="1"/>
        <v>0.11488250652741515</v>
      </c>
      <c r="E14" s="44" t="s">
        <v>86</v>
      </c>
      <c r="F14" s="41" t="s">
        <v>41</v>
      </c>
      <c r="G14" s="34">
        <v>40</v>
      </c>
      <c r="H14" s="107">
        <f>IF(B$51=0,0,G14/B$51)</f>
        <v>4.784688995215311E-2</v>
      </c>
      <c r="I14" s="68">
        <v>12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756</v>
      </c>
      <c r="C15" s="11">
        <f>IF(B$50=0,0,B15/B$50)</f>
        <v>0.24238537992946457</v>
      </c>
      <c r="E15" s="44" t="s">
        <v>78</v>
      </c>
      <c r="F15" s="41" t="s">
        <v>33</v>
      </c>
      <c r="G15" s="34">
        <v>25</v>
      </c>
      <c r="H15" s="107">
        <f>IF(B$51=0,0,G15/B$51)</f>
        <v>2.9904306220095694E-2</v>
      </c>
      <c r="I15" s="68">
        <v>6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118</v>
      </c>
      <c r="B16" s="34">
        <v>721</v>
      </c>
      <c r="C16" s="31">
        <f>IF(B$50=0,0,B16/B$50)</f>
        <v>0.23116383456235973</v>
      </c>
      <c r="E16" s="44" t="s">
        <v>79</v>
      </c>
      <c r="F16" s="41" t="s">
        <v>34</v>
      </c>
      <c r="G16" s="34">
        <v>19</v>
      </c>
      <c r="H16" s="107">
        <f>IF(B$51=0,0,G16/B$51)</f>
        <v>2.2727272727272728E-2</v>
      </c>
      <c r="I16" s="68">
        <v>5</v>
      </c>
      <c r="K16" s="5">
        <v>14</v>
      </c>
      <c r="L16" s="73">
        <v>-5.7999999999999945</v>
      </c>
      <c r="N16" s="89" t="s">
        <v>199</v>
      </c>
      <c r="O16" s="99">
        <f>IF(P16=0,0,Q16/P16)</f>
        <v>23.05</v>
      </c>
      <c r="P16" s="93">
        <v>16</v>
      </c>
      <c r="Q16" s="81">
        <v>368.8</v>
      </c>
    </row>
    <row r="17" spans="1:17" x14ac:dyDescent="0.4">
      <c r="A17" s="19" t="s">
        <v>123</v>
      </c>
      <c r="B17" s="13">
        <v>427</v>
      </c>
      <c r="C17" s="4">
        <f>IF(B$15=0,0,B17/B$15)</f>
        <v>0.56481481481481477</v>
      </c>
      <c r="E17" s="44" t="s">
        <v>91</v>
      </c>
      <c r="F17" s="41" t="s">
        <v>46</v>
      </c>
      <c r="G17" s="34">
        <v>19</v>
      </c>
      <c r="H17" s="107">
        <f>IF(B$51=0,0,G17/B$51)</f>
        <v>2.2727272727272728E-2</v>
      </c>
      <c r="I17" s="68">
        <v>5</v>
      </c>
      <c r="K17" s="5">
        <v>15</v>
      </c>
      <c r="L17" s="73">
        <v>-44.199999999999996</v>
      </c>
      <c r="N17" s="89" t="s">
        <v>197</v>
      </c>
      <c r="O17" s="99">
        <f>IF(P17=0,0,Q17/P17)</f>
        <v>18.121428571428574</v>
      </c>
      <c r="P17" s="93">
        <v>42</v>
      </c>
      <c r="Q17" s="81">
        <v>761.1</v>
      </c>
    </row>
    <row r="18" spans="1:17" x14ac:dyDescent="0.4">
      <c r="A18" s="19" t="s">
        <v>124</v>
      </c>
      <c r="B18" s="13">
        <v>274</v>
      </c>
      <c r="C18" s="4">
        <f>IF(B$16=0,0,B18/B$16)</f>
        <v>0.38002773925104022</v>
      </c>
      <c r="E18" s="44" t="s">
        <v>81</v>
      </c>
      <c r="F18" s="41" t="s">
        <v>36</v>
      </c>
      <c r="G18" s="34">
        <v>18</v>
      </c>
      <c r="H18" s="107">
        <f>IF(B$51=0,0,G18/B$51)</f>
        <v>2.1531100478468901E-2</v>
      </c>
      <c r="I18" s="68">
        <v>11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19" t="s">
        <v>10</v>
      </c>
      <c r="B19" s="13">
        <v>836</v>
      </c>
      <c r="C19" s="4">
        <f>IF(B$3=0,0,B19/B$3)</f>
        <v>0.26803462648284709</v>
      </c>
      <c r="E19" s="44" t="s">
        <v>85</v>
      </c>
      <c r="F19" s="41" t="s">
        <v>40</v>
      </c>
      <c r="G19" s="34">
        <v>11</v>
      </c>
      <c r="H19" s="107">
        <f>IF(B$51=0,0,G19/B$51)</f>
        <v>1.3157894736842105E-2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">
      <c r="A20" s="37" t="s">
        <v>13</v>
      </c>
      <c r="B20" s="34">
        <v>446</v>
      </c>
      <c r="C20" s="31">
        <f>IF(B$3=0,0,B20/B$3)</f>
        <v>0.1429945495351074</v>
      </c>
      <c r="E20" s="44" t="s">
        <v>153</v>
      </c>
      <c r="F20" s="41" t="s">
        <v>154</v>
      </c>
      <c r="G20" s="34">
        <v>8</v>
      </c>
      <c r="H20" s="107">
        <f>IF(B$51=0,0,G20/B$51)</f>
        <v>9.5693779904306216E-3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">
      <c r="A21" s="37" t="s">
        <v>12</v>
      </c>
      <c r="B21" s="34">
        <v>368</v>
      </c>
      <c r="C21" s="31">
        <f>IF(B$19=0,0,B21/B$19)</f>
        <v>0.44019138755980863</v>
      </c>
      <c r="E21" s="44" t="s">
        <v>92</v>
      </c>
      <c r="F21" s="41" t="s">
        <v>47</v>
      </c>
      <c r="G21" s="34">
        <v>7</v>
      </c>
      <c r="H21" s="107">
        <f>IF(B$51=0,0,G21/B$51)</f>
        <v>8.3732057416267946E-3</v>
      </c>
      <c r="I21" s="68">
        <v>3</v>
      </c>
      <c r="K21" s="5">
        <v>19</v>
      </c>
      <c r="L21" s="73">
        <v>-60</v>
      </c>
      <c r="N21" s="89" t="s">
        <v>190</v>
      </c>
      <c r="O21" s="99">
        <f>IF(P21=0,0,Q21/P21)</f>
        <v>3.6876543209876549</v>
      </c>
      <c r="P21" s="93">
        <v>81</v>
      </c>
      <c r="Q21" s="81">
        <v>298.70000000000005</v>
      </c>
    </row>
    <row r="22" spans="1:17" x14ac:dyDescent="0.4">
      <c r="A22" s="37" t="s">
        <v>11</v>
      </c>
      <c r="B22" s="34">
        <v>468</v>
      </c>
      <c r="C22" s="31">
        <f>IF(B$19=0,0,B22/B$19)</f>
        <v>0.55980861244019142</v>
      </c>
      <c r="E22" s="44" t="s">
        <v>73</v>
      </c>
      <c r="F22" s="41" t="s">
        <v>28</v>
      </c>
      <c r="G22" s="34">
        <v>5</v>
      </c>
      <c r="H22" s="107">
        <f>IF(B$51=0,0,G22/B$51)</f>
        <v>5.9808612440191387E-3</v>
      </c>
      <c r="I22" s="68">
        <v>6</v>
      </c>
      <c r="K22" s="5">
        <v>20</v>
      </c>
      <c r="L22" s="73">
        <v>-88.2</v>
      </c>
      <c r="N22" s="89" t="s">
        <v>188</v>
      </c>
      <c r="O22" s="99">
        <f>IF(P22=0,0,Q22/P22)</f>
        <v>0.97872340425531978</v>
      </c>
      <c r="P22" s="93">
        <v>94</v>
      </c>
      <c r="Q22" s="81">
        <v>92.000000000000057</v>
      </c>
    </row>
    <row r="23" spans="1:17" x14ac:dyDescent="0.4">
      <c r="A23" s="37" t="s">
        <v>180</v>
      </c>
      <c r="B23" s="34">
        <v>427</v>
      </c>
      <c r="C23" s="31">
        <f>IF(B$19=0,0,B23/B$19)</f>
        <v>0.51076555023923442</v>
      </c>
      <c r="E23" s="44" t="s">
        <v>75</v>
      </c>
      <c r="F23" s="41" t="s">
        <v>30</v>
      </c>
      <c r="G23" s="34">
        <v>5</v>
      </c>
      <c r="H23" s="107">
        <f>IF(B$51=0,0,G23/B$51)</f>
        <v>5.9808612440191387E-3</v>
      </c>
      <c r="I23" s="68">
        <v>7</v>
      </c>
      <c r="K23" s="5">
        <v>21</v>
      </c>
      <c r="L23" s="73">
        <v>-125.80000000000001</v>
      </c>
      <c r="N23" s="89" t="s">
        <v>194</v>
      </c>
      <c r="O23" s="99">
        <f>IF(P23=0,0,Q23/P23)</f>
        <v>0.74444444444444635</v>
      </c>
      <c r="P23" s="93">
        <v>9</v>
      </c>
      <c r="Q23" s="81">
        <v>6.7000000000000171</v>
      </c>
    </row>
    <row r="24" spans="1:17" x14ac:dyDescent="0.4">
      <c r="A24" s="37" t="s">
        <v>178</v>
      </c>
      <c r="B24" s="34">
        <v>274</v>
      </c>
      <c r="C24" s="31">
        <f>IF(B$19=0,0,B24/B$19)</f>
        <v>0.32775119617224879</v>
      </c>
      <c r="E24" s="44" t="s">
        <v>74</v>
      </c>
      <c r="F24" s="41" t="s">
        <v>29</v>
      </c>
      <c r="G24" s="34">
        <v>3</v>
      </c>
      <c r="H24" s="107">
        <f>IF(B$51=0,0,G24/B$51)</f>
        <v>3.5885167464114833E-3</v>
      </c>
      <c r="I24" s="68">
        <v>5</v>
      </c>
      <c r="K24" s="5">
        <v>22</v>
      </c>
      <c r="L24" s="73">
        <v>-149.30000000000001</v>
      </c>
      <c r="N24" s="89" t="s">
        <v>193</v>
      </c>
      <c r="O24" s="99">
        <f>IF(P24=0,0,Q24/P24)</f>
        <v>0.49399999999999961</v>
      </c>
      <c r="P24" s="93">
        <v>150</v>
      </c>
      <c r="Q24" s="81">
        <v>74.099999999999937</v>
      </c>
    </row>
    <row r="25" spans="1:17" x14ac:dyDescent="0.4">
      <c r="A25" s="37" t="s">
        <v>179</v>
      </c>
      <c r="B25" s="34">
        <v>135</v>
      </c>
      <c r="C25" s="31">
        <f>IF(B$19=0,0,B25/B$19)</f>
        <v>0.16148325358851676</v>
      </c>
      <c r="E25" s="44" t="s">
        <v>77</v>
      </c>
      <c r="F25" s="41" t="s">
        <v>32</v>
      </c>
      <c r="G25" s="34">
        <v>3</v>
      </c>
      <c r="H25" s="107">
        <f>IF(B$51=0,0,G25/B$51)</f>
        <v>3.5885167464114833E-3</v>
      </c>
      <c r="I25" s="68">
        <v>9</v>
      </c>
      <c r="K25" s="5">
        <v>23</v>
      </c>
      <c r="L25" s="73">
        <v>-150.30000000000001</v>
      </c>
      <c r="N25" s="89" t="s">
        <v>191</v>
      </c>
      <c r="O25" s="99">
        <f>IF(P25=0,0,Q25/P25)</f>
        <v>0.22708333333333611</v>
      </c>
      <c r="P25" s="93">
        <v>144</v>
      </c>
      <c r="Q25" s="81">
        <v>32.700000000000401</v>
      </c>
    </row>
    <row r="26" spans="1:17" x14ac:dyDescent="0.4">
      <c r="A26" s="37" t="s">
        <v>5</v>
      </c>
      <c r="B26" s="17">
        <f>IF(B$19=0,0,C26/B$19)</f>
        <v>8505.0239234449764</v>
      </c>
      <c r="C26" s="8">
        <v>7110200</v>
      </c>
      <c r="E26" s="44" t="s">
        <v>88</v>
      </c>
      <c r="F26" s="41" t="s">
        <v>43</v>
      </c>
      <c r="G26" s="34">
        <v>2</v>
      </c>
      <c r="H26" s="107">
        <f>IF(B$51=0,0,G26/B$51)</f>
        <v>2.3923444976076554E-3</v>
      </c>
      <c r="I26" s="68">
        <v>2</v>
      </c>
      <c r="K26" s="5">
        <v>24</v>
      </c>
      <c r="L26" s="73">
        <v>-196.10000000000002</v>
      </c>
      <c r="N26" s="89" t="s">
        <v>189</v>
      </c>
      <c r="O26" s="99">
        <f>IF(P26=0,0,Q26/P26)</f>
        <v>-8.3571428571428594</v>
      </c>
      <c r="P26" s="93">
        <v>7</v>
      </c>
      <c r="Q26" s="81">
        <v>-58.500000000000014</v>
      </c>
    </row>
    <row r="27" spans="1:17" x14ac:dyDescent="0.4">
      <c r="A27" s="38" t="s">
        <v>162</v>
      </c>
      <c r="B27" s="114">
        <f>IF($B$19-B$18=0,0,C27/($B$19-B$18))</f>
        <v>9262.8113879003558</v>
      </c>
      <c r="C27" s="115">
        <v>5205700</v>
      </c>
      <c r="E27" s="44" t="s">
        <v>90</v>
      </c>
      <c r="F27" s="41" t="s">
        <v>45</v>
      </c>
      <c r="G27" s="34">
        <v>2</v>
      </c>
      <c r="H27" s="107">
        <f>IF(B$51=0,0,G27/B$51)</f>
        <v>2.3923444976076554E-3</v>
      </c>
      <c r="I27" s="68">
        <v>3</v>
      </c>
      <c r="K27" s="5">
        <v>25</v>
      </c>
      <c r="L27" s="73">
        <v>-240.00000000000003</v>
      </c>
      <c r="N27" s="89" t="s">
        <v>195</v>
      </c>
      <c r="O27" s="99">
        <f>IF(P27=0,0,Q27/P27)</f>
        <v>-18.294791666666669</v>
      </c>
      <c r="P27" s="93">
        <v>192</v>
      </c>
      <c r="Q27" s="81">
        <v>-3512.6000000000004</v>
      </c>
    </row>
    <row r="28" spans="1:17" x14ac:dyDescent="0.4">
      <c r="A28" s="38" t="s">
        <v>163</v>
      </c>
      <c r="B28" s="114">
        <f>IF(B$18=0,0,C28/B$18)</f>
        <v>6950.729927007299</v>
      </c>
      <c r="C28" s="115">
        <v>1904500</v>
      </c>
      <c r="E28" s="44" t="s">
        <v>93</v>
      </c>
      <c r="F28" s="41" t="s">
        <v>48</v>
      </c>
      <c r="G28" s="34">
        <v>2</v>
      </c>
      <c r="H28" s="107">
        <f>IF(B$51=0,0,G28/B$51)</f>
        <v>2.3923444976076554E-3</v>
      </c>
      <c r="I28" s="68">
        <v>7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">
      <c r="A29" s="38" t="s">
        <v>161</v>
      </c>
      <c r="B29" s="114">
        <f>IF(B$20=0,0,C29/B$20)</f>
        <v>-7443.2735426008967</v>
      </c>
      <c r="C29" s="115">
        <v>-3319700</v>
      </c>
      <c r="E29" s="44" t="s">
        <v>101</v>
      </c>
      <c r="F29" s="41" t="s">
        <v>56</v>
      </c>
      <c r="G29" s="34">
        <v>2</v>
      </c>
      <c r="H29" s="107">
        <f>IF(B$51=0,0,G29/B$51)</f>
        <v>2.3923444976076554E-3</v>
      </c>
      <c r="I29" s="68">
        <v>1</v>
      </c>
      <c r="K29" s="5">
        <v>27</v>
      </c>
      <c r="L29" s="73">
        <v>-266.7</v>
      </c>
    </row>
    <row r="30" spans="1:17" x14ac:dyDescent="0.4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1.1961722488038277E-3</v>
      </c>
      <c r="I30" s="68">
        <v>9</v>
      </c>
      <c r="K30" s="5">
        <v>28</v>
      </c>
      <c r="L30" s="73">
        <v>-283.7</v>
      </c>
    </row>
    <row r="31" spans="1:17" x14ac:dyDescent="0.4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">
      <c r="A32" s="64" t="s">
        <v>134</v>
      </c>
      <c r="B32" s="143">
        <v>8</v>
      </c>
      <c r="C32" s="144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40" t="s">
        <v>177</v>
      </c>
      <c r="B33" s="141">
        <v>103000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9" t="s">
        <v>135</v>
      </c>
      <c r="B34" s="27">
        <v>7</v>
      </c>
      <c r="C34" s="32">
        <f>IF(B$3=0,0,B34/B$3)</f>
        <v>2.2443090734209684E-3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64" t="s">
        <v>168</v>
      </c>
      <c r="B36" s="125">
        <v>61</v>
      </c>
      <c r="C36" s="119">
        <f>IF(B$19=0,0,B36/B$19)</f>
        <v>7.2966507177033499E-2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">
      <c r="A37" s="37" t="s">
        <v>164</v>
      </c>
      <c r="B37" s="34">
        <v>138</v>
      </c>
      <c r="C37" s="31">
        <f t="shared" ref="C37:C48" si="2">IF(B$19=0,0,B37/B$19)</f>
        <v>0.16507177033492823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165</v>
      </c>
      <c r="B38" s="128">
        <v>163</v>
      </c>
      <c r="C38" s="31">
        <f>IF(B$19=0,0,B38/B$19)</f>
        <v>0.19497607655502391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166</v>
      </c>
      <c r="B39" s="128">
        <v>151</v>
      </c>
      <c r="C39" s="31">
        <f t="shared" si="2"/>
        <v>0.18062200956937799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167</v>
      </c>
      <c r="B40" s="128">
        <v>123</v>
      </c>
      <c r="C40" s="31">
        <f t="shared" si="2"/>
        <v>0.1471291866028708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169</v>
      </c>
      <c r="B41" s="128">
        <v>84</v>
      </c>
      <c r="C41" s="31">
        <f t="shared" si="2"/>
        <v>0.10047846889952153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170</v>
      </c>
      <c r="B42" s="128">
        <v>50</v>
      </c>
      <c r="C42" s="31">
        <f t="shared" si="2"/>
        <v>5.9808612440191387E-2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">
      <c r="A43" s="37" t="s">
        <v>171</v>
      </c>
      <c r="B43" s="128">
        <v>22</v>
      </c>
      <c r="C43" s="31">
        <f t="shared" si="2"/>
        <v>2.6315789473684209E-2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7" t="s">
        <v>172</v>
      </c>
      <c r="B44" s="128">
        <v>16</v>
      </c>
      <c r="C44" s="31">
        <f t="shared" si="2"/>
        <v>1.9138755980861243E-2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A45" s="37" t="s">
        <v>173</v>
      </c>
      <c r="B45" s="128">
        <v>12</v>
      </c>
      <c r="C45" s="31">
        <f t="shared" si="2"/>
        <v>1.4354066985645933E-2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37" t="s">
        <v>174</v>
      </c>
      <c r="B46" s="128">
        <v>3</v>
      </c>
      <c r="C46" s="31">
        <f t="shared" si="2"/>
        <v>3.5885167464114833E-3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7" t="s">
        <v>175</v>
      </c>
      <c r="B47" s="128">
        <v>2</v>
      </c>
      <c r="C47" s="31">
        <f t="shared" si="2"/>
        <v>2.3923444976076554E-3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A48" s="39" t="s">
        <v>176</v>
      </c>
      <c r="B48" s="124">
        <v>11</v>
      </c>
      <c r="C48" s="32">
        <f t="shared" si="2"/>
        <v>1.3157894736842105E-2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">
      <c r="A50" s="64" t="s">
        <v>181</v>
      </c>
      <c r="B50" s="131">
        <v>3119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">
      <c r="A51" s="39" t="s">
        <v>182</v>
      </c>
      <c r="B51" s="139">
        <v>836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">
      <c r="K53" s="5">
        <v>51</v>
      </c>
      <c r="L53" s="73">
        <v>-601.09999999999991</v>
      </c>
    </row>
    <row r="54" spans="1:12" x14ac:dyDescent="0.4">
      <c r="K54" s="5">
        <v>52</v>
      </c>
      <c r="L54" s="73">
        <v>-608.19999999999993</v>
      </c>
    </row>
    <row r="55" spans="1:12" x14ac:dyDescent="0.4">
      <c r="K55" s="5">
        <v>53</v>
      </c>
      <c r="L55" s="73">
        <v>-616.09999999999991</v>
      </c>
    </row>
    <row r="56" spans="1:12" x14ac:dyDescent="0.4">
      <c r="K56" s="5">
        <v>54</v>
      </c>
      <c r="L56" s="73">
        <v>-613.89999999999986</v>
      </c>
    </row>
    <row r="57" spans="1:12" x14ac:dyDescent="0.4">
      <c r="K57" s="5">
        <v>55</v>
      </c>
      <c r="L57" s="73">
        <v>-690.49999999999989</v>
      </c>
    </row>
    <row r="58" spans="1:12" x14ac:dyDescent="0.4">
      <c r="K58" s="5">
        <v>56</v>
      </c>
      <c r="L58" s="73">
        <v>-655.69999999999993</v>
      </c>
    </row>
    <row r="59" spans="1:12" x14ac:dyDescent="0.4">
      <c r="K59" s="5">
        <v>57</v>
      </c>
      <c r="L59" s="73">
        <v>-643.5</v>
      </c>
    </row>
    <row r="60" spans="1:12" x14ac:dyDescent="0.4">
      <c r="K60" s="5">
        <v>58</v>
      </c>
      <c r="L60" s="73">
        <v>-597.5</v>
      </c>
    </row>
    <row r="61" spans="1:12" x14ac:dyDescent="0.4">
      <c r="K61" s="5">
        <v>59</v>
      </c>
      <c r="L61" s="73">
        <v>-600.69999999999993</v>
      </c>
    </row>
    <row r="62" spans="1:12" x14ac:dyDescent="0.4">
      <c r="K62" s="5">
        <v>60</v>
      </c>
      <c r="L62" s="73">
        <v>-658.89999999999986</v>
      </c>
    </row>
    <row r="63" spans="1:12" x14ac:dyDescent="0.4">
      <c r="K63" s="5">
        <v>61</v>
      </c>
      <c r="L63" s="73">
        <v>-606.39999999999986</v>
      </c>
    </row>
    <row r="64" spans="1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-449.29999999999995</v>
      </c>
    </row>
    <row r="198" spans="11:12" x14ac:dyDescent="0.4">
      <c r="K198" s="5">
        <v>196</v>
      </c>
      <c r="L198" s="73">
        <v>-465.4</v>
      </c>
    </row>
    <row r="199" spans="11:12" x14ac:dyDescent="0.4">
      <c r="K199" s="5">
        <v>197</v>
      </c>
      <c r="L199" s="73">
        <v>-458.79999999999995</v>
      </c>
    </row>
    <row r="200" spans="11:12" x14ac:dyDescent="0.4">
      <c r="K200" s="5">
        <v>198</v>
      </c>
      <c r="L200" s="73">
        <v>-454.4</v>
      </c>
    </row>
    <row r="201" spans="11:12" x14ac:dyDescent="0.4">
      <c r="K201" s="5">
        <v>199</v>
      </c>
      <c r="L201" s="73">
        <v>-456</v>
      </c>
    </row>
    <row r="202" spans="11:12" x14ac:dyDescent="0.4">
      <c r="K202" s="5">
        <v>200</v>
      </c>
      <c r="L202" s="73">
        <v>-447.4</v>
      </c>
    </row>
    <row r="203" spans="11:12" x14ac:dyDescent="0.4">
      <c r="K203" s="5">
        <v>201</v>
      </c>
      <c r="L203" s="73">
        <v>-385.9</v>
      </c>
    </row>
    <row r="204" spans="11:12" x14ac:dyDescent="0.4">
      <c r="K204" s="5">
        <v>202</v>
      </c>
      <c r="L204" s="73">
        <v>-420.79999999999995</v>
      </c>
    </row>
    <row r="205" spans="11:12" x14ac:dyDescent="0.4">
      <c r="K205" s="5">
        <v>203</v>
      </c>
      <c r="L205" s="73">
        <v>-408.59999999999997</v>
      </c>
    </row>
    <row r="206" spans="11:12" x14ac:dyDescent="0.4">
      <c r="K206" s="5">
        <v>204</v>
      </c>
      <c r="L206" s="73">
        <v>-428.59999999999997</v>
      </c>
    </row>
    <row r="207" spans="11:12" x14ac:dyDescent="0.4">
      <c r="K207" s="5">
        <v>205</v>
      </c>
      <c r="L207" s="73">
        <v>-416</v>
      </c>
    </row>
    <row r="208" spans="11:12" x14ac:dyDescent="0.4">
      <c r="K208" s="5">
        <v>206</v>
      </c>
      <c r="L208" s="73">
        <v>-390.4</v>
      </c>
    </row>
    <row r="209" spans="11:12" x14ac:dyDescent="0.4">
      <c r="K209" s="5">
        <v>207</v>
      </c>
      <c r="L209" s="73">
        <v>-391</v>
      </c>
    </row>
    <row r="210" spans="11:12" x14ac:dyDescent="0.4">
      <c r="K210" s="5">
        <v>208</v>
      </c>
      <c r="L210" s="73">
        <v>-397.79999999999995</v>
      </c>
    </row>
    <row r="211" spans="11:12" x14ac:dyDescent="0.4">
      <c r="K211" s="5">
        <v>209</v>
      </c>
      <c r="L211" s="73">
        <v>-388.7</v>
      </c>
    </row>
    <row r="212" spans="11:12" x14ac:dyDescent="0.4">
      <c r="K212" s="5">
        <v>210</v>
      </c>
      <c r="L212" s="73">
        <v>-391.7</v>
      </c>
    </row>
    <row r="213" spans="11:12" x14ac:dyDescent="0.4">
      <c r="K213" s="5">
        <v>211</v>
      </c>
      <c r="L213" s="73">
        <v>-410</v>
      </c>
    </row>
    <row r="214" spans="11:12" x14ac:dyDescent="0.4">
      <c r="K214" s="5">
        <v>212</v>
      </c>
      <c r="L214" s="73">
        <v>-361.09999999999997</v>
      </c>
    </row>
    <row r="215" spans="11:12" x14ac:dyDescent="0.4">
      <c r="K215" s="5">
        <v>213</v>
      </c>
      <c r="L215" s="73">
        <v>-401.2</v>
      </c>
    </row>
    <row r="216" spans="11:12" x14ac:dyDescent="0.4">
      <c r="K216" s="5">
        <v>214</v>
      </c>
      <c r="L216" s="73">
        <v>-384.59999999999997</v>
      </c>
    </row>
    <row r="217" spans="11:12" x14ac:dyDescent="0.4">
      <c r="K217" s="5">
        <v>215</v>
      </c>
      <c r="L217" s="73">
        <v>-359.79999999999995</v>
      </c>
    </row>
    <row r="218" spans="11:12" x14ac:dyDescent="0.4">
      <c r="K218" s="5">
        <v>216</v>
      </c>
      <c r="L218" s="73">
        <v>-320.5</v>
      </c>
    </row>
    <row r="219" spans="11:12" x14ac:dyDescent="0.4">
      <c r="K219" s="5">
        <v>217</v>
      </c>
      <c r="L219" s="73">
        <v>-376.4</v>
      </c>
    </row>
    <row r="220" spans="11:12" x14ac:dyDescent="0.4">
      <c r="K220" s="5">
        <v>218</v>
      </c>
      <c r="L220" s="73">
        <v>-370.4</v>
      </c>
    </row>
    <row r="221" spans="11:12" x14ac:dyDescent="0.4">
      <c r="K221" s="5">
        <v>219</v>
      </c>
      <c r="L221" s="73">
        <v>-385.7</v>
      </c>
    </row>
    <row r="222" spans="11:12" x14ac:dyDescent="0.4">
      <c r="K222" s="5">
        <v>220</v>
      </c>
      <c r="L222" s="73">
        <v>-351.09999999999997</v>
      </c>
    </row>
    <row r="223" spans="11:12" x14ac:dyDescent="0.4">
      <c r="K223" s="5">
        <v>221</v>
      </c>
      <c r="L223" s="73">
        <v>-357.59999999999997</v>
      </c>
    </row>
    <row r="224" spans="11:12" x14ac:dyDescent="0.4">
      <c r="K224" s="5">
        <v>222</v>
      </c>
      <c r="L224" s="73">
        <v>-382.9</v>
      </c>
    </row>
    <row r="225" spans="11:12" x14ac:dyDescent="0.4">
      <c r="K225" s="5">
        <v>223</v>
      </c>
      <c r="L225" s="73">
        <v>-403.79999999999995</v>
      </c>
    </row>
    <row r="226" spans="11:12" x14ac:dyDescent="0.4">
      <c r="K226" s="5">
        <v>224</v>
      </c>
      <c r="L226" s="73">
        <v>-400.29999999999995</v>
      </c>
    </row>
    <row r="227" spans="11:12" x14ac:dyDescent="0.4">
      <c r="K227" s="5">
        <v>225</v>
      </c>
      <c r="L227" s="73">
        <v>-433.29999999999995</v>
      </c>
    </row>
    <row r="228" spans="11:12" x14ac:dyDescent="0.4">
      <c r="K228" s="5">
        <v>226</v>
      </c>
      <c r="L228" s="73">
        <v>-457.4</v>
      </c>
    </row>
    <row r="229" spans="11:12" x14ac:dyDescent="0.4">
      <c r="K229" s="5">
        <v>227</v>
      </c>
      <c r="L229" s="73">
        <v>-447.09999999999997</v>
      </c>
    </row>
    <row r="230" spans="11:12" x14ac:dyDescent="0.4">
      <c r="K230" s="5">
        <v>228</v>
      </c>
      <c r="L230" s="73">
        <v>-451.5</v>
      </c>
    </row>
    <row r="231" spans="11:12" x14ac:dyDescent="0.4">
      <c r="K231" s="5">
        <v>229</v>
      </c>
      <c r="L231" s="73">
        <v>-465.7</v>
      </c>
    </row>
    <row r="232" spans="11:12" x14ac:dyDescent="0.4">
      <c r="K232" s="5">
        <v>230</v>
      </c>
      <c r="L232" s="73">
        <v>-463.2</v>
      </c>
    </row>
    <row r="233" spans="11:12" x14ac:dyDescent="0.4">
      <c r="K233" s="5">
        <v>231</v>
      </c>
      <c r="L233" s="73">
        <v>-433.09999999999997</v>
      </c>
    </row>
    <row r="234" spans="11:12" x14ac:dyDescent="0.4">
      <c r="K234" s="5">
        <v>232</v>
      </c>
      <c r="L234" s="73">
        <v>-435</v>
      </c>
    </row>
    <row r="235" spans="11:12" x14ac:dyDescent="0.4">
      <c r="K235" s="5">
        <v>233</v>
      </c>
      <c r="L235" s="73">
        <v>-425.7</v>
      </c>
    </row>
    <row r="236" spans="11:12" x14ac:dyDescent="0.4">
      <c r="K236" s="5">
        <v>234</v>
      </c>
      <c r="L236" s="73">
        <v>-484.79999999999995</v>
      </c>
    </row>
    <row r="237" spans="11:12" x14ac:dyDescent="0.4">
      <c r="K237" s="5">
        <v>235</v>
      </c>
      <c r="L237" s="73">
        <v>-530.9</v>
      </c>
    </row>
    <row r="238" spans="11:12" x14ac:dyDescent="0.4">
      <c r="K238" s="5">
        <v>236</v>
      </c>
      <c r="L238" s="73">
        <v>-567.5</v>
      </c>
    </row>
    <row r="239" spans="11:12" x14ac:dyDescent="0.4">
      <c r="K239" s="5">
        <v>237</v>
      </c>
      <c r="L239" s="73">
        <v>-563.29999999999995</v>
      </c>
    </row>
    <row r="240" spans="11:12" x14ac:dyDescent="0.4">
      <c r="K240" s="5">
        <v>238</v>
      </c>
      <c r="L240" s="73">
        <v>-513.5</v>
      </c>
    </row>
    <row r="241" spans="11:12" x14ac:dyDescent="0.4">
      <c r="K241" s="5">
        <v>239</v>
      </c>
      <c r="L241" s="73">
        <v>-514.70000000000005</v>
      </c>
    </row>
    <row r="242" spans="11:12" x14ac:dyDescent="0.4">
      <c r="K242" s="5">
        <v>240</v>
      </c>
      <c r="L242" s="73">
        <v>-526.1</v>
      </c>
    </row>
    <row r="243" spans="11:12" x14ac:dyDescent="0.4">
      <c r="K243" s="5">
        <v>241</v>
      </c>
      <c r="L243" s="73">
        <v>-517.29999999999995</v>
      </c>
    </row>
    <row r="244" spans="11:12" x14ac:dyDescent="0.4">
      <c r="K244" s="5">
        <v>242</v>
      </c>
      <c r="L244" s="73">
        <v>-494.9</v>
      </c>
    </row>
    <row r="245" spans="11:12" x14ac:dyDescent="0.4">
      <c r="K245" s="5">
        <v>243</v>
      </c>
      <c r="L245" s="73">
        <v>-481.3</v>
      </c>
    </row>
    <row r="246" spans="11:12" x14ac:dyDescent="0.4">
      <c r="K246" s="5">
        <v>244</v>
      </c>
      <c r="L246" s="73">
        <v>-454.90000000000003</v>
      </c>
    </row>
    <row r="247" spans="11:12" x14ac:dyDescent="0.4">
      <c r="K247" s="5">
        <v>245</v>
      </c>
      <c r="L247" s="73">
        <v>-460.7</v>
      </c>
    </row>
    <row r="248" spans="11:12" x14ac:dyDescent="0.4">
      <c r="K248" s="5">
        <v>246</v>
      </c>
      <c r="L248" s="73">
        <v>-517.1</v>
      </c>
    </row>
    <row r="249" spans="11:12" x14ac:dyDescent="0.4">
      <c r="K249" s="5">
        <v>247</v>
      </c>
      <c r="L249" s="73">
        <v>-455.1</v>
      </c>
    </row>
    <row r="250" spans="11:12" x14ac:dyDescent="0.4">
      <c r="K250" s="5">
        <v>248</v>
      </c>
      <c r="L250" s="73">
        <v>-452.4</v>
      </c>
    </row>
    <row r="251" spans="11:12" x14ac:dyDescent="0.4">
      <c r="K251" s="5">
        <v>249</v>
      </c>
      <c r="L251" s="73">
        <v>-414.6</v>
      </c>
    </row>
    <row r="252" spans="11:12" x14ac:dyDescent="0.4">
      <c r="K252" s="5">
        <v>250</v>
      </c>
      <c r="L252" s="73">
        <v>-388.7</v>
      </c>
    </row>
    <row r="253" spans="11:12" x14ac:dyDescent="0.4">
      <c r="K253" s="5">
        <v>251</v>
      </c>
      <c r="L253" s="73">
        <v>-401.6</v>
      </c>
    </row>
    <row r="254" spans="11:12" x14ac:dyDescent="0.4">
      <c r="K254" s="5">
        <v>252</v>
      </c>
      <c r="L254" s="73">
        <v>-365.6</v>
      </c>
    </row>
    <row r="255" spans="11:12" x14ac:dyDescent="0.4">
      <c r="K255" s="5">
        <v>253</v>
      </c>
      <c r="L255" s="73">
        <v>-345.2</v>
      </c>
    </row>
    <row r="256" spans="11:12" x14ac:dyDescent="0.4">
      <c r="K256" s="5">
        <v>254</v>
      </c>
      <c r="L256" s="73">
        <v>-383.5</v>
      </c>
    </row>
    <row r="257" spans="11:12" x14ac:dyDescent="0.4">
      <c r="K257" s="5">
        <v>255</v>
      </c>
      <c r="L257" s="73">
        <v>-376.1</v>
      </c>
    </row>
    <row r="258" spans="11:12" x14ac:dyDescent="0.4">
      <c r="K258" s="5">
        <v>256</v>
      </c>
      <c r="L258" s="73">
        <v>-402.90000000000003</v>
      </c>
    </row>
    <row r="259" spans="11:12" x14ac:dyDescent="0.4">
      <c r="K259" s="5">
        <v>257</v>
      </c>
      <c r="L259" s="73">
        <v>-423.1</v>
      </c>
    </row>
    <row r="260" spans="11:12" x14ac:dyDescent="0.4">
      <c r="K260" s="5">
        <v>258</v>
      </c>
      <c r="L260" s="73">
        <v>-365.3</v>
      </c>
    </row>
    <row r="261" spans="11:12" x14ac:dyDescent="0.4">
      <c r="K261" s="5">
        <v>259</v>
      </c>
      <c r="L261" s="73">
        <v>-369.8</v>
      </c>
    </row>
    <row r="262" spans="11:12" x14ac:dyDescent="0.4">
      <c r="K262" s="5">
        <v>260</v>
      </c>
      <c r="L262" s="73">
        <v>-351.7</v>
      </c>
    </row>
    <row r="263" spans="11:12" x14ac:dyDescent="0.4">
      <c r="K263" s="5">
        <v>261</v>
      </c>
      <c r="L263" s="73">
        <v>-275.3</v>
      </c>
    </row>
    <row r="264" spans="11:12" x14ac:dyDescent="0.4">
      <c r="K264" s="5">
        <v>262</v>
      </c>
      <c r="L264" s="73">
        <v>-311.20000000000005</v>
      </c>
    </row>
    <row r="265" spans="11:12" x14ac:dyDescent="0.4">
      <c r="K265" s="5">
        <v>263</v>
      </c>
      <c r="L265" s="73">
        <v>-313.20000000000005</v>
      </c>
    </row>
    <row r="266" spans="11:12" x14ac:dyDescent="0.4">
      <c r="K266" s="5">
        <v>264</v>
      </c>
      <c r="L266" s="73">
        <v>-291.20000000000005</v>
      </c>
    </row>
    <row r="267" spans="11:12" x14ac:dyDescent="0.4">
      <c r="K267" s="5">
        <v>265</v>
      </c>
      <c r="L267" s="73">
        <v>-298.3</v>
      </c>
    </row>
    <row r="268" spans="11:12" x14ac:dyDescent="0.4">
      <c r="K268" s="5">
        <v>266</v>
      </c>
      <c r="L268" s="73">
        <v>-265.3</v>
      </c>
    </row>
    <row r="269" spans="11:12" x14ac:dyDescent="0.4">
      <c r="K269" s="5">
        <v>267</v>
      </c>
      <c r="L269" s="73">
        <v>-277.39999999999998</v>
      </c>
    </row>
    <row r="270" spans="11:12" x14ac:dyDescent="0.4">
      <c r="K270" s="5">
        <v>268</v>
      </c>
      <c r="L270" s="73">
        <v>-291.2</v>
      </c>
    </row>
    <row r="271" spans="11:12" x14ac:dyDescent="0.4">
      <c r="K271" s="5">
        <v>269</v>
      </c>
      <c r="L271" s="73">
        <v>-293</v>
      </c>
    </row>
    <row r="272" spans="11:12" x14ac:dyDescent="0.4">
      <c r="K272" s="5">
        <v>270</v>
      </c>
      <c r="L272" s="73">
        <v>-296</v>
      </c>
    </row>
    <row r="273" spans="11:12" x14ac:dyDescent="0.4">
      <c r="K273" s="5">
        <v>271</v>
      </c>
      <c r="L273" s="73">
        <v>-280.60000000000002</v>
      </c>
    </row>
    <row r="274" spans="11:12" x14ac:dyDescent="0.4">
      <c r="K274" s="5">
        <v>272</v>
      </c>
      <c r="L274" s="73">
        <v>-309.7</v>
      </c>
    </row>
    <row r="275" spans="11:12" x14ac:dyDescent="0.4">
      <c r="K275" s="5">
        <v>273</v>
      </c>
      <c r="L275" s="73">
        <v>-326.7</v>
      </c>
    </row>
    <row r="276" spans="11:12" x14ac:dyDescent="0.4">
      <c r="K276" s="5">
        <v>274</v>
      </c>
      <c r="L276" s="73">
        <v>-333.9</v>
      </c>
    </row>
    <row r="277" spans="11:12" x14ac:dyDescent="0.4">
      <c r="K277" s="5">
        <v>275</v>
      </c>
      <c r="L277" s="73">
        <v>-299.10000000000002</v>
      </c>
    </row>
    <row r="278" spans="11:12" x14ac:dyDescent="0.4">
      <c r="K278" s="5">
        <v>276</v>
      </c>
      <c r="L278" s="73">
        <v>-300.89999999999998</v>
      </c>
    </row>
    <row r="279" spans="11:12" x14ac:dyDescent="0.4">
      <c r="K279" s="5">
        <v>277</v>
      </c>
      <c r="L279" s="73">
        <v>-330.79999999999995</v>
      </c>
    </row>
    <row r="280" spans="11:12" x14ac:dyDescent="0.4">
      <c r="K280" s="5">
        <v>278</v>
      </c>
      <c r="L280" s="73">
        <v>-363.29999999999995</v>
      </c>
    </row>
    <row r="281" spans="11:12" x14ac:dyDescent="0.4">
      <c r="K281" s="5">
        <v>279</v>
      </c>
      <c r="L281" s="73">
        <v>-397.4</v>
      </c>
    </row>
    <row r="282" spans="11:12" x14ac:dyDescent="0.4">
      <c r="K282" s="5">
        <v>280</v>
      </c>
      <c r="L282" s="73">
        <v>-434.5</v>
      </c>
    </row>
    <row r="283" spans="11:12" x14ac:dyDescent="0.4">
      <c r="K283" s="5">
        <v>281</v>
      </c>
      <c r="L283" s="73">
        <v>-464.4</v>
      </c>
    </row>
    <row r="284" spans="11:12" x14ac:dyDescent="0.4">
      <c r="K284" s="5">
        <v>282</v>
      </c>
      <c r="L284" s="73">
        <v>-482.4</v>
      </c>
    </row>
    <row r="285" spans="11:12" x14ac:dyDescent="0.4">
      <c r="K285" s="5">
        <v>283</v>
      </c>
      <c r="L285" s="73">
        <v>-529.70000000000005</v>
      </c>
    </row>
    <row r="286" spans="11:12" x14ac:dyDescent="0.4">
      <c r="K286" s="5">
        <v>284</v>
      </c>
      <c r="L286" s="73">
        <v>-530</v>
      </c>
    </row>
    <row r="287" spans="11:12" x14ac:dyDescent="0.4">
      <c r="K287" s="5">
        <v>285</v>
      </c>
      <c r="L287" s="73">
        <v>-578.6</v>
      </c>
    </row>
    <row r="288" spans="11:12" x14ac:dyDescent="0.4">
      <c r="K288" s="5">
        <v>286</v>
      </c>
      <c r="L288" s="73">
        <v>-607.79999999999995</v>
      </c>
    </row>
    <row r="289" spans="11:12" x14ac:dyDescent="0.4">
      <c r="K289" s="5">
        <v>287</v>
      </c>
      <c r="L289" s="73">
        <v>-628.4</v>
      </c>
    </row>
    <row r="290" spans="11:12" x14ac:dyDescent="0.4">
      <c r="K290" s="5">
        <v>288</v>
      </c>
      <c r="L290" s="73">
        <v>-639.9</v>
      </c>
    </row>
    <row r="291" spans="11:12" x14ac:dyDescent="0.4">
      <c r="K291" s="5">
        <v>289</v>
      </c>
      <c r="L291" s="73">
        <v>-635.70000000000005</v>
      </c>
    </row>
    <row r="292" spans="11:12" x14ac:dyDescent="0.4">
      <c r="K292" s="5">
        <v>290</v>
      </c>
      <c r="L292" s="73">
        <v>-625</v>
      </c>
    </row>
    <row r="293" spans="11:12" x14ac:dyDescent="0.4">
      <c r="K293" s="5">
        <v>291</v>
      </c>
      <c r="L293" s="73">
        <v>-591.1</v>
      </c>
    </row>
    <row r="294" spans="11:12" x14ac:dyDescent="0.4">
      <c r="K294" s="5">
        <v>292</v>
      </c>
      <c r="L294" s="73">
        <v>-609.6</v>
      </c>
    </row>
    <row r="295" spans="11:12" x14ac:dyDescent="0.4">
      <c r="K295" s="5">
        <v>293</v>
      </c>
      <c r="L295" s="73">
        <v>-576.6</v>
      </c>
    </row>
    <row r="296" spans="11:12" x14ac:dyDescent="0.4">
      <c r="K296" s="5">
        <v>294</v>
      </c>
      <c r="L296" s="73">
        <v>-549.79999999999995</v>
      </c>
    </row>
    <row r="297" spans="11:12" x14ac:dyDescent="0.4">
      <c r="K297" s="5">
        <v>295</v>
      </c>
      <c r="L297" s="73">
        <v>-560</v>
      </c>
    </row>
    <row r="298" spans="11:12" x14ac:dyDescent="0.4">
      <c r="K298" s="5">
        <v>296</v>
      </c>
      <c r="L298" s="73">
        <v>-547.79999999999995</v>
      </c>
    </row>
    <row r="299" spans="11:12" x14ac:dyDescent="0.4">
      <c r="K299" s="5">
        <v>297</v>
      </c>
      <c r="L299" s="73">
        <v>-494.29999999999995</v>
      </c>
    </row>
    <row r="300" spans="11:12" x14ac:dyDescent="0.4">
      <c r="K300" s="5">
        <v>298</v>
      </c>
      <c r="L300" s="73">
        <v>-503.5</v>
      </c>
    </row>
    <row r="301" spans="11:12" x14ac:dyDescent="0.4">
      <c r="K301" s="5">
        <v>299</v>
      </c>
      <c r="L301" s="73">
        <v>-539.79999999999995</v>
      </c>
    </row>
    <row r="302" spans="11:12" x14ac:dyDescent="0.4">
      <c r="K302" s="5">
        <v>300</v>
      </c>
      <c r="L302" s="73">
        <v>-539</v>
      </c>
    </row>
    <row r="303" spans="11:12" x14ac:dyDescent="0.4">
      <c r="K303" s="5">
        <v>301</v>
      </c>
      <c r="L303" s="73">
        <v>-494.2</v>
      </c>
    </row>
    <row r="304" spans="11:12" x14ac:dyDescent="0.4">
      <c r="K304" s="5">
        <v>302</v>
      </c>
      <c r="L304" s="73">
        <v>-437.79999999999995</v>
      </c>
    </row>
    <row r="305" spans="11:12" x14ac:dyDescent="0.4">
      <c r="K305" s="5">
        <v>303</v>
      </c>
      <c r="L305" s="73">
        <v>-425.59999999999997</v>
      </c>
    </row>
    <row r="306" spans="11:12" x14ac:dyDescent="0.4">
      <c r="K306" s="5">
        <v>304</v>
      </c>
      <c r="L306" s="73">
        <v>-463.59999999999997</v>
      </c>
    </row>
    <row r="307" spans="11:12" x14ac:dyDescent="0.4">
      <c r="K307" s="5">
        <v>305</v>
      </c>
      <c r="L307" s="73">
        <v>-452.09999999999997</v>
      </c>
    </row>
    <row r="308" spans="11:12" x14ac:dyDescent="0.4">
      <c r="K308" s="5">
        <v>306</v>
      </c>
      <c r="L308" s="73">
        <v>-505.29999999999995</v>
      </c>
    </row>
    <row r="309" spans="11:12" x14ac:dyDescent="0.4">
      <c r="K309" s="5">
        <v>307</v>
      </c>
      <c r="L309" s="73">
        <v>-514</v>
      </c>
    </row>
    <row r="310" spans="11:12" x14ac:dyDescent="0.4">
      <c r="K310" s="5">
        <v>308</v>
      </c>
      <c r="L310" s="73">
        <v>-508.09999999999997</v>
      </c>
    </row>
    <row r="311" spans="11:12" x14ac:dyDescent="0.4">
      <c r="K311" s="5">
        <v>309</v>
      </c>
      <c r="L311" s="73">
        <v>-458.5</v>
      </c>
    </row>
    <row r="312" spans="11:12" x14ac:dyDescent="0.4">
      <c r="K312" s="5">
        <v>310</v>
      </c>
      <c r="L312" s="73">
        <v>-422.2</v>
      </c>
    </row>
    <row r="313" spans="11:12" x14ac:dyDescent="0.4">
      <c r="K313" s="5">
        <v>311</v>
      </c>
      <c r="L313" s="73">
        <v>-468.7</v>
      </c>
    </row>
    <row r="314" spans="11:12" x14ac:dyDescent="0.4">
      <c r="K314" s="5">
        <v>312</v>
      </c>
      <c r="L314" s="73">
        <v>-514.20000000000005</v>
      </c>
    </row>
    <row r="315" spans="11:12" x14ac:dyDescent="0.4">
      <c r="K315" s="5">
        <v>313</v>
      </c>
      <c r="L315" s="73">
        <v>-479.6</v>
      </c>
    </row>
    <row r="316" spans="11:12" x14ac:dyDescent="0.4">
      <c r="K316" s="5">
        <v>314</v>
      </c>
      <c r="L316" s="73">
        <v>-430.7</v>
      </c>
    </row>
    <row r="317" spans="11:12" x14ac:dyDescent="0.4">
      <c r="K317" s="5">
        <v>315</v>
      </c>
      <c r="L317" s="73">
        <v>-457.6</v>
      </c>
    </row>
    <row r="318" spans="11:12" x14ac:dyDescent="0.4">
      <c r="K318" s="5">
        <v>316</v>
      </c>
      <c r="L318" s="73">
        <v>-503.8</v>
      </c>
    </row>
    <row r="319" spans="11:12" x14ac:dyDescent="0.4">
      <c r="K319" s="5">
        <v>317</v>
      </c>
      <c r="L319" s="73">
        <v>-471.5</v>
      </c>
    </row>
    <row r="320" spans="11:12" x14ac:dyDescent="0.4">
      <c r="K320" s="5">
        <v>318</v>
      </c>
      <c r="L320" s="73">
        <v>-478.5</v>
      </c>
    </row>
    <row r="321" spans="11:12" x14ac:dyDescent="0.4">
      <c r="K321" s="5">
        <v>319</v>
      </c>
      <c r="L321" s="73">
        <v>-485.3</v>
      </c>
    </row>
    <row r="322" spans="11:12" x14ac:dyDescent="0.4">
      <c r="K322" s="5">
        <v>320</v>
      </c>
      <c r="L322" s="73">
        <v>-493.6</v>
      </c>
    </row>
    <row r="323" spans="11:12" x14ac:dyDescent="0.4">
      <c r="K323" s="5">
        <v>321</v>
      </c>
      <c r="L323" s="73">
        <v>-462.2</v>
      </c>
    </row>
    <row r="324" spans="11:12" x14ac:dyDescent="0.4">
      <c r="K324" s="5">
        <v>322</v>
      </c>
      <c r="L324" s="73">
        <v>-501.2</v>
      </c>
    </row>
    <row r="325" spans="11:12" x14ac:dyDescent="0.4">
      <c r="K325" s="5">
        <v>323</v>
      </c>
      <c r="L325" s="73">
        <v>-527.20000000000005</v>
      </c>
    </row>
    <row r="326" spans="11:12" x14ac:dyDescent="0.4">
      <c r="K326" s="5">
        <v>324</v>
      </c>
      <c r="L326" s="73">
        <v>-543.70000000000005</v>
      </c>
    </row>
    <row r="327" spans="11:12" x14ac:dyDescent="0.4">
      <c r="K327" s="5">
        <v>325</v>
      </c>
      <c r="L327" s="73">
        <v>-515.70000000000005</v>
      </c>
    </row>
    <row r="328" spans="11:12" x14ac:dyDescent="0.4">
      <c r="K328" s="5">
        <v>326</v>
      </c>
      <c r="L328" s="73">
        <v>-499.4</v>
      </c>
    </row>
    <row r="329" spans="11:12" x14ac:dyDescent="0.4">
      <c r="K329" s="5">
        <v>327</v>
      </c>
      <c r="L329" s="73">
        <v>-491.4</v>
      </c>
    </row>
    <row r="330" spans="11:12" x14ac:dyDescent="0.4">
      <c r="K330" s="5">
        <v>328</v>
      </c>
      <c r="L330" s="73">
        <v>-479</v>
      </c>
    </row>
    <row r="331" spans="11:12" x14ac:dyDescent="0.4">
      <c r="K331" s="5">
        <v>329</v>
      </c>
      <c r="L331" s="73">
        <v>-479.5</v>
      </c>
    </row>
    <row r="332" spans="11:12" x14ac:dyDescent="0.4">
      <c r="K332" s="5">
        <v>330</v>
      </c>
      <c r="L332" s="73">
        <v>-541.79999999999995</v>
      </c>
    </row>
    <row r="333" spans="11:12" x14ac:dyDescent="0.4">
      <c r="K333" s="5">
        <v>331</v>
      </c>
      <c r="L333" s="73">
        <v>-527.5</v>
      </c>
    </row>
    <row r="334" spans="11:12" x14ac:dyDescent="0.4">
      <c r="K334" s="5">
        <v>332</v>
      </c>
      <c r="L334" s="73">
        <v>-554.6</v>
      </c>
    </row>
    <row r="335" spans="11:12" x14ac:dyDescent="0.4">
      <c r="K335" s="5">
        <v>333</v>
      </c>
      <c r="L335" s="73">
        <v>-575.5</v>
      </c>
    </row>
    <row r="336" spans="11:12" x14ac:dyDescent="0.4">
      <c r="K336" s="5">
        <v>334</v>
      </c>
      <c r="L336" s="73">
        <v>-549.5</v>
      </c>
    </row>
    <row r="337" spans="11:12" x14ac:dyDescent="0.4">
      <c r="K337" s="5">
        <v>335</v>
      </c>
      <c r="L337" s="73">
        <v>-517.6</v>
      </c>
    </row>
    <row r="338" spans="11:12" x14ac:dyDescent="0.4">
      <c r="K338" s="5">
        <v>336</v>
      </c>
      <c r="L338" s="73">
        <v>-507.3</v>
      </c>
    </row>
    <row r="339" spans="11:12" x14ac:dyDescent="0.4">
      <c r="K339" s="5">
        <v>337</v>
      </c>
      <c r="L339" s="73">
        <v>-499.3</v>
      </c>
    </row>
    <row r="340" spans="11:12" x14ac:dyDescent="0.4">
      <c r="K340" s="5">
        <v>338</v>
      </c>
      <c r="L340" s="73">
        <v>-493.9</v>
      </c>
    </row>
    <row r="341" spans="11:12" x14ac:dyDescent="0.4">
      <c r="K341" s="5">
        <v>339</v>
      </c>
      <c r="L341" s="73">
        <v>-525</v>
      </c>
    </row>
    <row r="342" spans="11:12" x14ac:dyDescent="0.4">
      <c r="K342" s="5">
        <v>340</v>
      </c>
      <c r="L342" s="73">
        <v>-566.6</v>
      </c>
    </row>
    <row r="343" spans="11:12" x14ac:dyDescent="0.4">
      <c r="K343" s="5">
        <v>341</v>
      </c>
      <c r="L343" s="73">
        <v>-604.9</v>
      </c>
    </row>
    <row r="344" spans="11:12" x14ac:dyDescent="0.4">
      <c r="K344" s="5">
        <v>342</v>
      </c>
      <c r="L344" s="73">
        <v>-628.4</v>
      </c>
    </row>
    <row r="345" spans="11:12" x14ac:dyDescent="0.4">
      <c r="K345" s="5">
        <v>343</v>
      </c>
      <c r="L345" s="73">
        <v>-600.4</v>
      </c>
    </row>
    <row r="346" spans="11:12" x14ac:dyDescent="0.4">
      <c r="K346" s="5">
        <v>344</v>
      </c>
      <c r="L346" s="73">
        <v>-620.29999999999995</v>
      </c>
    </row>
    <row r="347" spans="11:12" x14ac:dyDescent="0.4">
      <c r="K347" s="5">
        <v>345</v>
      </c>
      <c r="L347" s="73">
        <v>-628.1</v>
      </c>
    </row>
    <row r="348" spans="11:12" x14ac:dyDescent="0.4">
      <c r="K348" s="5">
        <v>346</v>
      </c>
      <c r="L348" s="73">
        <v>-680.9</v>
      </c>
    </row>
    <row r="349" spans="11:12" x14ac:dyDescent="0.4">
      <c r="K349" s="5">
        <v>347</v>
      </c>
      <c r="L349" s="73">
        <v>-631.4</v>
      </c>
    </row>
    <row r="350" spans="11:12" x14ac:dyDescent="0.4">
      <c r="K350" s="5">
        <v>348</v>
      </c>
      <c r="L350" s="73">
        <v>-619.20000000000005</v>
      </c>
    </row>
    <row r="351" spans="11:12" x14ac:dyDescent="0.4">
      <c r="K351" s="5">
        <v>349</v>
      </c>
      <c r="L351" s="73">
        <v>-555.70000000000005</v>
      </c>
    </row>
    <row r="352" spans="11:12" x14ac:dyDescent="0.4">
      <c r="K352" s="5">
        <v>350</v>
      </c>
      <c r="L352" s="73">
        <v>-525.70000000000005</v>
      </c>
    </row>
    <row r="353" spans="11:12" x14ac:dyDescent="0.4">
      <c r="K353" s="5">
        <v>351</v>
      </c>
      <c r="L353" s="73">
        <v>-522.20000000000005</v>
      </c>
    </row>
    <row r="354" spans="11:12" x14ac:dyDescent="0.4">
      <c r="K354" s="5">
        <v>352</v>
      </c>
      <c r="L354" s="73">
        <v>-488.2</v>
      </c>
    </row>
    <row r="355" spans="11:12" x14ac:dyDescent="0.4">
      <c r="K355" s="5">
        <v>353</v>
      </c>
      <c r="L355" s="73">
        <v>-492.2</v>
      </c>
    </row>
    <row r="356" spans="11:12" x14ac:dyDescent="0.4">
      <c r="K356" s="5">
        <v>354</v>
      </c>
      <c r="L356" s="73">
        <v>-503.7</v>
      </c>
    </row>
    <row r="357" spans="11:12" x14ac:dyDescent="0.4">
      <c r="K357" s="5">
        <v>355</v>
      </c>
      <c r="L357" s="73">
        <v>-537.1</v>
      </c>
    </row>
    <row r="358" spans="11:12" x14ac:dyDescent="0.4">
      <c r="K358" s="5">
        <v>356</v>
      </c>
      <c r="L358" s="73">
        <v>-594.70000000000005</v>
      </c>
    </row>
    <row r="359" spans="11:12" x14ac:dyDescent="0.4">
      <c r="K359" s="5">
        <v>357</v>
      </c>
      <c r="L359" s="73">
        <v>-642.79999999999995</v>
      </c>
    </row>
    <row r="360" spans="11:12" x14ac:dyDescent="0.4">
      <c r="K360" s="5">
        <v>358</v>
      </c>
      <c r="L360" s="73">
        <v>-680</v>
      </c>
    </row>
    <row r="361" spans="11:12" x14ac:dyDescent="0.4">
      <c r="K361" s="5">
        <v>359</v>
      </c>
      <c r="L361" s="73">
        <v>-660.9</v>
      </c>
    </row>
    <row r="362" spans="11:12" x14ac:dyDescent="0.4">
      <c r="K362" s="5">
        <v>360</v>
      </c>
      <c r="L362" s="73">
        <v>-616.5</v>
      </c>
    </row>
    <row r="363" spans="11:12" x14ac:dyDescent="0.4">
      <c r="K363" s="5">
        <v>361</v>
      </c>
      <c r="L363" s="73">
        <v>-621.20000000000005</v>
      </c>
    </row>
    <row r="364" spans="11:12" x14ac:dyDescent="0.4">
      <c r="K364" s="5">
        <v>362</v>
      </c>
      <c r="L364" s="73">
        <v>-637.79999999999995</v>
      </c>
    </row>
    <row r="365" spans="11:12" x14ac:dyDescent="0.4">
      <c r="K365" s="5">
        <v>363</v>
      </c>
      <c r="L365" s="73">
        <v>-661.5</v>
      </c>
    </row>
    <row r="366" spans="11:12" x14ac:dyDescent="0.4">
      <c r="K366" s="5">
        <v>364</v>
      </c>
      <c r="L366" s="73">
        <v>-690.19999999999993</v>
      </c>
    </row>
    <row r="367" spans="11:12" x14ac:dyDescent="0.4">
      <c r="K367" s="5">
        <v>365</v>
      </c>
      <c r="L367" s="73">
        <v>-650.09999999999991</v>
      </c>
    </row>
    <row r="368" spans="11:12" x14ac:dyDescent="0.4">
      <c r="K368" s="5">
        <v>366</v>
      </c>
      <c r="L368" s="73">
        <v>-576.4</v>
      </c>
    </row>
    <row r="369" spans="11:12" x14ac:dyDescent="0.4">
      <c r="K369" s="5">
        <v>367</v>
      </c>
      <c r="L369" s="73">
        <v>-557</v>
      </c>
    </row>
    <row r="370" spans="11:12" x14ac:dyDescent="0.4">
      <c r="K370" s="5">
        <v>368</v>
      </c>
      <c r="L370" s="73">
        <v>-550.5</v>
      </c>
    </row>
    <row r="371" spans="11:12" x14ac:dyDescent="0.4">
      <c r="K371" s="5">
        <v>369</v>
      </c>
      <c r="L371" s="73">
        <v>-585.09999999999991</v>
      </c>
    </row>
    <row r="372" spans="11:12" x14ac:dyDescent="0.4">
      <c r="K372" s="5">
        <v>370</v>
      </c>
      <c r="L372" s="73">
        <v>-571.29999999999995</v>
      </c>
    </row>
    <row r="373" spans="11:12" x14ac:dyDescent="0.4">
      <c r="K373" s="5">
        <v>371</v>
      </c>
      <c r="L373" s="73">
        <v>-597</v>
      </c>
    </row>
    <row r="374" spans="11:12" x14ac:dyDescent="0.4">
      <c r="K374" s="5">
        <v>372</v>
      </c>
      <c r="L374" s="73">
        <v>-573.79999999999995</v>
      </c>
    </row>
    <row r="375" spans="11:12" x14ac:dyDescent="0.4">
      <c r="K375" s="5">
        <v>373</v>
      </c>
      <c r="L375" s="73">
        <v>-539.9</v>
      </c>
    </row>
    <row r="376" spans="11:12" x14ac:dyDescent="0.4">
      <c r="K376" s="5">
        <v>374</v>
      </c>
      <c r="L376" s="73">
        <v>-555.9</v>
      </c>
    </row>
    <row r="377" spans="11:12" x14ac:dyDescent="0.4">
      <c r="K377" s="5">
        <v>375</v>
      </c>
      <c r="L377" s="73">
        <v>-505.09999999999997</v>
      </c>
    </row>
    <row r="378" spans="11:12" x14ac:dyDescent="0.4">
      <c r="K378" s="5">
        <v>376</v>
      </c>
      <c r="L378" s="73">
        <v>-498.9</v>
      </c>
    </row>
    <row r="379" spans="11:12" x14ac:dyDescent="0.4">
      <c r="K379" s="5">
        <v>377</v>
      </c>
      <c r="L379" s="73">
        <v>-465.2</v>
      </c>
    </row>
    <row r="380" spans="11:12" x14ac:dyDescent="0.4">
      <c r="K380" s="5">
        <v>378</v>
      </c>
      <c r="L380" s="73">
        <v>-490.59999999999997</v>
      </c>
    </row>
    <row r="381" spans="11:12" x14ac:dyDescent="0.4">
      <c r="K381" s="5">
        <v>379</v>
      </c>
      <c r="L381" s="73">
        <v>-545.29999999999995</v>
      </c>
    </row>
    <row r="382" spans="11:12" x14ac:dyDescent="0.4">
      <c r="K382" s="5">
        <v>380</v>
      </c>
      <c r="L382" s="73">
        <v>-525.1</v>
      </c>
    </row>
    <row r="383" spans="11:12" x14ac:dyDescent="0.4">
      <c r="K383" s="5">
        <v>381</v>
      </c>
      <c r="L383" s="73">
        <v>-552.6</v>
      </c>
    </row>
    <row r="384" spans="11:12" x14ac:dyDescent="0.4">
      <c r="K384" s="5">
        <v>382</v>
      </c>
      <c r="L384" s="73">
        <v>-583.4</v>
      </c>
    </row>
    <row r="385" spans="11:12" x14ac:dyDescent="0.4">
      <c r="K385" s="5">
        <v>383</v>
      </c>
      <c r="L385" s="73">
        <v>-547.19999999999993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F8F11-B3A8-4CE5-A2BC-CCF2AF069B84}">
  <sheetPr codeName="Sheet16"/>
  <dimension ref="A1:Q12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186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118</v>
      </c>
      <c r="C2" s="132"/>
      <c r="E2" s="43" t="s">
        <v>66</v>
      </c>
      <c r="F2" s="25" t="s">
        <v>22</v>
      </c>
      <c r="G2" s="13">
        <v>185</v>
      </c>
      <c r="H2" s="106">
        <f>IF(B$51=0,0,G2/B$51)</f>
        <v>0.68773234200743494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-1650</v>
      </c>
      <c r="P2" s="92">
        <v>116</v>
      </c>
      <c r="Q2" s="76">
        <v>-191400</v>
      </c>
    </row>
    <row r="3" spans="1:17" x14ac:dyDescent="0.4">
      <c r="A3" s="37" t="s">
        <v>8</v>
      </c>
      <c r="B3" s="133">
        <v>1019</v>
      </c>
      <c r="C3" s="134"/>
      <c r="E3" s="44" t="s">
        <v>64</v>
      </c>
      <c r="F3" s="41" t="s">
        <v>20</v>
      </c>
      <c r="G3" s="34">
        <v>137</v>
      </c>
      <c r="H3" s="107">
        <f>IF(B$51=0,0,G3/B$51)</f>
        <v>0.50929368029739774</v>
      </c>
      <c r="I3" s="68">
        <v>9</v>
      </c>
      <c r="K3" s="5">
        <v>1</v>
      </c>
      <c r="L3" s="73">
        <v>4</v>
      </c>
      <c r="N3" s="89" t="s">
        <v>127</v>
      </c>
      <c r="O3" s="96">
        <f t="shared" si="0"/>
        <v>-637.71929824561403</v>
      </c>
      <c r="P3" s="93">
        <v>114</v>
      </c>
      <c r="Q3" s="77">
        <v>-72700</v>
      </c>
    </row>
    <row r="4" spans="1:17" x14ac:dyDescent="0.4">
      <c r="A4" s="37" t="s">
        <v>6</v>
      </c>
      <c r="B4" s="135">
        <v>-1015.2</v>
      </c>
      <c r="C4" s="136"/>
      <c r="E4" s="44" t="s">
        <v>72</v>
      </c>
      <c r="F4" s="41" t="s">
        <v>27</v>
      </c>
      <c r="G4" s="34">
        <v>124</v>
      </c>
      <c r="H4" s="107">
        <f>IF(B$51=0,0,G4/B$51)</f>
        <v>0.46096654275092935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-1577.0642201834862</v>
      </c>
      <c r="P4" s="93">
        <v>109</v>
      </c>
      <c r="Q4" s="77">
        <v>-171900</v>
      </c>
    </row>
    <row r="5" spans="1:17" x14ac:dyDescent="0.4">
      <c r="A5" s="37" t="s">
        <v>7</v>
      </c>
      <c r="B5" s="137">
        <f>IF(B$2=0,0,B$4/B$2)</f>
        <v>-8.6033898305084744</v>
      </c>
      <c r="C5" s="138"/>
      <c r="E5" s="44" t="s">
        <v>68</v>
      </c>
      <c r="F5" s="41" t="s">
        <v>12</v>
      </c>
      <c r="G5" s="34">
        <v>112</v>
      </c>
      <c r="H5" s="107">
        <f>IF(B$51=0,0,G5/B$51)</f>
        <v>0.41635687732342008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-3033</v>
      </c>
      <c r="P5" s="93">
        <v>100</v>
      </c>
      <c r="Q5" s="77">
        <v>-303300</v>
      </c>
    </row>
    <row r="6" spans="1:17" x14ac:dyDescent="0.4">
      <c r="A6" s="37" t="s">
        <v>1</v>
      </c>
      <c r="B6" s="145">
        <f>IF(B$2=0,0,(B$7*1+B$8*2+B$9*3)/B$2)</f>
        <v>2.152542372881356</v>
      </c>
      <c r="C6" s="146"/>
      <c r="E6" s="44" t="s">
        <v>157</v>
      </c>
      <c r="F6" s="41" t="s">
        <v>158</v>
      </c>
      <c r="G6" s="34">
        <v>100</v>
      </c>
      <c r="H6" s="107">
        <f>IF(B$51=0,0,G6/B$51)</f>
        <v>0.37174721189591076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446.06741573033707</v>
      </c>
      <c r="P6" s="93">
        <v>89</v>
      </c>
      <c r="Q6" s="77">
        <v>39700</v>
      </c>
    </row>
    <row r="7" spans="1:17" x14ac:dyDescent="0.4">
      <c r="A7" s="37" t="s">
        <v>2</v>
      </c>
      <c r="B7" s="34">
        <v>32</v>
      </c>
      <c r="C7" s="31">
        <f t="shared" ref="C7:C14" si="1">IF(B$2=0,0,B7/B$2)</f>
        <v>0.2711864406779661</v>
      </c>
      <c r="E7" s="44" t="s">
        <v>67</v>
      </c>
      <c r="F7" s="41" t="s">
        <v>23</v>
      </c>
      <c r="G7" s="34">
        <v>62</v>
      </c>
      <c r="H7" s="107">
        <f>IF(B$51=0,0,G7/B$51)</f>
        <v>0.23048327137546468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-218.75</v>
      </c>
      <c r="P7" s="94">
        <v>80</v>
      </c>
      <c r="Q7" s="78">
        <v>-17500</v>
      </c>
    </row>
    <row r="8" spans="1:17" x14ac:dyDescent="0.4">
      <c r="A8" s="37" t="s">
        <v>3</v>
      </c>
      <c r="B8" s="34">
        <v>36</v>
      </c>
      <c r="C8" s="31">
        <f t="shared" si="1"/>
        <v>0.30508474576271188</v>
      </c>
      <c r="E8" s="44" t="s">
        <v>69</v>
      </c>
      <c r="F8" s="41" t="s">
        <v>24</v>
      </c>
      <c r="G8" s="34">
        <v>40</v>
      </c>
      <c r="H8" s="107">
        <f>IF(B$51=0,0,G8/B$51)</f>
        <v>0.14869888475836432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50</v>
      </c>
      <c r="C9" s="7">
        <f t="shared" si="1"/>
        <v>0.42372881355932202</v>
      </c>
      <c r="E9" s="44" t="s">
        <v>70</v>
      </c>
      <c r="F9" s="41" t="s">
        <v>25</v>
      </c>
      <c r="G9" s="34">
        <v>32</v>
      </c>
      <c r="H9" s="107">
        <f>IF(B$51=0,0,G9/B$51)</f>
        <v>0.11895910780669144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37.090625000000003</v>
      </c>
      <c r="C10" s="121">
        <v>1186.9000000000001</v>
      </c>
      <c r="E10" s="44" t="s">
        <v>89</v>
      </c>
      <c r="F10" s="41" t="s">
        <v>44</v>
      </c>
      <c r="G10" s="34">
        <v>29</v>
      </c>
      <c r="H10" s="107">
        <f>IF(B$51=0,0,G10/B$51)</f>
        <v>0.10780669144981413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-10.148717948717948</v>
      </c>
      <c r="P10" s="92">
        <v>39</v>
      </c>
      <c r="Q10" s="80">
        <v>-395.8</v>
      </c>
    </row>
    <row r="11" spans="1:17" x14ac:dyDescent="0.4">
      <c r="A11" s="38" t="s">
        <v>204</v>
      </c>
      <c r="B11" s="120">
        <f>IF(B8=0,0,C11/B8)</f>
        <v>-4.3638888888888889</v>
      </c>
      <c r="C11" s="121">
        <v>-157.1</v>
      </c>
      <c r="E11" s="44" t="s">
        <v>65</v>
      </c>
      <c r="F11" s="41" t="s">
        <v>21</v>
      </c>
      <c r="G11" s="34">
        <v>24</v>
      </c>
      <c r="H11" s="107">
        <f>IF(B$51=0,0,G11/B$51)</f>
        <v>8.9219330855018583E-2</v>
      </c>
      <c r="I11" s="68">
        <v>16</v>
      </c>
      <c r="K11" s="5">
        <v>9</v>
      </c>
      <c r="L11" s="73">
        <v>-70.599999999999994</v>
      </c>
      <c r="N11" s="89" t="s">
        <v>150</v>
      </c>
      <c r="O11" s="99">
        <f>IF(P11=0,0,Q11/P11)</f>
        <v>-8.2217391304347842</v>
      </c>
      <c r="P11" s="93">
        <v>46</v>
      </c>
      <c r="Q11" s="81">
        <v>-378.20000000000005</v>
      </c>
    </row>
    <row r="12" spans="1:17" x14ac:dyDescent="0.4">
      <c r="A12" s="38" t="s">
        <v>205</v>
      </c>
      <c r="B12" s="120">
        <f>IF(B9=0,0,C12/B9)</f>
        <v>-40.9</v>
      </c>
      <c r="C12" s="121">
        <v>-2045</v>
      </c>
      <c r="E12" s="44" t="s">
        <v>71</v>
      </c>
      <c r="F12" s="41" t="s">
        <v>26</v>
      </c>
      <c r="G12" s="34">
        <v>14</v>
      </c>
      <c r="H12" s="107">
        <f>IF(B$51=0,0,G12/B$51)</f>
        <v>5.204460966542751E-2</v>
      </c>
      <c r="I12" s="68">
        <v>12</v>
      </c>
      <c r="K12" s="5">
        <v>10</v>
      </c>
      <c r="L12" s="73">
        <v>-115.89999999999999</v>
      </c>
      <c r="N12" s="90" t="s">
        <v>151</v>
      </c>
      <c r="O12" s="100">
        <f>IF(P12=0,0,Q12/P12)</f>
        <v>-7.3090909090909086</v>
      </c>
      <c r="P12" s="94">
        <v>33</v>
      </c>
      <c r="Q12" s="82">
        <v>-241.2</v>
      </c>
    </row>
    <row r="13" spans="1:17" x14ac:dyDescent="0.4">
      <c r="A13" s="38" t="s">
        <v>206</v>
      </c>
      <c r="B13" s="137">
        <f>AVERAGE(B10:B12)</f>
        <v>-2.7244212962962941</v>
      </c>
      <c r="C13" s="138"/>
      <c r="E13" s="44" t="s">
        <v>86</v>
      </c>
      <c r="F13" s="41" t="s">
        <v>41</v>
      </c>
      <c r="G13" s="34">
        <v>14</v>
      </c>
      <c r="H13" s="107">
        <f>IF(B$51=0,0,G13/B$51)</f>
        <v>5.204460966542751E-2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21</v>
      </c>
      <c r="C14" s="32">
        <f t="shared" si="1"/>
        <v>0.17796610169491525</v>
      </c>
      <c r="E14" s="44" t="s">
        <v>78</v>
      </c>
      <c r="F14" s="41" t="s">
        <v>33</v>
      </c>
      <c r="G14" s="34">
        <v>10</v>
      </c>
      <c r="H14" s="107">
        <f>IF(B$51=0,0,G14/B$51)</f>
        <v>3.717472118959108E-2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249</v>
      </c>
      <c r="C15" s="11">
        <f>IF(B$50=0,0,B15/B$50)</f>
        <v>0.24435721295387636</v>
      </c>
      <c r="E15" s="44" t="s">
        <v>83</v>
      </c>
      <c r="F15" s="41" t="s">
        <v>38</v>
      </c>
      <c r="G15" s="34">
        <v>7</v>
      </c>
      <c r="H15" s="107">
        <f>IF(B$51=0,0,G15/B$51)</f>
        <v>2.6022304832713755E-2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">
      <c r="A16" s="37" t="s">
        <v>118</v>
      </c>
      <c r="B16" s="34">
        <v>194</v>
      </c>
      <c r="C16" s="31">
        <f>IF(B$50=0,0,B16/B$50)</f>
        <v>0.19038272816486751</v>
      </c>
      <c r="E16" s="44" t="s">
        <v>79</v>
      </c>
      <c r="F16" s="41" t="s">
        <v>34</v>
      </c>
      <c r="G16" s="34">
        <v>6</v>
      </c>
      <c r="H16" s="107">
        <f>IF(B$51=0,0,G16/B$51)</f>
        <v>2.2304832713754646E-2</v>
      </c>
      <c r="I16" s="68">
        <v>7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19" t="s">
        <v>123</v>
      </c>
      <c r="B17" s="13">
        <v>141</v>
      </c>
      <c r="C17" s="4">
        <f>IF(B$15=0,0,B17/B$15)</f>
        <v>0.5662650602409639</v>
      </c>
      <c r="E17" s="44" t="s">
        <v>153</v>
      </c>
      <c r="F17" s="41" t="s">
        <v>154</v>
      </c>
      <c r="G17" s="34">
        <v>5</v>
      </c>
      <c r="H17" s="107">
        <f>IF(B$51=0,0,G17/B$51)</f>
        <v>1.858736059479554E-2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">
      <c r="A18" s="19" t="s">
        <v>124</v>
      </c>
      <c r="B18" s="13">
        <v>65</v>
      </c>
      <c r="C18" s="4">
        <f>IF(B$16=0,0,B18/B$16)</f>
        <v>0.33505154639175255</v>
      </c>
      <c r="E18" s="44" t="s">
        <v>73</v>
      </c>
      <c r="F18" s="41" t="s">
        <v>28</v>
      </c>
      <c r="G18" s="34">
        <v>3</v>
      </c>
      <c r="H18" s="107">
        <f>IF(B$51=0,0,G18/B$51)</f>
        <v>1.1152416356877323E-2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19" t="s">
        <v>10</v>
      </c>
      <c r="B19" s="13">
        <v>269</v>
      </c>
      <c r="C19" s="4">
        <f>IF(B$3=0,0,B19/B$3)</f>
        <v>0.26398429833169773</v>
      </c>
      <c r="E19" s="44" t="s">
        <v>81</v>
      </c>
      <c r="F19" s="41" t="s">
        <v>36</v>
      </c>
      <c r="G19" s="34">
        <v>3</v>
      </c>
      <c r="H19" s="107">
        <f>IF(B$51=0,0,G19/B$51)</f>
        <v>1.1152416356877323E-2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">
      <c r="A20" s="37" t="s">
        <v>13</v>
      </c>
      <c r="B20" s="34">
        <v>197</v>
      </c>
      <c r="C20" s="31">
        <f>IF(B$3=0,0,B20/B$3)</f>
        <v>0.19332679097154074</v>
      </c>
      <c r="E20" s="44" t="s">
        <v>87</v>
      </c>
      <c r="F20" s="41" t="s">
        <v>42</v>
      </c>
      <c r="G20" s="34">
        <v>2</v>
      </c>
      <c r="H20" s="107">
        <f>IF(B$51=0,0,G20/B$51)</f>
        <v>7.4349442379182153E-3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">
      <c r="A21" s="37" t="s">
        <v>12</v>
      </c>
      <c r="B21" s="34">
        <v>142</v>
      </c>
      <c r="C21" s="31">
        <f>IF(B$19=0,0,B21/B$19)</f>
        <v>0.52788104089219334</v>
      </c>
      <c r="E21" s="44" t="s">
        <v>91</v>
      </c>
      <c r="F21" s="41" t="s">
        <v>46</v>
      </c>
      <c r="G21" s="34">
        <v>2</v>
      </c>
      <c r="H21" s="107">
        <f>IF(B$51=0,0,G21/B$51)</f>
        <v>7.4349442379182153E-3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">
      <c r="A22" s="37" t="s">
        <v>11</v>
      </c>
      <c r="B22" s="34">
        <v>127</v>
      </c>
      <c r="C22" s="31">
        <f>IF(B$19=0,0,B22/B$19)</f>
        <v>0.47211895910780671</v>
      </c>
      <c r="E22" s="44" t="s">
        <v>75</v>
      </c>
      <c r="F22" s="41" t="s">
        <v>30</v>
      </c>
      <c r="G22" s="34">
        <v>1</v>
      </c>
      <c r="H22" s="107">
        <f>IF(B$51=0,0,G22/B$51)</f>
        <v>3.7174721189591076E-3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-17.893478260869564</v>
      </c>
      <c r="P22" s="93">
        <v>46</v>
      </c>
      <c r="Q22" s="81">
        <v>-823.1</v>
      </c>
    </row>
    <row r="23" spans="1:17" x14ac:dyDescent="0.4">
      <c r="A23" s="37" t="s">
        <v>180</v>
      </c>
      <c r="B23" s="34">
        <v>141</v>
      </c>
      <c r="C23" s="31">
        <f>IF(B$19=0,0,B23/B$19)</f>
        <v>0.52416356877323422</v>
      </c>
      <c r="E23" s="44" t="s">
        <v>85</v>
      </c>
      <c r="F23" s="41" t="s">
        <v>40</v>
      </c>
      <c r="G23" s="34">
        <v>1</v>
      </c>
      <c r="H23" s="107">
        <f>IF(B$51=0,0,G23/B$51)</f>
        <v>3.7174721189591076E-3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-24.825862068965524</v>
      </c>
      <c r="P23" s="93">
        <v>58</v>
      </c>
      <c r="Q23" s="81">
        <v>-1439.9000000000003</v>
      </c>
    </row>
    <row r="24" spans="1:17" x14ac:dyDescent="0.4">
      <c r="A24" s="37" t="s">
        <v>178</v>
      </c>
      <c r="B24" s="34">
        <v>65</v>
      </c>
      <c r="C24" s="31">
        <f>IF(B$19=0,0,B24/B$19)</f>
        <v>0.24163568773234201</v>
      </c>
      <c r="E24" s="44" t="s">
        <v>106</v>
      </c>
      <c r="F24" s="41" t="s">
        <v>113</v>
      </c>
      <c r="G24" s="34">
        <v>1</v>
      </c>
      <c r="H24" s="107">
        <f>IF(B$51=0,0,G24/B$51)</f>
        <v>3.7174721189591076E-3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">
      <c r="A25" s="37" t="s">
        <v>179</v>
      </c>
      <c r="B25" s="34">
        <v>63</v>
      </c>
      <c r="C25" s="31">
        <f>IF(B$19=0,0,B25/B$19)</f>
        <v>0.2342007434944238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">
      <c r="A26" s="37" t="s">
        <v>5</v>
      </c>
      <c r="B26" s="17">
        <f>IF(B$19=0,0,C26/B$19)</f>
        <v>7805.2044609665427</v>
      </c>
      <c r="C26" s="8">
        <v>2099600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">
      <c r="A27" s="38" t="s">
        <v>162</v>
      </c>
      <c r="B27" s="114">
        <f>IF($B$19-B$18=0,0,C27/($B$19-B$18))</f>
        <v>8397.5490196078426</v>
      </c>
      <c r="C27" s="115">
        <v>1713100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11</v>
      </c>
      <c r="K27" s="5">
        <v>25</v>
      </c>
      <c r="L27" s="73">
        <v>-457.69999999999993</v>
      </c>
    </row>
    <row r="28" spans="1:17" x14ac:dyDescent="0.4">
      <c r="A28" s="38" t="s">
        <v>163</v>
      </c>
      <c r="B28" s="114">
        <f>IF(B$18=0,0,C28/B$18)</f>
        <v>5946.1538461538457</v>
      </c>
      <c r="C28" s="115">
        <v>386500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38" t="s">
        <v>161</v>
      </c>
      <c r="B29" s="114">
        <f>IF(B$20=0,0,C29/B$20)</f>
        <v>-8135.5329949238576</v>
      </c>
      <c r="C29" s="115">
        <v>-1602700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">
      <c r="A33" s="40" t="s">
        <v>177</v>
      </c>
      <c r="B33" s="141">
        <v>113300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">
      <c r="A34" s="39" t="s">
        <v>135</v>
      </c>
      <c r="B34" s="27">
        <v>5</v>
      </c>
      <c r="C34" s="32">
        <f>IF(B$3=0,0,B34/B$3)</f>
        <v>4.9067713444553487E-3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64" t="s">
        <v>168</v>
      </c>
      <c r="B36" s="125">
        <v>31</v>
      </c>
      <c r="C36" s="119">
        <f>IF(B$19=0,0,B36/B$19)</f>
        <v>0.11524163568773234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">
      <c r="A37" s="37" t="s">
        <v>164</v>
      </c>
      <c r="B37" s="34">
        <v>51</v>
      </c>
      <c r="C37" s="31">
        <f t="shared" ref="C37:C48" si="2">IF(B$19=0,0,B37/B$19)</f>
        <v>0.1895910780669145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165</v>
      </c>
      <c r="B38" s="128">
        <v>48</v>
      </c>
      <c r="C38" s="31">
        <f>IF(B$19=0,0,B38/B$19)</f>
        <v>0.17843866171003717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166</v>
      </c>
      <c r="B39" s="128">
        <v>43</v>
      </c>
      <c r="C39" s="31">
        <f t="shared" si="2"/>
        <v>0.15985130111524162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167</v>
      </c>
      <c r="B40" s="128">
        <v>42</v>
      </c>
      <c r="C40" s="31">
        <f t="shared" si="2"/>
        <v>0.15613382899628253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169</v>
      </c>
      <c r="B41" s="128">
        <v>28</v>
      </c>
      <c r="C41" s="31">
        <f t="shared" si="2"/>
        <v>0.10408921933085502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170</v>
      </c>
      <c r="B42" s="128">
        <v>12</v>
      </c>
      <c r="C42" s="31">
        <f t="shared" si="2"/>
        <v>4.4609665427509292E-2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171</v>
      </c>
      <c r="B43" s="128">
        <v>7</v>
      </c>
      <c r="C43" s="31">
        <f t="shared" si="2"/>
        <v>2.6022304832713755E-2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">
      <c r="A44" s="37" t="s">
        <v>172</v>
      </c>
      <c r="B44" s="128">
        <v>3</v>
      </c>
      <c r="C44" s="31">
        <f t="shared" si="2"/>
        <v>1.1152416356877323E-2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">
      <c r="A45" s="37" t="s">
        <v>173</v>
      </c>
      <c r="B45" s="128">
        <v>2</v>
      </c>
      <c r="C45" s="31">
        <f t="shared" si="2"/>
        <v>7.4349442379182153E-3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37" t="s">
        <v>174</v>
      </c>
      <c r="B46" s="128">
        <v>1</v>
      </c>
      <c r="C46" s="31">
        <f t="shared" si="2"/>
        <v>3.7174721189591076E-3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">
      <c r="A48" s="39" t="s">
        <v>176</v>
      </c>
      <c r="B48" s="124">
        <v>1</v>
      </c>
      <c r="C48" s="32">
        <f t="shared" si="2"/>
        <v>3.7174721189591076E-3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">
      <c r="A50" s="64" t="s">
        <v>181</v>
      </c>
      <c r="B50" s="131">
        <v>1019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">
      <c r="A51" s="39" t="s">
        <v>182</v>
      </c>
      <c r="B51" s="139">
        <v>269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">
      <c r="K53" s="5">
        <v>51</v>
      </c>
      <c r="L53" s="73">
        <v>-379</v>
      </c>
    </row>
    <row r="54" spans="1:12" x14ac:dyDescent="0.4">
      <c r="K54" s="5">
        <v>52</v>
      </c>
      <c r="L54" s="73">
        <v>-435</v>
      </c>
    </row>
    <row r="55" spans="1:12" x14ac:dyDescent="0.4">
      <c r="K55" s="5">
        <v>53</v>
      </c>
      <c r="L55" s="73">
        <v>-458.69999999999993</v>
      </c>
    </row>
    <row r="56" spans="1:12" x14ac:dyDescent="0.4">
      <c r="K56" s="5">
        <v>54</v>
      </c>
      <c r="L56" s="73">
        <v>-493.79999999999995</v>
      </c>
    </row>
    <row r="57" spans="1:12" x14ac:dyDescent="0.4">
      <c r="K57" s="5">
        <v>55</v>
      </c>
      <c r="L57" s="73">
        <v>-444.79999999999995</v>
      </c>
    </row>
    <row r="58" spans="1:12" x14ac:dyDescent="0.4">
      <c r="K58" s="5">
        <v>56</v>
      </c>
      <c r="L58" s="73">
        <v>-417.69999999999993</v>
      </c>
    </row>
    <row r="59" spans="1:12" x14ac:dyDescent="0.4">
      <c r="K59" s="5">
        <v>57</v>
      </c>
      <c r="L59" s="73">
        <v>-450.5</v>
      </c>
    </row>
    <row r="60" spans="1:12" x14ac:dyDescent="0.4">
      <c r="K60" s="5">
        <v>58</v>
      </c>
      <c r="L60" s="73">
        <v>-532.5</v>
      </c>
    </row>
    <row r="61" spans="1:12" x14ac:dyDescent="0.4">
      <c r="K61" s="5">
        <v>59</v>
      </c>
      <c r="L61" s="73">
        <v>-594.79999999999995</v>
      </c>
    </row>
    <row r="62" spans="1:12" x14ac:dyDescent="0.4">
      <c r="K62" s="5">
        <v>60</v>
      </c>
      <c r="L62" s="73">
        <v>-542.79999999999995</v>
      </c>
    </row>
    <row r="63" spans="1:12" x14ac:dyDescent="0.4">
      <c r="K63" s="5">
        <v>61</v>
      </c>
      <c r="L63" s="73">
        <v>-588.1</v>
      </c>
    </row>
    <row r="64" spans="1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  <row r="100" spans="11:12" x14ac:dyDescent="0.4">
      <c r="K100" s="5">
        <v>98</v>
      </c>
      <c r="L100" s="73">
        <v>-761.40000000000009</v>
      </c>
    </row>
    <row r="101" spans="11:12" x14ac:dyDescent="0.4">
      <c r="K101" s="5">
        <v>99</v>
      </c>
      <c r="L101" s="73">
        <v>-745.6</v>
      </c>
    </row>
    <row r="102" spans="11:12" x14ac:dyDescent="0.4">
      <c r="K102" s="5">
        <v>100</v>
      </c>
      <c r="L102" s="73">
        <v>-792.2</v>
      </c>
    </row>
    <row r="103" spans="11:12" x14ac:dyDescent="0.4">
      <c r="K103" s="5">
        <v>101</v>
      </c>
      <c r="L103" s="73">
        <v>-845.30000000000007</v>
      </c>
    </row>
    <row r="104" spans="11:12" x14ac:dyDescent="0.4">
      <c r="K104" s="5">
        <v>102</v>
      </c>
      <c r="L104" s="73">
        <v>-844.5</v>
      </c>
    </row>
    <row r="105" spans="11:12" x14ac:dyDescent="0.4">
      <c r="K105" s="5">
        <v>103</v>
      </c>
      <c r="L105" s="73">
        <v>-822.1</v>
      </c>
    </row>
    <row r="106" spans="11:12" x14ac:dyDescent="0.4">
      <c r="K106" s="5">
        <v>104</v>
      </c>
      <c r="L106" s="73">
        <v>-793.1</v>
      </c>
    </row>
    <row r="107" spans="11:12" x14ac:dyDescent="0.4">
      <c r="K107" s="5">
        <v>105</v>
      </c>
      <c r="L107" s="73">
        <v>-812.4</v>
      </c>
    </row>
    <row r="108" spans="11:12" x14ac:dyDescent="0.4">
      <c r="K108" s="5">
        <v>106</v>
      </c>
      <c r="L108" s="73">
        <v>-854.2</v>
      </c>
    </row>
    <row r="109" spans="11:12" x14ac:dyDescent="0.4">
      <c r="K109" s="5">
        <v>107</v>
      </c>
      <c r="L109" s="73">
        <v>-910</v>
      </c>
    </row>
    <row r="110" spans="11:12" x14ac:dyDescent="0.4">
      <c r="K110" s="5">
        <v>108</v>
      </c>
      <c r="L110" s="73">
        <v>-917.4</v>
      </c>
    </row>
    <row r="111" spans="11:12" x14ac:dyDescent="0.4">
      <c r="K111" s="5">
        <v>109</v>
      </c>
      <c r="L111" s="73">
        <v>-973.6</v>
      </c>
    </row>
    <row r="112" spans="11:12" x14ac:dyDescent="0.4">
      <c r="K112" s="5">
        <v>110</v>
      </c>
      <c r="L112" s="73">
        <v>-1000.9</v>
      </c>
    </row>
    <row r="113" spans="11:12" x14ac:dyDescent="0.4">
      <c r="K113" s="5">
        <v>111</v>
      </c>
      <c r="L113" s="73">
        <v>-1010.4</v>
      </c>
    </row>
    <row r="114" spans="11:12" x14ac:dyDescent="0.4">
      <c r="K114" s="5">
        <v>112</v>
      </c>
      <c r="L114" s="73">
        <v>-1035.5999999999999</v>
      </c>
    </row>
    <row r="115" spans="11:12" x14ac:dyDescent="0.4">
      <c r="K115" s="5">
        <v>113</v>
      </c>
      <c r="L115" s="73">
        <v>-1037.9000000000001</v>
      </c>
    </row>
    <row r="116" spans="11:12" x14ac:dyDescent="0.4">
      <c r="K116" s="5">
        <v>114</v>
      </c>
      <c r="L116" s="73">
        <v>-1015.9</v>
      </c>
    </row>
    <row r="117" spans="11:12" x14ac:dyDescent="0.4">
      <c r="K117" s="5">
        <v>115</v>
      </c>
      <c r="L117" s="73">
        <v>-945.9</v>
      </c>
    </row>
    <row r="118" spans="11:12" x14ac:dyDescent="0.4">
      <c r="K118" s="5">
        <v>116</v>
      </c>
      <c r="L118" s="73">
        <v>-977.80000000000007</v>
      </c>
    </row>
    <row r="119" spans="11:12" x14ac:dyDescent="0.4">
      <c r="K119" s="5">
        <v>117</v>
      </c>
      <c r="L119" s="73">
        <v>-992.9</v>
      </c>
    </row>
    <row r="120" spans="11:12" x14ac:dyDescent="0.4">
      <c r="K120" s="5">
        <v>118</v>
      </c>
      <c r="L120" s="73">
        <v>-1015.2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52B25-BFA8-409D-9165-CFA764E9D8FC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33">
        <v>253</v>
      </c>
      <c r="C3" s="13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35">
        <v>-22.000000000000028</v>
      </c>
      <c r="C4" s="13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45">
        <f>IF(B$2=0,0,(B$7*1+B$8*2+B$9*3)/B$2)</f>
        <v>1.9285714285714286</v>
      </c>
      <c r="C6" s="14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7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10.899999999999977</v>
      </c>
    </row>
    <row r="27" spans="1:17" x14ac:dyDescent="0.4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41">
        <v>106300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5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8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">
      <c r="A42" s="37" t="s">
        <v>170</v>
      </c>
      <c r="B42" s="128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80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0DD42-824D-4662-BC6D-220E9E5FCF3F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200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33">
        <v>13</v>
      </c>
      <c r="C3" s="13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35">
        <v>13.3</v>
      </c>
      <c r="C4" s="13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45">
        <f>IF(B$2=0,0,(B$7*1+B$8*2+B$9*3)/B$2)</f>
        <v>2</v>
      </c>
      <c r="C6" s="14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9" x14ac:dyDescent="0.4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41">
        <v>48300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2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F61AD-9866-40A9-AFDA-34BE9BC94CC9}">
  <sheetPr codeName="Sheet19"/>
  <dimension ref="A1:Q9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97</v>
      </c>
      <c r="C2" s="132"/>
      <c r="E2" s="43" t="s">
        <v>66</v>
      </c>
      <c r="F2" s="25" t="s">
        <v>22</v>
      </c>
      <c r="G2" s="13">
        <v>127</v>
      </c>
      <c r="H2" s="106">
        <f>IF(B$51=0,0,G2/B$51)</f>
        <v>0.64467005076142136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-2989.6907216494847</v>
      </c>
      <c r="P2" s="92">
        <v>97</v>
      </c>
      <c r="Q2" s="76">
        <v>-290000</v>
      </c>
    </row>
    <row r="3" spans="1:17" x14ac:dyDescent="0.4">
      <c r="A3" s="37" t="s">
        <v>8</v>
      </c>
      <c r="B3" s="133">
        <v>800</v>
      </c>
      <c r="C3" s="134"/>
      <c r="E3" s="44" t="s">
        <v>72</v>
      </c>
      <c r="F3" s="41" t="s">
        <v>27</v>
      </c>
      <c r="G3" s="34">
        <v>119</v>
      </c>
      <c r="H3" s="107">
        <f>IF(B$51=0,0,G3/B$51)</f>
        <v>0.60406091370558379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168.75</v>
      </c>
      <c r="P3" s="93">
        <v>96</v>
      </c>
      <c r="Q3" s="77">
        <v>16200</v>
      </c>
    </row>
    <row r="4" spans="1:17" x14ac:dyDescent="0.4">
      <c r="A4" s="37" t="s">
        <v>6</v>
      </c>
      <c r="B4" s="135">
        <v>-1167.8000000000002</v>
      </c>
      <c r="C4" s="136"/>
      <c r="E4" s="44" t="s">
        <v>64</v>
      </c>
      <c r="F4" s="41" t="s">
        <v>20</v>
      </c>
      <c r="G4" s="34">
        <v>89</v>
      </c>
      <c r="H4" s="107">
        <f>IF(B$51=0,0,G4/B$51)</f>
        <v>0.45177664974619292</v>
      </c>
      <c r="I4" s="68">
        <v>15</v>
      </c>
      <c r="K4" s="5">
        <v>2</v>
      </c>
      <c r="L4" s="73">
        <v>-96.5</v>
      </c>
      <c r="N4" s="89" t="s">
        <v>128</v>
      </c>
      <c r="O4" s="96">
        <f t="shared" si="0"/>
        <v>-1403.3333333333333</v>
      </c>
      <c r="P4" s="93">
        <v>90</v>
      </c>
      <c r="Q4" s="77">
        <v>-126300</v>
      </c>
    </row>
    <row r="5" spans="1:17" x14ac:dyDescent="0.4">
      <c r="A5" s="37" t="s">
        <v>7</v>
      </c>
      <c r="B5" s="137">
        <f>IF(B$2=0,0,B$4/B$2)</f>
        <v>-12.03917525773196</v>
      </c>
      <c r="C5" s="138"/>
      <c r="E5" s="44" t="s">
        <v>157</v>
      </c>
      <c r="F5" s="41" t="s">
        <v>158</v>
      </c>
      <c r="G5" s="34">
        <v>75</v>
      </c>
      <c r="H5" s="107">
        <f>IF(B$51=0,0,G5/B$51)</f>
        <v>0.38071065989847713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-1466.25</v>
      </c>
      <c r="P5" s="93">
        <v>80</v>
      </c>
      <c r="Q5" s="77">
        <v>-117300</v>
      </c>
    </row>
    <row r="6" spans="1:17" x14ac:dyDescent="0.4">
      <c r="A6" s="37" t="s">
        <v>1</v>
      </c>
      <c r="B6" s="145">
        <f>IF(B$2=0,0,(B$7*1+B$8*2+B$9*3)/B$2)</f>
        <v>2.2783505154639174</v>
      </c>
      <c r="C6" s="146"/>
      <c r="E6" s="44" t="s">
        <v>68</v>
      </c>
      <c r="F6" s="41" t="s">
        <v>12</v>
      </c>
      <c r="G6" s="34">
        <v>58</v>
      </c>
      <c r="H6" s="107">
        <f>IF(B$51=0,0,G6/B$51)</f>
        <v>0.29441624365482233</v>
      </c>
      <c r="I6" s="68">
        <v>13</v>
      </c>
      <c r="K6" s="5">
        <v>4</v>
      </c>
      <c r="L6" s="73">
        <v>-134.1</v>
      </c>
      <c r="N6" s="89" t="s">
        <v>130</v>
      </c>
      <c r="O6" s="96">
        <f t="shared" si="0"/>
        <v>-1063.5135135135135</v>
      </c>
      <c r="P6" s="93">
        <v>74</v>
      </c>
      <c r="Q6" s="77">
        <v>-78700</v>
      </c>
    </row>
    <row r="7" spans="1:17" x14ac:dyDescent="0.4">
      <c r="A7" s="37" t="s">
        <v>2</v>
      </c>
      <c r="B7" s="34">
        <v>14</v>
      </c>
      <c r="C7" s="31">
        <f t="shared" ref="C7:C14" si="1">IF(B$2=0,0,B7/B$2)</f>
        <v>0.14432989690721648</v>
      </c>
      <c r="E7" s="44" t="s">
        <v>67</v>
      </c>
      <c r="F7" s="41" t="s">
        <v>23</v>
      </c>
      <c r="G7" s="34">
        <v>46</v>
      </c>
      <c r="H7" s="107">
        <f>IF(B$51=0,0,G7/B$51)</f>
        <v>0.233502538071066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-2050</v>
      </c>
      <c r="P7" s="94">
        <v>58</v>
      </c>
      <c r="Q7" s="78">
        <v>-118900</v>
      </c>
    </row>
    <row r="8" spans="1:17" x14ac:dyDescent="0.4">
      <c r="A8" s="37" t="s">
        <v>3</v>
      </c>
      <c r="B8" s="34">
        <v>42</v>
      </c>
      <c r="C8" s="31">
        <f t="shared" si="1"/>
        <v>0.4329896907216495</v>
      </c>
      <c r="E8" s="44" t="s">
        <v>89</v>
      </c>
      <c r="F8" s="41" t="s">
        <v>44</v>
      </c>
      <c r="G8" s="34">
        <v>29</v>
      </c>
      <c r="H8" s="107">
        <f>IF(B$51=0,0,G8/B$51)</f>
        <v>0.14720812182741116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41</v>
      </c>
      <c r="C9" s="7">
        <f t="shared" si="1"/>
        <v>0.42268041237113402</v>
      </c>
      <c r="E9" s="44" t="s">
        <v>65</v>
      </c>
      <c r="F9" s="41" t="s">
        <v>21</v>
      </c>
      <c r="G9" s="34">
        <v>20</v>
      </c>
      <c r="H9" s="107">
        <f>IF(B$51=0,0,G9/B$51)</f>
        <v>0.10152284263959391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37.49285714285714</v>
      </c>
      <c r="C10" s="121">
        <v>524.9</v>
      </c>
      <c r="E10" s="44" t="s">
        <v>71</v>
      </c>
      <c r="F10" s="41" t="s">
        <v>26</v>
      </c>
      <c r="G10" s="34">
        <v>17</v>
      </c>
      <c r="H10" s="107">
        <f>IF(B$51=0,0,G10/B$51)</f>
        <v>8.6294416243654817E-2</v>
      </c>
      <c r="I10" s="68">
        <v>3</v>
      </c>
      <c r="K10" s="5">
        <v>8</v>
      </c>
      <c r="L10" s="73">
        <v>-289.8</v>
      </c>
      <c r="N10" s="88" t="s">
        <v>149</v>
      </c>
      <c r="O10" s="98">
        <f>IF(P10=0,0,Q10/P10)</f>
        <v>-19.640476190476189</v>
      </c>
      <c r="P10" s="92">
        <v>42</v>
      </c>
      <c r="Q10" s="80">
        <v>-824.9</v>
      </c>
    </row>
    <row r="11" spans="1:17" x14ac:dyDescent="0.4">
      <c r="A11" s="38" t="s">
        <v>204</v>
      </c>
      <c r="B11" s="120">
        <f>IF(B8=0,0,C11/B8)</f>
        <v>-2.211904761904762</v>
      </c>
      <c r="C11" s="121">
        <v>-92.9</v>
      </c>
      <c r="E11" s="44" t="s">
        <v>69</v>
      </c>
      <c r="F11" s="41" t="s">
        <v>24</v>
      </c>
      <c r="G11" s="34">
        <v>16</v>
      </c>
      <c r="H11" s="107">
        <f>IF(B$51=0,0,G11/B$51)</f>
        <v>8.1218274111675121E-2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-3.276666666666666</v>
      </c>
      <c r="P11" s="93">
        <v>30</v>
      </c>
      <c r="Q11" s="81">
        <v>-98.299999999999983</v>
      </c>
    </row>
    <row r="12" spans="1:17" x14ac:dyDescent="0.4">
      <c r="A12" s="38" t="s">
        <v>205</v>
      </c>
      <c r="B12" s="120">
        <f>IF(B9=0,0,C12/B9)</f>
        <v>-39.019512195121955</v>
      </c>
      <c r="C12" s="121">
        <v>-1599.8000000000002</v>
      </c>
      <c r="E12" s="44" t="s">
        <v>70</v>
      </c>
      <c r="F12" s="41" t="s">
        <v>25</v>
      </c>
      <c r="G12" s="34">
        <v>16</v>
      </c>
      <c r="H12" s="107">
        <f>IF(B$51=0,0,G12/B$51)</f>
        <v>8.1218274111675121E-2</v>
      </c>
      <c r="I12" s="68">
        <v>11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">
      <c r="A13" s="38" t="s">
        <v>206</v>
      </c>
      <c r="B13" s="137">
        <f>AVERAGE(B10:B12)</f>
        <v>-1.2461866047231922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6.5989847715736044E-2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15</v>
      </c>
      <c r="C14" s="32">
        <f t="shared" si="1"/>
        <v>0.15463917525773196</v>
      </c>
      <c r="E14" s="44" t="s">
        <v>81</v>
      </c>
      <c r="F14" s="41" t="s">
        <v>36</v>
      </c>
      <c r="G14" s="34">
        <v>10</v>
      </c>
      <c r="H14" s="107">
        <f>IF(B$51=0,0,G14/B$51)</f>
        <v>5.0761421319796954E-2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169</v>
      </c>
      <c r="C15" s="11">
        <f>IF(B$50=0,0,B15/B$50)</f>
        <v>0.21124999999999999</v>
      </c>
      <c r="E15" s="44" t="s">
        <v>83</v>
      </c>
      <c r="F15" s="41" t="s">
        <v>38</v>
      </c>
      <c r="G15" s="34">
        <v>10</v>
      </c>
      <c r="H15" s="107">
        <f>IF(B$51=0,0,G15/B$51)</f>
        <v>5.0761421319796954E-2</v>
      </c>
      <c r="I15" s="68">
        <v>6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">
      <c r="A16" s="37" t="s">
        <v>118</v>
      </c>
      <c r="B16" s="34">
        <v>183</v>
      </c>
      <c r="C16" s="31">
        <f>IF(B$50=0,0,B16/B$50)</f>
        <v>0.22875000000000001</v>
      </c>
      <c r="E16" s="44" t="s">
        <v>91</v>
      </c>
      <c r="F16" s="41" t="s">
        <v>46</v>
      </c>
      <c r="G16" s="34">
        <v>5</v>
      </c>
      <c r="H16" s="107">
        <f>IF(B$51=0,0,G16/B$51)</f>
        <v>2.5380710659898477E-2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">
      <c r="A17" s="19" t="s">
        <v>123</v>
      </c>
      <c r="B17" s="13">
        <v>93</v>
      </c>
      <c r="C17" s="4">
        <f>IF(B$15=0,0,B17/B$15)</f>
        <v>0.55029585798816572</v>
      </c>
      <c r="E17" s="44" t="s">
        <v>78</v>
      </c>
      <c r="F17" s="41" t="s">
        <v>33</v>
      </c>
      <c r="G17" s="34">
        <v>4</v>
      </c>
      <c r="H17" s="107">
        <f>IF(B$51=0,0,G17/B$51)</f>
        <v>2.030456852791878E-2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">
      <c r="A18" s="19" t="s">
        <v>124</v>
      </c>
      <c r="B18" s="13">
        <v>70</v>
      </c>
      <c r="C18" s="4">
        <f>IF(B$16=0,0,B18/B$16)</f>
        <v>0.38251366120218577</v>
      </c>
      <c r="E18" s="44" t="s">
        <v>73</v>
      </c>
      <c r="F18" s="41" t="s">
        <v>28</v>
      </c>
      <c r="G18" s="34">
        <v>2</v>
      </c>
      <c r="H18" s="107">
        <f>IF(B$51=0,0,G18/B$51)</f>
        <v>1.015228426395939E-2</v>
      </c>
      <c r="I18" s="68">
        <v>3</v>
      </c>
      <c r="K18" s="5">
        <v>16</v>
      </c>
      <c r="L18" s="73">
        <v>-392.1</v>
      </c>
      <c r="N18" s="89" t="s">
        <v>191</v>
      </c>
      <c r="O18" s="99">
        <f>IF(P18=0,0,Q18/P18)</f>
        <v>-15.439473684210528</v>
      </c>
      <c r="P18" s="93">
        <v>38</v>
      </c>
      <c r="Q18" s="81">
        <v>-586.70000000000005</v>
      </c>
    </row>
    <row r="19" spans="1:17" x14ac:dyDescent="0.4">
      <c r="A19" s="19" t="s">
        <v>10</v>
      </c>
      <c r="B19" s="13">
        <v>197</v>
      </c>
      <c r="C19" s="4">
        <f>IF(B$3=0,0,B19/B$3)</f>
        <v>0.24625</v>
      </c>
      <c r="E19" s="44" t="s">
        <v>74</v>
      </c>
      <c r="F19" s="41" t="s">
        <v>29</v>
      </c>
      <c r="G19" s="34">
        <v>1</v>
      </c>
      <c r="H19" s="107">
        <f>IF(B$51=0,0,G19/B$51)</f>
        <v>5.076142131979695E-3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">
      <c r="A20" s="37" t="s">
        <v>13</v>
      </c>
      <c r="B20" s="34">
        <v>143</v>
      </c>
      <c r="C20" s="31">
        <f>IF(B$3=0,0,B20/B$3)</f>
        <v>0.17874999999999999</v>
      </c>
      <c r="E20" s="44" t="s">
        <v>77</v>
      </c>
      <c r="F20" s="41" t="s">
        <v>32</v>
      </c>
      <c r="G20" s="34">
        <v>1</v>
      </c>
      <c r="H20" s="107">
        <f>IF(B$51=0,0,G20/B$51)</f>
        <v>5.076142131979695E-3</v>
      </c>
      <c r="I20" s="68">
        <v>8</v>
      </c>
      <c r="K20" s="5">
        <v>18</v>
      </c>
      <c r="L20" s="73">
        <v>-443.20000000000005</v>
      </c>
      <c r="N20" s="89" t="s">
        <v>187</v>
      </c>
      <c r="O20" s="99">
        <f>IF(P20=0,0,Q20/P20)</f>
        <v>-18.121428571428574</v>
      </c>
      <c r="P20" s="93">
        <v>42</v>
      </c>
      <c r="Q20" s="81">
        <v>-761.1</v>
      </c>
    </row>
    <row r="21" spans="1:17" x14ac:dyDescent="0.4">
      <c r="A21" s="37" t="s">
        <v>12</v>
      </c>
      <c r="B21" s="34">
        <v>92</v>
      </c>
      <c r="C21" s="31">
        <f>IF(B$19=0,0,B21/B$19)</f>
        <v>0.46700507614213199</v>
      </c>
      <c r="E21" s="44" t="s">
        <v>79</v>
      </c>
      <c r="F21" s="41" t="s">
        <v>34</v>
      </c>
      <c r="G21" s="34">
        <v>1</v>
      </c>
      <c r="H21" s="107">
        <f>IF(B$51=0,0,G21/B$51)</f>
        <v>5.076142131979695E-3</v>
      </c>
      <c r="I21" s="68">
        <v>14</v>
      </c>
      <c r="K21" s="5">
        <v>19</v>
      </c>
      <c r="L21" s="73">
        <v>-443.70000000000005</v>
      </c>
      <c r="N21" s="89" t="s">
        <v>190</v>
      </c>
      <c r="O21" s="99">
        <f>IF(P21=0,0,Q21/P21)</f>
        <v>-20.2</v>
      </c>
      <c r="P21" s="93">
        <v>9</v>
      </c>
      <c r="Q21" s="81">
        <v>-181.79999999999998</v>
      </c>
    </row>
    <row r="22" spans="1:17" x14ac:dyDescent="0.4">
      <c r="A22" s="37" t="s">
        <v>11</v>
      </c>
      <c r="B22" s="34">
        <v>105</v>
      </c>
      <c r="C22" s="31">
        <f>IF(B$19=0,0,B22/B$19)</f>
        <v>0.53299492385786806</v>
      </c>
      <c r="E22" s="44" t="s">
        <v>92</v>
      </c>
      <c r="F22" s="41" t="s">
        <v>47</v>
      </c>
      <c r="G22" s="34">
        <v>1</v>
      </c>
      <c r="H22" s="107">
        <f>IF(B$51=0,0,G22/B$51)</f>
        <v>5.076142131979695E-3</v>
      </c>
      <c r="I22" s="68">
        <v>7</v>
      </c>
      <c r="K22" s="5">
        <v>20</v>
      </c>
      <c r="L22" s="73">
        <v>-467.6</v>
      </c>
      <c r="N22" s="89" t="s">
        <v>193</v>
      </c>
      <c r="O22" s="99">
        <f>IF(P22=0,0,Q22/P22)</f>
        <v>-20.954166666666666</v>
      </c>
      <c r="P22" s="93">
        <v>24</v>
      </c>
      <c r="Q22" s="81">
        <v>-502.9</v>
      </c>
    </row>
    <row r="23" spans="1:17" x14ac:dyDescent="0.4">
      <c r="A23" s="37" t="s">
        <v>180</v>
      </c>
      <c r="B23" s="34">
        <v>93</v>
      </c>
      <c r="C23" s="31">
        <f>IF(B$19=0,0,B23/B$19)</f>
        <v>0.4720812182741117</v>
      </c>
      <c r="E23" s="44" t="s">
        <v>95</v>
      </c>
      <c r="F23" s="41" t="s">
        <v>50</v>
      </c>
      <c r="G23" s="34">
        <v>1</v>
      </c>
      <c r="H23" s="107">
        <f>IF(B$51=0,0,G23/B$51)</f>
        <v>5.076142131979695E-3</v>
      </c>
      <c r="I23" s="68">
        <v>1</v>
      </c>
      <c r="K23" s="5">
        <v>21</v>
      </c>
      <c r="L23" s="73">
        <v>-469.5</v>
      </c>
      <c r="N23" s="89" t="s">
        <v>195</v>
      </c>
      <c r="O23" s="99">
        <f>IF(P23=0,0,Q23/P23)</f>
        <v>-30.043333333333347</v>
      </c>
      <c r="P23" s="93">
        <v>30</v>
      </c>
      <c r="Q23" s="81">
        <v>-901.30000000000041</v>
      </c>
    </row>
    <row r="24" spans="1:17" x14ac:dyDescent="0.4">
      <c r="A24" s="37" t="s">
        <v>178</v>
      </c>
      <c r="B24" s="34">
        <v>70</v>
      </c>
      <c r="C24" s="31">
        <f>IF(B$19=0,0,B24/B$19)</f>
        <v>0.35532994923857869</v>
      </c>
      <c r="E24" s="44" t="s">
        <v>153</v>
      </c>
      <c r="F24" s="41" t="s">
        <v>154</v>
      </c>
      <c r="G24" s="34">
        <v>1</v>
      </c>
      <c r="H24" s="107">
        <f>IF(B$51=0,0,G24/B$51)</f>
        <v>5.076142131979695E-3</v>
      </c>
      <c r="I24" s="68">
        <v>9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">
      <c r="A25" s="37" t="s">
        <v>179</v>
      </c>
      <c r="B25" s="34">
        <v>34</v>
      </c>
      <c r="C25" s="31">
        <f>IF(B$19=0,0,B25/B$19)</f>
        <v>0.17258883248730963</v>
      </c>
      <c r="E25" s="44" t="s">
        <v>75</v>
      </c>
      <c r="F25" s="41" t="s">
        <v>30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">
      <c r="A26" s="37" t="s">
        <v>5</v>
      </c>
      <c r="B26" s="17">
        <f>IF(B$19=0,0,C26/B$19)</f>
        <v>8207.1065989847721</v>
      </c>
      <c r="C26" s="8">
        <v>1616800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-565.10000000000014</v>
      </c>
    </row>
    <row r="27" spans="1:17" x14ac:dyDescent="0.4">
      <c r="A27" s="38" t="s">
        <v>162</v>
      </c>
      <c r="B27" s="114">
        <f>IF($B$19-B$18=0,0,C27/($B$19-B$18))</f>
        <v>8842.5196850393695</v>
      </c>
      <c r="C27" s="115">
        <v>1123000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">
      <c r="A28" s="38" t="s">
        <v>163</v>
      </c>
      <c r="B28" s="114">
        <f>IF(B$18=0,0,C28/B$18)</f>
        <v>7054.2857142857147</v>
      </c>
      <c r="C28" s="115">
        <v>493800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">
      <c r="A29" s="38" t="s">
        <v>161</v>
      </c>
      <c r="B29" s="114">
        <f>IF(B$20=0,0,C29/B$20)</f>
        <v>-8153.1468531468536</v>
      </c>
      <c r="C29" s="115">
        <v>-1165900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-693.2</v>
      </c>
    </row>
    <row r="31" spans="1:17" x14ac:dyDescent="0.4">
      <c r="A31" s="37" t="s">
        <v>156</v>
      </c>
      <c r="B31" s="34">
        <v>23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">
      <c r="A32" s="64" t="s">
        <v>134</v>
      </c>
      <c r="B32" s="143">
        <v>6</v>
      </c>
      <c r="C32" s="14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40" t="s">
        <v>177</v>
      </c>
      <c r="B33" s="141">
        <v>89000</v>
      </c>
      <c r="C33" s="14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">
      <c r="A34" s="39" t="s">
        <v>135</v>
      </c>
      <c r="B34" s="27">
        <v>4</v>
      </c>
      <c r="C34" s="32">
        <f>IF(B$3=0,0,B34/B$3)</f>
        <v>5.0000000000000001E-3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64" t="s">
        <v>168</v>
      </c>
      <c r="B36" s="125">
        <v>17</v>
      </c>
      <c r="C36" s="119">
        <f>IF(B$19=0,0,B36/B$19)</f>
        <v>8.6294416243654817E-2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">
      <c r="A37" s="37" t="s">
        <v>164</v>
      </c>
      <c r="B37" s="34">
        <v>35</v>
      </c>
      <c r="C37" s="31">
        <f t="shared" ref="C37:C48" si="2">IF(B$19=0,0,B37/B$19)</f>
        <v>0.17766497461928935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">
      <c r="A38" s="37" t="s">
        <v>165</v>
      </c>
      <c r="B38" s="128">
        <v>42</v>
      </c>
      <c r="C38" s="31">
        <f>IF(B$19=0,0,B38/B$19)</f>
        <v>0.21319796954314721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166</v>
      </c>
      <c r="B39" s="128">
        <v>36</v>
      </c>
      <c r="C39" s="31">
        <f t="shared" si="2"/>
        <v>0.18274111675126903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167</v>
      </c>
      <c r="B40" s="128">
        <v>27</v>
      </c>
      <c r="C40" s="31">
        <f t="shared" si="2"/>
        <v>0.13705583756345177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">
      <c r="A41" s="37" t="s">
        <v>169</v>
      </c>
      <c r="B41" s="128">
        <v>17</v>
      </c>
      <c r="C41" s="31">
        <f t="shared" si="2"/>
        <v>8.6294416243654817E-2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">
      <c r="A42" s="37" t="s">
        <v>170</v>
      </c>
      <c r="B42" s="128">
        <v>10</v>
      </c>
      <c r="C42" s="31">
        <f t="shared" si="2"/>
        <v>5.0761421319796954E-2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">
      <c r="A43" s="37" t="s">
        <v>171</v>
      </c>
      <c r="B43" s="128">
        <v>7</v>
      </c>
      <c r="C43" s="31">
        <f t="shared" si="2"/>
        <v>3.553299492385787E-2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7" t="s">
        <v>172</v>
      </c>
      <c r="B44" s="128">
        <v>1</v>
      </c>
      <c r="C44" s="31">
        <f t="shared" si="2"/>
        <v>5.076142131979695E-3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A45" s="37" t="s">
        <v>173</v>
      </c>
      <c r="B45" s="128">
        <v>1</v>
      </c>
      <c r="C45" s="31">
        <f t="shared" si="2"/>
        <v>5.076142131979695E-3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">
      <c r="A46" s="37" t="s">
        <v>174</v>
      </c>
      <c r="B46" s="128">
        <v>2</v>
      </c>
      <c r="C46" s="31">
        <f t="shared" si="2"/>
        <v>1.015228426395939E-2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A48" s="39" t="s">
        <v>176</v>
      </c>
      <c r="B48" s="124">
        <v>2</v>
      </c>
      <c r="C48" s="32">
        <f t="shared" si="2"/>
        <v>1.015228426395939E-2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">
      <c r="A50" s="64" t="s">
        <v>181</v>
      </c>
      <c r="B50" s="131">
        <v>800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">
      <c r="A51" s="39" t="s">
        <v>182</v>
      </c>
      <c r="B51" s="139">
        <v>197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">
      <c r="K53" s="5">
        <v>51</v>
      </c>
      <c r="L53" s="73">
        <v>-897.40000000000009</v>
      </c>
    </row>
    <row r="54" spans="1:12" x14ac:dyDescent="0.4">
      <c r="K54" s="5">
        <v>52</v>
      </c>
      <c r="L54" s="73">
        <v>-915.90000000000009</v>
      </c>
    </row>
    <row r="55" spans="1:12" x14ac:dyDescent="0.4">
      <c r="K55" s="5">
        <v>53</v>
      </c>
      <c r="L55" s="73">
        <v>-880.7</v>
      </c>
    </row>
    <row r="56" spans="1:12" x14ac:dyDescent="0.4">
      <c r="K56" s="5">
        <v>54</v>
      </c>
      <c r="L56" s="73">
        <v>-851.80000000000007</v>
      </c>
    </row>
    <row r="57" spans="1:12" x14ac:dyDescent="0.4">
      <c r="K57" s="5">
        <v>55</v>
      </c>
      <c r="L57" s="73">
        <v>-848.50000000000011</v>
      </c>
    </row>
    <row r="58" spans="1:12" x14ac:dyDescent="0.4">
      <c r="K58" s="5">
        <v>56</v>
      </c>
      <c r="L58" s="73">
        <v>-843.20000000000016</v>
      </c>
    </row>
    <row r="59" spans="1:12" x14ac:dyDescent="0.4">
      <c r="K59" s="5">
        <v>57</v>
      </c>
      <c r="L59" s="73">
        <v>-837.60000000000014</v>
      </c>
    </row>
    <row r="60" spans="1:12" x14ac:dyDescent="0.4">
      <c r="K60" s="5">
        <v>58</v>
      </c>
      <c r="L60" s="73">
        <v>-873.90000000000009</v>
      </c>
    </row>
    <row r="61" spans="1:12" x14ac:dyDescent="0.4">
      <c r="K61" s="5">
        <v>59</v>
      </c>
      <c r="L61" s="73">
        <v>-871.90000000000009</v>
      </c>
    </row>
    <row r="62" spans="1:12" x14ac:dyDescent="0.4">
      <c r="K62" s="5">
        <v>60</v>
      </c>
      <c r="L62" s="73">
        <v>-907.30000000000007</v>
      </c>
    </row>
    <row r="63" spans="1:12" x14ac:dyDescent="0.4">
      <c r="K63" s="5">
        <v>61</v>
      </c>
      <c r="L63" s="73">
        <v>-895.7</v>
      </c>
    </row>
    <row r="64" spans="1:12" x14ac:dyDescent="0.4">
      <c r="K64" s="5">
        <v>62</v>
      </c>
      <c r="L64" s="73">
        <v>-945.2</v>
      </c>
    </row>
    <row r="65" spans="11:12" x14ac:dyDescent="0.4">
      <c r="K65" s="5">
        <v>63</v>
      </c>
      <c r="L65" s="73">
        <v>-919</v>
      </c>
    </row>
    <row r="66" spans="11:12" x14ac:dyDescent="0.4">
      <c r="K66" s="5">
        <v>64</v>
      </c>
      <c r="L66" s="73">
        <v>-919</v>
      </c>
    </row>
    <row r="67" spans="11:12" x14ac:dyDescent="0.4">
      <c r="K67" s="5">
        <v>65</v>
      </c>
      <c r="L67" s="73">
        <v>-912.6</v>
      </c>
    </row>
    <row r="68" spans="11:12" x14ac:dyDescent="0.4">
      <c r="K68" s="5">
        <v>66</v>
      </c>
      <c r="L68" s="73">
        <v>-916.2</v>
      </c>
    </row>
    <row r="69" spans="11:12" x14ac:dyDescent="0.4">
      <c r="K69" s="5">
        <v>67</v>
      </c>
      <c r="L69" s="73">
        <v>-906.80000000000007</v>
      </c>
    </row>
    <row r="70" spans="11:12" x14ac:dyDescent="0.4">
      <c r="K70" s="5">
        <v>68</v>
      </c>
      <c r="L70" s="73">
        <v>-920.00000000000011</v>
      </c>
    </row>
    <row r="71" spans="11:12" x14ac:dyDescent="0.4">
      <c r="K71" s="5">
        <v>69</v>
      </c>
      <c r="L71" s="73">
        <v>-948.80000000000007</v>
      </c>
    </row>
    <row r="72" spans="11:12" x14ac:dyDescent="0.4">
      <c r="K72" s="5">
        <v>70</v>
      </c>
      <c r="L72" s="73">
        <v>-946.00000000000011</v>
      </c>
    </row>
    <row r="73" spans="11:12" x14ac:dyDescent="0.4">
      <c r="K73" s="5">
        <v>71</v>
      </c>
      <c r="L73" s="73">
        <v>-958.00000000000011</v>
      </c>
    </row>
    <row r="74" spans="11:12" x14ac:dyDescent="0.4">
      <c r="K74" s="5">
        <v>72</v>
      </c>
      <c r="L74" s="73">
        <v>-989.70000000000016</v>
      </c>
    </row>
    <row r="75" spans="11:12" x14ac:dyDescent="0.4">
      <c r="K75" s="5">
        <v>73</v>
      </c>
      <c r="L75" s="73">
        <v>-997.50000000000011</v>
      </c>
    </row>
    <row r="76" spans="11:12" x14ac:dyDescent="0.4">
      <c r="K76" s="5">
        <v>74</v>
      </c>
      <c r="L76" s="73">
        <v>-961.50000000000011</v>
      </c>
    </row>
    <row r="77" spans="11:12" x14ac:dyDescent="0.4">
      <c r="K77" s="5">
        <v>75</v>
      </c>
      <c r="L77" s="73">
        <v>-965.00000000000011</v>
      </c>
    </row>
    <row r="78" spans="11:12" x14ac:dyDescent="0.4">
      <c r="K78" s="5">
        <v>76</v>
      </c>
      <c r="L78" s="73">
        <v>-948.00000000000011</v>
      </c>
    </row>
    <row r="79" spans="11:12" x14ac:dyDescent="0.4">
      <c r="K79" s="5">
        <v>77</v>
      </c>
      <c r="L79" s="73">
        <v>-948.70000000000016</v>
      </c>
    </row>
    <row r="80" spans="11:12" x14ac:dyDescent="0.4">
      <c r="K80" s="5">
        <v>78</v>
      </c>
      <c r="L80" s="73">
        <v>-984.50000000000011</v>
      </c>
    </row>
    <row r="81" spans="11:12" x14ac:dyDescent="0.4">
      <c r="K81" s="5">
        <v>79</v>
      </c>
      <c r="L81" s="73">
        <v>-1032.1000000000001</v>
      </c>
    </row>
    <row r="82" spans="11:12" x14ac:dyDescent="0.4">
      <c r="K82" s="5">
        <v>80</v>
      </c>
      <c r="L82" s="73">
        <v>-1078.8000000000002</v>
      </c>
    </row>
    <row r="83" spans="11:12" x14ac:dyDescent="0.4">
      <c r="K83" s="5">
        <v>81</v>
      </c>
      <c r="L83" s="73">
        <v>-1141.0000000000002</v>
      </c>
    </row>
    <row r="84" spans="11:12" x14ac:dyDescent="0.4">
      <c r="K84" s="5">
        <v>82</v>
      </c>
      <c r="L84" s="73">
        <v>-1157.2000000000003</v>
      </c>
    </row>
    <row r="85" spans="11:12" x14ac:dyDescent="0.4">
      <c r="K85" s="5">
        <v>83</v>
      </c>
      <c r="L85" s="73">
        <v>-1147.1000000000004</v>
      </c>
    </row>
    <row r="86" spans="11:12" x14ac:dyDescent="0.4">
      <c r="K86" s="5">
        <v>84</v>
      </c>
      <c r="L86" s="73">
        <v>-1152.0000000000002</v>
      </c>
    </row>
    <row r="87" spans="11:12" x14ac:dyDescent="0.4">
      <c r="K87" s="5">
        <v>85</v>
      </c>
      <c r="L87" s="73">
        <v>-1159.8000000000002</v>
      </c>
    </row>
    <row r="88" spans="11:12" x14ac:dyDescent="0.4">
      <c r="K88" s="5">
        <v>86</v>
      </c>
      <c r="L88" s="73">
        <v>-1230.7000000000003</v>
      </c>
    </row>
    <row r="89" spans="11:12" x14ac:dyDescent="0.4">
      <c r="K89" s="5">
        <v>87</v>
      </c>
      <c r="L89" s="73">
        <v>-1197.7000000000003</v>
      </c>
    </row>
    <row r="90" spans="11:12" x14ac:dyDescent="0.4">
      <c r="K90" s="5">
        <v>88</v>
      </c>
      <c r="L90" s="73">
        <v>-1189.4000000000001</v>
      </c>
    </row>
    <row r="91" spans="11:12" x14ac:dyDescent="0.4">
      <c r="K91" s="5">
        <v>89</v>
      </c>
      <c r="L91" s="73">
        <v>-1219.9000000000001</v>
      </c>
    </row>
    <row r="92" spans="11:12" x14ac:dyDescent="0.4">
      <c r="K92" s="5">
        <v>90</v>
      </c>
      <c r="L92" s="73">
        <v>-1218</v>
      </c>
    </row>
    <row r="93" spans="11:12" x14ac:dyDescent="0.4">
      <c r="K93" s="5">
        <v>91</v>
      </c>
      <c r="L93" s="73">
        <v>-1230.8000000000002</v>
      </c>
    </row>
    <row r="94" spans="11:12" x14ac:dyDescent="0.4">
      <c r="K94" s="5">
        <v>92</v>
      </c>
      <c r="L94" s="73">
        <v>-1245.4000000000001</v>
      </c>
    </row>
    <row r="95" spans="11:12" x14ac:dyDescent="0.4">
      <c r="K95" s="5">
        <v>93</v>
      </c>
      <c r="L95" s="73">
        <v>-1253.8000000000002</v>
      </c>
    </row>
    <row r="96" spans="11:12" x14ac:dyDescent="0.4">
      <c r="K96" s="5">
        <v>94</v>
      </c>
      <c r="L96" s="73">
        <v>-1287.2</v>
      </c>
    </row>
    <row r="97" spans="11:12" x14ac:dyDescent="0.4">
      <c r="K97" s="5">
        <v>95</v>
      </c>
      <c r="L97" s="73">
        <v>-1245.9000000000001</v>
      </c>
    </row>
    <row r="98" spans="11:12" x14ac:dyDescent="0.4">
      <c r="K98" s="5">
        <v>96</v>
      </c>
      <c r="L98" s="73">
        <v>-1181.9000000000001</v>
      </c>
    </row>
    <row r="99" spans="11:12" x14ac:dyDescent="0.4">
      <c r="K99" s="5">
        <v>97</v>
      </c>
      <c r="L99" s="73">
        <v>-1167.8000000000002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1B1BC-2114-45E4-9DF4-A854ECEEAAFA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198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33">
        <v>32</v>
      </c>
      <c r="C3" s="13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35">
        <v>-56.2</v>
      </c>
      <c r="C4" s="13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45">
        <f>IF(B$2=0,0,(B$7*1+B$8*2+B$9*3)/B$2)</f>
        <v>2.25</v>
      </c>
      <c r="C6" s="14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11</v>
      </c>
    </row>
    <row r="21" spans="1:9" x14ac:dyDescent="0.4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9" x14ac:dyDescent="0.4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43">
        <v>2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41">
        <v>55200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5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10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B5107-08C2-4E37-8D64-1548C298C50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202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">
      <c r="A3" s="37" t="s">
        <v>8</v>
      </c>
      <c r="B3" s="133">
        <v>78</v>
      </c>
      <c r="C3" s="13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">
      <c r="A4" s="37" t="s">
        <v>6</v>
      </c>
      <c r="B4" s="135">
        <v>9.2999999999999972</v>
      </c>
      <c r="C4" s="13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">
      <c r="A6" s="37" t="s">
        <v>1</v>
      </c>
      <c r="B6" s="145">
        <f>IF(B$2=0,0,(B$7*1+B$8*2+B$9*3)/B$2)</f>
        <v>2</v>
      </c>
      <c r="C6" s="14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10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2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41">
        <v>70900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5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8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26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55526-53DB-4E02-8B6F-A57E974DF4BD}">
  <sheetPr codeName="Sheet2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9" t="s">
        <v>201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">
      <c r="A3" s="37" t="s">
        <v>8</v>
      </c>
      <c r="B3" s="133">
        <v>40</v>
      </c>
      <c r="C3" s="13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">
      <c r="A4" s="37" t="s">
        <v>6</v>
      </c>
      <c r="B4" s="135">
        <v>-80.800000000000011</v>
      </c>
      <c r="C4" s="13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">
      <c r="A6" s="37" t="s">
        <v>1</v>
      </c>
      <c r="B6" s="145">
        <f>IF(B$2=0,0,(B$7*1+B$8*2+B$9*3)/B$2)</f>
        <v>2.2000000000000002</v>
      </c>
      <c r="C6" s="14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</row>
    <row r="20" spans="1:17" x14ac:dyDescent="0.4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41">
        <v>52000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5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8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8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8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">
      <c r="A42" s="37" t="s">
        <v>170</v>
      </c>
      <c r="B42" s="128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39">
        <v>8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2020-07-06T11:51:20Z</dcterms:modified>
</cp:coreProperties>
</file>