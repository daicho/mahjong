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6BDF1BA0-C12E-4432-AF8D-77318CD46C3C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887" r:id="rId4"/>
    <sheet name="だいち" sheetId="3888" r:id="rId5"/>
    <sheet name="かこたろう" sheetId="3889" r:id="rId6"/>
    <sheet name="ともき" sheetId="3890" r:id="rId7"/>
    <sheet name="りくと" sheetId="3891" r:id="rId8"/>
    <sheet name="いっしー" sheetId="3892" r:id="rId9"/>
    <sheet name="がくと" sheetId="3893" r:id="rId10"/>
    <sheet name="たかの" sheetId="3894" r:id="rId11"/>
    <sheet name="ただ" sheetId="3895" r:id="rId12"/>
    <sheet name="やがさき" sheetId="3896" r:id="rId13"/>
    <sheet name="れんたろう" sheetId="3897" r:id="rId14"/>
    <sheet name="あさひ" sheetId="3898" r:id="rId15"/>
    <sheet name="まっつん" sheetId="3899" r:id="rId16"/>
    <sheet name="ぱぱ" sheetId="3900" r:id="rId17"/>
    <sheet name="ほたに" sheetId="3901" r:id="rId18"/>
    <sheet name="かわたつ" sheetId="3902" r:id="rId19"/>
    <sheet name="のり" sheetId="3903" r:id="rId20"/>
    <sheet name="ちさと" sheetId="3904" r:id="rId21"/>
    <sheet name="たか" sheetId="3905" r:id="rId22"/>
    <sheet name="ゆう" sheetId="390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906" l="1"/>
  <c r="O16" i="3906"/>
  <c r="O15" i="3906"/>
  <c r="H52" i="3906"/>
  <c r="H4" i="3906"/>
  <c r="H51" i="3906"/>
  <c r="H50" i="3906"/>
  <c r="H49" i="3906"/>
  <c r="C48" i="3906"/>
  <c r="H48" i="3906"/>
  <c r="C47" i="3906"/>
  <c r="H47" i="3906"/>
  <c r="C46" i="3906"/>
  <c r="H46" i="3906"/>
  <c r="C45" i="3906"/>
  <c r="H45" i="3906"/>
  <c r="C44" i="3906"/>
  <c r="H44" i="3906"/>
  <c r="C43" i="3906"/>
  <c r="H43" i="3906"/>
  <c r="C42" i="3906"/>
  <c r="H42" i="3906"/>
  <c r="C41" i="3906"/>
  <c r="H41" i="3906"/>
  <c r="C40" i="3906"/>
  <c r="H40" i="3906"/>
  <c r="C39" i="3906"/>
  <c r="H39" i="3906"/>
  <c r="C38" i="3906"/>
  <c r="H38" i="3906"/>
  <c r="C37" i="3906"/>
  <c r="H37" i="3906"/>
  <c r="C36" i="3906"/>
  <c r="H36" i="3906"/>
  <c r="H35" i="3906"/>
  <c r="C34" i="3906"/>
  <c r="H34" i="3906"/>
  <c r="H33" i="3906"/>
  <c r="H32" i="3906"/>
  <c r="H31" i="3906"/>
  <c r="H30" i="3906"/>
  <c r="B29" i="3906"/>
  <c r="H29" i="3906"/>
  <c r="B28" i="3906"/>
  <c r="H9" i="3906"/>
  <c r="B27" i="3906"/>
  <c r="H28" i="3906"/>
  <c r="B26" i="3906"/>
  <c r="H12" i="3906"/>
  <c r="C25" i="3906"/>
  <c r="H27" i="3906"/>
  <c r="C24" i="3906"/>
  <c r="H26" i="3906"/>
  <c r="C23" i="3906"/>
  <c r="H25" i="3906"/>
  <c r="C22" i="3906"/>
  <c r="H24" i="3906"/>
  <c r="C21" i="3906"/>
  <c r="H23" i="3906"/>
  <c r="C20" i="3906"/>
  <c r="H22" i="3906"/>
  <c r="C19" i="3906"/>
  <c r="H21" i="3906"/>
  <c r="C18" i="3906"/>
  <c r="H20" i="3906"/>
  <c r="C17" i="3906"/>
  <c r="H5" i="3906"/>
  <c r="C16" i="3906"/>
  <c r="H19" i="3906"/>
  <c r="C15" i="3906"/>
  <c r="H18" i="3906"/>
  <c r="C14" i="3906"/>
  <c r="H17" i="3906"/>
  <c r="O12" i="3906"/>
  <c r="H16" i="3906"/>
  <c r="B12" i="3906"/>
  <c r="O11" i="3906"/>
  <c r="H15" i="3906"/>
  <c r="B11" i="3906"/>
  <c r="O10" i="3906"/>
  <c r="H8" i="3906"/>
  <c r="B10" i="3906"/>
  <c r="H14" i="3906"/>
  <c r="C9" i="3906"/>
  <c r="H13" i="3906"/>
  <c r="C8" i="3906"/>
  <c r="O7" i="3906"/>
  <c r="H7" i="3906"/>
  <c r="C7" i="3906"/>
  <c r="O6" i="3906"/>
  <c r="H6" i="3906"/>
  <c r="B6" i="3906"/>
  <c r="O5" i="3906"/>
  <c r="H11" i="3906"/>
  <c r="B5" i="3906"/>
  <c r="O4" i="3906"/>
  <c r="H3" i="3906"/>
  <c r="O3" i="3906"/>
  <c r="H10" i="3906"/>
  <c r="O2" i="3906"/>
  <c r="H2" i="3906"/>
  <c r="O20" i="3905"/>
  <c r="O19" i="3905"/>
  <c r="O18" i="3905"/>
  <c r="O17" i="3905"/>
  <c r="O16" i="3905"/>
  <c r="O15" i="3905"/>
  <c r="H52" i="3905"/>
  <c r="H5" i="3905"/>
  <c r="H51" i="3905"/>
  <c r="H50" i="3905"/>
  <c r="H49" i="3905"/>
  <c r="C48" i="3905"/>
  <c r="H48" i="3905"/>
  <c r="C47" i="3905"/>
  <c r="H47" i="3905"/>
  <c r="C46" i="3905"/>
  <c r="H46" i="3905"/>
  <c r="C45" i="3905"/>
  <c r="H45" i="3905"/>
  <c r="C44" i="3905"/>
  <c r="H44" i="3905"/>
  <c r="C43" i="3905"/>
  <c r="H43" i="3905"/>
  <c r="C42" i="3905"/>
  <c r="H42" i="3905"/>
  <c r="C41" i="3905"/>
  <c r="H41" i="3905"/>
  <c r="C40" i="3905"/>
  <c r="H40" i="3905"/>
  <c r="C39" i="3905"/>
  <c r="H39" i="3905"/>
  <c r="C38" i="3905"/>
  <c r="H38" i="3905"/>
  <c r="C37" i="3905"/>
  <c r="H37" i="3905"/>
  <c r="C36" i="3905"/>
  <c r="H36" i="3905"/>
  <c r="H35" i="3905"/>
  <c r="C34" i="3905"/>
  <c r="H34" i="3905"/>
  <c r="H33" i="3905"/>
  <c r="H32" i="3905"/>
  <c r="H31" i="3905"/>
  <c r="H14" i="3905"/>
  <c r="B29" i="3905"/>
  <c r="H30" i="3905"/>
  <c r="B28" i="3905"/>
  <c r="H13" i="3905"/>
  <c r="B27" i="3905"/>
  <c r="H29" i="3905"/>
  <c r="B26" i="3905"/>
  <c r="H28" i="3905"/>
  <c r="C25" i="3905"/>
  <c r="H27" i="3905"/>
  <c r="C24" i="3905"/>
  <c r="H26" i="3905"/>
  <c r="C23" i="3905"/>
  <c r="H25" i="3905"/>
  <c r="C22" i="3905"/>
  <c r="H24" i="3905"/>
  <c r="C21" i="3905"/>
  <c r="H23" i="3905"/>
  <c r="C20" i="3905"/>
  <c r="H12" i="3905"/>
  <c r="C19" i="3905"/>
  <c r="H22" i="3905"/>
  <c r="C18" i="3905"/>
  <c r="H21" i="3905"/>
  <c r="C17" i="3905"/>
  <c r="H20" i="3905"/>
  <c r="C16" i="3905"/>
  <c r="H19" i="3905"/>
  <c r="C15" i="3905"/>
  <c r="H18" i="3905"/>
  <c r="C14" i="3905"/>
  <c r="H17" i="3905"/>
  <c r="O12" i="3905"/>
  <c r="H16" i="3905"/>
  <c r="B12" i="3905"/>
  <c r="O11" i="3905"/>
  <c r="H15" i="3905"/>
  <c r="B11" i="3905"/>
  <c r="O10" i="3905"/>
  <c r="H8" i="3905"/>
  <c r="B10" i="3905"/>
  <c r="H11" i="3905"/>
  <c r="C9" i="3905"/>
  <c r="H10" i="3905"/>
  <c r="C8" i="3905"/>
  <c r="O7" i="3905"/>
  <c r="H7" i="3905"/>
  <c r="C7" i="3905"/>
  <c r="O6" i="3905"/>
  <c r="H6" i="3905"/>
  <c r="B6" i="3905"/>
  <c r="O5" i="3905"/>
  <c r="H4" i="3905"/>
  <c r="B5" i="3905"/>
  <c r="O4" i="3905"/>
  <c r="H2" i="3905"/>
  <c r="O3" i="3905"/>
  <c r="H9" i="3905"/>
  <c r="O2" i="3905"/>
  <c r="H3" i="3905"/>
  <c r="O23" i="3890"/>
  <c r="O21" i="3890"/>
  <c r="O18" i="3890"/>
  <c r="O17" i="3890"/>
  <c r="O16" i="3890"/>
  <c r="O19" i="3892"/>
  <c r="O17" i="3900"/>
  <c r="O23" i="3903"/>
  <c r="O20" i="3903"/>
  <c r="O19" i="3903"/>
  <c r="O18" i="3903"/>
  <c r="O17" i="3903"/>
  <c r="O16" i="3903"/>
  <c r="O15" i="3903"/>
  <c r="O26" i="3899"/>
  <c r="O20" i="3899"/>
  <c r="O18" i="3897"/>
  <c r="O15" i="3891"/>
  <c r="O23" i="3895"/>
  <c r="O19" i="3888"/>
  <c r="O26" i="3894"/>
  <c r="O21" i="3894"/>
  <c r="O15" i="3894"/>
  <c r="O17" i="3887"/>
  <c r="B13" i="3906" l="1"/>
  <c r="B13" i="3905"/>
  <c r="O16" i="3904" l="1"/>
  <c r="O15" i="3904"/>
  <c r="H52" i="3904"/>
  <c r="H5" i="3904"/>
  <c r="H51" i="3904"/>
  <c r="H50" i="3904"/>
  <c r="H49" i="3904"/>
  <c r="C48" i="3904"/>
  <c r="H48" i="3904"/>
  <c r="C47" i="3904"/>
  <c r="H47" i="3904"/>
  <c r="C46" i="3904"/>
  <c r="H46" i="3904"/>
  <c r="C45" i="3904"/>
  <c r="H45" i="3904"/>
  <c r="C44" i="3904"/>
  <c r="H44" i="3904"/>
  <c r="C43" i="3904"/>
  <c r="H43" i="3904"/>
  <c r="C42" i="3904"/>
  <c r="H42" i="3904"/>
  <c r="C41" i="3904"/>
  <c r="H41" i="3904"/>
  <c r="C40" i="3904"/>
  <c r="H40" i="3904"/>
  <c r="C39" i="3904"/>
  <c r="H39" i="3904"/>
  <c r="C38" i="3904"/>
  <c r="H38" i="3904"/>
  <c r="C37" i="3904"/>
  <c r="H37" i="3904"/>
  <c r="C36" i="3904"/>
  <c r="H36" i="3904"/>
  <c r="H35" i="3904"/>
  <c r="C34" i="3904"/>
  <c r="H34" i="3904"/>
  <c r="H33" i="3904"/>
  <c r="H32" i="3904"/>
  <c r="H31" i="3904"/>
  <c r="H30" i="3904"/>
  <c r="B29" i="3904"/>
  <c r="H29" i="3904"/>
  <c r="B28" i="3904"/>
  <c r="H13" i="3904"/>
  <c r="B27" i="3904"/>
  <c r="H28" i="3904"/>
  <c r="B26" i="3904"/>
  <c r="H27" i="3904"/>
  <c r="C25" i="3904"/>
  <c r="H12" i="3904"/>
  <c r="C24" i="3904"/>
  <c r="H26" i="3904"/>
  <c r="C23" i="3904"/>
  <c r="H25" i="3904"/>
  <c r="C22" i="3904"/>
  <c r="H11" i="3904"/>
  <c r="C21" i="3904"/>
  <c r="H24" i="3904"/>
  <c r="C20" i="3904"/>
  <c r="H10" i="3904"/>
  <c r="C19" i="3904"/>
  <c r="H23" i="3904"/>
  <c r="C18" i="3904"/>
  <c r="H22" i="3904"/>
  <c r="C17" i="3904"/>
  <c r="H21" i="3904"/>
  <c r="C16" i="3904"/>
  <c r="H20" i="3904"/>
  <c r="C15" i="3904"/>
  <c r="H19" i="3904"/>
  <c r="C14" i="3904"/>
  <c r="H18" i="3904"/>
  <c r="O12" i="3904"/>
  <c r="H17" i="3904"/>
  <c r="B12" i="3904"/>
  <c r="O11" i="3904"/>
  <c r="H16" i="3904"/>
  <c r="B11" i="3904"/>
  <c r="O10" i="3904"/>
  <c r="H2" i="3904"/>
  <c r="B10" i="3904"/>
  <c r="H15" i="3904"/>
  <c r="C9" i="3904"/>
  <c r="H14" i="3904"/>
  <c r="C8" i="3904"/>
  <c r="O7" i="3904"/>
  <c r="H9" i="3904"/>
  <c r="C7" i="3904"/>
  <c r="O6" i="3904"/>
  <c r="H8" i="3904"/>
  <c r="B6" i="3904"/>
  <c r="O5" i="3904"/>
  <c r="H7" i="3904"/>
  <c r="B5" i="3904"/>
  <c r="O4" i="3904"/>
  <c r="H4" i="3904"/>
  <c r="O3" i="3904"/>
  <c r="H6" i="3904"/>
  <c r="O2" i="3904"/>
  <c r="H3" i="3904"/>
  <c r="O25" i="3903"/>
  <c r="O22" i="3903"/>
  <c r="O21" i="3903"/>
  <c r="O24" i="3903"/>
  <c r="H52" i="3903"/>
  <c r="H5" i="3903"/>
  <c r="H23" i="3903"/>
  <c r="H51" i="3903"/>
  <c r="H50" i="3903"/>
  <c r="C48" i="3903"/>
  <c r="H49" i="3903"/>
  <c r="C47" i="3903"/>
  <c r="H48" i="3903"/>
  <c r="C46" i="3903"/>
  <c r="H47" i="3903"/>
  <c r="C45" i="3903"/>
  <c r="H46" i="3903"/>
  <c r="C44" i="3903"/>
  <c r="H45" i="3903"/>
  <c r="C43" i="3903"/>
  <c r="H44" i="3903"/>
  <c r="C42" i="3903"/>
  <c r="H43" i="3903"/>
  <c r="C41" i="3903"/>
  <c r="H42" i="3903"/>
  <c r="C40" i="3903"/>
  <c r="H41" i="3903"/>
  <c r="C39" i="3903"/>
  <c r="H40" i="3903"/>
  <c r="C38" i="3903"/>
  <c r="H39" i="3903"/>
  <c r="C37" i="3903"/>
  <c r="H38" i="3903"/>
  <c r="C36" i="3903"/>
  <c r="H37" i="3903"/>
  <c r="H36" i="3903"/>
  <c r="C34" i="3903"/>
  <c r="H22" i="3903"/>
  <c r="H35" i="3903"/>
  <c r="H34" i="3903"/>
  <c r="H21" i="3903"/>
  <c r="H16" i="3903"/>
  <c r="B29" i="3903"/>
  <c r="H33" i="3903"/>
  <c r="B28" i="3903"/>
  <c r="H8" i="3903"/>
  <c r="B27" i="3903"/>
  <c r="H32" i="3903"/>
  <c r="B26" i="3903"/>
  <c r="H31" i="3903"/>
  <c r="C25" i="3903"/>
  <c r="H13" i="3903"/>
  <c r="C24" i="3903"/>
  <c r="H30" i="3903"/>
  <c r="C23" i="3903"/>
  <c r="H29" i="3903"/>
  <c r="C22" i="3903"/>
  <c r="H15" i="3903"/>
  <c r="C21" i="3903"/>
  <c r="H28" i="3903"/>
  <c r="C20" i="3903"/>
  <c r="H14" i="3903"/>
  <c r="C19" i="3903"/>
  <c r="H27" i="3903"/>
  <c r="C18" i="3903"/>
  <c r="H20" i="3903"/>
  <c r="C17" i="3903"/>
  <c r="H17" i="3903"/>
  <c r="C16" i="3903"/>
  <c r="H26" i="3903"/>
  <c r="C15" i="3903"/>
  <c r="H25" i="3903"/>
  <c r="C14" i="3903"/>
  <c r="H24" i="3903"/>
  <c r="O12" i="3903"/>
  <c r="H19" i="3903"/>
  <c r="B12" i="3903"/>
  <c r="O11" i="3903"/>
  <c r="H18" i="3903"/>
  <c r="B11" i="3903"/>
  <c r="O10" i="3903"/>
  <c r="H3" i="3903"/>
  <c r="B10" i="3903"/>
  <c r="H12" i="3903"/>
  <c r="C9" i="3903"/>
  <c r="H10" i="3903"/>
  <c r="C8" i="3903"/>
  <c r="O7" i="3903"/>
  <c r="H11" i="3903"/>
  <c r="C7" i="3903"/>
  <c r="O6" i="3903"/>
  <c r="H6" i="3903"/>
  <c r="B6" i="3903"/>
  <c r="O5" i="3903"/>
  <c r="H7" i="3903"/>
  <c r="B5" i="3903"/>
  <c r="O4" i="3903"/>
  <c r="H2" i="3903"/>
  <c r="O3" i="3903"/>
  <c r="H9" i="3903"/>
  <c r="O2" i="3903"/>
  <c r="H4" i="3903"/>
  <c r="O16" i="3902"/>
  <c r="O15" i="3902"/>
  <c r="H52" i="3902"/>
  <c r="H7" i="3902"/>
  <c r="H51" i="3902"/>
  <c r="H50" i="3902"/>
  <c r="H49" i="3902"/>
  <c r="C48" i="3902"/>
  <c r="H48" i="3902"/>
  <c r="C47" i="3902"/>
  <c r="H47" i="3902"/>
  <c r="C46" i="3902"/>
  <c r="H46" i="3902"/>
  <c r="C45" i="3902"/>
  <c r="H45" i="3902"/>
  <c r="C44" i="3902"/>
  <c r="H44" i="3902"/>
  <c r="C43" i="3902"/>
  <c r="H43" i="3902"/>
  <c r="C42" i="3902"/>
  <c r="H42" i="3902"/>
  <c r="C41" i="3902"/>
  <c r="H41" i="3902"/>
  <c r="C40" i="3902"/>
  <c r="H40" i="3902"/>
  <c r="C39" i="3902"/>
  <c r="H39" i="3902"/>
  <c r="C38" i="3902"/>
  <c r="H38" i="3902"/>
  <c r="C37" i="3902"/>
  <c r="H37" i="3902"/>
  <c r="C36" i="3902"/>
  <c r="H36" i="3902"/>
  <c r="H35" i="3902"/>
  <c r="C34" i="3902"/>
  <c r="H34" i="3902"/>
  <c r="H33" i="3902"/>
  <c r="H32" i="3902"/>
  <c r="H31" i="3902"/>
  <c r="H30" i="3902"/>
  <c r="B29" i="3902"/>
  <c r="H29" i="3902"/>
  <c r="B28" i="3902"/>
  <c r="H28" i="3902"/>
  <c r="B27" i="3902"/>
  <c r="H27" i="3902"/>
  <c r="B26" i="3902"/>
  <c r="H26" i="3902"/>
  <c r="C25" i="3902"/>
  <c r="H25" i="3902"/>
  <c r="C24" i="3902"/>
  <c r="H24" i="3902"/>
  <c r="C23" i="3902"/>
  <c r="H23" i="3902"/>
  <c r="C22" i="3902"/>
  <c r="H22" i="3902"/>
  <c r="C21" i="3902"/>
  <c r="H21" i="3902"/>
  <c r="C20" i="3902"/>
  <c r="H6" i="3902"/>
  <c r="C19" i="3902"/>
  <c r="H20" i="3902"/>
  <c r="C18" i="3902"/>
  <c r="H19" i="3902"/>
  <c r="C17" i="3902"/>
  <c r="H18" i="3902"/>
  <c r="C16" i="3902"/>
  <c r="H17" i="3902"/>
  <c r="C15" i="3902"/>
  <c r="H16" i="3902"/>
  <c r="C14" i="3902"/>
  <c r="H15" i="3902"/>
  <c r="B13" i="3902"/>
  <c r="O12" i="3902"/>
  <c r="H14" i="3902"/>
  <c r="B12" i="3902"/>
  <c r="O11" i="3902"/>
  <c r="H13" i="3902"/>
  <c r="B11" i="3902"/>
  <c r="O10" i="3902"/>
  <c r="H12" i="3902"/>
  <c r="B10" i="3902"/>
  <c r="H11" i="3902"/>
  <c r="C9" i="3902"/>
  <c r="H10" i="3902"/>
  <c r="C8" i="3902"/>
  <c r="O7" i="3902"/>
  <c r="H9" i="3902"/>
  <c r="C7" i="3902"/>
  <c r="O6" i="3902"/>
  <c r="H5" i="3902"/>
  <c r="B6" i="3902"/>
  <c r="O5" i="3902"/>
  <c r="H4" i="3902"/>
  <c r="B5" i="3902"/>
  <c r="O4" i="3902"/>
  <c r="H2" i="3902"/>
  <c r="O3" i="3902"/>
  <c r="H8" i="3902"/>
  <c r="O2" i="3902"/>
  <c r="H3" i="3902"/>
  <c r="O22" i="3901"/>
  <c r="O21" i="3901"/>
  <c r="O17" i="3901"/>
  <c r="O20" i="3901"/>
  <c r="O19" i="3901"/>
  <c r="O18" i="3901"/>
  <c r="O16" i="3901"/>
  <c r="O15" i="3901"/>
  <c r="H52" i="3901"/>
  <c r="H7" i="3901"/>
  <c r="H51" i="3901"/>
  <c r="H50" i="3901"/>
  <c r="H49" i="3901"/>
  <c r="C48" i="3901"/>
  <c r="H48" i="3901"/>
  <c r="C47" i="3901"/>
  <c r="H47" i="3901"/>
  <c r="C46" i="3901"/>
  <c r="H46" i="3901"/>
  <c r="C45" i="3901"/>
  <c r="H45" i="3901"/>
  <c r="C44" i="3901"/>
  <c r="H44" i="3901"/>
  <c r="C43" i="3901"/>
  <c r="H43" i="3901"/>
  <c r="C42" i="3901"/>
  <c r="H42" i="3901"/>
  <c r="C41" i="3901"/>
  <c r="H41" i="3901"/>
  <c r="C40" i="3901"/>
  <c r="H40" i="3901"/>
  <c r="C39" i="3901"/>
  <c r="H39" i="3901"/>
  <c r="C38" i="3901"/>
  <c r="H38" i="3901"/>
  <c r="C37" i="3901"/>
  <c r="H37" i="3901"/>
  <c r="C36" i="3901"/>
  <c r="H36" i="3901"/>
  <c r="H35" i="3901"/>
  <c r="C34" i="3901"/>
  <c r="H34" i="3901"/>
  <c r="H33" i="3901"/>
  <c r="H32" i="3901"/>
  <c r="H31" i="3901"/>
  <c r="H30" i="3901"/>
  <c r="B29" i="3901"/>
  <c r="H29" i="3901"/>
  <c r="B28" i="3901"/>
  <c r="H8" i="3901"/>
  <c r="B27" i="3901"/>
  <c r="H28" i="3901"/>
  <c r="B26" i="3901"/>
  <c r="H27" i="3901"/>
  <c r="C25" i="3901"/>
  <c r="H11" i="3901"/>
  <c r="C24" i="3901"/>
  <c r="H26" i="3901"/>
  <c r="C23" i="3901"/>
  <c r="H25" i="3901"/>
  <c r="C22" i="3901"/>
  <c r="H14" i="3901"/>
  <c r="C21" i="3901"/>
  <c r="H24" i="3901"/>
  <c r="C20" i="3901"/>
  <c r="H18" i="3901"/>
  <c r="C19" i="3901"/>
  <c r="H23" i="3901"/>
  <c r="C18" i="3901"/>
  <c r="H17" i="3901"/>
  <c r="C17" i="3901"/>
  <c r="H13" i="3901"/>
  <c r="C16" i="3901"/>
  <c r="H15" i="3901"/>
  <c r="C15" i="3901"/>
  <c r="H22" i="3901"/>
  <c r="C14" i="3901"/>
  <c r="H21" i="3901"/>
  <c r="O12" i="3901"/>
  <c r="H20" i="3901"/>
  <c r="B12" i="3901"/>
  <c r="O11" i="3901"/>
  <c r="H19" i="3901"/>
  <c r="B11" i="3901"/>
  <c r="O10" i="3901"/>
  <c r="H2" i="3901"/>
  <c r="B10" i="3901"/>
  <c r="H16" i="3901"/>
  <c r="C9" i="3901"/>
  <c r="H12" i="3901"/>
  <c r="C8" i="3901"/>
  <c r="O7" i="3901"/>
  <c r="H9" i="3901"/>
  <c r="C7" i="3901"/>
  <c r="O6" i="3901"/>
  <c r="H6" i="3901"/>
  <c r="B6" i="3901"/>
  <c r="O5" i="3901"/>
  <c r="H5" i="3901"/>
  <c r="B5" i="3901"/>
  <c r="O4" i="3901"/>
  <c r="H3" i="3901"/>
  <c r="O3" i="3901"/>
  <c r="H10" i="3901"/>
  <c r="O2" i="3901"/>
  <c r="H4" i="3901"/>
  <c r="O22" i="3898"/>
  <c r="O16" i="3898"/>
  <c r="O15" i="3898"/>
  <c r="O28" i="3899"/>
  <c r="O17" i="3899"/>
  <c r="O15" i="3899"/>
  <c r="O16" i="3899"/>
  <c r="O24" i="3900"/>
  <c r="O25" i="3900"/>
  <c r="O18" i="3900"/>
  <c r="O15" i="3900"/>
  <c r="O23" i="3894"/>
  <c r="O17" i="3894"/>
  <c r="O28" i="3897"/>
  <c r="O21" i="3897"/>
  <c r="O20" i="3895"/>
  <c r="O15" i="3895"/>
  <c r="O16" i="3895"/>
  <c r="O25" i="3891"/>
  <c r="O29" i="3888"/>
  <c r="O20" i="3888"/>
  <c r="O17" i="3888"/>
  <c r="O32" i="3887"/>
  <c r="O26" i="3887"/>
  <c r="O18" i="3887"/>
  <c r="O19" i="3887"/>
  <c r="B13" i="3903" l="1"/>
  <c r="B13" i="3904"/>
  <c r="B13" i="3901"/>
  <c r="O20" i="3900" l="1"/>
  <c r="O19" i="3900"/>
  <c r="O22" i="3900"/>
  <c r="O23" i="3900"/>
  <c r="O26" i="3900"/>
  <c r="O16" i="3900"/>
  <c r="O21" i="3900"/>
  <c r="H52" i="3900"/>
  <c r="H6" i="3900"/>
  <c r="H16" i="3900"/>
  <c r="H51" i="3900"/>
  <c r="H50" i="3900"/>
  <c r="C48" i="3900"/>
  <c r="H49" i="3900"/>
  <c r="C47" i="3900"/>
  <c r="H48" i="3900"/>
  <c r="C46" i="3900"/>
  <c r="H47" i="3900"/>
  <c r="C45" i="3900"/>
  <c r="H24" i="3900"/>
  <c r="C44" i="3900"/>
  <c r="H46" i="3900"/>
  <c r="C43" i="3900"/>
  <c r="H45" i="3900"/>
  <c r="C42" i="3900"/>
  <c r="H44" i="3900"/>
  <c r="C41" i="3900"/>
  <c r="H43" i="3900"/>
  <c r="C40" i="3900"/>
  <c r="H42" i="3900"/>
  <c r="C39" i="3900"/>
  <c r="H41" i="3900"/>
  <c r="C38" i="3900"/>
  <c r="H40" i="3900"/>
  <c r="C37" i="3900"/>
  <c r="H39" i="3900"/>
  <c r="C36" i="3900"/>
  <c r="H38" i="3900"/>
  <c r="H37" i="3900"/>
  <c r="C34" i="3900"/>
  <c r="H36" i="3900"/>
  <c r="H35" i="3900"/>
  <c r="H34" i="3900"/>
  <c r="H33" i="3900"/>
  <c r="H21" i="3900"/>
  <c r="B29" i="3900"/>
  <c r="H32" i="3900"/>
  <c r="B28" i="3900"/>
  <c r="H10" i="3900"/>
  <c r="B27" i="3900"/>
  <c r="H31" i="3900"/>
  <c r="B26" i="3900"/>
  <c r="H20" i="3900"/>
  <c r="C25" i="3900"/>
  <c r="H13" i="3900"/>
  <c r="C24" i="3900"/>
  <c r="H23" i="3900"/>
  <c r="C23" i="3900"/>
  <c r="H30" i="3900"/>
  <c r="C22" i="3900"/>
  <c r="H15" i="3900"/>
  <c r="C21" i="3900"/>
  <c r="H29" i="3900"/>
  <c r="C20" i="3900"/>
  <c r="H19" i="3900"/>
  <c r="C19" i="3900"/>
  <c r="H28" i="3900"/>
  <c r="C18" i="3900"/>
  <c r="H17" i="3900"/>
  <c r="C17" i="3900"/>
  <c r="H14" i="3900"/>
  <c r="C16" i="3900"/>
  <c r="H27" i="3900"/>
  <c r="C15" i="3900"/>
  <c r="H26" i="3900"/>
  <c r="C14" i="3900"/>
  <c r="H22" i="3900"/>
  <c r="O12" i="3900"/>
  <c r="H25" i="3900"/>
  <c r="B12" i="3900"/>
  <c r="O11" i="3900"/>
  <c r="H18" i="3900"/>
  <c r="B11" i="3900"/>
  <c r="O10" i="3900"/>
  <c r="H4" i="3900"/>
  <c r="B10" i="3900"/>
  <c r="H12" i="3900"/>
  <c r="C9" i="3900"/>
  <c r="H9" i="3900"/>
  <c r="C8" i="3900"/>
  <c r="O7" i="3900"/>
  <c r="H8" i="3900"/>
  <c r="C7" i="3900"/>
  <c r="O6" i="3900"/>
  <c r="H5" i="3900"/>
  <c r="B6" i="3900"/>
  <c r="O5" i="3900"/>
  <c r="H7" i="3900"/>
  <c r="B5" i="3900"/>
  <c r="O4" i="3900"/>
  <c r="H2" i="3900"/>
  <c r="O3" i="3900"/>
  <c r="H11" i="3900"/>
  <c r="O2" i="3900"/>
  <c r="H3" i="3900"/>
  <c r="O27" i="3899"/>
  <c r="O25" i="3899"/>
  <c r="O22" i="3899"/>
  <c r="O19" i="3899"/>
  <c r="O24" i="3899"/>
  <c r="O23" i="3899"/>
  <c r="O21" i="3899"/>
  <c r="O18" i="3899"/>
  <c r="H52" i="3899"/>
  <c r="H5" i="3899"/>
  <c r="H20" i="3899"/>
  <c r="H51" i="3899"/>
  <c r="H50" i="3899"/>
  <c r="C48" i="3899"/>
  <c r="H49" i="3899"/>
  <c r="C47" i="3899"/>
  <c r="H48" i="3899"/>
  <c r="C46" i="3899"/>
  <c r="H47" i="3899"/>
  <c r="C45" i="3899"/>
  <c r="H46" i="3899"/>
  <c r="C44" i="3899"/>
  <c r="H45" i="3899"/>
  <c r="C43" i="3899"/>
  <c r="H44" i="3899"/>
  <c r="C42" i="3899"/>
  <c r="H43" i="3899"/>
  <c r="C41" i="3899"/>
  <c r="H42" i="3899"/>
  <c r="C40" i="3899"/>
  <c r="H29" i="3899"/>
  <c r="C39" i="3899"/>
  <c r="H41" i="3899"/>
  <c r="C38" i="3899"/>
  <c r="H40" i="3899"/>
  <c r="C37" i="3899"/>
  <c r="H39" i="3899"/>
  <c r="C36" i="3899"/>
  <c r="H38" i="3899"/>
  <c r="H37" i="3899"/>
  <c r="C34" i="3899"/>
  <c r="H36" i="3899"/>
  <c r="H35" i="3899"/>
  <c r="H28" i="3899"/>
  <c r="H21" i="3899"/>
  <c r="H18" i="3899"/>
  <c r="B29" i="3899"/>
  <c r="H27" i="3899"/>
  <c r="B28" i="3899"/>
  <c r="H8" i="3899"/>
  <c r="B27" i="3899"/>
  <c r="H26" i="3899"/>
  <c r="B26" i="3899"/>
  <c r="H30" i="3899"/>
  <c r="C25" i="3899"/>
  <c r="H14" i="3899"/>
  <c r="C24" i="3899"/>
  <c r="H19" i="3899"/>
  <c r="C23" i="3899"/>
  <c r="H34" i="3899"/>
  <c r="C22" i="3899"/>
  <c r="H13" i="3899"/>
  <c r="C21" i="3899"/>
  <c r="H33" i="3899"/>
  <c r="C20" i="3899"/>
  <c r="H17" i="3899"/>
  <c r="C19" i="3899"/>
  <c r="H32" i="3899"/>
  <c r="C18" i="3899"/>
  <c r="H16" i="3899"/>
  <c r="C17" i="3899"/>
  <c r="H15" i="3899"/>
  <c r="C16" i="3899"/>
  <c r="H25" i="3899"/>
  <c r="C15" i="3899"/>
  <c r="H31" i="3899"/>
  <c r="C14" i="3899"/>
  <c r="H23" i="3899"/>
  <c r="O12" i="3899"/>
  <c r="H24" i="3899"/>
  <c r="B12" i="3899"/>
  <c r="O11" i="3899"/>
  <c r="H22" i="3899"/>
  <c r="B11" i="3899"/>
  <c r="O10" i="3899"/>
  <c r="H3" i="3899"/>
  <c r="B10" i="3899"/>
  <c r="H11" i="3899"/>
  <c r="C9" i="3899"/>
  <c r="H12" i="3899"/>
  <c r="C8" i="3899"/>
  <c r="O7" i="3899"/>
  <c r="H9" i="3899"/>
  <c r="C7" i="3899"/>
  <c r="O6" i="3899"/>
  <c r="H7" i="3899"/>
  <c r="B6" i="3899"/>
  <c r="O5" i="3899"/>
  <c r="H6" i="3899"/>
  <c r="B5" i="3899"/>
  <c r="O4" i="3899"/>
  <c r="H2" i="3899"/>
  <c r="O3" i="3899"/>
  <c r="H10" i="3899"/>
  <c r="O2" i="3899"/>
  <c r="H4" i="3899"/>
  <c r="O21" i="3898"/>
  <c r="O19" i="3898"/>
  <c r="O20" i="3898"/>
  <c r="O18" i="3898"/>
  <c r="O17" i="3898"/>
  <c r="H52" i="3898"/>
  <c r="H13" i="3898"/>
  <c r="H51" i="3898"/>
  <c r="H50" i="3898"/>
  <c r="H49" i="3898"/>
  <c r="C48" i="3898"/>
  <c r="H48" i="3898"/>
  <c r="C47" i="3898"/>
  <c r="H47" i="3898"/>
  <c r="C46" i="3898"/>
  <c r="H46" i="3898"/>
  <c r="C45" i="3898"/>
  <c r="H45" i="3898"/>
  <c r="C44" i="3898"/>
  <c r="H44" i="3898"/>
  <c r="C43" i="3898"/>
  <c r="H43" i="3898"/>
  <c r="C42" i="3898"/>
  <c r="H42" i="3898"/>
  <c r="C41" i="3898"/>
  <c r="H41" i="3898"/>
  <c r="C40" i="3898"/>
  <c r="H40" i="3898"/>
  <c r="C39" i="3898"/>
  <c r="H39" i="3898"/>
  <c r="C38" i="3898"/>
  <c r="H38" i="3898"/>
  <c r="C37" i="3898"/>
  <c r="H37" i="3898"/>
  <c r="C36" i="3898"/>
  <c r="H36" i="3898"/>
  <c r="H35" i="3898"/>
  <c r="C34" i="3898"/>
  <c r="H34" i="3898"/>
  <c r="H33" i="3898"/>
  <c r="H32" i="3898"/>
  <c r="H31" i="3898"/>
  <c r="H14" i="3898"/>
  <c r="B29" i="3898"/>
  <c r="H30" i="3898"/>
  <c r="B28" i="3898"/>
  <c r="H7" i="3898"/>
  <c r="B27" i="3898"/>
  <c r="H29" i="3898"/>
  <c r="B26" i="3898"/>
  <c r="H28" i="3898"/>
  <c r="C25" i="3898"/>
  <c r="H10" i="3898"/>
  <c r="C24" i="3898"/>
  <c r="H27" i="3898"/>
  <c r="C23" i="3898"/>
  <c r="H26" i="3898"/>
  <c r="C22" i="3898"/>
  <c r="H25" i="3898"/>
  <c r="C21" i="3898"/>
  <c r="H24" i="3898"/>
  <c r="C20" i="3898"/>
  <c r="H23" i="3898"/>
  <c r="C19" i="3898"/>
  <c r="H22" i="3898"/>
  <c r="C18" i="3898"/>
  <c r="H21" i="3898"/>
  <c r="C17" i="3898"/>
  <c r="H20" i="3898"/>
  <c r="C16" i="3898"/>
  <c r="H19" i="3898"/>
  <c r="C15" i="3898"/>
  <c r="H18" i="3898"/>
  <c r="C14" i="3898"/>
  <c r="H17" i="3898"/>
  <c r="O12" i="3898"/>
  <c r="H16" i="3898"/>
  <c r="B12" i="3898"/>
  <c r="O11" i="3898"/>
  <c r="H15" i="3898"/>
  <c r="B11" i="3898"/>
  <c r="O10" i="3898"/>
  <c r="H4" i="3898"/>
  <c r="B10" i="3898"/>
  <c r="H12" i="3898"/>
  <c r="C9" i="3898"/>
  <c r="H9" i="3898"/>
  <c r="C8" i="3898"/>
  <c r="O7" i="3898"/>
  <c r="H8" i="3898"/>
  <c r="C7" i="3898"/>
  <c r="O6" i="3898"/>
  <c r="H6" i="3898"/>
  <c r="B6" i="3898"/>
  <c r="O5" i="3898"/>
  <c r="H5" i="3898"/>
  <c r="B5" i="3898"/>
  <c r="O4" i="3898"/>
  <c r="H3" i="3898"/>
  <c r="O3" i="3898"/>
  <c r="H11" i="3898"/>
  <c r="O2" i="3898"/>
  <c r="H2" i="3898"/>
  <c r="O27" i="3897"/>
  <c r="O23" i="3897"/>
  <c r="O26" i="3897"/>
  <c r="O22" i="3897"/>
  <c r="O25" i="3897"/>
  <c r="O19" i="3897"/>
  <c r="O20" i="3897"/>
  <c r="O24" i="3897"/>
  <c r="O17" i="3897"/>
  <c r="O15" i="3897"/>
  <c r="O16" i="3897"/>
  <c r="H52" i="3897"/>
  <c r="H7" i="3897"/>
  <c r="H17" i="3897"/>
  <c r="H51" i="3897"/>
  <c r="H50" i="3897"/>
  <c r="C48" i="3897"/>
  <c r="H49" i="3897"/>
  <c r="C47" i="3897"/>
  <c r="H48" i="3897"/>
  <c r="C46" i="3897"/>
  <c r="H47" i="3897"/>
  <c r="C45" i="3897"/>
  <c r="H46" i="3897"/>
  <c r="C44" i="3897"/>
  <c r="H45" i="3897"/>
  <c r="C43" i="3897"/>
  <c r="H44" i="3897"/>
  <c r="C42" i="3897"/>
  <c r="H43" i="3897"/>
  <c r="C41" i="3897"/>
  <c r="H42" i="3897"/>
  <c r="C40" i="3897"/>
  <c r="H41" i="3897"/>
  <c r="C39" i="3897"/>
  <c r="H40" i="3897"/>
  <c r="C38" i="3897"/>
  <c r="H39" i="3897"/>
  <c r="C37" i="3897"/>
  <c r="H38" i="3897"/>
  <c r="C36" i="3897"/>
  <c r="H32" i="3897"/>
  <c r="H37" i="3897"/>
  <c r="C34" i="3897"/>
  <c r="H31" i="3897"/>
  <c r="H36" i="3897"/>
  <c r="H26" i="3897"/>
  <c r="H20" i="3897"/>
  <c r="H16" i="3897"/>
  <c r="B29" i="3897"/>
  <c r="H27" i="3897"/>
  <c r="B28" i="3897"/>
  <c r="H8" i="3897"/>
  <c r="B27" i="3897"/>
  <c r="H30" i="3897"/>
  <c r="B26" i="3897"/>
  <c r="H28" i="3897"/>
  <c r="C25" i="3897"/>
  <c r="H12" i="3897"/>
  <c r="C24" i="3897"/>
  <c r="H25" i="3897"/>
  <c r="C23" i="3897"/>
  <c r="H24" i="3897"/>
  <c r="C22" i="3897"/>
  <c r="H14" i="3897"/>
  <c r="C21" i="3897"/>
  <c r="H35" i="3897"/>
  <c r="C20" i="3897"/>
  <c r="H18" i="3897"/>
  <c r="C19" i="3897"/>
  <c r="H34" i="3897"/>
  <c r="C18" i="3897"/>
  <c r="H19" i="3897"/>
  <c r="C17" i="3897"/>
  <c r="H15" i="3897"/>
  <c r="C16" i="3897"/>
  <c r="H23" i="3897"/>
  <c r="C15" i="3897"/>
  <c r="H33" i="3897"/>
  <c r="C14" i="3897"/>
  <c r="H22" i="3897"/>
  <c r="O12" i="3897"/>
  <c r="H29" i="3897"/>
  <c r="B12" i="3897"/>
  <c r="O11" i="3897"/>
  <c r="H21" i="3897"/>
  <c r="B11" i="3897"/>
  <c r="O10" i="3897"/>
  <c r="H3" i="3897"/>
  <c r="B10" i="3897"/>
  <c r="H13" i="3897"/>
  <c r="C9" i="3897"/>
  <c r="H11" i="3897"/>
  <c r="C8" i="3897"/>
  <c r="O7" i="3897"/>
  <c r="H9" i="3897"/>
  <c r="C7" i="3897"/>
  <c r="O6" i="3897"/>
  <c r="H6" i="3897"/>
  <c r="B6" i="3897"/>
  <c r="O5" i="3897"/>
  <c r="H5" i="3897"/>
  <c r="B5" i="3897"/>
  <c r="O4" i="3897"/>
  <c r="H2" i="3897"/>
  <c r="O3" i="3897"/>
  <c r="H10" i="3897"/>
  <c r="O2" i="3897"/>
  <c r="H4" i="3897"/>
  <c r="O15" i="3896"/>
  <c r="O21" i="3896"/>
  <c r="O19" i="3896"/>
  <c r="O20" i="3896"/>
  <c r="O18" i="3896"/>
  <c r="O17" i="3896"/>
  <c r="O16" i="3896"/>
  <c r="H52" i="3896"/>
  <c r="H10" i="3896"/>
  <c r="H16" i="3896"/>
  <c r="H51" i="3896"/>
  <c r="H50" i="3896"/>
  <c r="C48" i="3896"/>
  <c r="H49" i="3896"/>
  <c r="C47" i="3896"/>
  <c r="H48" i="3896"/>
  <c r="C46" i="3896"/>
  <c r="H47" i="3896"/>
  <c r="C45" i="3896"/>
  <c r="H46" i="3896"/>
  <c r="C44" i="3896"/>
  <c r="H45" i="3896"/>
  <c r="C43" i="3896"/>
  <c r="H44" i="3896"/>
  <c r="C42" i="3896"/>
  <c r="H43" i="3896"/>
  <c r="C41" i="3896"/>
  <c r="H42" i="3896"/>
  <c r="C40" i="3896"/>
  <c r="H41" i="3896"/>
  <c r="C39" i="3896"/>
  <c r="H40" i="3896"/>
  <c r="C38" i="3896"/>
  <c r="H39" i="3896"/>
  <c r="C37" i="3896"/>
  <c r="H38" i="3896"/>
  <c r="C36" i="3896"/>
  <c r="H37" i="3896"/>
  <c r="H36" i="3896"/>
  <c r="C34" i="3896"/>
  <c r="H35" i="3896"/>
  <c r="H34" i="3896"/>
  <c r="H33" i="3896"/>
  <c r="H20" i="3896"/>
  <c r="H19" i="3896"/>
  <c r="B29" i="3896"/>
  <c r="H32" i="3896"/>
  <c r="B28" i="3896"/>
  <c r="H7" i="3896"/>
  <c r="B27" i="3896"/>
  <c r="H31" i="3896"/>
  <c r="B26" i="3896"/>
  <c r="H30" i="3896"/>
  <c r="C25" i="3896"/>
  <c r="H18" i="3896"/>
  <c r="C24" i="3896"/>
  <c r="H29" i="3896"/>
  <c r="C23" i="3896"/>
  <c r="H28" i="3896"/>
  <c r="C22" i="3896"/>
  <c r="H15" i="3896"/>
  <c r="C21" i="3896"/>
  <c r="H27" i="3896"/>
  <c r="C20" i="3896"/>
  <c r="H26" i="3896"/>
  <c r="C19" i="3896"/>
  <c r="H25" i="3896"/>
  <c r="C18" i="3896"/>
  <c r="H14" i="3896"/>
  <c r="C17" i="3896"/>
  <c r="H13" i="3896"/>
  <c r="C16" i="3896"/>
  <c r="H24" i="3896"/>
  <c r="C15" i="3896"/>
  <c r="H23" i="3896"/>
  <c r="C14" i="3896"/>
  <c r="H22" i="3896"/>
  <c r="O12" i="3896"/>
  <c r="H21" i="3896"/>
  <c r="B12" i="3896"/>
  <c r="O11" i="3896"/>
  <c r="H17" i="3896"/>
  <c r="B11" i="3896"/>
  <c r="O10" i="3896"/>
  <c r="H3" i="3896"/>
  <c r="B10" i="3896"/>
  <c r="H12" i="3896"/>
  <c r="C9" i="3896"/>
  <c r="H11" i="3896"/>
  <c r="C8" i="3896"/>
  <c r="O7" i="3896"/>
  <c r="H9" i="3896"/>
  <c r="C7" i="3896"/>
  <c r="O6" i="3896"/>
  <c r="H6" i="3896"/>
  <c r="B6" i="3896"/>
  <c r="O5" i="3896"/>
  <c r="H5" i="3896"/>
  <c r="B5" i="3896"/>
  <c r="O4" i="3896"/>
  <c r="H2" i="3896"/>
  <c r="O3" i="3896"/>
  <c r="H8" i="3896"/>
  <c r="O2" i="3896"/>
  <c r="H4" i="3896"/>
  <c r="O27" i="3895"/>
  <c r="O24" i="3895"/>
  <c r="O25" i="3895"/>
  <c r="O26" i="3895"/>
  <c r="O17" i="3895"/>
  <c r="O18" i="3895"/>
  <c r="O22" i="3895"/>
  <c r="O21" i="3895"/>
  <c r="O19" i="3895"/>
  <c r="H52" i="3895"/>
  <c r="H5" i="3895"/>
  <c r="H20" i="3895"/>
  <c r="H51" i="3895"/>
  <c r="H50" i="3895"/>
  <c r="C48" i="3895"/>
  <c r="H49" i="3895"/>
  <c r="C47" i="3895"/>
  <c r="H48" i="3895"/>
  <c r="C46" i="3895"/>
  <c r="H47" i="3895"/>
  <c r="C45" i="3895"/>
  <c r="H46" i="3895"/>
  <c r="C44" i="3895"/>
  <c r="H45" i="3895"/>
  <c r="C43" i="3895"/>
  <c r="H44" i="3895"/>
  <c r="C42" i="3895"/>
  <c r="H43" i="3895"/>
  <c r="C41" i="3895"/>
  <c r="H42" i="3895"/>
  <c r="C40" i="3895"/>
  <c r="H41" i="3895"/>
  <c r="C39" i="3895"/>
  <c r="H40" i="3895"/>
  <c r="C38" i="3895"/>
  <c r="H39" i="3895"/>
  <c r="C37" i="3895"/>
  <c r="H38" i="3895"/>
  <c r="C36" i="3895"/>
  <c r="H37" i="3895"/>
  <c r="H36" i="3895"/>
  <c r="C34" i="3895"/>
  <c r="H32" i="3895"/>
  <c r="H35" i="3895"/>
  <c r="H26" i="3895"/>
  <c r="H24" i="3895"/>
  <c r="H17" i="3895"/>
  <c r="B29" i="3895"/>
  <c r="H28" i="3895"/>
  <c r="B28" i="3895"/>
  <c r="H9" i="3895"/>
  <c r="B27" i="3895"/>
  <c r="H31" i="3895"/>
  <c r="B26" i="3895"/>
  <c r="H27" i="3895"/>
  <c r="C25" i="3895"/>
  <c r="H13" i="3895"/>
  <c r="C24" i="3895"/>
  <c r="H30" i="3895"/>
  <c r="C23" i="3895"/>
  <c r="H25" i="3895"/>
  <c r="C22" i="3895"/>
  <c r="H15" i="3895"/>
  <c r="C21" i="3895"/>
  <c r="H34" i="3895"/>
  <c r="C20" i="3895"/>
  <c r="H16" i="3895"/>
  <c r="C19" i="3895"/>
  <c r="H33" i="3895"/>
  <c r="C18" i="3895"/>
  <c r="H18" i="3895"/>
  <c r="C17" i="3895"/>
  <c r="H14" i="3895"/>
  <c r="C16" i="3895"/>
  <c r="H19" i="3895"/>
  <c r="C15" i="3895"/>
  <c r="H29" i="3895"/>
  <c r="C14" i="3895"/>
  <c r="H23" i="3895"/>
  <c r="O12" i="3895"/>
  <c r="H22" i="3895"/>
  <c r="B12" i="3895"/>
  <c r="O11" i="3895"/>
  <c r="H21" i="3895"/>
  <c r="B11" i="3895"/>
  <c r="O10" i="3895"/>
  <c r="H3" i="3895"/>
  <c r="B10" i="3895"/>
  <c r="H12" i="3895"/>
  <c r="C9" i="3895"/>
  <c r="H10" i="3895"/>
  <c r="C8" i="3895"/>
  <c r="O7" i="3895"/>
  <c r="H8" i="3895"/>
  <c r="C7" i="3895"/>
  <c r="O6" i="3895"/>
  <c r="H6" i="3895"/>
  <c r="B6" i="3895"/>
  <c r="O5" i="3895"/>
  <c r="H7" i="3895"/>
  <c r="B5" i="3895"/>
  <c r="O4" i="3895"/>
  <c r="H2" i="3895"/>
  <c r="O3" i="3895"/>
  <c r="H11" i="3895"/>
  <c r="O2" i="3895"/>
  <c r="H4" i="3895"/>
  <c r="O25" i="3894"/>
  <c r="O20" i="3894"/>
  <c r="O24" i="3894"/>
  <c r="O16" i="3894"/>
  <c r="O22" i="3894"/>
  <c r="O18" i="3894"/>
  <c r="O19" i="3894"/>
  <c r="H52" i="3894"/>
  <c r="H5" i="3894"/>
  <c r="H51" i="3894"/>
  <c r="H50" i="3894"/>
  <c r="H49" i="3894"/>
  <c r="C48" i="3894"/>
  <c r="H48" i="3894"/>
  <c r="C47" i="3894"/>
  <c r="H47" i="3894"/>
  <c r="C46" i="3894"/>
  <c r="H46" i="3894"/>
  <c r="C45" i="3894"/>
  <c r="H45" i="3894"/>
  <c r="C44" i="3894"/>
  <c r="H44" i="3894"/>
  <c r="C43" i="3894"/>
  <c r="H43" i="3894"/>
  <c r="C42" i="3894"/>
  <c r="H42" i="3894"/>
  <c r="C41" i="3894"/>
  <c r="H28" i="3894"/>
  <c r="C40" i="3894"/>
  <c r="H41" i="3894"/>
  <c r="C39" i="3894"/>
  <c r="H40" i="3894"/>
  <c r="C38" i="3894"/>
  <c r="H39" i="3894"/>
  <c r="C37" i="3894"/>
  <c r="H38" i="3894"/>
  <c r="C36" i="3894"/>
  <c r="H37" i="3894"/>
  <c r="H36" i="3894"/>
  <c r="C34" i="3894"/>
  <c r="H35" i="3894"/>
  <c r="H34" i="3894"/>
  <c r="H24" i="3894"/>
  <c r="H33" i="3894"/>
  <c r="H18" i="3894"/>
  <c r="B29" i="3894"/>
  <c r="H27" i="3894"/>
  <c r="B28" i="3894"/>
  <c r="H12" i="3894"/>
  <c r="B27" i="3894"/>
  <c r="H23" i="3894"/>
  <c r="B26" i="3894"/>
  <c r="H22" i="3894"/>
  <c r="C25" i="3894"/>
  <c r="H15" i="3894"/>
  <c r="C24" i="3894"/>
  <c r="H32" i="3894"/>
  <c r="C23" i="3894"/>
  <c r="H26" i="3894"/>
  <c r="C22" i="3894"/>
  <c r="H13" i="3894"/>
  <c r="C21" i="3894"/>
  <c r="H31" i="3894"/>
  <c r="C20" i="3894"/>
  <c r="H14" i="3894"/>
  <c r="C19" i="3894"/>
  <c r="H30" i="3894"/>
  <c r="C18" i="3894"/>
  <c r="H17" i="3894"/>
  <c r="C17" i="3894"/>
  <c r="H16" i="3894"/>
  <c r="C16" i="3894"/>
  <c r="H21" i="3894"/>
  <c r="C15" i="3894"/>
  <c r="H29" i="3894"/>
  <c r="C14" i="3894"/>
  <c r="H20" i="3894"/>
  <c r="O12" i="3894"/>
  <c r="H19" i="3894"/>
  <c r="B12" i="3894"/>
  <c r="O11" i="3894"/>
  <c r="H25" i="3894"/>
  <c r="B11" i="3894"/>
  <c r="O10" i="3894"/>
  <c r="H3" i="3894"/>
  <c r="B10" i="3894"/>
  <c r="H10" i="3894"/>
  <c r="C9" i="3894"/>
  <c r="H11" i="3894"/>
  <c r="C8" i="3894"/>
  <c r="O7" i="3894"/>
  <c r="H8" i="3894"/>
  <c r="C7" i="3894"/>
  <c r="O6" i="3894"/>
  <c r="H6" i="3894"/>
  <c r="B6" i="3894"/>
  <c r="O5" i="3894"/>
  <c r="H7" i="3894"/>
  <c r="B5" i="3894"/>
  <c r="O4" i="3894"/>
  <c r="H2" i="3894"/>
  <c r="O3" i="3894"/>
  <c r="H9" i="3894"/>
  <c r="O2" i="3894"/>
  <c r="H4" i="3894"/>
  <c r="O19" i="3893"/>
  <c r="O18" i="3893"/>
  <c r="O17" i="3893"/>
  <c r="O16" i="3893"/>
  <c r="O15" i="3893"/>
  <c r="H52" i="3893"/>
  <c r="H51" i="3893"/>
  <c r="H50" i="3893"/>
  <c r="H49" i="3893"/>
  <c r="H48" i="3893"/>
  <c r="C48" i="3893"/>
  <c r="H47" i="3893"/>
  <c r="C47" i="3893"/>
  <c r="H46" i="3893"/>
  <c r="C46" i="3893"/>
  <c r="H45" i="3893"/>
  <c r="C45" i="3893"/>
  <c r="H44" i="3893"/>
  <c r="C44" i="3893"/>
  <c r="H43" i="3893"/>
  <c r="C43" i="3893"/>
  <c r="H42" i="3893"/>
  <c r="C42" i="3893"/>
  <c r="H41" i="3893"/>
  <c r="C41" i="3893"/>
  <c r="H40" i="3893"/>
  <c r="C40" i="3893"/>
  <c r="H39" i="3893"/>
  <c r="C39" i="3893"/>
  <c r="H38" i="3893"/>
  <c r="C38" i="3893"/>
  <c r="H37" i="3893"/>
  <c r="C37" i="3893"/>
  <c r="H36" i="3893"/>
  <c r="C36" i="3893"/>
  <c r="H35" i="3893"/>
  <c r="H34" i="3893"/>
  <c r="C34" i="3893"/>
  <c r="H33" i="3893"/>
  <c r="H32" i="3893"/>
  <c r="H31" i="3893"/>
  <c r="H30" i="3893"/>
  <c r="H29" i="3893"/>
  <c r="B29" i="3893"/>
  <c r="H28" i="3893"/>
  <c r="B28" i="3893"/>
  <c r="H27" i="3893"/>
  <c r="B27" i="3893"/>
  <c r="H26" i="3893"/>
  <c r="B26" i="3893"/>
  <c r="H25" i="3893"/>
  <c r="C25" i="3893"/>
  <c r="H10" i="3893"/>
  <c r="C24" i="3893"/>
  <c r="H24" i="3893"/>
  <c r="C23" i="3893"/>
  <c r="H23" i="3893"/>
  <c r="C22" i="3893"/>
  <c r="H22" i="3893"/>
  <c r="C21" i="3893"/>
  <c r="H21" i="3893"/>
  <c r="C20" i="3893"/>
  <c r="H20" i="3893"/>
  <c r="C19" i="3893"/>
  <c r="H19" i="3893"/>
  <c r="C18" i="3893"/>
  <c r="H7" i="3893"/>
  <c r="C17" i="3893"/>
  <c r="H18" i="3893"/>
  <c r="C16" i="3893"/>
  <c r="H17" i="3893"/>
  <c r="C15" i="3893"/>
  <c r="H16" i="3893"/>
  <c r="C14" i="3893"/>
  <c r="H15" i="3893"/>
  <c r="O12" i="3893"/>
  <c r="H14" i="3893"/>
  <c r="B12" i="3893"/>
  <c r="O11" i="3893"/>
  <c r="H13" i="3893"/>
  <c r="B11" i="3893"/>
  <c r="O10" i="3893"/>
  <c r="H4" i="3893"/>
  <c r="B10" i="3893"/>
  <c r="H12" i="3893"/>
  <c r="C9" i="3893"/>
  <c r="H11" i="3893"/>
  <c r="C8" i="3893"/>
  <c r="O7" i="3893"/>
  <c r="H9" i="3893"/>
  <c r="C7" i="3893"/>
  <c r="O6" i="3893"/>
  <c r="H5" i="3893"/>
  <c r="B6" i="3893"/>
  <c r="O5" i="3893"/>
  <c r="H6" i="3893"/>
  <c r="B5" i="3893"/>
  <c r="O4" i="3893"/>
  <c r="H8" i="3893"/>
  <c r="O3" i="3893"/>
  <c r="H3" i="3893"/>
  <c r="O2" i="3893"/>
  <c r="H2" i="3893"/>
  <c r="O23" i="3892"/>
  <c r="O25" i="3892"/>
  <c r="O22" i="3892"/>
  <c r="O18" i="3892"/>
  <c r="O15" i="3892"/>
  <c r="O20" i="3892"/>
  <c r="O24" i="3892"/>
  <c r="O17" i="3892"/>
  <c r="O21" i="3892"/>
  <c r="O16" i="3892"/>
  <c r="O26" i="3892"/>
  <c r="H52" i="3892"/>
  <c r="H7" i="3892"/>
  <c r="H51" i="3892"/>
  <c r="H50" i="3892"/>
  <c r="H49" i="3892"/>
  <c r="C48" i="3892"/>
  <c r="H48" i="3892"/>
  <c r="C47" i="3892"/>
  <c r="H47" i="3892"/>
  <c r="C46" i="3892"/>
  <c r="H46" i="3892"/>
  <c r="C45" i="3892"/>
  <c r="H45" i="3892"/>
  <c r="C44" i="3892"/>
  <c r="H44" i="3892"/>
  <c r="C43" i="3892"/>
  <c r="H43" i="3892"/>
  <c r="C42" i="3892"/>
  <c r="H42" i="3892"/>
  <c r="C41" i="3892"/>
  <c r="H41" i="3892"/>
  <c r="C40" i="3892"/>
  <c r="H40" i="3892"/>
  <c r="C39" i="3892"/>
  <c r="H39" i="3892"/>
  <c r="C38" i="3892"/>
  <c r="H38" i="3892"/>
  <c r="C37" i="3892"/>
  <c r="H37" i="3892"/>
  <c r="C36" i="3892"/>
  <c r="H23" i="3892"/>
  <c r="H36" i="3892"/>
  <c r="C34" i="3892"/>
  <c r="H35" i="3892"/>
  <c r="H34" i="3892"/>
  <c r="H22" i="3892"/>
  <c r="H33" i="3892"/>
  <c r="H17" i="3892"/>
  <c r="B29" i="3892"/>
  <c r="H32" i="3892"/>
  <c r="B28" i="3892"/>
  <c r="H11" i="3892"/>
  <c r="B27" i="3892"/>
  <c r="H31" i="3892"/>
  <c r="B26" i="3892"/>
  <c r="H30" i="3892"/>
  <c r="C25" i="3892"/>
  <c r="H16" i="3892"/>
  <c r="C24" i="3892"/>
  <c r="H29" i="3892"/>
  <c r="C23" i="3892"/>
  <c r="H28" i="3892"/>
  <c r="C22" i="3892"/>
  <c r="H9" i="3892"/>
  <c r="C21" i="3892"/>
  <c r="H27" i="3892"/>
  <c r="C20" i="3892"/>
  <c r="H14" i="3892"/>
  <c r="C19" i="3892"/>
  <c r="H26" i="3892"/>
  <c r="C18" i="3892"/>
  <c r="H15" i="3892"/>
  <c r="C17" i="3892"/>
  <c r="H21" i="3892"/>
  <c r="C16" i="3892"/>
  <c r="H25" i="3892"/>
  <c r="C15" i="3892"/>
  <c r="H24" i="3892"/>
  <c r="C14" i="3892"/>
  <c r="H20" i="3892"/>
  <c r="O12" i="3892"/>
  <c r="H19" i="3892"/>
  <c r="B12" i="3892"/>
  <c r="O11" i="3892"/>
  <c r="H18" i="3892"/>
  <c r="B11" i="3892"/>
  <c r="O10" i="3892"/>
  <c r="H3" i="3892"/>
  <c r="B10" i="3892"/>
  <c r="H13" i="3892"/>
  <c r="C9" i="3892"/>
  <c r="H10" i="3892"/>
  <c r="C8" i="3892"/>
  <c r="O7" i="3892"/>
  <c r="H8" i="3892"/>
  <c r="C7" i="3892"/>
  <c r="O6" i="3892"/>
  <c r="H5" i="3892"/>
  <c r="B6" i="3892"/>
  <c r="O5" i="3892"/>
  <c r="H6" i="3892"/>
  <c r="B5" i="3892"/>
  <c r="O4" i="3892"/>
  <c r="H2" i="3892"/>
  <c r="O3" i="3892"/>
  <c r="H12" i="3892"/>
  <c r="O2" i="3892"/>
  <c r="H4" i="3892"/>
  <c r="O26" i="3891"/>
  <c r="O22" i="3891"/>
  <c r="O23" i="3891"/>
  <c r="O21" i="3891"/>
  <c r="O24" i="3891"/>
  <c r="O20" i="3891"/>
  <c r="O18" i="3891"/>
  <c r="O17" i="3891"/>
  <c r="O19" i="3891"/>
  <c r="O16" i="3891"/>
  <c r="H52" i="3891"/>
  <c r="H7" i="3891"/>
  <c r="H19" i="3891"/>
  <c r="H51" i="3891"/>
  <c r="H50" i="3891"/>
  <c r="C48" i="3891"/>
  <c r="H49" i="3891"/>
  <c r="C47" i="3891"/>
  <c r="H48" i="3891"/>
  <c r="C46" i="3891"/>
  <c r="H47" i="3891"/>
  <c r="C45" i="3891"/>
  <c r="H46" i="3891"/>
  <c r="C44" i="3891"/>
  <c r="H45" i="3891"/>
  <c r="C43" i="3891"/>
  <c r="H44" i="3891"/>
  <c r="C42" i="3891"/>
  <c r="H43" i="3891"/>
  <c r="C41" i="3891"/>
  <c r="H42" i="3891"/>
  <c r="C40" i="3891"/>
  <c r="H41" i="3891"/>
  <c r="C39" i="3891"/>
  <c r="H40" i="3891"/>
  <c r="C38" i="3891"/>
  <c r="H39" i="3891"/>
  <c r="C37" i="3891"/>
  <c r="H38" i="3891"/>
  <c r="C36" i="3891"/>
  <c r="H37" i="3891"/>
  <c r="H36" i="3891"/>
  <c r="C34" i="3891"/>
  <c r="H31" i="3891"/>
  <c r="H35" i="3891"/>
  <c r="H30" i="3891"/>
  <c r="H22" i="3891"/>
  <c r="H17" i="3891"/>
  <c r="B29" i="3891"/>
  <c r="H34" i="3891"/>
  <c r="B28" i="3891"/>
  <c r="H10" i="3891"/>
  <c r="B27" i="3891"/>
  <c r="H26" i="3891"/>
  <c r="B26" i="3891"/>
  <c r="H29" i="3891"/>
  <c r="C25" i="3891"/>
  <c r="H12" i="3891"/>
  <c r="C24" i="3891"/>
  <c r="H25" i="3891"/>
  <c r="C23" i="3891"/>
  <c r="H24" i="3891"/>
  <c r="C22" i="3891"/>
  <c r="H13" i="3891"/>
  <c r="C21" i="3891"/>
  <c r="H33" i="3891"/>
  <c r="C20" i="3891"/>
  <c r="H15" i="3891"/>
  <c r="C19" i="3891"/>
  <c r="H28" i="3891"/>
  <c r="C18" i="3891"/>
  <c r="H18" i="3891"/>
  <c r="C17" i="3891"/>
  <c r="H16" i="3891"/>
  <c r="C16" i="3891"/>
  <c r="H27" i="3891"/>
  <c r="C15" i="3891"/>
  <c r="H32" i="3891"/>
  <c r="C14" i="3891"/>
  <c r="H20" i="3891"/>
  <c r="O12" i="3891"/>
  <c r="H23" i="3891"/>
  <c r="B12" i="3891"/>
  <c r="O11" i="3891"/>
  <c r="H21" i="3891"/>
  <c r="B11" i="3891"/>
  <c r="O10" i="3891"/>
  <c r="H4" i="3891"/>
  <c r="B10" i="3891"/>
  <c r="H14" i="3891"/>
  <c r="C9" i="3891"/>
  <c r="H11" i="3891"/>
  <c r="C8" i="3891"/>
  <c r="O7" i="3891"/>
  <c r="H8" i="3891"/>
  <c r="C7" i="3891"/>
  <c r="O6" i="3891"/>
  <c r="H5" i="3891"/>
  <c r="B6" i="3891"/>
  <c r="O5" i="3891"/>
  <c r="H6" i="3891"/>
  <c r="B5" i="3891"/>
  <c r="O4" i="3891"/>
  <c r="H2" i="3891"/>
  <c r="O3" i="3891"/>
  <c r="H9" i="3891"/>
  <c r="O2" i="3891"/>
  <c r="H3" i="3891"/>
  <c r="O19" i="3890"/>
  <c r="O22" i="3890"/>
  <c r="O20" i="3890"/>
  <c r="O15" i="3890"/>
  <c r="H52" i="3890"/>
  <c r="H7" i="3890"/>
  <c r="H51" i="3890"/>
  <c r="H50" i="3890"/>
  <c r="H49" i="3890"/>
  <c r="C48" i="3890"/>
  <c r="H48" i="3890"/>
  <c r="C47" i="3890"/>
  <c r="H47" i="3890"/>
  <c r="C46" i="3890"/>
  <c r="H46" i="3890"/>
  <c r="C45" i="3890"/>
  <c r="H45" i="3890"/>
  <c r="C44" i="3890"/>
  <c r="H44" i="3890"/>
  <c r="C43" i="3890"/>
  <c r="H43" i="3890"/>
  <c r="C42" i="3890"/>
  <c r="H42" i="3890"/>
  <c r="C41" i="3890"/>
  <c r="H41" i="3890"/>
  <c r="C40" i="3890"/>
  <c r="H40" i="3890"/>
  <c r="C39" i="3890"/>
  <c r="H39" i="3890"/>
  <c r="C38" i="3890"/>
  <c r="H38" i="3890"/>
  <c r="C37" i="3890"/>
  <c r="H37" i="3890"/>
  <c r="C36" i="3890"/>
  <c r="H36" i="3890"/>
  <c r="H35" i="3890"/>
  <c r="C34" i="3890"/>
  <c r="H34" i="3890"/>
  <c r="H33" i="3890"/>
  <c r="H32" i="3890"/>
  <c r="H31" i="3890"/>
  <c r="H30" i="3890"/>
  <c r="B29" i="3890"/>
  <c r="H29" i="3890"/>
  <c r="B28" i="3890"/>
  <c r="H10" i="3890"/>
  <c r="B27" i="3890"/>
  <c r="H28" i="3890"/>
  <c r="B26" i="3890"/>
  <c r="H27" i="3890"/>
  <c r="C25" i="3890"/>
  <c r="H17" i="3890"/>
  <c r="C24" i="3890"/>
  <c r="H16" i="3890"/>
  <c r="C23" i="3890"/>
  <c r="H26" i="3890"/>
  <c r="C22" i="3890"/>
  <c r="H12" i="3890"/>
  <c r="C21" i="3890"/>
  <c r="H25" i="3890"/>
  <c r="C20" i="3890"/>
  <c r="H24" i="3890"/>
  <c r="C19" i="3890"/>
  <c r="H23" i="3890"/>
  <c r="C18" i="3890"/>
  <c r="H15" i="3890"/>
  <c r="C17" i="3890"/>
  <c r="H22" i="3890"/>
  <c r="C16" i="3890"/>
  <c r="H18" i="3890"/>
  <c r="C15" i="3890"/>
  <c r="H21" i="3890"/>
  <c r="C14" i="3890"/>
  <c r="H14" i="3890"/>
  <c r="O12" i="3890"/>
  <c r="H20" i="3890"/>
  <c r="B12" i="3890"/>
  <c r="O11" i="3890"/>
  <c r="H19" i="3890"/>
  <c r="B11" i="3890"/>
  <c r="O10" i="3890"/>
  <c r="H4" i="3890"/>
  <c r="B10" i="3890"/>
  <c r="H13" i="3890"/>
  <c r="C9" i="3890"/>
  <c r="H11" i="3890"/>
  <c r="C8" i="3890"/>
  <c r="O7" i="3890"/>
  <c r="H9" i="3890"/>
  <c r="C7" i="3890"/>
  <c r="O6" i="3890"/>
  <c r="H6" i="3890"/>
  <c r="B6" i="3890"/>
  <c r="O5" i="3890"/>
  <c r="H5" i="3890"/>
  <c r="B5" i="3890"/>
  <c r="O4" i="3890"/>
  <c r="H2" i="3890"/>
  <c r="O3" i="3890"/>
  <c r="H8" i="3890"/>
  <c r="O2" i="3890"/>
  <c r="H3" i="3890"/>
  <c r="O17" i="3889"/>
  <c r="O16" i="3889"/>
  <c r="O15" i="3889"/>
  <c r="H52" i="3889"/>
  <c r="H51" i="3889"/>
  <c r="H50" i="3889"/>
  <c r="H49" i="3889"/>
  <c r="H48" i="3889"/>
  <c r="C48" i="3889"/>
  <c r="H47" i="3889"/>
  <c r="C47" i="3889"/>
  <c r="H46" i="3889"/>
  <c r="C46" i="3889"/>
  <c r="H45" i="3889"/>
  <c r="C45" i="3889"/>
  <c r="H44" i="3889"/>
  <c r="C44" i="3889"/>
  <c r="H43" i="3889"/>
  <c r="C43" i="3889"/>
  <c r="H42" i="3889"/>
  <c r="C42" i="3889"/>
  <c r="H41" i="3889"/>
  <c r="C41" i="3889"/>
  <c r="H40" i="3889"/>
  <c r="C40" i="3889"/>
  <c r="H39" i="3889"/>
  <c r="C39" i="3889"/>
  <c r="H38" i="3889"/>
  <c r="C38" i="3889"/>
  <c r="H37" i="3889"/>
  <c r="C37" i="3889"/>
  <c r="H36" i="3889"/>
  <c r="C36" i="3889"/>
  <c r="H35" i="3889"/>
  <c r="H34" i="3889"/>
  <c r="C34" i="3889"/>
  <c r="H33" i="3889"/>
  <c r="H32" i="3889"/>
  <c r="H31" i="3889"/>
  <c r="H30" i="3889"/>
  <c r="H29" i="3889"/>
  <c r="B29" i="3889"/>
  <c r="H28" i="3889"/>
  <c r="B28" i="3889"/>
  <c r="H27" i="3889"/>
  <c r="B27" i="3889"/>
  <c r="H26" i="3889"/>
  <c r="B26" i="3889"/>
  <c r="H25" i="3889"/>
  <c r="C25" i="3889"/>
  <c r="H24" i="3889"/>
  <c r="C24" i="3889"/>
  <c r="H23" i="3889"/>
  <c r="C23" i="3889"/>
  <c r="H22" i="3889"/>
  <c r="C22" i="3889"/>
  <c r="H21" i="3889"/>
  <c r="C21" i="3889"/>
  <c r="H20" i="3889"/>
  <c r="C20" i="3889"/>
  <c r="H19" i="3889"/>
  <c r="C19" i="3889"/>
  <c r="H18" i="3889"/>
  <c r="C18" i="3889"/>
  <c r="H17" i="3889"/>
  <c r="C17" i="3889"/>
  <c r="H16" i="3889"/>
  <c r="C16" i="3889"/>
  <c r="H15" i="3889"/>
  <c r="C15" i="3889"/>
  <c r="H14" i="3889"/>
  <c r="C14" i="3889"/>
  <c r="H13" i="3889"/>
  <c r="O12" i="3889"/>
  <c r="H12" i="3889"/>
  <c r="B12" i="3889"/>
  <c r="O11" i="3889"/>
  <c r="H11" i="3889"/>
  <c r="B11" i="3889"/>
  <c r="O10" i="3889"/>
  <c r="H10" i="3889"/>
  <c r="B10" i="3889"/>
  <c r="H9" i="3889"/>
  <c r="C9" i="3889"/>
  <c r="H8" i="3889"/>
  <c r="C8" i="3889"/>
  <c r="O7" i="3889"/>
  <c r="H7" i="3889"/>
  <c r="C7" i="3889"/>
  <c r="O6" i="3889"/>
  <c r="H6" i="3889"/>
  <c r="B6" i="3889"/>
  <c r="O5" i="3889"/>
  <c r="H5" i="3889"/>
  <c r="B5" i="3889"/>
  <c r="O4" i="3889"/>
  <c r="H4" i="3889"/>
  <c r="O3" i="3889"/>
  <c r="H3" i="3889"/>
  <c r="O2" i="3889"/>
  <c r="H2" i="3889"/>
  <c r="O26" i="3888"/>
  <c r="O25" i="3888"/>
  <c r="O18" i="3888"/>
  <c r="O28" i="3888"/>
  <c r="O24" i="3888"/>
  <c r="O27" i="3888"/>
  <c r="O22" i="3888"/>
  <c r="O21" i="3888"/>
  <c r="O23" i="3888"/>
  <c r="O16" i="3888"/>
  <c r="O15" i="3888"/>
  <c r="H52" i="3888"/>
  <c r="H7" i="3888"/>
  <c r="H16" i="3888"/>
  <c r="H51" i="3888"/>
  <c r="H50" i="3888"/>
  <c r="C48" i="3888"/>
  <c r="H49" i="3888"/>
  <c r="C47" i="3888"/>
  <c r="H48" i="3888"/>
  <c r="C46" i="3888"/>
  <c r="H47" i="3888"/>
  <c r="C45" i="3888"/>
  <c r="H32" i="3888"/>
  <c r="C44" i="3888"/>
  <c r="H46" i="3888"/>
  <c r="C43" i="3888"/>
  <c r="H45" i="3888"/>
  <c r="C42" i="3888"/>
  <c r="H44" i="3888"/>
  <c r="C41" i="3888"/>
  <c r="H43" i="3888"/>
  <c r="C40" i="3888"/>
  <c r="H42" i="3888"/>
  <c r="C39" i="3888"/>
  <c r="H41" i="3888"/>
  <c r="C38" i="3888"/>
  <c r="H40" i="3888"/>
  <c r="C37" i="3888"/>
  <c r="H39" i="3888"/>
  <c r="C36" i="3888"/>
  <c r="H38" i="3888"/>
  <c r="H37" i="3888"/>
  <c r="C34" i="3888"/>
  <c r="H28" i="3888"/>
  <c r="H36" i="3888"/>
  <c r="H31" i="3888"/>
  <c r="H20" i="3888"/>
  <c r="H18" i="3888"/>
  <c r="B29" i="3888"/>
  <c r="H27" i="3888"/>
  <c r="B28" i="3888"/>
  <c r="H8" i="3888"/>
  <c r="B27" i="3888"/>
  <c r="H30" i="3888"/>
  <c r="B26" i="3888"/>
  <c r="H26" i="3888"/>
  <c r="C25" i="3888"/>
  <c r="H12" i="3888"/>
  <c r="C24" i="3888"/>
  <c r="H21" i="3888"/>
  <c r="C23" i="3888"/>
  <c r="H29" i="3888"/>
  <c r="C22" i="3888"/>
  <c r="H14" i="3888"/>
  <c r="C21" i="3888"/>
  <c r="H35" i="3888"/>
  <c r="C20" i="3888"/>
  <c r="H17" i="3888"/>
  <c r="C19" i="3888"/>
  <c r="H34" i="3888"/>
  <c r="C18" i="3888"/>
  <c r="H19" i="3888"/>
  <c r="C17" i="3888"/>
  <c r="H15" i="3888"/>
  <c r="C16" i="3888"/>
  <c r="H22" i="3888"/>
  <c r="C15" i="3888"/>
  <c r="H33" i="3888"/>
  <c r="C14" i="3888"/>
  <c r="H23" i="3888"/>
  <c r="O12" i="3888"/>
  <c r="H25" i="3888"/>
  <c r="B12" i="3888"/>
  <c r="O11" i="3888"/>
  <c r="H24" i="3888"/>
  <c r="B11" i="3888"/>
  <c r="O10" i="3888"/>
  <c r="H3" i="3888"/>
  <c r="B10" i="3888"/>
  <c r="H13" i="3888"/>
  <c r="C9" i="3888"/>
  <c r="H11" i="3888"/>
  <c r="C8" i="3888"/>
  <c r="O7" i="3888"/>
  <c r="H9" i="3888"/>
  <c r="C7" i="3888"/>
  <c r="O6" i="3888"/>
  <c r="H5" i="3888"/>
  <c r="B6" i="3888"/>
  <c r="O5" i="3888"/>
  <c r="H6" i="3888"/>
  <c r="B5" i="3888"/>
  <c r="O4" i="3888"/>
  <c r="H2" i="3888"/>
  <c r="O3" i="3888"/>
  <c r="H10" i="3888"/>
  <c r="O2" i="3888"/>
  <c r="H4" i="3888"/>
  <c r="O31" i="3887"/>
  <c r="O30" i="3887"/>
  <c r="O27" i="3887"/>
  <c r="O24" i="3887"/>
  <c r="O29" i="3887"/>
  <c r="O28" i="3887"/>
  <c r="O23" i="3887"/>
  <c r="O21" i="3887"/>
  <c r="O22" i="3887"/>
  <c r="O25" i="3887"/>
  <c r="O20" i="3887"/>
  <c r="O16" i="3887"/>
  <c r="O15" i="3887"/>
  <c r="H52" i="3887"/>
  <c r="H6" i="3887"/>
  <c r="H19" i="3887"/>
  <c r="H51" i="3887"/>
  <c r="H50" i="3887"/>
  <c r="C48" i="3887"/>
  <c r="H49" i="3887"/>
  <c r="C47" i="3887"/>
  <c r="H48" i="3887"/>
  <c r="C46" i="3887"/>
  <c r="H47" i="3887"/>
  <c r="C45" i="3887"/>
  <c r="H32" i="3887"/>
  <c r="C44" i="3887"/>
  <c r="H46" i="3887"/>
  <c r="C43" i="3887"/>
  <c r="H45" i="3887"/>
  <c r="C42" i="3887"/>
  <c r="H44" i="3887"/>
  <c r="C41" i="3887"/>
  <c r="H37" i="3887"/>
  <c r="C40" i="3887"/>
  <c r="H34" i="3887"/>
  <c r="C39" i="3887"/>
  <c r="H43" i="3887"/>
  <c r="C38" i="3887"/>
  <c r="H42" i="3887"/>
  <c r="C37" i="3887"/>
  <c r="H41" i="3887"/>
  <c r="C36" i="3887"/>
  <c r="H33" i="3887"/>
  <c r="H40" i="3887"/>
  <c r="C34" i="3887"/>
  <c r="H31" i="3887"/>
  <c r="H39" i="3887"/>
  <c r="H27" i="3887"/>
  <c r="H21" i="3887"/>
  <c r="H17" i="3887"/>
  <c r="B29" i="3887"/>
  <c r="H29" i="3887"/>
  <c r="B28" i="3887"/>
  <c r="H9" i="3887"/>
  <c r="B27" i="3887"/>
  <c r="H30" i="3887"/>
  <c r="B26" i="3887"/>
  <c r="H28" i="3887"/>
  <c r="C25" i="3887"/>
  <c r="H13" i="3887"/>
  <c r="C24" i="3887"/>
  <c r="H24" i="3887"/>
  <c r="C23" i="3887"/>
  <c r="H26" i="3887"/>
  <c r="C22" i="3887"/>
  <c r="H14" i="3887"/>
  <c r="C21" i="3887"/>
  <c r="H38" i="3887"/>
  <c r="C20" i="3887"/>
  <c r="H16" i="3887"/>
  <c r="C19" i="3887"/>
  <c r="H36" i="3887"/>
  <c r="C18" i="3887"/>
  <c r="H18" i="3887"/>
  <c r="C17" i="3887"/>
  <c r="H15" i="3887"/>
  <c r="C16" i="3887"/>
  <c r="H23" i="3887"/>
  <c r="C15" i="3887"/>
  <c r="H35" i="3887"/>
  <c r="C14" i="3887"/>
  <c r="H20" i="3887"/>
  <c r="O12" i="3887"/>
  <c r="H25" i="3887"/>
  <c r="B12" i="3887"/>
  <c r="O11" i="3887"/>
  <c r="H22" i="3887"/>
  <c r="B11" i="3887"/>
  <c r="O10" i="3887"/>
  <c r="H3" i="3887"/>
  <c r="B10" i="3887"/>
  <c r="H12" i="3887"/>
  <c r="C9" i="3887"/>
  <c r="H11" i="3887"/>
  <c r="C8" i="3887"/>
  <c r="O7" i="3887"/>
  <c r="H8" i="3887"/>
  <c r="C7" i="3887"/>
  <c r="O6" i="3887"/>
  <c r="H5" i="3887"/>
  <c r="B6" i="3887"/>
  <c r="O5" i="3887"/>
  <c r="H7" i="3887"/>
  <c r="B5" i="3887"/>
  <c r="O4" i="3887"/>
  <c r="H2" i="3887"/>
  <c r="O3" i="3887"/>
  <c r="H10" i="3887"/>
  <c r="O2" i="3887"/>
  <c r="H4" i="3887"/>
  <c r="B13" i="3891" l="1"/>
  <c r="B13" i="3898"/>
  <c r="B13" i="3897"/>
  <c r="B13" i="3895"/>
  <c r="B13" i="3888"/>
  <c r="B13" i="3887"/>
  <c r="B13" i="3900"/>
  <c r="B13" i="3899"/>
  <c r="B13" i="3896"/>
  <c r="B13" i="3894"/>
  <c r="B13" i="3893"/>
  <c r="B13" i="3892"/>
  <c r="B13" i="3890"/>
  <c r="B13" i="3889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<sst xmlns="http://schemas.openxmlformats.org/spreadsheetml/2006/main" count="4364" uniqueCount="207">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</sst>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全体!$K$2:$K$3161</c:f>
              <c:numCache>
                <c:formatCode>General</c:formatCode>
                <c:ptCount val="3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</c:numCache>
            </c:numRef>
          </c:xVal>
          <c:yVal>
            <c:numRef>
              <c:f>全体!$L$2:$L$3161</c:f>
              <c:numCache>
                <c:formatCode>\+0.0;\-0.0;\±0</c:formatCode>
                <c:ptCount val="316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6-49F7-870A-0DB2B5FD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-21.05263157894737</c:v>
                </c:pt>
                <c:pt idx="1">
                  <c:v>-0.32647730982696704</c:v>
                </c:pt>
                <c:pt idx="2">
                  <c:v>6.25</c:v>
                </c:pt>
                <c:pt idx="3">
                  <c:v>1.8875047187617968</c:v>
                </c:pt>
                <c:pt idx="4">
                  <c:v>0</c:v>
                </c:pt>
                <c:pt idx="5">
                  <c:v>21.116138763197586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9-4883-87A8-8489226D2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502</c:v>
                </c:pt>
                <c:pt idx="1">
                  <c:v>1103</c:v>
                </c:pt>
                <c:pt idx="2">
                  <c:v>1361</c:v>
                </c:pt>
                <c:pt idx="3">
                  <c:v>1343</c:v>
                </c:pt>
                <c:pt idx="4">
                  <c:v>1120</c:v>
                </c:pt>
                <c:pt idx="5">
                  <c:v>726</c:v>
                </c:pt>
                <c:pt idx="6">
                  <c:v>433</c:v>
                </c:pt>
                <c:pt idx="7">
                  <c:v>236</c:v>
                </c:pt>
                <c:pt idx="8">
                  <c:v>136</c:v>
                </c:pt>
                <c:pt idx="9">
                  <c:v>66</c:v>
                </c:pt>
                <c:pt idx="10">
                  <c:v>37</c:v>
                </c:pt>
                <c:pt idx="11">
                  <c:v>16</c:v>
                </c:pt>
                <c:pt idx="12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8F-439B-A799-85FCCB404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だいち!$K$2:$K$730</c:f>
              <c:numCache>
                <c:formatCode>General</c:formatCode>
                <c:ptCount val="7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</c:numCache>
            </c:numRef>
          </c:xVal>
          <c:yVal>
            <c:numRef>
              <c:f>だいち!$L$2:$L$730</c:f>
              <c:numCache>
                <c:formatCode>\+0.0;\-0.0;\±0</c:formatCode>
                <c:ptCount val="72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2-4B87-913D-27F9D19DE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1311.4958448753462</c:v>
                </c:pt>
                <c:pt idx="1">
                  <c:v>1431.534090909091</c:v>
                </c:pt>
                <c:pt idx="2">
                  <c:v>1414.1579731743666</c:v>
                </c:pt>
                <c:pt idx="3">
                  <c:v>1618.3441558441559</c:v>
                </c:pt>
                <c:pt idx="4">
                  <c:v>1262.9294755877033</c:v>
                </c:pt>
                <c:pt idx="5">
                  <c:v>1453.5087719298247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B-45B0-9754-DF2B84340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128</c:v>
                </c:pt>
                <c:pt idx="1">
                  <c:v>266</c:v>
                </c:pt>
                <c:pt idx="2">
                  <c:v>355</c:v>
                </c:pt>
                <c:pt idx="3">
                  <c:v>364</c:v>
                </c:pt>
                <c:pt idx="4">
                  <c:v>273</c:v>
                </c:pt>
                <c:pt idx="5">
                  <c:v>197</c:v>
                </c:pt>
                <c:pt idx="6">
                  <c:v>122</c:v>
                </c:pt>
                <c:pt idx="7">
                  <c:v>55</c:v>
                </c:pt>
                <c:pt idx="8">
                  <c:v>36</c:v>
                </c:pt>
                <c:pt idx="9">
                  <c:v>16</c:v>
                </c:pt>
                <c:pt idx="10">
                  <c:v>9</c:v>
                </c:pt>
                <c:pt idx="11">
                  <c:v>3</c:v>
                </c:pt>
                <c:pt idx="1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6-42F4-BE39-93A2B779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7-43D0-B890-F72B2ECD6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8-4A15-845B-6FF86488E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F-4CE4-9F23-C3254C984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ともき!$L$2:$L$30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88-4328-9B20-8F8CB32FA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-3022.2222222222222</c:v>
                </c:pt>
                <c:pt idx="1">
                  <c:v>-1333.3333333333333</c:v>
                </c:pt>
                <c:pt idx="2">
                  <c:v>-3629.6296296296296</c:v>
                </c:pt>
                <c:pt idx="3">
                  <c:v>1265.2173913043478</c:v>
                </c:pt>
                <c:pt idx="4">
                  <c:v>1328.5714285714287</c:v>
                </c:pt>
                <c:pt idx="5">
                  <c:v>-688.88888888888891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9-4418-AC58-9671E04E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8</c:v>
                </c:pt>
                <c:pt idx="3">
                  <c:v>9</c:v>
                </c:pt>
                <c:pt idx="4">
                  <c:v>13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2-483E-9B85-F896638B7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りくと!$K$2:$K$436</c:f>
              <c:numCache>
                <c:formatCode>General</c:formatCode>
                <c:ptCount val="4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</c:numCache>
            </c:numRef>
          </c:xVal>
          <c:yVal>
            <c:numRef>
              <c:f>りくと!$L$2:$L$436</c:f>
              <c:numCache>
                <c:formatCode>\+0.0;\-0.0;\±0</c:formatCode>
                <c:ptCount val="43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5-4CA6-BB45-107679A17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-453.82830626450118</c:v>
                </c:pt>
                <c:pt idx="1">
                  <c:v>-1157.7197149643705</c:v>
                </c:pt>
                <c:pt idx="2">
                  <c:v>104.98753117206982</c:v>
                </c:pt>
                <c:pt idx="3">
                  <c:v>-612.5</c:v>
                </c:pt>
                <c:pt idx="4">
                  <c:v>-1072.8096676737159</c:v>
                </c:pt>
                <c:pt idx="5">
                  <c:v>-1019.8581560283687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1E-4CD4-B785-A3934E7B1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116</c:v>
                </c:pt>
                <c:pt idx="2">
                  <c:v>177</c:v>
                </c:pt>
                <c:pt idx="3">
                  <c:v>159</c:v>
                </c:pt>
                <c:pt idx="4">
                  <c:v>146</c:v>
                </c:pt>
                <c:pt idx="5">
                  <c:v>101</c:v>
                </c:pt>
                <c:pt idx="6">
                  <c:v>63</c:v>
                </c:pt>
                <c:pt idx="7">
                  <c:v>31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6-4594-BDAD-3CEC762D9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0-48FB-B4D9-1C6863CC4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E-4105-B3DD-516A54F48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F-48FA-BD46-20F639B5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9D-46B0-906C-DE56720ED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F-4654-9F1C-E5B065D03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5-40D1-ACC2-A393A6785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たかの!$K$2:$K$295</c:f>
              <c:numCache>
                <c:formatCode>General</c:formatCode>
                <c:ptCount val="2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</c:numCache>
            </c:numRef>
          </c:xVal>
          <c:yVal>
            <c:numRef>
              <c:f>たかの!$L$2:$L$295</c:f>
              <c:numCache>
                <c:formatCode>\+0.0;\-0.0;\±0</c:formatCode>
                <c:ptCount val="29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7-4B76-8A62-715E643A6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166.89419795221843</c:v>
                </c:pt>
                <c:pt idx="1">
                  <c:v>-1830.4195804195804</c:v>
                </c:pt>
                <c:pt idx="2">
                  <c:v>-1198.1203007518798</c:v>
                </c:pt>
                <c:pt idx="3">
                  <c:v>-31.2</c:v>
                </c:pt>
                <c:pt idx="4">
                  <c:v>-689.95633187772921</c:v>
                </c:pt>
                <c:pt idx="5">
                  <c:v>-1255.7894736842106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B-423C-A2AD-AACB7CE18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72</c:v>
                </c:pt>
                <c:pt idx="1">
                  <c:v>150</c:v>
                </c:pt>
                <c:pt idx="2">
                  <c:v>134</c:v>
                </c:pt>
                <c:pt idx="3">
                  <c:v>131</c:v>
                </c:pt>
                <c:pt idx="4">
                  <c:v>98</c:v>
                </c:pt>
                <c:pt idx="5">
                  <c:v>45</c:v>
                </c:pt>
                <c:pt idx="6">
                  <c:v>25</c:v>
                </c:pt>
                <c:pt idx="7">
                  <c:v>17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7-478C-A2FA-330C295F5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ただ!$K$2:$K$509</c:f>
              <c:numCache>
                <c:formatCode>General</c:formatCode>
                <c:ptCount val="5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</c:numCache>
            </c:numRef>
          </c:xVal>
          <c:yVal>
            <c:numRef>
              <c:f>ただ!$L$2:$L$509</c:f>
              <c:numCache>
                <c:formatCode>\+0.0;\-0.0;\±0</c:formatCode>
                <c:ptCount val="50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4-474A-B3B4-6CB5F09F7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-650.19920318725099</c:v>
                </c:pt>
                <c:pt idx="1">
                  <c:v>-53.798767967145793</c:v>
                </c:pt>
                <c:pt idx="2">
                  <c:v>356.55021834061137</c:v>
                </c:pt>
                <c:pt idx="3">
                  <c:v>-1024.0654205607477</c:v>
                </c:pt>
                <c:pt idx="4">
                  <c:v>-168.57142857142858</c:v>
                </c:pt>
                <c:pt idx="5">
                  <c:v>156.96969696969697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9-478A-A2BB-70569312D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82</c:v>
                </c:pt>
                <c:pt idx="1">
                  <c:v>210</c:v>
                </c:pt>
                <c:pt idx="2">
                  <c:v>257</c:v>
                </c:pt>
                <c:pt idx="3">
                  <c:v>232</c:v>
                </c:pt>
                <c:pt idx="4">
                  <c:v>168</c:v>
                </c:pt>
                <c:pt idx="5">
                  <c:v>107</c:v>
                </c:pt>
                <c:pt idx="6">
                  <c:v>53</c:v>
                </c:pt>
                <c:pt idx="7">
                  <c:v>38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9-4EA0-8E2C-E3B7ED84B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B-47CB-A6B9-9EE8DB7A9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A2-483E-9543-EC43B8BF1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7-4843-A5CF-A003DD5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れんたろう!$K$2:$K$423</c:f>
              <c:numCache>
                <c:formatCode>General</c:formatCode>
                <c:ptCount val="4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</c:numCache>
            </c:numRef>
          </c:xVal>
          <c:yVal>
            <c:numRef>
              <c:f>れんたろう!$L$2:$L$423</c:f>
              <c:numCache>
                <c:formatCode>\+0.0;\-0.0;\±0</c:formatCode>
                <c:ptCount val="42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6B-4EF8-A7A9-0B56ADF6A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581.20481927710841</c:v>
                </c:pt>
                <c:pt idx="1">
                  <c:v>-361.67076167076169</c:v>
                </c:pt>
                <c:pt idx="2">
                  <c:v>258.77659574468083</c:v>
                </c:pt>
                <c:pt idx="3">
                  <c:v>605.84795321637432</c:v>
                </c:pt>
                <c:pt idx="4">
                  <c:v>-804.50160771704179</c:v>
                </c:pt>
                <c:pt idx="5">
                  <c:v>649.20634920634916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22-4C61-9942-31A740E86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94</c:v>
                </c:pt>
                <c:pt idx="2">
                  <c:v>141</c:v>
                </c:pt>
                <c:pt idx="3">
                  <c:v>189</c:v>
                </c:pt>
                <c:pt idx="4">
                  <c:v>180</c:v>
                </c:pt>
                <c:pt idx="5">
                  <c:v>115</c:v>
                </c:pt>
                <c:pt idx="6">
                  <c:v>75</c:v>
                </c:pt>
                <c:pt idx="7">
                  <c:v>49</c:v>
                </c:pt>
                <c:pt idx="8">
                  <c:v>33</c:v>
                </c:pt>
                <c:pt idx="9">
                  <c:v>12</c:v>
                </c:pt>
                <c:pt idx="10">
                  <c:v>8</c:v>
                </c:pt>
                <c:pt idx="11">
                  <c:v>4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6-4F90-8B7E-936F4B24A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A-4260-86EB-5119146F7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3-4156-9C68-C38E43AF7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A-4FAB-A218-33B73BAC6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まっつん!$K$2:$K$352</c:f>
              <c:numCache>
                <c:formatCode>General</c:formatCode>
                <c:ptCount val="3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</c:numCache>
            </c:numRef>
          </c:xVal>
          <c:yVal>
            <c:numRef>
              <c:f>まっつん!$L$2:$L$352</c:f>
              <c:numCache>
                <c:formatCode>\+0.0;\-0.0;\±0</c:formatCode>
                <c:ptCount val="351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5-4613-A0D2-1B89AC926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-100.57306590257879</c:v>
                </c:pt>
                <c:pt idx="1">
                  <c:v>541.10787172011658</c:v>
                </c:pt>
                <c:pt idx="2">
                  <c:v>-479.75077881619939</c:v>
                </c:pt>
                <c:pt idx="3">
                  <c:v>-245.27027027027026</c:v>
                </c:pt>
                <c:pt idx="4">
                  <c:v>-965.16853932584274</c:v>
                </c:pt>
                <c:pt idx="5">
                  <c:v>-346.36363636363637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7-4A33-928A-0B3C30111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119</c:v>
                </c:pt>
                <c:pt idx="2">
                  <c:v>143</c:v>
                </c:pt>
                <c:pt idx="3">
                  <c:v>139</c:v>
                </c:pt>
                <c:pt idx="4">
                  <c:v>114</c:v>
                </c:pt>
                <c:pt idx="5">
                  <c:v>78</c:v>
                </c:pt>
                <c:pt idx="6">
                  <c:v>46</c:v>
                </c:pt>
                <c:pt idx="7">
                  <c:v>19</c:v>
                </c:pt>
                <c:pt idx="8">
                  <c:v>15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E-4424-A2C3-9AAC9D8AA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ぱぱ!$L$2:$L$111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D-474E-88BE-4620F35CA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-2530.8411214953271</c:v>
                </c:pt>
                <c:pt idx="1">
                  <c:v>-653.77358490566041</c:v>
                </c:pt>
                <c:pt idx="2">
                  <c:v>-1280.1980198019803</c:v>
                </c:pt>
                <c:pt idx="3">
                  <c:v>-3147.3118279569894</c:v>
                </c:pt>
                <c:pt idx="4">
                  <c:v>867.07317073170736</c:v>
                </c:pt>
                <c:pt idx="5">
                  <c:v>-184.93150684931507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5-4394-8CD3-7775CD2BE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47</c:v>
                </c:pt>
                <c:pt idx="2">
                  <c:v>44</c:v>
                </c:pt>
                <c:pt idx="3">
                  <c:v>40</c:v>
                </c:pt>
                <c:pt idx="4">
                  <c:v>39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E-476D-885C-CA44A6384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5-4D0C-BF9A-99054C82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8-4B4D-8ABA-34EC9F4B9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C-489B-81C9-639A656B3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01-4F48-BE7D-52B8BC058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A-4BE7-8AE4-7A5D01C49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D-43D2-B105-35F0B5E0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のり!$L$2:$L$95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5-4700-B9FD-72DC4A3DA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-3480.6451612903224</c:v>
                </c:pt>
                <c:pt idx="1">
                  <c:v>175</c:v>
                </c:pt>
                <c:pt idx="2">
                  <c:v>-1548.8372093023256</c:v>
                </c:pt>
                <c:pt idx="3">
                  <c:v>-1244.7368421052631</c:v>
                </c:pt>
                <c:pt idx="4">
                  <c:v>-1552.8571428571429</c:v>
                </c:pt>
                <c:pt idx="5">
                  <c:v>-2296.4912280701756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D-4974-8753-5A06DFEB9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32</c:v>
                </c:pt>
                <c:pt idx="2">
                  <c:v>39</c:v>
                </c:pt>
                <c:pt idx="3">
                  <c:v>33</c:v>
                </c:pt>
                <c:pt idx="4">
                  <c:v>26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41-4048-A3BD-C1AAF962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D-4C86-A030-3550092F1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8-467A-AAD4-95324ECA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BE-4893-9E63-CBC8115B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90-45DC-BC7C-535CF1F6A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C-4CB7-979B-9207B1B82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3-4EAE-A709-785FEB529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3-4C74-A5FC-E2C753245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0F-47E8-8565-6238C6CF6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3-4D8D-88E0-C2D1DF7ED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363D84-19B8-46CD-A0BE-1D4F70F2C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DE803D-9DD1-43D8-A047-1BE228E54D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3B0C38-4BFD-472E-9965-26EE634A69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8BB42C-EB16-4CF9-923A-291972C3E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03FAD4-EDDE-497C-A135-BAF9DF8EB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CDEBC8-48D2-44A8-BF23-272D4A0C8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91A59E-67CA-47A7-A6F9-D222D3486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8E6E94-D195-4195-8AD5-208FBF6AE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EB4844-A80E-4B0F-B188-5D42E86ED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A17655-FB82-410D-97A0-4AAE3E8A4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0D15E0-000E-4A34-8D82-69D9E6C17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58BDE10-C219-4876-AB44-0AB3AB995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96216C-250B-4C70-81A1-98BF715E0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727D49-CCDD-465C-885A-96A0350E7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98F9BF-3C22-4AF7-8A9B-022234CC46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2752C4-E826-4D96-B0EA-6072CF6FC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29BB13-9407-4937-83D6-7216C979C8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C42BE4F-AC26-4855-B5FC-E284AA173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80FBAB-5D74-4518-AAE3-63974D879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E9D9C3-6132-4ED9-B6AE-950C8795D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284AF4-689A-49E3-A1E1-4D25B0A0B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EEEEED-C67F-4015-AEBD-6BFFFD57D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E947A6-5515-4B09-8045-1CC399423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41030F-F5B7-45B3-A57C-D7E00975A7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296C0A-C6E0-4402-B679-F5A77D31A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A8C69D-7CBE-435B-9A0C-94D8BE26C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1DDCEA-C114-49D8-96A9-7FF4EBE2A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9EA242-C63A-4D68-9F70-BCBC20DD9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B21145-10AE-4F77-94B3-779EA5248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C0FF81-6860-4BE2-AA06-7EF16FA69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4F1CE7-FD47-4871-9F8D-4F7D8B51D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D25AB2-0A6C-42E1-8E07-406BE9F25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74C3D8-5023-4FAA-AF99-A24BC10A4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FEF33A-EFAD-4EEE-A59D-8D0C6AB2F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B761DB-D43B-4027-A3F9-43AF2DE91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171D10-4DBD-4203-8253-E87572670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582BF9-495B-40F3-90B6-95352211B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F89B02-6A06-415B-9049-3CA450C33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E07E5E-53E8-44B7-926F-F14F7751F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4DF41E-BC44-427A-8FC2-B6FCC176C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833D78-DA3F-475B-A257-7C51B2158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F97BD0-CB5E-49DF-85C7-A0F46AE76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E2172F-033B-4FE6-945A-037C5AC46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00E593-844D-441A-A341-508EE89B1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9E38B58-720D-418E-B747-5E2E3A21F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E42E38-8761-43D7-AE34-26FF3935B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02441F-7B61-42E0-9E4A-227F54CF5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B88631-DEC8-4C87-AB22-2524A05B8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A49D7D-1F83-4C24-9C58-7D7067A53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792F70-2BD6-4D6F-912F-337A03AEF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04E213-39DE-49C6-85E4-E4D7CE1F9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D6E6C7-1765-445B-9217-CB995C3DB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8BCBF1-872E-4D48-AA86-55F17F5B5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F7D37B8-001F-45FC-8C94-FA1AAE486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370B42-CD00-4A4E-A6A2-652561419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4CA603-82FC-486D-8844-BFCB9D9C0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F74822-F9B0-42A6-AE97-4A125C087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BC0B7A-7229-4529-8E0B-D824CB944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756381-5989-4573-9C3B-3F92E0F29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3FE711-868F-4504-803F-712DDAE70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9"/>
      <c r="C1" s="13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3">
        <v>0</v>
      </c>
      <c r="C3" s="13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35">
        <v>0</v>
      </c>
      <c r="C4" s="13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45">
        <f>IF(B$2=0,0,(B$7*1+B$8*2+B$9*3)/B$2)</f>
        <v>0</v>
      </c>
      <c r="C6" s="14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43">
        <v>0</v>
      </c>
      <c r="C32" s="14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41">
        <v>-1000000</v>
      </c>
      <c r="C33" s="14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3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206</v>
      </c>
      <c r="I1" s="152"/>
      <c r="J1" s="149" t="s">
        <v>15</v>
      </c>
      <c r="K1" s="150"/>
      <c r="L1" s="149" t="s">
        <v>14</v>
      </c>
      <c r="M1" s="150"/>
      <c r="N1" s="149" t="s">
        <v>147</v>
      </c>
      <c r="O1" s="150"/>
      <c r="P1" s="149" t="s">
        <v>137</v>
      </c>
      <c r="Q1" s="150"/>
      <c r="R1" s="149" t="s">
        <v>138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139</v>
      </c>
      <c r="AG1" s="150"/>
      <c r="AH1" s="149" t="s">
        <v>136</v>
      </c>
      <c r="AI1" s="150"/>
      <c r="AJ1" s="149" t="s">
        <v>177</v>
      </c>
      <c r="AK1" s="150"/>
    </row>
    <row r="2" spans="1:37" x14ac:dyDescent="0.45">
      <c r="A2" s="46" t="s">
        <v>146</v>
      </c>
      <c r="B2" s="147">
        <v>0.50100826429794065</v>
      </c>
      <c r="C2" s="148"/>
      <c r="D2" s="153"/>
      <c r="E2" s="154"/>
      <c r="F2" s="153"/>
      <c r="G2" s="154"/>
      <c r="H2" s="147">
        <v>0.28100500369935011</v>
      </c>
      <c r="I2" s="148"/>
      <c r="J2" s="147">
        <v>0.76340914750465938</v>
      </c>
      <c r="K2" s="148"/>
      <c r="L2" s="147">
        <v>0.60938665301885842</v>
      </c>
      <c r="M2" s="148"/>
      <c r="N2" s="147">
        <v>0.61593994732448909</v>
      </c>
      <c r="O2" s="148"/>
      <c r="P2" s="147">
        <v>0.60976368130486114</v>
      </c>
      <c r="Q2" s="148"/>
      <c r="R2" s="147">
        <v>0.39470972528962395</v>
      </c>
      <c r="S2" s="148"/>
      <c r="T2" s="147">
        <v>0.23651392434196966</v>
      </c>
      <c r="U2" s="148"/>
      <c r="V2" s="147">
        <v>-6.9297915161052756E-2</v>
      </c>
      <c r="W2" s="148"/>
      <c r="X2" s="147">
        <v>0.38262473337186775</v>
      </c>
      <c r="Y2" s="148"/>
      <c r="Z2" s="147">
        <v>0.23397061839446465</v>
      </c>
      <c r="AA2" s="148"/>
      <c r="AB2" s="147">
        <v>5.4933951528921571E-3</v>
      </c>
      <c r="AC2" s="148"/>
      <c r="AD2" s="147">
        <v>0.40928944419261554</v>
      </c>
      <c r="AE2" s="148"/>
      <c r="AF2" s="147">
        <v>0.32264092691156498</v>
      </c>
      <c r="AG2" s="148"/>
      <c r="AH2" s="147">
        <v>-0.31707389542317854</v>
      </c>
      <c r="AI2" s="148"/>
      <c r="AJ2" s="147">
        <v>0.57633001841222709</v>
      </c>
      <c r="AK2" s="148"/>
    </row>
    <row r="3" spans="1:37" x14ac:dyDescent="0.45">
      <c r="A3" s="48">
        <v>1</v>
      </c>
      <c r="B3" s="51" t="s">
        <v>183</v>
      </c>
      <c r="C3" s="122">
        <v>1053</v>
      </c>
      <c r="D3" s="49" t="s">
        <v>195</v>
      </c>
      <c r="E3" s="50">
        <v>6998.9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-7394.0047961630698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0.66666666666666663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3">
        <v>728</v>
      </c>
      <c r="D4" s="57" t="s">
        <v>191</v>
      </c>
      <c r="E4" s="58">
        <v>529.70000000000039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1.7596153846153846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0.34559202612132667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7.5549450549450545E-2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189</v>
      </c>
      <c r="AI4" s="62">
        <v>0.52941176470588236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3">
        <v>507</v>
      </c>
      <c r="D5" s="57" t="s">
        <v>196</v>
      </c>
      <c r="E5" s="58">
        <v>109</v>
      </c>
      <c r="F5" s="59" t="s">
        <v>195</v>
      </c>
      <c r="G5" s="71">
        <v>9.6138736263736266</v>
      </c>
      <c r="H5" s="59" t="s">
        <v>191</v>
      </c>
      <c r="I5" s="71">
        <v>1.9138870825712953</v>
      </c>
      <c r="J5" s="59" t="s">
        <v>199</v>
      </c>
      <c r="K5" s="60">
        <v>1.9285714285714286</v>
      </c>
      <c r="L5" s="59" t="s">
        <v>195</v>
      </c>
      <c r="M5" s="61">
        <v>0.46703296703296704</v>
      </c>
      <c r="N5" s="59" t="s">
        <v>195</v>
      </c>
      <c r="O5" s="61">
        <v>0.22664835164835165</v>
      </c>
      <c r="P5" s="59" t="s">
        <v>202</v>
      </c>
      <c r="Q5" s="62">
        <v>0.33333333333333331</v>
      </c>
      <c r="R5" s="59" t="s">
        <v>195</v>
      </c>
      <c r="S5" s="62">
        <v>0.13868362261556968</v>
      </c>
      <c r="T5" s="59" t="s">
        <v>191</v>
      </c>
      <c r="U5" s="63">
        <v>10611.65452653486</v>
      </c>
      <c r="V5" s="59" t="s">
        <v>186</v>
      </c>
      <c r="W5" s="63">
        <v>-8094.5355191256831</v>
      </c>
      <c r="X5" s="59" t="s">
        <v>196</v>
      </c>
      <c r="Y5" s="61">
        <v>0.1111111111111111</v>
      </c>
      <c r="Z5" s="59" t="s">
        <v>201</v>
      </c>
      <c r="AA5" s="62">
        <v>0.375</v>
      </c>
      <c r="AB5" s="59" t="s">
        <v>188</v>
      </c>
      <c r="AC5" s="62">
        <v>0.27919227392449519</v>
      </c>
      <c r="AD5" s="59" t="s">
        <v>196</v>
      </c>
      <c r="AE5" s="62">
        <v>0.61538461538461542</v>
      </c>
      <c r="AF5" s="59" t="s">
        <v>195</v>
      </c>
      <c r="AG5" s="62">
        <v>0.4904246461282265</v>
      </c>
      <c r="AH5" s="59" t="s">
        <v>186</v>
      </c>
      <c r="AI5" s="62">
        <v>0.52845528455284552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190</v>
      </c>
      <c r="C6" s="123">
        <v>434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0.14693446088794926</v>
      </c>
      <c r="T6" s="59" t="s">
        <v>202</v>
      </c>
      <c r="U6" s="63">
        <v>9534.6153846153848</v>
      </c>
      <c r="V6" s="59" t="s">
        <v>197</v>
      </c>
      <c r="W6" s="63">
        <v>-8183.0985915492956</v>
      </c>
      <c r="X6" s="59" t="s">
        <v>188</v>
      </c>
      <c r="Y6" s="61">
        <v>0.11262798634812286</v>
      </c>
      <c r="Z6" s="59" t="s">
        <v>189</v>
      </c>
      <c r="AA6" s="62">
        <v>0.34703196347031962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191</v>
      </c>
      <c r="C7" s="123">
        <v>421</v>
      </c>
      <c r="D7" s="57" t="s">
        <v>200</v>
      </c>
      <c r="E7" s="58">
        <v>13.3</v>
      </c>
      <c r="F7" s="59" t="s">
        <v>191</v>
      </c>
      <c r="G7" s="71">
        <v>1.2581947743467943</v>
      </c>
      <c r="H7" s="59" t="s">
        <v>195</v>
      </c>
      <c r="I7" s="71">
        <v>0.85448330575605047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198</v>
      </c>
      <c r="S7" s="62">
        <v>0.15625</v>
      </c>
      <c r="T7" s="59" t="s">
        <v>194</v>
      </c>
      <c r="U7" s="63">
        <v>9344.0909090909099</v>
      </c>
      <c r="V7" s="59" t="s">
        <v>184</v>
      </c>
      <c r="W7" s="63">
        <v>-8240</v>
      </c>
      <c r="X7" s="59" t="s">
        <v>193</v>
      </c>
      <c r="Y7" s="61">
        <v>0.11439842209072978</v>
      </c>
      <c r="Z7" s="59" t="s">
        <v>191</v>
      </c>
      <c r="AA7" s="62">
        <v>0.29571173317450866</v>
      </c>
      <c r="AB7" s="59" t="s">
        <v>193</v>
      </c>
      <c r="AC7" s="62">
        <v>0.2437624750499002</v>
      </c>
      <c r="AD7" s="59" t="s">
        <v>195</v>
      </c>
      <c r="AE7" s="62">
        <v>0.60442420299284316</v>
      </c>
      <c r="AF7" s="59" t="s">
        <v>183</v>
      </c>
      <c r="AG7" s="62">
        <v>0.40698754878275412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3">
        <v>350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187</v>
      </c>
      <c r="I8" s="71">
        <v>0.67671686338353254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198</v>
      </c>
      <c r="Q8" s="62">
        <v>0.3125</v>
      </c>
      <c r="R8" s="59" t="s">
        <v>188</v>
      </c>
      <c r="S8" s="62">
        <v>0.16273393002441008</v>
      </c>
      <c r="T8" s="59" t="s">
        <v>190</v>
      </c>
      <c r="U8" s="63">
        <v>9183.4394904458604</v>
      </c>
      <c r="V8" s="59" t="s">
        <v>190</v>
      </c>
      <c r="W8" s="63">
        <v>-8338.2488479262665</v>
      </c>
      <c r="X8" s="59" t="s">
        <v>187</v>
      </c>
      <c r="Y8" s="61">
        <v>0.11714285714285715</v>
      </c>
      <c r="Z8" s="59" t="s">
        <v>195</v>
      </c>
      <c r="AA8" s="62">
        <v>0.28659332463173598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0.3977987421383648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3">
        <v>293</v>
      </c>
      <c r="D9" s="57" t="s">
        <v>183</v>
      </c>
      <c r="E9" s="58">
        <v>8.8817841970012523E-15</v>
      </c>
      <c r="F9" s="59" t="s">
        <v>183</v>
      </c>
      <c r="G9" s="71">
        <v>2.8115809423872276E-18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193</v>
      </c>
      <c r="M9" s="61">
        <v>0.33530571992110453</v>
      </c>
      <c r="N9" s="59" t="s">
        <v>187</v>
      </c>
      <c r="O9" s="61">
        <v>0.3342857142857143</v>
      </c>
      <c r="P9" s="59" t="s">
        <v>189</v>
      </c>
      <c r="Q9" s="62">
        <v>0.30357142857142855</v>
      </c>
      <c r="R9" s="59" t="s">
        <v>183</v>
      </c>
      <c r="S9" s="62">
        <v>0.16512544383315775</v>
      </c>
      <c r="T9" s="59" t="s">
        <v>195</v>
      </c>
      <c r="U9" s="63">
        <v>9156.8373943311781</v>
      </c>
      <c r="V9" s="59" t="s">
        <v>183</v>
      </c>
      <c r="W9" s="63">
        <v>-8357.5378071833657</v>
      </c>
      <c r="X9" s="59" t="s">
        <v>183</v>
      </c>
      <c r="Y9" s="61">
        <v>0.11965811965811966</v>
      </c>
      <c r="Z9" s="59" t="s">
        <v>190</v>
      </c>
      <c r="AA9" s="62">
        <v>0.28580190125728305</v>
      </c>
      <c r="AB9" s="59" t="s">
        <v>197</v>
      </c>
      <c r="AC9" s="62">
        <v>0.23390275952693823</v>
      </c>
      <c r="AD9" s="59" t="s">
        <v>190</v>
      </c>
      <c r="AE9" s="62">
        <v>0.56759656652360513</v>
      </c>
      <c r="AF9" s="59" t="s">
        <v>191</v>
      </c>
      <c r="AG9" s="62">
        <v>0.39436619718309857</v>
      </c>
      <c r="AH9" s="59" t="s">
        <v>197</v>
      </c>
      <c r="AI9" s="62">
        <v>0.46195652173913043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3">
        <v>109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183</v>
      </c>
      <c r="I10" s="71">
        <v>0</v>
      </c>
      <c r="J10" s="59" t="s">
        <v>193</v>
      </c>
      <c r="K10" s="60">
        <v>2.0098619329388558</v>
      </c>
      <c r="L10" s="59" t="s">
        <v>183</v>
      </c>
      <c r="M10" s="61">
        <v>0.33333333333333331</v>
      </c>
      <c r="N10" s="59" t="s">
        <v>193</v>
      </c>
      <c r="O10" s="61">
        <v>0.34516765285996054</v>
      </c>
      <c r="P10" s="59" t="s">
        <v>193</v>
      </c>
      <c r="Q10" s="62">
        <v>0.29946782776971459</v>
      </c>
      <c r="R10" s="59" t="s">
        <v>192</v>
      </c>
      <c r="S10" s="62">
        <v>0.16772151898734178</v>
      </c>
      <c r="T10" s="59" t="s">
        <v>183</v>
      </c>
      <c r="U10" s="63">
        <v>8938.9064143007363</v>
      </c>
      <c r="V10" s="59" t="s">
        <v>195</v>
      </c>
      <c r="W10" s="63">
        <v>-8383.2713754646848</v>
      </c>
      <c r="X10" s="59" t="s">
        <v>191</v>
      </c>
      <c r="Y10" s="61">
        <v>0.13064133016627077</v>
      </c>
      <c r="Z10" s="59" t="s">
        <v>192</v>
      </c>
      <c r="AA10" s="62">
        <v>0.27777777777777779</v>
      </c>
      <c r="AB10" s="59" t="s">
        <v>187</v>
      </c>
      <c r="AC10" s="62">
        <v>0.22621564482029599</v>
      </c>
      <c r="AD10" s="59" t="s">
        <v>183</v>
      </c>
      <c r="AE10" s="62">
        <v>0.56607618749020228</v>
      </c>
      <c r="AF10" s="59" t="s">
        <v>199</v>
      </c>
      <c r="AG10" s="62">
        <v>0.39285714285714285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197</v>
      </c>
      <c r="C11" s="123">
        <v>93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188</v>
      </c>
      <c r="I11" s="71">
        <v>-0.13951004354544239</v>
      </c>
      <c r="J11" s="59" t="s">
        <v>191</v>
      </c>
      <c r="K11" s="60">
        <v>2.0190023752969122</v>
      </c>
      <c r="L11" s="59" t="s">
        <v>191</v>
      </c>
      <c r="M11" s="61">
        <v>0.33254156769596199</v>
      </c>
      <c r="N11" s="59" t="s">
        <v>191</v>
      </c>
      <c r="O11" s="61">
        <v>0.35154394299287411</v>
      </c>
      <c r="P11" s="59" t="s">
        <v>188</v>
      </c>
      <c r="Q11" s="62">
        <v>0.2986167615947925</v>
      </c>
      <c r="R11" s="59" t="s">
        <v>193</v>
      </c>
      <c r="S11" s="62">
        <v>0.16956942428640542</v>
      </c>
      <c r="T11" s="59" t="s">
        <v>196</v>
      </c>
      <c r="U11" s="63">
        <v>8891.6666666666661</v>
      </c>
      <c r="V11" s="59" t="s">
        <v>189</v>
      </c>
      <c r="W11" s="63">
        <v>-8386.0465116279065</v>
      </c>
      <c r="X11" s="59" t="s">
        <v>190</v>
      </c>
      <c r="Y11" s="61">
        <v>0.13824884792626729</v>
      </c>
      <c r="Z11" s="59" t="s">
        <v>183</v>
      </c>
      <c r="AA11" s="62">
        <v>0.26345351670590178</v>
      </c>
      <c r="AB11" s="59" t="s">
        <v>195</v>
      </c>
      <c r="AC11" s="62">
        <v>0.22394182360619055</v>
      </c>
      <c r="AD11" s="59" t="s">
        <v>187</v>
      </c>
      <c r="AE11" s="62">
        <v>0.5652797704447633</v>
      </c>
      <c r="AF11" s="59" t="s">
        <v>193</v>
      </c>
      <c r="AG11" s="62">
        <v>0.38587512794268169</v>
      </c>
      <c r="AH11" s="59" t="s">
        <v>191</v>
      </c>
      <c r="AI11" s="62">
        <v>0.45369406867845996</v>
      </c>
      <c r="AJ11" s="59" t="s">
        <v>188</v>
      </c>
      <c r="AK11" s="66">
        <v>106500</v>
      </c>
    </row>
    <row r="12" spans="1:37" x14ac:dyDescent="0.45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-1.5020000000000002</v>
      </c>
      <c r="H12" s="59" t="s">
        <v>190</v>
      </c>
      <c r="I12" s="71">
        <v>-0.26076575833212939</v>
      </c>
      <c r="J12" s="59" t="s">
        <v>192</v>
      </c>
      <c r="K12" s="60">
        <v>2.0256410256410255</v>
      </c>
      <c r="L12" s="59" t="s">
        <v>187</v>
      </c>
      <c r="M12" s="61">
        <v>0.28000000000000003</v>
      </c>
      <c r="N12" s="59" t="s">
        <v>190</v>
      </c>
      <c r="O12" s="61">
        <v>0.38018433179723504</v>
      </c>
      <c r="P12" s="59" t="s">
        <v>183</v>
      </c>
      <c r="Q12" s="62">
        <v>0.2968512232236919</v>
      </c>
      <c r="R12" s="59" t="s">
        <v>199</v>
      </c>
      <c r="S12" s="62">
        <v>0.16996047430830039</v>
      </c>
      <c r="T12" s="59" t="s">
        <v>187</v>
      </c>
      <c r="U12" s="63">
        <v>8624.6684350132618</v>
      </c>
      <c r="V12" s="59" t="s">
        <v>193</v>
      </c>
      <c r="W12" s="63">
        <v>-8391.8687589158344</v>
      </c>
      <c r="X12" s="59" t="s">
        <v>189</v>
      </c>
      <c r="Y12" s="61">
        <v>0.14285714285714285</v>
      </c>
      <c r="Z12" s="59" t="s">
        <v>185</v>
      </c>
      <c r="AA12" s="62">
        <v>0.25806451612903225</v>
      </c>
      <c r="AB12" s="59" t="s">
        <v>183</v>
      </c>
      <c r="AC12" s="62">
        <v>0.22223598893156568</v>
      </c>
      <c r="AD12" s="59" t="s">
        <v>191</v>
      </c>
      <c r="AE12" s="62">
        <v>0.56092648539778445</v>
      </c>
      <c r="AF12" s="59" t="s">
        <v>202</v>
      </c>
      <c r="AG12" s="62">
        <v>0.38461538461538464</v>
      </c>
      <c r="AH12" s="59" t="s">
        <v>190</v>
      </c>
      <c r="AI12" s="62">
        <v>0.45329087048832273</v>
      </c>
      <c r="AJ12" s="59" t="s">
        <v>199</v>
      </c>
      <c r="AK12" s="66">
        <v>106300</v>
      </c>
    </row>
    <row r="13" spans="1:37" x14ac:dyDescent="0.45">
      <c r="A13" s="56">
        <v>11</v>
      </c>
      <c r="B13" s="59" t="s">
        <v>192</v>
      </c>
      <c r="C13" s="123">
        <v>39</v>
      </c>
      <c r="D13" s="57" t="s">
        <v>201</v>
      </c>
      <c r="E13" s="58">
        <v>-80.800000000000011</v>
      </c>
      <c r="F13" s="59" t="s">
        <v>193</v>
      </c>
      <c r="G13" s="71">
        <v>-1.9157790927021709</v>
      </c>
      <c r="H13" s="59" t="s">
        <v>194</v>
      </c>
      <c r="I13" s="71">
        <v>-0.4518996415770597</v>
      </c>
      <c r="J13" s="59" t="s">
        <v>187</v>
      </c>
      <c r="K13" s="60">
        <v>2.0542857142857143</v>
      </c>
      <c r="L13" s="59" t="s">
        <v>186</v>
      </c>
      <c r="M13" s="61">
        <v>0.27522935779816515</v>
      </c>
      <c r="N13" s="59" t="s">
        <v>192</v>
      </c>
      <c r="O13" s="61">
        <v>0.38461538461538464</v>
      </c>
      <c r="P13" s="59" t="s">
        <v>191</v>
      </c>
      <c r="Q13" s="62">
        <v>0.28306332842415316</v>
      </c>
      <c r="R13" s="59" t="s">
        <v>194</v>
      </c>
      <c r="S13" s="62">
        <v>0.17164179104477612</v>
      </c>
      <c r="T13" s="59" t="s">
        <v>201</v>
      </c>
      <c r="U13" s="63">
        <v>8512.5</v>
      </c>
      <c r="V13" s="59" t="s">
        <v>196</v>
      </c>
      <c r="W13" s="63">
        <v>-8400</v>
      </c>
      <c r="X13" s="59" t="s">
        <v>194</v>
      </c>
      <c r="Y13" s="61">
        <v>0.15384615384615385</v>
      </c>
      <c r="Z13" s="59" t="s">
        <v>199</v>
      </c>
      <c r="AA13" s="62">
        <v>0.24901185770750989</v>
      </c>
      <c r="AB13" s="59" t="s">
        <v>186</v>
      </c>
      <c r="AC13" s="62">
        <v>0.19788359788359788</v>
      </c>
      <c r="AD13" s="59" t="s">
        <v>186</v>
      </c>
      <c r="AE13" s="62">
        <v>0.55111111111111111</v>
      </c>
      <c r="AF13" s="59" t="s">
        <v>197</v>
      </c>
      <c r="AG13" s="62">
        <v>0.37640449438202245</v>
      </c>
      <c r="AH13" s="59" t="s">
        <v>187</v>
      </c>
      <c r="AI13" s="62">
        <v>0.44164456233421751</v>
      </c>
      <c r="AJ13" s="59" t="s">
        <v>187</v>
      </c>
      <c r="AK13" s="66">
        <v>103000</v>
      </c>
    </row>
    <row r="14" spans="1:37" x14ac:dyDescent="0.45">
      <c r="A14" s="56">
        <v>12</v>
      </c>
      <c r="B14" s="59" t="s">
        <v>189</v>
      </c>
      <c r="C14" s="123">
        <v>28</v>
      </c>
      <c r="D14" s="57" t="s">
        <v>185</v>
      </c>
      <c r="E14" s="58">
        <v>-86.4</v>
      </c>
      <c r="F14" s="59" t="s">
        <v>190</v>
      </c>
      <c r="G14" s="71">
        <v>-4.6124423963133641</v>
      </c>
      <c r="H14" s="59" t="s">
        <v>193</v>
      </c>
      <c r="I14" s="71">
        <v>-1.5465878894767802</v>
      </c>
      <c r="J14" s="59" t="s">
        <v>190</v>
      </c>
      <c r="K14" s="60">
        <v>2.1198156682027651</v>
      </c>
      <c r="L14" s="59" t="s">
        <v>190</v>
      </c>
      <c r="M14" s="61">
        <v>0.26036866359447003</v>
      </c>
      <c r="N14" s="59" t="s">
        <v>188</v>
      </c>
      <c r="O14" s="61">
        <v>0.38566552901023893</v>
      </c>
      <c r="P14" s="59" t="s">
        <v>192</v>
      </c>
      <c r="Q14" s="62">
        <v>0.28164556962025317</v>
      </c>
      <c r="R14" s="59" t="s">
        <v>191</v>
      </c>
      <c r="S14" s="62">
        <v>0.18262150220913106</v>
      </c>
      <c r="T14" s="59" t="s">
        <v>193</v>
      </c>
      <c r="U14" s="63">
        <v>8454.3618739903068</v>
      </c>
      <c r="V14" s="59" t="s">
        <v>188</v>
      </c>
      <c r="W14" s="63">
        <v>-8475</v>
      </c>
      <c r="X14" s="59" t="s">
        <v>192</v>
      </c>
      <c r="Y14" s="61">
        <v>0.15384615384615385</v>
      </c>
      <c r="Z14" s="59" t="s">
        <v>193</v>
      </c>
      <c r="AA14" s="62">
        <v>0.24625748502994013</v>
      </c>
      <c r="AB14" s="59" t="s">
        <v>191</v>
      </c>
      <c r="AC14" s="62">
        <v>0.19029184038117927</v>
      </c>
      <c r="AD14" s="59" t="s">
        <v>192</v>
      </c>
      <c r="AE14" s="62">
        <v>0.53846153846153844</v>
      </c>
      <c r="AF14" s="59" t="s">
        <v>187</v>
      </c>
      <c r="AG14" s="62">
        <v>0.37538940809968846</v>
      </c>
      <c r="AH14" s="59" t="s">
        <v>194</v>
      </c>
      <c r="AI14" s="62">
        <v>0.43636363636363634</v>
      </c>
      <c r="AJ14" s="59" t="s">
        <v>197</v>
      </c>
      <c r="AK14" s="66">
        <v>85100</v>
      </c>
    </row>
    <row r="15" spans="1:37" x14ac:dyDescent="0.45">
      <c r="A15" s="56">
        <v>13</v>
      </c>
      <c r="B15" s="59" t="s">
        <v>199</v>
      </c>
      <c r="C15" s="123">
        <v>28</v>
      </c>
      <c r="D15" s="57" t="s">
        <v>184</v>
      </c>
      <c r="E15" s="58">
        <v>-132.1</v>
      </c>
      <c r="F15" s="59" t="s">
        <v>188</v>
      </c>
      <c r="G15" s="71">
        <v>-4.8078498293515368</v>
      </c>
      <c r="H15" s="59" t="s">
        <v>197</v>
      </c>
      <c r="I15" s="71">
        <v>-1.9642818428184299</v>
      </c>
      <c r="J15" s="59" t="s">
        <v>188</v>
      </c>
      <c r="K15" s="60">
        <v>2.1296928327645053</v>
      </c>
      <c r="L15" s="59" t="s">
        <v>188</v>
      </c>
      <c r="M15" s="61">
        <v>0.25597269624573377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190</v>
      </c>
      <c r="S15" s="62">
        <v>0.18483816013628621</v>
      </c>
      <c r="T15" s="59" t="s">
        <v>197</v>
      </c>
      <c r="U15" s="63">
        <v>8136.95652173913</v>
      </c>
      <c r="V15" s="59" t="s">
        <v>191</v>
      </c>
      <c r="W15" s="63">
        <v>-8619.8387096774186</v>
      </c>
      <c r="X15" s="59" t="s">
        <v>197</v>
      </c>
      <c r="Y15" s="61">
        <v>0.16129032258064516</v>
      </c>
      <c r="Z15" s="59" t="s">
        <v>187</v>
      </c>
      <c r="AA15" s="62">
        <v>0.24559548978153628</v>
      </c>
      <c r="AB15" s="59" t="s">
        <v>190</v>
      </c>
      <c r="AC15" s="62">
        <v>0.18092609628948175</v>
      </c>
      <c r="AD15" s="59" t="s">
        <v>193</v>
      </c>
      <c r="AE15" s="62">
        <v>0.53799392097264442</v>
      </c>
      <c r="AF15" s="59" t="s">
        <v>190</v>
      </c>
      <c r="AG15" s="62">
        <v>0.36440677966101692</v>
      </c>
      <c r="AH15" s="59" t="s">
        <v>183</v>
      </c>
      <c r="AI15" s="62">
        <v>0.4357255520504732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3">
        <v>10</v>
      </c>
      <c r="D16" s="57" t="s">
        <v>189</v>
      </c>
      <c r="E16" s="58">
        <v>-235.3</v>
      </c>
      <c r="F16" s="59" t="s">
        <v>189</v>
      </c>
      <c r="G16" s="71">
        <v>-8.4035714285714285</v>
      </c>
      <c r="H16" s="59" t="s">
        <v>189</v>
      </c>
      <c r="I16" s="71">
        <v>-2.6951058201058182</v>
      </c>
      <c r="J16" s="59" t="s">
        <v>186</v>
      </c>
      <c r="K16" s="60">
        <v>2.1559633027522938</v>
      </c>
      <c r="L16" s="59" t="s">
        <v>189</v>
      </c>
      <c r="M16" s="61">
        <v>0.25</v>
      </c>
      <c r="N16" s="59" t="s">
        <v>201</v>
      </c>
      <c r="O16" s="61">
        <v>0.4</v>
      </c>
      <c r="P16" s="59" t="s">
        <v>190</v>
      </c>
      <c r="Q16" s="62">
        <v>0.26746166950596251</v>
      </c>
      <c r="R16" s="59" t="s">
        <v>197</v>
      </c>
      <c r="S16" s="62">
        <v>0.18659658344283836</v>
      </c>
      <c r="T16" s="59" t="s">
        <v>199</v>
      </c>
      <c r="U16" s="63">
        <v>7901.25</v>
      </c>
      <c r="V16" s="59" t="s">
        <v>199</v>
      </c>
      <c r="W16" s="63">
        <v>-8765.1162790697672</v>
      </c>
      <c r="X16" s="59" t="s">
        <v>186</v>
      </c>
      <c r="Y16" s="61">
        <v>0.19266055045871561</v>
      </c>
      <c r="Z16" s="59" t="s">
        <v>186</v>
      </c>
      <c r="AA16" s="62">
        <v>0.23809523809523808</v>
      </c>
      <c r="AB16" s="59" t="s">
        <v>202</v>
      </c>
      <c r="AC16" s="62">
        <v>0.16666666666666666</v>
      </c>
      <c r="AD16" s="59" t="s">
        <v>197</v>
      </c>
      <c r="AE16" s="62">
        <v>0.53503184713375795</v>
      </c>
      <c r="AF16" s="59" t="s">
        <v>201</v>
      </c>
      <c r="AG16" s="62">
        <v>0.33333333333333331</v>
      </c>
      <c r="AH16" s="59" t="s">
        <v>188</v>
      </c>
      <c r="AI16" s="62">
        <v>0.42779291553133514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3">
        <v>9</v>
      </c>
      <c r="D17" s="57" t="s">
        <v>187</v>
      </c>
      <c r="E17" s="58">
        <v>-525.70000000000005</v>
      </c>
      <c r="F17" s="59" t="s">
        <v>186</v>
      </c>
      <c r="G17" s="71">
        <v>-8.9321100917431195</v>
      </c>
      <c r="H17" s="59" t="s">
        <v>186</v>
      </c>
      <c r="I17" s="71">
        <v>-2.8297901891252955</v>
      </c>
      <c r="J17" s="59" t="s">
        <v>189</v>
      </c>
      <c r="K17" s="60">
        <v>2.1785714285714284</v>
      </c>
      <c r="L17" s="59" t="s">
        <v>198</v>
      </c>
      <c r="M17" s="61">
        <v>0.25</v>
      </c>
      <c r="N17" s="59" t="s">
        <v>189</v>
      </c>
      <c r="O17" s="61">
        <v>0.42857142857142855</v>
      </c>
      <c r="P17" s="59" t="s">
        <v>187</v>
      </c>
      <c r="Q17" s="62">
        <v>0.26568005637773079</v>
      </c>
      <c r="R17" s="59" t="s">
        <v>189</v>
      </c>
      <c r="S17" s="62">
        <v>0.19196428571428573</v>
      </c>
      <c r="T17" s="59" t="s">
        <v>186</v>
      </c>
      <c r="U17" s="63">
        <v>7830.8943089430895</v>
      </c>
      <c r="V17" s="59" t="s">
        <v>192</v>
      </c>
      <c r="W17" s="63">
        <v>-9054.7169811320746</v>
      </c>
      <c r="X17" s="59" t="s">
        <v>202</v>
      </c>
      <c r="Y17" s="61">
        <v>0.2</v>
      </c>
      <c r="Z17" s="59" t="s">
        <v>194</v>
      </c>
      <c r="AA17" s="62">
        <v>0.23379629629629631</v>
      </c>
      <c r="AB17" s="59" t="s">
        <v>185</v>
      </c>
      <c r="AC17" s="62">
        <v>0.16129032258064516</v>
      </c>
      <c r="AD17" s="59" t="s">
        <v>188</v>
      </c>
      <c r="AE17" s="62">
        <v>0.52516411378555794</v>
      </c>
      <c r="AF17" s="59" t="s">
        <v>186</v>
      </c>
      <c r="AG17" s="62">
        <v>0.32620320855614976</v>
      </c>
      <c r="AH17" s="59" t="s">
        <v>193</v>
      </c>
      <c r="AI17" s="62">
        <v>0.42084006462035539</v>
      </c>
      <c r="AJ17" s="59" t="s">
        <v>189</v>
      </c>
      <c r="AK17" s="66">
        <v>65900</v>
      </c>
    </row>
    <row r="18" spans="1:37" x14ac:dyDescent="0.45">
      <c r="A18" s="56">
        <v>16</v>
      </c>
      <c r="B18" s="59" t="s">
        <v>185</v>
      </c>
      <c r="C18" s="123">
        <v>5</v>
      </c>
      <c r="D18" s="57" t="s">
        <v>193</v>
      </c>
      <c r="E18" s="58">
        <v>-971.30000000000064</v>
      </c>
      <c r="F18" s="59" t="s">
        <v>197</v>
      </c>
      <c r="G18" s="71">
        <v>-13.481720430107529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186</v>
      </c>
      <c r="O18" s="61">
        <v>0.43119266055045874</v>
      </c>
      <c r="P18" s="59" t="s">
        <v>186</v>
      </c>
      <c r="Q18" s="62">
        <v>0.26031746031746034</v>
      </c>
      <c r="R18" s="59" t="s">
        <v>186</v>
      </c>
      <c r="S18" s="62">
        <v>0.19365079365079366</v>
      </c>
      <c r="T18" s="59" t="s">
        <v>184</v>
      </c>
      <c r="U18" s="63">
        <v>7800</v>
      </c>
      <c r="V18" s="59" t="s">
        <v>194</v>
      </c>
      <c r="W18" s="63">
        <v>-9212.173913043478</v>
      </c>
      <c r="X18" s="59" t="s">
        <v>201</v>
      </c>
      <c r="Y18" s="61">
        <v>0.2</v>
      </c>
      <c r="Z18" s="59" t="s">
        <v>200</v>
      </c>
      <c r="AA18" s="62">
        <v>0.23076923076923078</v>
      </c>
      <c r="AB18" s="59" t="s">
        <v>201</v>
      </c>
      <c r="AC18" s="62">
        <v>0.15</v>
      </c>
      <c r="AD18" s="59" t="s">
        <v>189</v>
      </c>
      <c r="AE18" s="62">
        <v>0.5</v>
      </c>
      <c r="AF18" s="59" t="s">
        <v>192</v>
      </c>
      <c r="AG18" s="62">
        <v>0.32142857142857145</v>
      </c>
      <c r="AH18" s="59" t="s">
        <v>195</v>
      </c>
      <c r="AI18" s="62">
        <v>0.40974639482844355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3">
        <v>5</v>
      </c>
      <c r="D19" s="57" t="s">
        <v>186</v>
      </c>
      <c r="E19" s="58">
        <v>-973.6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197</v>
      </c>
      <c r="O19" s="61">
        <v>0.44086021505376344</v>
      </c>
      <c r="P19" s="59" t="s">
        <v>197</v>
      </c>
      <c r="Q19" s="62">
        <v>0.24178712220762155</v>
      </c>
      <c r="R19" s="59" t="s">
        <v>201</v>
      </c>
      <c r="S19" s="62">
        <v>0.2</v>
      </c>
      <c r="T19" s="59" t="s">
        <v>189</v>
      </c>
      <c r="U19" s="63">
        <v>7457.3529411764703</v>
      </c>
      <c r="V19" s="59" t="s">
        <v>202</v>
      </c>
      <c r="W19" s="63">
        <v>-10010.526315789473</v>
      </c>
      <c r="X19" s="59" t="s">
        <v>199</v>
      </c>
      <c r="Y19" s="61">
        <v>0.25</v>
      </c>
      <c r="Z19" s="59" t="s">
        <v>198</v>
      </c>
      <c r="AA19" s="62">
        <v>0.21875</v>
      </c>
      <c r="AB19" s="59" t="s">
        <v>196</v>
      </c>
      <c r="AC19" s="62">
        <v>0.14492753623188406</v>
      </c>
      <c r="AD19" s="59" t="s">
        <v>198</v>
      </c>
      <c r="AE19" s="62">
        <v>0.42857142857142855</v>
      </c>
      <c r="AF19" s="59" t="s">
        <v>198</v>
      </c>
      <c r="AG19" s="62">
        <v>0.25</v>
      </c>
      <c r="AH19" s="59" t="s">
        <v>185</v>
      </c>
      <c r="AI19" s="62">
        <v>0.3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184</v>
      </c>
      <c r="C20" s="123">
        <v>4</v>
      </c>
      <c r="D20" s="57" t="s">
        <v>197</v>
      </c>
      <c r="E20" s="58">
        <v>-1253.8000000000002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0.12903225806451613</v>
      </c>
      <c r="N20" s="59" t="s">
        <v>202</v>
      </c>
      <c r="O20" s="61">
        <v>0.5</v>
      </c>
      <c r="P20" s="59" t="s">
        <v>201</v>
      </c>
      <c r="Q20" s="62">
        <v>0.2</v>
      </c>
      <c r="R20" s="59" t="s">
        <v>185</v>
      </c>
      <c r="S20" s="62">
        <v>0.21621621621621623</v>
      </c>
      <c r="T20" s="59" t="s">
        <v>188</v>
      </c>
      <c r="U20" s="63">
        <v>7451.9073569482289</v>
      </c>
      <c r="V20" s="59" t="s">
        <v>198</v>
      </c>
      <c r="W20" s="63">
        <v>-11280</v>
      </c>
      <c r="X20" s="59" t="s">
        <v>198</v>
      </c>
      <c r="Y20" s="61">
        <v>0.25</v>
      </c>
      <c r="Z20" s="59" t="s">
        <v>197</v>
      </c>
      <c r="AA20" s="62">
        <v>0.20630749014454666</v>
      </c>
      <c r="AB20" s="59" t="s">
        <v>189</v>
      </c>
      <c r="AC20" s="62">
        <v>0.1095890410958904</v>
      </c>
      <c r="AD20" s="59" t="s">
        <v>201</v>
      </c>
      <c r="AE20" s="62">
        <v>0.4</v>
      </c>
      <c r="AF20" s="59" t="s">
        <v>185</v>
      </c>
      <c r="AG20" s="62">
        <v>0.2</v>
      </c>
      <c r="AH20" s="59" t="s">
        <v>198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198</v>
      </c>
      <c r="C21" s="123">
        <v>4</v>
      </c>
      <c r="D21" s="57" t="s">
        <v>188</v>
      </c>
      <c r="E21" s="58">
        <v>-1408.7000000000003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2.3118279569892475</v>
      </c>
      <c r="L21" s="59" t="s">
        <v>184</v>
      </c>
      <c r="M21" s="61">
        <v>0</v>
      </c>
      <c r="N21" s="59" t="s">
        <v>198</v>
      </c>
      <c r="O21" s="61">
        <v>0.5</v>
      </c>
      <c r="P21" s="59" t="s">
        <v>200</v>
      </c>
      <c r="Q21" s="62">
        <v>0.15384615384615385</v>
      </c>
      <c r="R21" s="59" t="s">
        <v>202</v>
      </c>
      <c r="S21" s="62">
        <v>0.24358974358974358</v>
      </c>
      <c r="T21" s="59" t="s">
        <v>185</v>
      </c>
      <c r="U21" s="63">
        <v>7100</v>
      </c>
      <c r="V21" s="59" t="s">
        <v>200</v>
      </c>
      <c r="W21" s="63">
        <v>-12000</v>
      </c>
      <c r="X21" s="59" t="s">
        <v>185</v>
      </c>
      <c r="Y21" s="61">
        <v>0.4</v>
      </c>
      <c r="Z21" s="59" t="s">
        <v>188</v>
      </c>
      <c r="AA21" s="62">
        <v>0.20061457418788411</v>
      </c>
      <c r="AB21" s="59" t="s">
        <v>200</v>
      </c>
      <c r="AC21" s="62">
        <v>7.6923076923076927E-2</v>
      </c>
      <c r="AD21" s="59" t="s">
        <v>200</v>
      </c>
      <c r="AE21" s="62">
        <v>0.33333333333333331</v>
      </c>
      <c r="AF21" s="59" t="s">
        <v>184</v>
      </c>
      <c r="AG21" s="62">
        <v>0</v>
      </c>
      <c r="AH21" s="59" t="s">
        <v>196</v>
      </c>
      <c r="AI21" s="62">
        <v>0.29166666666666669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200</v>
      </c>
      <c r="C22" s="123">
        <v>1</v>
      </c>
      <c r="D22" s="57" t="s">
        <v>190</v>
      </c>
      <c r="E22" s="58">
        <v>-2001.8</v>
      </c>
      <c r="F22" s="59" t="s">
        <v>184</v>
      </c>
      <c r="G22" s="71">
        <v>-33.024999999999999</v>
      </c>
      <c r="H22" s="59" t="s">
        <v>184</v>
      </c>
      <c r="I22" s="71">
        <v>-11.008333333333333</v>
      </c>
      <c r="J22" s="59" t="s">
        <v>184</v>
      </c>
      <c r="K22" s="60">
        <v>3</v>
      </c>
      <c r="L22" s="59" t="s">
        <v>200</v>
      </c>
      <c r="M22" s="61">
        <v>0</v>
      </c>
      <c r="N22" s="59" t="s">
        <v>184</v>
      </c>
      <c r="O22" s="61">
        <v>1</v>
      </c>
      <c r="P22" s="59" t="s">
        <v>184</v>
      </c>
      <c r="Q22" s="62">
        <v>0.04</v>
      </c>
      <c r="R22" s="59" t="s">
        <v>184</v>
      </c>
      <c r="S22" s="62">
        <v>0.4</v>
      </c>
      <c r="T22" s="59" t="s">
        <v>198</v>
      </c>
      <c r="U22" s="63">
        <v>4940</v>
      </c>
      <c r="V22" s="59" t="s">
        <v>185</v>
      </c>
      <c r="W22" s="63">
        <v>-12487.5</v>
      </c>
      <c r="X22" s="59" t="s">
        <v>184</v>
      </c>
      <c r="Y22" s="61">
        <v>0.5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184</v>
      </c>
      <c r="AE22" s="62">
        <v>0</v>
      </c>
      <c r="AF22" s="59" t="s">
        <v>200</v>
      </c>
      <c r="AG22" s="62">
        <v>0</v>
      </c>
      <c r="AH22" s="59" t="s">
        <v>201</v>
      </c>
      <c r="AI22" s="62">
        <v>0.25</v>
      </c>
      <c r="AJ22" s="59" t="s">
        <v>184</v>
      </c>
      <c r="AK22" s="66">
        <v>13000</v>
      </c>
    </row>
  </sheetData>
  <sortState xmlns:xlrd2="http://schemas.microsoft.com/office/spreadsheetml/2017/richdata2" ref="AJ3:AK60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E94D6-7960-42DC-B8D3-4D872E37460A}">
  <sheetPr codeName="Sheet3"/>
  <dimension ref="A1:Q316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3159</v>
      </c>
      <c r="C2" s="132"/>
      <c r="E2" s="43" t="s">
        <v>66</v>
      </c>
      <c r="F2" s="25" t="s">
        <v>22</v>
      </c>
      <c r="G2" s="13">
        <v>5258</v>
      </c>
      <c r="H2" s="106">
        <f>IF(B$51=0,0,G2/B$51)</f>
        <v>0.7329244494006133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-21.05263157894737</v>
      </c>
      <c r="P2" s="92">
        <v>3135</v>
      </c>
      <c r="Q2" s="76">
        <v>-66000</v>
      </c>
    </row>
    <row r="3" spans="1:17" x14ac:dyDescent="0.45">
      <c r="A3" s="37" t="s">
        <v>8</v>
      </c>
      <c r="B3" s="133">
        <v>25629</v>
      </c>
      <c r="C3" s="134"/>
      <c r="E3" s="44" t="s">
        <v>72</v>
      </c>
      <c r="F3" s="41" t="s">
        <v>27</v>
      </c>
      <c r="G3" s="34">
        <v>3874</v>
      </c>
      <c r="H3" s="107">
        <f>IF(B$51=0,0,G3/B$51)</f>
        <v>0.54000557568999163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-0.32647730982696704</v>
      </c>
      <c r="P3" s="93">
        <v>3063</v>
      </c>
      <c r="Q3" s="77">
        <v>-1000</v>
      </c>
    </row>
    <row r="4" spans="1:17" x14ac:dyDescent="0.45">
      <c r="A4" s="37" t="s">
        <v>6</v>
      </c>
      <c r="B4" s="135">
        <v>8.8817841970012523E-15</v>
      </c>
      <c r="C4" s="136"/>
      <c r="E4" s="44" t="s">
        <v>64</v>
      </c>
      <c r="F4" s="41" t="s">
        <v>20</v>
      </c>
      <c r="G4" s="34">
        <v>3486</v>
      </c>
      <c r="H4" s="107">
        <f>IF(B$51=0,0,G4/B$51)</f>
        <v>0.4859213827711179</v>
      </c>
      <c r="I4" s="68">
        <v>12</v>
      </c>
      <c r="K4" s="5">
        <v>2</v>
      </c>
      <c r="L4" s="73">
        <v>-7</v>
      </c>
      <c r="N4" s="89" t="s">
        <v>128</v>
      </c>
      <c r="O4" s="96">
        <f t="shared" si="0"/>
        <v>6.25</v>
      </c>
      <c r="P4" s="93">
        <v>2880</v>
      </c>
      <c r="Q4" s="77">
        <v>18000</v>
      </c>
    </row>
    <row r="5" spans="1:17" x14ac:dyDescent="0.45">
      <c r="A5" s="37" t="s">
        <v>7</v>
      </c>
      <c r="B5" s="137">
        <f>IF(B$2=0,0,B$4/B$2)</f>
        <v>2.8115809423872276E-18</v>
      </c>
      <c r="C5" s="138"/>
      <c r="E5" s="44" t="s">
        <v>68</v>
      </c>
      <c r="F5" s="41" t="s">
        <v>12</v>
      </c>
      <c r="G5" s="34">
        <v>2228</v>
      </c>
      <c r="H5" s="107">
        <f>IF(B$51=0,0,G5/B$51)</f>
        <v>0.3105659325341511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1.8875047187617968</v>
      </c>
      <c r="P5" s="93">
        <v>2649</v>
      </c>
      <c r="Q5" s="77">
        <v>5000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157</v>
      </c>
      <c r="F6" s="41" t="s">
        <v>158</v>
      </c>
      <c r="G6" s="34">
        <v>2197</v>
      </c>
      <c r="H6" s="107">
        <f>IF(B$51=0,0,G6/B$51)</f>
        <v>0.30624477279063284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0</v>
      </c>
      <c r="P6" s="93">
        <v>2385</v>
      </c>
      <c r="Q6" s="77">
        <v>0</v>
      </c>
    </row>
    <row r="7" spans="1:17" x14ac:dyDescent="0.45">
      <c r="A7" s="37" t="s">
        <v>2</v>
      </c>
      <c r="B7" s="34">
        <v>1053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2054</v>
      </c>
      <c r="H7" s="107">
        <f>IF(B$51=0,0,G7/B$51)</f>
        <v>0.28631168107053245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21.116138763197586</v>
      </c>
      <c r="P7" s="94">
        <v>1989</v>
      </c>
      <c r="Q7" s="78">
        <v>42000</v>
      </c>
    </row>
    <row r="8" spans="1:17" x14ac:dyDescent="0.45">
      <c r="A8" s="37" t="s">
        <v>3</v>
      </c>
      <c r="B8" s="34">
        <v>1053</v>
      </c>
      <c r="C8" s="31">
        <f t="shared" si="1"/>
        <v>0.33333333333333331</v>
      </c>
      <c r="E8" s="44" t="s">
        <v>69</v>
      </c>
      <c r="F8" s="41" t="s">
        <v>24</v>
      </c>
      <c r="G8" s="34">
        <v>1073</v>
      </c>
      <c r="H8" s="107">
        <f>IF(B$51=0,0,G8/B$51)</f>
        <v>0.14956788402564816</v>
      </c>
      <c r="I8" s="68">
        <v>8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1053</v>
      </c>
      <c r="C9" s="7">
        <f t="shared" si="1"/>
        <v>0.33333333333333331</v>
      </c>
      <c r="E9" s="44" t="s">
        <v>89</v>
      </c>
      <c r="F9" s="41" t="s">
        <v>44</v>
      </c>
      <c r="G9" s="34">
        <v>1006</v>
      </c>
      <c r="H9" s="107">
        <f>IF(B$51=0,0,G9/B$51)</f>
        <v>0.14022860328965708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37.736847103513782</v>
      </c>
      <c r="C10" s="121">
        <v>39736.900000000009</v>
      </c>
      <c r="E10" s="44" t="s">
        <v>65</v>
      </c>
      <c r="F10" s="41" t="s">
        <v>21</v>
      </c>
      <c r="G10" s="34">
        <v>780</v>
      </c>
      <c r="H10" s="107">
        <f>IF(B$51=0,0,G10/B$51)</f>
        <v>0.10872595483691107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-3.3711428571428561</v>
      </c>
      <c r="P10" s="92">
        <v>1050</v>
      </c>
      <c r="Q10" s="80">
        <v>-3539.6999999999989</v>
      </c>
    </row>
    <row r="11" spans="1:17" x14ac:dyDescent="0.45">
      <c r="A11" s="38" t="s">
        <v>204</v>
      </c>
      <c r="B11" s="120">
        <f>IF(B8=0,0,C11/B8)</f>
        <v>-0.87416904083570668</v>
      </c>
      <c r="C11" s="121">
        <v>-920.49999999999909</v>
      </c>
      <c r="E11" s="44" t="s">
        <v>70</v>
      </c>
      <c r="F11" s="41" t="s">
        <v>25</v>
      </c>
      <c r="G11" s="34">
        <v>691</v>
      </c>
      <c r="H11" s="107">
        <f>IF(B$51=0,0,G11/B$51)</f>
        <v>9.6320044605519933E-2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1.0127619047619048</v>
      </c>
      <c r="P11" s="93">
        <v>1050</v>
      </c>
      <c r="Q11" s="81">
        <v>1063.4000000000001</v>
      </c>
    </row>
    <row r="12" spans="1:17" x14ac:dyDescent="0.45">
      <c r="A12" s="38" t="s">
        <v>205</v>
      </c>
      <c r="B12" s="120">
        <f>IF(B9=0,0,C12/B9)</f>
        <v>-36.862678062678071</v>
      </c>
      <c r="C12" s="121">
        <v>-38816.400000000009</v>
      </c>
      <c r="E12" s="44" t="s">
        <v>71</v>
      </c>
      <c r="F12" s="41" t="s">
        <v>26</v>
      </c>
      <c r="G12" s="34">
        <v>492</v>
      </c>
      <c r="H12" s="107">
        <f>IF(B$51=0,0,G12/B$51)</f>
        <v>6.8580986897128521E-2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2.3583809523809522</v>
      </c>
      <c r="P12" s="94">
        <v>1050</v>
      </c>
      <c r="Q12" s="82">
        <v>2476.2999999999997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406</v>
      </c>
      <c r="H13" s="107">
        <f>IF(B$51=0,0,G13/B$51)</f>
        <v>5.6593253415110123E-2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378</v>
      </c>
      <c r="C14" s="32">
        <f t="shared" si="1"/>
        <v>0.11965811965811966</v>
      </c>
      <c r="E14" s="44" t="s">
        <v>83</v>
      </c>
      <c r="F14" s="41" t="s">
        <v>38</v>
      </c>
      <c r="G14" s="34">
        <v>345</v>
      </c>
      <c r="H14" s="107">
        <f>IF(B$51=0,0,G14/B$51)</f>
        <v>4.8090326177864511E-2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6379</v>
      </c>
      <c r="C15" s="11">
        <f>IF(B$50=0,0,B15/B$50)</f>
        <v>0.26345351670590178</v>
      </c>
      <c r="E15" s="44" t="s">
        <v>78</v>
      </c>
      <c r="F15" s="41" t="s">
        <v>33</v>
      </c>
      <c r="G15" s="34">
        <v>200</v>
      </c>
      <c r="H15" s="107">
        <f>IF(B$51=0,0,G15/B$51)</f>
        <v>2.7878449958182325E-2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5381</v>
      </c>
      <c r="C16" s="31">
        <f>IF(B$50=0,0,B16/B$50)</f>
        <v>0.22223598893156568</v>
      </c>
      <c r="E16" s="44" t="s">
        <v>81</v>
      </c>
      <c r="F16" s="41" t="s">
        <v>36</v>
      </c>
      <c r="G16" s="34">
        <v>183</v>
      </c>
      <c r="H16" s="107">
        <f>IF(B$51=0,0,G16/B$51)</f>
        <v>2.5508781711736827E-2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3611</v>
      </c>
      <c r="C17" s="4">
        <f>IF(B$15=0,0,B17/B$15)</f>
        <v>0.56607618749020228</v>
      </c>
      <c r="E17" s="44" t="s">
        <v>91</v>
      </c>
      <c r="F17" s="41" t="s">
        <v>46</v>
      </c>
      <c r="G17" s="34">
        <v>132</v>
      </c>
      <c r="H17" s="107">
        <f>IF(B$51=0,0,G17/B$51)</f>
        <v>1.8399776972400333E-2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2190</v>
      </c>
      <c r="C18" s="4">
        <f>IF(B$16=0,0,B18/B$16)</f>
        <v>0.40698754878275412</v>
      </c>
      <c r="E18" s="44" t="s">
        <v>79</v>
      </c>
      <c r="F18" s="41" t="s">
        <v>34</v>
      </c>
      <c r="G18" s="34">
        <v>109</v>
      </c>
      <c r="H18" s="107">
        <f>IF(B$51=0,0,G18/B$51)</f>
        <v>1.5193755227209367E-2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7608</v>
      </c>
      <c r="C19" s="4">
        <f>IF(B$3=0,0,B19/B$3)</f>
        <v>0.2968512232236919</v>
      </c>
      <c r="E19" s="44" t="s">
        <v>153</v>
      </c>
      <c r="F19" s="41" t="s">
        <v>154</v>
      </c>
      <c r="G19" s="34">
        <v>104</v>
      </c>
      <c r="H19" s="107">
        <f>IF(B$51=0,0,G19/B$51)</f>
        <v>1.449679397825481E-2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20.222580645161269</v>
      </c>
      <c r="P19" s="93">
        <v>186</v>
      </c>
      <c r="Q19" s="81">
        <v>3761.399999999996</v>
      </c>
    </row>
    <row r="20" spans="1:17" x14ac:dyDescent="0.45">
      <c r="A20" s="37" t="s">
        <v>13</v>
      </c>
      <c r="B20" s="34">
        <v>4232</v>
      </c>
      <c r="C20" s="31">
        <f>IF(B$3=0,0,B20/B$3)</f>
        <v>0.16512544383315775</v>
      </c>
      <c r="E20" s="44" t="s">
        <v>75</v>
      </c>
      <c r="F20" s="41" t="s">
        <v>30</v>
      </c>
      <c r="G20" s="34">
        <v>45</v>
      </c>
      <c r="H20" s="107">
        <f>IF(B$51=0,0,G20/B$51)</f>
        <v>6.2726512405910234E-3</v>
      </c>
      <c r="I20" s="68">
        <v>6</v>
      </c>
      <c r="K20" s="5">
        <v>18</v>
      </c>
      <c r="L20" s="73">
        <v>0</v>
      </c>
      <c r="N20" s="89" t="s">
        <v>186</v>
      </c>
      <c r="O20" s="99">
        <f>IF(P20=0,0,Q20/P20)</f>
        <v>13.398165137614678</v>
      </c>
      <c r="P20" s="93">
        <v>218</v>
      </c>
      <c r="Q20" s="81">
        <v>2920.7999999999997</v>
      </c>
    </row>
    <row r="21" spans="1:17" x14ac:dyDescent="0.45">
      <c r="A21" s="37" t="s">
        <v>12</v>
      </c>
      <c r="B21" s="34">
        <v>3315</v>
      </c>
      <c r="C21" s="31">
        <f>IF(B$19=0,0,B21/B$19)</f>
        <v>0.4357255520504732</v>
      </c>
      <c r="E21" s="44" t="s">
        <v>92</v>
      </c>
      <c r="F21" s="41" t="s">
        <v>47</v>
      </c>
      <c r="G21" s="34">
        <v>42</v>
      </c>
      <c r="H21" s="107">
        <f>IF(B$51=0,0,G21/B$51)</f>
        <v>5.8544744912182884E-3</v>
      </c>
      <c r="I21" s="68">
        <v>5</v>
      </c>
      <c r="K21" s="5">
        <v>19</v>
      </c>
      <c r="L21" s="73">
        <v>-6.1</v>
      </c>
      <c r="N21" s="89" t="s">
        <v>189</v>
      </c>
      <c r="O21" s="99">
        <f>IF(P21=0,0,Q21/P21)</f>
        <v>12.605357142857141</v>
      </c>
      <c r="P21" s="93">
        <v>56</v>
      </c>
      <c r="Q21" s="81">
        <v>705.89999999999986</v>
      </c>
    </row>
    <row r="22" spans="1:17" x14ac:dyDescent="0.45">
      <c r="A22" s="37" t="s">
        <v>11</v>
      </c>
      <c r="B22" s="34">
        <v>4293</v>
      </c>
      <c r="C22" s="31">
        <f>IF(B$19=0,0,B22/B$19)</f>
        <v>0.56427444794952686</v>
      </c>
      <c r="E22" s="44" t="s">
        <v>73</v>
      </c>
      <c r="F22" s="41" t="s">
        <v>28</v>
      </c>
      <c r="G22" s="34">
        <v>40</v>
      </c>
      <c r="H22" s="107">
        <f>IF(B$51=0,0,G22/B$51)</f>
        <v>5.5756899916364648E-3</v>
      </c>
      <c r="I22" s="68">
        <v>7</v>
      </c>
      <c r="K22" s="5">
        <v>20</v>
      </c>
      <c r="L22" s="73">
        <v>4.9000000000000004</v>
      </c>
      <c r="N22" s="89" t="s">
        <v>188</v>
      </c>
      <c r="O22" s="99">
        <f>IF(P22=0,0,Q22/P22)</f>
        <v>6.9277227722772263</v>
      </c>
      <c r="P22" s="93">
        <v>606</v>
      </c>
      <c r="Q22" s="81">
        <v>4198.1999999999989</v>
      </c>
    </row>
    <row r="23" spans="1:17" x14ac:dyDescent="0.45">
      <c r="A23" s="37" t="s">
        <v>180</v>
      </c>
      <c r="B23" s="34">
        <v>3611</v>
      </c>
      <c r="C23" s="31">
        <f>IF(B$19=0,0,B23/B$19)</f>
        <v>0.47463196635120924</v>
      </c>
      <c r="E23" s="44" t="s">
        <v>77</v>
      </c>
      <c r="F23" s="41" t="s">
        <v>32</v>
      </c>
      <c r="G23" s="34">
        <v>38</v>
      </c>
      <c r="H23" s="107">
        <f>IF(B$51=0,0,G23/B$51)</f>
        <v>5.296905492054642E-3</v>
      </c>
      <c r="I23" s="68">
        <v>6</v>
      </c>
      <c r="K23" s="5">
        <v>21</v>
      </c>
      <c r="L23" s="73">
        <v>0</v>
      </c>
      <c r="N23" s="89" t="s">
        <v>190</v>
      </c>
      <c r="O23" s="99">
        <f>IF(P23=0,0,Q23/P23)</f>
        <v>6.9186635944700461</v>
      </c>
      <c r="P23" s="93">
        <v>868</v>
      </c>
      <c r="Q23" s="81">
        <v>6005.4</v>
      </c>
    </row>
    <row r="24" spans="1:17" x14ac:dyDescent="0.45">
      <c r="A24" s="37" t="s">
        <v>178</v>
      </c>
      <c r="B24" s="34">
        <v>2190</v>
      </c>
      <c r="C24" s="31">
        <f>IF(B$19=0,0,B24/B$19)</f>
        <v>0.28785488958990535</v>
      </c>
      <c r="E24" s="44" t="s">
        <v>85</v>
      </c>
      <c r="F24" s="41" t="s">
        <v>40</v>
      </c>
      <c r="G24" s="34">
        <v>35</v>
      </c>
      <c r="H24" s="107">
        <f>IF(B$51=0,0,G24/B$51)</f>
        <v>4.878728742681907E-3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2.8736686390532622</v>
      </c>
      <c r="P24" s="93">
        <v>1014</v>
      </c>
      <c r="Q24" s="81">
        <v>2913.9000000000078</v>
      </c>
    </row>
    <row r="25" spans="1:17" x14ac:dyDescent="0.45">
      <c r="A25" s="37" t="s">
        <v>179</v>
      </c>
      <c r="B25" s="34">
        <v>1807</v>
      </c>
      <c r="C25" s="31">
        <f>IF(B$19=0,0,B25/B$19)</f>
        <v>0.23751314405888538</v>
      </c>
      <c r="E25" s="44" t="s">
        <v>74</v>
      </c>
      <c r="F25" s="41" t="s">
        <v>29</v>
      </c>
      <c r="G25" s="34">
        <v>25</v>
      </c>
      <c r="H25" s="107">
        <f>IF(B$51=0,0,G25/B$51)</f>
        <v>3.4848062447727906E-3</v>
      </c>
      <c r="I25" s="68">
        <v>6</v>
      </c>
      <c r="K25" s="5">
        <v>23</v>
      </c>
      <c r="L25" s="73">
        <v>-3</v>
      </c>
      <c r="N25" s="89" t="s">
        <v>187</v>
      </c>
      <c r="O25" s="99">
        <f>IF(P25=0,0,Q25/P25)</f>
        <v>2.2530000000000001</v>
      </c>
      <c r="P25" s="93">
        <v>700</v>
      </c>
      <c r="Q25" s="81">
        <v>1577.1000000000001</v>
      </c>
    </row>
    <row r="26" spans="1:17" x14ac:dyDescent="0.45">
      <c r="A26" s="37" t="s">
        <v>5</v>
      </c>
      <c r="B26" s="17">
        <f>IF(B$19=0,0,C26/B$19)</f>
        <v>8938.9064143007363</v>
      </c>
      <c r="C26" s="8">
        <v>68007200</v>
      </c>
      <c r="E26" s="44" t="s">
        <v>84</v>
      </c>
      <c r="F26" s="41" t="s">
        <v>39</v>
      </c>
      <c r="G26" s="34">
        <v>18</v>
      </c>
      <c r="H26" s="107">
        <f>IF(B$51=0,0,G26/B$51)</f>
        <v>2.5090604962364092E-3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9531.9121447028429</v>
      </c>
      <c r="C27" s="115">
        <v>51643900</v>
      </c>
      <c r="E27" s="44" t="s">
        <v>93</v>
      </c>
      <c r="F27" s="41" t="s">
        <v>48</v>
      </c>
      <c r="G27" s="34">
        <v>18</v>
      </c>
      <c r="H27" s="107">
        <f>IF(B$51=0,0,G27/B$51)</f>
        <v>2.5090604962364092E-3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7471.8264840182646</v>
      </c>
      <c r="C28" s="115">
        <v>16363300</v>
      </c>
      <c r="E28" s="44" t="s">
        <v>87</v>
      </c>
      <c r="F28" s="41" t="s">
        <v>42</v>
      </c>
      <c r="G28" s="34">
        <v>17</v>
      </c>
      <c r="H28" s="107">
        <f>IF(B$51=0,0,G28/B$51)</f>
        <v>2.3696682464454978E-3</v>
      </c>
      <c r="I28" s="68">
        <v>6</v>
      </c>
      <c r="K28" s="5">
        <v>26</v>
      </c>
      <c r="L28" s="73">
        <v>11.5</v>
      </c>
      <c r="N28" s="89" t="s">
        <v>191</v>
      </c>
      <c r="O28" s="99">
        <f>IF(P28=0,0,Q28/P28)</f>
        <v>-1.8872921615201896</v>
      </c>
      <c r="P28" s="93">
        <v>842</v>
      </c>
      <c r="Q28" s="81">
        <v>-1589.0999999999997</v>
      </c>
    </row>
    <row r="29" spans="1:17" x14ac:dyDescent="0.45">
      <c r="A29" s="38" t="s">
        <v>161</v>
      </c>
      <c r="B29" s="114">
        <f>IF(B$20=0,0,C29/B$20)</f>
        <v>-8357.5378071833657</v>
      </c>
      <c r="C29" s="115">
        <v>-35369100</v>
      </c>
      <c r="E29" s="44" t="s">
        <v>90</v>
      </c>
      <c r="F29" s="41" t="s">
        <v>45</v>
      </c>
      <c r="G29" s="34">
        <v>13</v>
      </c>
      <c r="H29" s="107">
        <f>IF(B$51=0,0,G29/B$51)</f>
        <v>1.8120992472818512E-3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9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1.6727069974909396E-3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-14.420810439560437</v>
      </c>
      <c r="P30" s="93">
        <v>1456</v>
      </c>
      <c r="Q30" s="81">
        <v>-20996.699999999997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9</v>
      </c>
      <c r="H31" s="107">
        <f>IF(B$51=0,0,G31/B$51)</f>
        <v>1.2545302481182046E-3</v>
      </c>
      <c r="I31" s="68">
        <v>3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3</v>
      </c>
      <c r="H32" s="107">
        <f>IF(B$51=0,0,G32/B$51)</f>
        <v>4.181767493727349E-4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41">
        <v>149100</v>
      </c>
      <c r="C33" s="142"/>
      <c r="E33" s="44" t="s">
        <v>97</v>
      </c>
      <c r="F33" s="41" t="s">
        <v>52</v>
      </c>
      <c r="G33" s="34">
        <v>2</v>
      </c>
      <c r="H33" s="107">
        <f>IF(B$51=0,0,G33/B$51)</f>
        <v>2.7878449958182325E-4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72</v>
      </c>
      <c r="C34" s="32">
        <f>IF(B$3=0,0,B34/B$3)</f>
        <v>2.809317569940302E-3</v>
      </c>
      <c r="E34" s="44" t="s">
        <v>101</v>
      </c>
      <c r="F34" s="41" t="s">
        <v>56</v>
      </c>
      <c r="G34" s="34">
        <v>2</v>
      </c>
      <c r="H34" s="107">
        <f>IF(B$51=0,0,G34/B$51)</f>
        <v>2.7878449958182325E-4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1.3939224979091162E-4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5">
        <v>502</v>
      </c>
      <c r="C36" s="119">
        <f>IF(B$19=0,0,B36/B$19)</f>
        <v>6.5983175604626715E-2</v>
      </c>
      <c r="E36" s="44" t="s">
        <v>80</v>
      </c>
      <c r="F36" s="41" t="s">
        <v>35</v>
      </c>
      <c r="G36" s="34">
        <v>1</v>
      </c>
      <c r="H36" s="107">
        <f>IF(B$51=0,0,G36/B$51)</f>
        <v>1.3939224979091162E-4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1103</v>
      </c>
      <c r="C37" s="31">
        <f t="shared" ref="C37:C48" si="2">IF(B$19=0,0,B37/B$19)</f>
        <v>0.14497896950578337</v>
      </c>
      <c r="E37" s="44" t="s">
        <v>102</v>
      </c>
      <c r="F37" s="41" t="s">
        <v>57</v>
      </c>
      <c r="G37" s="34">
        <v>1</v>
      </c>
      <c r="H37" s="107">
        <f>IF(B$51=0,0,G37/B$51)</f>
        <v>1.3939224979091162E-4</v>
      </c>
      <c r="I37" s="68">
        <v>2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8">
        <v>1361</v>
      </c>
      <c r="C38" s="31">
        <f>IF(B$19=0,0,B38/B$19)</f>
        <v>0.1788906414300736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8">
        <v>1343</v>
      </c>
      <c r="C39" s="31">
        <f t="shared" si="2"/>
        <v>0.17652471083070453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8">
        <v>1120</v>
      </c>
      <c r="C40" s="31">
        <f t="shared" si="2"/>
        <v>0.14721345951629863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8">
        <v>726</v>
      </c>
      <c r="C41" s="31">
        <f t="shared" si="2"/>
        <v>9.5425867507886439E-2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8">
        <v>433</v>
      </c>
      <c r="C42" s="31">
        <f t="shared" si="2"/>
        <v>5.6913774973711882E-2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8">
        <v>236</v>
      </c>
      <c r="C43" s="31">
        <f t="shared" si="2"/>
        <v>3.1019978969505785E-2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8">
        <v>136</v>
      </c>
      <c r="C44" s="31">
        <f t="shared" si="2"/>
        <v>1.7875920084121977E-2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8">
        <v>66</v>
      </c>
      <c r="C45" s="31">
        <f t="shared" si="2"/>
        <v>8.6750788643533121E-3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8">
        <v>37</v>
      </c>
      <c r="C46" s="31">
        <f t="shared" si="2"/>
        <v>4.8633017875920085E-3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8">
        <v>16</v>
      </c>
      <c r="C47" s="31">
        <f t="shared" si="2"/>
        <v>2.103049421661409E-3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4">
        <v>95</v>
      </c>
      <c r="C48" s="32">
        <f t="shared" si="2"/>
        <v>1.2486855941114617E-2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24213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39">
        <v>7174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  <row r="3081" spans="11:12" x14ac:dyDescent="0.45">
      <c r="K3081" s="5">
        <v>3079</v>
      </c>
      <c r="L3081" s="73">
        <v>-2.899999999999991</v>
      </c>
    </row>
    <row r="3082" spans="11:12" x14ac:dyDescent="0.45">
      <c r="K3082" s="5">
        <v>3080</v>
      </c>
      <c r="L3082" s="73">
        <v>-39.199999999999989</v>
      </c>
    </row>
    <row r="3083" spans="11:12" x14ac:dyDescent="0.45">
      <c r="K3083" s="5">
        <v>3081</v>
      </c>
      <c r="L3083" s="73">
        <v>1.5987211554602254E-14</v>
      </c>
    </row>
    <row r="3084" spans="11:12" x14ac:dyDescent="0.45">
      <c r="K3084" s="5">
        <v>3082</v>
      </c>
      <c r="L3084" s="73">
        <v>-55.499999999999986</v>
      </c>
    </row>
    <row r="3085" spans="11:12" x14ac:dyDescent="0.45">
      <c r="K3085" s="5">
        <v>3083</v>
      </c>
      <c r="L3085" s="73">
        <v>-55.999999999999986</v>
      </c>
    </row>
    <row r="3086" spans="11:12" x14ac:dyDescent="0.45">
      <c r="K3086" s="5">
        <v>3084</v>
      </c>
      <c r="L3086" s="73">
        <v>1.5987211554602254E-14</v>
      </c>
    </row>
    <row r="3087" spans="11:12" x14ac:dyDescent="0.45">
      <c r="K3087" s="5">
        <v>3085</v>
      </c>
      <c r="L3087" s="73">
        <v>-50.999999999999986</v>
      </c>
    </row>
    <row r="3088" spans="11:12" x14ac:dyDescent="0.45">
      <c r="K3088" s="5">
        <v>3086</v>
      </c>
      <c r="L3088" s="73">
        <v>-81.499999999999986</v>
      </c>
    </row>
    <row r="3089" spans="11:12" x14ac:dyDescent="0.45">
      <c r="K3089" s="5">
        <v>3087</v>
      </c>
      <c r="L3089" s="73">
        <v>8.8817841970012523E-15</v>
      </c>
    </row>
    <row r="3090" spans="11:12" x14ac:dyDescent="0.45">
      <c r="K3090" s="5">
        <v>3088</v>
      </c>
      <c r="L3090" s="73">
        <v>60.400000000000006</v>
      </c>
    </row>
    <row r="3091" spans="11:12" x14ac:dyDescent="0.45">
      <c r="K3091" s="5">
        <v>3089</v>
      </c>
      <c r="L3091" s="73">
        <v>-1.8999999999999897</v>
      </c>
    </row>
    <row r="3092" spans="11:12" x14ac:dyDescent="0.45">
      <c r="K3092" s="5">
        <v>3090</v>
      </c>
      <c r="L3092" s="73">
        <v>1.021405182655144E-14</v>
      </c>
    </row>
    <row r="3093" spans="11:12" x14ac:dyDescent="0.45">
      <c r="K3093" s="5">
        <v>3091</v>
      </c>
      <c r="L3093" s="73">
        <v>14.300000000000011</v>
      </c>
    </row>
    <row r="3094" spans="11:12" x14ac:dyDescent="0.45">
      <c r="K3094" s="5">
        <v>3092</v>
      </c>
      <c r="L3094" s="73">
        <v>12.800000000000011</v>
      </c>
    </row>
    <row r="3095" spans="11:12" x14ac:dyDescent="0.45">
      <c r="K3095" s="5">
        <v>3093</v>
      </c>
      <c r="L3095" s="73">
        <v>1.0658141036401503E-14</v>
      </c>
    </row>
    <row r="3096" spans="11:12" x14ac:dyDescent="0.45">
      <c r="K3096" s="5">
        <v>3094</v>
      </c>
      <c r="L3096" s="73">
        <v>3.4000000000000106</v>
      </c>
    </row>
    <row r="3097" spans="11:12" x14ac:dyDescent="0.45">
      <c r="K3097" s="5">
        <v>3095</v>
      </c>
      <c r="L3097" s="73">
        <v>-35.799999999999997</v>
      </c>
    </row>
    <row r="3098" spans="11:12" x14ac:dyDescent="0.45">
      <c r="K3098" s="5">
        <v>3096</v>
      </c>
      <c r="L3098" s="73">
        <v>1.7763568394002505E-15</v>
      </c>
    </row>
    <row r="3099" spans="11:12" x14ac:dyDescent="0.45">
      <c r="K3099" s="5">
        <v>3097</v>
      </c>
      <c r="L3099" s="73">
        <v>-27.1</v>
      </c>
    </row>
    <row r="3100" spans="11:12" x14ac:dyDescent="0.45">
      <c r="K3100" s="5">
        <v>3098</v>
      </c>
      <c r="L3100" s="73">
        <v>-28.6</v>
      </c>
    </row>
    <row r="3101" spans="11:12" x14ac:dyDescent="0.45">
      <c r="K3101" s="5">
        <v>3099</v>
      </c>
      <c r="L3101" s="73">
        <v>1.7763568394002505E-15</v>
      </c>
    </row>
    <row r="3102" spans="11:12" x14ac:dyDescent="0.45">
      <c r="K3102" s="5">
        <v>3100</v>
      </c>
      <c r="L3102" s="73">
        <v>-7.4999999999999982</v>
      </c>
    </row>
    <row r="3103" spans="11:12" x14ac:dyDescent="0.45">
      <c r="K3103" s="5">
        <v>3101</v>
      </c>
      <c r="L3103" s="73">
        <v>-41.6</v>
      </c>
    </row>
    <row r="3104" spans="11:12" x14ac:dyDescent="0.45">
      <c r="K3104" s="5">
        <v>3102</v>
      </c>
      <c r="L3104" s="73">
        <v>1.7763568394002505E-15</v>
      </c>
    </row>
    <row r="3105" spans="11:12" x14ac:dyDescent="0.45">
      <c r="K3105" s="5">
        <v>3103</v>
      </c>
      <c r="L3105" s="73">
        <v>-20.9</v>
      </c>
    </row>
    <row r="3106" spans="11:12" x14ac:dyDescent="0.45">
      <c r="K3106" s="5">
        <v>3104</v>
      </c>
      <c r="L3106" s="73">
        <v>-21.4</v>
      </c>
    </row>
    <row r="3107" spans="11:12" x14ac:dyDescent="0.45">
      <c r="K3107" s="5">
        <v>3105</v>
      </c>
      <c r="L3107" s="73">
        <v>1.7763568394002505E-15</v>
      </c>
    </row>
    <row r="3108" spans="11:12" x14ac:dyDescent="0.45">
      <c r="K3108" s="5">
        <v>3106</v>
      </c>
      <c r="L3108" s="73">
        <v>4.0000000000000018</v>
      </c>
    </row>
    <row r="3109" spans="11:12" x14ac:dyDescent="0.45">
      <c r="K3109" s="5">
        <v>3107</v>
      </c>
      <c r="L3109" s="73">
        <v>30</v>
      </c>
    </row>
    <row r="3110" spans="11:12" x14ac:dyDescent="0.45">
      <c r="K3110" s="5">
        <v>3108</v>
      </c>
      <c r="L3110" s="73">
        <v>1.7763568394002505E-15</v>
      </c>
    </row>
    <row r="3111" spans="11:12" x14ac:dyDescent="0.45">
      <c r="K3111" s="5">
        <v>3109</v>
      </c>
      <c r="L3111" s="73">
        <v>-22.5</v>
      </c>
    </row>
    <row r="3112" spans="11:12" x14ac:dyDescent="0.45">
      <c r="K3112" s="5">
        <v>3110</v>
      </c>
      <c r="L3112" s="73">
        <v>-31.9</v>
      </c>
    </row>
    <row r="3113" spans="11:12" x14ac:dyDescent="0.45">
      <c r="K3113" s="5">
        <v>3111</v>
      </c>
      <c r="L3113" s="73">
        <v>1.7763568394002505E-15</v>
      </c>
    </row>
    <row r="3114" spans="11:12" x14ac:dyDescent="0.45">
      <c r="K3114" s="5">
        <v>3112</v>
      </c>
      <c r="L3114" s="73">
        <v>-35.9</v>
      </c>
    </row>
    <row r="3115" spans="11:12" x14ac:dyDescent="0.45">
      <c r="K3115" s="5">
        <v>3113</v>
      </c>
      <c r="L3115" s="73">
        <v>-25.599999999999994</v>
      </c>
    </row>
    <row r="3116" spans="11:12" x14ac:dyDescent="0.45">
      <c r="K3116" s="5">
        <v>3114</v>
      </c>
      <c r="L3116" s="73">
        <v>5.3290705182007514E-15</v>
      </c>
    </row>
    <row r="3117" spans="11:12" x14ac:dyDescent="0.45">
      <c r="K3117" s="5">
        <v>3115</v>
      </c>
      <c r="L3117" s="73">
        <v>-26.699999999999996</v>
      </c>
    </row>
    <row r="3118" spans="11:12" x14ac:dyDescent="0.45">
      <c r="K3118" s="5">
        <v>3116</v>
      </c>
      <c r="L3118" s="73">
        <v>-18.699999999999996</v>
      </c>
    </row>
    <row r="3119" spans="11:12" x14ac:dyDescent="0.45">
      <c r="K3119" s="5">
        <v>3117</v>
      </c>
      <c r="L3119" s="73">
        <v>5.3290705182007514E-15</v>
      </c>
    </row>
    <row r="3120" spans="11:12" x14ac:dyDescent="0.45">
      <c r="K3120" s="5">
        <v>3118</v>
      </c>
      <c r="L3120" s="73">
        <v>21.500000000000007</v>
      </c>
    </row>
    <row r="3121" spans="11:12" x14ac:dyDescent="0.45">
      <c r="K3121" s="5">
        <v>3119</v>
      </c>
      <c r="L3121" s="73">
        <v>-5.3999999999999932</v>
      </c>
    </row>
    <row r="3122" spans="11:12" x14ac:dyDescent="0.45">
      <c r="K3122" s="5">
        <v>3120</v>
      </c>
      <c r="L3122" s="73">
        <v>7.1054273576010019E-15</v>
      </c>
    </row>
    <row r="3123" spans="11:12" x14ac:dyDescent="0.45">
      <c r="K3123" s="5">
        <v>3121</v>
      </c>
      <c r="L3123" s="73">
        <v>-46.599999999999994</v>
      </c>
    </row>
    <row r="3124" spans="11:12" x14ac:dyDescent="0.45">
      <c r="K3124" s="5">
        <v>3122</v>
      </c>
      <c r="L3124" s="73">
        <v>31.100000000000009</v>
      </c>
    </row>
    <row r="3125" spans="11:12" x14ac:dyDescent="0.45">
      <c r="K3125" s="5">
        <v>3123</v>
      </c>
      <c r="L3125" s="73">
        <v>8.8817841970012523E-15</v>
      </c>
    </row>
    <row r="3126" spans="11:12" x14ac:dyDescent="0.45">
      <c r="K3126" s="5">
        <v>3124</v>
      </c>
      <c r="L3126" s="73">
        <v>-41.599999999999994</v>
      </c>
    </row>
    <row r="3127" spans="11:12" x14ac:dyDescent="0.45">
      <c r="K3127" s="5">
        <v>3125</v>
      </c>
      <c r="L3127" s="73">
        <v>-27.899999999999991</v>
      </c>
    </row>
    <row r="3128" spans="11:12" x14ac:dyDescent="0.45">
      <c r="K3128" s="5">
        <v>3126</v>
      </c>
      <c r="L3128" s="73">
        <v>5.3290705182007514E-15</v>
      </c>
    </row>
    <row r="3129" spans="11:12" x14ac:dyDescent="0.45">
      <c r="K3129" s="5">
        <v>3127</v>
      </c>
      <c r="L3129" s="73">
        <v>-38.29999999999999</v>
      </c>
    </row>
    <row r="3130" spans="11:12" x14ac:dyDescent="0.45">
      <c r="K3130" s="5">
        <v>3128</v>
      </c>
      <c r="L3130" s="73">
        <v>-26.999999999999986</v>
      </c>
    </row>
    <row r="3131" spans="11:12" x14ac:dyDescent="0.45">
      <c r="K3131" s="5">
        <v>3129</v>
      </c>
      <c r="L3131" s="73">
        <v>1.2434497875801753E-14</v>
      </c>
    </row>
    <row r="3132" spans="11:12" x14ac:dyDescent="0.45">
      <c r="K3132" s="5">
        <v>3130</v>
      </c>
      <c r="L3132" s="73">
        <v>68.200000000000017</v>
      </c>
    </row>
    <row r="3133" spans="11:12" x14ac:dyDescent="0.45">
      <c r="K3133" s="5">
        <v>3131</v>
      </c>
      <c r="L3133" s="73">
        <v>44.70000000000001</v>
      </c>
    </row>
    <row r="3134" spans="11:12" x14ac:dyDescent="0.45">
      <c r="K3134" s="5">
        <v>3132</v>
      </c>
      <c r="L3134" s="73">
        <v>8.8817841970012523E-15</v>
      </c>
    </row>
    <row r="3135" spans="11:12" x14ac:dyDescent="0.45">
      <c r="K3135" s="5">
        <v>3133</v>
      </c>
      <c r="L3135" s="73">
        <v>-0.99999999999999112</v>
      </c>
    </row>
    <row r="3136" spans="11:12" x14ac:dyDescent="0.45">
      <c r="K3136" s="5">
        <v>3134</v>
      </c>
      <c r="L3136" s="73">
        <v>27.000000000000007</v>
      </c>
    </row>
    <row r="3137" spans="11:12" x14ac:dyDescent="0.45">
      <c r="K3137" s="5">
        <v>3135</v>
      </c>
      <c r="L3137" s="73">
        <v>8.8817841970012523E-15</v>
      </c>
    </row>
    <row r="3138" spans="11:12" x14ac:dyDescent="0.45">
      <c r="K3138" s="5">
        <v>3136</v>
      </c>
      <c r="L3138" s="73">
        <v>-32.29999999999999</v>
      </c>
    </row>
    <row r="3139" spans="11:12" x14ac:dyDescent="0.45">
      <c r="K3139" s="5">
        <v>3137</v>
      </c>
      <c r="L3139" s="73">
        <v>-52.199999999999989</v>
      </c>
    </row>
    <row r="3140" spans="11:12" x14ac:dyDescent="0.45">
      <c r="K3140" s="5">
        <v>3138</v>
      </c>
      <c r="L3140" s="73">
        <v>1.5987211554602254E-14</v>
      </c>
    </row>
    <row r="3141" spans="11:12" x14ac:dyDescent="0.45">
      <c r="K3141" s="5">
        <v>3139</v>
      </c>
      <c r="L3141" s="73">
        <v>43.500000000000014</v>
      </c>
    </row>
    <row r="3142" spans="11:12" x14ac:dyDescent="0.45">
      <c r="K3142" s="5">
        <v>3140</v>
      </c>
      <c r="L3142" s="73">
        <v>7.8000000000000131</v>
      </c>
    </row>
    <row r="3143" spans="11:12" x14ac:dyDescent="0.45">
      <c r="K3143" s="5">
        <v>3141</v>
      </c>
      <c r="L3143" s="73">
        <v>1.3322676295501878E-14</v>
      </c>
    </row>
    <row r="3144" spans="11:12" x14ac:dyDescent="0.45">
      <c r="K3144" s="5">
        <v>3142</v>
      </c>
      <c r="L3144" s="73">
        <v>-52.799999999999983</v>
      </c>
    </row>
    <row r="3145" spans="11:12" x14ac:dyDescent="0.45">
      <c r="K3145" s="5">
        <v>3143</v>
      </c>
      <c r="L3145" s="73">
        <v>7.500000000000016</v>
      </c>
    </row>
    <row r="3146" spans="11:12" x14ac:dyDescent="0.45">
      <c r="K3146" s="5">
        <v>3144</v>
      </c>
      <c r="L3146" s="73">
        <v>1.5987211554602254E-14</v>
      </c>
    </row>
    <row r="3147" spans="11:12" x14ac:dyDescent="0.45">
      <c r="K3147" s="5">
        <v>3145</v>
      </c>
      <c r="L3147" s="73">
        <v>-14.799999999999985</v>
      </c>
    </row>
    <row r="3148" spans="11:12" x14ac:dyDescent="0.45">
      <c r="K3148" s="5">
        <v>3146</v>
      </c>
      <c r="L3148" s="73">
        <v>-49.499999999999993</v>
      </c>
    </row>
    <row r="3149" spans="11:12" x14ac:dyDescent="0.45">
      <c r="K3149" s="5">
        <v>3147</v>
      </c>
      <c r="L3149" s="73">
        <v>8.8817841970012523E-15</v>
      </c>
    </row>
    <row r="3150" spans="11:12" x14ac:dyDescent="0.45">
      <c r="K3150" s="5">
        <v>3148</v>
      </c>
      <c r="L3150" s="73">
        <v>6.4000000000000092</v>
      </c>
    </row>
    <row r="3151" spans="11:12" x14ac:dyDescent="0.45">
      <c r="K3151" s="5">
        <v>3149</v>
      </c>
      <c r="L3151" s="73">
        <v>-24.599999999999994</v>
      </c>
    </row>
    <row r="3152" spans="11:12" x14ac:dyDescent="0.45">
      <c r="K3152" s="5">
        <v>3150</v>
      </c>
      <c r="L3152" s="73">
        <v>8.8817841970012523E-15</v>
      </c>
    </row>
    <row r="3153" spans="11:12" x14ac:dyDescent="0.45">
      <c r="K3153" s="5">
        <v>3151</v>
      </c>
      <c r="L3153" s="73">
        <v>-49.399999999999991</v>
      </c>
    </row>
    <row r="3154" spans="11:12" x14ac:dyDescent="0.45">
      <c r="K3154" s="5">
        <v>3152</v>
      </c>
      <c r="L3154" s="73">
        <v>-37.199999999999996</v>
      </c>
    </row>
    <row r="3155" spans="11:12" x14ac:dyDescent="0.45">
      <c r="K3155" s="5">
        <v>3153</v>
      </c>
      <c r="L3155" s="73">
        <v>8.8817841970012523E-15</v>
      </c>
    </row>
    <row r="3156" spans="11:12" x14ac:dyDescent="0.45">
      <c r="K3156" s="5">
        <v>3154</v>
      </c>
      <c r="L3156" s="73">
        <v>-14.599999999999991</v>
      </c>
    </row>
    <row r="3157" spans="11:12" x14ac:dyDescent="0.45">
      <c r="K3157" s="5">
        <v>3155</v>
      </c>
      <c r="L3157" s="73">
        <v>-63.499999999999993</v>
      </c>
    </row>
    <row r="3158" spans="11:12" x14ac:dyDescent="0.45">
      <c r="K3158" s="5">
        <v>3156</v>
      </c>
      <c r="L3158" s="73">
        <v>8.8817841970012523E-15</v>
      </c>
    </row>
    <row r="3159" spans="11:12" x14ac:dyDescent="0.45">
      <c r="K3159" s="5">
        <v>3157</v>
      </c>
      <c r="L3159" s="73">
        <v>30.000000000000007</v>
      </c>
    </row>
    <row r="3160" spans="11:12" x14ac:dyDescent="0.45">
      <c r="K3160" s="5">
        <v>3158</v>
      </c>
      <c r="L3160" s="73">
        <v>21.600000000000009</v>
      </c>
    </row>
    <row r="3161" spans="11:12" x14ac:dyDescent="0.45">
      <c r="K3161" s="5">
        <v>3159</v>
      </c>
      <c r="L3161" s="73">
        <v>8.8817841970012523E-15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50E46-AEF7-403B-895F-AB57AE86B58F}">
  <sheetPr codeName="Sheet4"/>
  <dimension ref="A1:Q73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728</v>
      </c>
      <c r="C2" s="132"/>
      <c r="E2" s="43" t="s">
        <v>66</v>
      </c>
      <c r="F2" s="25" t="s">
        <v>22</v>
      </c>
      <c r="G2" s="13">
        <v>1358</v>
      </c>
      <c r="H2" s="106">
        <f>IF(B$51=0,0,G2/B$51)</f>
        <v>0.73207547169811316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1311.4958448753462</v>
      </c>
      <c r="P2" s="92">
        <v>722</v>
      </c>
      <c r="Q2" s="76">
        <v>946900</v>
      </c>
    </row>
    <row r="3" spans="1:17" x14ac:dyDescent="0.45">
      <c r="A3" s="37" t="s">
        <v>8</v>
      </c>
      <c r="B3" s="133">
        <v>5819</v>
      </c>
      <c r="C3" s="134"/>
      <c r="E3" s="44" t="s">
        <v>72</v>
      </c>
      <c r="F3" s="41" t="s">
        <v>27</v>
      </c>
      <c r="G3" s="34">
        <v>1017</v>
      </c>
      <c r="H3" s="107">
        <f>IF(B$51=0,0,G3/B$51)</f>
        <v>0.54824797843665773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1431.534090909091</v>
      </c>
      <c r="P3" s="93">
        <v>704</v>
      </c>
      <c r="Q3" s="77">
        <v>1007800</v>
      </c>
    </row>
    <row r="4" spans="1:17" x14ac:dyDescent="0.45">
      <c r="A4" s="37" t="s">
        <v>6</v>
      </c>
      <c r="B4" s="135">
        <v>6998.9</v>
      </c>
      <c r="C4" s="136"/>
      <c r="E4" s="44" t="s">
        <v>64</v>
      </c>
      <c r="F4" s="41" t="s">
        <v>20</v>
      </c>
      <c r="G4" s="34">
        <v>880</v>
      </c>
      <c r="H4" s="107">
        <f>IF(B$51=0,0,G4/B$51)</f>
        <v>0.47439353099730458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1414.1579731743666</v>
      </c>
      <c r="P4" s="93">
        <v>671</v>
      </c>
      <c r="Q4" s="77">
        <v>948900</v>
      </c>
    </row>
    <row r="5" spans="1:17" x14ac:dyDescent="0.45">
      <c r="A5" s="37" t="s">
        <v>7</v>
      </c>
      <c r="B5" s="137">
        <f>IF(B$2=0,0,B$4/B$2)</f>
        <v>9.6138736263736266</v>
      </c>
      <c r="C5" s="138"/>
      <c r="E5" s="44" t="s">
        <v>68</v>
      </c>
      <c r="F5" s="41" t="s">
        <v>12</v>
      </c>
      <c r="G5" s="34">
        <v>530</v>
      </c>
      <c r="H5" s="107">
        <f>IF(B$51=0,0,G5/B$51)</f>
        <v>0.2857142857142857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1618.3441558441559</v>
      </c>
      <c r="P5" s="93">
        <v>616</v>
      </c>
      <c r="Q5" s="77">
        <v>996900</v>
      </c>
    </row>
    <row r="6" spans="1:17" x14ac:dyDescent="0.45">
      <c r="A6" s="37" t="s">
        <v>1</v>
      </c>
      <c r="B6" s="145">
        <f>IF(B$2=0,0,(B$7*1+B$8*2+B$9*3)/B$2)</f>
        <v>1.7596153846153846</v>
      </c>
      <c r="C6" s="146"/>
      <c r="E6" s="44" t="s">
        <v>67</v>
      </c>
      <c r="F6" s="41" t="s">
        <v>23</v>
      </c>
      <c r="G6" s="34">
        <v>515</v>
      </c>
      <c r="H6" s="107">
        <f>IF(B$51=0,0,G6/B$51)</f>
        <v>0.27762803234501349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1262.9294755877033</v>
      </c>
      <c r="P6" s="93">
        <v>553</v>
      </c>
      <c r="Q6" s="77">
        <v>698400</v>
      </c>
    </row>
    <row r="7" spans="1:17" x14ac:dyDescent="0.45">
      <c r="A7" s="37" t="s">
        <v>2</v>
      </c>
      <c r="B7" s="34">
        <v>340</v>
      </c>
      <c r="C7" s="31">
        <f t="shared" ref="C7:C14" si="1">IF(B$2=0,0,B7/B$2)</f>
        <v>0.46703296703296704</v>
      </c>
      <c r="E7" s="44" t="s">
        <v>157</v>
      </c>
      <c r="F7" s="41" t="s">
        <v>158</v>
      </c>
      <c r="G7" s="34">
        <v>509</v>
      </c>
      <c r="H7" s="107">
        <f>IF(B$51=0,0,G7/B$51)</f>
        <v>0.27439353099730457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1453.5087719298247</v>
      </c>
      <c r="P7" s="94">
        <v>456</v>
      </c>
      <c r="Q7" s="78">
        <v>662800</v>
      </c>
    </row>
    <row r="8" spans="1:17" x14ac:dyDescent="0.45">
      <c r="A8" s="37" t="s">
        <v>3</v>
      </c>
      <c r="B8" s="34">
        <v>223</v>
      </c>
      <c r="C8" s="31">
        <f t="shared" si="1"/>
        <v>0.30631868131868134</v>
      </c>
      <c r="E8" s="44" t="s">
        <v>89</v>
      </c>
      <c r="F8" s="41" t="s">
        <v>44</v>
      </c>
      <c r="G8" s="34">
        <v>306</v>
      </c>
      <c r="H8" s="107">
        <f>IF(B$51=0,0,G8/B$51)</f>
        <v>0.16495956873315365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165</v>
      </c>
      <c r="C9" s="7">
        <f t="shared" si="1"/>
        <v>0.22664835164835165</v>
      </c>
      <c r="E9" s="44" t="s">
        <v>69</v>
      </c>
      <c r="F9" s="41" t="s">
        <v>24</v>
      </c>
      <c r="G9" s="34">
        <v>266</v>
      </c>
      <c r="H9" s="107">
        <f>IF(B$51=0,0,G9/B$51)</f>
        <v>0.14339622641509434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37.508529411764698</v>
      </c>
      <c r="C10" s="121">
        <v>12752.899999999998</v>
      </c>
      <c r="E10" s="44" t="s">
        <v>65</v>
      </c>
      <c r="F10" s="41" t="s">
        <v>21</v>
      </c>
      <c r="G10" s="34">
        <v>215</v>
      </c>
      <c r="H10" s="107">
        <f>IF(B$51=0,0,G10/B$51)</f>
        <v>0.11590296495956873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12.525888324873101</v>
      </c>
      <c r="P10" s="92">
        <v>197</v>
      </c>
      <c r="Q10" s="80">
        <v>2467.6000000000008</v>
      </c>
    </row>
    <row r="11" spans="1:17" x14ac:dyDescent="0.45">
      <c r="A11" s="38" t="s">
        <v>204</v>
      </c>
      <c r="B11" s="120">
        <f>IF(B8=0,0,C11/B8)</f>
        <v>0.2058295964125556</v>
      </c>
      <c r="C11" s="121">
        <v>45.899999999999899</v>
      </c>
      <c r="E11" s="44" t="s">
        <v>70</v>
      </c>
      <c r="F11" s="41" t="s">
        <v>25</v>
      </c>
      <c r="G11" s="34">
        <v>137</v>
      </c>
      <c r="H11" s="107">
        <f>IF(B$51=0,0,G11/B$51)</f>
        <v>7.3854447439353099E-2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7.6179824561403509</v>
      </c>
      <c r="P11" s="93">
        <v>228</v>
      </c>
      <c r="Q11" s="81">
        <v>1736.9</v>
      </c>
    </row>
    <row r="12" spans="1:17" x14ac:dyDescent="0.45">
      <c r="A12" s="38" t="s">
        <v>205</v>
      </c>
      <c r="B12" s="120">
        <f>IF(B9=0,0,C12/B9)</f>
        <v>-35.150909090909103</v>
      </c>
      <c r="C12" s="121">
        <v>-5799.9000000000015</v>
      </c>
      <c r="E12" s="44" t="s">
        <v>86</v>
      </c>
      <c r="F12" s="41" t="s">
        <v>41</v>
      </c>
      <c r="G12" s="34">
        <v>125</v>
      </c>
      <c r="H12" s="107">
        <f>IF(B$51=0,0,G12/B$51)</f>
        <v>6.7385444743935305E-2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9.222666666666667</v>
      </c>
      <c r="P12" s="94">
        <v>300</v>
      </c>
      <c r="Q12" s="82">
        <v>2766.8</v>
      </c>
    </row>
    <row r="13" spans="1:17" x14ac:dyDescent="0.45">
      <c r="A13" s="38" t="s">
        <v>206</v>
      </c>
      <c r="B13" s="137">
        <f>AVERAGE(B10:B12)</f>
        <v>0.85448330575605047</v>
      </c>
      <c r="C13" s="138"/>
      <c r="E13" s="44" t="s">
        <v>71</v>
      </c>
      <c r="F13" s="41" t="s">
        <v>26</v>
      </c>
      <c r="G13" s="34">
        <v>124</v>
      </c>
      <c r="H13" s="107">
        <f>IF(B$51=0,0,G13/B$51)</f>
        <v>6.6846361185983832E-2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55</v>
      </c>
      <c r="C14" s="32">
        <f t="shared" si="1"/>
        <v>7.5549450549450545E-2</v>
      </c>
      <c r="E14" s="44" t="s">
        <v>83</v>
      </c>
      <c r="F14" s="41" t="s">
        <v>38</v>
      </c>
      <c r="G14" s="34">
        <v>87</v>
      </c>
      <c r="H14" s="107">
        <f>IF(B$51=0,0,G14/B$51)</f>
        <v>4.6900269541778977E-2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1537</v>
      </c>
      <c r="C15" s="11">
        <f>IF(B$50=0,0,B15/B$50)</f>
        <v>0.28659332463173598</v>
      </c>
      <c r="E15" s="44" t="s">
        <v>78</v>
      </c>
      <c r="F15" s="41" t="s">
        <v>33</v>
      </c>
      <c r="G15" s="34">
        <v>44</v>
      </c>
      <c r="H15" s="107">
        <f>IF(B$51=0,0,G15/B$51)</f>
        <v>2.3719676549865228E-2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1201</v>
      </c>
      <c r="C16" s="31">
        <f>IF(B$50=0,0,B16/B$50)</f>
        <v>0.22394182360619055</v>
      </c>
      <c r="E16" s="44" t="s">
        <v>153</v>
      </c>
      <c r="F16" s="41" t="s">
        <v>154</v>
      </c>
      <c r="G16" s="34">
        <v>43</v>
      </c>
      <c r="H16" s="107">
        <f>IF(B$51=0,0,G16/B$51)</f>
        <v>2.3180592991913745E-2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929</v>
      </c>
      <c r="C17" s="4">
        <f>IF(B$15=0,0,B17/B$15)</f>
        <v>0.60442420299284316</v>
      </c>
      <c r="E17" s="44" t="s">
        <v>81</v>
      </c>
      <c r="F17" s="41" t="s">
        <v>36</v>
      </c>
      <c r="G17" s="34">
        <v>34</v>
      </c>
      <c r="H17" s="107">
        <f>IF(B$51=0,0,G17/B$51)</f>
        <v>1.8328840970350403E-2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589</v>
      </c>
      <c r="C18" s="4">
        <f>IF(B$16=0,0,B18/B$16)</f>
        <v>0.4904246461282265</v>
      </c>
      <c r="E18" s="44" t="s">
        <v>91</v>
      </c>
      <c r="F18" s="41" t="s">
        <v>46</v>
      </c>
      <c r="G18" s="34">
        <v>30</v>
      </c>
      <c r="H18" s="107">
        <f>IF(B$51=0,0,G18/B$51)</f>
        <v>1.6172506738544475E-2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42.091666666666661</v>
      </c>
      <c r="P18" s="93">
        <v>12</v>
      </c>
      <c r="Q18" s="81">
        <v>505.09999999999991</v>
      </c>
    </row>
    <row r="19" spans="1:17" x14ac:dyDescent="0.45">
      <c r="A19" s="19" t="s">
        <v>10</v>
      </c>
      <c r="B19" s="13">
        <v>2011</v>
      </c>
      <c r="C19" s="4">
        <f>IF(B$3=0,0,B19/B$3)</f>
        <v>0.34559202612132667</v>
      </c>
      <c r="E19" s="44" t="s">
        <v>79</v>
      </c>
      <c r="F19" s="41" t="s">
        <v>34</v>
      </c>
      <c r="G19" s="34">
        <v>21</v>
      </c>
      <c r="H19" s="107">
        <f>IF(B$51=0,0,G19/B$51)</f>
        <v>1.1320754716981131E-2</v>
      </c>
      <c r="I19" s="68">
        <v>13</v>
      </c>
      <c r="K19" s="5">
        <v>17</v>
      </c>
      <c r="L19" s="73">
        <v>-29.499999999999986</v>
      </c>
      <c r="N19" s="89" t="s">
        <v>197</v>
      </c>
      <c r="O19" s="99">
        <f>IF(P19=0,0,Q19/P19)</f>
        <v>30.043333333333344</v>
      </c>
      <c r="P19" s="93">
        <v>30</v>
      </c>
      <c r="Q19" s="81">
        <v>901.3000000000003</v>
      </c>
    </row>
    <row r="20" spans="1:17" x14ac:dyDescent="0.45">
      <c r="A20" s="37" t="s">
        <v>13</v>
      </c>
      <c r="B20" s="34">
        <v>807</v>
      </c>
      <c r="C20" s="31">
        <f>IF(B$3=0,0,B20/B$3)</f>
        <v>0.13868362261556968</v>
      </c>
      <c r="E20" s="44" t="s">
        <v>92</v>
      </c>
      <c r="F20" s="41" t="s">
        <v>47</v>
      </c>
      <c r="G20" s="34">
        <v>14</v>
      </c>
      <c r="H20" s="107">
        <f>IF(B$51=0,0,G20/B$51)</f>
        <v>7.5471698113207548E-3</v>
      </c>
      <c r="I20" s="68">
        <v>4</v>
      </c>
      <c r="K20" s="5">
        <v>18</v>
      </c>
      <c r="L20" s="73">
        <v>-14.599999999999985</v>
      </c>
      <c r="N20" s="89" t="s">
        <v>200</v>
      </c>
      <c r="O20" s="99">
        <f>IF(P20=0,0,Q20/P20)</f>
        <v>29.599999999999998</v>
      </c>
      <c r="P20" s="93">
        <v>1</v>
      </c>
      <c r="Q20" s="81">
        <v>29.599999999999998</v>
      </c>
    </row>
    <row r="21" spans="1:17" x14ac:dyDescent="0.45">
      <c r="A21" s="37" t="s">
        <v>12</v>
      </c>
      <c r="B21" s="34">
        <v>824</v>
      </c>
      <c r="C21" s="31">
        <f>IF(B$19=0,0,B21/B$19)</f>
        <v>0.40974639482844355</v>
      </c>
      <c r="E21" s="44" t="s">
        <v>85</v>
      </c>
      <c r="F21" s="41" t="s">
        <v>40</v>
      </c>
      <c r="G21" s="34">
        <v>13</v>
      </c>
      <c r="H21" s="107">
        <f>IF(B$51=0,0,G21/B$51)</f>
        <v>7.0080862533692719E-3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5">
      <c r="A22" s="37" t="s">
        <v>11</v>
      </c>
      <c r="B22" s="34">
        <v>1187</v>
      </c>
      <c r="C22" s="31">
        <f>IF(B$19=0,0,B22/B$19)</f>
        <v>0.59025360517155645</v>
      </c>
      <c r="E22" s="44" t="s">
        <v>77</v>
      </c>
      <c r="F22" s="41" t="s">
        <v>32</v>
      </c>
      <c r="G22" s="34">
        <v>12</v>
      </c>
      <c r="H22" s="107">
        <f>IF(B$51=0,0,G22/B$51)</f>
        <v>6.4690026954177899E-3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20.520958083832337</v>
      </c>
      <c r="P22" s="93">
        <v>167</v>
      </c>
      <c r="Q22" s="81">
        <v>3427</v>
      </c>
    </row>
    <row r="23" spans="1:17" x14ac:dyDescent="0.45">
      <c r="A23" s="37" t="s">
        <v>180</v>
      </c>
      <c r="B23" s="34">
        <v>929</v>
      </c>
      <c r="C23" s="31">
        <f>IF(B$19=0,0,B23/B$19)</f>
        <v>0.46195922426653407</v>
      </c>
      <c r="E23" s="44" t="s">
        <v>75</v>
      </c>
      <c r="F23" s="41" t="s">
        <v>30</v>
      </c>
      <c r="G23" s="34">
        <v>10</v>
      </c>
      <c r="H23" s="107">
        <f>IF(B$51=0,0,G23/B$51)</f>
        <v>5.3908355795148251E-3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18.586857142857149</v>
      </c>
      <c r="P23" s="93">
        <v>175</v>
      </c>
      <c r="Q23" s="81">
        <v>3252.7000000000007</v>
      </c>
    </row>
    <row r="24" spans="1:17" x14ac:dyDescent="0.45">
      <c r="A24" s="37" t="s">
        <v>178</v>
      </c>
      <c r="B24" s="34">
        <v>589</v>
      </c>
      <c r="C24" s="31">
        <f>IF(B$19=0,0,B24/B$19)</f>
        <v>0.29288910989557432</v>
      </c>
      <c r="E24" s="44" t="s">
        <v>73</v>
      </c>
      <c r="F24" s="41" t="s">
        <v>28</v>
      </c>
      <c r="G24" s="34">
        <v>8</v>
      </c>
      <c r="H24" s="107">
        <f>IF(B$51=0,0,G24/B$51)</f>
        <v>4.3126684636118602E-3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14.969329073482427</v>
      </c>
      <c r="P24" s="93">
        <v>313</v>
      </c>
      <c r="Q24" s="81">
        <v>4685.3999999999996</v>
      </c>
    </row>
    <row r="25" spans="1:17" x14ac:dyDescent="0.45">
      <c r="A25" s="37" t="s">
        <v>179</v>
      </c>
      <c r="B25" s="34">
        <v>493</v>
      </c>
      <c r="C25" s="31">
        <f>IF(B$19=0,0,B25/B$19)</f>
        <v>0.24515166583789161</v>
      </c>
      <c r="E25" s="44" t="s">
        <v>74</v>
      </c>
      <c r="F25" s="41" t="s">
        <v>29</v>
      </c>
      <c r="G25" s="34">
        <v>6</v>
      </c>
      <c r="H25" s="107">
        <f>IF(B$51=0,0,G25/B$51)</f>
        <v>3.234501347708895E-3</v>
      </c>
      <c r="I25" s="68">
        <v>8</v>
      </c>
      <c r="K25" s="5">
        <v>23</v>
      </c>
      <c r="L25" s="73">
        <v>124.50000000000001</v>
      </c>
      <c r="N25" s="89" t="s">
        <v>193</v>
      </c>
      <c r="O25" s="99">
        <f>IF(P25=0,0,Q25/P25)</f>
        <v>12.736857142857149</v>
      </c>
      <c r="P25" s="93">
        <v>350</v>
      </c>
      <c r="Q25" s="81">
        <v>4457.9000000000024</v>
      </c>
    </row>
    <row r="26" spans="1:17" x14ac:dyDescent="0.45">
      <c r="A26" s="37" t="s">
        <v>5</v>
      </c>
      <c r="B26" s="17">
        <f>IF(B$19=0,0,C26/B$19)</f>
        <v>9156.8373943311781</v>
      </c>
      <c r="C26" s="8">
        <v>18414400</v>
      </c>
      <c r="E26" s="44" t="s">
        <v>87</v>
      </c>
      <c r="F26" s="41" t="s">
        <v>42</v>
      </c>
      <c r="G26" s="34">
        <v>5</v>
      </c>
      <c r="H26" s="107">
        <f>IF(B$51=0,0,G26/B$51)</f>
        <v>2.6954177897574125E-3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9542.8973277074547</v>
      </c>
      <c r="C27" s="115">
        <v>13570000</v>
      </c>
      <c r="E27" s="44" t="s">
        <v>90</v>
      </c>
      <c r="F27" s="41" t="s">
        <v>45</v>
      </c>
      <c r="G27" s="34">
        <v>5</v>
      </c>
      <c r="H27" s="107">
        <f>IF(B$51=0,0,G27/B$51)</f>
        <v>2.6954177897574125E-3</v>
      </c>
      <c r="I27" s="68">
        <v>2</v>
      </c>
      <c r="K27" s="5">
        <v>25</v>
      </c>
      <c r="L27" s="73">
        <v>84.300000000000011</v>
      </c>
      <c r="N27" s="89" t="s">
        <v>191</v>
      </c>
      <c r="O27" s="99">
        <f>IF(P27=0,0,Q27/P27)</f>
        <v>5.3111553784860552</v>
      </c>
      <c r="P27" s="93">
        <v>251</v>
      </c>
      <c r="Q27" s="81">
        <v>1333.1</v>
      </c>
    </row>
    <row r="28" spans="1:17" x14ac:dyDescent="0.45">
      <c r="A28" s="38" t="s">
        <v>163</v>
      </c>
      <c r="B28" s="114">
        <f>IF(B$18=0,0,C28/B$18)</f>
        <v>8224.7877758913419</v>
      </c>
      <c r="C28" s="115">
        <v>4844400</v>
      </c>
      <c r="E28" s="44" t="s">
        <v>95</v>
      </c>
      <c r="F28" s="41" t="s">
        <v>50</v>
      </c>
      <c r="G28" s="34">
        <v>5</v>
      </c>
      <c r="H28" s="107">
        <f>IF(B$51=0,0,G28/B$51)</f>
        <v>2.6954177897574125E-3</v>
      </c>
      <c r="I28" s="68">
        <v>2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5">
      <c r="A29" s="38" t="s">
        <v>161</v>
      </c>
      <c r="B29" s="114">
        <f>IF(B$20=0,0,C29/B$20)</f>
        <v>-8383.2713754646848</v>
      </c>
      <c r="C29" s="115">
        <v>-6765300</v>
      </c>
      <c r="E29" s="44" t="s">
        <v>84</v>
      </c>
      <c r="F29" s="41" t="s">
        <v>39</v>
      </c>
      <c r="G29" s="34">
        <v>4</v>
      </c>
      <c r="H29" s="107">
        <f>IF(B$51=0,0,G29/B$51)</f>
        <v>2.1563342318059301E-3</v>
      </c>
      <c r="I29" s="68">
        <v>5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4</v>
      </c>
      <c r="H30" s="107">
        <f>IF(B$51=0,0,G30/B$51)</f>
        <v>2.1563342318059301E-3</v>
      </c>
      <c r="I30" s="68">
        <v>4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4</v>
      </c>
      <c r="H31" s="107">
        <f>IF(B$51=0,0,G31/B$51)</f>
        <v>2.1563342318059301E-3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43">
        <v>10</v>
      </c>
      <c r="C32" s="144"/>
      <c r="E32" s="44" t="s">
        <v>106</v>
      </c>
      <c r="F32" s="41" t="s">
        <v>113</v>
      </c>
      <c r="G32" s="34">
        <v>2</v>
      </c>
      <c r="H32" s="107">
        <f>IF(B$51=0,0,G32/B$51)</f>
        <v>1.0781671159029651E-3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41">
        <v>149100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8.592541673827118E-4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5">
        <v>128</v>
      </c>
      <c r="C36" s="119">
        <f>IF(B$19=0,0,B36/B$19)</f>
        <v>6.3649925410243655E-2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266</v>
      </c>
      <c r="C37" s="31">
        <f t="shared" ref="C37:C48" si="2">IF(B$19=0,0,B37/B$19)</f>
        <v>0.13227250124316262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8">
        <v>355</v>
      </c>
      <c r="C38" s="31">
        <f>IF(B$19=0,0,B38/B$19)</f>
        <v>0.17652909000497266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8">
        <v>364</v>
      </c>
      <c r="C39" s="31">
        <f t="shared" si="2"/>
        <v>0.18100447538538042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8">
        <v>273</v>
      </c>
      <c r="C40" s="31">
        <f t="shared" si="2"/>
        <v>0.13575335653903531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8">
        <v>197</v>
      </c>
      <c r="C41" s="31">
        <f t="shared" si="2"/>
        <v>9.7961213326703128E-2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8">
        <v>122</v>
      </c>
      <c r="C42" s="31">
        <f t="shared" si="2"/>
        <v>6.0666335156638489E-2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8">
        <v>55</v>
      </c>
      <c r="C43" s="31">
        <f t="shared" si="2"/>
        <v>2.7349577324714072E-2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8">
        <v>36</v>
      </c>
      <c r="C44" s="31">
        <f t="shared" si="2"/>
        <v>1.790154152163103E-2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8">
        <v>16</v>
      </c>
      <c r="C45" s="31">
        <f t="shared" si="2"/>
        <v>7.9562406762804568E-3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8">
        <v>9</v>
      </c>
      <c r="C46" s="31">
        <f t="shared" si="2"/>
        <v>4.4753853804077575E-3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8">
        <v>3</v>
      </c>
      <c r="C47" s="31">
        <f t="shared" si="2"/>
        <v>1.4917951268025858E-3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4">
        <v>31</v>
      </c>
      <c r="C48" s="32">
        <f t="shared" si="2"/>
        <v>1.5415216310293387E-2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5363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39">
        <v>1855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  <row r="713" spans="11:12" x14ac:dyDescent="0.45">
      <c r="K713" s="5">
        <v>711</v>
      </c>
      <c r="L713" s="73">
        <v>6758.0999999999995</v>
      </c>
    </row>
    <row r="714" spans="11:12" x14ac:dyDescent="0.45">
      <c r="K714" s="5">
        <v>712</v>
      </c>
      <c r="L714" s="73">
        <v>6818.5</v>
      </c>
    </row>
    <row r="715" spans="11:12" x14ac:dyDescent="0.45">
      <c r="K715" s="5">
        <v>713</v>
      </c>
      <c r="L715" s="73">
        <v>6817</v>
      </c>
    </row>
    <row r="716" spans="11:12" x14ac:dyDescent="0.45">
      <c r="K716" s="5">
        <v>714</v>
      </c>
      <c r="L716" s="73">
        <v>6820.4</v>
      </c>
    </row>
    <row r="717" spans="11:12" x14ac:dyDescent="0.45">
      <c r="K717" s="5">
        <v>715</v>
      </c>
      <c r="L717" s="73">
        <v>6862</v>
      </c>
    </row>
    <row r="718" spans="11:12" x14ac:dyDescent="0.45">
      <c r="K718" s="5">
        <v>716</v>
      </c>
      <c r="L718" s="73">
        <v>6883.4</v>
      </c>
    </row>
    <row r="719" spans="11:12" x14ac:dyDescent="0.45">
      <c r="K719" s="5">
        <v>717</v>
      </c>
      <c r="L719" s="73">
        <v>6887.4</v>
      </c>
    </row>
    <row r="720" spans="11:12" x14ac:dyDescent="0.45">
      <c r="K720" s="5">
        <v>718</v>
      </c>
      <c r="L720" s="73">
        <v>6851.5</v>
      </c>
    </row>
    <row r="721" spans="11:12" x14ac:dyDescent="0.45">
      <c r="K721" s="5">
        <v>719</v>
      </c>
      <c r="L721" s="73">
        <v>6870.2</v>
      </c>
    </row>
    <row r="722" spans="11:12" x14ac:dyDescent="0.45">
      <c r="K722" s="5">
        <v>720</v>
      </c>
      <c r="L722" s="73">
        <v>6947.9</v>
      </c>
    </row>
    <row r="723" spans="11:12" x14ac:dyDescent="0.45">
      <c r="K723" s="5">
        <v>721</v>
      </c>
      <c r="L723" s="73">
        <v>6961.5999999999995</v>
      </c>
    </row>
    <row r="724" spans="11:12" x14ac:dyDescent="0.45">
      <c r="K724" s="5">
        <v>722</v>
      </c>
      <c r="L724" s="73">
        <v>6916.9</v>
      </c>
    </row>
    <row r="725" spans="11:12" x14ac:dyDescent="0.45">
      <c r="K725" s="5">
        <v>723</v>
      </c>
      <c r="L725" s="73">
        <v>6915.9</v>
      </c>
    </row>
    <row r="726" spans="11:12" x14ac:dyDescent="0.45">
      <c r="K726" s="5">
        <v>724</v>
      </c>
      <c r="L726" s="73">
        <v>6968.0999999999995</v>
      </c>
    </row>
    <row r="727" spans="11:12" x14ac:dyDescent="0.45">
      <c r="K727" s="5">
        <v>725</v>
      </c>
      <c r="L727" s="73">
        <v>6932.4</v>
      </c>
    </row>
    <row r="728" spans="11:12" x14ac:dyDescent="0.45">
      <c r="K728" s="5">
        <v>726</v>
      </c>
      <c r="L728" s="73">
        <v>6992.7</v>
      </c>
    </row>
    <row r="729" spans="11:12" x14ac:dyDescent="0.45">
      <c r="K729" s="5">
        <v>727</v>
      </c>
      <c r="L729" s="73">
        <v>6961.7</v>
      </c>
    </row>
    <row r="730" spans="11:12" x14ac:dyDescent="0.45">
      <c r="K730" s="5">
        <v>728</v>
      </c>
      <c r="L730" s="73">
        <v>6998.9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ED3B7-B66E-447B-AD85-F675AC1C7830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3">
        <v>25</v>
      </c>
      <c r="C3" s="13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5">
        <v>-132.1</v>
      </c>
      <c r="C4" s="13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5">
        <f>IF(B$2=0,0,(B$7*1+B$8*2+B$9*3)/B$2)</f>
        <v>3</v>
      </c>
      <c r="C6" s="14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10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0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41">
        <v>13000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9">
        <v>0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4ABAE-DDEE-427F-BA66-702E89FB3CE2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66</v>
      </c>
      <c r="F2" s="25" t="s">
        <v>22</v>
      </c>
      <c r="G2" s="13">
        <v>43</v>
      </c>
      <c r="H2" s="106">
        <f>IF(B$51=0,0,G2/B$51)</f>
        <v>0.65151515151515149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-3022.2222222222222</v>
      </c>
      <c r="P2" s="92">
        <v>27</v>
      </c>
      <c r="Q2" s="76">
        <v>-81600</v>
      </c>
    </row>
    <row r="3" spans="1:17" x14ac:dyDescent="0.45">
      <c r="A3" s="37" t="s">
        <v>8</v>
      </c>
      <c r="B3" s="133">
        <v>224</v>
      </c>
      <c r="C3" s="134"/>
      <c r="E3" s="44" t="s">
        <v>64</v>
      </c>
      <c r="F3" s="41" t="s">
        <v>20</v>
      </c>
      <c r="G3" s="34">
        <v>40</v>
      </c>
      <c r="H3" s="107">
        <f>IF(B$51=0,0,G3/B$51)</f>
        <v>0.60606060606060608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-1333.3333333333333</v>
      </c>
      <c r="P3" s="93">
        <v>27</v>
      </c>
      <c r="Q3" s="77">
        <v>-36000</v>
      </c>
    </row>
    <row r="4" spans="1:17" x14ac:dyDescent="0.45">
      <c r="A4" s="37" t="s">
        <v>6</v>
      </c>
      <c r="B4" s="135">
        <v>-235.3</v>
      </c>
      <c r="C4" s="136"/>
      <c r="E4" s="44" t="s">
        <v>72</v>
      </c>
      <c r="F4" s="41" t="s">
        <v>27</v>
      </c>
      <c r="G4" s="34">
        <v>31</v>
      </c>
      <c r="H4" s="107">
        <f>IF(B$51=0,0,G4/B$51)</f>
        <v>0.46969696969696972</v>
      </c>
      <c r="I4" s="68">
        <v>14</v>
      </c>
      <c r="K4" s="5">
        <v>2</v>
      </c>
      <c r="L4" s="73">
        <v>-24.5</v>
      </c>
      <c r="N4" s="89" t="s">
        <v>128</v>
      </c>
      <c r="O4" s="96">
        <f t="shared" si="0"/>
        <v>-3629.6296296296296</v>
      </c>
      <c r="P4" s="93">
        <v>27</v>
      </c>
      <c r="Q4" s="77">
        <v>-98000</v>
      </c>
    </row>
    <row r="5" spans="1:17" x14ac:dyDescent="0.45">
      <c r="A5" s="37" t="s">
        <v>7</v>
      </c>
      <c r="B5" s="137">
        <f>IF(B$2=0,0,B$4/B$2)</f>
        <v>-8.4035714285714285</v>
      </c>
      <c r="C5" s="138"/>
      <c r="E5" s="44" t="s">
        <v>67</v>
      </c>
      <c r="F5" s="41" t="s">
        <v>23</v>
      </c>
      <c r="G5" s="34">
        <v>29</v>
      </c>
      <c r="H5" s="107">
        <f>IF(B$51=0,0,G5/B$51)</f>
        <v>0.43939393939393939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1265.2173913043478</v>
      </c>
      <c r="P5" s="93">
        <v>23</v>
      </c>
      <c r="Q5" s="77">
        <v>29100</v>
      </c>
    </row>
    <row r="6" spans="1:17" x14ac:dyDescent="0.45">
      <c r="A6" s="37" t="s">
        <v>1</v>
      </c>
      <c r="B6" s="145">
        <f>IF(B$2=0,0,(B$7*1+B$8*2+B$9*3)/B$2)</f>
        <v>2.1785714285714284</v>
      </c>
      <c r="C6" s="146"/>
      <c r="E6" s="44" t="s">
        <v>68</v>
      </c>
      <c r="F6" s="41" t="s">
        <v>12</v>
      </c>
      <c r="G6" s="34">
        <v>24</v>
      </c>
      <c r="H6" s="107">
        <f>IF(B$51=0,0,G6/B$51)</f>
        <v>0.36363636363636365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1328.5714285714287</v>
      </c>
      <c r="P6" s="93">
        <v>21</v>
      </c>
      <c r="Q6" s="77">
        <v>27900</v>
      </c>
    </row>
    <row r="7" spans="1:17" x14ac:dyDescent="0.45">
      <c r="A7" s="37" t="s">
        <v>2</v>
      </c>
      <c r="B7" s="34">
        <v>7</v>
      </c>
      <c r="C7" s="31">
        <f t="shared" ref="C7:C14" si="1">IF(B$2=0,0,B7/B$2)</f>
        <v>0.25</v>
      </c>
      <c r="E7" s="44" t="s">
        <v>157</v>
      </c>
      <c r="F7" s="41" t="s">
        <v>158</v>
      </c>
      <c r="G7" s="34">
        <v>17</v>
      </c>
      <c r="H7" s="107">
        <f>IF(B$51=0,0,G7/B$51)</f>
        <v>0.25757575757575757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-688.88888888888891</v>
      </c>
      <c r="P7" s="94">
        <v>18</v>
      </c>
      <c r="Q7" s="78">
        <v>-12400</v>
      </c>
    </row>
    <row r="8" spans="1:17" x14ac:dyDescent="0.45">
      <c r="A8" s="37" t="s">
        <v>3</v>
      </c>
      <c r="B8" s="34">
        <v>9</v>
      </c>
      <c r="C8" s="31">
        <f t="shared" si="1"/>
        <v>0.32142857142857145</v>
      </c>
      <c r="E8" s="44" t="s">
        <v>65</v>
      </c>
      <c r="F8" s="41" t="s">
        <v>21</v>
      </c>
      <c r="G8" s="34">
        <v>11</v>
      </c>
      <c r="H8" s="107">
        <f>IF(B$51=0,0,G8/B$51)</f>
        <v>0.16666666666666666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12</v>
      </c>
      <c r="C9" s="7">
        <f t="shared" si="1"/>
        <v>0.42857142857142855</v>
      </c>
      <c r="E9" s="44" t="s">
        <v>69</v>
      </c>
      <c r="F9" s="41" t="s">
        <v>24</v>
      </c>
      <c r="G9" s="34">
        <v>7</v>
      </c>
      <c r="H9" s="107">
        <f>IF(B$51=0,0,G9/B$51)</f>
        <v>0.10606060606060606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89</v>
      </c>
      <c r="F10" s="41" t="s">
        <v>44</v>
      </c>
      <c r="G10" s="34">
        <v>7</v>
      </c>
      <c r="H10" s="107">
        <f>IF(B$51=0,0,G10/B$51)</f>
        <v>0.10606060606060606</v>
      </c>
      <c r="I10" s="68">
        <v>13</v>
      </c>
      <c r="K10" s="5">
        <v>8</v>
      </c>
      <c r="L10" s="73">
        <v>37.6</v>
      </c>
      <c r="N10" s="88" t="s">
        <v>149</v>
      </c>
      <c r="O10" s="98">
        <f>IF(P10=0,0,Q10/P10)</f>
        <v>-15.425000000000001</v>
      </c>
      <c r="P10" s="92">
        <v>8</v>
      </c>
      <c r="Q10" s="80">
        <v>-123.4</v>
      </c>
    </row>
    <row r="11" spans="1:17" x14ac:dyDescent="0.45">
      <c r="A11" s="38" t="s">
        <v>204</v>
      </c>
      <c r="B11" s="120">
        <f>IF(B8=0,0,C11/B8)</f>
        <v>1.0444444444444441</v>
      </c>
      <c r="C11" s="121">
        <v>9.3999999999999968</v>
      </c>
      <c r="E11" s="44" t="s">
        <v>70</v>
      </c>
      <c r="F11" s="41" t="s">
        <v>25</v>
      </c>
      <c r="G11" s="34">
        <v>6</v>
      </c>
      <c r="H11" s="107">
        <f>IF(B$51=0,0,G11/B$51)</f>
        <v>9.0909090909090912E-2</v>
      </c>
      <c r="I11" s="68">
        <v>9</v>
      </c>
      <c r="K11" s="5">
        <v>9</v>
      </c>
      <c r="L11" s="73">
        <v>13.100000000000001</v>
      </c>
      <c r="N11" s="89" t="s">
        <v>150</v>
      </c>
      <c r="O11" s="99">
        <f>IF(P11=0,0,Q11/P11)</f>
        <v>-6.0666666666666664</v>
      </c>
      <c r="P11" s="93">
        <v>12</v>
      </c>
      <c r="Q11" s="81">
        <v>-72.8</v>
      </c>
    </row>
    <row r="12" spans="1:17" x14ac:dyDescent="0.45">
      <c r="A12" s="38" t="s">
        <v>205</v>
      </c>
      <c r="B12" s="120">
        <f>IF(B9=0,0,C12/B9)</f>
        <v>-36.158333333333331</v>
      </c>
      <c r="C12" s="121">
        <v>-433.9</v>
      </c>
      <c r="E12" s="44" t="s">
        <v>83</v>
      </c>
      <c r="F12" s="41" t="s">
        <v>38</v>
      </c>
      <c r="G12" s="34">
        <v>4</v>
      </c>
      <c r="H12" s="107">
        <f>IF(B$51=0,0,G12/B$51)</f>
        <v>6.0606060606060608E-2</v>
      </c>
      <c r="I12" s="68">
        <v>4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7">
        <f>AVERAGE(B10:B12)</f>
        <v>-2.6951058201058182</v>
      </c>
      <c r="C13" s="138"/>
      <c r="E13" s="44" t="s">
        <v>71</v>
      </c>
      <c r="F13" s="41" t="s">
        <v>26</v>
      </c>
      <c r="G13" s="34">
        <v>3</v>
      </c>
      <c r="H13" s="107">
        <f>IF(B$51=0,0,G13/B$51)</f>
        <v>4.5454545454545456E-2</v>
      </c>
      <c r="I13" s="68">
        <v>12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</v>
      </c>
      <c r="C14" s="32">
        <f t="shared" si="1"/>
        <v>0.14285714285714285</v>
      </c>
      <c r="E14" s="44" t="s">
        <v>75</v>
      </c>
      <c r="F14" s="41" t="s">
        <v>30</v>
      </c>
      <c r="G14" s="34">
        <v>2</v>
      </c>
      <c r="H14" s="107">
        <f>IF(B$51=0,0,G14/B$51)</f>
        <v>3.0303030303030304E-2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76</v>
      </c>
      <c r="C15" s="11">
        <f>IF(B$50=0,0,B15/B$50)</f>
        <v>0.34703196347031962</v>
      </c>
      <c r="E15" s="44" t="s">
        <v>79</v>
      </c>
      <c r="F15" s="41" t="s">
        <v>34</v>
      </c>
      <c r="G15" s="34">
        <v>2</v>
      </c>
      <c r="H15" s="107">
        <f>IF(B$51=0,0,G15/B$51)</f>
        <v>3.0303030303030304E-2</v>
      </c>
      <c r="I15" s="68">
        <v>3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118</v>
      </c>
      <c r="B16" s="34">
        <v>24</v>
      </c>
      <c r="C16" s="31">
        <f>IF(B$50=0,0,B16/B$50)</f>
        <v>0.1095890410958904</v>
      </c>
      <c r="E16" s="44" t="s">
        <v>85</v>
      </c>
      <c r="F16" s="41" t="s">
        <v>40</v>
      </c>
      <c r="G16" s="34">
        <v>2</v>
      </c>
      <c r="H16" s="107">
        <f>IF(B$51=0,0,G16/B$51)</f>
        <v>3.0303030303030304E-2</v>
      </c>
      <c r="I16" s="68">
        <v>1</v>
      </c>
      <c r="K16" s="5">
        <v>14</v>
      </c>
      <c r="L16" s="73">
        <v>70.599999999999994</v>
      </c>
      <c r="N16" s="89" t="s">
        <v>187</v>
      </c>
      <c r="O16" s="99">
        <f>IF(P16=0,0,Q16/P16)</f>
        <v>13.000000000000004</v>
      </c>
      <c r="P16" s="93">
        <v>5</v>
      </c>
      <c r="Q16" s="81">
        <v>65.000000000000014</v>
      </c>
    </row>
    <row r="17" spans="1:17" x14ac:dyDescent="0.45">
      <c r="A17" s="19" t="s">
        <v>123</v>
      </c>
      <c r="B17" s="13">
        <v>38</v>
      </c>
      <c r="C17" s="4">
        <f>IF(B$15=0,0,B17/B$15)</f>
        <v>0.5</v>
      </c>
      <c r="E17" s="44" t="s">
        <v>86</v>
      </c>
      <c r="F17" s="41" t="s">
        <v>41</v>
      </c>
      <c r="G17" s="34">
        <v>2</v>
      </c>
      <c r="H17" s="107">
        <f>IF(B$51=0,0,G17/B$51)</f>
        <v>3.0303030303030304E-2</v>
      </c>
      <c r="I17" s="68">
        <v>14</v>
      </c>
      <c r="K17" s="5">
        <v>15</v>
      </c>
      <c r="L17" s="73">
        <v>38.699999999999996</v>
      </c>
      <c r="N17" s="89" t="s">
        <v>193</v>
      </c>
      <c r="O17" s="99">
        <f>IF(P17=0,0,Q17/P17)</f>
        <v>2.8600000000000012</v>
      </c>
      <c r="P17" s="93">
        <v>5</v>
      </c>
      <c r="Q17" s="81">
        <v>14.300000000000006</v>
      </c>
    </row>
    <row r="18" spans="1:17" x14ac:dyDescent="0.45">
      <c r="A18" s="19" t="s">
        <v>124</v>
      </c>
      <c r="B18" s="13">
        <v>16</v>
      </c>
      <c r="C18" s="4">
        <f>IF(B$16=0,0,B18/B$16)</f>
        <v>0.66666666666666663</v>
      </c>
      <c r="E18" s="44" t="s">
        <v>77</v>
      </c>
      <c r="F18" s="41" t="s">
        <v>32</v>
      </c>
      <c r="G18" s="34">
        <v>1</v>
      </c>
      <c r="H18" s="107">
        <f>IF(B$51=0,0,G18/B$51)</f>
        <v>1.5151515151515152E-2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5">
      <c r="A19" s="19" t="s">
        <v>10</v>
      </c>
      <c r="B19" s="13">
        <v>68</v>
      </c>
      <c r="C19" s="4">
        <f>IF(B$3=0,0,B19/B$3)</f>
        <v>0.30357142857142855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5">
      <c r="A20" s="37" t="s">
        <v>13</v>
      </c>
      <c r="B20" s="34">
        <v>43</v>
      </c>
      <c r="C20" s="31">
        <f>IF(B$3=0,0,B20/B$3)</f>
        <v>0.19196428571428573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5">
      <c r="A21" s="37" t="s">
        <v>12</v>
      </c>
      <c r="B21" s="34">
        <v>36</v>
      </c>
      <c r="C21" s="31">
        <f>IF(B$19=0,0,B21/B$19)</f>
        <v>0.52941176470588236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5">
      <c r="A22" s="37" t="s">
        <v>11</v>
      </c>
      <c r="B22" s="34">
        <v>32</v>
      </c>
      <c r="C22" s="31">
        <f>IF(B$19=0,0,B22/B$19)</f>
        <v>0.47058823529411764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-42.091666666666661</v>
      </c>
      <c r="P22" s="93">
        <v>12</v>
      </c>
      <c r="Q22" s="81">
        <v>-505.09999999999997</v>
      </c>
    </row>
    <row r="23" spans="1:17" x14ac:dyDescent="0.45">
      <c r="A23" s="37" t="s">
        <v>180</v>
      </c>
      <c r="B23" s="34">
        <v>38</v>
      </c>
      <c r="C23" s="31">
        <f>IF(B$19=0,0,B23/B$19)</f>
        <v>0.55882352941176472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7" t="s">
        <v>178</v>
      </c>
      <c r="B24" s="34">
        <v>16</v>
      </c>
      <c r="C24" s="31">
        <f>IF(B$19=0,0,B24/B$19)</f>
        <v>0.23529411764705882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14</v>
      </c>
      <c r="C25" s="31">
        <f>IF(B$19=0,0,B25/B$19)</f>
        <v>0.20588235294117646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7457.3529411764703</v>
      </c>
      <c r="C26" s="8">
        <v>507100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7740.3846153846152</v>
      </c>
      <c r="C27" s="115">
        <v>402500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5">
      <c r="A28" s="38" t="s">
        <v>163</v>
      </c>
      <c r="B28" s="114">
        <f>IF(B$18=0,0,C28/B$18)</f>
        <v>6537.5</v>
      </c>
      <c r="C28" s="115">
        <v>104600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5">
      <c r="A29" s="38" t="s">
        <v>161</v>
      </c>
      <c r="B29" s="114">
        <f>IF(B$20=0,0,C29/B$20)</f>
        <v>-8386.0465116279065</v>
      </c>
      <c r="C29" s="115">
        <v>-360600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7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65900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3</v>
      </c>
      <c r="C34" s="32">
        <f>IF(B$3=0,0,B34/B$3)</f>
        <v>1.3392857142857142E-2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6</v>
      </c>
      <c r="C36" s="119">
        <f>IF(B$19=0,0,B36/B$19)</f>
        <v>8.8235294117647065E-2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18</v>
      </c>
      <c r="C37" s="31">
        <f t="shared" ref="C37:C48" si="2">IF(B$19=0,0,B37/B$19)</f>
        <v>0.26470588235294118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8</v>
      </c>
      <c r="C38" s="31">
        <f>IF(B$19=0,0,B38/B$19)</f>
        <v>0.11764705882352941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9</v>
      </c>
      <c r="C39" s="31">
        <f t="shared" si="2"/>
        <v>0.13235294117647059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13</v>
      </c>
      <c r="C40" s="31">
        <f t="shared" si="2"/>
        <v>0.19117647058823528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5</v>
      </c>
      <c r="C41" s="31">
        <f t="shared" si="2"/>
        <v>7.3529411764705885E-2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4</v>
      </c>
      <c r="C42" s="31">
        <f t="shared" si="2"/>
        <v>5.8823529411764705E-2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1</v>
      </c>
      <c r="C43" s="31">
        <f t="shared" si="2"/>
        <v>1.4705882352941176E-2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2</v>
      </c>
      <c r="C45" s="31">
        <f t="shared" si="2"/>
        <v>2.9411764705882353E-2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219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66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6D32A-C0CE-4DBF-A2C8-236B85EDBD95}">
  <sheetPr codeName="Sheet7"/>
  <dimension ref="A1:Q43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434</v>
      </c>
      <c r="C2" s="132"/>
      <c r="E2" s="43" t="s">
        <v>66</v>
      </c>
      <c r="F2" s="25" t="s">
        <v>22</v>
      </c>
      <c r="G2" s="13">
        <v>639</v>
      </c>
      <c r="H2" s="106">
        <f>IF(B$51=0,0,G2/B$51)</f>
        <v>0.72531214528944377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-453.82830626450118</v>
      </c>
      <c r="P2" s="92">
        <v>431</v>
      </c>
      <c r="Q2" s="76">
        <v>-195600</v>
      </c>
    </row>
    <row r="3" spans="1:17" x14ac:dyDescent="0.45">
      <c r="A3" s="37" t="s">
        <v>8</v>
      </c>
      <c r="B3" s="133">
        <v>3522</v>
      </c>
      <c r="C3" s="134"/>
      <c r="E3" s="44" t="s">
        <v>64</v>
      </c>
      <c r="F3" s="41" t="s">
        <v>20</v>
      </c>
      <c r="G3" s="34">
        <v>514</v>
      </c>
      <c r="H3" s="107">
        <f>IF(B$51=0,0,G3/B$51)</f>
        <v>0.58342792281498301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-1157.7197149643705</v>
      </c>
      <c r="P3" s="93">
        <v>421</v>
      </c>
      <c r="Q3" s="77">
        <v>-487400</v>
      </c>
    </row>
    <row r="4" spans="1:17" x14ac:dyDescent="0.45">
      <c r="A4" s="37" t="s">
        <v>6</v>
      </c>
      <c r="B4" s="135">
        <v>-2001.8</v>
      </c>
      <c r="C4" s="136"/>
      <c r="E4" s="44" t="s">
        <v>72</v>
      </c>
      <c r="F4" s="41" t="s">
        <v>27</v>
      </c>
      <c r="G4" s="34">
        <v>427</v>
      </c>
      <c r="H4" s="107">
        <f>IF(B$51=0,0,G4/B$51)</f>
        <v>0.48467650397275824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104.98753117206982</v>
      </c>
      <c r="P4" s="93">
        <v>401</v>
      </c>
      <c r="Q4" s="77">
        <v>42100</v>
      </c>
    </row>
    <row r="5" spans="1:17" x14ac:dyDescent="0.45">
      <c r="A5" s="37" t="s">
        <v>7</v>
      </c>
      <c r="B5" s="137">
        <f>IF(B$2=0,0,B$4/B$2)</f>
        <v>-4.6124423963133641</v>
      </c>
      <c r="C5" s="138"/>
      <c r="E5" s="44" t="s">
        <v>68</v>
      </c>
      <c r="F5" s="41" t="s">
        <v>12</v>
      </c>
      <c r="G5" s="34">
        <v>315</v>
      </c>
      <c r="H5" s="107">
        <f>IF(B$51=0,0,G5/B$51)</f>
        <v>0.35754824063564133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-612.5</v>
      </c>
      <c r="P5" s="93">
        <v>368</v>
      </c>
      <c r="Q5" s="77">
        <v>-225400</v>
      </c>
    </row>
    <row r="6" spans="1:17" x14ac:dyDescent="0.45">
      <c r="A6" s="37" t="s">
        <v>1</v>
      </c>
      <c r="B6" s="145">
        <f>IF(B$2=0,0,(B$7*1+B$8*2+B$9*3)/B$2)</f>
        <v>2.1198156682027651</v>
      </c>
      <c r="C6" s="146"/>
      <c r="E6" s="44" t="s">
        <v>67</v>
      </c>
      <c r="F6" s="41" t="s">
        <v>23</v>
      </c>
      <c r="G6" s="34">
        <v>295</v>
      </c>
      <c r="H6" s="107">
        <f>IF(B$51=0,0,G6/B$51)</f>
        <v>0.3348467650397276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-1072.8096676737159</v>
      </c>
      <c r="P6" s="93">
        <v>331</v>
      </c>
      <c r="Q6" s="77">
        <v>-355100</v>
      </c>
    </row>
    <row r="7" spans="1:17" x14ac:dyDescent="0.45">
      <c r="A7" s="37" t="s">
        <v>2</v>
      </c>
      <c r="B7" s="34">
        <v>113</v>
      </c>
      <c r="C7" s="31">
        <f t="shared" ref="C7:C14" si="1">IF(B$2=0,0,B7/B$2)</f>
        <v>0.26036866359447003</v>
      </c>
      <c r="E7" s="44" t="s">
        <v>157</v>
      </c>
      <c r="F7" s="41" t="s">
        <v>158</v>
      </c>
      <c r="G7" s="34">
        <v>276</v>
      </c>
      <c r="H7" s="107">
        <f>IF(B$51=0,0,G7/B$51)</f>
        <v>0.31328036322360953</v>
      </c>
      <c r="I7" s="68">
        <v>9</v>
      </c>
      <c r="K7" s="5">
        <v>5</v>
      </c>
      <c r="L7" s="73">
        <v>14.600000000000001</v>
      </c>
      <c r="N7" s="90" t="s">
        <v>131</v>
      </c>
      <c r="O7" s="97">
        <f t="shared" si="0"/>
        <v>-1019.8581560283687</v>
      </c>
      <c r="P7" s="94">
        <v>282</v>
      </c>
      <c r="Q7" s="78">
        <v>-287600</v>
      </c>
    </row>
    <row r="8" spans="1:17" x14ac:dyDescent="0.45">
      <c r="A8" s="37" t="s">
        <v>3</v>
      </c>
      <c r="B8" s="34">
        <v>156</v>
      </c>
      <c r="C8" s="31">
        <f t="shared" si="1"/>
        <v>0.35944700460829493</v>
      </c>
      <c r="E8" s="44" t="s">
        <v>69</v>
      </c>
      <c r="F8" s="41" t="s">
        <v>24</v>
      </c>
      <c r="G8" s="34">
        <v>159</v>
      </c>
      <c r="H8" s="107">
        <f>IF(B$51=0,0,G8/B$51)</f>
        <v>0.18047673098751418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165</v>
      </c>
      <c r="C9" s="7">
        <f t="shared" si="1"/>
        <v>0.38018433179723504</v>
      </c>
      <c r="E9" s="44" t="s">
        <v>65</v>
      </c>
      <c r="F9" s="41" t="s">
        <v>21</v>
      </c>
      <c r="G9" s="34">
        <v>118</v>
      </c>
      <c r="H9" s="107">
        <f>IF(B$51=0,0,G9/B$51)</f>
        <v>0.13393870601589103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36.151327433628317</v>
      </c>
      <c r="C10" s="121">
        <v>4085.1</v>
      </c>
      <c r="E10" s="44" t="s">
        <v>89</v>
      </c>
      <c r="F10" s="41" t="s">
        <v>44</v>
      </c>
      <c r="G10" s="34">
        <v>116</v>
      </c>
      <c r="H10" s="107">
        <f>IF(B$51=0,0,G10/B$51)</f>
        <v>0.13166855845629966</v>
      </c>
      <c r="I10" s="68">
        <v>10</v>
      </c>
      <c r="K10" s="5">
        <v>8</v>
      </c>
      <c r="L10" s="73">
        <v>60.199999999999996</v>
      </c>
      <c r="N10" s="88" t="s">
        <v>149</v>
      </c>
      <c r="O10" s="98">
        <f>IF(P10=0,0,Q10/P10)</f>
        <v>-7.9017045454545469</v>
      </c>
      <c r="P10" s="92">
        <v>176</v>
      </c>
      <c r="Q10" s="80">
        <v>-1390.7000000000003</v>
      </c>
    </row>
    <row r="11" spans="1:17" x14ac:dyDescent="0.45">
      <c r="A11" s="38" t="s">
        <v>204</v>
      </c>
      <c r="B11" s="120">
        <f>IF(B8=0,0,C11/B8)</f>
        <v>-0.79423076923076907</v>
      </c>
      <c r="C11" s="121">
        <v>-123.89999999999998</v>
      </c>
      <c r="E11" s="44" t="s">
        <v>70</v>
      </c>
      <c r="F11" s="41" t="s">
        <v>25</v>
      </c>
      <c r="G11" s="34">
        <v>108</v>
      </c>
      <c r="H11" s="107">
        <f>IF(B$51=0,0,G11/B$51)</f>
        <v>0.12258796821793416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-3.6094890510948909</v>
      </c>
      <c r="P11" s="93">
        <v>137</v>
      </c>
      <c r="Q11" s="81">
        <v>-494.50000000000006</v>
      </c>
    </row>
    <row r="12" spans="1:17" x14ac:dyDescent="0.45">
      <c r="A12" s="38" t="s">
        <v>205</v>
      </c>
      <c r="B12" s="120">
        <f>IF(B9=0,0,C12/B9)</f>
        <v>-36.139393939393933</v>
      </c>
      <c r="C12" s="121">
        <v>-5962.9999999999991</v>
      </c>
      <c r="E12" s="44" t="s">
        <v>86</v>
      </c>
      <c r="F12" s="41" t="s">
        <v>41</v>
      </c>
      <c r="G12" s="34">
        <v>53</v>
      </c>
      <c r="H12" s="107">
        <f>IF(B$51=0,0,G12/B$51)</f>
        <v>6.0158910329171394E-2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-1.388333333333333</v>
      </c>
      <c r="P12" s="94">
        <v>120</v>
      </c>
      <c r="Q12" s="82">
        <v>-166.59999999999997</v>
      </c>
    </row>
    <row r="13" spans="1:17" x14ac:dyDescent="0.45">
      <c r="A13" s="38" t="s">
        <v>206</v>
      </c>
      <c r="B13" s="137">
        <f>AVERAGE(B10:B12)</f>
        <v>-0.26076575833212939</v>
      </c>
      <c r="C13" s="138"/>
      <c r="E13" s="44" t="s">
        <v>83</v>
      </c>
      <c r="F13" s="41" t="s">
        <v>38</v>
      </c>
      <c r="G13" s="34">
        <v>46</v>
      </c>
      <c r="H13" s="107">
        <f>IF(B$51=0,0,G13/B$51)</f>
        <v>5.2213393870601588E-2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60</v>
      </c>
      <c r="C14" s="32">
        <f t="shared" si="1"/>
        <v>0.13824884792626729</v>
      </c>
      <c r="E14" s="44" t="s">
        <v>71</v>
      </c>
      <c r="F14" s="41" t="s">
        <v>26</v>
      </c>
      <c r="G14" s="34">
        <v>36</v>
      </c>
      <c r="H14" s="107">
        <f>IF(B$51=0,0,G14/B$51)</f>
        <v>4.0862656072644721E-2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932</v>
      </c>
      <c r="C15" s="11">
        <f>IF(B$50=0,0,B15/B$50)</f>
        <v>0.28580190125728305</v>
      </c>
      <c r="E15" s="44" t="s">
        <v>81</v>
      </c>
      <c r="F15" s="41" t="s">
        <v>36</v>
      </c>
      <c r="G15" s="34">
        <v>28</v>
      </c>
      <c r="H15" s="107">
        <f>IF(B$51=0,0,G15/B$51)</f>
        <v>3.1782065834279227E-2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5">
      <c r="A16" s="37" t="s">
        <v>118</v>
      </c>
      <c r="B16" s="34">
        <v>590</v>
      </c>
      <c r="C16" s="31">
        <f>IF(B$50=0,0,B16/B$50)</f>
        <v>0.18092609628948175</v>
      </c>
      <c r="E16" s="44" t="s">
        <v>78</v>
      </c>
      <c r="F16" s="41" t="s">
        <v>33</v>
      </c>
      <c r="G16" s="34">
        <v>22</v>
      </c>
      <c r="H16" s="107">
        <f>IF(B$51=0,0,G16/B$51)</f>
        <v>2.4971623155505107E-2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8.4682926829268297</v>
      </c>
      <c r="P16" s="93">
        <v>41</v>
      </c>
      <c r="Q16" s="81">
        <v>347.2</v>
      </c>
    </row>
    <row r="17" spans="1:17" x14ac:dyDescent="0.45">
      <c r="A17" s="19" t="s">
        <v>123</v>
      </c>
      <c r="B17" s="13">
        <v>529</v>
      </c>
      <c r="C17" s="4">
        <f>IF(B$15=0,0,B17/B$15)</f>
        <v>0.56759656652360513</v>
      </c>
      <c r="E17" s="44" t="s">
        <v>91</v>
      </c>
      <c r="F17" s="41" t="s">
        <v>46</v>
      </c>
      <c r="G17" s="34">
        <v>15</v>
      </c>
      <c r="H17" s="107">
        <f>IF(B$51=0,0,G17/B$51)</f>
        <v>1.70261066969353E-2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3.2783132530120493</v>
      </c>
      <c r="P17" s="93">
        <v>83</v>
      </c>
      <c r="Q17" s="81">
        <v>272.10000000000008</v>
      </c>
    </row>
    <row r="18" spans="1:17" x14ac:dyDescent="0.45">
      <c r="A18" s="19" t="s">
        <v>124</v>
      </c>
      <c r="B18" s="13">
        <v>215</v>
      </c>
      <c r="C18" s="4">
        <f>IF(B$16=0,0,B18/B$16)</f>
        <v>0.36440677966101692</v>
      </c>
      <c r="E18" s="44" t="s">
        <v>79</v>
      </c>
      <c r="F18" s="41" t="s">
        <v>34</v>
      </c>
      <c r="G18" s="34">
        <v>14</v>
      </c>
      <c r="H18" s="107">
        <f>IF(B$51=0,0,G18/B$51)</f>
        <v>1.5891032917139614E-2</v>
      </c>
      <c r="I18" s="68">
        <v>9</v>
      </c>
      <c r="K18" s="5">
        <v>16</v>
      </c>
      <c r="L18" s="73">
        <v>14.600000000000001</v>
      </c>
      <c r="N18" s="89" t="s">
        <v>191</v>
      </c>
      <c r="O18" s="99">
        <f>IF(P18=0,0,Q18/P18)</f>
        <v>1.1939130434782621</v>
      </c>
      <c r="P18" s="93">
        <v>115</v>
      </c>
      <c r="Q18" s="81">
        <v>137.30000000000015</v>
      </c>
    </row>
    <row r="19" spans="1:17" x14ac:dyDescent="0.45">
      <c r="A19" s="19" t="s">
        <v>10</v>
      </c>
      <c r="B19" s="13">
        <v>942</v>
      </c>
      <c r="C19" s="4">
        <f>IF(B$3=0,0,B19/B$3)</f>
        <v>0.26746166950596251</v>
      </c>
      <c r="E19" s="44" t="s">
        <v>153</v>
      </c>
      <c r="F19" s="41" t="s">
        <v>154</v>
      </c>
      <c r="G19" s="34">
        <v>12</v>
      </c>
      <c r="H19" s="107">
        <f>IF(B$51=0,0,G19/B$51)</f>
        <v>1.362088535754824E-2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651</v>
      </c>
      <c r="C20" s="31">
        <f>IF(B$3=0,0,B20/B$3)</f>
        <v>0.18483816013628621</v>
      </c>
      <c r="E20" s="44" t="s">
        <v>75</v>
      </c>
      <c r="F20" s="41" t="s">
        <v>30</v>
      </c>
      <c r="G20" s="34">
        <v>8</v>
      </c>
      <c r="H20" s="107">
        <f>IF(B$51=0,0,G20/B$51)</f>
        <v>9.0805902383654935E-3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427</v>
      </c>
      <c r="C21" s="31">
        <f>IF(B$19=0,0,B21/B$19)</f>
        <v>0.45329087048832273</v>
      </c>
      <c r="E21" s="44" t="s">
        <v>73</v>
      </c>
      <c r="F21" s="41" t="s">
        <v>28</v>
      </c>
      <c r="G21" s="34">
        <v>4</v>
      </c>
      <c r="H21" s="107">
        <f>IF(B$51=0,0,G21/B$51)</f>
        <v>4.5402951191827468E-3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-4.2830985915492965</v>
      </c>
      <c r="P21" s="93">
        <v>71</v>
      </c>
      <c r="Q21" s="81">
        <v>-304.10000000000002</v>
      </c>
    </row>
    <row r="22" spans="1:17" x14ac:dyDescent="0.45">
      <c r="A22" s="37" t="s">
        <v>11</v>
      </c>
      <c r="B22" s="34">
        <v>515</v>
      </c>
      <c r="C22" s="31">
        <f>IF(B$19=0,0,B22/B$19)</f>
        <v>0.54670912951167727</v>
      </c>
      <c r="E22" s="44" t="s">
        <v>92</v>
      </c>
      <c r="F22" s="41" t="s">
        <v>47</v>
      </c>
      <c r="G22" s="34">
        <v>4</v>
      </c>
      <c r="H22" s="107">
        <f>IF(B$51=0,0,G22/B$51)</f>
        <v>4.5402951191827468E-3</v>
      </c>
      <c r="I22" s="68">
        <v>7</v>
      </c>
      <c r="K22" s="5">
        <v>20</v>
      </c>
      <c r="L22" s="73">
        <v>-57.899999999999991</v>
      </c>
      <c r="N22" s="89" t="s">
        <v>194</v>
      </c>
      <c r="O22" s="99">
        <f>IF(P22=0,0,Q22/P22)</f>
        <v>-8.4020408163265241</v>
      </c>
      <c r="P22" s="93">
        <v>49</v>
      </c>
      <c r="Q22" s="81">
        <v>-411.6999999999997</v>
      </c>
    </row>
    <row r="23" spans="1:17" x14ac:dyDescent="0.45">
      <c r="A23" s="37" t="s">
        <v>180</v>
      </c>
      <c r="B23" s="34">
        <v>529</v>
      </c>
      <c r="C23" s="31">
        <f>IF(B$19=0,0,B23/B$19)</f>
        <v>0.56157112526539277</v>
      </c>
      <c r="E23" s="44" t="s">
        <v>74</v>
      </c>
      <c r="F23" s="41" t="s">
        <v>29</v>
      </c>
      <c r="G23" s="34">
        <v>3</v>
      </c>
      <c r="H23" s="107">
        <f>IF(B$51=0,0,G23/B$51)</f>
        <v>3.4052213393870601E-3</v>
      </c>
      <c r="I23" s="68">
        <v>7</v>
      </c>
      <c r="K23" s="5">
        <v>21</v>
      </c>
      <c r="L23" s="73">
        <v>-82.699999999999989</v>
      </c>
      <c r="N23" s="89" t="s">
        <v>193</v>
      </c>
      <c r="O23" s="99">
        <f>IF(P23=0,0,Q23/P23)</f>
        <v>-8.4066666666666627</v>
      </c>
      <c r="P23" s="93">
        <v>165</v>
      </c>
      <c r="Q23" s="81">
        <v>-1387.0999999999995</v>
      </c>
    </row>
    <row r="24" spans="1:17" x14ac:dyDescent="0.45">
      <c r="A24" s="37" t="s">
        <v>178</v>
      </c>
      <c r="B24" s="34">
        <v>215</v>
      </c>
      <c r="C24" s="31">
        <f>IF(B$19=0,0,B24/B$19)</f>
        <v>0.22823779193205945</v>
      </c>
      <c r="E24" s="44" t="s">
        <v>84</v>
      </c>
      <c r="F24" s="41" t="s">
        <v>39</v>
      </c>
      <c r="G24" s="34">
        <v>3</v>
      </c>
      <c r="H24" s="107">
        <f>IF(B$51=0,0,G24/B$51)</f>
        <v>3.4052213393870601E-3</v>
      </c>
      <c r="I24" s="68">
        <v>2</v>
      </c>
      <c r="K24" s="5">
        <v>22</v>
      </c>
      <c r="L24" s="73">
        <v>-94.6</v>
      </c>
      <c r="N24" s="89" t="s">
        <v>195</v>
      </c>
      <c r="O24" s="99">
        <f>IF(P24=0,0,Q24/P24)</f>
        <v>-14.969329073482427</v>
      </c>
      <c r="P24" s="93">
        <v>313</v>
      </c>
      <c r="Q24" s="81">
        <v>-4685.3999999999996</v>
      </c>
    </row>
    <row r="25" spans="1:17" x14ac:dyDescent="0.45">
      <c r="A25" s="37" t="s">
        <v>179</v>
      </c>
      <c r="B25" s="34">
        <v>198</v>
      </c>
      <c r="C25" s="31">
        <f>IF(B$19=0,0,B25/B$19)</f>
        <v>0.21019108280254778</v>
      </c>
      <c r="E25" s="44" t="s">
        <v>85</v>
      </c>
      <c r="F25" s="41" t="s">
        <v>40</v>
      </c>
      <c r="G25" s="34">
        <v>3</v>
      </c>
      <c r="H25" s="107">
        <f>IF(B$51=0,0,G25/B$51)</f>
        <v>3.4052213393870601E-3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9183.4394904458604</v>
      </c>
      <c r="C26" s="8">
        <v>8650800</v>
      </c>
      <c r="E26" s="44" t="s">
        <v>88</v>
      </c>
      <c r="F26" s="41" t="s">
        <v>43</v>
      </c>
      <c r="G26" s="34">
        <v>2</v>
      </c>
      <c r="H26" s="107">
        <f>IF(B$51=0,0,G26/B$51)</f>
        <v>2.2701475595913734E-3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9613.75515818432</v>
      </c>
      <c r="C27" s="115">
        <v>6989200</v>
      </c>
      <c r="E27" s="44" t="s">
        <v>77</v>
      </c>
      <c r="F27" s="41" t="s">
        <v>32</v>
      </c>
      <c r="G27" s="34">
        <v>1</v>
      </c>
      <c r="H27" s="107">
        <f>IF(B$51=0,0,G27/B$51)</f>
        <v>1.1350737797956867E-3</v>
      </c>
      <c r="I27" s="68">
        <v>9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7728.3720930232557</v>
      </c>
      <c r="C28" s="115">
        <v>1661600</v>
      </c>
      <c r="E28" s="44" t="s">
        <v>80</v>
      </c>
      <c r="F28" s="41" t="s">
        <v>35</v>
      </c>
      <c r="G28" s="34">
        <v>1</v>
      </c>
      <c r="H28" s="107">
        <f>IF(B$51=0,0,G28/B$51)</f>
        <v>1.1350737797956867E-3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-8338.2488479262665</v>
      </c>
      <c r="C29" s="115">
        <v>-5428200</v>
      </c>
      <c r="E29" s="44" t="s">
        <v>87</v>
      </c>
      <c r="F29" s="41" t="s">
        <v>42</v>
      </c>
      <c r="G29" s="34">
        <v>1</v>
      </c>
      <c r="H29" s="107">
        <f>IF(B$51=0,0,G29/B$51)</f>
        <v>1.1350737797956867E-3</v>
      </c>
      <c r="I29" s="68">
        <v>9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1.1350737797956867E-3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1.1350737797956867E-3</v>
      </c>
      <c r="I31" s="68">
        <v>4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43">
        <v>10</v>
      </c>
      <c r="C32" s="14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41">
        <v>107600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3.6910846110164677E-3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5">
        <v>50</v>
      </c>
      <c r="C36" s="119">
        <f>IF(B$19=0,0,B36/B$19)</f>
        <v>5.3078556263269641E-2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116</v>
      </c>
      <c r="C37" s="31">
        <f t="shared" ref="C37:C48" si="2">IF(B$19=0,0,B37/B$19)</f>
        <v>0.12314225053078556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8">
        <v>177</v>
      </c>
      <c r="C38" s="31">
        <f>IF(B$19=0,0,B38/B$19)</f>
        <v>0.18789808917197454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8">
        <v>159</v>
      </c>
      <c r="C39" s="31">
        <f t="shared" si="2"/>
        <v>0.16878980891719744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8">
        <v>146</v>
      </c>
      <c r="C40" s="31">
        <f t="shared" si="2"/>
        <v>0.15498938428874734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8">
        <v>101</v>
      </c>
      <c r="C41" s="31">
        <f t="shared" si="2"/>
        <v>0.10721868365180467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8">
        <v>63</v>
      </c>
      <c r="C42" s="31">
        <f t="shared" si="2"/>
        <v>6.6878980891719744E-2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5">
      <c r="A43" s="37" t="s">
        <v>171</v>
      </c>
      <c r="B43" s="128">
        <v>31</v>
      </c>
      <c r="C43" s="31">
        <f t="shared" si="2"/>
        <v>3.2908704883227176E-2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8">
        <v>14</v>
      </c>
      <c r="C44" s="31">
        <f t="shared" si="2"/>
        <v>1.4861995753715499E-2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8">
        <v>7</v>
      </c>
      <c r="C45" s="31">
        <f t="shared" si="2"/>
        <v>7.4309978768577496E-3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8">
        <v>3</v>
      </c>
      <c r="C46" s="31">
        <f t="shared" si="2"/>
        <v>3.1847133757961785E-3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8">
        <v>5</v>
      </c>
      <c r="C47" s="31">
        <f t="shared" si="2"/>
        <v>5.3078556263269636E-3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4">
        <v>9</v>
      </c>
      <c r="C48" s="32">
        <f t="shared" si="2"/>
        <v>9.5541401273885346E-3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3261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39">
        <v>881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  <row r="429" spans="11:12" x14ac:dyDescent="0.45">
      <c r="K429" s="5">
        <v>427</v>
      </c>
      <c r="L429" s="73">
        <v>-1900.1</v>
      </c>
    </row>
    <row r="430" spans="11:12" x14ac:dyDescent="0.45">
      <c r="K430" s="5">
        <v>428</v>
      </c>
      <c r="L430" s="73">
        <v>-1951.1</v>
      </c>
    </row>
    <row r="431" spans="11:12" x14ac:dyDescent="0.45">
      <c r="K431" s="5">
        <v>429</v>
      </c>
      <c r="L431" s="73">
        <v>-1952.6</v>
      </c>
    </row>
    <row r="432" spans="11:12" x14ac:dyDescent="0.45">
      <c r="K432" s="5">
        <v>430</v>
      </c>
      <c r="L432" s="73">
        <v>-1960.1</v>
      </c>
    </row>
    <row r="433" spans="11:12" x14ac:dyDescent="0.45">
      <c r="K433" s="5">
        <v>431</v>
      </c>
      <c r="L433" s="73">
        <v>-1960.6</v>
      </c>
    </row>
    <row r="434" spans="11:12" x14ac:dyDescent="0.45">
      <c r="K434" s="5">
        <v>432</v>
      </c>
      <c r="L434" s="73">
        <v>-1990.6</v>
      </c>
    </row>
    <row r="435" spans="11:12" x14ac:dyDescent="0.45">
      <c r="K435" s="5">
        <v>433</v>
      </c>
      <c r="L435" s="73">
        <v>-2013.1</v>
      </c>
    </row>
    <row r="436" spans="11:12" x14ac:dyDescent="0.45">
      <c r="K436" s="5">
        <v>434</v>
      </c>
      <c r="L436" s="73">
        <v>-2001.8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D572-29A5-4820-BAAF-E44995C280A9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194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3">
        <v>670</v>
      </c>
      <c r="C3" s="13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5">
        <v>-3.4999999999999893</v>
      </c>
      <c r="C4" s="13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5">
        <f>IF(B$2=0,0,(B$7*1+B$8*2+B$9*3)/B$2)</f>
        <v>1.9890109890109891</v>
      </c>
      <c r="C6" s="14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41">
        <v>118000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5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8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8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8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8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8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8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8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8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4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39">
        <v>133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75B9-C28D-41BD-9239-90A0A3EE3265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185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3">
        <v>37</v>
      </c>
      <c r="C3" s="13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5">
        <v>-86.4</v>
      </c>
      <c r="C4" s="13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5">
        <f>IF(B$2=0,0,(B$7*1+B$8*2+B$9*3)/B$2)</f>
        <v>2.2000000000000002</v>
      </c>
      <c r="C6" s="14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10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3</v>
      </c>
      <c r="C32" s="14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41">
        <v>57800</v>
      </c>
      <c r="C33" s="14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8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39">
        <v>9</v>
      </c>
      <c r="C51" s="14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C9AA0-43C1-4528-BF8E-0EEDD73473BA}">
  <sheetPr codeName="Sheet10"/>
  <dimension ref="A1:Q29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293</v>
      </c>
      <c r="C2" s="132"/>
      <c r="E2" s="43" t="s">
        <v>66</v>
      </c>
      <c r="F2" s="25" t="s">
        <v>22</v>
      </c>
      <c r="G2" s="13">
        <v>458</v>
      </c>
      <c r="H2" s="106">
        <f>IF(B$51=0,0,G2/B$51)</f>
        <v>0.67057101024890187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166.89419795221843</v>
      </c>
      <c r="P2" s="92">
        <v>293</v>
      </c>
      <c r="Q2" s="76">
        <v>48900</v>
      </c>
    </row>
    <row r="3" spans="1:17" x14ac:dyDescent="0.45">
      <c r="A3" s="37" t="s">
        <v>8</v>
      </c>
      <c r="B3" s="133">
        <v>2458</v>
      </c>
      <c r="C3" s="134"/>
      <c r="E3" s="44" t="s">
        <v>72</v>
      </c>
      <c r="F3" s="41" t="s">
        <v>27</v>
      </c>
      <c r="G3" s="34">
        <v>389</v>
      </c>
      <c r="H3" s="107">
        <f>IF(B$51=0,0,G3/B$51)</f>
        <v>0.5695461200585652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-1830.4195804195804</v>
      </c>
      <c r="P3" s="93">
        <v>286</v>
      </c>
      <c r="Q3" s="77">
        <v>-523500</v>
      </c>
    </row>
    <row r="4" spans="1:17" x14ac:dyDescent="0.45">
      <c r="A4" s="37" t="s">
        <v>6</v>
      </c>
      <c r="B4" s="135">
        <v>-1408.7000000000003</v>
      </c>
      <c r="C4" s="136"/>
      <c r="E4" s="44" t="s">
        <v>64</v>
      </c>
      <c r="F4" s="41" t="s">
        <v>20</v>
      </c>
      <c r="G4" s="34">
        <v>239</v>
      </c>
      <c r="H4" s="107">
        <f>IF(B$51=0,0,G4/B$51)</f>
        <v>0.34992679355783307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-1198.1203007518798</v>
      </c>
      <c r="P4" s="93">
        <v>266</v>
      </c>
      <c r="Q4" s="77">
        <v>-318700</v>
      </c>
    </row>
    <row r="5" spans="1:17" x14ac:dyDescent="0.45">
      <c r="A5" s="37" t="s">
        <v>7</v>
      </c>
      <c r="B5" s="137">
        <f>IF(B$2=0,0,B$4/B$2)</f>
        <v>-4.8078498293515368</v>
      </c>
      <c r="C5" s="138"/>
      <c r="E5" s="44" t="s">
        <v>157</v>
      </c>
      <c r="F5" s="41" t="s">
        <v>158</v>
      </c>
      <c r="G5" s="34">
        <v>210</v>
      </c>
      <c r="H5" s="107">
        <f>IF(B$51=0,0,G5/B$51)</f>
        <v>0.3074670571010249</v>
      </c>
      <c r="I5" s="68">
        <v>10</v>
      </c>
      <c r="K5" s="5">
        <v>3</v>
      </c>
      <c r="L5" s="73">
        <v>82.1</v>
      </c>
      <c r="N5" s="89" t="s">
        <v>129</v>
      </c>
      <c r="O5" s="96">
        <f t="shared" si="0"/>
        <v>-31.2</v>
      </c>
      <c r="P5" s="93">
        <v>250</v>
      </c>
      <c r="Q5" s="77">
        <v>-7800</v>
      </c>
    </row>
    <row r="6" spans="1:17" x14ac:dyDescent="0.45">
      <c r="A6" s="37" t="s">
        <v>1</v>
      </c>
      <c r="B6" s="145">
        <f>IF(B$2=0,0,(B$7*1+B$8*2+B$9*3)/B$2)</f>
        <v>2.1296928327645053</v>
      </c>
      <c r="C6" s="146"/>
      <c r="E6" s="44" t="s">
        <v>68</v>
      </c>
      <c r="F6" s="41" t="s">
        <v>12</v>
      </c>
      <c r="G6" s="34">
        <v>186</v>
      </c>
      <c r="H6" s="107">
        <f>IF(B$51=0,0,G6/B$51)</f>
        <v>0.27232796486090777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-689.95633187772921</v>
      </c>
      <c r="P6" s="93">
        <v>229</v>
      </c>
      <c r="Q6" s="77">
        <v>-158000</v>
      </c>
    </row>
    <row r="7" spans="1:17" x14ac:dyDescent="0.45">
      <c r="A7" s="37" t="s">
        <v>2</v>
      </c>
      <c r="B7" s="34">
        <v>75</v>
      </c>
      <c r="C7" s="31">
        <f t="shared" ref="C7:C14" si="1">IF(B$2=0,0,B7/B$2)</f>
        <v>0.25597269624573377</v>
      </c>
      <c r="E7" s="44" t="s">
        <v>67</v>
      </c>
      <c r="F7" s="41" t="s">
        <v>23</v>
      </c>
      <c r="G7" s="34">
        <v>123</v>
      </c>
      <c r="H7" s="107">
        <f>IF(B$51=0,0,G7/B$51)</f>
        <v>0.1800878477306003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-1255.7894736842106</v>
      </c>
      <c r="P7" s="94">
        <v>190</v>
      </c>
      <c r="Q7" s="78">
        <v>-238600</v>
      </c>
    </row>
    <row r="8" spans="1:17" x14ac:dyDescent="0.45">
      <c r="A8" s="37" t="s">
        <v>3</v>
      </c>
      <c r="B8" s="34">
        <v>105</v>
      </c>
      <c r="C8" s="31">
        <f t="shared" si="1"/>
        <v>0.35836177474402731</v>
      </c>
      <c r="E8" s="44" t="s">
        <v>69</v>
      </c>
      <c r="F8" s="41" t="s">
        <v>24</v>
      </c>
      <c r="G8" s="34">
        <v>103</v>
      </c>
      <c r="H8" s="107">
        <f>IF(B$51=0,0,G8/B$51)</f>
        <v>0.15080527086383602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113</v>
      </c>
      <c r="C9" s="7">
        <f t="shared" si="1"/>
        <v>0.38566552901023893</v>
      </c>
      <c r="E9" s="44" t="s">
        <v>65</v>
      </c>
      <c r="F9" s="41" t="s">
        <v>21</v>
      </c>
      <c r="G9" s="34">
        <v>66</v>
      </c>
      <c r="H9" s="107">
        <f>IF(B$51=0,0,G9/B$51)</f>
        <v>9.6632503660322111E-2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36.195999999999998</v>
      </c>
      <c r="C10" s="121">
        <v>2714.7</v>
      </c>
      <c r="E10" s="44" t="s">
        <v>71</v>
      </c>
      <c r="F10" s="41" t="s">
        <v>26</v>
      </c>
      <c r="G10" s="34">
        <v>62</v>
      </c>
      <c r="H10" s="107">
        <f>IF(B$51=0,0,G10/B$51)</f>
        <v>9.0775988286969256E-2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-8.5504587155963332</v>
      </c>
      <c r="P10" s="92">
        <v>109</v>
      </c>
      <c r="Q10" s="80">
        <v>-932.00000000000023</v>
      </c>
    </row>
    <row r="11" spans="1:17" x14ac:dyDescent="0.45">
      <c r="A11" s="38" t="s">
        <v>204</v>
      </c>
      <c r="B11" s="120">
        <f>IF(B8=0,0,C11/B8)</f>
        <v>-1.7552380952380957</v>
      </c>
      <c r="C11" s="121">
        <v>-184.30000000000004</v>
      </c>
      <c r="E11" s="44" t="s">
        <v>70</v>
      </c>
      <c r="F11" s="41" t="s">
        <v>25</v>
      </c>
      <c r="G11" s="34">
        <v>59</v>
      </c>
      <c r="H11" s="107">
        <f>IF(B$51=0,0,G11/B$51)</f>
        <v>8.6383601756954614E-2</v>
      </c>
      <c r="I11" s="68">
        <v>11</v>
      </c>
      <c r="K11" s="5">
        <v>9</v>
      </c>
      <c r="L11" s="73">
        <v>82.8</v>
      </c>
      <c r="N11" s="89" t="s">
        <v>150</v>
      </c>
      <c r="O11" s="99">
        <f>IF(P11=0,0,Q11/P11)</f>
        <v>-3.7228915662650595</v>
      </c>
      <c r="P11" s="93">
        <v>83</v>
      </c>
      <c r="Q11" s="81">
        <v>-308.99999999999994</v>
      </c>
    </row>
    <row r="12" spans="1:17" x14ac:dyDescent="0.45">
      <c r="A12" s="38" t="s">
        <v>205</v>
      </c>
      <c r="B12" s="120">
        <f>IF(B9=0,0,C12/B9)</f>
        <v>-34.859292035398227</v>
      </c>
      <c r="C12" s="121">
        <v>-3939.0999999999995</v>
      </c>
      <c r="E12" s="44" t="s">
        <v>89</v>
      </c>
      <c r="F12" s="41" t="s">
        <v>44</v>
      </c>
      <c r="G12" s="34">
        <v>53</v>
      </c>
      <c r="H12" s="107">
        <f>IF(B$51=0,0,G12/B$51)</f>
        <v>7.7598828696925332E-2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-1.6603960396039603</v>
      </c>
      <c r="P12" s="94">
        <v>101</v>
      </c>
      <c r="Q12" s="82">
        <v>-167.7</v>
      </c>
    </row>
    <row r="13" spans="1:17" x14ac:dyDescent="0.45">
      <c r="A13" s="38" t="s">
        <v>206</v>
      </c>
      <c r="B13" s="137">
        <f>AVERAGE(B10:B12)</f>
        <v>-0.13951004354544239</v>
      </c>
      <c r="C13" s="138"/>
      <c r="E13" s="44" t="s">
        <v>83</v>
      </c>
      <c r="F13" s="41" t="s">
        <v>38</v>
      </c>
      <c r="G13" s="34">
        <v>46</v>
      </c>
      <c r="H13" s="107">
        <f>IF(B$51=0,0,G13/B$51)</f>
        <v>6.7349926793557835E-2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33</v>
      </c>
      <c r="C14" s="32">
        <f t="shared" si="1"/>
        <v>0.11262798634812286</v>
      </c>
      <c r="E14" s="44" t="s">
        <v>81</v>
      </c>
      <c r="F14" s="41" t="s">
        <v>36</v>
      </c>
      <c r="G14" s="34">
        <v>25</v>
      </c>
      <c r="H14" s="107">
        <f>IF(B$51=0,0,G14/B$51)</f>
        <v>3.6603221083455345E-2</v>
      </c>
      <c r="I14" s="68">
        <v>6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457</v>
      </c>
      <c r="C15" s="11">
        <f>IF(B$50=0,0,B15/B$50)</f>
        <v>0.20061457418788411</v>
      </c>
      <c r="E15" s="44" t="s">
        <v>86</v>
      </c>
      <c r="F15" s="41" t="s">
        <v>41</v>
      </c>
      <c r="G15" s="34">
        <v>25</v>
      </c>
      <c r="H15" s="107">
        <f>IF(B$51=0,0,G15/B$51)</f>
        <v>3.6603221083455345E-2</v>
      </c>
      <c r="I15" s="68">
        <v>13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118</v>
      </c>
      <c r="B16" s="34">
        <v>636</v>
      </c>
      <c r="C16" s="31">
        <f>IF(B$50=0,0,B16/B$50)</f>
        <v>0.27919227392449519</v>
      </c>
      <c r="E16" s="44" t="s">
        <v>78</v>
      </c>
      <c r="F16" s="41" t="s">
        <v>33</v>
      </c>
      <c r="G16" s="34">
        <v>12</v>
      </c>
      <c r="H16" s="107">
        <f>IF(B$51=0,0,G16/B$51)</f>
        <v>1.7569546120058566E-2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240</v>
      </c>
      <c r="C17" s="4">
        <f>IF(B$15=0,0,B17/B$15)</f>
        <v>0.52516411378555794</v>
      </c>
      <c r="E17" s="44" t="s">
        <v>79</v>
      </c>
      <c r="F17" s="41" t="s">
        <v>34</v>
      </c>
      <c r="G17" s="34">
        <v>11</v>
      </c>
      <c r="H17" s="107">
        <f>IF(B$51=0,0,G17/B$51)</f>
        <v>1.6105417276720352E-2</v>
      </c>
      <c r="I17" s="68">
        <v>8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253</v>
      </c>
      <c r="C18" s="4">
        <f>IF(B$16=0,0,B18/B$16)</f>
        <v>0.3977987421383648</v>
      </c>
      <c r="E18" s="44" t="s">
        <v>91</v>
      </c>
      <c r="F18" s="41" t="s">
        <v>46</v>
      </c>
      <c r="G18" s="34">
        <v>8</v>
      </c>
      <c r="H18" s="107">
        <f>IF(B$51=0,0,G18/B$51)</f>
        <v>1.171303074670571E-2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734</v>
      </c>
      <c r="C19" s="4">
        <f>IF(B$3=0,0,B19/B$3)</f>
        <v>0.2986167615947925</v>
      </c>
      <c r="E19" s="44" t="s">
        <v>74</v>
      </c>
      <c r="F19" s="41" t="s">
        <v>29</v>
      </c>
      <c r="G19" s="34">
        <v>4</v>
      </c>
      <c r="H19" s="107">
        <f>IF(B$51=0,0,G19/B$51)</f>
        <v>5.8565153733528552E-3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3.0576923076923066</v>
      </c>
      <c r="P19" s="93">
        <v>78</v>
      </c>
      <c r="Q19" s="81">
        <v>238.49999999999991</v>
      </c>
    </row>
    <row r="20" spans="1:17" x14ac:dyDescent="0.45">
      <c r="A20" s="37" t="s">
        <v>13</v>
      </c>
      <c r="B20" s="34">
        <v>400</v>
      </c>
      <c r="C20" s="31">
        <f>IF(B$3=0,0,B20/B$3)</f>
        <v>0.16273393002441008</v>
      </c>
      <c r="E20" s="44" t="s">
        <v>75</v>
      </c>
      <c r="F20" s="41" t="s">
        <v>30</v>
      </c>
      <c r="G20" s="34">
        <v>4</v>
      </c>
      <c r="H20" s="107">
        <f>IF(B$51=0,0,G20/B$51)</f>
        <v>5.8565153733528552E-3</v>
      </c>
      <c r="I20" s="68">
        <v>7</v>
      </c>
      <c r="K20" s="5">
        <v>18</v>
      </c>
      <c r="L20" s="73">
        <v>-30.300000000000008</v>
      </c>
      <c r="N20" s="89" t="s">
        <v>190</v>
      </c>
      <c r="O20" s="99">
        <f>IF(P20=0,0,Q20/P20)</f>
        <v>-3.2783132530120507</v>
      </c>
      <c r="P20" s="93">
        <v>83</v>
      </c>
      <c r="Q20" s="81">
        <v>-272.10000000000019</v>
      </c>
    </row>
    <row r="21" spans="1:17" x14ac:dyDescent="0.45">
      <c r="A21" s="37" t="s">
        <v>12</v>
      </c>
      <c r="B21" s="34">
        <v>314</v>
      </c>
      <c r="C21" s="31">
        <f>IF(B$19=0,0,B21/B$19)</f>
        <v>0.42779291553133514</v>
      </c>
      <c r="E21" s="44" t="s">
        <v>77</v>
      </c>
      <c r="F21" s="41" t="s">
        <v>32</v>
      </c>
      <c r="G21" s="34">
        <v>3</v>
      </c>
      <c r="H21" s="107">
        <f>IF(B$51=0,0,G21/B$51)</f>
        <v>4.3923865300146414E-3</v>
      </c>
      <c r="I21" s="68">
        <v>7</v>
      </c>
      <c r="K21" s="5">
        <v>19</v>
      </c>
      <c r="L21" s="73">
        <v>17.699999999999992</v>
      </c>
      <c r="N21" s="89" t="s">
        <v>197</v>
      </c>
      <c r="O21" s="99">
        <f>IF(P21=0,0,Q21/P21)</f>
        <v>-11.755555555555553</v>
      </c>
      <c r="P21" s="93">
        <v>18</v>
      </c>
      <c r="Q21" s="81">
        <v>-211.59999999999997</v>
      </c>
    </row>
    <row r="22" spans="1:17" x14ac:dyDescent="0.45">
      <c r="A22" s="37" t="s">
        <v>11</v>
      </c>
      <c r="B22" s="34">
        <v>420</v>
      </c>
      <c r="C22" s="31">
        <f>IF(B$19=0,0,B22/B$19)</f>
        <v>0.57220708446866486</v>
      </c>
      <c r="E22" s="44" t="s">
        <v>87</v>
      </c>
      <c r="F22" s="41" t="s">
        <v>42</v>
      </c>
      <c r="G22" s="34">
        <v>2</v>
      </c>
      <c r="H22" s="107">
        <f>IF(B$51=0,0,G22/B$51)</f>
        <v>2.9282576866764276E-3</v>
      </c>
      <c r="I22" s="68">
        <v>3</v>
      </c>
      <c r="K22" s="5">
        <v>20</v>
      </c>
      <c r="L22" s="73">
        <v>-24.100000000000005</v>
      </c>
      <c r="N22" s="89" t="s">
        <v>191</v>
      </c>
      <c r="O22" s="99">
        <f>IF(P22=0,0,Q22/P22)</f>
        <v>-12.124657534246575</v>
      </c>
      <c r="P22" s="93">
        <v>73</v>
      </c>
      <c r="Q22" s="81">
        <v>-885.1</v>
      </c>
    </row>
    <row r="23" spans="1:17" x14ac:dyDescent="0.45">
      <c r="A23" s="37" t="s">
        <v>180</v>
      </c>
      <c r="B23" s="34">
        <v>240</v>
      </c>
      <c r="C23" s="31">
        <f>IF(B$19=0,0,B23/B$19)</f>
        <v>0.32697547683923706</v>
      </c>
      <c r="E23" s="44" t="s">
        <v>88</v>
      </c>
      <c r="F23" s="41" t="s">
        <v>43</v>
      </c>
      <c r="G23" s="34">
        <v>2</v>
      </c>
      <c r="H23" s="107">
        <f>IF(B$51=0,0,G23/B$51)</f>
        <v>2.9282576866764276E-3</v>
      </c>
      <c r="I23" s="68">
        <v>1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5">
      <c r="A24" s="37" t="s">
        <v>178</v>
      </c>
      <c r="B24" s="34">
        <v>253</v>
      </c>
      <c r="C24" s="31">
        <f>IF(B$19=0,0,B24/B$19)</f>
        <v>0.34468664850136238</v>
      </c>
      <c r="E24" s="44" t="s">
        <v>93</v>
      </c>
      <c r="F24" s="41" t="s">
        <v>48</v>
      </c>
      <c r="G24" s="34">
        <v>2</v>
      </c>
      <c r="H24" s="107">
        <f>IF(B$51=0,0,G24/B$51)</f>
        <v>2.9282576866764276E-3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-20.456626506024097</v>
      </c>
      <c r="P24" s="93">
        <v>166</v>
      </c>
      <c r="Q24" s="81">
        <v>-3395.8</v>
      </c>
    </row>
    <row r="25" spans="1:17" x14ac:dyDescent="0.45">
      <c r="A25" s="37" t="s">
        <v>179</v>
      </c>
      <c r="B25" s="34">
        <v>241</v>
      </c>
      <c r="C25" s="31">
        <f>IF(B$19=0,0,B25/B$19)</f>
        <v>0.32833787465940056</v>
      </c>
      <c r="E25" s="44" t="s">
        <v>73</v>
      </c>
      <c r="F25" s="41" t="s">
        <v>28</v>
      </c>
      <c r="G25" s="34">
        <v>1</v>
      </c>
      <c r="H25" s="107">
        <f>IF(B$51=0,0,G25/B$51)</f>
        <v>1.4641288433382138E-3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7451.9073569482289</v>
      </c>
      <c r="C26" s="8">
        <v>5469700</v>
      </c>
      <c r="E26" s="44" t="s">
        <v>84</v>
      </c>
      <c r="F26" s="41" t="s">
        <v>39</v>
      </c>
      <c r="G26" s="34">
        <v>1</v>
      </c>
      <c r="H26" s="107">
        <f>IF(B$51=0,0,G26/B$51)</f>
        <v>1.4641288433382138E-3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8115.3846153846152</v>
      </c>
      <c r="C27" s="115">
        <v>3903500</v>
      </c>
      <c r="E27" s="44" t="s">
        <v>90</v>
      </c>
      <c r="F27" s="41" t="s">
        <v>45</v>
      </c>
      <c r="G27" s="34">
        <v>1</v>
      </c>
      <c r="H27" s="107">
        <f>IF(B$51=0,0,G27/B$51)</f>
        <v>1.4641288433382138E-3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6190.513833992095</v>
      </c>
      <c r="C28" s="115">
        <v>1566200</v>
      </c>
      <c r="E28" s="44" t="s">
        <v>102</v>
      </c>
      <c r="F28" s="41" t="s">
        <v>57</v>
      </c>
      <c r="G28" s="34">
        <v>1</v>
      </c>
      <c r="H28" s="107">
        <f>IF(B$51=0,0,G28/B$51)</f>
        <v>1.4641288433382138E-3</v>
      </c>
      <c r="I28" s="68">
        <v>1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-8475</v>
      </c>
      <c r="C29" s="115">
        <v>-3390000</v>
      </c>
      <c r="E29" s="44" t="s">
        <v>76</v>
      </c>
      <c r="F29" s="41" t="s">
        <v>31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80</v>
      </c>
      <c r="F30" s="41" t="s">
        <v>35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82</v>
      </c>
      <c r="F31" s="41" t="s">
        <v>37</v>
      </c>
      <c r="G31" s="34">
        <v>0</v>
      </c>
      <c r="H31" s="107">
        <f>IF(B$51=0,0,G31/B$51)</f>
        <v>0</v>
      </c>
      <c r="I31" s="68">
        <v>1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43">
        <v>7</v>
      </c>
      <c r="C32" s="144"/>
      <c r="E32" s="44" t="s">
        <v>85</v>
      </c>
      <c r="F32" s="41" t="s">
        <v>40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40" t="s">
        <v>177</v>
      </c>
      <c r="B33" s="141">
        <v>106500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2.4410089503661514E-3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5">
        <v>72</v>
      </c>
      <c r="C36" s="119">
        <f>IF(B$19=0,0,B36/B$19)</f>
        <v>9.8092643051771122E-2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150</v>
      </c>
      <c r="C37" s="31">
        <f t="shared" ref="C37:C48" si="2">IF(B$19=0,0,B37/B$19)</f>
        <v>0.20435967302452315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8">
        <v>134</v>
      </c>
      <c r="C38" s="31">
        <f>IF(B$19=0,0,B38/B$19)</f>
        <v>0.18256130790190736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8">
        <v>131</v>
      </c>
      <c r="C39" s="31">
        <f t="shared" si="2"/>
        <v>0.17847411444141689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8">
        <v>98</v>
      </c>
      <c r="C40" s="31">
        <f t="shared" si="2"/>
        <v>0.1335149863760218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8">
        <v>45</v>
      </c>
      <c r="C41" s="31">
        <f t="shared" si="2"/>
        <v>6.1307901907356951E-2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8">
        <v>25</v>
      </c>
      <c r="C42" s="31">
        <f t="shared" si="2"/>
        <v>3.4059945504087197E-2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8">
        <v>17</v>
      </c>
      <c r="C43" s="31">
        <f t="shared" si="2"/>
        <v>2.316076294277929E-2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8">
        <v>5</v>
      </c>
      <c r="C44" s="31">
        <f t="shared" si="2"/>
        <v>6.8119891008174387E-3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8">
        <v>2</v>
      </c>
      <c r="C45" s="31">
        <f t="shared" si="2"/>
        <v>2.7247956403269754E-3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8">
        <v>1</v>
      </c>
      <c r="C46" s="31">
        <f t="shared" si="2"/>
        <v>1.3623978201634877E-3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4">
        <v>3</v>
      </c>
      <c r="C48" s="32">
        <f t="shared" si="2"/>
        <v>4.0871934604904629E-3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2278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39">
        <v>683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  <row r="288" spans="11:12" x14ac:dyDescent="0.45">
      <c r="K288" s="5">
        <v>286</v>
      </c>
      <c r="L288" s="73">
        <v>-1449.5000000000002</v>
      </c>
    </row>
    <row r="289" spans="11:12" x14ac:dyDescent="0.45">
      <c r="K289" s="5">
        <v>287</v>
      </c>
      <c r="L289" s="73">
        <v>-1368.0000000000002</v>
      </c>
    </row>
    <row r="290" spans="11:12" x14ac:dyDescent="0.45">
      <c r="K290" s="5">
        <v>288</v>
      </c>
      <c r="L290" s="73">
        <v>-1346.5000000000002</v>
      </c>
    </row>
    <row r="291" spans="11:12" x14ac:dyDescent="0.45">
      <c r="K291" s="5">
        <v>289</v>
      </c>
      <c r="L291" s="73">
        <v>-1393.1000000000001</v>
      </c>
    </row>
    <row r="292" spans="11:12" x14ac:dyDescent="0.45">
      <c r="K292" s="5">
        <v>290</v>
      </c>
      <c r="L292" s="73">
        <v>-1365.2000000000003</v>
      </c>
    </row>
    <row r="293" spans="11:12" x14ac:dyDescent="0.45">
      <c r="K293" s="5">
        <v>291</v>
      </c>
      <c r="L293" s="73">
        <v>-1338.2000000000003</v>
      </c>
    </row>
    <row r="294" spans="11:12" x14ac:dyDescent="0.45">
      <c r="K294" s="5">
        <v>292</v>
      </c>
      <c r="L294" s="73">
        <v>-1387.1000000000001</v>
      </c>
    </row>
    <row r="295" spans="11:12" x14ac:dyDescent="0.45">
      <c r="K295" s="5">
        <v>293</v>
      </c>
      <c r="L295" s="73">
        <v>-1408.7000000000003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B1E15-F30F-4D11-BDAE-BF30A3FAE776}">
  <sheetPr codeName="Sheet11"/>
  <dimension ref="A1:Q50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193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507</v>
      </c>
      <c r="C2" s="132"/>
      <c r="E2" s="43" t="s">
        <v>66</v>
      </c>
      <c r="F2" s="25" t="s">
        <v>22</v>
      </c>
      <c r="G2" s="13">
        <v>915</v>
      </c>
      <c r="H2" s="106">
        <f>IF(B$51=0,0,G2/B$51)</f>
        <v>0.76186511240632804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-650.19920318725099</v>
      </c>
      <c r="P2" s="92">
        <v>502</v>
      </c>
      <c r="Q2" s="76">
        <v>-326400</v>
      </c>
    </row>
    <row r="3" spans="1:17" x14ac:dyDescent="0.45">
      <c r="A3" s="37" t="s">
        <v>8</v>
      </c>
      <c r="B3" s="133">
        <v>4134</v>
      </c>
      <c r="C3" s="134"/>
      <c r="E3" s="44" t="s">
        <v>72</v>
      </c>
      <c r="F3" s="41" t="s">
        <v>27</v>
      </c>
      <c r="G3" s="34">
        <v>630</v>
      </c>
      <c r="H3" s="107">
        <f>IF(B$51=0,0,G3/B$51)</f>
        <v>0.52456286427976684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-53.798767967145793</v>
      </c>
      <c r="P3" s="93">
        <v>487</v>
      </c>
      <c r="Q3" s="77">
        <v>-26200</v>
      </c>
    </row>
    <row r="4" spans="1:17" x14ac:dyDescent="0.45">
      <c r="A4" s="37" t="s">
        <v>6</v>
      </c>
      <c r="B4" s="135">
        <v>-971.30000000000064</v>
      </c>
      <c r="C4" s="136"/>
      <c r="E4" s="44" t="s">
        <v>64</v>
      </c>
      <c r="F4" s="41" t="s">
        <v>20</v>
      </c>
      <c r="G4" s="34">
        <v>518</v>
      </c>
      <c r="H4" s="107">
        <f>IF(B$51=0,0,G4/B$51)</f>
        <v>0.43130724396336384</v>
      </c>
      <c r="I4" s="68">
        <v>17</v>
      </c>
      <c r="K4" s="5">
        <v>2</v>
      </c>
      <c r="L4" s="73">
        <v>-45.300000000000004</v>
      </c>
      <c r="N4" s="89" t="s">
        <v>128</v>
      </c>
      <c r="O4" s="96">
        <f t="shared" si="0"/>
        <v>356.55021834061137</v>
      </c>
      <c r="P4" s="93">
        <v>458</v>
      </c>
      <c r="Q4" s="77">
        <v>163300</v>
      </c>
    </row>
    <row r="5" spans="1:17" x14ac:dyDescent="0.45">
      <c r="A5" s="37" t="s">
        <v>7</v>
      </c>
      <c r="B5" s="137">
        <f>IF(B$2=0,0,B$4/B$2)</f>
        <v>-1.9157790927021709</v>
      </c>
      <c r="C5" s="138"/>
      <c r="E5" s="44" t="s">
        <v>157</v>
      </c>
      <c r="F5" s="41" t="s">
        <v>158</v>
      </c>
      <c r="G5" s="34">
        <v>381</v>
      </c>
      <c r="H5" s="107">
        <f>IF(B$51=0,0,G5/B$51)</f>
        <v>0.31723563696919233</v>
      </c>
      <c r="I5" s="68">
        <v>8</v>
      </c>
      <c r="K5" s="5">
        <v>3</v>
      </c>
      <c r="L5" s="73">
        <v>-81.7</v>
      </c>
      <c r="N5" s="89" t="s">
        <v>129</v>
      </c>
      <c r="O5" s="96">
        <f t="shared" si="0"/>
        <v>-1024.0654205607477</v>
      </c>
      <c r="P5" s="93">
        <v>428</v>
      </c>
      <c r="Q5" s="77">
        <v>-438300</v>
      </c>
    </row>
    <row r="6" spans="1:17" x14ac:dyDescent="0.45">
      <c r="A6" s="37" t="s">
        <v>1</v>
      </c>
      <c r="B6" s="145">
        <f>IF(B$2=0,0,(B$7*1+B$8*2+B$9*3)/B$2)</f>
        <v>2.0098619329388558</v>
      </c>
      <c r="C6" s="146"/>
      <c r="E6" s="44" t="s">
        <v>68</v>
      </c>
      <c r="F6" s="41" t="s">
        <v>12</v>
      </c>
      <c r="G6" s="34">
        <v>359</v>
      </c>
      <c r="H6" s="107">
        <f>IF(B$51=0,0,G6/B$51)</f>
        <v>0.29891756869275604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-168.57142857142858</v>
      </c>
      <c r="P6" s="93">
        <v>385</v>
      </c>
      <c r="Q6" s="77">
        <v>-64900</v>
      </c>
    </row>
    <row r="7" spans="1:17" x14ac:dyDescent="0.45">
      <c r="A7" s="37" t="s">
        <v>2</v>
      </c>
      <c r="B7" s="34">
        <v>170</v>
      </c>
      <c r="C7" s="31">
        <f t="shared" ref="C7:C14" si="1">IF(B$2=0,0,B7/B$2)</f>
        <v>0.33530571992110453</v>
      </c>
      <c r="E7" s="44" t="s">
        <v>67</v>
      </c>
      <c r="F7" s="41" t="s">
        <v>23</v>
      </c>
      <c r="G7" s="34">
        <v>293</v>
      </c>
      <c r="H7" s="107">
        <f>IF(B$51=0,0,G7/B$51)</f>
        <v>0.24396336386344714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156.96969696969697</v>
      </c>
      <c r="P7" s="94">
        <v>330</v>
      </c>
      <c r="Q7" s="78">
        <v>51800</v>
      </c>
    </row>
    <row r="8" spans="1:17" x14ac:dyDescent="0.45">
      <c r="A8" s="37" t="s">
        <v>3</v>
      </c>
      <c r="B8" s="34">
        <v>162</v>
      </c>
      <c r="C8" s="31">
        <f t="shared" si="1"/>
        <v>0.31952662721893493</v>
      </c>
      <c r="E8" s="44" t="s">
        <v>69</v>
      </c>
      <c r="F8" s="41" t="s">
        <v>24</v>
      </c>
      <c r="G8" s="34">
        <v>167</v>
      </c>
      <c r="H8" s="107">
        <f>IF(B$51=0,0,G8/B$51)</f>
        <v>0.13905079100749376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175</v>
      </c>
      <c r="C9" s="7">
        <f t="shared" si="1"/>
        <v>0.34516765285996054</v>
      </c>
      <c r="E9" s="44" t="s">
        <v>89</v>
      </c>
      <c r="F9" s="41" t="s">
        <v>44</v>
      </c>
      <c r="G9" s="34">
        <v>146</v>
      </c>
      <c r="H9" s="107">
        <f>IF(B$51=0,0,G9/B$51)</f>
        <v>0.12156536219816819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35.81</v>
      </c>
      <c r="C10" s="121">
        <v>6087.7000000000007</v>
      </c>
      <c r="E10" s="44" t="s">
        <v>70</v>
      </c>
      <c r="F10" s="41" t="s">
        <v>25</v>
      </c>
      <c r="G10" s="34">
        <v>135</v>
      </c>
      <c r="H10" s="107">
        <f>IF(B$51=0,0,G10/B$51)</f>
        <v>0.11240632805995004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-2.8247058823529403</v>
      </c>
      <c r="P10" s="92">
        <v>170</v>
      </c>
      <c r="Q10" s="80">
        <v>-480.19999999999982</v>
      </c>
    </row>
    <row r="11" spans="1:17" x14ac:dyDescent="0.45">
      <c r="A11" s="38" t="s">
        <v>204</v>
      </c>
      <c r="B11" s="120">
        <f>IF(B8=0,0,C11/B8)</f>
        <v>-1.5160493827160493</v>
      </c>
      <c r="C11" s="121">
        <v>-245.59999999999997</v>
      </c>
      <c r="E11" s="44" t="s">
        <v>65</v>
      </c>
      <c r="F11" s="41" t="s">
        <v>21</v>
      </c>
      <c r="G11" s="34">
        <v>107</v>
      </c>
      <c r="H11" s="107">
        <f>IF(B$51=0,0,G11/B$51)</f>
        <v>8.9092422980849295E-2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-0.49404761904761907</v>
      </c>
      <c r="P11" s="93">
        <v>168</v>
      </c>
      <c r="Q11" s="81">
        <v>-83</v>
      </c>
    </row>
    <row r="12" spans="1:17" x14ac:dyDescent="0.45">
      <c r="A12" s="38" t="s">
        <v>205</v>
      </c>
      <c r="B12" s="120">
        <f>IF(B9=0,0,C12/B9)</f>
        <v>-38.933714285714295</v>
      </c>
      <c r="C12" s="121">
        <v>-6813.4000000000015</v>
      </c>
      <c r="E12" s="44" t="s">
        <v>71</v>
      </c>
      <c r="F12" s="41" t="s">
        <v>26</v>
      </c>
      <c r="G12" s="34">
        <v>105</v>
      </c>
      <c r="H12" s="107">
        <f>IF(B$51=0,0,G12/B$51)</f>
        <v>8.7427144046627811E-2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-2.651497005988023</v>
      </c>
      <c r="P12" s="94">
        <v>167</v>
      </c>
      <c r="Q12" s="82">
        <v>-442.79999999999984</v>
      </c>
    </row>
    <row r="13" spans="1:17" x14ac:dyDescent="0.45">
      <c r="A13" s="38" t="s">
        <v>206</v>
      </c>
      <c r="B13" s="137">
        <f>AVERAGE(B10:B12)</f>
        <v>-1.5465878894767802</v>
      </c>
      <c r="C13" s="138"/>
      <c r="E13" s="44" t="s">
        <v>86</v>
      </c>
      <c r="F13" s="41" t="s">
        <v>41</v>
      </c>
      <c r="G13" s="34">
        <v>60</v>
      </c>
      <c r="H13" s="107">
        <f>IF(B$51=0,0,G13/B$51)</f>
        <v>4.995836802664446E-2</v>
      </c>
      <c r="I13" s="68">
        <v>11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58</v>
      </c>
      <c r="C14" s="32">
        <f t="shared" si="1"/>
        <v>0.11439842209072978</v>
      </c>
      <c r="E14" s="44" t="s">
        <v>78</v>
      </c>
      <c r="F14" s="41" t="s">
        <v>33</v>
      </c>
      <c r="G14" s="34">
        <v>48</v>
      </c>
      <c r="H14" s="107">
        <f>IF(B$51=0,0,G14/B$51)</f>
        <v>3.996669442131557E-2</v>
      </c>
      <c r="I14" s="68">
        <v>4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987</v>
      </c>
      <c r="C15" s="11">
        <f>IF(B$50=0,0,B15/B$50)</f>
        <v>0.24625748502994013</v>
      </c>
      <c r="E15" s="44" t="s">
        <v>83</v>
      </c>
      <c r="F15" s="41" t="s">
        <v>38</v>
      </c>
      <c r="G15" s="34">
        <v>47</v>
      </c>
      <c r="H15" s="107">
        <f>IF(B$51=0,0,G15/B$51)</f>
        <v>3.9134054954204828E-2</v>
      </c>
      <c r="I15" s="68">
        <v>11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977</v>
      </c>
      <c r="C16" s="31">
        <f>IF(B$50=0,0,B16/B$50)</f>
        <v>0.2437624750499002</v>
      </c>
      <c r="E16" s="44" t="s">
        <v>81</v>
      </c>
      <c r="F16" s="41" t="s">
        <v>36</v>
      </c>
      <c r="G16" s="34">
        <v>35</v>
      </c>
      <c r="H16" s="107">
        <f>IF(B$51=0,0,G16/B$51)</f>
        <v>2.9142381348875937E-2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531</v>
      </c>
      <c r="C17" s="4">
        <f>IF(B$15=0,0,B17/B$15)</f>
        <v>0.53799392097264442</v>
      </c>
      <c r="E17" s="44" t="s">
        <v>91</v>
      </c>
      <c r="F17" s="41" t="s">
        <v>46</v>
      </c>
      <c r="G17" s="34">
        <v>25</v>
      </c>
      <c r="H17" s="107">
        <f>IF(B$51=0,0,G17/B$51)</f>
        <v>2.0815986677768527E-2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377</v>
      </c>
      <c r="C18" s="4">
        <f>IF(B$16=0,0,B18/B$16)</f>
        <v>0.38587512794268169</v>
      </c>
      <c r="E18" s="44" t="s">
        <v>79</v>
      </c>
      <c r="F18" s="41" t="s">
        <v>34</v>
      </c>
      <c r="G18" s="34">
        <v>16</v>
      </c>
      <c r="H18" s="107">
        <f>IF(B$51=0,0,G18/B$51)</f>
        <v>1.3322231473771857E-2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8.4066666666666627</v>
      </c>
      <c r="P18" s="93">
        <v>165</v>
      </c>
      <c r="Q18" s="81">
        <v>1387.0999999999995</v>
      </c>
    </row>
    <row r="19" spans="1:17" x14ac:dyDescent="0.45">
      <c r="A19" s="19" t="s">
        <v>10</v>
      </c>
      <c r="B19" s="13">
        <v>1238</v>
      </c>
      <c r="C19" s="4">
        <f>IF(B$3=0,0,B19/B$3)</f>
        <v>0.29946782776971459</v>
      </c>
      <c r="E19" s="44" t="s">
        <v>77</v>
      </c>
      <c r="F19" s="41" t="s">
        <v>32</v>
      </c>
      <c r="G19" s="34">
        <v>9</v>
      </c>
      <c r="H19" s="107">
        <f>IF(B$51=0,0,G19/B$51)</f>
        <v>7.4937552039966698E-3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701</v>
      </c>
      <c r="C20" s="31">
        <f>IF(B$3=0,0,B20/B$3)</f>
        <v>0.16956942428640542</v>
      </c>
      <c r="E20" s="44" t="s">
        <v>153</v>
      </c>
      <c r="F20" s="41" t="s">
        <v>154</v>
      </c>
      <c r="G20" s="34">
        <v>8</v>
      </c>
      <c r="H20" s="107">
        <f>IF(B$51=0,0,G20/B$51)</f>
        <v>6.6611157368859286E-3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521</v>
      </c>
      <c r="C21" s="31">
        <f>IF(B$19=0,0,B21/B$19)</f>
        <v>0.42084006462035539</v>
      </c>
      <c r="E21" s="44" t="s">
        <v>73</v>
      </c>
      <c r="F21" s="41" t="s">
        <v>28</v>
      </c>
      <c r="G21" s="34">
        <v>7</v>
      </c>
      <c r="H21" s="107">
        <f>IF(B$51=0,0,G21/B$51)</f>
        <v>5.8284762697751874E-3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1.8181818181819284E-2</v>
      </c>
      <c r="P21" s="93">
        <v>143</v>
      </c>
      <c r="Q21" s="81">
        <v>2.6000000000001577</v>
      </c>
    </row>
    <row r="22" spans="1:17" x14ac:dyDescent="0.45">
      <c r="A22" s="37" t="s">
        <v>11</v>
      </c>
      <c r="B22" s="34">
        <v>717</v>
      </c>
      <c r="C22" s="31">
        <f>IF(B$19=0,0,B22/B$19)</f>
        <v>0.57915993537964461</v>
      </c>
      <c r="E22" s="44" t="s">
        <v>74</v>
      </c>
      <c r="F22" s="41" t="s">
        <v>29</v>
      </c>
      <c r="G22" s="34">
        <v>6</v>
      </c>
      <c r="H22" s="107">
        <f>IF(B$51=0,0,G22/B$51)</f>
        <v>4.9958368026644462E-3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-2.0409395973154338</v>
      </c>
      <c r="P22" s="93">
        <v>149</v>
      </c>
      <c r="Q22" s="81">
        <v>-304.09999999999962</v>
      </c>
    </row>
    <row r="23" spans="1:17" x14ac:dyDescent="0.45">
      <c r="A23" s="37" t="s">
        <v>180</v>
      </c>
      <c r="B23" s="34">
        <v>531</v>
      </c>
      <c r="C23" s="31">
        <f>IF(B$19=0,0,B23/B$19)</f>
        <v>0.42891760904684978</v>
      </c>
      <c r="E23" s="44" t="s">
        <v>75</v>
      </c>
      <c r="F23" s="41" t="s">
        <v>30</v>
      </c>
      <c r="G23" s="34">
        <v>6</v>
      </c>
      <c r="H23" s="107">
        <f>IF(B$51=0,0,G23/B$51)</f>
        <v>4.9958368026644462E-3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5">
      <c r="A24" s="37" t="s">
        <v>178</v>
      </c>
      <c r="B24" s="34">
        <v>377</v>
      </c>
      <c r="C24" s="31">
        <f>IF(B$19=0,0,B24/B$19)</f>
        <v>0.30452342487883682</v>
      </c>
      <c r="E24" s="44" t="s">
        <v>92</v>
      </c>
      <c r="F24" s="41" t="s">
        <v>47</v>
      </c>
      <c r="G24" s="34">
        <v>5</v>
      </c>
      <c r="H24" s="107">
        <f>IF(B$51=0,0,G24/B$51)</f>
        <v>4.163197335553705E-3</v>
      </c>
      <c r="I24" s="68">
        <v>8</v>
      </c>
      <c r="K24" s="5">
        <v>22</v>
      </c>
      <c r="L24" s="73">
        <v>174.29999999999995</v>
      </c>
      <c r="N24" s="89" t="s">
        <v>188</v>
      </c>
      <c r="O24" s="99">
        <f>IF(P24=0,0,Q24/P24)</f>
        <v>-4.7433628318584073</v>
      </c>
      <c r="P24" s="93">
        <v>113</v>
      </c>
      <c r="Q24" s="81">
        <v>-536</v>
      </c>
    </row>
    <row r="25" spans="1:17" x14ac:dyDescent="0.45">
      <c r="A25" s="37" t="s">
        <v>179</v>
      </c>
      <c r="B25" s="34">
        <v>330</v>
      </c>
      <c r="C25" s="31">
        <f>IF(B$19=0,0,B25/B$19)</f>
        <v>0.2665589660743134</v>
      </c>
      <c r="E25" s="44" t="s">
        <v>84</v>
      </c>
      <c r="F25" s="41" t="s">
        <v>39</v>
      </c>
      <c r="G25" s="34">
        <v>4</v>
      </c>
      <c r="H25" s="107">
        <f>IF(B$51=0,0,G25/B$51)</f>
        <v>3.3305578684429643E-3</v>
      </c>
      <c r="I25" s="68">
        <v>3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8454.3618739903068</v>
      </c>
      <c r="C26" s="8">
        <v>10466500</v>
      </c>
      <c r="E26" s="44" t="s">
        <v>93</v>
      </c>
      <c r="F26" s="41" t="s">
        <v>48</v>
      </c>
      <c r="G26" s="34">
        <v>4</v>
      </c>
      <c r="H26" s="107">
        <f>IF(B$51=0,0,G26/B$51)</f>
        <v>3.3305578684429643E-3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-12.736857142857152</v>
      </c>
      <c r="P26" s="93">
        <v>350</v>
      </c>
      <c r="Q26" s="81">
        <v>-4457.9000000000033</v>
      </c>
    </row>
    <row r="27" spans="1:17" x14ac:dyDescent="0.45">
      <c r="A27" s="38" t="s">
        <v>162</v>
      </c>
      <c r="B27" s="114">
        <f>IF($B$19-B$18=0,0,C27/($B$19-B$18))</f>
        <v>9166.5505226480836</v>
      </c>
      <c r="C27" s="115">
        <v>7892400</v>
      </c>
      <c r="E27" s="44" t="s">
        <v>87</v>
      </c>
      <c r="F27" s="41" t="s">
        <v>42</v>
      </c>
      <c r="G27" s="34">
        <v>3</v>
      </c>
      <c r="H27" s="107">
        <f>IF(B$51=0,0,G27/B$51)</f>
        <v>2.4979184013322231E-3</v>
      </c>
      <c r="I27" s="68">
        <v>5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6827.8514588859416</v>
      </c>
      <c r="C28" s="115">
        <v>2574100</v>
      </c>
      <c r="E28" s="44" t="s">
        <v>90</v>
      </c>
      <c r="F28" s="41" t="s">
        <v>45</v>
      </c>
      <c r="G28" s="34">
        <v>2</v>
      </c>
      <c r="H28" s="107">
        <f>IF(B$51=0,0,G28/B$51)</f>
        <v>1.6652789342214821E-3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-8391.8687589158344</v>
      </c>
      <c r="C29" s="115">
        <v>-5882700</v>
      </c>
      <c r="E29" s="44" t="s">
        <v>76</v>
      </c>
      <c r="F29" s="41" t="s">
        <v>31</v>
      </c>
      <c r="G29" s="34">
        <v>1</v>
      </c>
      <c r="H29" s="107">
        <f>IF(B$51=0,0,G29/B$51)</f>
        <v>8.3263946711074107E-4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8.3263946711074107E-4</v>
      </c>
      <c r="I30" s="68">
        <v>8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8.3263946711074107E-4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43">
        <v>9</v>
      </c>
      <c r="C32" s="144"/>
      <c r="E32" s="44" t="s">
        <v>95</v>
      </c>
      <c r="F32" s="41" t="s">
        <v>50</v>
      </c>
      <c r="G32" s="34">
        <v>1</v>
      </c>
      <c r="H32" s="107">
        <f>IF(B$51=0,0,G32/B$51)</f>
        <v>8.3263946711074107E-4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41">
        <v>109300</v>
      </c>
      <c r="C33" s="14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3.386550556361877E-3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5">
        <v>82</v>
      </c>
      <c r="C36" s="119">
        <f>IF(B$19=0,0,B36/B$19)</f>
        <v>6.623586429725363E-2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210</v>
      </c>
      <c r="C37" s="31">
        <f t="shared" ref="C37:C48" si="2">IF(B$19=0,0,B37/B$19)</f>
        <v>0.16962843295638125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8">
        <v>257</v>
      </c>
      <c r="C38" s="31">
        <f>IF(B$19=0,0,B38/B$19)</f>
        <v>0.20759289176090467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8">
        <v>232</v>
      </c>
      <c r="C39" s="31">
        <f t="shared" si="2"/>
        <v>0.18739903069466882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8">
        <v>168</v>
      </c>
      <c r="C40" s="31">
        <f t="shared" si="2"/>
        <v>0.13570274636510501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8">
        <v>107</v>
      </c>
      <c r="C41" s="31">
        <f t="shared" si="2"/>
        <v>8.6429725363489501E-2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8">
        <v>53</v>
      </c>
      <c r="C42" s="31">
        <f t="shared" si="2"/>
        <v>4.2810985460420031E-2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8">
        <v>38</v>
      </c>
      <c r="C43" s="31">
        <f t="shared" si="2"/>
        <v>3.0694668820678513E-2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8">
        <v>18</v>
      </c>
      <c r="C44" s="31">
        <f t="shared" si="2"/>
        <v>1.4539579967689823E-2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8">
        <v>12</v>
      </c>
      <c r="C45" s="31">
        <f t="shared" si="2"/>
        <v>9.6930533117932146E-3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8">
        <v>9</v>
      </c>
      <c r="C46" s="31">
        <f t="shared" si="2"/>
        <v>7.2697899838449114E-3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8">
        <v>2</v>
      </c>
      <c r="C47" s="31">
        <f t="shared" si="2"/>
        <v>1.6155088852988692E-3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4">
        <v>13</v>
      </c>
      <c r="C48" s="32">
        <f t="shared" si="2"/>
        <v>1.050080775444265E-2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4008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39">
        <v>1201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  <row r="507" spans="11:12" x14ac:dyDescent="0.45">
      <c r="K507" s="5">
        <v>505</v>
      </c>
      <c r="L507" s="73">
        <v>-912.00000000000057</v>
      </c>
    </row>
    <row r="508" spans="11:12" x14ac:dyDescent="0.45">
      <c r="K508" s="5">
        <v>506</v>
      </c>
      <c r="L508" s="73">
        <v>-939.00000000000057</v>
      </c>
    </row>
    <row r="509" spans="11:12" x14ac:dyDescent="0.45">
      <c r="K509" s="5">
        <v>507</v>
      </c>
      <c r="L509" s="73">
        <v>-971.30000000000064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B5C69-0D21-4925-BE34-3CB0C71F3907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3">
        <v>316</v>
      </c>
      <c r="C3" s="13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5">
        <v>91.000000000000014</v>
      </c>
      <c r="C4" s="13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5">
        <f>IF(B$2=0,0,(B$7*1+B$8*2+B$9*3)/B$2)</f>
        <v>2.0256410256410255</v>
      </c>
      <c r="C6" s="14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13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10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41">
        <v>109300</v>
      </c>
      <c r="C33" s="14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5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8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8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8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8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8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5">
      <c r="A43" s="37" t="s">
        <v>171</v>
      </c>
      <c r="B43" s="128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8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8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8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4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61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A8747-DE57-4E02-A3A7-6C7689972DCF}">
  <sheetPr codeName="Sheet13"/>
  <dimension ref="A1:Q42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421</v>
      </c>
      <c r="C2" s="132"/>
      <c r="E2" s="43" t="s">
        <v>66</v>
      </c>
      <c r="F2" s="25" t="s">
        <v>22</v>
      </c>
      <c r="G2" s="13">
        <v>803</v>
      </c>
      <c r="H2" s="106">
        <f>IF(B$51=0,0,G2/B$51)</f>
        <v>0.8443743427970557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581.20481927710841</v>
      </c>
      <c r="P2" s="92">
        <v>415</v>
      </c>
      <c r="Q2" s="76">
        <v>241200</v>
      </c>
    </row>
    <row r="3" spans="1:17" x14ac:dyDescent="0.45">
      <c r="A3" s="37" t="s">
        <v>8</v>
      </c>
      <c r="B3" s="133">
        <v>3395</v>
      </c>
      <c r="C3" s="134"/>
      <c r="E3" s="44" t="s">
        <v>72</v>
      </c>
      <c r="F3" s="41" t="s">
        <v>27</v>
      </c>
      <c r="G3" s="34">
        <v>542</v>
      </c>
      <c r="H3" s="107">
        <f>IF(B$51=0,0,G3/B$51)</f>
        <v>0.56992639327024186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-361.67076167076169</v>
      </c>
      <c r="P3" s="93">
        <v>407</v>
      </c>
      <c r="Q3" s="77">
        <v>-147200</v>
      </c>
    </row>
    <row r="4" spans="1:17" x14ac:dyDescent="0.45">
      <c r="A4" s="37" t="s">
        <v>6</v>
      </c>
      <c r="B4" s="135">
        <v>529.70000000000039</v>
      </c>
      <c r="C4" s="136"/>
      <c r="E4" s="44" t="s">
        <v>64</v>
      </c>
      <c r="F4" s="41" t="s">
        <v>20</v>
      </c>
      <c r="G4" s="34">
        <v>527</v>
      </c>
      <c r="H4" s="107">
        <f>IF(B$51=0,0,G4/B$51)</f>
        <v>0.55415352260778128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258.77659574468083</v>
      </c>
      <c r="P4" s="93">
        <v>376</v>
      </c>
      <c r="Q4" s="77">
        <v>97300</v>
      </c>
    </row>
    <row r="5" spans="1:17" x14ac:dyDescent="0.45">
      <c r="A5" s="37" t="s">
        <v>7</v>
      </c>
      <c r="B5" s="137">
        <f>IF(B$2=0,0,B$4/B$2)</f>
        <v>1.2581947743467943</v>
      </c>
      <c r="C5" s="138"/>
      <c r="E5" s="44" t="s">
        <v>67</v>
      </c>
      <c r="F5" s="41" t="s">
        <v>23</v>
      </c>
      <c r="G5" s="34">
        <v>338</v>
      </c>
      <c r="H5" s="107">
        <f>IF(B$51=0,0,G5/B$51)</f>
        <v>0.35541535226077814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605.84795321637432</v>
      </c>
      <c r="P5" s="93">
        <v>342</v>
      </c>
      <c r="Q5" s="77">
        <v>207200</v>
      </c>
    </row>
    <row r="6" spans="1:17" x14ac:dyDescent="0.45">
      <c r="A6" s="37" t="s">
        <v>1</v>
      </c>
      <c r="B6" s="145">
        <f>IF(B$2=0,0,(B$7*1+B$8*2+B$9*3)/B$2)</f>
        <v>2.0190023752969122</v>
      </c>
      <c r="C6" s="146"/>
      <c r="E6" s="44" t="s">
        <v>68</v>
      </c>
      <c r="F6" s="41" t="s">
        <v>12</v>
      </c>
      <c r="G6" s="34">
        <v>318</v>
      </c>
      <c r="H6" s="107">
        <f>IF(B$51=0,0,G6/B$51)</f>
        <v>0.33438485804416401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-804.50160771704179</v>
      </c>
      <c r="P6" s="93">
        <v>311</v>
      </c>
      <c r="Q6" s="77">
        <v>-250200</v>
      </c>
    </row>
    <row r="7" spans="1:17" x14ac:dyDescent="0.45">
      <c r="A7" s="37" t="s">
        <v>2</v>
      </c>
      <c r="B7" s="34">
        <v>140</v>
      </c>
      <c r="C7" s="31">
        <f t="shared" ref="C7:C14" si="1">IF(B$2=0,0,B7/B$2)</f>
        <v>0.33254156769596199</v>
      </c>
      <c r="E7" s="44" t="s">
        <v>157</v>
      </c>
      <c r="F7" s="41" t="s">
        <v>158</v>
      </c>
      <c r="G7" s="34">
        <v>267</v>
      </c>
      <c r="H7" s="107">
        <f>IF(B$51=0,0,G7/B$51)</f>
        <v>0.28075709779179808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649.20634920634916</v>
      </c>
      <c r="P7" s="94">
        <v>252</v>
      </c>
      <c r="Q7" s="78">
        <v>163600</v>
      </c>
    </row>
    <row r="8" spans="1:17" x14ac:dyDescent="0.45">
      <c r="A8" s="37" t="s">
        <v>3</v>
      </c>
      <c r="B8" s="34">
        <v>133</v>
      </c>
      <c r="C8" s="31">
        <f t="shared" si="1"/>
        <v>0.31591448931116389</v>
      </c>
      <c r="E8" s="44" t="s">
        <v>89</v>
      </c>
      <c r="F8" s="41" t="s">
        <v>44</v>
      </c>
      <c r="G8" s="34">
        <v>177</v>
      </c>
      <c r="H8" s="107">
        <f>IF(B$51=0,0,G8/B$51)</f>
        <v>0.18611987381703471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148</v>
      </c>
      <c r="C9" s="7">
        <f t="shared" si="1"/>
        <v>0.35154394299287411</v>
      </c>
      <c r="E9" s="44" t="s">
        <v>69</v>
      </c>
      <c r="F9" s="41" t="s">
        <v>24</v>
      </c>
      <c r="G9" s="34">
        <v>172</v>
      </c>
      <c r="H9" s="107">
        <f>IF(B$51=0,0,G9/B$51)</f>
        <v>0.18086225026288119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42.179285714285719</v>
      </c>
      <c r="C10" s="121">
        <v>5905.1</v>
      </c>
      <c r="E10" s="44" t="s">
        <v>65</v>
      </c>
      <c r="F10" s="41" t="s">
        <v>21</v>
      </c>
      <c r="G10" s="34">
        <v>116</v>
      </c>
      <c r="H10" s="107">
        <f>IF(B$51=0,0,G10/B$51)</f>
        <v>0.12197686645636173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-5.9256000000000002</v>
      </c>
      <c r="P10" s="92">
        <v>125</v>
      </c>
      <c r="Q10" s="80">
        <v>-740.7</v>
      </c>
    </row>
    <row r="11" spans="1:17" x14ac:dyDescent="0.45">
      <c r="A11" s="38" t="s">
        <v>204</v>
      </c>
      <c r="B11" s="120">
        <f>IF(B8=0,0,C11/B8)</f>
        <v>-1.157894736842106</v>
      </c>
      <c r="C11" s="121">
        <v>-154.00000000000009</v>
      </c>
      <c r="E11" s="44" t="s">
        <v>70</v>
      </c>
      <c r="F11" s="41" t="s">
        <v>25</v>
      </c>
      <c r="G11" s="34">
        <v>108</v>
      </c>
      <c r="H11" s="107">
        <f>IF(B$51=0,0,G11/B$51)</f>
        <v>0.11356466876971609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3.6675159235668779</v>
      </c>
      <c r="P11" s="93">
        <v>157</v>
      </c>
      <c r="Q11" s="81">
        <v>575.79999999999984</v>
      </c>
    </row>
    <row r="12" spans="1:17" x14ac:dyDescent="0.45">
      <c r="A12" s="38" t="s">
        <v>205</v>
      </c>
      <c r="B12" s="120">
        <f>IF(B9=0,0,C12/B9)</f>
        <v>-35.279729729729731</v>
      </c>
      <c r="C12" s="121">
        <v>-5221.4000000000005</v>
      </c>
      <c r="E12" s="44" t="s">
        <v>86</v>
      </c>
      <c r="F12" s="41" t="s">
        <v>41</v>
      </c>
      <c r="G12" s="34">
        <v>61</v>
      </c>
      <c r="H12" s="107">
        <f>IF(B$51=0,0,G12/B$51)</f>
        <v>6.4143007360672979E-2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5.9330882352941172</v>
      </c>
      <c r="P12" s="94">
        <v>136</v>
      </c>
      <c r="Q12" s="82">
        <v>806.9</v>
      </c>
    </row>
    <row r="13" spans="1:17" x14ac:dyDescent="0.45">
      <c r="A13" s="38" t="s">
        <v>206</v>
      </c>
      <c r="B13" s="137">
        <f>AVERAGE(B10:B12)</f>
        <v>1.9138870825712953</v>
      </c>
      <c r="C13" s="138"/>
      <c r="E13" s="44" t="s">
        <v>71</v>
      </c>
      <c r="F13" s="41" t="s">
        <v>26</v>
      </c>
      <c r="G13" s="34">
        <v>53</v>
      </c>
      <c r="H13" s="107">
        <f>IF(B$51=0,0,G13/B$51)</f>
        <v>5.573080967402734E-2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55</v>
      </c>
      <c r="C14" s="32">
        <f t="shared" si="1"/>
        <v>0.13064133016627077</v>
      </c>
      <c r="E14" s="44" t="s">
        <v>83</v>
      </c>
      <c r="F14" s="41" t="s">
        <v>38</v>
      </c>
      <c r="G14" s="34">
        <v>34</v>
      </c>
      <c r="H14" s="107">
        <f>IF(B$51=0,0,G14/B$51)</f>
        <v>3.5751840168243953E-2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993</v>
      </c>
      <c r="C15" s="11">
        <f>IF(B$50=0,0,B15/B$50)</f>
        <v>0.29571173317450866</v>
      </c>
      <c r="E15" s="44" t="s">
        <v>78</v>
      </c>
      <c r="F15" s="41" t="s">
        <v>33</v>
      </c>
      <c r="G15" s="34">
        <v>28</v>
      </c>
      <c r="H15" s="107">
        <f>IF(B$51=0,0,G15/B$51)</f>
        <v>2.9442691903259727E-2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639</v>
      </c>
      <c r="C16" s="31">
        <f>IF(B$50=0,0,B16/B$50)</f>
        <v>0.19029184038117927</v>
      </c>
      <c r="E16" s="44" t="s">
        <v>91</v>
      </c>
      <c r="F16" s="41" t="s">
        <v>46</v>
      </c>
      <c r="G16" s="34">
        <v>26</v>
      </c>
      <c r="H16" s="107">
        <f>IF(B$51=0,0,G16/B$51)</f>
        <v>2.7339642481598318E-2</v>
      </c>
      <c r="I16" s="68">
        <v>3</v>
      </c>
      <c r="K16" s="5">
        <v>14</v>
      </c>
      <c r="L16" s="73">
        <v>-231</v>
      </c>
      <c r="N16" s="89" t="s">
        <v>186</v>
      </c>
      <c r="O16" s="99">
        <f>IF(P16=0,0,Q16/P16)</f>
        <v>20.027027027027028</v>
      </c>
      <c r="P16" s="93">
        <v>37</v>
      </c>
      <c r="Q16" s="81">
        <v>741</v>
      </c>
    </row>
    <row r="17" spans="1:17" x14ac:dyDescent="0.45">
      <c r="A17" s="19" t="s">
        <v>123</v>
      </c>
      <c r="B17" s="13">
        <v>557</v>
      </c>
      <c r="C17" s="4">
        <f>IF(B$15=0,0,B17/B$15)</f>
        <v>0.56092648539778445</v>
      </c>
      <c r="E17" s="44" t="s">
        <v>153</v>
      </c>
      <c r="F17" s="41" t="s">
        <v>154</v>
      </c>
      <c r="G17" s="34">
        <v>26</v>
      </c>
      <c r="H17" s="107">
        <f>IF(B$51=0,0,G17/B$51)</f>
        <v>2.7339642481598318E-2</v>
      </c>
      <c r="I17" s="68">
        <v>2</v>
      </c>
      <c r="K17" s="5">
        <v>15</v>
      </c>
      <c r="L17" s="73">
        <v>-212.5</v>
      </c>
      <c r="N17" s="89" t="s">
        <v>192</v>
      </c>
      <c r="O17" s="99">
        <f>IF(P17=0,0,Q17/P17)</f>
        <v>19.924999999999997</v>
      </c>
      <c r="P17" s="93">
        <v>4</v>
      </c>
      <c r="Q17" s="81">
        <v>79.699999999999989</v>
      </c>
    </row>
    <row r="18" spans="1:17" x14ac:dyDescent="0.45">
      <c r="A18" s="19" t="s">
        <v>124</v>
      </c>
      <c r="B18" s="13">
        <v>252</v>
      </c>
      <c r="C18" s="4">
        <f>IF(B$16=0,0,B18/B$16)</f>
        <v>0.39436619718309857</v>
      </c>
      <c r="E18" s="44" t="s">
        <v>81</v>
      </c>
      <c r="F18" s="41" t="s">
        <v>36</v>
      </c>
      <c r="G18" s="34">
        <v>22</v>
      </c>
      <c r="H18" s="107">
        <f>IF(B$51=0,0,G18/B$51)</f>
        <v>2.3133543638275498E-2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19.176470588235297</v>
      </c>
      <c r="P18" s="93">
        <v>34</v>
      </c>
      <c r="Q18" s="81">
        <v>652.00000000000011</v>
      </c>
    </row>
    <row r="19" spans="1:17" x14ac:dyDescent="0.45">
      <c r="A19" s="19" t="s">
        <v>10</v>
      </c>
      <c r="B19" s="13">
        <v>961</v>
      </c>
      <c r="C19" s="4">
        <f>IF(B$3=0,0,B19/B$3)</f>
        <v>0.28306332842415316</v>
      </c>
      <c r="E19" s="44" t="s">
        <v>79</v>
      </c>
      <c r="F19" s="41" t="s">
        <v>34</v>
      </c>
      <c r="G19" s="34">
        <v>15</v>
      </c>
      <c r="H19" s="107">
        <f>IF(B$51=0,0,G19/B$51)</f>
        <v>1.5772870662460567E-2</v>
      </c>
      <c r="I19" s="68">
        <v>10</v>
      </c>
      <c r="K19" s="5">
        <v>17</v>
      </c>
      <c r="L19" s="73">
        <v>-268.7</v>
      </c>
      <c r="N19" s="89" t="s">
        <v>188</v>
      </c>
      <c r="O19" s="99">
        <f>IF(P19=0,0,Q19/P19)</f>
        <v>14.213333333333333</v>
      </c>
      <c r="P19" s="93">
        <v>75</v>
      </c>
      <c r="Q19" s="81">
        <v>1066</v>
      </c>
    </row>
    <row r="20" spans="1:17" x14ac:dyDescent="0.45">
      <c r="A20" s="37" t="s">
        <v>13</v>
      </c>
      <c r="B20" s="34">
        <v>620</v>
      </c>
      <c r="C20" s="31">
        <f>IF(B$3=0,0,B20/B$3)</f>
        <v>0.18262150220913106</v>
      </c>
      <c r="E20" s="44" t="s">
        <v>92</v>
      </c>
      <c r="F20" s="41" t="s">
        <v>47</v>
      </c>
      <c r="G20" s="34">
        <v>11</v>
      </c>
      <c r="H20" s="107">
        <f>IF(B$51=0,0,G20/B$51)</f>
        <v>1.1566771819137749E-2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436</v>
      </c>
      <c r="C21" s="31">
        <f>IF(B$19=0,0,B21/B$19)</f>
        <v>0.45369406867845996</v>
      </c>
      <c r="E21" s="44" t="s">
        <v>73</v>
      </c>
      <c r="F21" s="41" t="s">
        <v>28</v>
      </c>
      <c r="G21" s="34">
        <v>9</v>
      </c>
      <c r="H21" s="107">
        <f>IF(B$51=0,0,G21/B$51)</f>
        <v>9.4637223974763408E-3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525</v>
      </c>
      <c r="C22" s="31">
        <f>IF(B$19=0,0,B22/B$19)</f>
        <v>0.54630593132154004</v>
      </c>
      <c r="E22" s="44" t="s">
        <v>75</v>
      </c>
      <c r="F22" s="41" t="s">
        <v>30</v>
      </c>
      <c r="G22" s="34">
        <v>8</v>
      </c>
      <c r="H22" s="107">
        <f>IF(B$51=0,0,G22/B$51)</f>
        <v>8.4121976866456359E-3</v>
      </c>
      <c r="I22" s="68">
        <v>3</v>
      </c>
      <c r="K22" s="5">
        <v>20</v>
      </c>
      <c r="L22" s="73">
        <v>-270</v>
      </c>
      <c r="N22" s="89" t="s">
        <v>189</v>
      </c>
      <c r="O22" s="99">
        <f>IF(P22=0,0,Q22/P22)</f>
        <v>3.8647058823529403</v>
      </c>
      <c r="P22" s="93">
        <v>17</v>
      </c>
      <c r="Q22" s="81">
        <v>65.699999999999989</v>
      </c>
    </row>
    <row r="23" spans="1:17" x14ac:dyDescent="0.45">
      <c r="A23" s="37" t="s">
        <v>180</v>
      </c>
      <c r="B23" s="34">
        <v>557</v>
      </c>
      <c r="C23" s="31">
        <f>IF(B$19=0,0,B23/B$19)</f>
        <v>0.57960457856399583</v>
      </c>
      <c r="E23" s="44" t="s">
        <v>77</v>
      </c>
      <c r="F23" s="41" t="s">
        <v>32</v>
      </c>
      <c r="G23" s="34">
        <v>6</v>
      </c>
      <c r="H23" s="107">
        <f>IF(B$51=0,0,G23/B$51)</f>
        <v>6.3091482649842269E-3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2.0409395973154334</v>
      </c>
      <c r="P23" s="93">
        <v>149</v>
      </c>
      <c r="Q23" s="81">
        <v>304.09999999999957</v>
      </c>
    </row>
    <row r="24" spans="1:17" x14ac:dyDescent="0.45">
      <c r="A24" s="37" t="s">
        <v>178</v>
      </c>
      <c r="B24" s="34">
        <v>252</v>
      </c>
      <c r="C24" s="31">
        <f>IF(B$19=0,0,B24/B$19)</f>
        <v>0.26222684703433924</v>
      </c>
      <c r="E24" s="44" t="s">
        <v>84</v>
      </c>
      <c r="F24" s="41" t="s">
        <v>39</v>
      </c>
      <c r="G24" s="34">
        <v>6</v>
      </c>
      <c r="H24" s="107">
        <f>IF(B$51=0,0,G24/B$51)</f>
        <v>6.3091482649842269E-3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-0.15190839694656677</v>
      </c>
      <c r="P24" s="93">
        <v>131</v>
      </c>
      <c r="Q24" s="81">
        <v>-19.900000000000247</v>
      </c>
    </row>
    <row r="25" spans="1:17" x14ac:dyDescent="0.45">
      <c r="A25" s="37" t="s">
        <v>179</v>
      </c>
      <c r="B25" s="34">
        <v>152</v>
      </c>
      <c r="C25" s="31">
        <f>IF(B$19=0,0,B25/B$19)</f>
        <v>0.15816857440166493</v>
      </c>
      <c r="E25" s="44" t="s">
        <v>85</v>
      </c>
      <c r="F25" s="41" t="s">
        <v>40</v>
      </c>
      <c r="G25" s="34">
        <v>5</v>
      </c>
      <c r="H25" s="107">
        <f>IF(B$51=0,0,G25/B$51)</f>
        <v>5.2576235541535229E-3</v>
      </c>
      <c r="I25" s="68">
        <v>4</v>
      </c>
      <c r="K25" s="5">
        <v>23</v>
      </c>
      <c r="L25" s="73">
        <v>-200.9</v>
      </c>
      <c r="N25" s="89" t="s">
        <v>190</v>
      </c>
      <c r="O25" s="99">
        <f>IF(P25=0,0,Q25/P25)</f>
        <v>-1.1939130434782612</v>
      </c>
      <c r="P25" s="93">
        <v>115</v>
      </c>
      <c r="Q25" s="81">
        <v>-137.30000000000004</v>
      </c>
    </row>
    <row r="26" spans="1:17" x14ac:dyDescent="0.45">
      <c r="A26" s="37" t="s">
        <v>5</v>
      </c>
      <c r="B26" s="17">
        <f>IF(B$19=0,0,C26/B$19)</f>
        <v>10611.65452653486</v>
      </c>
      <c r="C26" s="8">
        <v>10197800</v>
      </c>
      <c r="E26" s="44" t="s">
        <v>93</v>
      </c>
      <c r="F26" s="41" t="s">
        <v>48</v>
      </c>
      <c r="G26" s="34">
        <v>4</v>
      </c>
      <c r="H26" s="107">
        <f>IF(B$51=0,0,G26/B$51)</f>
        <v>4.206098843322818E-3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-5.3111553784860552</v>
      </c>
      <c r="P26" s="93">
        <v>251</v>
      </c>
      <c r="Q26" s="81">
        <v>-1333.1</v>
      </c>
    </row>
    <row r="27" spans="1:17" x14ac:dyDescent="0.45">
      <c r="A27" s="38" t="s">
        <v>162</v>
      </c>
      <c r="B27" s="114">
        <f>IF($B$19-B$18=0,0,C27/($B$19-B$18))</f>
        <v>11305.500705218617</v>
      </c>
      <c r="C27" s="115">
        <v>8015600</v>
      </c>
      <c r="E27" s="44" t="s">
        <v>90</v>
      </c>
      <c r="F27" s="41" t="s">
        <v>45</v>
      </c>
      <c r="G27" s="34">
        <v>3</v>
      </c>
      <c r="H27" s="107">
        <f>IF(B$51=0,0,G27/B$51)</f>
        <v>3.1545741324921135E-3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8659.5238095238092</v>
      </c>
      <c r="C28" s="115">
        <v>2182200</v>
      </c>
      <c r="E28" s="44" t="s">
        <v>87</v>
      </c>
      <c r="F28" s="41" t="s">
        <v>42</v>
      </c>
      <c r="G28" s="34">
        <v>2</v>
      </c>
      <c r="H28" s="107">
        <f>IF(B$51=0,0,G28/B$51)</f>
        <v>2.103049421661409E-3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-8619.8387096774186</v>
      </c>
      <c r="C29" s="115">
        <v>-5344300</v>
      </c>
      <c r="E29" s="44" t="s">
        <v>74</v>
      </c>
      <c r="F29" s="41" t="s">
        <v>29</v>
      </c>
      <c r="G29" s="34">
        <v>1</v>
      </c>
      <c r="H29" s="107">
        <f>IF(B$51=0,0,G29/B$51)</f>
        <v>1.0515247108307045E-3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1.0515247108307045E-3</v>
      </c>
      <c r="I30" s="68">
        <v>6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1.0515247108307045E-3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43">
        <v>8</v>
      </c>
      <c r="C32" s="144"/>
      <c r="E32" s="44" t="s">
        <v>97</v>
      </c>
      <c r="F32" s="41" t="s">
        <v>52</v>
      </c>
      <c r="G32" s="34">
        <v>1</v>
      </c>
      <c r="H32" s="107">
        <f>IF(B$51=0,0,G32/B$51)</f>
        <v>1.0515247108307045E-3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41">
        <v>124700</v>
      </c>
      <c r="C33" s="14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12</v>
      </c>
      <c r="C34" s="32">
        <f>IF(B$3=0,0,B34/B$3)</f>
        <v>3.5346097201767305E-3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5">
        <v>30</v>
      </c>
      <c r="C36" s="119">
        <f>IF(B$19=0,0,B36/B$19)</f>
        <v>3.1217481789802288E-2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94</v>
      </c>
      <c r="C37" s="31">
        <f t="shared" ref="C37:C48" si="2">IF(B$19=0,0,B37/B$19)</f>
        <v>9.7814776274713841E-2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8">
        <v>141</v>
      </c>
      <c r="C38" s="31">
        <f>IF(B$19=0,0,B38/B$19)</f>
        <v>0.14672216441207075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8">
        <v>189</v>
      </c>
      <c r="C39" s="31">
        <f t="shared" si="2"/>
        <v>0.19667013527575442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8">
        <v>180</v>
      </c>
      <c r="C40" s="31">
        <f t="shared" si="2"/>
        <v>0.18730489073881373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8">
        <v>115</v>
      </c>
      <c r="C41" s="31">
        <f t="shared" si="2"/>
        <v>0.11966701352757544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8">
        <v>75</v>
      </c>
      <c r="C42" s="31">
        <f t="shared" si="2"/>
        <v>7.8043704474505718E-2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8">
        <v>49</v>
      </c>
      <c r="C43" s="31">
        <f t="shared" si="2"/>
        <v>5.0988553590010408E-2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8">
        <v>33</v>
      </c>
      <c r="C44" s="31">
        <f t="shared" si="2"/>
        <v>3.4339229968782518E-2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8">
        <v>12</v>
      </c>
      <c r="C45" s="31">
        <f t="shared" si="2"/>
        <v>1.2486992715920915E-2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8">
        <v>8</v>
      </c>
      <c r="C46" s="31">
        <f t="shared" si="2"/>
        <v>8.3246618106139446E-3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8">
        <v>4</v>
      </c>
      <c r="C47" s="31">
        <f t="shared" si="2"/>
        <v>4.1623309053069723E-3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4">
        <v>21</v>
      </c>
      <c r="C48" s="32">
        <f t="shared" si="2"/>
        <v>2.1852237252861603E-2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3358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39">
        <v>951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  <row r="411" spans="11:12" x14ac:dyDescent="0.45">
      <c r="K411" s="5">
        <v>409</v>
      </c>
      <c r="L411" s="73">
        <v>560.30000000000041</v>
      </c>
    </row>
    <row r="412" spans="11:12" x14ac:dyDescent="0.45">
      <c r="K412" s="5">
        <v>410</v>
      </c>
      <c r="L412" s="73">
        <v>596.10000000000036</v>
      </c>
    </row>
    <row r="413" spans="11:12" x14ac:dyDescent="0.45">
      <c r="K413" s="5">
        <v>411</v>
      </c>
      <c r="L413" s="73">
        <v>624.70000000000039</v>
      </c>
    </row>
    <row r="414" spans="11:12" x14ac:dyDescent="0.45">
      <c r="K414" s="5">
        <v>412</v>
      </c>
      <c r="L414" s="73">
        <v>590.60000000000036</v>
      </c>
    </row>
    <row r="415" spans="11:12" x14ac:dyDescent="0.45">
      <c r="K415" s="5">
        <v>413</v>
      </c>
      <c r="L415" s="73">
        <v>581.20000000000039</v>
      </c>
    </row>
    <row r="416" spans="11:12" x14ac:dyDescent="0.45">
      <c r="K416" s="5">
        <v>414</v>
      </c>
      <c r="L416" s="73">
        <v>606.80000000000041</v>
      </c>
    </row>
    <row r="417" spans="11:12" x14ac:dyDescent="0.45">
      <c r="K417" s="5">
        <v>415</v>
      </c>
      <c r="L417" s="73">
        <v>580.10000000000036</v>
      </c>
    </row>
    <row r="418" spans="11:12" x14ac:dyDescent="0.45">
      <c r="K418" s="5">
        <v>416</v>
      </c>
      <c r="L418" s="73">
        <v>553.20000000000039</v>
      </c>
    </row>
    <row r="419" spans="11:12" x14ac:dyDescent="0.45">
      <c r="K419" s="5">
        <v>417</v>
      </c>
      <c r="L419" s="73">
        <v>596.70000000000039</v>
      </c>
    </row>
    <row r="420" spans="11:12" x14ac:dyDescent="0.45">
      <c r="K420" s="5">
        <v>418</v>
      </c>
      <c r="L420" s="73">
        <v>589.20000000000039</v>
      </c>
    </row>
    <row r="421" spans="11:12" x14ac:dyDescent="0.45">
      <c r="K421" s="5">
        <v>419</v>
      </c>
      <c r="L421" s="73">
        <v>554.50000000000034</v>
      </c>
    </row>
    <row r="422" spans="11:12" x14ac:dyDescent="0.45">
      <c r="K422" s="5">
        <v>420</v>
      </c>
      <c r="L422" s="73">
        <v>579.10000000000036</v>
      </c>
    </row>
    <row r="423" spans="11:12" x14ac:dyDescent="0.45">
      <c r="K423" s="5">
        <v>421</v>
      </c>
      <c r="L423" s="73">
        <v>529.70000000000039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6C402-D09B-4573-AB33-39D4FEE84BD2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3">
        <v>69</v>
      </c>
      <c r="C3" s="13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5">
        <v>109</v>
      </c>
      <c r="C4" s="13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5">
        <f>IF(B$2=0,0,(B$7*1+B$8*2+B$9*3)/B$2)</f>
        <v>1.6666666666666667</v>
      </c>
      <c r="C6" s="14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10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78000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24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B363-75A9-4470-8DE2-65BAA94F73D8}">
  <sheetPr codeName="Sheet15"/>
  <dimension ref="A1:Q3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350</v>
      </c>
      <c r="C2" s="132"/>
      <c r="E2" s="43" t="s">
        <v>66</v>
      </c>
      <c r="F2" s="25" t="s">
        <v>22</v>
      </c>
      <c r="G2" s="13">
        <v>503</v>
      </c>
      <c r="H2" s="106">
        <f>IF(B$51=0,0,G2/B$51)</f>
        <v>0.66710875331564989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-100.57306590257879</v>
      </c>
      <c r="P2" s="92">
        <v>349</v>
      </c>
      <c r="Q2" s="76">
        <v>-35100</v>
      </c>
    </row>
    <row r="3" spans="1:17" x14ac:dyDescent="0.45">
      <c r="A3" s="37" t="s">
        <v>8</v>
      </c>
      <c r="B3" s="133">
        <v>2838</v>
      </c>
      <c r="C3" s="134"/>
      <c r="E3" s="44" t="s">
        <v>72</v>
      </c>
      <c r="F3" s="41" t="s">
        <v>27</v>
      </c>
      <c r="G3" s="34">
        <v>404</v>
      </c>
      <c r="H3" s="107">
        <f>IF(B$51=0,0,G3/B$51)</f>
        <v>0.53580901856763929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541.10787172011658</v>
      </c>
      <c r="P3" s="93">
        <v>343</v>
      </c>
      <c r="Q3" s="77">
        <v>185600</v>
      </c>
    </row>
    <row r="4" spans="1:17" x14ac:dyDescent="0.45">
      <c r="A4" s="37" t="s">
        <v>6</v>
      </c>
      <c r="B4" s="135">
        <v>-525.70000000000005</v>
      </c>
      <c r="C4" s="136"/>
      <c r="E4" s="44" t="s">
        <v>64</v>
      </c>
      <c r="F4" s="41" t="s">
        <v>20</v>
      </c>
      <c r="G4" s="34">
        <v>385</v>
      </c>
      <c r="H4" s="107">
        <f>IF(B$51=0,0,G4/B$51)</f>
        <v>0.51061007957559679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-479.75077881619939</v>
      </c>
      <c r="P4" s="93">
        <v>321</v>
      </c>
      <c r="Q4" s="77">
        <v>-154000</v>
      </c>
    </row>
    <row r="5" spans="1:17" x14ac:dyDescent="0.45">
      <c r="A5" s="37" t="s">
        <v>7</v>
      </c>
      <c r="B5" s="137">
        <f>IF(B$2=0,0,B$4/B$2)</f>
        <v>-1.5020000000000002</v>
      </c>
      <c r="C5" s="138"/>
      <c r="E5" s="44" t="s">
        <v>157</v>
      </c>
      <c r="F5" s="41" t="s">
        <v>158</v>
      </c>
      <c r="G5" s="34">
        <v>309</v>
      </c>
      <c r="H5" s="107">
        <f>IF(B$51=0,0,G5/B$51)</f>
        <v>0.40981432360742703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-245.27027027027026</v>
      </c>
      <c r="P5" s="93">
        <v>296</v>
      </c>
      <c r="Q5" s="77">
        <v>-72600</v>
      </c>
    </row>
    <row r="6" spans="1:17" x14ac:dyDescent="0.45">
      <c r="A6" s="37" t="s">
        <v>1</v>
      </c>
      <c r="B6" s="145">
        <f>IF(B$2=0,0,(B$7*1+B$8*2+B$9*3)/B$2)</f>
        <v>2.0542857142857143</v>
      </c>
      <c r="C6" s="146"/>
      <c r="E6" s="44" t="s">
        <v>67</v>
      </c>
      <c r="F6" s="41" t="s">
        <v>23</v>
      </c>
      <c r="G6" s="34">
        <v>248</v>
      </c>
      <c r="H6" s="107">
        <f>IF(B$51=0,0,G6/B$51)</f>
        <v>0.32891246684350134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-965.16853932584274</v>
      </c>
      <c r="P6" s="93">
        <v>267</v>
      </c>
      <c r="Q6" s="77">
        <v>-257700</v>
      </c>
    </row>
    <row r="7" spans="1:17" x14ac:dyDescent="0.45">
      <c r="A7" s="37" t="s">
        <v>2</v>
      </c>
      <c r="B7" s="34">
        <v>98</v>
      </c>
      <c r="C7" s="31">
        <f t="shared" ref="C7:C14" si="1">IF(B$2=0,0,B7/B$2)</f>
        <v>0.28000000000000003</v>
      </c>
      <c r="E7" s="44" t="s">
        <v>68</v>
      </c>
      <c r="F7" s="41" t="s">
        <v>12</v>
      </c>
      <c r="G7" s="34">
        <v>238</v>
      </c>
      <c r="H7" s="107">
        <f>IF(B$51=0,0,G7/B$51)</f>
        <v>0.3156498673740053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-346.36363636363637</v>
      </c>
      <c r="P7" s="94">
        <v>220</v>
      </c>
      <c r="Q7" s="78">
        <v>-76200</v>
      </c>
    </row>
    <row r="8" spans="1:17" x14ac:dyDescent="0.45">
      <c r="A8" s="37" t="s">
        <v>3</v>
      </c>
      <c r="B8" s="34">
        <v>135</v>
      </c>
      <c r="C8" s="31">
        <f t="shared" si="1"/>
        <v>0.38571428571428573</v>
      </c>
      <c r="E8" s="44" t="s">
        <v>89</v>
      </c>
      <c r="F8" s="41" t="s">
        <v>44</v>
      </c>
      <c r="G8" s="34">
        <v>101</v>
      </c>
      <c r="H8" s="107">
        <f>IF(B$51=0,0,G8/B$51)</f>
        <v>0.13395225464190982</v>
      </c>
      <c r="I8" s="68">
        <v>9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117</v>
      </c>
      <c r="C9" s="7">
        <f t="shared" si="1"/>
        <v>0.3342857142857143</v>
      </c>
      <c r="E9" s="44" t="s">
        <v>69</v>
      </c>
      <c r="F9" s="41" t="s">
        <v>24</v>
      </c>
      <c r="G9" s="34">
        <v>100</v>
      </c>
      <c r="H9" s="107">
        <f>IF(B$51=0,0,G9/B$51)</f>
        <v>0.13262599469496023</v>
      </c>
      <c r="I9" s="68">
        <v>12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40.042857142857144</v>
      </c>
      <c r="C10" s="121">
        <v>3924.2000000000003</v>
      </c>
      <c r="E10" s="44" t="s">
        <v>65</v>
      </c>
      <c r="F10" s="41" t="s">
        <v>21</v>
      </c>
      <c r="G10" s="34">
        <v>69</v>
      </c>
      <c r="H10" s="107">
        <f>IF(B$51=0,0,G10/B$51)</f>
        <v>9.1511936339522551E-2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-5.0592307692307701</v>
      </c>
      <c r="P10" s="92">
        <v>130</v>
      </c>
      <c r="Q10" s="80">
        <v>-657.70000000000016</v>
      </c>
    </row>
    <row r="11" spans="1:17" x14ac:dyDescent="0.45">
      <c r="A11" s="38" t="s">
        <v>204</v>
      </c>
      <c r="B11" s="120">
        <f>IF(B8=0,0,C11/B8)</f>
        <v>-0.13407407407407396</v>
      </c>
      <c r="C11" s="121">
        <v>-18.099999999999984</v>
      </c>
      <c r="E11" s="44" t="s">
        <v>71</v>
      </c>
      <c r="F11" s="41" t="s">
        <v>26</v>
      </c>
      <c r="G11" s="34">
        <v>64</v>
      </c>
      <c r="H11" s="107">
        <f>IF(B$51=0,0,G11/B$51)</f>
        <v>8.4880636604774531E-2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-0.36160714285714296</v>
      </c>
      <c r="P11" s="93">
        <v>112</v>
      </c>
      <c r="Q11" s="81">
        <v>-40.500000000000014</v>
      </c>
    </row>
    <row r="12" spans="1:17" x14ac:dyDescent="0.45">
      <c r="A12" s="38" t="s">
        <v>205</v>
      </c>
      <c r="B12" s="120">
        <f>IF(B9=0,0,C12/B9)</f>
        <v>-37.878632478632476</v>
      </c>
      <c r="C12" s="121">
        <v>-4431.7999999999993</v>
      </c>
      <c r="E12" s="44" t="s">
        <v>70</v>
      </c>
      <c r="F12" s="41" t="s">
        <v>25</v>
      </c>
      <c r="G12" s="34">
        <v>62</v>
      </c>
      <c r="H12" s="107">
        <f>IF(B$51=0,0,G12/B$51)</f>
        <v>8.2228116710875335E-2</v>
      </c>
      <c r="I12" s="68">
        <v>12</v>
      </c>
      <c r="K12" s="5">
        <v>10</v>
      </c>
      <c r="L12" s="73">
        <v>-24.299999999999997</v>
      </c>
      <c r="N12" s="90" t="s">
        <v>151</v>
      </c>
      <c r="O12" s="100">
        <f>IF(P12=0,0,Q12/P12)</f>
        <v>1.5972222222222219</v>
      </c>
      <c r="P12" s="94">
        <v>108</v>
      </c>
      <c r="Q12" s="82">
        <v>172.49999999999997</v>
      </c>
    </row>
    <row r="13" spans="1:17" x14ac:dyDescent="0.45">
      <c r="A13" s="38" t="s">
        <v>206</v>
      </c>
      <c r="B13" s="137">
        <f>AVERAGE(B10:B12)</f>
        <v>0.67671686338353254</v>
      </c>
      <c r="C13" s="138"/>
      <c r="E13" s="44" t="s">
        <v>83</v>
      </c>
      <c r="F13" s="41" t="s">
        <v>38</v>
      </c>
      <c r="G13" s="34">
        <v>41</v>
      </c>
      <c r="H13" s="107">
        <f>IF(B$51=0,0,G13/B$51)</f>
        <v>5.4376657824933686E-2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41</v>
      </c>
      <c r="C14" s="32">
        <f t="shared" si="1"/>
        <v>0.11714285714285715</v>
      </c>
      <c r="E14" s="44" t="s">
        <v>86</v>
      </c>
      <c r="F14" s="41" t="s">
        <v>41</v>
      </c>
      <c r="G14" s="34">
        <v>37</v>
      </c>
      <c r="H14" s="107">
        <f>IF(B$51=0,0,G14/B$51)</f>
        <v>4.9071618037135278E-2</v>
      </c>
      <c r="I14" s="68">
        <v>12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697</v>
      </c>
      <c r="C15" s="11">
        <f>IF(B$50=0,0,B15/B$50)</f>
        <v>0.24559548978153628</v>
      </c>
      <c r="E15" s="44" t="s">
        <v>78</v>
      </c>
      <c r="F15" s="41" t="s">
        <v>33</v>
      </c>
      <c r="G15" s="34">
        <v>22</v>
      </c>
      <c r="H15" s="107">
        <f>IF(B$51=0,0,G15/B$51)</f>
        <v>2.9177718832891247E-2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642</v>
      </c>
      <c r="C16" s="31">
        <f>IF(B$50=0,0,B16/B$50)</f>
        <v>0.22621564482029599</v>
      </c>
      <c r="E16" s="44" t="s">
        <v>79</v>
      </c>
      <c r="F16" s="41" t="s">
        <v>34</v>
      </c>
      <c r="G16" s="34">
        <v>16</v>
      </c>
      <c r="H16" s="107">
        <f>IF(B$51=0,0,G16/B$51)</f>
        <v>2.1220159151193633E-2</v>
      </c>
      <c r="I16" s="68">
        <v>6</v>
      </c>
      <c r="K16" s="5">
        <v>14</v>
      </c>
      <c r="L16" s="73">
        <v>-5.7999999999999945</v>
      </c>
      <c r="N16" s="89" t="s">
        <v>197</v>
      </c>
      <c r="O16" s="99">
        <f>IF(P16=0,0,Q16/P16)</f>
        <v>25.099999999999998</v>
      </c>
      <c r="P16" s="93">
        <v>38</v>
      </c>
      <c r="Q16" s="81">
        <v>953.8</v>
      </c>
    </row>
    <row r="17" spans="1:17" x14ac:dyDescent="0.45">
      <c r="A17" s="19" t="s">
        <v>123</v>
      </c>
      <c r="B17" s="13">
        <v>394</v>
      </c>
      <c r="C17" s="4">
        <f>IF(B$15=0,0,B17/B$15)</f>
        <v>0.5652797704447633</v>
      </c>
      <c r="E17" s="44" t="s">
        <v>81</v>
      </c>
      <c r="F17" s="41" t="s">
        <v>36</v>
      </c>
      <c r="G17" s="34">
        <v>16</v>
      </c>
      <c r="H17" s="107">
        <f>IF(B$51=0,0,G17/B$51)</f>
        <v>2.1220159151193633E-2</v>
      </c>
      <c r="I17" s="68">
        <v>11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241</v>
      </c>
      <c r="C18" s="4">
        <f>IF(B$16=0,0,B18/B$16)</f>
        <v>0.37538940809968846</v>
      </c>
      <c r="E18" s="44" t="s">
        <v>91</v>
      </c>
      <c r="F18" s="41" t="s">
        <v>46</v>
      </c>
      <c r="G18" s="34">
        <v>16</v>
      </c>
      <c r="H18" s="107">
        <f>IF(B$51=0,0,G18/B$51)</f>
        <v>2.1220159151193633E-2</v>
      </c>
      <c r="I18" s="68">
        <v>5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754</v>
      </c>
      <c r="C19" s="4">
        <f>IF(B$3=0,0,B19/B$3)</f>
        <v>0.26568005637773079</v>
      </c>
      <c r="E19" s="44" t="s">
        <v>85</v>
      </c>
      <c r="F19" s="41" t="s">
        <v>40</v>
      </c>
      <c r="G19" s="34">
        <v>10</v>
      </c>
      <c r="H19" s="107">
        <f>IF(B$51=0,0,G19/B$51)</f>
        <v>1.3262599469496022E-2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12.52</v>
      </c>
      <c r="P19" s="93">
        <v>20</v>
      </c>
      <c r="Q19" s="81">
        <v>250.4</v>
      </c>
    </row>
    <row r="20" spans="1:17" x14ac:dyDescent="0.45">
      <c r="A20" s="37" t="s">
        <v>13</v>
      </c>
      <c r="B20" s="34">
        <v>417</v>
      </c>
      <c r="C20" s="31">
        <f>IF(B$3=0,0,B20/B$3)</f>
        <v>0.14693446088794926</v>
      </c>
      <c r="E20" s="44" t="s">
        <v>153</v>
      </c>
      <c r="F20" s="41" t="s">
        <v>154</v>
      </c>
      <c r="G20" s="34">
        <v>7</v>
      </c>
      <c r="H20" s="107">
        <f>IF(B$51=0,0,G20/B$51)</f>
        <v>9.2838196286472146E-3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5">
      <c r="A21" s="37" t="s">
        <v>12</v>
      </c>
      <c r="B21" s="34">
        <v>333</v>
      </c>
      <c r="C21" s="31">
        <f>IF(B$19=0,0,B21/B$19)</f>
        <v>0.44164456233421751</v>
      </c>
      <c r="E21" s="44" t="s">
        <v>92</v>
      </c>
      <c r="F21" s="41" t="s">
        <v>47</v>
      </c>
      <c r="G21" s="34">
        <v>6</v>
      </c>
      <c r="H21" s="107">
        <f>IF(B$51=0,0,G21/B$51)</f>
        <v>7.9575596816976128E-3</v>
      </c>
      <c r="I21" s="68">
        <v>3</v>
      </c>
      <c r="K21" s="5">
        <v>19</v>
      </c>
      <c r="L21" s="73">
        <v>-60</v>
      </c>
      <c r="N21" s="89" t="s">
        <v>190</v>
      </c>
      <c r="O21" s="99">
        <f>IF(P21=0,0,Q21/P21)</f>
        <v>4.2830985915492965</v>
      </c>
      <c r="P21" s="93">
        <v>71</v>
      </c>
      <c r="Q21" s="81">
        <v>304.10000000000002</v>
      </c>
    </row>
    <row r="22" spans="1:17" x14ac:dyDescent="0.45">
      <c r="A22" s="37" t="s">
        <v>11</v>
      </c>
      <c r="B22" s="34">
        <v>421</v>
      </c>
      <c r="C22" s="31">
        <f>IF(B$19=0,0,B22/B$19)</f>
        <v>0.55835543766578244</v>
      </c>
      <c r="E22" s="44" t="s">
        <v>73</v>
      </c>
      <c r="F22" s="41" t="s">
        <v>28</v>
      </c>
      <c r="G22" s="34">
        <v>5</v>
      </c>
      <c r="H22" s="107">
        <f>IF(B$51=0,0,G22/B$51)</f>
        <v>6.6312997347480109E-3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394</v>
      </c>
      <c r="C23" s="31">
        <f>IF(B$19=0,0,B23/B$19)</f>
        <v>0.52254641909814326</v>
      </c>
      <c r="E23" s="44" t="s">
        <v>75</v>
      </c>
      <c r="F23" s="41" t="s">
        <v>30</v>
      </c>
      <c r="G23" s="34">
        <v>5</v>
      </c>
      <c r="H23" s="107">
        <f>IF(B$51=0,0,G23/B$51)</f>
        <v>6.6312997347480109E-3</v>
      </c>
      <c r="I23" s="68">
        <v>5</v>
      </c>
      <c r="K23" s="5">
        <v>21</v>
      </c>
      <c r="L23" s="73">
        <v>-125.80000000000001</v>
      </c>
      <c r="N23" s="89" t="s">
        <v>191</v>
      </c>
      <c r="O23" s="99">
        <f>IF(P23=0,0,Q23/P23)</f>
        <v>0.15190839694656774</v>
      </c>
      <c r="P23" s="93">
        <v>131</v>
      </c>
      <c r="Q23" s="81">
        <v>19.900000000000375</v>
      </c>
    </row>
    <row r="24" spans="1:17" x14ac:dyDescent="0.45">
      <c r="A24" s="37" t="s">
        <v>178</v>
      </c>
      <c r="B24" s="34">
        <v>241</v>
      </c>
      <c r="C24" s="31">
        <f>IF(B$19=0,0,B24/B$19)</f>
        <v>0.31962864721485412</v>
      </c>
      <c r="E24" s="44" t="s">
        <v>74</v>
      </c>
      <c r="F24" s="41" t="s">
        <v>29</v>
      </c>
      <c r="G24" s="34">
        <v>3</v>
      </c>
      <c r="H24" s="107">
        <f>IF(B$51=0,0,G24/B$51)</f>
        <v>3.9787798408488064E-3</v>
      </c>
      <c r="I24" s="68">
        <v>5</v>
      </c>
      <c r="K24" s="5">
        <v>22</v>
      </c>
      <c r="L24" s="73">
        <v>-149.30000000000001</v>
      </c>
      <c r="N24" s="89" t="s">
        <v>193</v>
      </c>
      <c r="O24" s="99">
        <f>IF(P24=0,0,Q24/P24)</f>
        <v>-1.8181818181818687E-2</v>
      </c>
      <c r="P24" s="93">
        <v>143</v>
      </c>
      <c r="Q24" s="81">
        <v>-2.6000000000000725</v>
      </c>
    </row>
    <row r="25" spans="1:17" x14ac:dyDescent="0.45">
      <c r="A25" s="37" t="s">
        <v>179</v>
      </c>
      <c r="B25" s="34">
        <v>119</v>
      </c>
      <c r="C25" s="31">
        <f>IF(B$19=0,0,B25/B$19)</f>
        <v>0.15782493368700265</v>
      </c>
      <c r="E25" s="44" t="s">
        <v>77</v>
      </c>
      <c r="F25" s="41" t="s">
        <v>32</v>
      </c>
      <c r="G25" s="34">
        <v>3</v>
      </c>
      <c r="H25" s="107">
        <f>IF(B$51=0,0,G25/B$51)</f>
        <v>3.9787798408488064E-3</v>
      </c>
      <c r="I25" s="68">
        <v>8</v>
      </c>
      <c r="K25" s="5">
        <v>23</v>
      </c>
      <c r="L25" s="73">
        <v>-150.30000000000001</v>
      </c>
      <c r="N25" s="89" t="s">
        <v>188</v>
      </c>
      <c r="O25" s="99">
        <f>IF(P25=0,0,Q25/P25)</f>
        <v>-2.5370370370370372</v>
      </c>
      <c r="P25" s="93">
        <v>81</v>
      </c>
      <c r="Q25" s="81">
        <v>-205.5</v>
      </c>
    </row>
    <row r="26" spans="1:17" x14ac:dyDescent="0.45">
      <c r="A26" s="37" t="s">
        <v>5</v>
      </c>
      <c r="B26" s="17">
        <f>IF(B$19=0,0,C26/B$19)</f>
        <v>8624.6684350132618</v>
      </c>
      <c r="C26" s="8">
        <v>6503000</v>
      </c>
      <c r="E26" s="44" t="s">
        <v>88</v>
      </c>
      <c r="F26" s="41" t="s">
        <v>43</v>
      </c>
      <c r="G26" s="34">
        <v>2</v>
      </c>
      <c r="H26" s="107">
        <f>IF(B$51=0,0,G26/B$51)</f>
        <v>2.6525198938992041E-3</v>
      </c>
      <c r="I26" s="68">
        <v>2</v>
      </c>
      <c r="K26" s="5">
        <v>24</v>
      </c>
      <c r="L26" s="73">
        <v>-196.10000000000002</v>
      </c>
      <c r="N26" s="89" t="s">
        <v>189</v>
      </c>
      <c r="O26" s="99">
        <f>IF(P26=0,0,Q26/P26)</f>
        <v>-13.000000000000004</v>
      </c>
      <c r="P26" s="93">
        <v>5</v>
      </c>
      <c r="Q26" s="81">
        <v>-65.000000000000014</v>
      </c>
    </row>
    <row r="27" spans="1:17" x14ac:dyDescent="0.45">
      <c r="A27" s="38" t="s">
        <v>162</v>
      </c>
      <c r="B27" s="114">
        <f>IF($B$19-B$18=0,0,C27/($B$19-B$18))</f>
        <v>9396.4912280701756</v>
      </c>
      <c r="C27" s="115">
        <v>4820400</v>
      </c>
      <c r="E27" s="44" t="s">
        <v>90</v>
      </c>
      <c r="F27" s="41" t="s">
        <v>45</v>
      </c>
      <c r="G27" s="34">
        <v>2</v>
      </c>
      <c r="H27" s="107">
        <f>IF(B$51=0,0,G27/B$51)</f>
        <v>2.6525198938992041E-3</v>
      </c>
      <c r="I27" s="68">
        <v>3</v>
      </c>
      <c r="K27" s="5">
        <v>25</v>
      </c>
      <c r="L27" s="73">
        <v>-240.00000000000003</v>
      </c>
      <c r="N27" s="89" t="s">
        <v>195</v>
      </c>
      <c r="O27" s="99">
        <f>IF(P27=0,0,Q27/P27)</f>
        <v>-18.586857142857145</v>
      </c>
      <c r="P27" s="93">
        <v>175</v>
      </c>
      <c r="Q27" s="81">
        <v>-3252.7000000000003</v>
      </c>
    </row>
    <row r="28" spans="1:17" x14ac:dyDescent="0.45">
      <c r="A28" s="38" t="s">
        <v>163</v>
      </c>
      <c r="B28" s="114">
        <f>IF(B$18=0,0,C28/B$18)</f>
        <v>6981.7427385892115</v>
      </c>
      <c r="C28" s="115">
        <v>1682600</v>
      </c>
      <c r="E28" s="44" t="s">
        <v>93</v>
      </c>
      <c r="F28" s="41" t="s">
        <v>48</v>
      </c>
      <c r="G28" s="34">
        <v>2</v>
      </c>
      <c r="H28" s="107">
        <f>IF(B$51=0,0,G28/B$51)</f>
        <v>2.6525198938992041E-3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-7394.0047961630698</v>
      </c>
      <c r="C29" s="115">
        <v>-3083300</v>
      </c>
      <c r="E29" s="44" t="s">
        <v>101</v>
      </c>
      <c r="F29" s="41" t="s">
        <v>56</v>
      </c>
      <c r="G29" s="34">
        <v>2</v>
      </c>
      <c r="H29" s="107">
        <f>IF(B$51=0,0,G29/B$51)</f>
        <v>2.6525198938992041E-3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1.3262599469496021E-3</v>
      </c>
      <c r="I30" s="68">
        <v>8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43">
        <v>8</v>
      </c>
      <c r="C32" s="144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41">
        <v>103000</v>
      </c>
      <c r="C33" s="14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2.4665257223396757E-3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5">
        <v>56</v>
      </c>
      <c r="C36" s="119">
        <f>IF(B$19=0,0,B36/B$19)</f>
        <v>7.4270557029177717E-2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119</v>
      </c>
      <c r="C37" s="31">
        <f t="shared" ref="C37:C48" si="2">IF(B$19=0,0,B37/B$19)</f>
        <v>0.15782493368700265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8">
        <v>143</v>
      </c>
      <c r="C38" s="31">
        <f>IF(B$19=0,0,B38/B$19)</f>
        <v>0.18965517241379309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8">
        <v>139</v>
      </c>
      <c r="C39" s="31">
        <f t="shared" si="2"/>
        <v>0.1843501326259947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8">
        <v>114</v>
      </c>
      <c r="C40" s="31">
        <f t="shared" si="2"/>
        <v>0.15119363395225463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8">
        <v>78</v>
      </c>
      <c r="C41" s="31">
        <f t="shared" si="2"/>
        <v>0.10344827586206896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8">
        <v>46</v>
      </c>
      <c r="C42" s="31">
        <f t="shared" si="2"/>
        <v>6.1007957559681698E-2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8">
        <v>19</v>
      </c>
      <c r="C43" s="31">
        <f t="shared" si="2"/>
        <v>2.5198938992042442E-2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8">
        <v>15</v>
      </c>
      <c r="C44" s="31">
        <f t="shared" si="2"/>
        <v>1.9893899204244031E-2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8">
        <v>10</v>
      </c>
      <c r="C45" s="31">
        <f t="shared" si="2"/>
        <v>1.3262599469496022E-2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8">
        <v>3</v>
      </c>
      <c r="C46" s="31">
        <f t="shared" si="2"/>
        <v>3.9787798408488064E-3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8">
        <v>2</v>
      </c>
      <c r="C47" s="31">
        <f t="shared" si="2"/>
        <v>2.6525198938992041E-3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4">
        <v>10</v>
      </c>
      <c r="C48" s="32">
        <f t="shared" si="2"/>
        <v>1.3262599469496022E-2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2838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39">
        <v>754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  <row r="331" spans="11:12" x14ac:dyDescent="0.45">
      <c r="K331" s="5">
        <v>329</v>
      </c>
      <c r="L331" s="73">
        <v>-479.5</v>
      </c>
    </row>
    <row r="332" spans="11:12" x14ac:dyDescent="0.45">
      <c r="K332" s="5">
        <v>330</v>
      </c>
      <c r="L332" s="73">
        <v>-541.79999999999995</v>
      </c>
    </row>
    <row r="333" spans="11:12" x14ac:dyDescent="0.45">
      <c r="K333" s="5">
        <v>331</v>
      </c>
      <c r="L333" s="73">
        <v>-527.5</v>
      </c>
    </row>
    <row r="334" spans="11:12" x14ac:dyDescent="0.45">
      <c r="K334" s="5">
        <v>332</v>
      </c>
      <c r="L334" s="73">
        <v>-554.6</v>
      </c>
    </row>
    <row r="335" spans="11:12" x14ac:dyDescent="0.45">
      <c r="K335" s="5">
        <v>333</v>
      </c>
      <c r="L335" s="73">
        <v>-575.5</v>
      </c>
    </row>
    <row r="336" spans="11:12" x14ac:dyDescent="0.45">
      <c r="K336" s="5">
        <v>334</v>
      </c>
      <c r="L336" s="73">
        <v>-549.5</v>
      </c>
    </row>
    <row r="337" spans="11:12" x14ac:dyDescent="0.45">
      <c r="K337" s="5">
        <v>335</v>
      </c>
      <c r="L337" s="73">
        <v>-517.6</v>
      </c>
    </row>
    <row r="338" spans="11:12" x14ac:dyDescent="0.45">
      <c r="K338" s="5">
        <v>336</v>
      </c>
      <c r="L338" s="73">
        <v>-507.3</v>
      </c>
    </row>
    <row r="339" spans="11:12" x14ac:dyDescent="0.45">
      <c r="K339" s="5">
        <v>337</v>
      </c>
      <c r="L339" s="73">
        <v>-499.3</v>
      </c>
    </row>
    <row r="340" spans="11:12" x14ac:dyDescent="0.45">
      <c r="K340" s="5">
        <v>338</v>
      </c>
      <c r="L340" s="73">
        <v>-493.9</v>
      </c>
    </row>
    <row r="341" spans="11:12" x14ac:dyDescent="0.45">
      <c r="K341" s="5">
        <v>339</v>
      </c>
      <c r="L341" s="73">
        <v>-525</v>
      </c>
    </row>
    <row r="342" spans="11:12" x14ac:dyDescent="0.45">
      <c r="K342" s="5">
        <v>340</v>
      </c>
      <c r="L342" s="73">
        <v>-566.6</v>
      </c>
    </row>
    <row r="343" spans="11:12" x14ac:dyDescent="0.45">
      <c r="K343" s="5">
        <v>341</v>
      </c>
      <c r="L343" s="73">
        <v>-604.9</v>
      </c>
    </row>
    <row r="344" spans="11:12" x14ac:dyDescent="0.45">
      <c r="K344" s="5">
        <v>342</v>
      </c>
      <c r="L344" s="73">
        <v>-628.4</v>
      </c>
    </row>
    <row r="345" spans="11:12" x14ac:dyDescent="0.45">
      <c r="K345" s="5">
        <v>343</v>
      </c>
      <c r="L345" s="73">
        <v>-600.4</v>
      </c>
    </row>
    <row r="346" spans="11:12" x14ac:dyDescent="0.45">
      <c r="K346" s="5">
        <v>344</v>
      </c>
      <c r="L346" s="73">
        <v>-620.29999999999995</v>
      </c>
    </row>
    <row r="347" spans="11:12" x14ac:dyDescent="0.45">
      <c r="K347" s="5">
        <v>345</v>
      </c>
      <c r="L347" s="73">
        <v>-628.1</v>
      </c>
    </row>
    <row r="348" spans="11:12" x14ac:dyDescent="0.45">
      <c r="K348" s="5">
        <v>346</v>
      </c>
      <c r="L348" s="73">
        <v>-680.9</v>
      </c>
    </row>
    <row r="349" spans="11:12" x14ac:dyDescent="0.45">
      <c r="K349" s="5">
        <v>347</v>
      </c>
      <c r="L349" s="73">
        <v>-631.4</v>
      </c>
    </row>
    <row r="350" spans="11:12" x14ac:dyDescent="0.45">
      <c r="K350" s="5">
        <v>348</v>
      </c>
      <c r="L350" s="73">
        <v>-619.20000000000005</v>
      </c>
    </row>
    <row r="351" spans="11:12" x14ac:dyDescent="0.45">
      <c r="K351" s="5">
        <v>349</v>
      </c>
      <c r="L351" s="73">
        <v>-555.70000000000005</v>
      </c>
    </row>
    <row r="352" spans="11:12" x14ac:dyDescent="0.45">
      <c r="K352" s="5">
        <v>350</v>
      </c>
      <c r="L352" s="73">
        <v>-525.70000000000005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43BF6-1F66-4A1F-8A5C-9D2AD6517AFD}">
  <sheetPr codeName="Sheet16"/>
  <dimension ref="A1:Q11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186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109</v>
      </c>
      <c r="C2" s="132"/>
      <c r="E2" s="43" t="s">
        <v>66</v>
      </c>
      <c r="F2" s="25" t="s">
        <v>22</v>
      </c>
      <c r="G2" s="13">
        <v>175</v>
      </c>
      <c r="H2" s="106">
        <f>IF(B$51=0,0,G2/B$51)</f>
        <v>0.71138211382113825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-2530.8411214953271</v>
      </c>
      <c r="P2" s="92">
        <v>107</v>
      </c>
      <c r="Q2" s="76">
        <v>-270800</v>
      </c>
    </row>
    <row r="3" spans="1:17" x14ac:dyDescent="0.45">
      <c r="A3" s="37" t="s">
        <v>8</v>
      </c>
      <c r="B3" s="133">
        <v>945</v>
      </c>
      <c r="C3" s="134"/>
      <c r="E3" s="44" t="s">
        <v>64</v>
      </c>
      <c r="F3" s="41" t="s">
        <v>20</v>
      </c>
      <c r="G3" s="34">
        <v>120</v>
      </c>
      <c r="H3" s="107">
        <f>IF(B$51=0,0,G3/B$51)</f>
        <v>0.48780487804878048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-653.77358490566041</v>
      </c>
      <c r="P3" s="93">
        <v>106</v>
      </c>
      <c r="Q3" s="77">
        <v>-69300</v>
      </c>
    </row>
    <row r="4" spans="1:17" x14ac:dyDescent="0.45">
      <c r="A4" s="37" t="s">
        <v>6</v>
      </c>
      <c r="B4" s="135">
        <v>-973.6</v>
      </c>
      <c r="C4" s="136"/>
      <c r="E4" s="44" t="s">
        <v>72</v>
      </c>
      <c r="F4" s="41" t="s">
        <v>27</v>
      </c>
      <c r="G4" s="34">
        <v>113</v>
      </c>
      <c r="H4" s="107">
        <f>IF(B$51=0,0,G4/B$51)</f>
        <v>0.45934959349593496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-1280.1980198019803</v>
      </c>
      <c r="P4" s="93">
        <v>101</v>
      </c>
      <c r="Q4" s="77">
        <v>-129300</v>
      </c>
    </row>
    <row r="5" spans="1:17" x14ac:dyDescent="0.45">
      <c r="A5" s="37" t="s">
        <v>7</v>
      </c>
      <c r="B5" s="137">
        <f>IF(B$2=0,0,B$4/B$2)</f>
        <v>-8.9321100917431195</v>
      </c>
      <c r="C5" s="138"/>
      <c r="E5" s="44" t="s">
        <v>68</v>
      </c>
      <c r="F5" s="41" t="s">
        <v>12</v>
      </c>
      <c r="G5" s="34">
        <v>101</v>
      </c>
      <c r="H5" s="107">
        <f>IF(B$51=0,0,G5/B$51)</f>
        <v>0.41056910569105692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-3147.3118279569894</v>
      </c>
      <c r="P5" s="93">
        <v>93</v>
      </c>
      <c r="Q5" s="77">
        <v>-292700</v>
      </c>
    </row>
    <row r="6" spans="1:17" x14ac:dyDescent="0.45">
      <c r="A6" s="37" t="s">
        <v>1</v>
      </c>
      <c r="B6" s="145">
        <f>IF(B$2=0,0,(B$7*1+B$8*2+B$9*3)/B$2)</f>
        <v>2.1559633027522938</v>
      </c>
      <c r="C6" s="146"/>
      <c r="E6" s="44" t="s">
        <v>157</v>
      </c>
      <c r="F6" s="41" t="s">
        <v>158</v>
      </c>
      <c r="G6" s="34">
        <v>90</v>
      </c>
      <c r="H6" s="107">
        <f>IF(B$51=0,0,G6/B$51)</f>
        <v>0.36585365853658536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867.07317073170736</v>
      </c>
      <c r="P6" s="93">
        <v>82</v>
      </c>
      <c r="Q6" s="77">
        <v>71100</v>
      </c>
    </row>
    <row r="7" spans="1:17" x14ac:dyDescent="0.45">
      <c r="A7" s="37" t="s">
        <v>2</v>
      </c>
      <c r="B7" s="34">
        <v>30</v>
      </c>
      <c r="C7" s="31">
        <f t="shared" ref="C7:C14" si="1">IF(B$2=0,0,B7/B$2)</f>
        <v>0.27522935779816515</v>
      </c>
      <c r="E7" s="44" t="s">
        <v>67</v>
      </c>
      <c r="F7" s="41" t="s">
        <v>23</v>
      </c>
      <c r="G7" s="34">
        <v>51</v>
      </c>
      <c r="H7" s="107">
        <f>IF(B$51=0,0,G7/B$51)</f>
        <v>0.2073170731707317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-184.93150684931507</v>
      </c>
      <c r="P7" s="94">
        <v>73</v>
      </c>
      <c r="Q7" s="78">
        <v>-13500</v>
      </c>
    </row>
    <row r="8" spans="1:17" x14ac:dyDescent="0.45">
      <c r="A8" s="37" t="s">
        <v>3</v>
      </c>
      <c r="B8" s="34">
        <v>32</v>
      </c>
      <c r="C8" s="31">
        <f t="shared" si="1"/>
        <v>0.29357798165137616</v>
      </c>
      <c r="E8" s="44" t="s">
        <v>69</v>
      </c>
      <c r="F8" s="41" t="s">
        <v>24</v>
      </c>
      <c r="G8" s="34">
        <v>37</v>
      </c>
      <c r="H8" s="107">
        <f>IF(B$51=0,0,G8/B$51)</f>
        <v>0.15040650406504066</v>
      </c>
      <c r="I8" s="68">
        <v>7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47</v>
      </c>
      <c r="C9" s="7">
        <f t="shared" si="1"/>
        <v>0.43119266055045874</v>
      </c>
      <c r="E9" s="44" t="s">
        <v>70</v>
      </c>
      <c r="F9" s="41" t="s">
        <v>25</v>
      </c>
      <c r="G9" s="34">
        <v>29</v>
      </c>
      <c r="H9" s="107">
        <f>IF(B$51=0,0,G9/B$51)</f>
        <v>0.11788617886178862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0.11382113821138211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-12.611111111111111</v>
      </c>
      <c r="P10" s="92">
        <v>36</v>
      </c>
      <c r="Q10" s="80">
        <v>-454</v>
      </c>
    </row>
    <row r="11" spans="1:17" x14ac:dyDescent="0.45">
      <c r="A11" s="38" t="s">
        <v>204</v>
      </c>
      <c r="B11" s="120">
        <f>IF(B8=0,0,C11/B8)</f>
        <v>-3.0562499999999999</v>
      </c>
      <c r="C11" s="121">
        <v>-97.8</v>
      </c>
      <c r="E11" s="44" t="s">
        <v>65</v>
      </c>
      <c r="F11" s="41" t="s">
        <v>21</v>
      </c>
      <c r="G11" s="34">
        <v>21</v>
      </c>
      <c r="H11" s="107">
        <f>IF(B$51=0,0,G11/B$51)</f>
        <v>8.5365853658536592E-2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5">
      <c r="A12" s="38" t="s">
        <v>205</v>
      </c>
      <c r="B12" s="120">
        <f>IF(B9=0,0,C12/B9)</f>
        <v>-41.929787234042557</v>
      </c>
      <c r="C12" s="121">
        <v>-1970.7</v>
      </c>
      <c r="E12" s="44" t="s">
        <v>71</v>
      </c>
      <c r="F12" s="41" t="s">
        <v>26</v>
      </c>
      <c r="G12" s="34">
        <v>14</v>
      </c>
      <c r="H12" s="107">
        <f>IF(B$51=0,0,G12/B$51)</f>
        <v>5.6910569105691054E-2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-6.8</v>
      </c>
      <c r="P12" s="94">
        <v>30</v>
      </c>
      <c r="Q12" s="82">
        <v>-204</v>
      </c>
    </row>
    <row r="13" spans="1:17" x14ac:dyDescent="0.45">
      <c r="A13" s="38" t="s">
        <v>206</v>
      </c>
      <c r="B13" s="137">
        <f>AVERAGE(B10:B12)</f>
        <v>-2.8297901891252955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5.2845528455284556E-2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0.19266055045871561</v>
      </c>
      <c r="E14" s="44" t="s">
        <v>78</v>
      </c>
      <c r="F14" s="41" t="s">
        <v>33</v>
      </c>
      <c r="G14" s="34">
        <v>9</v>
      </c>
      <c r="H14" s="107">
        <f>IF(B$51=0,0,G14/B$51)</f>
        <v>3.6585365853658534E-2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225</v>
      </c>
      <c r="C15" s="11">
        <f>IF(B$50=0,0,B15/B$50)</f>
        <v>0.23809523809523808</v>
      </c>
      <c r="E15" s="44" t="s">
        <v>83</v>
      </c>
      <c r="F15" s="41" t="s">
        <v>38</v>
      </c>
      <c r="G15" s="34">
        <v>7</v>
      </c>
      <c r="H15" s="107">
        <f>IF(B$51=0,0,G15/B$51)</f>
        <v>2.8455284552845527E-2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187</v>
      </c>
      <c r="C16" s="31">
        <f>IF(B$50=0,0,B16/B$50)</f>
        <v>0.19788359788359788</v>
      </c>
      <c r="E16" s="44" t="s">
        <v>153</v>
      </c>
      <c r="F16" s="41" t="s">
        <v>154</v>
      </c>
      <c r="G16" s="34">
        <v>5</v>
      </c>
      <c r="H16" s="107">
        <f>IF(B$51=0,0,G16/B$51)</f>
        <v>2.032520325203252E-2</v>
      </c>
      <c r="I16" s="68">
        <v>4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124</v>
      </c>
      <c r="C17" s="4">
        <f>IF(B$15=0,0,B17/B$15)</f>
        <v>0.55111111111111111</v>
      </c>
      <c r="E17" s="44" t="s">
        <v>79</v>
      </c>
      <c r="F17" s="41" t="s">
        <v>34</v>
      </c>
      <c r="G17" s="34">
        <v>4</v>
      </c>
      <c r="H17" s="107">
        <f>IF(B$51=0,0,G17/B$51)</f>
        <v>1.6260162601626018E-2</v>
      </c>
      <c r="I17" s="68">
        <v>7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61</v>
      </c>
      <c r="C18" s="4">
        <f>IF(B$16=0,0,B18/B$16)</f>
        <v>0.32620320855614976</v>
      </c>
      <c r="E18" s="44" t="s">
        <v>73</v>
      </c>
      <c r="F18" s="41" t="s">
        <v>28</v>
      </c>
      <c r="G18" s="34">
        <v>3</v>
      </c>
      <c r="H18" s="107">
        <f>IF(B$51=0,0,G18/B$51)</f>
        <v>1.2195121951219513E-2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246</v>
      </c>
      <c r="C19" s="4">
        <f>IF(B$3=0,0,B19/B$3)</f>
        <v>0.26031746031746034</v>
      </c>
      <c r="E19" s="44" t="s">
        <v>81</v>
      </c>
      <c r="F19" s="41" t="s">
        <v>36</v>
      </c>
      <c r="G19" s="34">
        <v>3</v>
      </c>
      <c r="H19" s="107">
        <f>IF(B$51=0,0,G19/B$51)</f>
        <v>1.2195121951219513E-2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183</v>
      </c>
      <c r="C20" s="31">
        <f>IF(B$3=0,0,B20/B$3)</f>
        <v>0.19365079365079366</v>
      </c>
      <c r="E20" s="44" t="s">
        <v>87</v>
      </c>
      <c r="F20" s="41" t="s">
        <v>42</v>
      </c>
      <c r="G20" s="34">
        <v>2</v>
      </c>
      <c r="H20" s="107">
        <f>IF(B$51=0,0,G20/B$51)</f>
        <v>8.130081300813009E-3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130</v>
      </c>
      <c r="C21" s="31">
        <f>IF(B$19=0,0,B21/B$19)</f>
        <v>0.52845528455284552</v>
      </c>
      <c r="E21" s="44" t="s">
        <v>91</v>
      </c>
      <c r="F21" s="41" t="s">
        <v>46</v>
      </c>
      <c r="G21" s="34">
        <v>2</v>
      </c>
      <c r="H21" s="107">
        <f>IF(B$51=0,0,G21/B$51)</f>
        <v>8.130081300813009E-3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116</v>
      </c>
      <c r="C22" s="31">
        <f>IF(B$19=0,0,B22/B$19)</f>
        <v>0.47154471544715448</v>
      </c>
      <c r="E22" s="44" t="s">
        <v>75</v>
      </c>
      <c r="F22" s="41" t="s">
        <v>30</v>
      </c>
      <c r="G22" s="34">
        <v>1</v>
      </c>
      <c r="H22" s="107">
        <f>IF(B$51=0,0,G22/B$51)</f>
        <v>4.0650406504065045E-3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-20.027027027027028</v>
      </c>
      <c r="P22" s="93">
        <v>37</v>
      </c>
      <c r="Q22" s="81">
        <v>-741</v>
      </c>
    </row>
    <row r="23" spans="1:17" x14ac:dyDescent="0.45">
      <c r="A23" s="37" t="s">
        <v>180</v>
      </c>
      <c r="B23" s="34">
        <v>124</v>
      </c>
      <c r="C23" s="31">
        <f>IF(B$19=0,0,B23/B$19)</f>
        <v>0.50406504065040647</v>
      </c>
      <c r="E23" s="44" t="s">
        <v>85</v>
      </c>
      <c r="F23" s="41" t="s">
        <v>40</v>
      </c>
      <c r="G23" s="34">
        <v>1</v>
      </c>
      <c r="H23" s="107">
        <f>IF(B$51=0,0,G23/B$51)</f>
        <v>4.0650406504065045E-3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5">
      <c r="A24" s="37" t="s">
        <v>178</v>
      </c>
      <c r="B24" s="34">
        <v>61</v>
      </c>
      <c r="C24" s="31">
        <f>IF(B$19=0,0,B24/B$19)</f>
        <v>0.24796747967479674</v>
      </c>
      <c r="E24" s="44" t="s">
        <v>106</v>
      </c>
      <c r="F24" s="41" t="s">
        <v>113</v>
      </c>
      <c r="G24" s="34">
        <v>1</v>
      </c>
      <c r="H24" s="107">
        <f>IF(B$51=0,0,G24/B$51)</f>
        <v>4.0650406504065045E-3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61</v>
      </c>
      <c r="C25" s="31">
        <f>IF(B$19=0,0,B25/B$19)</f>
        <v>0.24796747967479674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7830.8943089430895</v>
      </c>
      <c r="C26" s="8">
        <v>1926400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8540</v>
      </c>
      <c r="C27" s="115">
        <v>1579900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-8094.5355191256831</v>
      </c>
      <c r="C29" s="115">
        <v>-1481300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43">
        <v>7</v>
      </c>
      <c r="C32" s="14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41">
        <v>113300</v>
      </c>
      <c r="C33" s="14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4</v>
      </c>
      <c r="C34" s="32">
        <f>IF(B$3=0,0,B34/B$3)</f>
        <v>4.2328042328042331E-3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5">
        <v>28</v>
      </c>
      <c r="C36" s="119">
        <f>IF(B$19=0,0,B36/B$19)</f>
        <v>0.11382113821138211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47</v>
      </c>
      <c r="C37" s="31">
        <f t="shared" ref="C37:C48" si="2">IF(B$19=0,0,B37/B$19)</f>
        <v>0.1910569105691057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8">
        <v>44</v>
      </c>
      <c r="C38" s="31">
        <f>IF(B$19=0,0,B38/B$19)</f>
        <v>0.17886178861788618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8">
        <v>40</v>
      </c>
      <c r="C39" s="31">
        <f t="shared" si="2"/>
        <v>0.16260162601626016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8">
        <v>39</v>
      </c>
      <c r="C40" s="31">
        <f t="shared" si="2"/>
        <v>0.15853658536585366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8">
        <v>24</v>
      </c>
      <c r="C41" s="31">
        <f t="shared" si="2"/>
        <v>9.7560975609756101E-2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8">
        <v>10</v>
      </c>
      <c r="C42" s="31">
        <f t="shared" si="2"/>
        <v>4.065040650406504E-2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8">
        <v>7</v>
      </c>
      <c r="C43" s="31">
        <f t="shared" si="2"/>
        <v>2.8455284552845527E-2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5">
      <c r="A44" s="37" t="s">
        <v>172</v>
      </c>
      <c r="B44" s="128">
        <v>3</v>
      </c>
      <c r="C44" s="31">
        <f t="shared" si="2"/>
        <v>1.2195121951219513E-2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8">
        <v>2</v>
      </c>
      <c r="C45" s="31">
        <f t="shared" si="2"/>
        <v>8.130081300813009E-3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8">
        <v>1</v>
      </c>
      <c r="C46" s="31">
        <f t="shared" si="2"/>
        <v>4.0650406504065045E-3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4">
        <v>1</v>
      </c>
      <c r="C48" s="32">
        <f t="shared" si="2"/>
        <v>4.0650406504065045E-3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945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39">
        <v>246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17C6E-79D8-478B-9807-970A70E0C1C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199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3">
        <v>253</v>
      </c>
      <c r="C3" s="13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5">
        <v>-22.000000000000028</v>
      </c>
      <c r="C4" s="13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5">
        <f>IF(B$2=0,0,(B$7*1+B$8*2+B$9*3)/B$2)</f>
        <v>1.9285714285714286</v>
      </c>
      <c r="C6" s="14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106300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80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B9A32-627F-4F3F-B80D-B22C178D4EDF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200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3">
        <v>13</v>
      </c>
      <c r="C3" s="13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5">
        <v>13.3</v>
      </c>
      <c r="C4" s="13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48300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7F96-1D87-4AA6-BA59-F978B19F1CFB}">
  <sheetPr codeName="Sheet19"/>
  <dimension ref="A1:Q9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197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93</v>
      </c>
      <c r="C2" s="132"/>
      <c r="E2" s="43" t="s">
        <v>66</v>
      </c>
      <c r="F2" s="25" t="s">
        <v>22</v>
      </c>
      <c r="G2" s="13">
        <v>118</v>
      </c>
      <c r="H2" s="106">
        <f>IF(B$51=0,0,G2/B$51)</f>
        <v>0.64130434782608692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-3480.6451612903224</v>
      </c>
      <c r="P2" s="92">
        <v>93</v>
      </c>
      <c r="Q2" s="76">
        <v>-323700</v>
      </c>
    </row>
    <row r="3" spans="1:17" x14ac:dyDescent="0.45">
      <c r="A3" s="37" t="s">
        <v>8</v>
      </c>
      <c r="B3" s="133">
        <v>761</v>
      </c>
      <c r="C3" s="134"/>
      <c r="E3" s="44" t="s">
        <v>72</v>
      </c>
      <c r="F3" s="41" t="s">
        <v>27</v>
      </c>
      <c r="G3" s="34">
        <v>114</v>
      </c>
      <c r="H3" s="107">
        <f>IF(B$51=0,0,G3/B$51)</f>
        <v>0.61956521739130432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175</v>
      </c>
      <c r="P3" s="93">
        <v>92</v>
      </c>
      <c r="Q3" s="77">
        <v>16100</v>
      </c>
    </row>
    <row r="4" spans="1:17" x14ac:dyDescent="0.45">
      <c r="A4" s="37" t="s">
        <v>6</v>
      </c>
      <c r="B4" s="135">
        <v>-1253.8000000000002</v>
      </c>
      <c r="C4" s="136"/>
      <c r="E4" s="44" t="s">
        <v>64</v>
      </c>
      <c r="F4" s="41" t="s">
        <v>20</v>
      </c>
      <c r="G4" s="34">
        <v>81</v>
      </c>
      <c r="H4" s="107">
        <f>IF(B$51=0,0,G4/B$51)</f>
        <v>0.44021739130434784</v>
      </c>
      <c r="I4" s="68">
        <v>16</v>
      </c>
      <c r="K4" s="5">
        <v>2</v>
      </c>
      <c r="L4" s="73">
        <v>-96.5</v>
      </c>
      <c r="N4" s="89" t="s">
        <v>128</v>
      </c>
      <c r="O4" s="96">
        <f t="shared" si="0"/>
        <v>-1548.8372093023256</v>
      </c>
      <c r="P4" s="93">
        <v>86</v>
      </c>
      <c r="Q4" s="77">
        <v>-133200</v>
      </c>
    </row>
    <row r="5" spans="1:17" x14ac:dyDescent="0.45">
      <c r="A5" s="37" t="s">
        <v>7</v>
      </c>
      <c r="B5" s="137">
        <f>IF(B$2=0,0,B$4/B$2)</f>
        <v>-13.481720430107529</v>
      </c>
      <c r="C5" s="138"/>
      <c r="E5" s="44" t="s">
        <v>157</v>
      </c>
      <c r="F5" s="41" t="s">
        <v>158</v>
      </c>
      <c r="G5" s="34">
        <v>68</v>
      </c>
      <c r="H5" s="107">
        <f>IF(B$51=0,0,G5/B$51)</f>
        <v>0.36956521739130432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-1244.7368421052631</v>
      </c>
      <c r="P5" s="93">
        <v>76</v>
      </c>
      <c r="Q5" s="77">
        <v>-94600</v>
      </c>
    </row>
    <row r="6" spans="1:17" x14ac:dyDescent="0.45">
      <c r="A6" s="37" t="s">
        <v>1</v>
      </c>
      <c r="B6" s="145">
        <f>IF(B$2=0,0,(B$7*1+B$8*2+B$9*3)/B$2)</f>
        <v>2.3118279569892475</v>
      </c>
      <c r="C6" s="146"/>
      <c r="E6" s="44" t="s">
        <v>68</v>
      </c>
      <c r="F6" s="41" t="s">
        <v>12</v>
      </c>
      <c r="G6" s="34">
        <v>52</v>
      </c>
      <c r="H6" s="107">
        <f>IF(B$51=0,0,G6/B$51)</f>
        <v>0.28260869565217389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-1552.8571428571429</v>
      </c>
      <c r="P6" s="93">
        <v>70</v>
      </c>
      <c r="Q6" s="77">
        <v>-108700</v>
      </c>
    </row>
    <row r="7" spans="1:17" x14ac:dyDescent="0.45">
      <c r="A7" s="37" t="s">
        <v>2</v>
      </c>
      <c r="B7" s="34">
        <v>12</v>
      </c>
      <c r="C7" s="31">
        <f t="shared" ref="C7:C14" si="1">IF(B$2=0,0,B7/B$2)</f>
        <v>0.12903225806451613</v>
      </c>
      <c r="E7" s="44" t="s">
        <v>67</v>
      </c>
      <c r="F7" s="41" t="s">
        <v>23</v>
      </c>
      <c r="G7" s="34">
        <v>42</v>
      </c>
      <c r="H7" s="107">
        <f>IF(B$51=0,0,G7/B$51)</f>
        <v>0.22826086956521738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-2296.4912280701756</v>
      </c>
      <c r="P7" s="94">
        <v>57</v>
      </c>
      <c r="Q7" s="78">
        <v>-130900</v>
      </c>
    </row>
    <row r="8" spans="1:17" x14ac:dyDescent="0.45">
      <c r="A8" s="37" t="s">
        <v>3</v>
      </c>
      <c r="B8" s="34">
        <v>40</v>
      </c>
      <c r="C8" s="31">
        <f t="shared" si="1"/>
        <v>0.43010752688172044</v>
      </c>
      <c r="E8" s="44" t="s">
        <v>89</v>
      </c>
      <c r="F8" s="41" t="s">
        <v>44</v>
      </c>
      <c r="G8" s="34">
        <v>27</v>
      </c>
      <c r="H8" s="107">
        <f>IF(B$51=0,0,G8/B$51)</f>
        <v>0.14673913043478262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41</v>
      </c>
      <c r="C9" s="7">
        <f t="shared" si="1"/>
        <v>0.44086021505376344</v>
      </c>
      <c r="E9" s="44" t="s">
        <v>65</v>
      </c>
      <c r="F9" s="41" t="s">
        <v>21</v>
      </c>
      <c r="G9" s="34">
        <v>19</v>
      </c>
      <c r="H9" s="107">
        <f>IF(B$51=0,0,G9/B$51)</f>
        <v>0.10326086956521739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34.966666666666661</v>
      </c>
      <c r="C10" s="121">
        <v>419.59999999999997</v>
      </c>
      <c r="E10" s="44" t="s">
        <v>70</v>
      </c>
      <c r="F10" s="41" t="s">
        <v>25</v>
      </c>
      <c r="G10" s="34">
        <v>16</v>
      </c>
      <c r="H10" s="107">
        <f>IF(B$51=0,0,G10/B$51)</f>
        <v>8.6956521739130432E-2</v>
      </c>
      <c r="I10" s="68">
        <v>10</v>
      </c>
      <c r="K10" s="5">
        <v>8</v>
      </c>
      <c r="L10" s="73">
        <v>-289.8</v>
      </c>
      <c r="N10" s="88" t="s">
        <v>149</v>
      </c>
      <c r="O10" s="98">
        <f>IF(P10=0,0,Q10/P10)</f>
        <v>-22.297435897435896</v>
      </c>
      <c r="P10" s="92">
        <v>39</v>
      </c>
      <c r="Q10" s="80">
        <v>-869.6</v>
      </c>
    </row>
    <row r="11" spans="1:17" x14ac:dyDescent="0.45">
      <c r="A11" s="38" t="s">
        <v>204</v>
      </c>
      <c r="B11" s="120">
        <f>IF(B8=0,0,C11/B8)</f>
        <v>-1.8399999999999999</v>
      </c>
      <c r="C11" s="121">
        <v>-73.599999999999994</v>
      </c>
      <c r="E11" s="44" t="s">
        <v>69</v>
      </c>
      <c r="F11" s="41" t="s">
        <v>24</v>
      </c>
      <c r="G11" s="34">
        <v>15</v>
      </c>
      <c r="H11" s="107">
        <f>IF(B$51=0,0,G11/B$51)</f>
        <v>8.1521739130434784E-2</v>
      </c>
      <c r="I11" s="68">
        <v>18</v>
      </c>
      <c r="K11" s="5">
        <v>9</v>
      </c>
      <c r="L11" s="73">
        <v>-292.60000000000002</v>
      </c>
      <c r="N11" s="89" t="s">
        <v>150</v>
      </c>
      <c r="O11" s="99">
        <f>IF(P11=0,0,Q11/P11)</f>
        <v>-4.8137931034482744</v>
      </c>
      <c r="P11" s="93">
        <v>29</v>
      </c>
      <c r="Q11" s="81">
        <v>-139.59999999999997</v>
      </c>
    </row>
    <row r="12" spans="1:17" x14ac:dyDescent="0.45">
      <c r="A12" s="38" t="s">
        <v>205</v>
      </c>
      <c r="B12" s="120">
        <f>IF(B9=0,0,C12/B9)</f>
        <v>-39.019512195121955</v>
      </c>
      <c r="C12" s="121">
        <v>-1599.8000000000002</v>
      </c>
      <c r="E12" s="44" t="s">
        <v>71</v>
      </c>
      <c r="F12" s="41" t="s">
        <v>26</v>
      </c>
      <c r="G12" s="34">
        <v>14</v>
      </c>
      <c r="H12" s="107">
        <f>IF(B$51=0,0,G12/B$51)</f>
        <v>7.6086956521739135E-2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5">
      <c r="A13" s="38" t="s">
        <v>206</v>
      </c>
      <c r="B13" s="137">
        <f>AVERAGE(B10:B12)</f>
        <v>-1.9642818428184299</v>
      </c>
      <c r="C13" s="138"/>
      <c r="E13" s="44" t="s">
        <v>86</v>
      </c>
      <c r="F13" s="41" t="s">
        <v>41</v>
      </c>
      <c r="G13" s="34">
        <v>12</v>
      </c>
      <c r="H13" s="107">
        <f>IF(B$51=0,0,G13/B$51)</f>
        <v>6.5217391304347824E-2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0.16129032258064516</v>
      </c>
      <c r="E14" s="44" t="s">
        <v>81</v>
      </c>
      <c r="F14" s="41" t="s">
        <v>36</v>
      </c>
      <c r="G14" s="34">
        <v>10</v>
      </c>
      <c r="H14" s="107">
        <f>IF(B$51=0,0,G14/B$51)</f>
        <v>5.434782608695652E-2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157</v>
      </c>
      <c r="C15" s="11">
        <f>IF(B$50=0,0,B15/B$50)</f>
        <v>0.20630749014454666</v>
      </c>
      <c r="E15" s="44" t="s">
        <v>83</v>
      </c>
      <c r="F15" s="41" t="s">
        <v>38</v>
      </c>
      <c r="G15" s="34">
        <v>10</v>
      </c>
      <c r="H15" s="107">
        <f>IF(B$51=0,0,G15/B$51)</f>
        <v>5.434782608695652E-2</v>
      </c>
      <c r="I15" s="68">
        <v>6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178</v>
      </c>
      <c r="C16" s="31">
        <f>IF(B$50=0,0,B16/B$50)</f>
        <v>0.23390275952693823</v>
      </c>
      <c r="E16" s="44" t="s">
        <v>91</v>
      </c>
      <c r="F16" s="41" t="s">
        <v>46</v>
      </c>
      <c r="G16" s="34">
        <v>5</v>
      </c>
      <c r="H16" s="107">
        <f>IF(B$51=0,0,G16/B$51)</f>
        <v>2.717391304347826E-2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5">
      <c r="A17" s="19" t="s">
        <v>123</v>
      </c>
      <c r="B17" s="13">
        <v>84</v>
      </c>
      <c r="C17" s="4">
        <f>IF(B$15=0,0,B17/B$15)</f>
        <v>0.53503184713375795</v>
      </c>
      <c r="E17" s="44" t="s">
        <v>78</v>
      </c>
      <c r="F17" s="41" t="s">
        <v>33</v>
      </c>
      <c r="G17" s="34">
        <v>4</v>
      </c>
      <c r="H17" s="107">
        <f>IF(B$51=0,0,G17/B$51)</f>
        <v>2.1739130434782608E-2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67</v>
      </c>
      <c r="C18" s="4">
        <f>IF(B$16=0,0,B18/B$16)</f>
        <v>0.37640449438202245</v>
      </c>
      <c r="E18" s="44" t="s">
        <v>73</v>
      </c>
      <c r="F18" s="41" t="s">
        <v>28</v>
      </c>
      <c r="G18" s="34">
        <v>1</v>
      </c>
      <c r="H18" s="107">
        <f>IF(B$51=0,0,G18/B$51)</f>
        <v>5.434782608695652E-3</v>
      </c>
      <c r="I18" s="68">
        <v>8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19" t="s">
        <v>10</v>
      </c>
      <c r="B19" s="13">
        <v>184</v>
      </c>
      <c r="C19" s="4">
        <f>IF(B$3=0,0,B19/B$3)</f>
        <v>0.24178712220762155</v>
      </c>
      <c r="E19" s="44" t="s">
        <v>74</v>
      </c>
      <c r="F19" s="41" t="s">
        <v>29</v>
      </c>
      <c r="G19" s="34">
        <v>1</v>
      </c>
      <c r="H19" s="107">
        <f>IF(B$51=0,0,G19/B$51)</f>
        <v>5.434782608695652E-3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5">
      <c r="A20" s="37" t="s">
        <v>13</v>
      </c>
      <c r="B20" s="34">
        <v>142</v>
      </c>
      <c r="C20" s="31">
        <f>IF(B$3=0,0,B20/B$3)</f>
        <v>0.18659658344283836</v>
      </c>
      <c r="E20" s="44" t="s">
        <v>79</v>
      </c>
      <c r="F20" s="41" t="s">
        <v>34</v>
      </c>
      <c r="G20" s="34">
        <v>1</v>
      </c>
      <c r="H20" s="107">
        <f>IF(B$51=0,0,G20/B$51)</f>
        <v>5.434782608695652E-3</v>
      </c>
      <c r="I20" s="68">
        <v>14</v>
      </c>
      <c r="K20" s="5">
        <v>18</v>
      </c>
      <c r="L20" s="73">
        <v>-443.20000000000005</v>
      </c>
      <c r="N20" s="89" t="s">
        <v>190</v>
      </c>
      <c r="O20" s="99">
        <f>IF(P20=0,0,Q20/P20)</f>
        <v>-20.2</v>
      </c>
      <c r="P20" s="93">
        <v>9</v>
      </c>
      <c r="Q20" s="81">
        <v>-181.79999999999998</v>
      </c>
    </row>
    <row r="21" spans="1:17" x14ac:dyDescent="0.45">
      <c r="A21" s="37" t="s">
        <v>12</v>
      </c>
      <c r="B21" s="34">
        <v>85</v>
      </c>
      <c r="C21" s="31">
        <f>IF(B$19=0,0,B21/B$19)</f>
        <v>0.46195652173913043</v>
      </c>
      <c r="E21" s="44" t="s">
        <v>92</v>
      </c>
      <c r="F21" s="41" t="s">
        <v>47</v>
      </c>
      <c r="G21" s="34">
        <v>1</v>
      </c>
      <c r="H21" s="107">
        <f>IF(B$51=0,0,G21/B$51)</f>
        <v>5.434782608695652E-3</v>
      </c>
      <c r="I21" s="68">
        <v>6</v>
      </c>
      <c r="K21" s="5">
        <v>19</v>
      </c>
      <c r="L21" s="73">
        <v>-443.70000000000005</v>
      </c>
      <c r="N21" s="89" t="s">
        <v>193</v>
      </c>
      <c r="O21" s="99">
        <f>IF(P21=0,0,Q21/P21)</f>
        <v>-20.954166666666666</v>
      </c>
      <c r="P21" s="93">
        <v>24</v>
      </c>
      <c r="Q21" s="81">
        <v>-502.9</v>
      </c>
    </row>
    <row r="22" spans="1:17" x14ac:dyDescent="0.45">
      <c r="A22" s="37" t="s">
        <v>11</v>
      </c>
      <c r="B22" s="34">
        <v>99</v>
      </c>
      <c r="C22" s="31">
        <f>IF(B$19=0,0,B22/B$19)</f>
        <v>0.53804347826086951</v>
      </c>
      <c r="E22" s="44" t="s">
        <v>95</v>
      </c>
      <c r="F22" s="41" t="s">
        <v>50</v>
      </c>
      <c r="G22" s="34">
        <v>1</v>
      </c>
      <c r="H22" s="107">
        <f>IF(B$51=0,0,G22/B$51)</f>
        <v>5.434782608695652E-3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-25.1</v>
      </c>
      <c r="P22" s="93">
        <v>38</v>
      </c>
      <c r="Q22" s="81">
        <v>-953.80000000000007</v>
      </c>
    </row>
    <row r="23" spans="1:17" x14ac:dyDescent="0.45">
      <c r="A23" s="37" t="s">
        <v>180</v>
      </c>
      <c r="B23" s="34">
        <v>84</v>
      </c>
      <c r="C23" s="31">
        <f>IF(B$19=0,0,B23/B$19)</f>
        <v>0.45652173913043476</v>
      </c>
      <c r="E23" s="44" t="s">
        <v>153</v>
      </c>
      <c r="F23" s="41" t="s">
        <v>154</v>
      </c>
      <c r="G23" s="34">
        <v>1</v>
      </c>
      <c r="H23" s="107">
        <f>IF(B$51=0,0,G23/B$51)</f>
        <v>5.434782608695652E-3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-30.043333333333347</v>
      </c>
      <c r="P23" s="93">
        <v>30</v>
      </c>
      <c r="Q23" s="81">
        <v>-901.30000000000041</v>
      </c>
    </row>
    <row r="24" spans="1:17" x14ac:dyDescent="0.45">
      <c r="A24" s="37" t="s">
        <v>178</v>
      </c>
      <c r="B24" s="34">
        <v>67</v>
      </c>
      <c r="C24" s="31">
        <f>IF(B$19=0,0,B24/B$19)</f>
        <v>0.3641304347826087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33</v>
      </c>
      <c r="C25" s="31">
        <f>IF(B$19=0,0,B25/B$19)</f>
        <v>0.17934782608695651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8136.95652173913</v>
      </c>
      <c r="C26" s="8">
        <v>1497200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8774.3589743589746</v>
      </c>
      <c r="C27" s="115">
        <v>1026600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7023.8805970149251</v>
      </c>
      <c r="C28" s="115">
        <v>470600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-8183.0985915492956</v>
      </c>
      <c r="C29" s="115">
        <v>-1162000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43">
        <v>6</v>
      </c>
      <c r="C32" s="14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41">
        <v>85100</v>
      </c>
      <c r="C33" s="14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5.2562417871222077E-3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5">
        <v>17</v>
      </c>
      <c r="C36" s="119">
        <f>IF(B$19=0,0,B36/B$19)</f>
        <v>9.2391304347826081E-2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32</v>
      </c>
      <c r="C37" s="31">
        <f t="shared" ref="C37:C48" si="2">IF(B$19=0,0,B37/B$19)</f>
        <v>0.17391304347826086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8">
        <v>39</v>
      </c>
      <c r="C38" s="31">
        <f>IF(B$19=0,0,B38/B$19)</f>
        <v>0.21195652173913043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8">
        <v>33</v>
      </c>
      <c r="C39" s="31">
        <f t="shared" si="2"/>
        <v>0.17934782608695651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8">
        <v>26</v>
      </c>
      <c r="C40" s="31">
        <f t="shared" si="2"/>
        <v>0.14130434782608695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8">
        <v>15</v>
      </c>
      <c r="C41" s="31">
        <f t="shared" si="2"/>
        <v>8.1521739130434784E-2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8">
        <v>10</v>
      </c>
      <c r="C42" s="31">
        <f t="shared" si="2"/>
        <v>5.434782608695652E-2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8">
        <v>7</v>
      </c>
      <c r="C43" s="31">
        <f t="shared" si="2"/>
        <v>3.8043478260869568E-2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8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8">
        <v>1</v>
      </c>
      <c r="C45" s="31">
        <f t="shared" si="2"/>
        <v>5.434782608695652E-3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8">
        <v>2</v>
      </c>
      <c r="C46" s="31">
        <f t="shared" si="2"/>
        <v>1.0869565217391304E-2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8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4">
        <v>2</v>
      </c>
      <c r="C48" s="32">
        <f t="shared" si="2"/>
        <v>1.0869565217391304E-2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761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39">
        <v>184</v>
      </c>
      <c r="C51" s="14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  <row r="91" spans="11:12" x14ac:dyDescent="0.45">
      <c r="K91" s="5">
        <v>89</v>
      </c>
      <c r="L91" s="73">
        <v>-1219.9000000000001</v>
      </c>
    </row>
    <row r="92" spans="11:12" x14ac:dyDescent="0.45">
      <c r="K92" s="5">
        <v>90</v>
      </c>
      <c r="L92" s="73">
        <v>-1218</v>
      </c>
    </row>
    <row r="93" spans="11:12" x14ac:dyDescent="0.45">
      <c r="K93" s="5">
        <v>91</v>
      </c>
      <c r="L93" s="73">
        <v>-1230.8000000000002</v>
      </c>
    </row>
    <row r="94" spans="11:12" x14ac:dyDescent="0.45">
      <c r="K94" s="5">
        <v>92</v>
      </c>
      <c r="L94" s="73">
        <v>-1245.4000000000001</v>
      </c>
    </row>
    <row r="95" spans="11:12" x14ac:dyDescent="0.45">
      <c r="K95" s="5">
        <v>93</v>
      </c>
      <c r="L95" s="73">
        <v>-1253.8000000000002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3E9B1-3737-4928-8D22-EABD2C86EF32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198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3">
        <v>32</v>
      </c>
      <c r="C3" s="13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5">
        <v>-56.2</v>
      </c>
      <c r="C4" s="13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5">
        <f>IF(B$2=0,0,(B$7*1+B$8*2+B$9*3)/B$2)</f>
        <v>2.25</v>
      </c>
      <c r="C6" s="14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10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43">
        <v>2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55200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10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DE57-C820-47C8-A888-CAA3FA55EDD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202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33">
        <v>78</v>
      </c>
      <c r="C3" s="13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35">
        <v>9.2999999999999972</v>
      </c>
      <c r="C4" s="13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45">
        <f>IF(B$2=0,0,(B$7*1+B$8*2+B$9*3)/B$2)</f>
        <v>2</v>
      </c>
      <c r="C6" s="14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10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5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70900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26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1A428-F7EB-4400-8CA2-3EAE6A6AED59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9" t="s">
        <v>201</v>
      </c>
      <c r="C1" s="130"/>
      <c r="E1" s="103" t="s">
        <v>152</v>
      </c>
      <c r="F1" s="127" t="s">
        <v>115</v>
      </c>
      <c r="G1" s="126" t="s">
        <v>116</v>
      </c>
      <c r="H1" s="104" t="s">
        <v>117</v>
      </c>
      <c r="I1" s="127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3">
        <v>40</v>
      </c>
      <c r="C3" s="13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5">
        <v>-80.800000000000011</v>
      </c>
      <c r="C4" s="13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45">
        <f>IF(B$2=0,0,(B$7*1+B$8*2+B$9*3)/B$2)</f>
        <v>2.2000000000000002</v>
      </c>
      <c r="C6" s="14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10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43">
        <v>4</v>
      </c>
      <c r="C32" s="14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41">
        <v>52000</v>
      </c>
      <c r="C33" s="14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5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8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8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8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8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8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8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8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8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8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8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39">
        <v>8</v>
      </c>
      <c r="C51" s="14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2020-04-08T01:56:17Z</dcterms:modified>
</cp:coreProperties>
</file>