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CE6EA3C3-1C6E-420A-81D0-CD2445F36A1A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857" r:id="rId4"/>
    <sheet name="だいち" sheetId="5858" r:id="rId5"/>
    <sheet name="かこたろう" sheetId="5859" r:id="rId6"/>
    <sheet name="ともき" sheetId="5860" r:id="rId7"/>
    <sheet name="りくと" sheetId="5861" r:id="rId8"/>
    <sheet name="いっしー" sheetId="5862" r:id="rId9"/>
    <sheet name="がくと" sheetId="5863" r:id="rId10"/>
    <sheet name="たかの" sheetId="5864" r:id="rId11"/>
    <sheet name="ただ" sheetId="5865" r:id="rId12"/>
    <sheet name="やがさき" sheetId="5866" r:id="rId13"/>
    <sheet name="れんたろう" sheetId="5867" r:id="rId14"/>
    <sheet name="あさひ" sheetId="5868" r:id="rId15"/>
    <sheet name="まっつん" sheetId="5869" r:id="rId16"/>
    <sheet name="ぱぱ" sheetId="5870" r:id="rId17"/>
    <sheet name="ほたに" sheetId="5871" r:id="rId18"/>
    <sheet name="かわたつ" sheetId="5872" r:id="rId19"/>
    <sheet name="のり" sheetId="5873" r:id="rId20"/>
    <sheet name="ちさと" sheetId="5874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あさひ!$B$27</definedName>
    <definedName name="チョンボ数" localSheetId="8">いっしー!$B$27</definedName>
    <definedName name="チョンボ数" localSheetId="9">がくと!$B$27</definedName>
    <definedName name="チョンボ数" localSheetId="5">かこたろう!$B$27</definedName>
    <definedName name="チョンボ数" localSheetId="18">かわたつ!$B$27</definedName>
    <definedName name="チョンボ数" localSheetId="4">だいち!$B$27</definedName>
    <definedName name="チョンボ数" localSheetId="10">たかの!$B$27</definedName>
    <definedName name="チョンボ数" localSheetId="11">ただ!$B$27</definedName>
    <definedName name="チョンボ数" localSheetId="20">ちさと!$B$27</definedName>
    <definedName name="チョンボ数" localSheetId="6">ともき!$B$27</definedName>
    <definedName name="チョンボ数" localSheetId="19">のり!$B$27</definedName>
    <definedName name="チョンボ数" localSheetId="16">ぱぱ!$B$27</definedName>
    <definedName name="チョンボ数" localSheetId="17">ほたに!$B$27</definedName>
    <definedName name="チョンボ数" localSheetId="15">まっつん!$B$27</definedName>
    <definedName name="チョンボ数" localSheetId="12">やがさき!$B$27</definedName>
    <definedName name="チョンボ数" localSheetId="7">りくと!$B$27</definedName>
    <definedName name="チョンボ数" localSheetId="13">れんたろう!$B$27</definedName>
    <definedName name="チョンボ数" localSheetId="3">全体!$B$27</definedName>
    <definedName name="チョンボ数">Template!$B$27</definedName>
    <definedName name="チョンボ率" localSheetId="14">あさひ!$C$27</definedName>
    <definedName name="チョンボ率" localSheetId="8">いっしー!$C$27</definedName>
    <definedName name="チョンボ率" localSheetId="9">がくと!$C$27</definedName>
    <definedName name="チョンボ率" localSheetId="5">かこたろう!$C$27</definedName>
    <definedName name="チョンボ率" localSheetId="18">かわたつ!$C$27</definedName>
    <definedName name="チョンボ率" localSheetId="4">だいち!$C$27</definedName>
    <definedName name="チョンボ率" localSheetId="10">たかの!$C$27</definedName>
    <definedName name="チョンボ率" localSheetId="11">ただ!$C$27</definedName>
    <definedName name="チョンボ率" localSheetId="20">ちさと!$C$27</definedName>
    <definedName name="チョンボ率" localSheetId="6">ともき!$C$27</definedName>
    <definedName name="チョンボ率" localSheetId="19">のり!$C$27</definedName>
    <definedName name="チョンボ率" localSheetId="16">ぱぱ!$C$27</definedName>
    <definedName name="チョンボ率" localSheetId="17">ほたに!$C$27</definedName>
    <definedName name="チョンボ率" localSheetId="15">まっつん!$C$27</definedName>
    <definedName name="チョンボ率" localSheetId="12">やがさき!$C$27</definedName>
    <definedName name="チョンボ率" localSheetId="7">りくと!$C$27</definedName>
    <definedName name="チョンボ率" localSheetId="13">れんたろう!$C$27</definedName>
    <definedName name="チョンボ率" localSheetId="3">全体!$C$27</definedName>
    <definedName name="チョンボ率">Template!$C$27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あさひ!$B$25</definedName>
    <definedName name="最大ドラ数" localSheetId="8">いっしー!$B$25</definedName>
    <definedName name="最大ドラ数" localSheetId="9">がくと!$B$25</definedName>
    <definedName name="最大ドラ数" localSheetId="5">かこたろう!$B$25</definedName>
    <definedName name="最大ドラ数" localSheetId="18">かわたつ!$B$25</definedName>
    <definedName name="最大ドラ数" localSheetId="4">だいち!$B$25</definedName>
    <definedName name="最大ドラ数" localSheetId="10">たかの!$B$25</definedName>
    <definedName name="最大ドラ数" localSheetId="11">ただ!$B$25</definedName>
    <definedName name="最大ドラ数" localSheetId="20">ちさと!$B$25</definedName>
    <definedName name="最大ドラ数" localSheetId="6">ともき!$B$25</definedName>
    <definedName name="最大ドラ数" localSheetId="19">のり!$B$25</definedName>
    <definedName name="最大ドラ数" localSheetId="16">ぱぱ!$B$25</definedName>
    <definedName name="最大ドラ数" localSheetId="17">ほたに!$B$25</definedName>
    <definedName name="最大ドラ数" localSheetId="15">まっつん!$B$25</definedName>
    <definedName name="最大ドラ数" localSheetId="12">やがさき!$B$25</definedName>
    <definedName name="最大ドラ数" localSheetId="7">りくと!$B$25</definedName>
    <definedName name="最大ドラ数" localSheetId="13">れんたろう!$B$25</definedName>
    <definedName name="最大ドラ数" localSheetId="3">全体!$B$25</definedName>
    <definedName name="最大ドラ数">Template!$B$25</definedName>
    <definedName name="最大点数" localSheetId="14">あさひ!$B$26</definedName>
    <definedName name="最大点数" localSheetId="8">いっしー!$B$26</definedName>
    <definedName name="最大点数" localSheetId="9">がくと!$B$26</definedName>
    <definedName name="最大点数" localSheetId="5">かこたろう!$B$26</definedName>
    <definedName name="最大点数" localSheetId="18">かわたつ!$B$26</definedName>
    <definedName name="最大点数" localSheetId="4">だいち!$B$26</definedName>
    <definedName name="最大点数" localSheetId="10">たかの!$B$26</definedName>
    <definedName name="最大点数" localSheetId="11">ただ!$B$26</definedName>
    <definedName name="最大点数" localSheetId="20">ちさと!$B$26</definedName>
    <definedName name="最大点数" localSheetId="6">ともき!$B$26</definedName>
    <definedName name="最大点数" localSheetId="19">のり!$B$26</definedName>
    <definedName name="最大点数" localSheetId="16">ぱぱ!$B$26</definedName>
    <definedName name="最大点数" localSheetId="17">ほたに!$B$26</definedName>
    <definedName name="最大点数" localSheetId="15">まっつん!$B$26</definedName>
    <definedName name="最大点数" localSheetId="12">やがさき!$B$26</definedName>
    <definedName name="最大点数" localSheetId="7">りくと!$B$26</definedName>
    <definedName name="最大点数" localSheetId="13">れんたろう!$B$26</definedName>
    <definedName name="最大点数" localSheetId="3">全体!$B$26</definedName>
    <definedName name="最大点数">Template!$B$26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873" l="1"/>
  <c r="O17" i="5873"/>
  <c r="O16" i="5873"/>
  <c r="O15" i="5873"/>
  <c r="O16" i="5867"/>
  <c r="O16" i="5861"/>
  <c r="O18" i="5858"/>
  <c r="O23" i="5864"/>
  <c r="O16" i="5874" l="1"/>
  <c r="O15" i="5874"/>
  <c r="H53" i="5874"/>
  <c r="H5" i="5874"/>
  <c r="H52" i="5874"/>
  <c r="H51" i="5874"/>
  <c r="H50" i="5874"/>
  <c r="H49" i="5874"/>
  <c r="H48" i="5874"/>
  <c r="H47" i="5874"/>
  <c r="H46" i="5874"/>
  <c r="H45" i="5874"/>
  <c r="H44" i="5874"/>
  <c r="H43" i="5874"/>
  <c r="H42" i="5874"/>
  <c r="H41" i="5874"/>
  <c r="H40" i="5874"/>
  <c r="H39" i="5874"/>
  <c r="H38" i="5874"/>
  <c r="H37" i="5874"/>
  <c r="H36" i="5874"/>
  <c r="H35" i="5874"/>
  <c r="H34" i="5874"/>
  <c r="H33" i="5874"/>
  <c r="H32" i="5874"/>
  <c r="H31" i="5874"/>
  <c r="H30" i="5874"/>
  <c r="H13" i="5874"/>
  <c r="H29" i="5874"/>
  <c r="C27" i="5874"/>
  <c r="H28" i="5874"/>
  <c r="H12" i="5874"/>
  <c r="H27" i="5874"/>
  <c r="B24" i="5874"/>
  <c r="H26" i="5874"/>
  <c r="H11" i="5874"/>
  <c r="H25" i="5874"/>
  <c r="H10" i="5874"/>
  <c r="C20" i="5874"/>
  <c r="H24" i="5874"/>
  <c r="H23" i="5874"/>
  <c r="H22" i="5874"/>
  <c r="B17" i="5874"/>
  <c r="C19" i="5874" s="1"/>
  <c r="H21" i="5874"/>
  <c r="C16" i="5874"/>
  <c r="H20" i="5874"/>
  <c r="C15" i="5874"/>
  <c r="H19" i="5874"/>
  <c r="C14" i="5874"/>
  <c r="H18" i="5874"/>
  <c r="C13" i="5874"/>
  <c r="O12" i="5874"/>
  <c r="H17" i="5874"/>
  <c r="C12" i="5874"/>
  <c r="O11" i="5874"/>
  <c r="H2" i="5874"/>
  <c r="C11" i="5874"/>
  <c r="O10" i="5874"/>
  <c r="H16" i="5874"/>
  <c r="C10" i="5874"/>
  <c r="H15" i="5874"/>
  <c r="C9" i="5874"/>
  <c r="H9" i="5874"/>
  <c r="C8" i="5874"/>
  <c r="O7" i="5874"/>
  <c r="H8" i="5874"/>
  <c r="C7" i="5874"/>
  <c r="O6" i="5874"/>
  <c r="H14" i="5874"/>
  <c r="B6" i="5874"/>
  <c r="O5" i="5874"/>
  <c r="H7" i="5874"/>
  <c r="B5" i="5874"/>
  <c r="O4" i="5874"/>
  <c r="H4" i="5874"/>
  <c r="O3" i="5874"/>
  <c r="H6" i="5874"/>
  <c r="O2" i="5874"/>
  <c r="H3" i="5874"/>
  <c r="O22" i="5873"/>
  <c r="O18" i="5873"/>
  <c r="O20" i="5873"/>
  <c r="O19" i="5873"/>
  <c r="H53" i="5873"/>
  <c r="H5" i="5873"/>
  <c r="H52" i="5873"/>
  <c r="H51" i="5873"/>
  <c r="H50" i="5873"/>
  <c r="H49" i="5873"/>
  <c r="H48" i="5873"/>
  <c r="H47" i="5873"/>
  <c r="H46" i="5873"/>
  <c r="H45" i="5873"/>
  <c r="H44" i="5873"/>
  <c r="H43" i="5873"/>
  <c r="H42" i="5873"/>
  <c r="H41" i="5873"/>
  <c r="H40" i="5873"/>
  <c r="H39" i="5873"/>
  <c r="H38" i="5873"/>
  <c r="H37" i="5873"/>
  <c r="H36" i="5873"/>
  <c r="H35" i="5873"/>
  <c r="H34" i="5873"/>
  <c r="H33" i="5873"/>
  <c r="H32" i="5873"/>
  <c r="H18" i="5873"/>
  <c r="H31" i="5873"/>
  <c r="H15" i="5873"/>
  <c r="H30" i="5873"/>
  <c r="C27" i="5873"/>
  <c r="H29" i="5873"/>
  <c r="H9" i="5873"/>
  <c r="H28" i="5873"/>
  <c r="B24" i="5873"/>
  <c r="H27" i="5873"/>
  <c r="H14" i="5873"/>
  <c r="H26" i="5873"/>
  <c r="H16" i="5873"/>
  <c r="C20" i="5873"/>
  <c r="H25" i="5873"/>
  <c r="H24" i="5873"/>
  <c r="H13" i="5873"/>
  <c r="B17" i="5873"/>
  <c r="B23" i="5873" s="1"/>
  <c r="H23" i="5873"/>
  <c r="C16" i="5873"/>
  <c r="H22" i="5873"/>
  <c r="C15" i="5873"/>
  <c r="H21" i="5873"/>
  <c r="C14" i="5873"/>
  <c r="H17" i="5873"/>
  <c r="C13" i="5873"/>
  <c r="O12" i="5873"/>
  <c r="H20" i="5873"/>
  <c r="C12" i="5873"/>
  <c r="O11" i="5873"/>
  <c r="H4" i="5873"/>
  <c r="C11" i="5873"/>
  <c r="O10" i="5873"/>
  <c r="H12" i="5873"/>
  <c r="C10" i="5873"/>
  <c r="H11" i="5873"/>
  <c r="C9" i="5873"/>
  <c r="H10" i="5873"/>
  <c r="C8" i="5873"/>
  <c r="O7" i="5873"/>
  <c r="H7" i="5873"/>
  <c r="C7" i="5873"/>
  <c r="O6" i="5873"/>
  <c r="H19" i="5873"/>
  <c r="B6" i="5873"/>
  <c r="O5" i="5873"/>
  <c r="H6" i="5873"/>
  <c r="B5" i="5873"/>
  <c r="O4" i="5873"/>
  <c r="H2" i="5873"/>
  <c r="O3" i="5873"/>
  <c r="H8" i="5873"/>
  <c r="O2" i="5873"/>
  <c r="H3" i="5873"/>
  <c r="O16" i="5872"/>
  <c r="O15" i="5872"/>
  <c r="H53" i="5872"/>
  <c r="H7" i="5872"/>
  <c r="H52" i="5872"/>
  <c r="H51" i="5872"/>
  <c r="H50" i="5872"/>
  <c r="H49" i="5872"/>
  <c r="H48" i="5872"/>
  <c r="H47" i="5872"/>
  <c r="H46" i="5872"/>
  <c r="H45" i="5872"/>
  <c r="H44" i="5872"/>
  <c r="H43" i="5872"/>
  <c r="H42" i="5872"/>
  <c r="H41" i="5872"/>
  <c r="H40" i="5872"/>
  <c r="H39" i="5872"/>
  <c r="H38" i="5872"/>
  <c r="H37" i="5872"/>
  <c r="H36" i="5872"/>
  <c r="H35" i="5872"/>
  <c r="H34" i="5872"/>
  <c r="H33" i="5872"/>
  <c r="H32" i="5872"/>
  <c r="H31" i="5872"/>
  <c r="H30" i="5872"/>
  <c r="H29" i="5872"/>
  <c r="H28" i="5872"/>
  <c r="C27" i="5872"/>
  <c r="H27" i="5872"/>
  <c r="H26" i="5872"/>
  <c r="H25" i="5872"/>
  <c r="B24" i="5872"/>
  <c r="H24" i="5872"/>
  <c r="B23" i="5872"/>
  <c r="H23" i="5872"/>
  <c r="H22" i="5872"/>
  <c r="H6" i="5872"/>
  <c r="C20" i="5872"/>
  <c r="H21" i="5872"/>
  <c r="C19" i="5872"/>
  <c r="H20" i="5872"/>
  <c r="C18" i="5872"/>
  <c r="H19" i="5872"/>
  <c r="C17" i="5872"/>
  <c r="B17" i="5872"/>
  <c r="H18" i="5872"/>
  <c r="C16" i="5872"/>
  <c r="H17" i="5872"/>
  <c r="C15" i="5872"/>
  <c r="H16" i="5872"/>
  <c r="C14" i="5872"/>
  <c r="H15" i="5872"/>
  <c r="C13" i="5872"/>
  <c r="O12" i="5872"/>
  <c r="H14" i="5872"/>
  <c r="C12" i="5872"/>
  <c r="O11" i="5872"/>
  <c r="H13" i="5872"/>
  <c r="C11" i="5872"/>
  <c r="O10" i="5872"/>
  <c r="H12" i="5872"/>
  <c r="C10" i="5872"/>
  <c r="H11" i="5872"/>
  <c r="C9" i="5872"/>
  <c r="H10" i="5872"/>
  <c r="C8" i="5872"/>
  <c r="O7" i="5872"/>
  <c r="H5" i="5872"/>
  <c r="C7" i="5872"/>
  <c r="O6" i="5872"/>
  <c r="H9" i="5872"/>
  <c r="B6" i="5872"/>
  <c r="O5" i="5872"/>
  <c r="H4" i="5872"/>
  <c r="B5" i="5872"/>
  <c r="O4" i="5872"/>
  <c r="H2" i="5872"/>
  <c r="O3" i="5872"/>
  <c r="H8" i="5872"/>
  <c r="O2" i="5872"/>
  <c r="H3" i="5872"/>
  <c r="O22" i="5871"/>
  <c r="O21" i="5871"/>
  <c r="O17" i="5871"/>
  <c r="O20" i="5871"/>
  <c r="O19" i="5871"/>
  <c r="O18" i="5871"/>
  <c r="O16" i="5871"/>
  <c r="O15" i="5871"/>
  <c r="H53" i="5871"/>
  <c r="H7" i="5871"/>
  <c r="H52" i="5871"/>
  <c r="H51" i="5871"/>
  <c r="H50" i="5871"/>
  <c r="H49" i="5871"/>
  <c r="H48" i="5871"/>
  <c r="H47" i="5871"/>
  <c r="H46" i="5871"/>
  <c r="H45" i="5871"/>
  <c r="H44" i="5871"/>
  <c r="H43" i="5871"/>
  <c r="H42" i="5871"/>
  <c r="H41" i="5871"/>
  <c r="H40" i="5871"/>
  <c r="H39" i="5871"/>
  <c r="H38" i="5871"/>
  <c r="H37" i="5871"/>
  <c r="H36" i="5871"/>
  <c r="H35" i="5871"/>
  <c r="H34" i="5871"/>
  <c r="H33" i="5871"/>
  <c r="H32" i="5871"/>
  <c r="H31" i="5871"/>
  <c r="H30" i="5871"/>
  <c r="H8" i="5871"/>
  <c r="H29" i="5871"/>
  <c r="C27" i="5871"/>
  <c r="H28" i="5871"/>
  <c r="H11" i="5871"/>
  <c r="H27" i="5871"/>
  <c r="B24" i="5871"/>
  <c r="H26" i="5871"/>
  <c r="H14" i="5871"/>
  <c r="H25" i="5871"/>
  <c r="H18" i="5871"/>
  <c r="C20" i="5871"/>
  <c r="H24" i="5871"/>
  <c r="H17" i="5871"/>
  <c r="H13" i="5871"/>
  <c r="B17" i="5871"/>
  <c r="C19" i="5871" s="1"/>
  <c r="H15" i="5871"/>
  <c r="C16" i="5871"/>
  <c r="H23" i="5871"/>
  <c r="C15" i="5871"/>
  <c r="H22" i="5871"/>
  <c r="C14" i="5871"/>
  <c r="H21" i="5871"/>
  <c r="C13" i="5871"/>
  <c r="O12" i="5871"/>
  <c r="H20" i="5871"/>
  <c r="C12" i="5871"/>
  <c r="O11" i="5871"/>
  <c r="H2" i="5871"/>
  <c r="C11" i="5871"/>
  <c r="O10" i="5871"/>
  <c r="H16" i="5871"/>
  <c r="C10" i="5871"/>
  <c r="H12" i="5871"/>
  <c r="C9" i="5871"/>
  <c r="H9" i="5871"/>
  <c r="C8" i="5871"/>
  <c r="O7" i="5871"/>
  <c r="H6" i="5871"/>
  <c r="C7" i="5871"/>
  <c r="O6" i="5871"/>
  <c r="H19" i="5871"/>
  <c r="B6" i="5871"/>
  <c r="O5" i="5871"/>
  <c r="H5" i="5871"/>
  <c r="B5" i="5871"/>
  <c r="O4" i="5871"/>
  <c r="H3" i="5871"/>
  <c r="O3" i="5871"/>
  <c r="H10" i="5871"/>
  <c r="O2" i="5871"/>
  <c r="H4" i="5871"/>
  <c r="O22" i="5868"/>
  <c r="O16" i="5868"/>
  <c r="O15" i="5868"/>
  <c r="O26" i="5869"/>
  <c r="O17" i="5869"/>
  <c r="O16" i="5869"/>
  <c r="O15" i="5869"/>
  <c r="O23" i="5870"/>
  <c r="O24" i="5870"/>
  <c r="O18" i="5870"/>
  <c r="O15" i="5870"/>
  <c r="O21" i="5864"/>
  <c r="O18" i="5864"/>
  <c r="O28" i="5867"/>
  <c r="O20" i="5867"/>
  <c r="O19" i="5865"/>
  <c r="O15" i="5865"/>
  <c r="O16" i="5865"/>
  <c r="O25" i="5861"/>
  <c r="O29" i="5858"/>
  <c r="O19" i="5858"/>
  <c r="O17" i="5858"/>
  <c r="O31" i="5857"/>
  <c r="O26" i="5857"/>
  <c r="O18" i="5857"/>
  <c r="O16" i="5857"/>
  <c r="C17" i="5874" l="1"/>
  <c r="B23" i="5874"/>
  <c r="C18" i="5874"/>
  <c r="C19" i="5873"/>
  <c r="C17" i="5873"/>
  <c r="C18" i="5873"/>
  <c r="C17" i="5871"/>
  <c r="B23" i="5871"/>
  <c r="C18" i="5871"/>
  <c r="O21" i="5870" l="1"/>
  <c r="O17" i="5870"/>
  <c r="O20" i="5870"/>
  <c r="O22" i="5870"/>
  <c r="O25" i="5870"/>
  <c r="O16" i="5870"/>
  <c r="O19" i="5870"/>
  <c r="H53" i="5870"/>
  <c r="H6" i="5870"/>
  <c r="H20" i="5870"/>
  <c r="H52" i="5870"/>
  <c r="H51" i="5870"/>
  <c r="H50" i="5870"/>
  <c r="H49" i="5870"/>
  <c r="H48" i="5870"/>
  <c r="H25" i="5870"/>
  <c r="H47" i="5870"/>
  <c r="H46" i="5870"/>
  <c r="H45" i="5870"/>
  <c r="H44" i="5870"/>
  <c r="H43" i="5870"/>
  <c r="H42" i="5870"/>
  <c r="H41" i="5870"/>
  <c r="H40" i="5870"/>
  <c r="H39" i="5870"/>
  <c r="H38" i="5870"/>
  <c r="H37" i="5870"/>
  <c r="H36" i="5870"/>
  <c r="H35" i="5870"/>
  <c r="H34" i="5870"/>
  <c r="H22" i="5870"/>
  <c r="H33" i="5870"/>
  <c r="H10" i="5870"/>
  <c r="H32" i="5870"/>
  <c r="C27" i="5870"/>
  <c r="H21" i="5870"/>
  <c r="H14" i="5870"/>
  <c r="H24" i="5870"/>
  <c r="B24" i="5870"/>
  <c r="H31" i="5870"/>
  <c r="H15" i="5870"/>
  <c r="H30" i="5870"/>
  <c r="H19" i="5870"/>
  <c r="C20" i="5870"/>
  <c r="H29" i="5870"/>
  <c r="H17" i="5870"/>
  <c r="H16" i="5870"/>
  <c r="B17" i="5870"/>
  <c r="C19" i="5870" s="1"/>
  <c r="H28" i="5870"/>
  <c r="C16" i="5870"/>
  <c r="H27" i="5870"/>
  <c r="C15" i="5870"/>
  <c r="H23" i="5870"/>
  <c r="C14" i="5870"/>
  <c r="H26" i="5870"/>
  <c r="C13" i="5870"/>
  <c r="O12" i="5870"/>
  <c r="H18" i="5870"/>
  <c r="C12" i="5870"/>
  <c r="O11" i="5870"/>
  <c r="H3" i="5870"/>
  <c r="C11" i="5870"/>
  <c r="O10" i="5870"/>
  <c r="H13" i="5870"/>
  <c r="C10" i="5870"/>
  <c r="H9" i="5870"/>
  <c r="C9" i="5870"/>
  <c r="H8" i="5870"/>
  <c r="C8" i="5870"/>
  <c r="O7" i="5870"/>
  <c r="H5" i="5870"/>
  <c r="C7" i="5870"/>
  <c r="O6" i="5870"/>
  <c r="H11" i="5870"/>
  <c r="B6" i="5870"/>
  <c r="O5" i="5870"/>
  <c r="H7" i="5870"/>
  <c r="B5" i="5870"/>
  <c r="O4" i="5870"/>
  <c r="H2" i="5870"/>
  <c r="O3" i="5870"/>
  <c r="H12" i="5870"/>
  <c r="O2" i="5870"/>
  <c r="H4" i="5870"/>
  <c r="O25" i="5869"/>
  <c r="O23" i="5869"/>
  <c r="O22" i="5869"/>
  <c r="O21" i="5869"/>
  <c r="O24" i="5869"/>
  <c r="O20" i="5869"/>
  <c r="O19" i="5869"/>
  <c r="O18" i="5869"/>
  <c r="H53" i="5869"/>
  <c r="H5" i="5869"/>
  <c r="H28" i="5869"/>
  <c r="H52" i="5869"/>
  <c r="H51" i="5869"/>
  <c r="H50" i="5869"/>
  <c r="H49" i="5869"/>
  <c r="H48" i="5869"/>
  <c r="H47" i="5869"/>
  <c r="H46" i="5869"/>
  <c r="H45" i="5869"/>
  <c r="H44" i="5869"/>
  <c r="H43" i="5869"/>
  <c r="H26" i="5869"/>
  <c r="H42" i="5869"/>
  <c r="H41" i="5869"/>
  <c r="H40" i="5869"/>
  <c r="H39" i="5869"/>
  <c r="H38" i="5869"/>
  <c r="H37" i="5869"/>
  <c r="H36" i="5869"/>
  <c r="H27" i="5869"/>
  <c r="H25" i="5869"/>
  <c r="H17" i="5869"/>
  <c r="H24" i="5869"/>
  <c r="H10" i="5869"/>
  <c r="H35" i="5869"/>
  <c r="C27" i="5869"/>
  <c r="H34" i="5869"/>
  <c r="H15" i="5869"/>
  <c r="H20" i="5869"/>
  <c r="B24" i="5869"/>
  <c r="H33" i="5869"/>
  <c r="H13" i="5869"/>
  <c r="H32" i="5869"/>
  <c r="H19" i="5869"/>
  <c r="C20" i="5869"/>
  <c r="H31" i="5869"/>
  <c r="H18" i="5869"/>
  <c r="H16" i="5869"/>
  <c r="B17" i="5869"/>
  <c r="B23" i="5869" s="1"/>
  <c r="H21" i="5869"/>
  <c r="C16" i="5869"/>
  <c r="H30" i="5869"/>
  <c r="C15" i="5869"/>
  <c r="H23" i="5869"/>
  <c r="C14" i="5869"/>
  <c r="H22" i="5869"/>
  <c r="C13" i="5869"/>
  <c r="O12" i="5869"/>
  <c r="H29" i="5869"/>
  <c r="C12" i="5869"/>
  <c r="O11" i="5869"/>
  <c r="H3" i="5869"/>
  <c r="C11" i="5869"/>
  <c r="O10" i="5869"/>
  <c r="H14" i="5869"/>
  <c r="C10" i="5869"/>
  <c r="H12" i="5869"/>
  <c r="C9" i="5869"/>
  <c r="H9" i="5869"/>
  <c r="C8" i="5869"/>
  <c r="O7" i="5869"/>
  <c r="H7" i="5869"/>
  <c r="C7" i="5869"/>
  <c r="O6" i="5869"/>
  <c r="H8" i="5869"/>
  <c r="B6" i="5869"/>
  <c r="O5" i="5869"/>
  <c r="H6" i="5869"/>
  <c r="B5" i="5869"/>
  <c r="O4" i="5869"/>
  <c r="H2" i="5869"/>
  <c r="O3" i="5869"/>
  <c r="H11" i="5869"/>
  <c r="O2" i="5869"/>
  <c r="H4" i="5869"/>
  <c r="O21" i="5868"/>
  <c r="O19" i="5868"/>
  <c r="O20" i="5868"/>
  <c r="O18" i="5868"/>
  <c r="O17" i="5868"/>
  <c r="H53" i="5868"/>
  <c r="H14" i="5868"/>
  <c r="H52" i="5868"/>
  <c r="H51" i="5868"/>
  <c r="H50" i="5868"/>
  <c r="H49" i="5868"/>
  <c r="H48" i="5868"/>
  <c r="H47" i="5868"/>
  <c r="H46" i="5868"/>
  <c r="H45" i="5868"/>
  <c r="H44" i="5868"/>
  <c r="H43" i="5868"/>
  <c r="H42" i="5868"/>
  <c r="H41" i="5868"/>
  <c r="H40" i="5868"/>
  <c r="H39" i="5868"/>
  <c r="H38" i="5868"/>
  <c r="H37" i="5868"/>
  <c r="H36" i="5868"/>
  <c r="H35" i="5868"/>
  <c r="H34" i="5868"/>
  <c r="H33" i="5868"/>
  <c r="H32" i="5868"/>
  <c r="H15" i="5868"/>
  <c r="H31" i="5868"/>
  <c r="H8" i="5868"/>
  <c r="H30" i="5868"/>
  <c r="C27" i="5868"/>
  <c r="H29" i="5868"/>
  <c r="H11" i="5868"/>
  <c r="H28" i="5868"/>
  <c r="B24" i="5868"/>
  <c r="H27" i="5868"/>
  <c r="H26" i="5868"/>
  <c r="H25" i="5868"/>
  <c r="H24" i="5868"/>
  <c r="C20" i="5868"/>
  <c r="H23" i="5868"/>
  <c r="H22" i="5868"/>
  <c r="H21" i="5868"/>
  <c r="B17" i="5868"/>
  <c r="B23" i="5868" s="1"/>
  <c r="H20" i="5868"/>
  <c r="C16" i="5868"/>
  <c r="H19" i="5868"/>
  <c r="C15" i="5868"/>
  <c r="H18" i="5868"/>
  <c r="C14" i="5868"/>
  <c r="H17" i="5868"/>
  <c r="C13" i="5868"/>
  <c r="O12" i="5868"/>
  <c r="H16" i="5868"/>
  <c r="C12" i="5868"/>
  <c r="O11" i="5868"/>
  <c r="H4" i="5868"/>
  <c r="C11" i="5868"/>
  <c r="O10" i="5868"/>
  <c r="H13" i="5868"/>
  <c r="C10" i="5868"/>
  <c r="H10" i="5868"/>
  <c r="C9" i="5868"/>
  <c r="H9" i="5868"/>
  <c r="C8" i="5868"/>
  <c r="O7" i="5868"/>
  <c r="H7" i="5868"/>
  <c r="C7" i="5868"/>
  <c r="O6" i="5868"/>
  <c r="H5" i="5868"/>
  <c r="B6" i="5868"/>
  <c r="O5" i="5868"/>
  <c r="H6" i="5868"/>
  <c r="B5" i="5868"/>
  <c r="O4" i="5868"/>
  <c r="H3" i="5868"/>
  <c r="O3" i="5868"/>
  <c r="H12" i="5868"/>
  <c r="O2" i="5868"/>
  <c r="H2" i="5868"/>
  <c r="O27" i="5867"/>
  <c r="O23" i="5867"/>
  <c r="O26" i="5867"/>
  <c r="O24" i="5867"/>
  <c r="O22" i="5867"/>
  <c r="O21" i="5867"/>
  <c r="O18" i="5867"/>
  <c r="O25" i="5867"/>
  <c r="O17" i="5867"/>
  <c r="O15" i="5867"/>
  <c r="O19" i="5867"/>
  <c r="H53" i="5867"/>
  <c r="H8" i="5867"/>
  <c r="H23" i="5867"/>
  <c r="H52" i="5867"/>
  <c r="H51" i="5867"/>
  <c r="H50" i="5867"/>
  <c r="H49" i="5867"/>
  <c r="H48" i="5867"/>
  <c r="H47" i="5867"/>
  <c r="H46" i="5867"/>
  <c r="H45" i="5867"/>
  <c r="H44" i="5867"/>
  <c r="H43" i="5867"/>
  <c r="H42" i="5867"/>
  <c r="H41" i="5867"/>
  <c r="H40" i="5867"/>
  <c r="H39" i="5867"/>
  <c r="H38" i="5867"/>
  <c r="H37" i="5867"/>
  <c r="H36" i="5867"/>
  <c r="H35" i="5867"/>
  <c r="H26" i="5867"/>
  <c r="H22" i="5867"/>
  <c r="H17" i="5867"/>
  <c r="H30" i="5867"/>
  <c r="H10" i="5867"/>
  <c r="H34" i="5867"/>
  <c r="C27" i="5867"/>
  <c r="H28" i="5867"/>
  <c r="H13" i="5867"/>
  <c r="H27" i="5867"/>
  <c r="B24" i="5867"/>
  <c r="H25" i="5867"/>
  <c r="H15" i="5867"/>
  <c r="H33" i="5867"/>
  <c r="H18" i="5867"/>
  <c r="C20" i="5867"/>
  <c r="H32" i="5867"/>
  <c r="H19" i="5867"/>
  <c r="H16" i="5867"/>
  <c r="B17" i="5867"/>
  <c r="C19" i="5867" s="1"/>
  <c r="H24" i="5867"/>
  <c r="C16" i="5867"/>
  <c r="H31" i="5867"/>
  <c r="C15" i="5867"/>
  <c r="H21" i="5867"/>
  <c r="C14" i="5867"/>
  <c r="H29" i="5867"/>
  <c r="C13" i="5867"/>
  <c r="O12" i="5867"/>
  <c r="H20" i="5867"/>
  <c r="C12" i="5867"/>
  <c r="O11" i="5867"/>
  <c r="H3" i="5867"/>
  <c r="C11" i="5867"/>
  <c r="O10" i="5867"/>
  <c r="H14" i="5867"/>
  <c r="C10" i="5867"/>
  <c r="H12" i="5867"/>
  <c r="C9" i="5867"/>
  <c r="H9" i="5867"/>
  <c r="C8" i="5867"/>
  <c r="O7" i="5867"/>
  <c r="H7" i="5867"/>
  <c r="C7" i="5867"/>
  <c r="O6" i="5867"/>
  <c r="H5" i="5867"/>
  <c r="B6" i="5867"/>
  <c r="O5" i="5867"/>
  <c r="H6" i="5867"/>
  <c r="B5" i="5867"/>
  <c r="O4" i="5867"/>
  <c r="H2" i="5867"/>
  <c r="O3" i="5867"/>
  <c r="H11" i="5867"/>
  <c r="O2" i="5867"/>
  <c r="H4" i="5867"/>
  <c r="O15" i="5866"/>
  <c r="O21" i="5866"/>
  <c r="O19" i="5866"/>
  <c r="O18" i="5866"/>
  <c r="O20" i="5866"/>
  <c r="O17" i="5866"/>
  <c r="O16" i="5866"/>
  <c r="H53" i="5866"/>
  <c r="H11" i="5866"/>
  <c r="H17" i="5866"/>
  <c r="H52" i="5866"/>
  <c r="H51" i="5866"/>
  <c r="H50" i="5866"/>
  <c r="H49" i="5866"/>
  <c r="H48" i="5866"/>
  <c r="H47" i="5866"/>
  <c r="H46" i="5866"/>
  <c r="H45" i="5866"/>
  <c r="H44" i="5866"/>
  <c r="H43" i="5866"/>
  <c r="H42" i="5866"/>
  <c r="H41" i="5866"/>
  <c r="H40" i="5866"/>
  <c r="H39" i="5866"/>
  <c r="H38" i="5866"/>
  <c r="H37" i="5866"/>
  <c r="H36" i="5866"/>
  <c r="H35" i="5866"/>
  <c r="H34" i="5866"/>
  <c r="H21" i="5866"/>
  <c r="H20" i="5866"/>
  <c r="H33" i="5866"/>
  <c r="H8" i="5866"/>
  <c r="H32" i="5866"/>
  <c r="C27" i="5866"/>
  <c r="H31" i="5866"/>
  <c r="H19" i="5866"/>
  <c r="H30" i="5866"/>
  <c r="B24" i="5866"/>
  <c r="H29" i="5866"/>
  <c r="H16" i="5866"/>
  <c r="H28" i="5866"/>
  <c r="H27" i="5866"/>
  <c r="C20" i="5866"/>
  <c r="H26" i="5866"/>
  <c r="H15" i="5866"/>
  <c r="H14" i="5866"/>
  <c r="B17" i="5866"/>
  <c r="B23" i="5866" s="1"/>
  <c r="H25" i="5866"/>
  <c r="C16" i="5866"/>
  <c r="H24" i="5866"/>
  <c r="C15" i="5866"/>
  <c r="H23" i="5866"/>
  <c r="C14" i="5866"/>
  <c r="H22" i="5866"/>
  <c r="C13" i="5866"/>
  <c r="O12" i="5866"/>
  <c r="H18" i="5866"/>
  <c r="C12" i="5866"/>
  <c r="O11" i="5866"/>
  <c r="H4" i="5866"/>
  <c r="C11" i="5866"/>
  <c r="O10" i="5866"/>
  <c r="H13" i="5866"/>
  <c r="C10" i="5866"/>
  <c r="H12" i="5866"/>
  <c r="C9" i="5866"/>
  <c r="H10" i="5866"/>
  <c r="C8" i="5866"/>
  <c r="O7" i="5866"/>
  <c r="H7" i="5866"/>
  <c r="C7" i="5866"/>
  <c r="O6" i="5866"/>
  <c r="H2" i="5866"/>
  <c r="B6" i="5866"/>
  <c r="O5" i="5866"/>
  <c r="H6" i="5866"/>
  <c r="B5" i="5866"/>
  <c r="O4" i="5866"/>
  <c r="H3" i="5866"/>
  <c r="O3" i="5866"/>
  <c r="H9" i="5866"/>
  <c r="O2" i="5866"/>
  <c r="H5" i="5866"/>
  <c r="O26" i="5865"/>
  <c r="O24" i="5865"/>
  <c r="O23" i="5865"/>
  <c r="O25" i="5865"/>
  <c r="O17" i="5865"/>
  <c r="O20" i="5865"/>
  <c r="O21" i="5865"/>
  <c r="O18" i="5865"/>
  <c r="O22" i="5865"/>
  <c r="H53" i="5865"/>
  <c r="H8" i="5865"/>
  <c r="H27" i="5865"/>
  <c r="H52" i="5865"/>
  <c r="H51" i="5865"/>
  <c r="H50" i="5865"/>
  <c r="H49" i="5865"/>
  <c r="H48" i="5865"/>
  <c r="H47" i="5865"/>
  <c r="H46" i="5865"/>
  <c r="H45" i="5865"/>
  <c r="H44" i="5865"/>
  <c r="H43" i="5865"/>
  <c r="H42" i="5865"/>
  <c r="H41" i="5865"/>
  <c r="H40" i="5865"/>
  <c r="H39" i="5865"/>
  <c r="H38" i="5865"/>
  <c r="H37" i="5865"/>
  <c r="H36" i="5865"/>
  <c r="H35" i="5865"/>
  <c r="H24" i="5865"/>
  <c r="H30" i="5865"/>
  <c r="H18" i="5865"/>
  <c r="H34" i="5865"/>
  <c r="H10" i="5865"/>
  <c r="H29" i="5865"/>
  <c r="C27" i="5865"/>
  <c r="H26" i="5865"/>
  <c r="H14" i="5865"/>
  <c r="H28" i="5865"/>
  <c r="B24" i="5865"/>
  <c r="H25" i="5865"/>
  <c r="H16" i="5865"/>
  <c r="H33" i="5865"/>
  <c r="H17" i="5865"/>
  <c r="C20" i="5865"/>
  <c r="H32" i="5865"/>
  <c r="H19" i="5865"/>
  <c r="H15" i="5865"/>
  <c r="B17" i="5865"/>
  <c r="C19" i="5865" s="1"/>
  <c r="H20" i="5865"/>
  <c r="C16" i="5865"/>
  <c r="H31" i="5865"/>
  <c r="C15" i="5865"/>
  <c r="H23" i="5865"/>
  <c r="C14" i="5865"/>
  <c r="H22" i="5865"/>
  <c r="C13" i="5865"/>
  <c r="O12" i="5865"/>
  <c r="H21" i="5865"/>
  <c r="C12" i="5865"/>
  <c r="O11" i="5865"/>
  <c r="H3" i="5865"/>
  <c r="C11" i="5865"/>
  <c r="O10" i="5865"/>
  <c r="H13" i="5865"/>
  <c r="C10" i="5865"/>
  <c r="H11" i="5865"/>
  <c r="C9" i="5865"/>
  <c r="H9" i="5865"/>
  <c r="C8" i="5865"/>
  <c r="O7" i="5865"/>
  <c r="H5" i="5865"/>
  <c r="C7" i="5865"/>
  <c r="O6" i="5865"/>
  <c r="H7" i="5865"/>
  <c r="B6" i="5865"/>
  <c r="O5" i="5865"/>
  <c r="H6" i="5865"/>
  <c r="B5" i="5865"/>
  <c r="O4" i="5865"/>
  <c r="H2" i="5865"/>
  <c r="O3" i="5865"/>
  <c r="H12" i="5865"/>
  <c r="O2" i="5865"/>
  <c r="H4" i="5865"/>
  <c r="O24" i="5864"/>
  <c r="O20" i="5864"/>
  <c r="O22" i="5864"/>
  <c r="O15" i="5864"/>
  <c r="O19" i="5864"/>
  <c r="O16" i="5864"/>
  <c r="O17" i="5864"/>
  <c r="H53" i="5864"/>
  <c r="H5" i="5864"/>
  <c r="H52" i="5864"/>
  <c r="H51" i="5864"/>
  <c r="H50" i="5864"/>
  <c r="H49" i="5864"/>
  <c r="H48" i="5864"/>
  <c r="H47" i="5864"/>
  <c r="H46" i="5864"/>
  <c r="H45" i="5864"/>
  <c r="H44" i="5864"/>
  <c r="H43" i="5864"/>
  <c r="H42" i="5864"/>
  <c r="H41" i="5864"/>
  <c r="H40" i="5864"/>
  <c r="H39" i="5864"/>
  <c r="H38" i="5864"/>
  <c r="H37" i="5864"/>
  <c r="H36" i="5864"/>
  <c r="H35" i="5864"/>
  <c r="H34" i="5864"/>
  <c r="H27" i="5864"/>
  <c r="H33" i="5864"/>
  <c r="H19" i="5864"/>
  <c r="H26" i="5864"/>
  <c r="H13" i="5864"/>
  <c r="H25" i="5864"/>
  <c r="C27" i="5864"/>
  <c r="H24" i="5864"/>
  <c r="H15" i="5864"/>
  <c r="H32" i="5864"/>
  <c r="B24" i="5864"/>
  <c r="H31" i="5864"/>
  <c r="H14" i="5864"/>
  <c r="H30" i="5864"/>
  <c r="H16" i="5864"/>
  <c r="C20" i="5864"/>
  <c r="H29" i="5864"/>
  <c r="H18" i="5864"/>
  <c r="H17" i="5864"/>
  <c r="B17" i="5864"/>
  <c r="B23" i="5864" s="1"/>
  <c r="H20" i="5864"/>
  <c r="C16" i="5864"/>
  <c r="H28" i="5864"/>
  <c r="C15" i="5864"/>
  <c r="H22" i="5864"/>
  <c r="C14" i="5864"/>
  <c r="H21" i="5864"/>
  <c r="C13" i="5864"/>
  <c r="O12" i="5864"/>
  <c r="H23" i="5864"/>
  <c r="C12" i="5864"/>
  <c r="O11" i="5864"/>
  <c r="H3" i="5864"/>
  <c r="C11" i="5864"/>
  <c r="O10" i="5864"/>
  <c r="H12" i="5864"/>
  <c r="C10" i="5864"/>
  <c r="H11" i="5864"/>
  <c r="C9" i="5864"/>
  <c r="H9" i="5864"/>
  <c r="C8" i="5864"/>
  <c r="O7" i="5864"/>
  <c r="H6" i="5864"/>
  <c r="C7" i="5864"/>
  <c r="O6" i="5864"/>
  <c r="H7" i="5864"/>
  <c r="B6" i="5864"/>
  <c r="O5" i="5864"/>
  <c r="H8" i="5864"/>
  <c r="B5" i="5864"/>
  <c r="O4" i="5864"/>
  <c r="H2" i="5864"/>
  <c r="O3" i="5864"/>
  <c r="H10" i="5864"/>
  <c r="O2" i="5864"/>
  <c r="H4" i="5864"/>
  <c r="O19" i="5863"/>
  <c r="O18" i="5863"/>
  <c r="O17" i="5863"/>
  <c r="O16" i="5863"/>
  <c r="O15" i="5863"/>
  <c r="H53" i="5863"/>
  <c r="H52" i="5863"/>
  <c r="H51" i="5863"/>
  <c r="H50" i="5863"/>
  <c r="H49" i="5863"/>
  <c r="H48" i="5863"/>
  <c r="H47" i="5863"/>
  <c r="H46" i="5863"/>
  <c r="H45" i="5863"/>
  <c r="H44" i="5863"/>
  <c r="H43" i="5863"/>
  <c r="H42" i="5863"/>
  <c r="H41" i="5863"/>
  <c r="H40" i="5863"/>
  <c r="H39" i="5863"/>
  <c r="H38" i="5863"/>
  <c r="H37" i="5863"/>
  <c r="H36" i="5863"/>
  <c r="H35" i="5863"/>
  <c r="H34" i="5863"/>
  <c r="H33" i="5863"/>
  <c r="H32" i="5863"/>
  <c r="H31" i="5863"/>
  <c r="H30" i="5863"/>
  <c r="H29" i="5863"/>
  <c r="H28" i="5863"/>
  <c r="H27" i="5863"/>
  <c r="C27" i="5863"/>
  <c r="H26" i="5863"/>
  <c r="H11" i="5863"/>
  <c r="H25" i="5863"/>
  <c r="B24" i="5863"/>
  <c r="H24" i="5863"/>
  <c r="H23" i="5863"/>
  <c r="H22" i="5863"/>
  <c r="H21" i="5863"/>
  <c r="C20" i="5863"/>
  <c r="H20" i="5863"/>
  <c r="H8" i="5863"/>
  <c r="H19" i="5863"/>
  <c r="B17" i="5863"/>
  <c r="B23" i="5863" s="1"/>
  <c r="H18" i="5863"/>
  <c r="C16" i="5863"/>
  <c r="H17" i="5863"/>
  <c r="C15" i="5863"/>
  <c r="H16" i="5863"/>
  <c r="C14" i="5863"/>
  <c r="H15" i="5863"/>
  <c r="C13" i="5863"/>
  <c r="O12" i="5863"/>
  <c r="H14" i="5863"/>
  <c r="C12" i="5863"/>
  <c r="O11" i="5863"/>
  <c r="H5" i="5863"/>
  <c r="C11" i="5863"/>
  <c r="O10" i="5863"/>
  <c r="H13" i="5863"/>
  <c r="C10" i="5863"/>
  <c r="H12" i="5863"/>
  <c r="C9" i="5863"/>
  <c r="H10" i="5863"/>
  <c r="C8" i="5863"/>
  <c r="O7" i="5863"/>
  <c r="H6" i="5863"/>
  <c r="C7" i="5863"/>
  <c r="O6" i="5863"/>
  <c r="H3" i="5863"/>
  <c r="B6" i="5863"/>
  <c r="O5" i="5863"/>
  <c r="H7" i="5863"/>
  <c r="B5" i="5863"/>
  <c r="O4" i="5863"/>
  <c r="H9" i="5863"/>
  <c r="O3" i="5863"/>
  <c r="H4" i="5863"/>
  <c r="O2" i="5863"/>
  <c r="H2" i="5863"/>
  <c r="O22" i="5862"/>
  <c r="O24" i="5862"/>
  <c r="O21" i="5862"/>
  <c r="O18" i="5862"/>
  <c r="O15" i="5862"/>
  <c r="O19" i="5862"/>
  <c r="O23" i="5862"/>
  <c r="O17" i="5862"/>
  <c r="O20" i="5862"/>
  <c r="O16" i="5862"/>
  <c r="O25" i="5862"/>
  <c r="H53" i="5862"/>
  <c r="H9" i="5862"/>
  <c r="H52" i="5862"/>
  <c r="H51" i="5862"/>
  <c r="H50" i="5862"/>
  <c r="H49" i="5862"/>
  <c r="H48" i="5862"/>
  <c r="H47" i="5862"/>
  <c r="H46" i="5862"/>
  <c r="H45" i="5862"/>
  <c r="H44" i="5862"/>
  <c r="H43" i="5862"/>
  <c r="H42" i="5862"/>
  <c r="H41" i="5862"/>
  <c r="H40" i="5862"/>
  <c r="H39" i="5862"/>
  <c r="H38" i="5862"/>
  <c r="H24" i="5862"/>
  <c r="H37" i="5862"/>
  <c r="H36" i="5862"/>
  <c r="H35" i="5862"/>
  <c r="H23" i="5862"/>
  <c r="H34" i="5862"/>
  <c r="H18" i="5862"/>
  <c r="H33" i="5862"/>
  <c r="H12" i="5862"/>
  <c r="H32" i="5862"/>
  <c r="C27" i="5862"/>
  <c r="H31" i="5862"/>
  <c r="H17" i="5862"/>
  <c r="H30" i="5862"/>
  <c r="B24" i="5862"/>
  <c r="H29" i="5862"/>
  <c r="H10" i="5862"/>
  <c r="H28" i="5862"/>
  <c r="H15" i="5862"/>
  <c r="C20" i="5862"/>
  <c r="H27" i="5862"/>
  <c r="H16" i="5862"/>
  <c r="H22" i="5862"/>
  <c r="B17" i="5862"/>
  <c r="B23" i="5862" s="1"/>
  <c r="H26" i="5862"/>
  <c r="C16" i="5862"/>
  <c r="H25" i="5862"/>
  <c r="C15" i="5862"/>
  <c r="H21" i="5862"/>
  <c r="C14" i="5862"/>
  <c r="H20" i="5862"/>
  <c r="C13" i="5862"/>
  <c r="O12" i="5862"/>
  <c r="H19" i="5862"/>
  <c r="C12" i="5862"/>
  <c r="O11" i="5862"/>
  <c r="H3" i="5862"/>
  <c r="C11" i="5862"/>
  <c r="O10" i="5862"/>
  <c r="H14" i="5862"/>
  <c r="C10" i="5862"/>
  <c r="H11" i="5862"/>
  <c r="C9" i="5862"/>
  <c r="H8" i="5862"/>
  <c r="C8" i="5862"/>
  <c r="O7" i="5862"/>
  <c r="H6" i="5862"/>
  <c r="C7" i="5862"/>
  <c r="O6" i="5862"/>
  <c r="H4" i="5862"/>
  <c r="B6" i="5862"/>
  <c r="O5" i="5862"/>
  <c r="H7" i="5862"/>
  <c r="B5" i="5862"/>
  <c r="O4" i="5862"/>
  <c r="H2" i="5862"/>
  <c r="O3" i="5862"/>
  <c r="H13" i="5862"/>
  <c r="O2" i="5862"/>
  <c r="H5" i="5862"/>
  <c r="O26" i="5861"/>
  <c r="O23" i="5861"/>
  <c r="O21" i="5861"/>
  <c r="O22" i="5861"/>
  <c r="O24" i="5861"/>
  <c r="O20" i="5861"/>
  <c r="O19" i="5861"/>
  <c r="O17" i="5861"/>
  <c r="O15" i="5861"/>
  <c r="O18" i="5861"/>
  <c r="H53" i="5861"/>
  <c r="H7" i="5861"/>
  <c r="H20" i="5861"/>
  <c r="H52" i="5861"/>
  <c r="H51" i="5861"/>
  <c r="H50" i="5861"/>
  <c r="H49" i="5861"/>
  <c r="H48" i="5861"/>
  <c r="H47" i="5861"/>
  <c r="H46" i="5861"/>
  <c r="H45" i="5861"/>
  <c r="H44" i="5861"/>
  <c r="H43" i="5861"/>
  <c r="H42" i="5861"/>
  <c r="H41" i="5861"/>
  <c r="H40" i="5861"/>
  <c r="H39" i="5861"/>
  <c r="H38" i="5861"/>
  <c r="H37" i="5861"/>
  <c r="H32" i="5861"/>
  <c r="H36" i="5861"/>
  <c r="H31" i="5861"/>
  <c r="H25" i="5861"/>
  <c r="H18" i="5861"/>
  <c r="H35" i="5861"/>
  <c r="H11" i="5861"/>
  <c r="H27" i="5861"/>
  <c r="C27" i="5861"/>
  <c r="H30" i="5861"/>
  <c r="H13" i="5861"/>
  <c r="H26" i="5861"/>
  <c r="B24" i="5861"/>
  <c r="H24" i="5861"/>
  <c r="H14" i="5861"/>
  <c r="H34" i="5861"/>
  <c r="H16" i="5861"/>
  <c r="C20" i="5861"/>
  <c r="H29" i="5861"/>
  <c r="H19" i="5861"/>
  <c r="H17" i="5861"/>
  <c r="B17" i="5861"/>
  <c r="B23" i="5861" s="1"/>
  <c r="H28" i="5861"/>
  <c r="C16" i="5861"/>
  <c r="H33" i="5861"/>
  <c r="C15" i="5861"/>
  <c r="H21" i="5861"/>
  <c r="C14" i="5861"/>
  <c r="H23" i="5861"/>
  <c r="C13" i="5861"/>
  <c r="O12" i="5861"/>
  <c r="H22" i="5861"/>
  <c r="C12" i="5861"/>
  <c r="O11" i="5861"/>
  <c r="H4" i="5861"/>
  <c r="C11" i="5861"/>
  <c r="O10" i="5861"/>
  <c r="H15" i="5861"/>
  <c r="C10" i="5861"/>
  <c r="H12" i="5861"/>
  <c r="C9" i="5861"/>
  <c r="H9" i="5861"/>
  <c r="C8" i="5861"/>
  <c r="O7" i="5861"/>
  <c r="H5" i="5861"/>
  <c r="C7" i="5861"/>
  <c r="O6" i="5861"/>
  <c r="H8" i="5861"/>
  <c r="B6" i="5861"/>
  <c r="O5" i="5861"/>
  <c r="H6" i="5861"/>
  <c r="B5" i="5861"/>
  <c r="O4" i="5861"/>
  <c r="H2" i="5861"/>
  <c r="O3" i="5861"/>
  <c r="H10" i="5861"/>
  <c r="O2" i="5861"/>
  <c r="H3" i="5861"/>
  <c r="O18" i="5860"/>
  <c r="O17" i="5860"/>
  <c r="O16" i="5860"/>
  <c r="O15" i="5860"/>
  <c r="H53" i="5860"/>
  <c r="H52" i="5860"/>
  <c r="H51" i="5860"/>
  <c r="H50" i="5860"/>
  <c r="H49" i="5860"/>
  <c r="H48" i="5860"/>
  <c r="H47" i="5860"/>
  <c r="H46" i="5860"/>
  <c r="H45" i="5860"/>
  <c r="H44" i="5860"/>
  <c r="H43" i="5860"/>
  <c r="H42" i="5860"/>
  <c r="H41" i="5860"/>
  <c r="H40" i="5860"/>
  <c r="H39" i="5860"/>
  <c r="H38" i="5860"/>
  <c r="H37" i="5860"/>
  <c r="H36" i="5860"/>
  <c r="H35" i="5860"/>
  <c r="H34" i="5860"/>
  <c r="H33" i="5860"/>
  <c r="H32" i="5860"/>
  <c r="H31" i="5860"/>
  <c r="H30" i="5860"/>
  <c r="H29" i="5860"/>
  <c r="H7" i="5860"/>
  <c r="H28" i="5860"/>
  <c r="C27" i="5860"/>
  <c r="H27" i="5860"/>
  <c r="H12" i="5860"/>
  <c r="H26" i="5860"/>
  <c r="B24" i="5860"/>
  <c r="H25" i="5860"/>
  <c r="H11" i="5860"/>
  <c r="H24" i="5860"/>
  <c r="H23" i="5860"/>
  <c r="C20" i="5860"/>
  <c r="H22" i="5860"/>
  <c r="H21" i="5860"/>
  <c r="H20" i="5860"/>
  <c r="B17" i="5860"/>
  <c r="C19" i="5860" s="1"/>
  <c r="H19" i="5860"/>
  <c r="C16" i="5860"/>
  <c r="H18" i="5860"/>
  <c r="C15" i="5860"/>
  <c r="H17" i="5860"/>
  <c r="C14" i="5860"/>
  <c r="H16" i="5860"/>
  <c r="C13" i="5860"/>
  <c r="O12" i="5860"/>
  <c r="H15" i="5860"/>
  <c r="C12" i="5860"/>
  <c r="O11" i="5860"/>
  <c r="H3" i="5860"/>
  <c r="C11" i="5860"/>
  <c r="O10" i="5860"/>
  <c r="H10" i="5860"/>
  <c r="C10" i="5860"/>
  <c r="H14" i="5860"/>
  <c r="C9" i="5860"/>
  <c r="H9" i="5860"/>
  <c r="C8" i="5860"/>
  <c r="O7" i="5860"/>
  <c r="H8" i="5860"/>
  <c r="C7" i="5860"/>
  <c r="O6" i="5860"/>
  <c r="H6" i="5860"/>
  <c r="B6" i="5860"/>
  <c r="O5" i="5860"/>
  <c r="H5" i="5860"/>
  <c r="B5" i="5860"/>
  <c r="O4" i="5860"/>
  <c r="H2" i="5860"/>
  <c r="O3" i="5860"/>
  <c r="H13" i="5860"/>
  <c r="O2" i="5860"/>
  <c r="H4" i="5860"/>
  <c r="O17" i="5859"/>
  <c r="O16" i="5859"/>
  <c r="O15" i="5859"/>
  <c r="H53" i="5859"/>
  <c r="H52" i="5859"/>
  <c r="H51" i="5859"/>
  <c r="H50" i="5859"/>
  <c r="H49" i="5859"/>
  <c r="H48" i="5859"/>
  <c r="H47" i="5859"/>
  <c r="H46" i="5859"/>
  <c r="H45" i="5859"/>
  <c r="H44" i="5859"/>
  <c r="H43" i="5859"/>
  <c r="H42" i="5859"/>
  <c r="H41" i="5859"/>
  <c r="H40" i="5859"/>
  <c r="H39" i="5859"/>
  <c r="H38" i="5859"/>
  <c r="H37" i="5859"/>
  <c r="H36" i="5859"/>
  <c r="H35" i="5859"/>
  <c r="H34" i="5859"/>
  <c r="H33" i="5859"/>
  <c r="H32" i="5859"/>
  <c r="H31" i="5859"/>
  <c r="H30" i="5859"/>
  <c r="H29" i="5859"/>
  <c r="H28" i="5859"/>
  <c r="H27" i="5859"/>
  <c r="C27" i="5859"/>
  <c r="H26" i="5859"/>
  <c r="H25" i="5859"/>
  <c r="H24" i="5859"/>
  <c r="B24" i="5859"/>
  <c r="H23" i="5859"/>
  <c r="H22" i="5859"/>
  <c r="H21" i="5859"/>
  <c r="H20" i="5859"/>
  <c r="C20" i="5859"/>
  <c r="H19" i="5859"/>
  <c r="H18" i="5859"/>
  <c r="H17" i="5859"/>
  <c r="B17" i="5859"/>
  <c r="C19" i="5859" s="1"/>
  <c r="H16" i="5859"/>
  <c r="C16" i="5859"/>
  <c r="H15" i="5859"/>
  <c r="C15" i="5859"/>
  <c r="H14" i="5859"/>
  <c r="C14" i="5859"/>
  <c r="H13" i="5859"/>
  <c r="C13" i="5859"/>
  <c r="O12" i="5859"/>
  <c r="H12" i="5859"/>
  <c r="C12" i="5859"/>
  <c r="O11" i="5859"/>
  <c r="H11" i="5859"/>
  <c r="C11" i="5859"/>
  <c r="O10" i="5859"/>
  <c r="H10" i="5859"/>
  <c r="C10" i="5859"/>
  <c r="H9" i="5859"/>
  <c r="C9" i="5859"/>
  <c r="H8" i="5859"/>
  <c r="C8" i="5859"/>
  <c r="O7" i="5859"/>
  <c r="H7" i="5859"/>
  <c r="C7" i="5859"/>
  <c r="O6" i="5859"/>
  <c r="H6" i="5859"/>
  <c r="B6" i="5859"/>
  <c r="O5" i="5859"/>
  <c r="H5" i="5859"/>
  <c r="B5" i="5859"/>
  <c r="O4" i="5859"/>
  <c r="H4" i="5859"/>
  <c r="O3" i="5859"/>
  <c r="H3" i="5859"/>
  <c r="O2" i="5859"/>
  <c r="H2" i="5859"/>
  <c r="O26" i="5858"/>
  <c r="O24" i="5858"/>
  <c r="O25" i="5858"/>
  <c r="O28" i="5858"/>
  <c r="O23" i="5858"/>
  <c r="O27" i="5858"/>
  <c r="O22" i="5858"/>
  <c r="O20" i="5858"/>
  <c r="O21" i="5858"/>
  <c r="O16" i="5858"/>
  <c r="O15" i="5858"/>
  <c r="H53" i="5858"/>
  <c r="H8" i="5858"/>
  <c r="H16" i="5858"/>
  <c r="H52" i="5858"/>
  <c r="H51" i="5858"/>
  <c r="H50" i="5858"/>
  <c r="H49" i="5858"/>
  <c r="H48" i="5858"/>
  <c r="H33" i="5858"/>
  <c r="H47" i="5858"/>
  <c r="H46" i="5858"/>
  <c r="H45" i="5858"/>
  <c r="H44" i="5858"/>
  <c r="H43" i="5858"/>
  <c r="H42" i="5858"/>
  <c r="H41" i="5858"/>
  <c r="H40" i="5858"/>
  <c r="H39" i="5858"/>
  <c r="H38" i="5858"/>
  <c r="H32" i="5858"/>
  <c r="H37" i="5858"/>
  <c r="H31" i="5858"/>
  <c r="H23" i="5858"/>
  <c r="H19" i="5858"/>
  <c r="H26" i="5858"/>
  <c r="H9" i="5858"/>
  <c r="H30" i="5858"/>
  <c r="C27" i="5858"/>
  <c r="H29" i="5858"/>
  <c r="H13" i="5858"/>
  <c r="H22" i="5858"/>
  <c r="B24" i="5858"/>
  <c r="H27" i="5858"/>
  <c r="H15" i="5858"/>
  <c r="H36" i="5858"/>
  <c r="H18" i="5858"/>
  <c r="C20" i="5858"/>
  <c r="H35" i="5858"/>
  <c r="H20" i="5858"/>
  <c r="H17" i="5858"/>
  <c r="B17" i="5858"/>
  <c r="C19" i="5858" s="1"/>
  <c r="H21" i="5858"/>
  <c r="C16" i="5858"/>
  <c r="H34" i="5858"/>
  <c r="C15" i="5858"/>
  <c r="H25" i="5858"/>
  <c r="C14" i="5858"/>
  <c r="H28" i="5858"/>
  <c r="C13" i="5858"/>
  <c r="O12" i="5858"/>
  <c r="H24" i="5858"/>
  <c r="C12" i="5858"/>
  <c r="O11" i="5858"/>
  <c r="H3" i="5858"/>
  <c r="C11" i="5858"/>
  <c r="O10" i="5858"/>
  <c r="H14" i="5858"/>
  <c r="C10" i="5858"/>
  <c r="H12" i="5858"/>
  <c r="C9" i="5858"/>
  <c r="H10" i="5858"/>
  <c r="C8" i="5858"/>
  <c r="O7" i="5858"/>
  <c r="H7" i="5858"/>
  <c r="C7" i="5858"/>
  <c r="O6" i="5858"/>
  <c r="H5" i="5858"/>
  <c r="B6" i="5858"/>
  <c r="O5" i="5858"/>
  <c r="H6" i="5858"/>
  <c r="B5" i="5858"/>
  <c r="O4" i="5858"/>
  <c r="H2" i="5858"/>
  <c r="O3" i="5858"/>
  <c r="H11" i="5858"/>
  <c r="O2" i="5858"/>
  <c r="H4" i="5858"/>
  <c r="O30" i="5857"/>
  <c r="O29" i="5857"/>
  <c r="O27" i="5857"/>
  <c r="O24" i="5857"/>
  <c r="O28" i="5857"/>
  <c r="O25" i="5857"/>
  <c r="O22" i="5857"/>
  <c r="O21" i="5857"/>
  <c r="O20" i="5857"/>
  <c r="O23" i="5857"/>
  <c r="O19" i="5857"/>
  <c r="O17" i="5857"/>
  <c r="O15" i="5857"/>
  <c r="H53" i="5857"/>
  <c r="H8" i="5857"/>
  <c r="H20" i="5857"/>
  <c r="H52" i="5857"/>
  <c r="H51" i="5857"/>
  <c r="H50" i="5857"/>
  <c r="H49" i="5857"/>
  <c r="H48" i="5857"/>
  <c r="H34" i="5857"/>
  <c r="H47" i="5857"/>
  <c r="H46" i="5857"/>
  <c r="H45" i="5857"/>
  <c r="H44" i="5857"/>
  <c r="H33" i="5857"/>
  <c r="H43" i="5857"/>
  <c r="H42" i="5857"/>
  <c r="H41" i="5857"/>
  <c r="H36" i="5857"/>
  <c r="H40" i="5857"/>
  <c r="H32" i="5857"/>
  <c r="H39" i="5857"/>
  <c r="H27" i="5857"/>
  <c r="H25" i="5857"/>
  <c r="H18" i="5857"/>
  <c r="H30" i="5857"/>
  <c r="H10" i="5857"/>
  <c r="H31" i="5857"/>
  <c r="C27" i="5857"/>
  <c r="H29" i="5857"/>
  <c r="H14" i="5857"/>
  <c r="H24" i="5857"/>
  <c r="B24" i="5857"/>
  <c r="H28" i="5857"/>
  <c r="H15" i="5857"/>
  <c r="H38" i="5857"/>
  <c r="H17" i="5857"/>
  <c r="C20" i="5857"/>
  <c r="H35" i="5857"/>
  <c r="H19" i="5857"/>
  <c r="C18" i="5857"/>
  <c r="H16" i="5857"/>
  <c r="B17" i="5857"/>
  <c r="C19" i="5857" s="1"/>
  <c r="H21" i="5857"/>
  <c r="C16" i="5857"/>
  <c r="H37" i="5857"/>
  <c r="C15" i="5857"/>
  <c r="H23" i="5857"/>
  <c r="C14" i="5857"/>
  <c r="H26" i="5857"/>
  <c r="C13" i="5857"/>
  <c r="O12" i="5857"/>
  <c r="H22" i="5857"/>
  <c r="C12" i="5857"/>
  <c r="O11" i="5857"/>
  <c r="H3" i="5857"/>
  <c r="C11" i="5857"/>
  <c r="O10" i="5857"/>
  <c r="H13" i="5857"/>
  <c r="C10" i="5857"/>
  <c r="H12" i="5857"/>
  <c r="C9" i="5857"/>
  <c r="H9" i="5857"/>
  <c r="C8" i="5857"/>
  <c r="O7" i="5857"/>
  <c r="H5" i="5857"/>
  <c r="C7" i="5857"/>
  <c r="O6" i="5857"/>
  <c r="H7" i="5857"/>
  <c r="B6" i="5857"/>
  <c r="O5" i="5857"/>
  <c r="H6" i="5857"/>
  <c r="B5" i="5857"/>
  <c r="O4" i="5857"/>
  <c r="H2" i="5857"/>
  <c r="O3" i="5857"/>
  <c r="H11" i="5857"/>
  <c r="O2" i="5857"/>
  <c r="H4" i="5857"/>
  <c r="B23" i="5870" l="1"/>
  <c r="C17" i="5870"/>
  <c r="C18" i="5870"/>
  <c r="C17" i="5869"/>
  <c r="C19" i="5869"/>
  <c r="C18" i="5869"/>
  <c r="C17" i="5868"/>
  <c r="C19" i="5868"/>
  <c r="C18" i="5868"/>
  <c r="C17" i="5867"/>
  <c r="B23" i="5867"/>
  <c r="C18" i="5867"/>
  <c r="C19" i="5866"/>
  <c r="C17" i="5866"/>
  <c r="C18" i="5866"/>
  <c r="C17" i="5865"/>
  <c r="B23" i="5865"/>
  <c r="C18" i="5865"/>
  <c r="C18" i="5864"/>
  <c r="C17" i="5864"/>
  <c r="C19" i="5864"/>
  <c r="C17" i="5863"/>
  <c r="C19" i="5863"/>
  <c r="C18" i="5863"/>
  <c r="C17" i="5862"/>
  <c r="C19" i="5862"/>
  <c r="C18" i="5862"/>
  <c r="C17" i="5861"/>
  <c r="C19" i="5861"/>
  <c r="C18" i="5861"/>
  <c r="C17" i="5860"/>
  <c r="B23" i="5860"/>
  <c r="C18" i="5860"/>
  <c r="C17" i="5859"/>
  <c r="B23" i="5859"/>
  <c r="C18" i="5859"/>
  <c r="C17" i="5858"/>
  <c r="B23" i="5858"/>
  <c r="C18" i="5858"/>
  <c r="C17" i="5857"/>
  <c r="B23" i="5857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7" i="2228"/>
  <c r="B24" i="2228"/>
  <c r="C20" i="2228"/>
  <c r="C19" i="2228"/>
  <c r="B17" i="2228"/>
  <c r="C18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B23" i="2228" l="1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<sst xmlns="http://schemas.openxmlformats.org/spreadsheetml/2006/main" count="3580" uniqueCount="189">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</sst>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全体!$K$2:$K$2192</c:f>
              <c:numCache>
                <c:formatCode>General</c:formatCode>
                <c:ptCount val="2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</c:numCache>
            </c:numRef>
          </c:xVal>
          <c:yVal>
            <c:numRef>
              <c:f>全体!$L$2:$L$2192</c:f>
              <c:numCache>
                <c:formatCode>\+0.0;\-0.0;\±0</c:formatCode>
                <c:ptCount val="219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8-466F-9529-B5AF46224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-17.955801104972377</c:v>
                </c:pt>
                <c:pt idx="1">
                  <c:v>-2.8490028490028489</c:v>
                </c:pt>
                <c:pt idx="2">
                  <c:v>7.049345417925478</c:v>
                </c:pt>
                <c:pt idx="3">
                  <c:v>5.5096418732782366</c:v>
                </c:pt>
                <c:pt idx="4">
                  <c:v>1.2345679012345678</c:v>
                </c:pt>
                <c:pt idx="5">
                  <c:v>8.0763582966226135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1-49EB-9B7D-AAB2C84F4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だいち!$K$2:$K$533</c:f>
              <c:numCache>
                <c:formatCode>General</c:formatCode>
                <c:ptCount val="5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</c:numCache>
            </c:numRef>
          </c:xVal>
          <c:yVal>
            <c:numRef>
              <c:f>だいち!$L$2:$L$533</c:f>
              <c:numCache>
                <c:formatCode>\+0.0;\-0.0;\±0</c:formatCode>
                <c:ptCount val="53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03-4E69-AC95-9FA6B6405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1295.2380952380952</c:v>
                </c:pt>
                <c:pt idx="1">
                  <c:v>1058.8582677165355</c:v>
                </c:pt>
                <c:pt idx="2">
                  <c:v>1181.5734989648033</c:v>
                </c:pt>
                <c:pt idx="3">
                  <c:v>2021.461187214612</c:v>
                </c:pt>
                <c:pt idx="4">
                  <c:v>1750.2564102564102</c:v>
                </c:pt>
                <c:pt idx="5">
                  <c:v>1823.4567901234568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F-491C-9E0E-A9336D948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52-4B4D-95F3-7640BA9F7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2-42FB-A235-8E08691CE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ED-42C3-974C-29BA19704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C-4509-A655-446A10037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りくと!$L$2:$L$338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8-4966-8F87-B05039A94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-84.38438438438439</c:v>
                </c:pt>
                <c:pt idx="1">
                  <c:v>-1421.9135802469136</c:v>
                </c:pt>
                <c:pt idx="2">
                  <c:v>487.45980707395501</c:v>
                </c:pt>
                <c:pt idx="3">
                  <c:v>-740.21352313167256</c:v>
                </c:pt>
                <c:pt idx="4">
                  <c:v>-1028.2258064516129</c:v>
                </c:pt>
                <c:pt idx="5">
                  <c:v>-902.83018867924534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F-4BC8-905A-56840ABBF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4-4FFA-9B2B-AE14763E6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8-4398-A715-4B9127AEF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0-4168-A8B2-F5BEEB5D0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D-4848-AA90-740E48191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たかの!$K$2:$K$216</c:f>
              <c:numCache>
                <c:formatCode>General</c:formatCode>
                <c:ptCount val="2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</c:numCache>
            </c:numRef>
          </c:xVal>
          <c:yVal>
            <c:numRef>
              <c:f>たかの!$L$2:$L$216</c:f>
              <c:numCache>
                <c:formatCode>\+0.0;\-0.0;\±0</c:formatCode>
                <c:ptCount val="21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6-455A-B50B-1E9A2D2C9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-364.01869158878503</c:v>
                </c:pt>
                <c:pt idx="1">
                  <c:v>-1713.4615384615386</c:v>
                </c:pt>
                <c:pt idx="2">
                  <c:v>-800.52910052910056</c:v>
                </c:pt>
                <c:pt idx="3">
                  <c:v>240.33149171270719</c:v>
                </c:pt>
                <c:pt idx="4">
                  <c:v>-862.80487804878044</c:v>
                </c:pt>
                <c:pt idx="5">
                  <c:v>-1012.4087591240876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D-499D-BBE5-2D733F42D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ただ!$K$2:$K$353</c:f>
              <c:numCache>
                <c:formatCode>General</c:formatCode>
                <c:ptCount val="3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</c:numCache>
            </c:numRef>
          </c:xVal>
          <c:yVal>
            <c:numRef>
              <c:f>ただ!$L$2:$L$353</c:f>
              <c:numCache>
                <c:formatCode>\+0.0;\-0.0;\±0</c:formatCode>
                <c:ptCount val="3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6-4445-A360-B45AA30B0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-553.60230547550429</c:v>
                </c:pt>
                <c:pt idx="1">
                  <c:v>-472.75449101796409</c:v>
                </c:pt>
                <c:pt idx="2">
                  <c:v>835.33123028391162</c:v>
                </c:pt>
                <c:pt idx="3">
                  <c:v>-1206.5068493150684</c:v>
                </c:pt>
                <c:pt idx="4">
                  <c:v>152.4904214559387</c:v>
                </c:pt>
                <c:pt idx="5">
                  <c:v>-301.34529147982062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F-4A97-BD86-C55C05F43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A-41E1-BF65-D652E2680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3-4D8E-8FEE-794151B89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れんたろう!$L$2:$L$271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DB-453A-84CA-EA1B4088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-61.886792452830186</c:v>
                </c:pt>
                <c:pt idx="1">
                  <c:v>237.2093023255814</c:v>
                </c:pt>
                <c:pt idx="2">
                  <c:v>561.57024793388427</c:v>
                </c:pt>
                <c:pt idx="3">
                  <c:v>361.29032258064518</c:v>
                </c:pt>
                <c:pt idx="4">
                  <c:v>-2349.2385786802029</c:v>
                </c:pt>
                <c:pt idx="5">
                  <c:v>-113.77245508982035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05-45BA-9328-16BC83686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E-4FCE-9177-5E826587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A-42B8-AD92-964B1511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1-4200-930E-72AEA3DA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1-4128-962E-4EE33AA48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6-4DDF-8C00-BD0FB47A3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2-41CF-A516-11F30FFE2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C-47F9-B3BF-AC80BEF35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30-4EFC-A0FB-AC90B7230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4-4AEA-BD4E-15F9BD9BF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4-4DA0-8C29-D2918448F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F-4D2D-85CF-F6B7E07B6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2DA-8090-6E575985B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FF-4074-9790-9A740054C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35-4236-A6C0-3EEB26F18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64CDFC-DEB1-4870-941B-0323CFBD4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F69E3C-1410-4867-9FA6-20134ABA7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C22998-7959-4923-AA96-0DD26871B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C7B037-EB07-4CE4-A769-3B39D6C08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6D5324-6CAC-4882-B7AE-7B22481D4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DAF88-E6A8-4311-B963-6E0FB2FB36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7683BB-1234-4D8F-B0B4-6C81EBCFEA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18D7C3-DE2B-40D2-8556-62E2E471A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F4E2D7-7090-407C-B625-255A1572F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47C11D-E1DE-4C04-AEC8-B4BCAF6F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B83CB9-CD26-47D4-AE8A-E20DF3B6F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94F8A6-7529-4A2E-AC76-05907F12D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706F94-1E65-4B82-BE46-C17F706B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DC34A6-7284-46F9-A89E-6CAAE6C23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806349-7AF5-4739-BB7A-794CEC470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2CE876-69B1-4EEB-99CC-C294B7F81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93665F-BBC5-4A29-9E17-A563CD13E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4471CC-9C86-4115-A9D8-51A03073A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95E820-656B-42FF-9093-FBB5ABF90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4903A3-DFA9-4D21-B190-2B26D622F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03315B-7CF4-49A7-9673-925D0248E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18332F-4DAA-44E8-AFCC-5BFE5A22D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B77137-A6FF-4663-B29F-067A9120C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95B8CC-3587-46F9-AF66-FBC8DD6B4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275861-5229-444E-B48D-8DA598035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14C9E1-AD22-46ED-BFEB-15D4402AF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F3A9D1-88B0-4E97-8DE3-1DD08CC40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92140E-05CC-40A0-B9FB-0A78E761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7E31A6-3B25-4609-A80E-96EEEBD60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7AD2B9-D2D0-48D0-BA2F-A70E80B7C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8D8E05-B6A3-4140-A867-03B96AA16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B0733C-F74C-47B1-9AB4-E5D369035E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C2DA58-94C4-41BA-9855-A061B0B7EE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C8B7FF-CDCE-4F2B-9EAA-CB59451AD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800358-5860-4162-8497-4DC1C6317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9FD53C-5A7D-4DA8-9B59-3948EBC3E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25"/>
      <c r="C1" s="12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5">
        <v>0</v>
      </c>
      <c r="C2" s="116"/>
      <c r="E2" s="41" t="s">
        <v>65</v>
      </c>
      <c r="F2" s="10" t="s">
        <v>21</v>
      </c>
      <c r="G2" s="7">
        <v>0</v>
      </c>
      <c r="H2" s="105">
        <f>IF(B$29=0,0,G2/B$29)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27">
        <v>0</v>
      </c>
      <c r="C3" s="128"/>
      <c r="E3" s="42" t="s">
        <v>66</v>
      </c>
      <c r="F3" s="11" t="s">
        <v>22</v>
      </c>
      <c r="G3" s="8">
        <v>0</v>
      </c>
      <c r="H3" s="106">
        <f t="shared" ref="H3:H53" si="0">IF(B$29=0,0,G3/B$29)</f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9">
        <v>0</v>
      </c>
      <c r="C4" s="130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31">
        <f>IF(B$2=0,0,B$4/B$2)</f>
        <v>0</v>
      </c>
      <c r="C5" s="132"/>
      <c r="E5" s="42" t="s">
        <v>68</v>
      </c>
      <c r="F5" s="11" t="s">
        <v>24</v>
      </c>
      <c r="G5" s="8">
        <v>0</v>
      </c>
      <c r="H5" s="106">
        <f>IF(B$29=0,0,G5/B$29)</f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23">
        <f>IF(B$2=0,0,(B$7*1+B$8*2+B$9*3)/B$2)</f>
        <v>0</v>
      </c>
      <c r="C6" s="124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6" t="s">
        <v>14</v>
      </c>
      <c r="B24" s="31">
        <f>IF(B$20=0,0,C24/B$20)</f>
        <v>0</v>
      </c>
      <c r="C24" s="24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63" t="s">
        <v>139</v>
      </c>
      <c r="B25" s="121">
        <v>0</v>
      </c>
      <c r="C25" s="122"/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7" t="s">
        <v>146</v>
      </c>
      <c r="B26" s="119">
        <v>0</v>
      </c>
      <c r="C26" s="120"/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3" t="s">
        <v>179</v>
      </c>
      <c r="B28" s="115">
        <v>0</v>
      </c>
      <c r="C28" s="116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180</v>
      </c>
      <c r="B29" s="117">
        <v>0</v>
      </c>
      <c r="C29" s="118"/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si="0"/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0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0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0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0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0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0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0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0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0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0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0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0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0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0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0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0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0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0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0"/>
        <v>0</v>
      </c>
      <c r="I53" s="68"/>
    </row>
  </sheetData>
  <mergeCells count="10">
    <mergeCell ref="B1:C1"/>
    <mergeCell ref="B2:C2"/>
    <mergeCell ref="B3:C3"/>
    <mergeCell ref="B4:C4"/>
    <mergeCell ref="B5:C5"/>
    <mergeCell ref="B28:C28"/>
    <mergeCell ref="B29:C29"/>
    <mergeCell ref="B26:C26"/>
    <mergeCell ref="B25:C2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142</v>
      </c>
      <c r="B1">
        <v>2190</v>
      </c>
    </row>
    <row r="2" spans="1:2" x14ac:dyDescent="0.4">
      <c r="A2" t="s">
        <v>127</v>
      </c>
      <c r="B2">
        <v>531</v>
      </c>
    </row>
    <row r="3" spans="1:2" x14ac:dyDescent="0.4">
      <c r="A3" t="s">
        <v>181</v>
      </c>
      <c r="B3">
        <v>4</v>
      </c>
    </row>
    <row r="4" spans="1:2" x14ac:dyDescent="0.4">
      <c r="A4" t="s">
        <v>183</v>
      </c>
      <c r="B4">
        <v>4</v>
      </c>
    </row>
    <row r="5" spans="1:2" x14ac:dyDescent="0.4">
      <c r="A5" t="s">
        <v>173</v>
      </c>
      <c r="B5">
        <v>336</v>
      </c>
    </row>
    <row r="6" spans="1:2" x14ac:dyDescent="0.4">
      <c r="A6" t="s">
        <v>185</v>
      </c>
      <c r="B6">
        <v>89</v>
      </c>
    </row>
    <row r="7" spans="1:2" x14ac:dyDescent="0.4">
      <c r="A7" t="s">
        <v>182</v>
      </c>
      <c r="B7">
        <v>5</v>
      </c>
    </row>
    <row r="8" spans="1:2" x14ac:dyDescent="0.4">
      <c r="A8" t="s">
        <v>162</v>
      </c>
      <c r="B8">
        <v>214</v>
      </c>
    </row>
    <row r="9" spans="1:2" x14ac:dyDescent="0.4">
      <c r="A9" t="s">
        <v>128</v>
      </c>
      <c r="B9">
        <v>351</v>
      </c>
    </row>
    <row r="10" spans="1:2" x14ac:dyDescent="0.4">
      <c r="A10" t="s">
        <v>184</v>
      </c>
      <c r="B10">
        <v>39</v>
      </c>
    </row>
    <row r="11" spans="1:2" x14ac:dyDescent="0.4">
      <c r="A11" t="s">
        <v>171</v>
      </c>
      <c r="B11">
        <v>269</v>
      </c>
    </row>
    <row r="12" spans="1:2" x14ac:dyDescent="0.4">
      <c r="A12" t="s">
        <v>186</v>
      </c>
      <c r="B12">
        <v>9</v>
      </c>
    </row>
    <row r="13" spans="1:2" x14ac:dyDescent="0.4">
      <c r="A13" t="s">
        <v>172</v>
      </c>
      <c r="B13">
        <v>193</v>
      </c>
    </row>
    <row r="14" spans="1:2" x14ac:dyDescent="0.4">
      <c r="A14" t="s">
        <v>174</v>
      </c>
      <c r="B14">
        <v>84</v>
      </c>
    </row>
    <row r="15" spans="1:2" x14ac:dyDescent="0.4">
      <c r="A15" t="s">
        <v>176</v>
      </c>
      <c r="B15">
        <v>28</v>
      </c>
    </row>
    <row r="16" spans="1:2" x14ac:dyDescent="0.4">
      <c r="A16" t="s">
        <v>188</v>
      </c>
      <c r="B16">
        <v>1</v>
      </c>
    </row>
    <row r="17" spans="1:2" x14ac:dyDescent="0.4">
      <c r="A17" t="s">
        <v>175</v>
      </c>
      <c r="B17">
        <v>29</v>
      </c>
    </row>
    <row r="18" spans="1:2" x14ac:dyDescent="0.4">
      <c r="A18" t="s">
        <v>187</v>
      </c>
      <c r="B18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5" t="s">
        <v>155</v>
      </c>
      <c r="B2" s="135"/>
      <c r="C2" s="136"/>
      <c r="D2" s="135"/>
      <c r="E2" s="136"/>
      <c r="F2" s="137">
        <v>0.97205501008620421</v>
      </c>
      <c r="G2" s="138"/>
      <c r="H2" s="137">
        <v>0.97198088338481758</v>
      </c>
      <c r="I2" s="138"/>
      <c r="J2" s="137">
        <v>0.94632885395098487</v>
      </c>
      <c r="K2" s="138"/>
      <c r="L2" s="137">
        <v>0.84194830521372732</v>
      </c>
      <c r="M2" s="138"/>
      <c r="N2" s="137">
        <v>0.91376149900882275</v>
      </c>
      <c r="O2" s="138"/>
      <c r="P2" s="137">
        <v>0.60523506424977269</v>
      </c>
      <c r="Q2" s="138"/>
      <c r="R2" s="137">
        <v>-0.27768010239625746</v>
      </c>
      <c r="S2" s="138"/>
      <c r="T2" s="137">
        <v>0.48477055025777771</v>
      </c>
      <c r="U2" s="138"/>
      <c r="V2" s="137">
        <v>0.79530665210327955</v>
      </c>
      <c r="W2" s="138"/>
      <c r="X2" s="137">
        <v>0.72542984663963472</v>
      </c>
      <c r="Y2" s="138"/>
      <c r="Z2" s="137">
        <v>3.2665060532848221E-3</v>
      </c>
      <c r="AA2" s="138"/>
      <c r="AB2" s="137">
        <v>0.15546340450623641</v>
      </c>
      <c r="AC2" s="138"/>
      <c r="AD2" s="137">
        <v>0.7073796743900993</v>
      </c>
      <c r="AE2" s="138"/>
      <c r="AF2" s="137">
        <v>-6.5682193695755328E-2</v>
      </c>
      <c r="AG2" s="138"/>
      <c r="AH2" s="137">
        <v>0.78838696477553971</v>
      </c>
      <c r="AI2" s="138"/>
    </row>
    <row r="3" spans="1:35" x14ac:dyDescent="0.4">
      <c r="A3" s="47">
        <v>1</v>
      </c>
      <c r="B3" s="48" t="s">
        <v>127</v>
      </c>
      <c r="C3" s="49">
        <v>5220.5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127</v>
      </c>
      <c r="M3" s="53">
        <v>0.34790919952210275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-7451.0204081632655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1.7457627118644068</v>
      </c>
      <c r="H4" s="58" t="s">
        <v>127</v>
      </c>
      <c r="I4" s="60">
        <v>0.47080979284369112</v>
      </c>
      <c r="J4" s="58" t="s">
        <v>127</v>
      </c>
      <c r="K4" s="60">
        <v>0.21657250470809794</v>
      </c>
      <c r="L4" s="58" t="s">
        <v>186</v>
      </c>
      <c r="M4" s="61">
        <v>0.34782608695652173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0.50311332503113326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9.8314500941619585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0.14384707287933093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8.6629001883239173E-2</v>
      </c>
      <c r="V5" s="58" t="s">
        <v>184</v>
      </c>
      <c r="W5" s="60">
        <v>0.17948717948717949</v>
      </c>
      <c r="X5" s="58" t="s">
        <v>127</v>
      </c>
      <c r="Y5" s="61">
        <v>0.29659426119603111</v>
      </c>
      <c r="Z5" s="58" t="s">
        <v>162</v>
      </c>
      <c r="AA5" s="61">
        <v>0.27728426395939088</v>
      </c>
      <c r="AB5" s="58" t="s">
        <v>127</v>
      </c>
      <c r="AC5" s="61">
        <v>0.6184448462929476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172</v>
      </c>
      <c r="O6" s="61">
        <v>0.15525982256020279</v>
      </c>
      <c r="P6" s="58" t="s">
        <v>171</v>
      </c>
      <c r="Q6" s="62">
        <v>10358.456486042693</v>
      </c>
      <c r="R6" s="58" t="s">
        <v>175</v>
      </c>
      <c r="S6" s="62">
        <v>-8360</v>
      </c>
      <c r="T6" s="58" t="s">
        <v>162</v>
      </c>
      <c r="U6" s="60">
        <v>0.10280373831775701</v>
      </c>
      <c r="V6" s="58" t="s">
        <v>127</v>
      </c>
      <c r="W6" s="60">
        <v>0.17137476459510359</v>
      </c>
      <c r="X6" s="58" t="s">
        <v>173</v>
      </c>
      <c r="Y6" s="61">
        <v>0.29224489795918368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0.41075794621026895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-7.9999999999999059</v>
      </c>
      <c r="D7" s="58" t="s">
        <v>142</v>
      </c>
      <c r="E7" s="70">
        <v>-3.6529680365296373E-3</v>
      </c>
      <c r="F7" s="58" t="s">
        <v>142</v>
      </c>
      <c r="G7" s="59">
        <v>2</v>
      </c>
      <c r="H7" s="58" t="s">
        <v>128</v>
      </c>
      <c r="I7" s="60">
        <v>0.33903133903133903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187</v>
      </c>
      <c r="O7" s="61">
        <v>0.15625</v>
      </c>
      <c r="P7" s="58" t="s">
        <v>173</v>
      </c>
      <c r="Q7" s="62">
        <v>9502.4489795918362</v>
      </c>
      <c r="R7" s="58" t="s">
        <v>186</v>
      </c>
      <c r="S7" s="62">
        <v>-8400</v>
      </c>
      <c r="T7" s="58" t="s">
        <v>186</v>
      </c>
      <c r="U7" s="60">
        <v>0.1111111111111111</v>
      </c>
      <c r="V7" s="58" t="s">
        <v>171</v>
      </c>
      <c r="W7" s="60">
        <v>0.15241635687732341</v>
      </c>
      <c r="X7" s="58" t="s">
        <v>171</v>
      </c>
      <c r="Y7" s="61">
        <v>0.29160739687055476</v>
      </c>
      <c r="Z7" s="58" t="s">
        <v>184</v>
      </c>
      <c r="AA7" s="61">
        <v>0.24358974358974358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0.30353075170842825</v>
      </c>
      <c r="N8" s="58" t="s">
        <v>162</v>
      </c>
      <c r="O8" s="61">
        <v>0.1662870159453303</v>
      </c>
      <c r="P8" s="58" t="s">
        <v>127</v>
      </c>
      <c r="Q8" s="62">
        <v>9430.9065934065929</v>
      </c>
      <c r="R8" s="58" t="s">
        <v>173</v>
      </c>
      <c r="S8" s="62">
        <v>-8433.3988212180739</v>
      </c>
      <c r="T8" s="58" t="s">
        <v>142</v>
      </c>
      <c r="U8" s="60">
        <v>0.13059360730593608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175</v>
      </c>
      <c r="AA8" s="61">
        <v>0.24050632911392406</v>
      </c>
      <c r="AB8" s="58" t="s">
        <v>173</v>
      </c>
      <c r="AC8" s="61">
        <v>0.58240223463687146</v>
      </c>
      <c r="AD8" s="58" t="s">
        <v>142</v>
      </c>
      <c r="AE8" s="61">
        <v>0.40190850406960427</v>
      </c>
      <c r="AF8" s="58" t="s">
        <v>173</v>
      </c>
      <c r="AG8" s="61">
        <v>0.44217687074829931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0.29842783358873942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128</v>
      </c>
      <c r="S9" s="62">
        <v>-8500.4032258064508</v>
      </c>
      <c r="T9" s="58" t="s">
        <v>128</v>
      </c>
      <c r="U9" s="60">
        <v>0.13105413105413105</v>
      </c>
      <c r="V9" s="58" t="s">
        <v>128</v>
      </c>
      <c r="W9" s="60">
        <v>0.13675213675213677</v>
      </c>
      <c r="X9" s="58" t="s">
        <v>142</v>
      </c>
      <c r="Y9" s="61">
        <v>0.26914768869962352</v>
      </c>
      <c r="Z9" s="58" t="s">
        <v>172</v>
      </c>
      <c r="AA9" s="61">
        <v>0.23891001267427123</v>
      </c>
      <c r="AB9" s="58" t="s">
        <v>174</v>
      </c>
      <c r="AC9" s="61">
        <v>0.58125000000000004</v>
      </c>
      <c r="AD9" s="58" t="s">
        <v>176</v>
      </c>
      <c r="AE9" s="61">
        <v>0.39285714285714285</v>
      </c>
      <c r="AF9" s="58" t="s">
        <v>185</v>
      </c>
      <c r="AG9" s="61">
        <v>0.44131455399061031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-1.2490706319702598</v>
      </c>
      <c r="F10" s="58" t="s">
        <v>128</v>
      </c>
      <c r="G10" s="59">
        <v>2.0113960113960112</v>
      </c>
      <c r="H10" s="58" t="s">
        <v>171</v>
      </c>
      <c r="I10" s="60">
        <v>0.28624535315985128</v>
      </c>
      <c r="J10" s="58" t="s">
        <v>128</v>
      </c>
      <c r="K10" s="60">
        <v>0.3504273504273504</v>
      </c>
      <c r="L10" s="58" t="s">
        <v>128</v>
      </c>
      <c r="M10" s="61">
        <v>0.29035639412997905</v>
      </c>
      <c r="N10" s="58" t="s">
        <v>184</v>
      </c>
      <c r="O10" s="61">
        <v>0.16772151898734178</v>
      </c>
      <c r="P10" s="58" t="s">
        <v>142</v>
      </c>
      <c r="Q10" s="62">
        <v>9144.9030049448465</v>
      </c>
      <c r="R10" s="58" t="s">
        <v>142</v>
      </c>
      <c r="S10" s="62">
        <v>-8542.2379032258068</v>
      </c>
      <c r="T10" s="58" t="s">
        <v>171</v>
      </c>
      <c r="U10" s="60">
        <v>0.1449814126394052</v>
      </c>
      <c r="V10" s="58" t="s">
        <v>142</v>
      </c>
      <c r="W10" s="60">
        <v>0.13059360730593608</v>
      </c>
      <c r="X10" s="58" t="s">
        <v>128</v>
      </c>
      <c r="Y10" s="61">
        <v>0.25913742690058478</v>
      </c>
      <c r="Z10" s="58" t="s">
        <v>128</v>
      </c>
      <c r="AA10" s="61">
        <v>0.22404970760233919</v>
      </c>
      <c r="AB10" s="58" t="s">
        <v>142</v>
      </c>
      <c r="AC10" s="61">
        <v>0.57693189635404729</v>
      </c>
      <c r="AD10" s="58" t="s">
        <v>162</v>
      </c>
      <c r="AE10" s="61">
        <v>0.39130434782608697</v>
      </c>
      <c r="AF10" s="58" t="s">
        <v>162</v>
      </c>
      <c r="AG10" s="61">
        <v>0.43339587242026267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-2.2259259259259272</v>
      </c>
      <c r="F11" s="58" t="s">
        <v>184</v>
      </c>
      <c r="G11" s="59">
        <v>2.0256410256410255</v>
      </c>
      <c r="H11" s="58" t="s">
        <v>172</v>
      </c>
      <c r="I11" s="60">
        <v>0.28497409326424872</v>
      </c>
      <c r="J11" s="58" t="s">
        <v>171</v>
      </c>
      <c r="K11" s="60">
        <v>0.36802973977695169</v>
      </c>
      <c r="L11" s="58" t="s">
        <v>171</v>
      </c>
      <c r="M11" s="61">
        <v>0.28378378378378377</v>
      </c>
      <c r="N11" s="58" t="s">
        <v>142</v>
      </c>
      <c r="O11" s="61">
        <v>0.1689085646177422</v>
      </c>
      <c r="P11" s="58" t="s">
        <v>128</v>
      </c>
      <c r="Q11" s="62">
        <v>8973.5258724428404</v>
      </c>
      <c r="R11" s="58" t="s">
        <v>127</v>
      </c>
      <c r="S11" s="62">
        <v>-8589.2026578073092</v>
      </c>
      <c r="T11" s="58" t="s">
        <v>172</v>
      </c>
      <c r="U11" s="60">
        <v>0.15025906735751296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0.21989754983645005</v>
      </c>
      <c r="AB11" s="58" t="s">
        <v>172</v>
      </c>
      <c r="AC11" s="61">
        <v>0.57640750670241292</v>
      </c>
      <c r="AD11" s="58" t="s">
        <v>128</v>
      </c>
      <c r="AE11" s="61">
        <v>0.37357259380097879</v>
      </c>
      <c r="AF11" s="58" t="s">
        <v>175</v>
      </c>
      <c r="AG11" s="61">
        <v>0.43137254901960786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-2.4036269430051811</v>
      </c>
      <c r="F12" s="58" t="s">
        <v>171</v>
      </c>
      <c r="G12" s="59">
        <v>2.0817843866171004</v>
      </c>
      <c r="H12" s="58" t="s">
        <v>174</v>
      </c>
      <c r="I12" s="60">
        <v>0.27380952380952384</v>
      </c>
      <c r="J12" s="58" t="s">
        <v>162</v>
      </c>
      <c r="K12" s="60">
        <v>0.36915887850467288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162</v>
      </c>
      <c r="S12" s="62">
        <v>-8597.6027397260277</v>
      </c>
      <c r="T12" s="58" t="s">
        <v>173</v>
      </c>
      <c r="U12" s="60">
        <v>0.15178571428571427</v>
      </c>
      <c r="V12" s="58" t="s">
        <v>173</v>
      </c>
      <c r="W12" s="60">
        <v>0.10416666666666667</v>
      </c>
      <c r="X12" s="58" t="s">
        <v>176</v>
      </c>
      <c r="Y12" s="61">
        <v>0.24901185770750989</v>
      </c>
      <c r="Z12" s="58" t="s">
        <v>127</v>
      </c>
      <c r="AA12" s="61">
        <v>0.21533923303834809</v>
      </c>
      <c r="AB12" s="58" t="s">
        <v>175</v>
      </c>
      <c r="AC12" s="61">
        <v>0.57446808510638303</v>
      </c>
      <c r="AD12" s="58" t="s">
        <v>173</v>
      </c>
      <c r="AE12" s="61">
        <v>0.35514018691588783</v>
      </c>
      <c r="AF12" s="58" t="s">
        <v>172</v>
      </c>
      <c r="AG12" s="61">
        <v>0.42926829268292682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173</v>
      </c>
      <c r="E13" s="70">
        <v>-3.8401785714285706</v>
      </c>
      <c r="F13" s="58" t="s">
        <v>172</v>
      </c>
      <c r="G13" s="59">
        <v>2.088082901554404</v>
      </c>
      <c r="H13" s="58" t="s">
        <v>173</v>
      </c>
      <c r="I13" s="60">
        <v>0.27083333333333331</v>
      </c>
      <c r="J13" s="58" t="s">
        <v>172</v>
      </c>
      <c r="K13" s="60">
        <v>0.37305699481865284</v>
      </c>
      <c r="L13" s="58" t="s">
        <v>174</v>
      </c>
      <c r="M13" s="61">
        <v>0.27500000000000002</v>
      </c>
      <c r="N13" s="58" t="s">
        <v>128</v>
      </c>
      <c r="O13" s="61">
        <v>0.17330538085255065</v>
      </c>
      <c r="P13" s="58" t="s">
        <v>172</v>
      </c>
      <c r="Q13" s="62">
        <v>8710.4878048780483</v>
      </c>
      <c r="R13" s="58" t="s">
        <v>176</v>
      </c>
      <c r="S13" s="62">
        <v>-8765.1162790697672</v>
      </c>
      <c r="T13" s="58" t="s">
        <v>184</v>
      </c>
      <c r="U13" s="60">
        <v>0.15384615384615385</v>
      </c>
      <c r="V13" s="58" t="s">
        <v>162</v>
      </c>
      <c r="W13" s="60">
        <v>9.8130841121495324E-2</v>
      </c>
      <c r="X13" s="58" t="s">
        <v>172</v>
      </c>
      <c r="Y13" s="61">
        <v>0.23637515842839038</v>
      </c>
      <c r="Z13" s="58" t="s">
        <v>174</v>
      </c>
      <c r="AA13" s="61">
        <v>0.21249999999999999</v>
      </c>
      <c r="AB13" s="58" t="s">
        <v>171</v>
      </c>
      <c r="AC13" s="61">
        <v>0.55934959349593494</v>
      </c>
      <c r="AD13" s="58" t="s">
        <v>172</v>
      </c>
      <c r="AE13" s="61">
        <v>0.34748010610079577</v>
      </c>
      <c r="AF13" s="58" t="s">
        <v>142</v>
      </c>
      <c r="AG13" s="61">
        <v>0.42544693799923927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-335.99999999999989</v>
      </c>
      <c r="D14" s="58" t="s">
        <v>183</v>
      </c>
      <c r="E14" s="70">
        <v>-3.875</v>
      </c>
      <c r="F14" s="58" t="s">
        <v>173</v>
      </c>
      <c r="G14" s="59">
        <v>2.1041666666666665</v>
      </c>
      <c r="H14" s="58" t="s">
        <v>183</v>
      </c>
      <c r="I14" s="60">
        <v>0.25</v>
      </c>
      <c r="J14" s="58" t="s">
        <v>173</v>
      </c>
      <c r="K14" s="60">
        <v>0.375</v>
      </c>
      <c r="L14" s="58" t="s">
        <v>173</v>
      </c>
      <c r="M14" s="61">
        <v>0.27111766875691629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-9027.2727272727279</v>
      </c>
      <c r="T14" s="58" t="s">
        <v>185</v>
      </c>
      <c r="U14" s="60">
        <v>0.15730337078651685</v>
      </c>
      <c r="V14" s="58" t="s">
        <v>172</v>
      </c>
      <c r="W14" s="60">
        <v>8.8082901554404139E-2</v>
      </c>
      <c r="X14" s="58" t="s">
        <v>185</v>
      </c>
      <c r="Y14" s="61">
        <v>0.23261390887290168</v>
      </c>
      <c r="Z14" s="58" t="s">
        <v>171</v>
      </c>
      <c r="AA14" s="61">
        <v>0.19393077287814131</v>
      </c>
      <c r="AB14" s="58" t="s">
        <v>128</v>
      </c>
      <c r="AC14" s="61">
        <v>0.54866008462623417</v>
      </c>
      <c r="AD14" s="58" t="s">
        <v>174</v>
      </c>
      <c r="AE14" s="61">
        <v>0.33333333333333331</v>
      </c>
      <c r="AF14" s="58" t="s">
        <v>171</v>
      </c>
      <c r="AG14" s="61">
        <v>0.42528735632183906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-463.9</v>
      </c>
      <c r="D15" s="58" t="s">
        <v>162</v>
      </c>
      <c r="E15" s="70">
        <v>-4.2714953271028042</v>
      </c>
      <c r="F15" s="58" t="s">
        <v>162</v>
      </c>
      <c r="G15" s="59">
        <v>2.1261682242990654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0.18452935694315004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0.17469387755102042</v>
      </c>
      <c r="AB15" s="58" t="s">
        <v>162</v>
      </c>
      <c r="AC15" s="61">
        <v>0.52513966480446927</v>
      </c>
      <c r="AD15" s="58" t="s">
        <v>184</v>
      </c>
      <c r="AE15" s="61">
        <v>0.31578947368421051</v>
      </c>
      <c r="AF15" s="58" t="s">
        <v>128</v>
      </c>
      <c r="AG15" s="61">
        <v>0.41756919374247892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174</v>
      </c>
      <c r="C16" s="57">
        <v>-589.6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0.24299065420560748</v>
      </c>
      <c r="J16" s="58" t="s">
        <v>182</v>
      </c>
      <c r="K16" s="60">
        <v>0.4</v>
      </c>
      <c r="L16" s="58" t="s">
        <v>172</v>
      </c>
      <c r="M16" s="61">
        <v>0.25982256020278832</v>
      </c>
      <c r="N16" s="58" t="s">
        <v>173</v>
      </c>
      <c r="O16" s="61">
        <v>0.18775359645887127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0.20689655172413793</v>
      </c>
      <c r="V16" s="58" t="s">
        <v>176</v>
      </c>
      <c r="W16" s="60">
        <v>7.1428571428571425E-2</v>
      </c>
      <c r="X16" s="58" t="s">
        <v>162</v>
      </c>
      <c r="Y16" s="61">
        <v>0.22715736040609136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0.2982456140350877</v>
      </c>
      <c r="AF16" s="58" t="s">
        <v>127</v>
      </c>
      <c r="AG16" s="61">
        <v>0.40041208791208793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175</v>
      </c>
      <c r="C17" s="57">
        <v>-720.7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7600.1876172607881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3.4482758620689655E-2</v>
      </c>
      <c r="X17" s="58" t="s">
        <v>174</v>
      </c>
      <c r="Y17" s="61">
        <v>0.22222222222222221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-781.30000000000052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3.4482758620689655E-2</v>
      </c>
      <c r="J18" s="58" t="s">
        <v>187</v>
      </c>
      <c r="K18" s="60">
        <v>0.5</v>
      </c>
      <c r="L18" s="58" t="s">
        <v>175</v>
      </c>
      <c r="M18" s="61">
        <v>0.21518987341772153</v>
      </c>
      <c r="N18" s="58" t="s">
        <v>182</v>
      </c>
      <c r="O18" s="61">
        <v>0.21621621621621623</v>
      </c>
      <c r="P18" s="58" t="s">
        <v>175</v>
      </c>
      <c r="Q18" s="62">
        <v>7245.0980392156862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187</v>
      </c>
      <c r="Y18" s="61">
        <v>0.21875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-914.1</v>
      </c>
      <c r="D19" s="58" t="s">
        <v>175</v>
      </c>
      <c r="E19" s="70">
        <v>-24.851724137931036</v>
      </c>
      <c r="F19" s="58" t="s">
        <v>175</v>
      </c>
      <c r="G19" s="59">
        <v>2.5862068965517242</v>
      </c>
      <c r="H19" s="58" t="s">
        <v>181</v>
      </c>
      <c r="I19" s="60">
        <v>0</v>
      </c>
      <c r="J19" s="58" t="s">
        <v>175</v>
      </c>
      <c r="K19" s="60">
        <v>0.62068965517241381</v>
      </c>
      <c r="L19" s="58" t="s">
        <v>188</v>
      </c>
      <c r="M19" s="61">
        <v>0.15384615384615385</v>
      </c>
      <c r="N19" s="58" t="s">
        <v>175</v>
      </c>
      <c r="O19" s="61">
        <v>0.2320675105485232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175</v>
      </c>
      <c r="Y19" s="61">
        <v>0.19831223628691982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-1290.2999999999997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6DC44-0924-418C-B0A3-61FB479AEF43}">
  <sheetPr codeName="Sheet3"/>
  <dimension ref="A1:Q2192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142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2190</v>
      </c>
      <c r="C2" s="116"/>
      <c r="E2" s="41" t="s">
        <v>67</v>
      </c>
      <c r="F2" s="38" t="s">
        <v>23</v>
      </c>
      <c r="G2" s="25">
        <v>3511</v>
      </c>
      <c r="H2" s="105">
        <f>IF(B$29=0,0,G2/B$29)</f>
        <v>0.72781923714759533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-17.955801104972377</v>
      </c>
      <c r="P2" s="91">
        <v>2172</v>
      </c>
      <c r="Q2" s="75">
        <v>-39000</v>
      </c>
    </row>
    <row r="3" spans="1:17" x14ac:dyDescent="0.4">
      <c r="A3" s="34" t="s">
        <v>8</v>
      </c>
      <c r="B3" s="127">
        <v>17619</v>
      </c>
      <c r="C3" s="128"/>
      <c r="E3" s="42" t="s">
        <v>73</v>
      </c>
      <c r="F3" s="39" t="s">
        <v>28</v>
      </c>
      <c r="G3" s="26">
        <v>2612</v>
      </c>
      <c r="H3" s="106">
        <f>IF(B$29=0,0,G3/B$29)</f>
        <v>0.54145936981757881</v>
      </c>
      <c r="I3" s="67">
        <v>11</v>
      </c>
      <c r="K3" s="17">
        <v>1</v>
      </c>
      <c r="L3" s="72">
        <v>15</v>
      </c>
      <c r="N3" s="88" t="s">
        <v>130</v>
      </c>
      <c r="O3" s="95">
        <f t="shared" ref="O3:O7" si="0">IF(P3=0,0,Q3/P3)</f>
        <v>-2.8490028490028489</v>
      </c>
      <c r="P3" s="92">
        <v>2106</v>
      </c>
      <c r="Q3" s="76">
        <v>-6000</v>
      </c>
    </row>
    <row r="4" spans="1:17" x14ac:dyDescent="0.4">
      <c r="A4" s="34" t="s">
        <v>6</v>
      </c>
      <c r="B4" s="129">
        <v>-7.9999999999999059</v>
      </c>
      <c r="C4" s="130"/>
      <c r="E4" s="42" t="s">
        <v>65</v>
      </c>
      <c r="F4" s="39" t="s">
        <v>21</v>
      </c>
      <c r="G4" s="26">
        <v>2431</v>
      </c>
      <c r="H4" s="106">
        <f>IF(B$29=0,0,G4/B$29)</f>
        <v>0.50393864013266998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0"/>
        <v>7.049345417925478</v>
      </c>
      <c r="P4" s="92">
        <v>1986</v>
      </c>
      <c r="Q4" s="76">
        <v>14000</v>
      </c>
    </row>
    <row r="5" spans="1:17" x14ac:dyDescent="0.4">
      <c r="A5" s="34" t="s">
        <v>7</v>
      </c>
      <c r="B5" s="131">
        <f>IF(B$2=0,0,B$4/B$2)</f>
        <v>-3.6529680365296373E-3</v>
      </c>
      <c r="C5" s="132"/>
      <c r="E5" s="42" t="s">
        <v>69</v>
      </c>
      <c r="F5" s="39" t="s">
        <v>12</v>
      </c>
      <c r="G5" s="26">
        <v>1488</v>
      </c>
      <c r="H5" s="106">
        <f>IF(B$29=0,0,G5/B$29)</f>
        <v>0.30845771144278605</v>
      </c>
      <c r="I5" s="67">
        <v>10</v>
      </c>
      <c r="K5" s="17">
        <v>3</v>
      </c>
      <c r="L5" s="72">
        <v>0</v>
      </c>
      <c r="N5" s="88" t="s">
        <v>132</v>
      </c>
      <c r="O5" s="95">
        <f t="shared" si="0"/>
        <v>5.5096418732782366</v>
      </c>
      <c r="P5" s="92">
        <v>1815</v>
      </c>
      <c r="Q5" s="76">
        <v>10000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68</v>
      </c>
      <c r="F6" s="39" t="s">
        <v>24</v>
      </c>
      <c r="G6" s="26">
        <v>1449</v>
      </c>
      <c r="H6" s="106">
        <f>IF(B$29=0,0,G6/B$29)</f>
        <v>0.30037313432835822</v>
      </c>
      <c r="I6" s="67">
        <v>10</v>
      </c>
      <c r="K6" s="17">
        <v>4</v>
      </c>
      <c r="L6" s="72">
        <v>-1</v>
      </c>
      <c r="N6" s="88" t="s">
        <v>133</v>
      </c>
      <c r="O6" s="95">
        <f t="shared" si="0"/>
        <v>1.2345679012345678</v>
      </c>
      <c r="P6" s="92">
        <v>1620</v>
      </c>
      <c r="Q6" s="76">
        <v>2000</v>
      </c>
    </row>
    <row r="7" spans="1:17" x14ac:dyDescent="0.4">
      <c r="A7" s="34" t="s">
        <v>2</v>
      </c>
      <c r="B7" s="26">
        <v>730</v>
      </c>
      <c r="C7" s="18">
        <f>IF(B$2=0,0,B7/B$2)</f>
        <v>0.33333333333333331</v>
      </c>
      <c r="E7" s="42" t="s">
        <v>177</v>
      </c>
      <c r="F7" s="39" t="s">
        <v>178</v>
      </c>
      <c r="G7" s="26">
        <v>1434</v>
      </c>
      <c r="H7" s="106">
        <f>IF(B$29=0,0,G7/B$29)</f>
        <v>0.29726368159203981</v>
      </c>
      <c r="I7" s="67">
        <v>8</v>
      </c>
      <c r="K7" s="17">
        <v>5</v>
      </c>
      <c r="L7" s="72">
        <v>39.9</v>
      </c>
      <c r="N7" s="89" t="s">
        <v>134</v>
      </c>
      <c r="O7" s="96">
        <f t="shared" si="0"/>
        <v>8.0763582966226135</v>
      </c>
      <c r="P7" s="93">
        <v>1362</v>
      </c>
      <c r="Q7" s="77">
        <v>11000</v>
      </c>
    </row>
    <row r="8" spans="1:17" x14ac:dyDescent="0.4">
      <c r="A8" s="34" t="s">
        <v>3</v>
      </c>
      <c r="B8" s="26">
        <v>730</v>
      </c>
      <c r="C8" s="18">
        <f>IF(B$2=0,0,B8/B$2)</f>
        <v>0.33333333333333331</v>
      </c>
      <c r="E8" s="42" t="s">
        <v>167</v>
      </c>
      <c r="F8" s="39" t="s">
        <v>168</v>
      </c>
      <c r="G8" s="26">
        <v>1252</v>
      </c>
      <c r="H8" s="106">
        <f>IF(B$29=0,0,G8/B$29)</f>
        <v>0.2595356550580431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730</v>
      </c>
      <c r="C9" s="19">
        <f t="shared" ref="C9" si="1">IF(B$2=0,0,B9/B$2)</f>
        <v>0.33333333333333331</v>
      </c>
      <c r="E9" s="42" t="s">
        <v>70</v>
      </c>
      <c r="F9" s="39" t="s">
        <v>25</v>
      </c>
      <c r="G9" s="26">
        <v>739</v>
      </c>
      <c r="H9" s="106">
        <f>IF(B$29=0,0,G9/B$29)</f>
        <v>0.15319237147595358</v>
      </c>
      <c r="I9" s="67">
        <v>6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286</v>
      </c>
      <c r="C10" s="19">
        <f>IF(B$2=0,0,B10/B$2)</f>
        <v>0.13059360730593608</v>
      </c>
      <c r="E10" s="42" t="s">
        <v>90</v>
      </c>
      <c r="F10" s="39" t="s">
        <v>45</v>
      </c>
      <c r="G10" s="26">
        <v>667</v>
      </c>
      <c r="H10" s="106">
        <f>IF(B$29=0,0,G10/B$29)</f>
        <v>0.1382669983416252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-1.7149931224209065</v>
      </c>
      <c r="P10" s="91">
        <v>727</v>
      </c>
      <c r="Q10" s="79">
        <v>-1246.799999999999</v>
      </c>
    </row>
    <row r="11" spans="1:17" x14ac:dyDescent="0.4">
      <c r="A11" s="35" t="s">
        <v>137</v>
      </c>
      <c r="B11" s="27">
        <v>286</v>
      </c>
      <c r="C11" s="19">
        <f>IF(B$2=0,0,B11/B$2)</f>
        <v>0.13059360730593608</v>
      </c>
      <c r="E11" s="42" t="s">
        <v>66</v>
      </c>
      <c r="F11" s="39" t="s">
        <v>22</v>
      </c>
      <c r="G11" s="26">
        <v>541</v>
      </c>
      <c r="H11" s="106">
        <f>IF(B$29=0,0,G11/B$29)</f>
        <v>0.11214759535655058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0.31127922971114214</v>
      </c>
      <c r="P11" s="92">
        <v>727</v>
      </c>
      <c r="Q11" s="80">
        <v>226.30000000000035</v>
      </c>
    </row>
    <row r="12" spans="1:17" x14ac:dyDescent="0.4">
      <c r="A12" s="36" t="s">
        <v>154</v>
      </c>
      <c r="B12" s="28">
        <v>187</v>
      </c>
      <c r="C12" s="21">
        <f>IF(B$2=0,0,B12/B$2)</f>
        <v>8.5388127853881279E-2</v>
      </c>
      <c r="E12" s="42" t="s">
        <v>71</v>
      </c>
      <c r="F12" s="39" t="s">
        <v>26</v>
      </c>
      <c r="G12" s="26">
        <v>468</v>
      </c>
      <c r="H12" s="106">
        <f>IF(B$29=0,0,G12/B$29)</f>
        <v>9.7014925373134331E-2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1.3927097661623113</v>
      </c>
      <c r="P12" s="93">
        <v>727</v>
      </c>
      <c r="Q12" s="81">
        <v>1012.5000000000003</v>
      </c>
    </row>
    <row r="13" spans="1:17" x14ac:dyDescent="0.4">
      <c r="A13" s="37" t="s">
        <v>122</v>
      </c>
      <c r="B13" s="29">
        <v>4361</v>
      </c>
      <c r="C13" s="23">
        <f>IF(B$28=0,0,B13/B$28)</f>
        <v>0.26914768869962352</v>
      </c>
      <c r="E13" s="42" t="s">
        <v>72</v>
      </c>
      <c r="F13" s="39" t="s">
        <v>27</v>
      </c>
      <c r="G13" s="26">
        <v>298</v>
      </c>
      <c r="H13" s="106">
        <f>IF(B$29=0,0,G13/B$29)</f>
        <v>6.1774461028192375E-2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3563</v>
      </c>
      <c r="C14" s="18">
        <f>IF(B$28=0,0,B14/B$28)</f>
        <v>0.21989754983645005</v>
      </c>
      <c r="E14" s="42" t="s">
        <v>87</v>
      </c>
      <c r="F14" s="39" t="s">
        <v>42</v>
      </c>
      <c r="G14" s="26">
        <v>291</v>
      </c>
      <c r="H14" s="106">
        <f>IF(B$29=0,0,G14/B$29)</f>
        <v>6.0323383084577117E-2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2516</v>
      </c>
      <c r="C15" s="16">
        <f>IF(B$13=0,0,B15/B$13)</f>
        <v>0.57693189635404729</v>
      </c>
      <c r="E15" s="42" t="s">
        <v>84</v>
      </c>
      <c r="F15" s="39" t="s">
        <v>39</v>
      </c>
      <c r="G15" s="26">
        <v>230</v>
      </c>
      <c r="H15" s="106">
        <f>IF(B$29=0,0,G15/B$29)</f>
        <v>4.7678275290215587E-2</v>
      </c>
      <c r="I15" s="67">
        <v>9</v>
      </c>
      <c r="K15" s="17">
        <v>13</v>
      </c>
      <c r="L15" s="72">
        <v>31.5</v>
      </c>
      <c r="N15" s="87" t="s">
        <v>181</v>
      </c>
      <c r="O15" s="97">
        <f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1432</v>
      </c>
      <c r="C16" s="16">
        <f>IF(B$14=0,0,B16/B$14)</f>
        <v>0.40190850406960427</v>
      </c>
      <c r="E16" s="42" t="s">
        <v>79</v>
      </c>
      <c r="F16" s="39" t="s">
        <v>34</v>
      </c>
      <c r="G16" s="26">
        <v>133</v>
      </c>
      <c r="H16" s="106">
        <f>IF(B$29=0,0,G16/B$29)</f>
        <v>2.7570480928689883E-2</v>
      </c>
      <c r="I16" s="67">
        <v>7</v>
      </c>
      <c r="K16" s="17">
        <v>14</v>
      </c>
      <c r="L16" s="72">
        <v>-4</v>
      </c>
      <c r="N16" s="88" t="s">
        <v>175</v>
      </c>
      <c r="O16" s="98">
        <f>IF(P16=0,0,Q16/P16)</f>
        <v>37.277586206896551</v>
      </c>
      <c r="P16" s="92">
        <v>58</v>
      </c>
      <c r="Q16" s="80">
        <v>2162.1</v>
      </c>
    </row>
    <row r="17" spans="1:17" x14ac:dyDescent="0.4">
      <c r="A17" s="33" t="s">
        <v>10</v>
      </c>
      <c r="B17" s="25">
        <f>B19+B18</f>
        <v>5258</v>
      </c>
      <c r="C17" s="16">
        <f>IF(B$3=0,0,B17/B$3)</f>
        <v>0.29842783358873942</v>
      </c>
      <c r="E17" s="42" t="s">
        <v>82</v>
      </c>
      <c r="F17" s="39" t="s">
        <v>37</v>
      </c>
      <c r="G17" s="26">
        <v>124</v>
      </c>
      <c r="H17" s="106">
        <f>IF(B$29=0,0,G17/B$29)</f>
        <v>2.570480928689884E-2</v>
      </c>
      <c r="I17" s="67">
        <v>9</v>
      </c>
      <c r="K17" s="17">
        <v>15</v>
      </c>
      <c r="L17" s="72">
        <v>0</v>
      </c>
      <c r="N17" s="88" t="s">
        <v>182</v>
      </c>
      <c r="O17" s="98">
        <f>IF(P17=0,0,Q17/P17)</f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2237</v>
      </c>
      <c r="C18" s="18">
        <f>IF(B$17=0,0,B18/B$17)</f>
        <v>0.42544693799923927</v>
      </c>
      <c r="E18" s="42" t="s">
        <v>92</v>
      </c>
      <c r="F18" s="39" t="s">
        <v>47</v>
      </c>
      <c r="G18" s="26">
        <v>94</v>
      </c>
      <c r="H18" s="106">
        <f>IF(B$29=0,0,G18/B$29)</f>
        <v>1.9485903814262025E-2</v>
      </c>
      <c r="I18" s="67">
        <v>7</v>
      </c>
      <c r="K18" s="17">
        <v>16</v>
      </c>
      <c r="L18" s="72">
        <v>-48</v>
      </c>
      <c r="N18" s="88" t="s">
        <v>187</v>
      </c>
      <c r="O18" s="98">
        <f>IF(P18=0,0,Q18/P18)</f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3021</v>
      </c>
      <c r="C19" s="18">
        <f>IF(B$17=0,0,B19/B$17)</f>
        <v>0.57455306200076073</v>
      </c>
      <c r="E19" s="42" t="s">
        <v>80</v>
      </c>
      <c r="F19" s="39" t="s">
        <v>35</v>
      </c>
      <c r="G19" s="26">
        <v>76</v>
      </c>
      <c r="H19" s="106">
        <f>IF(B$29=0,0,G19/B$29)</f>
        <v>1.5754560530679935E-2</v>
      </c>
      <c r="I19" s="67">
        <v>9</v>
      </c>
      <c r="K19" s="17">
        <v>17</v>
      </c>
      <c r="L19" s="72">
        <v>-8</v>
      </c>
      <c r="N19" s="88" t="s">
        <v>174</v>
      </c>
      <c r="O19" s="98">
        <f>IF(P19=0,0,Q19/P19)</f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2976</v>
      </c>
      <c r="C20" s="18">
        <f>IF(B$3=0,0,B20/B$3)</f>
        <v>0.1689085646177422</v>
      </c>
      <c r="E20" s="42" t="s">
        <v>163</v>
      </c>
      <c r="F20" s="39" t="s">
        <v>164</v>
      </c>
      <c r="G20" s="26">
        <v>54</v>
      </c>
      <c r="H20" s="106">
        <f>IF(B$29=0,0,G20/B$29)</f>
        <v>1.1194029850746268E-2</v>
      </c>
      <c r="I20" s="67">
        <v>5</v>
      </c>
      <c r="K20" s="17">
        <v>18</v>
      </c>
      <c r="L20" s="72">
        <v>0</v>
      </c>
      <c r="N20" s="88" t="s">
        <v>162</v>
      </c>
      <c r="O20" s="98">
        <f>IF(P20=0,0,Q20/P20)</f>
        <v>6.4049065420560733</v>
      </c>
      <c r="P20" s="92">
        <v>428</v>
      </c>
      <c r="Q20" s="80">
        <v>2741.2999999999993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>IF(B$29=0,0,G21/B$29)</f>
        <v>6.8407960199004976E-3</v>
      </c>
      <c r="I21" s="67">
        <v>5</v>
      </c>
      <c r="K21" s="17">
        <v>19</v>
      </c>
      <c r="L21" s="72">
        <v>-6.1</v>
      </c>
      <c r="N21" s="88" t="s">
        <v>183</v>
      </c>
      <c r="O21" s="98">
        <f>IF(P21=0,0,Q21/P21)</f>
        <v>5.8125</v>
      </c>
      <c r="P21" s="92">
        <v>8</v>
      </c>
      <c r="Q21" s="80">
        <v>46.5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>IF(B$29=0,0,G22/B$29)</f>
        <v>6.0116086235489224E-3</v>
      </c>
      <c r="I22" s="67">
        <v>6</v>
      </c>
      <c r="K22" s="17">
        <v>20</v>
      </c>
      <c r="L22" s="72">
        <v>4.9000000000000004</v>
      </c>
      <c r="N22" s="88" t="s">
        <v>173</v>
      </c>
      <c r="O22" s="98">
        <f>IF(P22=0,0,Q22/P22)</f>
        <v>5.7528273809523807</v>
      </c>
      <c r="P22" s="92">
        <v>672</v>
      </c>
      <c r="Q22" s="80">
        <v>3865.9</v>
      </c>
    </row>
    <row r="23" spans="1:17" x14ac:dyDescent="0.4">
      <c r="A23" s="34" t="s">
        <v>5</v>
      </c>
      <c r="B23" s="30">
        <f>IF(B$17=0,0,C23/B$17)</f>
        <v>9144.9030049448465</v>
      </c>
      <c r="C23" s="20">
        <v>48083900</v>
      </c>
      <c r="E23" s="42" t="s">
        <v>76</v>
      </c>
      <c r="F23" s="39" t="s">
        <v>31</v>
      </c>
      <c r="G23" s="26">
        <v>28</v>
      </c>
      <c r="H23" s="106">
        <f>IF(B$29=0,0,G23/B$29)</f>
        <v>5.8043117744610278E-3</v>
      </c>
      <c r="I23" s="67">
        <v>4</v>
      </c>
      <c r="K23" s="17">
        <v>21</v>
      </c>
      <c r="L23" s="72">
        <v>0</v>
      </c>
      <c r="N23" s="88" t="s">
        <v>172</v>
      </c>
      <c r="O23" s="98">
        <f>IF(P23=0,0,Q23/P23)</f>
        <v>3.6028497409326432</v>
      </c>
      <c r="P23" s="92">
        <v>386</v>
      </c>
      <c r="Q23" s="80">
        <v>1390.7000000000003</v>
      </c>
    </row>
    <row r="24" spans="1:17" x14ac:dyDescent="0.4">
      <c r="A24" s="36" t="s">
        <v>14</v>
      </c>
      <c r="B24" s="31">
        <f>IF(B$20=0,0,C24/B$20)</f>
        <v>-8542.2379032258068</v>
      </c>
      <c r="C24" s="24">
        <v>-25421700</v>
      </c>
      <c r="E24" s="42" t="s">
        <v>86</v>
      </c>
      <c r="F24" s="39" t="s">
        <v>41</v>
      </c>
      <c r="G24" s="26">
        <v>23</v>
      </c>
      <c r="H24" s="106">
        <f>IF(B$29=0,0,G24/B$29)</f>
        <v>4.7678275290215589E-3</v>
      </c>
      <c r="I24" s="67">
        <v>4</v>
      </c>
      <c r="K24" s="17">
        <v>22</v>
      </c>
      <c r="L24" s="72">
        <v>-36</v>
      </c>
      <c r="N24" s="88" t="s">
        <v>128</v>
      </c>
      <c r="O24" s="98">
        <f>IF(P24=0,0,Q24/P24)</f>
        <v>3.3346153846153972</v>
      </c>
      <c r="P24" s="92">
        <v>702</v>
      </c>
      <c r="Q24" s="80">
        <v>2340.9000000000087</v>
      </c>
    </row>
    <row r="25" spans="1:17" x14ac:dyDescent="0.4">
      <c r="A25" s="63" t="s">
        <v>139</v>
      </c>
      <c r="B25" s="121">
        <v>10</v>
      </c>
      <c r="C25" s="122"/>
      <c r="E25" s="42" t="s">
        <v>93</v>
      </c>
      <c r="F25" s="39" t="s">
        <v>48</v>
      </c>
      <c r="G25" s="26">
        <v>23</v>
      </c>
      <c r="H25" s="106">
        <f>IF(B$29=0,0,G25/B$29)</f>
        <v>4.7678275290215589E-3</v>
      </c>
      <c r="I25" s="67">
        <v>5</v>
      </c>
      <c r="K25" s="17">
        <v>23</v>
      </c>
      <c r="L25" s="72">
        <v>-3</v>
      </c>
      <c r="N25" s="88" t="s">
        <v>171</v>
      </c>
      <c r="O25" s="98">
        <f>IF(P25=0,0,Q25/P25)</f>
        <v>1.8680297397769512</v>
      </c>
      <c r="P25" s="92">
        <v>538</v>
      </c>
      <c r="Q25" s="80">
        <v>1004.9999999999998</v>
      </c>
    </row>
    <row r="26" spans="1:17" x14ac:dyDescent="0.4">
      <c r="A26" s="37" t="s">
        <v>146</v>
      </c>
      <c r="B26" s="119">
        <v>124700</v>
      </c>
      <c r="C26" s="120"/>
      <c r="E26" s="42" t="s">
        <v>75</v>
      </c>
      <c r="F26" s="39" t="s">
        <v>30</v>
      </c>
      <c r="G26" s="26">
        <v>18</v>
      </c>
      <c r="H26" s="106">
        <f>IF(B$29=0,0,G26/B$29)</f>
        <v>3.7313432835820895E-3</v>
      </c>
      <c r="I26" s="67">
        <v>7</v>
      </c>
      <c r="K26" s="17">
        <v>24</v>
      </c>
      <c r="L26" s="72">
        <v>0</v>
      </c>
      <c r="N26" s="88" t="s">
        <v>176</v>
      </c>
      <c r="O26" s="98">
        <f>IF(P26=0,0,Q26/P26)</f>
        <v>1.1785714285714317</v>
      </c>
      <c r="P26" s="92">
        <v>56</v>
      </c>
      <c r="Q26" s="80">
        <v>66.000000000000171</v>
      </c>
    </row>
    <row r="27" spans="1:17" x14ac:dyDescent="0.4">
      <c r="A27" s="36" t="s">
        <v>140</v>
      </c>
      <c r="B27" s="44">
        <v>49</v>
      </c>
      <c r="C27" s="21">
        <f>IF(B$3=0,0,B27/B$3)</f>
        <v>2.7810885975367503E-3</v>
      </c>
      <c r="E27" s="42" t="s">
        <v>94</v>
      </c>
      <c r="F27" s="39" t="s">
        <v>49</v>
      </c>
      <c r="G27" s="26">
        <v>14</v>
      </c>
      <c r="H27" s="106">
        <f>IF(B$29=0,0,G27/B$29)</f>
        <v>2.9021558872305139E-3</v>
      </c>
      <c r="I27" s="67">
        <v>4</v>
      </c>
      <c r="K27" s="17">
        <v>25</v>
      </c>
      <c r="L27" s="72">
        <v>-41</v>
      </c>
      <c r="N27" s="88" t="s">
        <v>185</v>
      </c>
      <c r="O27" s="98">
        <f>IF(P27=0,0,Q27/P27)</f>
        <v>0.53426966292135358</v>
      </c>
      <c r="P27" s="92">
        <v>178</v>
      </c>
      <c r="Q27" s="80">
        <v>95.100000000000932</v>
      </c>
    </row>
    <row r="28" spans="1:17" x14ac:dyDescent="0.4">
      <c r="A28" s="33" t="s">
        <v>179</v>
      </c>
      <c r="B28" s="115">
        <v>16203</v>
      </c>
      <c r="C28" s="116"/>
      <c r="E28" s="42" t="s">
        <v>85</v>
      </c>
      <c r="F28" s="39" t="s">
        <v>40</v>
      </c>
      <c r="G28" s="26">
        <v>13</v>
      </c>
      <c r="H28" s="106">
        <f>IF(B$29=0,0,G28/B$29)</f>
        <v>2.6948590381426201E-3</v>
      </c>
      <c r="I28" s="67">
        <v>5</v>
      </c>
      <c r="K28" s="17">
        <v>26</v>
      </c>
      <c r="L28" s="72">
        <v>11.5</v>
      </c>
      <c r="N28" s="88" t="s">
        <v>184</v>
      </c>
      <c r="O28" s="98">
        <f>IF(P28=0,0,Q28/P28)</f>
        <v>-3.5128205128205114</v>
      </c>
      <c r="P28" s="92">
        <v>78</v>
      </c>
      <c r="Q28" s="80">
        <v>-273.99999999999989</v>
      </c>
    </row>
    <row r="29" spans="1:17" x14ac:dyDescent="0.4">
      <c r="A29" s="36" t="s">
        <v>180</v>
      </c>
      <c r="B29" s="117">
        <v>4824</v>
      </c>
      <c r="C29" s="118"/>
      <c r="E29" s="42" t="s">
        <v>88</v>
      </c>
      <c r="F29" s="39" t="s">
        <v>43</v>
      </c>
      <c r="G29" s="26">
        <v>12</v>
      </c>
      <c r="H29" s="106">
        <f>IF(B$29=0,0,G29/B$29)</f>
        <v>2.4875621890547263E-3</v>
      </c>
      <c r="I29" s="67">
        <v>4</v>
      </c>
      <c r="K29" s="17">
        <v>27</v>
      </c>
      <c r="L29" s="72">
        <v>0</v>
      </c>
      <c r="N29" s="88" t="s">
        <v>127</v>
      </c>
      <c r="O29" s="98">
        <f>IF(P29=0,0,Q29/P29)</f>
        <v>-14.752824858757059</v>
      </c>
      <c r="P29" s="92">
        <v>1062</v>
      </c>
      <c r="Q29" s="80">
        <v>-15667.499999999996</v>
      </c>
    </row>
    <row r="30" spans="1:17" x14ac:dyDescent="0.4">
      <c r="E30" s="42" t="s">
        <v>91</v>
      </c>
      <c r="F30" s="39" t="s">
        <v>46</v>
      </c>
      <c r="G30" s="26">
        <v>9</v>
      </c>
      <c r="H30" s="106">
        <f>IF(B$29=0,0,G30/B$29)</f>
        <v>1.8656716417910447E-3</v>
      </c>
      <c r="I30" s="67">
        <v>4</v>
      </c>
      <c r="K30" s="17">
        <v>28</v>
      </c>
      <c r="L30" s="72">
        <v>-31.5</v>
      </c>
      <c r="N30" s="88" t="s">
        <v>186</v>
      </c>
      <c r="O30" s="98">
        <f>IF(P30=0,0,Q30/P30)</f>
        <v>-18.055555555555557</v>
      </c>
      <c r="P30" s="92">
        <v>18</v>
      </c>
      <c r="Q30" s="80">
        <v>-325</v>
      </c>
    </row>
    <row r="31" spans="1:17" x14ac:dyDescent="0.4">
      <c r="E31" s="42" t="s">
        <v>89</v>
      </c>
      <c r="F31" s="39" t="s">
        <v>44</v>
      </c>
      <c r="G31" s="26">
        <v>7</v>
      </c>
      <c r="H31" s="106">
        <f>IF(B$29=0,0,G31/B$29)</f>
        <v>1.4510779436152569E-3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>IF(P31=0,0,Q31/P31)</f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>IF(B$29=0,0,G32/B$29)</f>
        <v>8.2918739635157548E-4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>IF(B$29=0,0,G33/B$29)</f>
        <v>4.1459369817578774E-4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>IF(B$29=0,0,G34/B$29)</f>
        <v>4.1459369817578774E-4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>IF(B$29=0,0,G35/B$29)</f>
        <v>2.0729684908789387E-4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>IF(B$29=0,0,G36/B$29)</f>
        <v>2.0729684908789387E-4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  <row r="2175" spans="11:12" x14ac:dyDescent="0.4">
      <c r="K2175" s="17">
        <v>2173</v>
      </c>
      <c r="L2175" s="72">
        <v>26.100000000000072</v>
      </c>
    </row>
    <row r="2176" spans="11:12" x14ac:dyDescent="0.4">
      <c r="K2176" s="17">
        <v>2174</v>
      </c>
      <c r="L2176" s="72">
        <v>39.800000000000075</v>
      </c>
    </row>
    <row r="2177" spans="11:12" x14ac:dyDescent="0.4">
      <c r="K2177" s="17">
        <v>2175</v>
      </c>
      <c r="L2177" s="72">
        <v>-7.9999999999999201</v>
      </c>
    </row>
    <row r="2178" spans="11:12" x14ac:dyDescent="0.4">
      <c r="K2178" s="17">
        <v>2176</v>
      </c>
      <c r="L2178" s="72">
        <v>-55.299999999999919</v>
      </c>
    </row>
    <row r="2179" spans="11:12" x14ac:dyDescent="0.4">
      <c r="K2179" s="17">
        <v>2177</v>
      </c>
      <c r="L2179" s="72">
        <v>-50.699999999999918</v>
      </c>
    </row>
    <row r="2180" spans="11:12" x14ac:dyDescent="0.4">
      <c r="K2180" s="17">
        <v>2178</v>
      </c>
      <c r="L2180" s="72">
        <v>-7.999999999999913</v>
      </c>
    </row>
    <row r="2181" spans="11:12" x14ac:dyDescent="0.4">
      <c r="K2181" s="17">
        <v>2179</v>
      </c>
      <c r="L2181" s="72">
        <v>-40.299999999999912</v>
      </c>
    </row>
    <row r="2182" spans="11:12" x14ac:dyDescent="0.4">
      <c r="K2182" s="17">
        <v>2180</v>
      </c>
      <c r="L2182" s="72">
        <v>-13.199999999999909</v>
      </c>
    </row>
    <row r="2183" spans="11:12" x14ac:dyDescent="0.4">
      <c r="K2183" s="17">
        <v>2181</v>
      </c>
      <c r="L2183" s="72">
        <v>-7.9999999999999085</v>
      </c>
    </row>
    <row r="2184" spans="11:12" x14ac:dyDescent="0.4">
      <c r="K2184" s="17">
        <v>2182</v>
      </c>
      <c r="L2184" s="72">
        <v>-10.899999999999908</v>
      </c>
    </row>
    <row r="2185" spans="11:12" x14ac:dyDescent="0.4">
      <c r="K2185" s="17">
        <v>2183</v>
      </c>
      <c r="L2185" s="72">
        <v>7.100000000000092</v>
      </c>
    </row>
    <row r="2186" spans="11:12" x14ac:dyDescent="0.4">
      <c r="K2186" s="17">
        <v>2184</v>
      </c>
      <c r="L2186" s="72">
        <v>-7.9999999999999076</v>
      </c>
    </row>
    <row r="2187" spans="11:12" x14ac:dyDescent="0.4">
      <c r="K2187" s="17">
        <v>2185</v>
      </c>
      <c r="L2187" s="72">
        <v>-53.099999999999909</v>
      </c>
    </row>
    <row r="2188" spans="11:12" x14ac:dyDescent="0.4">
      <c r="K2188" s="17">
        <v>2186</v>
      </c>
      <c r="L2188" s="72">
        <v>0.40000000000009273</v>
      </c>
    </row>
    <row r="2189" spans="11:12" x14ac:dyDescent="0.4">
      <c r="K2189" s="17">
        <v>2187</v>
      </c>
      <c r="L2189" s="72">
        <v>-7.9999999999999076</v>
      </c>
    </row>
    <row r="2190" spans="11:12" x14ac:dyDescent="0.4">
      <c r="K2190" s="17">
        <v>2188</v>
      </c>
      <c r="L2190" s="72">
        <v>-35.499999999999908</v>
      </c>
    </row>
    <row r="2191" spans="11:12" x14ac:dyDescent="0.4">
      <c r="K2191" s="17">
        <v>2189</v>
      </c>
      <c r="L2191" s="72">
        <v>-14.999999999999906</v>
      </c>
    </row>
    <row r="2192" spans="11:12" x14ac:dyDescent="0.4">
      <c r="K2192" s="17">
        <v>2190</v>
      </c>
      <c r="L2192" s="72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4A092-CE78-4C65-905A-2B0799873403}">
  <sheetPr codeName="Sheet4"/>
  <dimension ref="A1:Q53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531</v>
      </c>
      <c r="C2" s="116"/>
      <c r="E2" s="41" t="s">
        <v>67</v>
      </c>
      <c r="F2" s="38" t="s">
        <v>23</v>
      </c>
      <c r="G2" s="25">
        <v>957</v>
      </c>
      <c r="H2" s="105">
        <f>IF(B$29=0,0,G2/B$29)</f>
        <v>0.73615384615384616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1295.2380952380952</v>
      </c>
      <c r="P2" s="91">
        <v>525</v>
      </c>
      <c r="Q2" s="75">
        <v>680000</v>
      </c>
    </row>
    <row r="3" spans="1:17" x14ac:dyDescent="0.4">
      <c r="A3" s="34" t="s">
        <v>8</v>
      </c>
      <c r="B3" s="127">
        <v>4185</v>
      </c>
      <c r="C3" s="128"/>
      <c r="E3" s="42" t="s">
        <v>73</v>
      </c>
      <c r="F3" s="39" t="s">
        <v>28</v>
      </c>
      <c r="G3" s="26">
        <v>709</v>
      </c>
      <c r="H3" s="106">
        <f>IF(B$29=0,0,G3/B$29)</f>
        <v>0.54538461538461536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0">IF(P3=0,0,Q3/P3)</f>
        <v>1058.8582677165355</v>
      </c>
      <c r="P3" s="92">
        <v>508</v>
      </c>
      <c r="Q3" s="76">
        <v>537900</v>
      </c>
    </row>
    <row r="4" spans="1:17" x14ac:dyDescent="0.4">
      <c r="A4" s="34" t="s">
        <v>6</v>
      </c>
      <c r="B4" s="129">
        <v>5220.5</v>
      </c>
      <c r="C4" s="130"/>
      <c r="E4" s="42" t="s">
        <v>65</v>
      </c>
      <c r="F4" s="39" t="s">
        <v>21</v>
      </c>
      <c r="G4" s="26">
        <v>646</v>
      </c>
      <c r="H4" s="106">
        <f>IF(B$29=0,0,G4/B$29)</f>
        <v>0.49692307692307691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0"/>
        <v>1181.5734989648033</v>
      </c>
      <c r="P4" s="92">
        <v>483</v>
      </c>
      <c r="Q4" s="76">
        <v>570700</v>
      </c>
    </row>
    <row r="5" spans="1:17" x14ac:dyDescent="0.4">
      <c r="A5" s="34" t="s">
        <v>7</v>
      </c>
      <c r="B5" s="131">
        <f>IF(B$2=0,0,B$4/B$2)</f>
        <v>9.8314500941619585</v>
      </c>
      <c r="C5" s="132"/>
      <c r="E5" s="42" t="s">
        <v>177</v>
      </c>
      <c r="F5" s="39" t="s">
        <v>178</v>
      </c>
      <c r="G5" s="26">
        <v>457</v>
      </c>
      <c r="H5" s="106">
        <f>IF(B$29=0,0,G5/B$29)</f>
        <v>0.35153846153846152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0"/>
        <v>2021.461187214612</v>
      </c>
      <c r="P5" s="92">
        <v>438</v>
      </c>
      <c r="Q5" s="76">
        <v>885400</v>
      </c>
    </row>
    <row r="6" spans="1:17" x14ac:dyDescent="0.4">
      <c r="A6" s="34" t="s">
        <v>1</v>
      </c>
      <c r="B6" s="123">
        <f>IF(B$2=0,0,(B$7*1+B$8*2+B$9*3)/B$2)</f>
        <v>1.7457627118644068</v>
      </c>
      <c r="C6" s="124"/>
      <c r="E6" s="42" t="s">
        <v>68</v>
      </c>
      <c r="F6" s="39" t="s">
        <v>24</v>
      </c>
      <c r="G6" s="26">
        <v>397</v>
      </c>
      <c r="H6" s="106">
        <f>IF(B$29=0,0,G6/B$29)</f>
        <v>0.30538461538461537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0"/>
        <v>1750.2564102564102</v>
      </c>
      <c r="P6" s="92">
        <v>390</v>
      </c>
      <c r="Q6" s="76">
        <v>682600</v>
      </c>
    </row>
    <row r="7" spans="1:17" x14ac:dyDescent="0.4">
      <c r="A7" s="34" t="s">
        <v>2</v>
      </c>
      <c r="B7" s="26">
        <v>250</v>
      </c>
      <c r="C7" s="18">
        <f>IF(B$2=0,0,B7/B$2)</f>
        <v>0.47080979284369112</v>
      </c>
      <c r="E7" s="42" t="s">
        <v>69</v>
      </c>
      <c r="F7" s="39" t="s">
        <v>12</v>
      </c>
      <c r="G7" s="26">
        <v>370</v>
      </c>
      <c r="H7" s="106">
        <f>IF(B$29=0,0,G7/B$29)</f>
        <v>0.2846153846153846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0"/>
        <v>1823.4567901234568</v>
      </c>
      <c r="P7" s="93">
        <v>324</v>
      </c>
      <c r="Q7" s="77">
        <v>590800</v>
      </c>
    </row>
    <row r="8" spans="1:17" x14ac:dyDescent="0.4">
      <c r="A8" s="34" t="s">
        <v>3</v>
      </c>
      <c r="B8" s="26">
        <v>166</v>
      </c>
      <c r="C8" s="18">
        <f>IF(B$2=0,0,B8/B$2)</f>
        <v>0.31261770244821091</v>
      </c>
      <c r="E8" s="42" t="s">
        <v>167</v>
      </c>
      <c r="F8" s="39" t="s">
        <v>168</v>
      </c>
      <c r="G8" s="26">
        <v>292</v>
      </c>
      <c r="H8" s="106">
        <f>IF(B$29=0,0,G8/B$29)</f>
        <v>0.22461538461538461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1">IF(B$2=0,0,B9/B$2)</f>
        <v>0.21657250470809794</v>
      </c>
      <c r="E9" s="42" t="s">
        <v>90</v>
      </c>
      <c r="F9" s="39" t="s">
        <v>45</v>
      </c>
      <c r="G9" s="26">
        <v>225</v>
      </c>
      <c r="H9" s="106">
        <f>IF(B$29=0,0,G9/B$29)</f>
        <v>0.17307692307692307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8.6629001883239173E-2</v>
      </c>
      <c r="E10" s="42" t="s">
        <v>70</v>
      </c>
      <c r="F10" s="39" t="s">
        <v>25</v>
      </c>
      <c r="G10" s="26">
        <v>199</v>
      </c>
      <c r="H10" s="106">
        <f>IF(B$29=0,0,G10/B$29)</f>
        <v>0.15307692307692308</v>
      </c>
      <c r="I10" s="67">
        <v>7</v>
      </c>
      <c r="K10" s="17">
        <v>8</v>
      </c>
      <c r="L10" s="72">
        <v>55.700000000000017</v>
      </c>
      <c r="N10" s="87" t="s">
        <v>158</v>
      </c>
      <c r="O10" s="97">
        <f>IF(P10=0,0,Q10/P10)</f>
        <v>14.242222222222226</v>
      </c>
      <c r="P10" s="91">
        <v>135</v>
      </c>
      <c r="Q10" s="79">
        <v>1922.7000000000005</v>
      </c>
    </row>
    <row r="11" spans="1:17" x14ac:dyDescent="0.4">
      <c r="A11" s="35" t="s">
        <v>137</v>
      </c>
      <c r="B11" s="27">
        <v>91</v>
      </c>
      <c r="C11" s="19">
        <f>IF(B$2=0,0,B11/B$2)</f>
        <v>0.17137476459510359</v>
      </c>
      <c r="E11" s="42" t="s">
        <v>66</v>
      </c>
      <c r="F11" s="39" t="s">
        <v>22</v>
      </c>
      <c r="G11" s="26">
        <v>155</v>
      </c>
      <c r="H11" s="106">
        <f>IF(B$29=0,0,G11/B$29)</f>
        <v>0.11923076923076924</v>
      </c>
      <c r="I11" s="67">
        <v>5</v>
      </c>
      <c r="K11" s="17">
        <v>9</v>
      </c>
      <c r="L11" s="72">
        <v>14.700000000000017</v>
      </c>
      <c r="N11" s="88" t="s">
        <v>159</v>
      </c>
      <c r="O11" s="98">
        <f>IF(P11=0,0,Q11/P11)</f>
        <v>7.685798816568048</v>
      </c>
      <c r="P11" s="92">
        <v>169</v>
      </c>
      <c r="Q11" s="80">
        <v>1298.9000000000001</v>
      </c>
    </row>
    <row r="12" spans="1:17" x14ac:dyDescent="0.4">
      <c r="A12" s="36" t="s">
        <v>154</v>
      </c>
      <c r="B12" s="28">
        <v>63</v>
      </c>
      <c r="C12" s="21">
        <f>IF(B$2=0,0,B12/B$2)</f>
        <v>0.11864406779661017</v>
      </c>
      <c r="E12" s="42" t="s">
        <v>71</v>
      </c>
      <c r="F12" s="39" t="s">
        <v>26</v>
      </c>
      <c r="G12" s="26">
        <v>102</v>
      </c>
      <c r="H12" s="106">
        <f>IF(B$29=0,0,G12/B$29)</f>
        <v>7.8461538461538458E-2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8.8004464285714299</v>
      </c>
      <c r="P12" s="93">
        <v>224</v>
      </c>
      <c r="Q12" s="81">
        <v>1971.3000000000004</v>
      </c>
    </row>
    <row r="13" spans="1:17" x14ac:dyDescent="0.4">
      <c r="A13" s="37" t="s">
        <v>122</v>
      </c>
      <c r="B13" s="29">
        <v>1106</v>
      </c>
      <c r="C13" s="23">
        <f>IF(B$28=0,0,B13/B$28)</f>
        <v>0.29659426119603111</v>
      </c>
      <c r="E13" s="42" t="s">
        <v>87</v>
      </c>
      <c r="F13" s="39" t="s">
        <v>42</v>
      </c>
      <c r="G13" s="26">
        <v>86</v>
      </c>
      <c r="H13" s="106">
        <f>IF(B$29=0,0,G13/B$29)</f>
        <v>6.615384615384616E-2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803</v>
      </c>
      <c r="C14" s="18">
        <f>IF(B$28=0,0,B14/B$28)</f>
        <v>0.21533923303834809</v>
      </c>
      <c r="E14" s="42" t="s">
        <v>72</v>
      </c>
      <c r="F14" s="39" t="s">
        <v>27</v>
      </c>
      <c r="G14" s="26">
        <v>82</v>
      </c>
      <c r="H14" s="106">
        <f>IF(B$29=0,0,G14/B$29)</f>
        <v>6.3076923076923072E-2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684</v>
      </c>
      <c r="C15" s="16">
        <f>IF(B$13=0,0,B15/B$13)</f>
        <v>0.6184448462929476</v>
      </c>
      <c r="E15" s="42" t="s">
        <v>84</v>
      </c>
      <c r="F15" s="39" t="s">
        <v>39</v>
      </c>
      <c r="G15" s="26">
        <v>55</v>
      </c>
      <c r="H15" s="106">
        <f>IF(B$29=0,0,G15/B$29)</f>
        <v>4.230769230769231E-2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404</v>
      </c>
      <c r="C16" s="16">
        <f>IF(B$14=0,0,B16/B$14)</f>
        <v>0.50311332503113326</v>
      </c>
      <c r="E16" s="42" t="s">
        <v>163</v>
      </c>
      <c r="F16" s="39" t="s">
        <v>164</v>
      </c>
      <c r="G16" s="26">
        <v>30</v>
      </c>
      <c r="H16" s="106">
        <f>IF(B$29=0,0,G16/B$29)</f>
        <v>2.3076923076923078E-2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>IF(P16=0,0,Q16/P16)</f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1456</v>
      </c>
      <c r="C17" s="16">
        <f>IF(B$3=0,0,B17/B$3)</f>
        <v>0.34790919952210275</v>
      </c>
      <c r="E17" s="42" t="s">
        <v>79</v>
      </c>
      <c r="F17" s="39" t="s">
        <v>34</v>
      </c>
      <c r="G17" s="26">
        <v>27</v>
      </c>
      <c r="H17" s="106">
        <f>IF(B$29=0,0,G17/B$29)</f>
        <v>2.0769230769230769E-2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>IF(P17=0,0,Q17/P17)</f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583</v>
      </c>
      <c r="C18" s="18">
        <f>IF(B$17=0,0,B18/B$17)</f>
        <v>0.40041208791208793</v>
      </c>
      <c r="E18" s="42" t="s">
        <v>82</v>
      </c>
      <c r="F18" s="39" t="s">
        <v>37</v>
      </c>
      <c r="G18" s="26">
        <v>24</v>
      </c>
      <c r="H18" s="106">
        <f>IF(B$29=0,0,G18/B$29)</f>
        <v>1.8461538461538463E-2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>IF(P18=0,0,Q18/P18)</f>
        <v>47.199999999999989</v>
      </c>
      <c r="P18" s="92">
        <v>6</v>
      </c>
      <c r="Q18" s="80">
        <v>283.19999999999993</v>
      </c>
    </row>
    <row r="19" spans="1:17" x14ac:dyDescent="0.4">
      <c r="A19" s="34" t="s">
        <v>11</v>
      </c>
      <c r="B19" s="26">
        <v>873</v>
      </c>
      <c r="C19" s="18">
        <f>IF(B$17=0,0,B19/B$17)</f>
        <v>0.59958791208791207</v>
      </c>
      <c r="E19" s="42" t="s">
        <v>92</v>
      </c>
      <c r="F19" s="39" t="s">
        <v>47</v>
      </c>
      <c r="G19" s="26">
        <v>23</v>
      </c>
      <c r="H19" s="106">
        <f>IF(B$29=0,0,G19/B$29)</f>
        <v>1.7692307692307691E-2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>IF(P19=0,0,Q19/P19)</f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602</v>
      </c>
      <c r="C20" s="18">
        <f>IF(B$3=0,0,B20/B$3)</f>
        <v>0.14384707287933093</v>
      </c>
      <c r="E20" s="42" t="s">
        <v>80</v>
      </c>
      <c r="F20" s="39" t="s">
        <v>35</v>
      </c>
      <c r="G20" s="26">
        <v>14</v>
      </c>
      <c r="H20" s="106">
        <f>IF(B$29=0,0,G20/B$29)</f>
        <v>1.0769230769230769E-2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>IF(P20=0,0,Q20/P20)</f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>IF(B$29=0,0,G21/B$29)</f>
        <v>8.4615384615384613E-3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>IF(P21=0,0,Q21/P21)</f>
        <v>23.645054945054948</v>
      </c>
      <c r="P21" s="92">
        <v>91</v>
      </c>
      <c r="Q21" s="80">
        <v>2151.7000000000003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>IF(B$29=0,0,G22/B$29)</f>
        <v>7.6923076923076927E-3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>IF(P22=0,0,Q22/P22)</f>
        <v>19.496402877697843</v>
      </c>
      <c r="P22" s="92">
        <v>139</v>
      </c>
      <c r="Q22" s="80">
        <v>2710</v>
      </c>
    </row>
    <row r="23" spans="1:17" x14ac:dyDescent="0.4">
      <c r="A23" s="34" t="s">
        <v>5</v>
      </c>
      <c r="B23" s="30">
        <f>IF(B$17=0,0,C23/B$17)</f>
        <v>9430.9065934065929</v>
      </c>
      <c r="C23" s="20">
        <v>13731400</v>
      </c>
      <c r="E23" s="42" t="s">
        <v>93</v>
      </c>
      <c r="F23" s="39" t="s">
        <v>48</v>
      </c>
      <c r="G23" s="26">
        <v>9</v>
      </c>
      <c r="H23" s="106">
        <f>IF(B$29=0,0,G23/B$29)</f>
        <v>6.9230769230769233E-3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>IF(P23=0,0,Q23/P23)</f>
        <v>15.110756972111552</v>
      </c>
      <c r="P23" s="92">
        <v>251</v>
      </c>
      <c r="Q23" s="80">
        <v>3792.7999999999997</v>
      </c>
    </row>
    <row r="24" spans="1:17" x14ac:dyDescent="0.4">
      <c r="A24" s="36" t="s">
        <v>14</v>
      </c>
      <c r="B24" s="31">
        <f>IF(B$20=0,0,C24/B$20)</f>
        <v>-8589.2026578073092</v>
      </c>
      <c r="C24" s="24">
        <v>-5170700</v>
      </c>
      <c r="E24" s="42" t="s">
        <v>74</v>
      </c>
      <c r="F24" s="39" t="s">
        <v>29</v>
      </c>
      <c r="G24" s="26">
        <v>7</v>
      </c>
      <c r="H24" s="106">
        <f>IF(B$29=0,0,G24/B$29)</f>
        <v>5.3846153846153844E-3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>IF(P24=0,0,Q24/P24)</f>
        <v>13.144715447154477</v>
      </c>
      <c r="P24" s="92">
        <v>246</v>
      </c>
      <c r="Q24" s="80">
        <v>3233.6000000000013</v>
      </c>
    </row>
    <row r="25" spans="1:17" x14ac:dyDescent="0.4">
      <c r="A25" s="63" t="s">
        <v>139</v>
      </c>
      <c r="B25" s="121">
        <v>10</v>
      </c>
      <c r="C25" s="122"/>
      <c r="E25" s="42" t="s">
        <v>76</v>
      </c>
      <c r="F25" s="39" t="s">
        <v>31</v>
      </c>
      <c r="G25" s="26">
        <v>5</v>
      </c>
      <c r="H25" s="106">
        <f>IF(B$29=0,0,G25/B$29)</f>
        <v>3.8461538461538464E-3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>IF(P25=0,0,Q25/P25)</f>
        <v>8</v>
      </c>
      <c r="P25" s="92">
        <v>1</v>
      </c>
      <c r="Q25" s="80">
        <v>8</v>
      </c>
    </row>
    <row r="26" spans="1:17" x14ac:dyDescent="0.4">
      <c r="A26" s="37" t="s">
        <v>146</v>
      </c>
      <c r="B26" s="119">
        <v>120200</v>
      </c>
      <c r="C26" s="120"/>
      <c r="E26" s="42" t="s">
        <v>91</v>
      </c>
      <c r="F26" s="39" t="s">
        <v>46</v>
      </c>
      <c r="G26" s="26">
        <v>5</v>
      </c>
      <c r="H26" s="106">
        <f>IF(B$29=0,0,G26/B$29)</f>
        <v>3.8461538461538464E-3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>IF(P26=0,0,Q26/P26)</f>
        <v>6.771014492753622</v>
      </c>
      <c r="P26" s="92">
        <v>69</v>
      </c>
      <c r="Q26" s="80">
        <v>467.19999999999993</v>
      </c>
    </row>
    <row r="27" spans="1:17" x14ac:dyDescent="0.4">
      <c r="A27" s="36" t="s">
        <v>140</v>
      </c>
      <c r="B27" s="44">
        <v>3</v>
      </c>
      <c r="C27" s="21">
        <f>IF(B$3=0,0,B27/B$3)</f>
        <v>7.1684587813620072E-4</v>
      </c>
      <c r="E27" s="42" t="s">
        <v>85</v>
      </c>
      <c r="F27" s="39" t="s">
        <v>40</v>
      </c>
      <c r="G27" s="26">
        <v>4</v>
      </c>
      <c r="H27" s="106">
        <f>IF(B$29=0,0,G27/B$29)</f>
        <v>3.0769230769230769E-3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>IF(P27=0,0,Q27/P27)</f>
        <v>6.6877777777777778</v>
      </c>
      <c r="P27" s="92">
        <v>180</v>
      </c>
      <c r="Q27" s="80">
        <v>1203.8</v>
      </c>
    </row>
    <row r="28" spans="1:17" x14ac:dyDescent="0.4">
      <c r="A28" s="33" t="s">
        <v>179</v>
      </c>
      <c r="B28" s="115">
        <v>3729</v>
      </c>
      <c r="C28" s="116"/>
      <c r="E28" s="42" t="s">
        <v>75</v>
      </c>
      <c r="F28" s="39" t="s">
        <v>30</v>
      </c>
      <c r="G28" s="26">
        <v>3</v>
      </c>
      <c r="H28" s="106">
        <f>IF(B$29=0,0,G28/B$29)</f>
        <v>2.3076923076923079E-3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>IF(P28=0,0,Q28/P28)</f>
        <v>5.283333333333335</v>
      </c>
      <c r="P28" s="92">
        <v>30</v>
      </c>
      <c r="Q28" s="80">
        <v>158.50000000000006</v>
      </c>
    </row>
    <row r="29" spans="1:17" x14ac:dyDescent="0.4">
      <c r="A29" s="36" t="s">
        <v>180</v>
      </c>
      <c r="B29" s="117">
        <v>1300</v>
      </c>
      <c r="C29" s="118"/>
      <c r="E29" s="42" t="s">
        <v>88</v>
      </c>
      <c r="F29" s="39" t="s">
        <v>43</v>
      </c>
      <c r="G29" s="26">
        <v>3</v>
      </c>
      <c r="H29" s="106">
        <f>IF(B$29=0,0,G29/B$29)</f>
        <v>2.3076923076923079E-3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>IF(P29=0,0,Q29/P29)</f>
        <v>-13.45</v>
      </c>
      <c r="P29" s="92">
        <v>2</v>
      </c>
      <c r="Q29" s="80">
        <v>-26.9</v>
      </c>
    </row>
    <row r="30" spans="1:17" x14ac:dyDescent="0.4">
      <c r="E30" s="42" t="s">
        <v>89</v>
      </c>
      <c r="F30" s="39" t="s">
        <v>44</v>
      </c>
      <c r="G30" s="26">
        <v>3</v>
      </c>
      <c r="H30" s="106">
        <f>IF(B$29=0,0,G30/B$29)</f>
        <v>2.3076923076923079E-3</v>
      </c>
      <c r="I30" s="67">
        <v>2</v>
      </c>
      <c r="K30" s="17">
        <v>28</v>
      </c>
      <c r="L30" s="72">
        <v>129.20000000000002</v>
      </c>
    </row>
    <row r="31" spans="1:17" x14ac:dyDescent="0.4">
      <c r="E31" s="42" t="s">
        <v>94</v>
      </c>
      <c r="F31" s="39" t="s">
        <v>49</v>
      </c>
      <c r="G31" s="26">
        <v>3</v>
      </c>
      <c r="H31" s="106">
        <f>IF(B$29=0,0,G31/B$29)</f>
        <v>2.3076923076923079E-3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>IF(B$29=0,0,G32/B$29)</f>
        <v>2.3076923076923079E-3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>IF(B$29=0,0,G33/B$29)</f>
        <v>7.6923076923076923E-4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>IF(B$29=0,0,G35/B$29)</f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  <row r="530" spans="11:12" x14ac:dyDescent="0.4">
      <c r="K530" s="17">
        <v>528</v>
      </c>
      <c r="L530" s="72">
        <v>5170.7999999999993</v>
      </c>
    </row>
    <row r="531" spans="11:12" x14ac:dyDescent="0.4">
      <c r="K531" s="17">
        <v>529</v>
      </c>
      <c r="L531" s="72">
        <v>5175.3999999999996</v>
      </c>
    </row>
    <row r="532" spans="11:12" x14ac:dyDescent="0.4">
      <c r="K532" s="17">
        <v>530</v>
      </c>
      <c r="L532" s="72">
        <v>5202.5</v>
      </c>
    </row>
    <row r="533" spans="11:12" x14ac:dyDescent="0.4">
      <c r="K533" s="17">
        <v>531</v>
      </c>
      <c r="L533" s="72">
        <v>5220.5</v>
      </c>
    </row>
  </sheetData>
  <sortState xmlns:xlrd2="http://schemas.microsoft.com/office/spreadsheetml/2017/richdata2" ref="N15:Q2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AA78-BAB0-4FAB-A648-565F3EBC5FAE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65</v>
      </c>
      <c r="F2" s="38" t="s">
        <v>21</v>
      </c>
      <c r="G2" s="25">
        <v>0</v>
      </c>
      <c r="H2" s="105">
        <f>IF(B$29=0,0,G2/B$29)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27">
        <v>25</v>
      </c>
      <c r="C3" s="128"/>
      <c r="E3" s="42" t="s">
        <v>66</v>
      </c>
      <c r="F3" s="39" t="s">
        <v>22</v>
      </c>
      <c r="G3" s="26">
        <v>0</v>
      </c>
      <c r="H3" s="106">
        <f>IF(B$29=0,0,G3/B$29)</f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0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9">
        <v>-132.1</v>
      </c>
      <c r="C4" s="130"/>
      <c r="E4" s="42" t="s">
        <v>67</v>
      </c>
      <c r="F4" s="39" t="s">
        <v>23</v>
      </c>
      <c r="G4" s="26">
        <v>0</v>
      </c>
      <c r="H4" s="106">
        <f>IF(B$29=0,0,G4/B$29)</f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0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31">
        <f>IF(B$2=0,0,B$4/B$2)</f>
        <v>-33.024999999999999</v>
      </c>
      <c r="C5" s="132"/>
      <c r="E5" s="42" t="s">
        <v>68</v>
      </c>
      <c r="F5" s="39" t="s">
        <v>24</v>
      </c>
      <c r="G5" s="26">
        <v>0</v>
      </c>
      <c r="H5" s="106">
        <f>IF(B$29=0,0,G5/B$29)</f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0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23">
        <f>IF(B$2=0,0,(B$7*1+B$8*2+B$9*3)/B$2)</f>
        <v>3</v>
      </c>
      <c r="C6" s="124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0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>IF(B$29=0,0,G7/B$29)</f>
        <v>0</v>
      </c>
      <c r="I7" s="67">
        <v>18</v>
      </c>
      <c r="N7" s="89" t="s">
        <v>134</v>
      </c>
      <c r="O7" s="96">
        <f t="shared" si="0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>IF(B$29=0,0,G8/B$29)</f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1">IF(B$2=0,0,B9/B$2)</f>
        <v>1</v>
      </c>
      <c r="E9" s="42" t="s">
        <v>71</v>
      </c>
      <c r="F9" s="39" t="s">
        <v>26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>IF(B$29=0,0,G10/B$29)</f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>IF(B$29=0,0,G11/B$29)</f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>IF(B$29=0,0,G12/B$29)</f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39" t="s">
        <v>30</v>
      </c>
      <c r="G13" s="26">
        <v>0</v>
      </c>
      <c r="H13" s="106">
        <f>IF(B$29=0,0,G13/B$29)</f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39" t="s">
        <v>31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>IF(B$29=0,0,G15/B$29)</f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>IF(B$29=0,0,G16/B$29)</f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>IF(B$29=0,0,G17/B$29)</f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>IF(B$29=0,0,G18/B$29)</f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>IF(B$29=0,0,G19/B$29)</f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>IF(B$29=0,0,G20/B$29)</f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>IF(B$29=0,0,G21/B$29)</f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>IF(B$29=0,0,G22/B$29)</f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>IF(B$29=0,0,G23/B$29)</f>
        <v>0</v>
      </c>
      <c r="I23" s="67">
        <v>6</v>
      </c>
    </row>
    <row r="24" spans="1:17" x14ac:dyDescent="0.4">
      <c r="A24" s="36" t="s">
        <v>14</v>
      </c>
      <c r="B24" s="31">
        <f>IF(B$20=0,0,C24/B$20)</f>
        <v>-8240</v>
      </c>
      <c r="C24" s="24">
        <v>-82400</v>
      </c>
      <c r="E24" s="42" t="s">
        <v>86</v>
      </c>
      <c r="F24" s="39" t="s">
        <v>41</v>
      </c>
      <c r="G24" s="26">
        <v>0</v>
      </c>
      <c r="H24" s="106">
        <f>IF(B$29=0,0,G24/B$29)</f>
        <v>0</v>
      </c>
      <c r="I24" s="67">
        <v>8</v>
      </c>
    </row>
    <row r="25" spans="1:17" x14ac:dyDescent="0.4">
      <c r="A25" s="63" t="s">
        <v>139</v>
      </c>
      <c r="B25" s="121">
        <v>0</v>
      </c>
      <c r="C25" s="122"/>
      <c r="E25" s="42" t="s">
        <v>87</v>
      </c>
      <c r="F25" s="39" t="s">
        <v>42</v>
      </c>
      <c r="G25" s="26">
        <v>0</v>
      </c>
      <c r="H25" s="106">
        <f>IF(B$29=0,0,G25/B$29)</f>
        <v>0</v>
      </c>
      <c r="I25" s="67">
        <v>17</v>
      </c>
    </row>
    <row r="26" spans="1:17" x14ac:dyDescent="0.4">
      <c r="A26" s="37" t="s">
        <v>146</v>
      </c>
      <c r="B26" s="119">
        <v>13000</v>
      </c>
      <c r="C26" s="120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0</v>
      </c>
      <c r="C28" s="116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17">
        <v>0</v>
      </c>
      <c r="C29" s="118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8AAD8-CA05-42AA-BE12-751F0EF202E5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67</v>
      </c>
      <c r="F2" s="38" t="s">
        <v>23</v>
      </c>
      <c r="G2" s="25">
        <v>5</v>
      </c>
      <c r="H2" s="105">
        <f>IF(B$29=0,0,G2/B$29)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27">
        <v>24</v>
      </c>
      <c r="C3" s="128"/>
      <c r="E3" s="42" t="s">
        <v>73</v>
      </c>
      <c r="F3" s="39" t="s">
        <v>28</v>
      </c>
      <c r="G3" s="26">
        <v>3</v>
      </c>
      <c r="H3" s="106">
        <f>IF(B$29=0,0,G3/B$29)</f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0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9">
        <v>-15.5</v>
      </c>
      <c r="C4" s="130"/>
      <c r="E4" s="42" t="s">
        <v>65</v>
      </c>
      <c r="F4" s="39" t="s">
        <v>21</v>
      </c>
      <c r="G4" s="26">
        <v>2</v>
      </c>
      <c r="H4" s="106">
        <f>IF(B$29=0,0,G4/B$29)</f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0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31">
        <f>IF(B$2=0,0,B$4/B$2)</f>
        <v>-3.875</v>
      </c>
      <c r="C5" s="132"/>
      <c r="E5" s="42" t="s">
        <v>68</v>
      </c>
      <c r="F5" s="39" t="s">
        <v>24</v>
      </c>
      <c r="G5" s="26">
        <v>2</v>
      </c>
      <c r="H5" s="106">
        <f>IF(B$29=0,0,G5/B$29)</f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0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177</v>
      </c>
      <c r="F6" s="39" t="s">
        <v>178</v>
      </c>
      <c r="G6" s="26">
        <v>2</v>
      </c>
      <c r="H6" s="106">
        <f>IF(B$29=0,0,G6/B$29)</f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0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>IF(B$29=0,0,G8/B$29)</f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1">IF(B$2=0,0,B9/B$2)</f>
        <v>0.25</v>
      </c>
      <c r="E9" s="42" t="s">
        <v>70</v>
      </c>
      <c r="F9" s="39" t="s">
        <v>25</v>
      </c>
      <c r="G9" s="26">
        <v>1</v>
      </c>
      <c r="H9" s="106">
        <f>IF(B$29=0,0,G9/B$29)</f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>IF(B$29=0,0,G10/B$29)</f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>IF(B$29=0,0,G11/B$29)</f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>IF(B$29=0,0,G12/B$29)</f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IF(B$28=0,0,B13/B$28)</f>
        <v>0.42105263157894735</v>
      </c>
      <c r="E13" s="42" t="s">
        <v>66</v>
      </c>
      <c r="F13" s="39" t="s">
        <v>22</v>
      </c>
      <c r="G13" s="26">
        <v>0</v>
      </c>
      <c r="H13" s="106">
        <f>IF(B$29=0,0,G13/B$29)</f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IF(B$28=0,0,B14/B$28)</f>
        <v>0.10526315789473684</v>
      </c>
      <c r="E14" s="42" t="s">
        <v>71</v>
      </c>
      <c r="F14" s="39" t="s">
        <v>26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>IF(B$29=0,0,G15/B$29)</f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>IF(B$29=0,0,G16/B$29)</f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>IF(B$29=0,0,G17/B$29)</f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>IF(B$29=0,0,G18/B$29)</f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>IF(B$29=0,0,G19/B$29)</f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>IF(B$29=0,0,G20/B$29)</f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>IF(B$29=0,0,G21/B$29)</f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>IF(B$29=0,0,G22/B$29)</f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>IF(B$29=0,0,G23/B$29)</f>
        <v>0</v>
      </c>
      <c r="I23" s="67">
        <v>14</v>
      </c>
    </row>
    <row r="24" spans="1:17" x14ac:dyDescent="0.4">
      <c r="A24" s="36" t="s">
        <v>14</v>
      </c>
      <c r="B24" s="31">
        <f>IF(B$20=0,0,C24/B$20)</f>
        <v>-12000</v>
      </c>
      <c r="C24" s="24">
        <v>-48000</v>
      </c>
      <c r="E24" s="42" t="s">
        <v>83</v>
      </c>
      <c r="F24" s="39" t="s">
        <v>38</v>
      </c>
      <c r="G24" s="26">
        <v>0</v>
      </c>
      <c r="H24" s="106">
        <f>IF(B$29=0,0,G24/B$29)</f>
        <v>0</v>
      </c>
      <c r="I24" s="67">
        <v>1</v>
      </c>
    </row>
    <row r="25" spans="1:17" x14ac:dyDescent="0.4">
      <c r="A25" s="63" t="s">
        <v>139</v>
      </c>
      <c r="B25" s="121">
        <v>3</v>
      </c>
      <c r="C25" s="122"/>
      <c r="E25" s="42" t="s">
        <v>85</v>
      </c>
      <c r="F25" s="39" t="s">
        <v>40</v>
      </c>
      <c r="G25" s="26">
        <v>0</v>
      </c>
      <c r="H25" s="106">
        <f>IF(B$29=0,0,G25/B$29)</f>
        <v>0</v>
      </c>
      <c r="I25" s="67">
        <v>6</v>
      </c>
    </row>
    <row r="26" spans="1:17" x14ac:dyDescent="0.4">
      <c r="A26" s="37" t="s">
        <v>146</v>
      </c>
      <c r="B26" s="119">
        <v>46000</v>
      </c>
      <c r="C26" s="120"/>
      <c r="E26" s="42" t="s">
        <v>86</v>
      </c>
      <c r="F26" s="39" t="s">
        <v>41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17" x14ac:dyDescent="0.4">
      <c r="A28" s="33" t="s">
        <v>179</v>
      </c>
      <c r="B28" s="115">
        <v>19</v>
      </c>
      <c r="C28" s="116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17" x14ac:dyDescent="0.4">
      <c r="A29" s="36" t="s">
        <v>180</v>
      </c>
      <c r="B29" s="117">
        <v>4</v>
      </c>
      <c r="C29" s="118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E92A2-7CA1-4B7A-8C66-17CB66E378D0}">
  <sheetPr codeName="Sheet7"/>
  <dimension ref="A1:Q33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336</v>
      </c>
      <c r="C2" s="116"/>
      <c r="E2" s="41" t="s">
        <v>67</v>
      </c>
      <c r="F2" s="38" t="s">
        <v>23</v>
      </c>
      <c r="G2" s="25">
        <v>471</v>
      </c>
      <c r="H2" s="105">
        <f>IF(B$29=0,0,G2/B$29)</f>
        <v>0.69881305637982194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-84.38438438438439</v>
      </c>
      <c r="P2" s="91">
        <v>333</v>
      </c>
      <c r="Q2" s="75">
        <v>-28100</v>
      </c>
    </row>
    <row r="3" spans="1:17" x14ac:dyDescent="0.4">
      <c r="A3" s="34" t="s">
        <v>8</v>
      </c>
      <c r="B3" s="127">
        <v>2711</v>
      </c>
      <c r="C3" s="128"/>
      <c r="E3" s="42" t="s">
        <v>65</v>
      </c>
      <c r="F3" s="39" t="s">
        <v>21</v>
      </c>
      <c r="G3" s="26">
        <v>402</v>
      </c>
      <c r="H3" s="106">
        <f>IF(B$29=0,0,G3/B$29)</f>
        <v>0.59643916913946593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0">IF(P3=0,0,Q3/P3)</f>
        <v>-1421.9135802469136</v>
      </c>
      <c r="P3" s="92">
        <v>324</v>
      </c>
      <c r="Q3" s="76">
        <v>-460700</v>
      </c>
    </row>
    <row r="4" spans="1:17" x14ac:dyDescent="0.4">
      <c r="A4" s="34" t="s">
        <v>6</v>
      </c>
      <c r="B4" s="129">
        <v>-1290.2999999999997</v>
      </c>
      <c r="C4" s="130"/>
      <c r="E4" s="42" t="s">
        <v>73</v>
      </c>
      <c r="F4" s="39" t="s">
        <v>28</v>
      </c>
      <c r="G4" s="26">
        <v>321</v>
      </c>
      <c r="H4" s="106">
        <f>IF(B$29=0,0,G4/B$29)</f>
        <v>0.47626112759643918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0"/>
        <v>487.45980707395501</v>
      </c>
      <c r="P4" s="92">
        <v>311</v>
      </c>
      <c r="Q4" s="76">
        <v>151600</v>
      </c>
    </row>
    <row r="5" spans="1:17" x14ac:dyDescent="0.4">
      <c r="A5" s="34" t="s">
        <v>7</v>
      </c>
      <c r="B5" s="131">
        <f>IF(B$2=0,0,B$4/B$2)</f>
        <v>-3.8401785714285706</v>
      </c>
      <c r="C5" s="132"/>
      <c r="E5" s="42" t="s">
        <v>69</v>
      </c>
      <c r="F5" s="39" t="s">
        <v>12</v>
      </c>
      <c r="G5" s="26">
        <v>236</v>
      </c>
      <c r="H5" s="106">
        <f>IF(B$29=0,0,G5/B$29)</f>
        <v>0.35014836795252224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0"/>
        <v>-740.21352313167256</v>
      </c>
      <c r="P5" s="92">
        <v>281</v>
      </c>
      <c r="Q5" s="76">
        <v>-208000</v>
      </c>
    </row>
    <row r="6" spans="1:17" x14ac:dyDescent="0.4">
      <c r="A6" s="34" t="s">
        <v>1</v>
      </c>
      <c r="B6" s="123">
        <f>IF(B$2=0,0,(B$7*1+B$8*2+B$9*3)/B$2)</f>
        <v>2.1041666666666665</v>
      </c>
      <c r="C6" s="124"/>
      <c r="E6" s="42" t="s">
        <v>68</v>
      </c>
      <c r="F6" s="39" t="s">
        <v>24</v>
      </c>
      <c r="G6" s="26">
        <v>232</v>
      </c>
      <c r="H6" s="106">
        <f>IF(B$29=0,0,G6/B$29)</f>
        <v>0.34421364985163205</v>
      </c>
      <c r="I6" s="67">
        <v>6</v>
      </c>
      <c r="K6" s="17">
        <v>4</v>
      </c>
      <c r="L6" s="72">
        <v>3.6000000000000014</v>
      </c>
      <c r="N6" s="88" t="s">
        <v>133</v>
      </c>
      <c r="O6" s="95">
        <f t="shared" si="0"/>
        <v>-1028.2258064516129</v>
      </c>
      <c r="P6" s="92">
        <v>248</v>
      </c>
      <c r="Q6" s="76">
        <v>-255000</v>
      </c>
    </row>
    <row r="7" spans="1:17" x14ac:dyDescent="0.4">
      <c r="A7" s="34" t="s">
        <v>2</v>
      </c>
      <c r="B7" s="26">
        <v>91</v>
      </c>
      <c r="C7" s="18">
        <f>IF(B$2=0,0,B7/B$2)</f>
        <v>0.27083333333333331</v>
      </c>
      <c r="E7" s="42" t="s">
        <v>167</v>
      </c>
      <c r="F7" s="39" t="s">
        <v>168</v>
      </c>
      <c r="G7" s="26">
        <v>182</v>
      </c>
      <c r="H7" s="106">
        <f>IF(B$29=0,0,G7/B$29)</f>
        <v>0.27002967359050445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0"/>
        <v>-902.83018867924534</v>
      </c>
      <c r="P7" s="93">
        <v>212</v>
      </c>
      <c r="Q7" s="77">
        <v>-191400</v>
      </c>
    </row>
    <row r="8" spans="1:17" x14ac:dyDescent="0.4">
      <c r="A8" s="34" t="s">
        <v>3</v>
      </c>
      <c r="B8" s="26">
        <v>119</v>
      </c>
      <c r="C8" s="18">
        <f>IF(B$2=0,0,B8/B$2)</f>
        <v>0.35416666666666669</v>
      </c>
      <c r="E8" s="42" t="s">
        <v>177</v>
      </c>
      <c r="F8" s="39" t="s">
        <v>178</v>
      </c>
      <c r="G8" s="26">
        <v>179</v>
      </c>
      <c r="H8" s="106">
        <f>IF(B$29=0,0,G8/B$29)</f>
        <v>0.26557863501483681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126</v>
      </c>
      <c r="C9" s="19">
        <f t="shared" ref="C9" si="1">IF(B$2=0,0,B9/B$2)</f>
        <v>0.375</v>
      </c>
      <c r="E9" s="42" t="s">
        <v>70</v>
      </c>
      <c r="F9" s="39" t="s">
        <v>25</v>
      </c>
      <c r="G9" s="26">
        <v>128</v>
      </c>
      <c r="H9" s="106">
        <f>IF(B$29=0,0,G9/B$29)</f>
        <v>0.18991097922848665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0.15178571428571427</v>
      </c>
      <c r="E10" s="42" t="s">
        <v>66</v>
      </c>
      <c r="F10" s="39" t="s">
        <v>22</v>
      </c>
      <c r="G10" s="26">
        <v>94</v>
      </c>
      <c r="H10" s="106">
        <f>IF(B$29=0,0,G10/B$29)</f>
        <v>0.1394658753709199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0.10416666666666667</v>
      </c>
      <c r="E11" s="42" t="s">
        <v>90</v>
      </c>
      <c r="F11" s="39" t="s">
        <v>45</v>
      </c>
      <c r="G11" s="26">
        <v>91</v>
      </c>
      <c r="H11" s="106">
        <f>IF(B$29=0,0,G11/B$29)</f>
        <v>0.13501483679525222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6.8452380952380959E-2</v>
      </c>
      <c r="E12" s="42" t="s">
        <v>71</v>
      </c>
      <c r="F12" s="39" t="s">
        <v>26</v>
      </c>
      <c r="G12" s="26">
        <v>87</v>
      </c>
      <c r="H12" s="106">
        <f>IF(B$29=0,0,G12/B$29)</f>
        <v>0.12908011869436201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-9.9999999999999784E-2</v>
      </c>
      <c r="P12" s="93">
        <v>91</v>
      </c>
      <c r="Q12" s="81">
        <v>-9.0999999999999801</v>
      </c>
    </row>
    <row r="13" spans="1:17" x14ac:dyDescent="0.4">
      <c r="A13" s="37" t="s">
        <v>122</v>
      </c>
      <c r="B13" s="29">
        <v>716</v>
      </c>
      <c r="C13" s="23">
        <f>IF(B$28=0,0,B13/B$28)</f>
        <v>0.29224489795918368</v>
      </c>
      <c r="E13" s="42" t="s">
        <v>87</v>
      </c>
      <c r="F13" s="39" t="s">
        <v>42</v>
      </c>
      <c r="G13" s="26">
        <v>42</v>
      </c>
      <c r="H13" s="106">
        <f>IF(B$29=0,0,G13/B$29)</f>
        <v>6.2314540059347182E-2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428</v>
      </c>
      <c r="C14" s="18">
        <f>IF(B$28=0,0,B14/B$28)</f>
        <v>0.17469387755102042</v>
      </c>
      <c r="E14" s="42" t="s">
        <v>84</v>
      </c>
      <c r="F14" s="39" t="s">
        <v>39</v>
      </c>
      <c r="G14" s="26">
        <v>38</v>
      </c>
      <c r="H14" s="106">
        <f>IF(B$29=0,0,G14/B$29)</f>
        <v>5.637982195845697E-2</v>
      </c>
      <c r="I14" s="67">
        <v>6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417</v>
      </c>
      <c r="C15" s="16">
        <f>IF(B$13=0,0,B15/B$13)</f>
        <v>0.58240223463687146</v>
      </c>
      <c r="E15" s="42" t="s">
        <v>72</v>
      </c>
      <c r="F15" s="39" t="s">
        <v>27</v>
      </c>
      <c r="G15" s="26">
        <v>30</v>
      </c>
      <c r="H15" s="106">
        <f>IF(B$29=0,0,G15/B$29)</f>
        <v>4.4510385756676561E-2</v>
      </c>
      <c r="I15" s="67">
        <v>11</v>
      </c>
      <c r="K15" s="17">
        <v>13</v>
      </c>
      <c r="L15" s="72">
        <v>49.5</v>
      </c>
      <c r="N15" s="87" t="s">
        <v>183</v>
      </c>
      <c r="O15" s="97">
        <f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152</v>
      </c>
      <c r="C16" s="16">
        <f>IF(B$14=0,0,B16/B$14)</f>
        <v>0.35514018691588783</v>
      </c>
      <c r="E16" s="42" t="s">
        <v>82</v>
      </c>
      <c r="F16" s="39" t="s">
        <v>37</v>
      </c>
      <c r="G16" s="26">
        <v>23</v>
      </c>
      <c r="H16" s="106">
        <f>IF(B$29=0,0,G16/B$29)</f>
        <v>3.4124629080118693E-2</v>
      </c>
      <c r="I16" s="67">
        <v>5</v>
      </c>
      <c r="K16" s="17">
        <v>14</v>
      </c>
      <c r="L16" s="72">
        <v>33</v>
      </c>
      <c r="N16" s="88" t="s">
        <v>175</v>
      </c>
      <c r="O16" s="98">
        <f>IF(P16=0,0,Q16/P16)</f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735</v>
      </c>
      <c r="C17" s="16">
        <f>IF(B$3=0,0,B17/B$3)</f>
        <v>0.27111766875691629</v>
      </c>
      <c r="E17" s="42" t="s">
        <v>79</v>
      </c>
      <c r="F17" s="39" t="s">
        <v>34</v>
      </c>
      <c r="G17" s="26">
        <v>15</v>
      </c>
      <c r="H17" s="106">
        <f>IF(B$29=0,0,G17/B$29)</f>
        <v>2.2255192878338281E-2</v>
      </c>
      <c r="I17" s="67">
        <v>8</v>
      </c>
      <c r="K17" s="17">
        <v>15</v>
      </c>
      <c r="L17" s="72">
        <v>38.5</v>
      </c>
      <c r="N17" s="88" t="s">
        <v>162</v>
      </c>
      <c r="O17" s="98">
        <f>IF(P17=0,0,Q17/P17)</f>
        <v>10.173529411764706</v>
      </c>
      <c r="P17" s="92">
        <v>68</v>
      </c>
      <c r="Q17" s="80">
        <v>691.80000000000007</v>
      </c>
    </row>
    <row r="18" spans="1:17" x14ac:dyDescent="0.4">
      <c r="A18" s="34" t="s">
        <v>12</v>
      </c>
      <c r="B18" s="26">
        <v>325</v>
      </c>
      <c r="C18" s="18">
        <f>IF(B$17=0,0,B18/B$17)</f>
        <v>0.44217687074829931</v>
      </c>
      <c r="E18" s="42" t="s">
        <v>92</v>
      </c>
      <c r="F18" s="39" t="s">
        <v>47</v>
      </c>
      <c r="G18" s="26">
        <v>15</v>
      </c>
      <c r="H18" s="106">
        <f>IF(B$29=0,0,G18/B$29)</f>
        <v>2.2255192878338281E-2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>IF(P18=0,0,Q18/P18)</f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410</v>
      </c>
      <c r="C19" s="18">
        <f>IF(B$17=0,0,B19/B$17)</f>
        <v>0.55782312925170063</v>
      </c>
      <c r="E19" s="42" t="s">
        <v>80</v>
      </c>
      <c r="F19" s="39" t="s">
        <v>35</v>
      </c>
      <c r="G19" s="26">
        <v>11</v>
      </c>
      <c r="H19" s="106">
        <f>IF(B$29=0,0,G19/B$29)</f>
        <v>1.6320474777448073E-2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>IF(P19=0,0,Q19/P19)</f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509</v>
      </c>
      <c r="C20" s="18">
        <f>IF(B$3=0,0,B20/B$3)</f>
        <v>0.18775359645887127</v>
      </c>
      <c r="E20" s="42" t="s">
        <v>163</v>
      </c>
      <c r="F20" s="39" t="s">
        <v>164</v>
      </c>
      <c r="G20" s="26">
        <v>9</v>
      </c>
      <c r="H20" s="106">
        <f>IF(B$29=0,0,G20/B$29)</f>
        <v>1.3353115727002967E-2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>IF(P20=0,0,Q20/P20)</f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>IF(B$29=0,0,G21/B$29)</f>
        <v>8.9020771513353119E-3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>IF(P21=0,0,Q21/P21)</f>
        <v>-3.5685950413223142</v>
      </c>
      <c r="P21" s="92">
        <v>121</v>
      </c>
      <c r="Q21" s="80">
        <v>-431.8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>IF(B$29=0,0,G22/B$29)</f>
        <v>5.9347181008902079E-3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>IF(P22=0,0,Q22/P22)</f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9502.4489795918362</v>
      </c>
      <c r="C23" s="20">
        <v>6984300</v>
      </c>
      <c r="E23" s="42" t="s">
        <v>75</v>
      </c>
      <c r="F23" s="39" t="s">
        <v>30</v>
      </c>
      <c r="G23" s="26">
        <v>3</v>
      </c>
      <c r="H23" s="106">
        <f>IF(B$29=0,0,G23/B$29)</f>
        <v>4.4510385756676559E-3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>IF(P23=0,0,Q23/P23)</f>
        <v>-8.3408163265306055</v>
      </c>
      <c r="P23" s="92">
        <v>49</v>
      </c>
      <c r="Q23" s="80">
        <v>-408.6999999999997</v>
      </c>
    </row>
    <row r="24" spans="1:17" x14ac:dyDescent="0.4">
      <c r="A24" s="36" t="s">
        <v>14</v>
      </c>
      <c r="B24" s="31">
        <f>IF(B$20=0,0,C24/B$20)</f>
        <v>-8433.3988212180739</v>
      </c>
      <c r="C24" s="24">
        <v>-4292600</v>
      </c>
      <c r="E24" s="42" t="s">
        <v>85</v>
      </c>
      <c r="F24" s="39" t="s">
        <v>40</v>
      </c>
      <c r="G24" s="26">
        <v>3</v>
      </c>
      <c r="H24" s="106">
        <f>IF(B$29=0,0,G24/B$29)</f>
        <v>4.4510385756676559E-3</v>
      </c>
      <c r="I24" s="67">
        <v>2</v>
      </c>
      <c r="K24" s="17">
        <v>22</v>
      </c>
      <c r="L24" s="72">
        <v>-94.6</v>
      </c>
      <c r="N24" s="88" t="s">
        <v>127</v>
      </c>
      <c r="O24" s="98">
        <f>IF(P24=0,0,Q24/P24)</f>
        <v>-15.110756972111552</v>
      </c>
      <c r="P24" s="92">
        <v>251</v>
      </c>
      <c r="Q24" s="80">
        <v>-3792.7999999999997</v>
      </c>
    </row>
    <row r="25" spans="1:17" x14ac:dyDescent="0.4">
      <c r="A25" s="63" t="s">
        <v>139</v>
      </c>
      <c r="B25" s="121">
        <v>10</v>
      </c>
      <c r="C25" s="122"/>
      <c r="E25" s="42" t="s">
        <v>93</v>
      </c>
      <c r="F25" s="39" t="s">
        <v>48</v>
      </c>
      <c r="G25" s="26">
        <v>3</v>
      </c>
      <c r="H25" s="106">
        <f>IF(B$29=0,0,G25/B$29)</f>
        <v>4.4510385756676559E-3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>IF(P25=0,0,Q25/P25)</f>
        <v>-22.533333333333335</v>
      </c>
      <c r="P25" s="92">
        <v>3</v>
      </c>
      <c r="Q25" s="80">
        <v>-67.600000000000009</v>
      </c>
    </row>
    <row r="26" spans="1:17" x14ac:dyDescent="0.4">
      <c r="A26" s="37" t="s">
        <v>146</v>
      </c>
      <c r="B26" s="119">
        <v>107600</v>
      </c>
      <c r="C26" s="120"/>
      <c r="E26" s="42" t="s">
        <v>86</v>
      </c>
      <c r="F26" s="39" t="s">
        <v>41</v>
      </c>
      <c r="G26" s="26">
        <v>2</v>
      </c>
      <c r="H26" s="106">
        <f>IF(B$29=0,0,G26/B$29)</f>
        <v>2.967359050445104E-3</v>
      </c>
      <c r="I26" s="67">
        <v>6</v>
      </c>
      <c r="K26" s="17">
        <v>24</v>
      </c>
      <c r="L26" s="72">
        <v>-68.099999999999994</v>
      </c>
      <c r="N26" s="88" t="s">
        <v>186</v>
      </c>
      <c r="O26" s="98">
        <f>IF(P26=0,0,Q26/P26)</f>
        <v>-29.333333333333332</v>
      </c>
      <c r="P26" s="92">
        <v>3</v>
      </c>
      <c r="Q26" s="80">
        <v>-88</v>
      </c>
    </row>
    <row r="27" spans="1:17" x14ac:dyDescent="0.4">
      <c r="A27" s="36" t="s">
        <v>140</v>
      </c>
      <c r="B27" s="44">
        <v>11</v>
      </c>
      <c r="C27" s="21">
        <f>IF(B$3=0,0,B27/B$3)</f>
        <v>4.0575433419402437E-3</v>
      </c>
      <c r="E27" s="42" t="s">
        <v>89</v>
      </c>
      <c r="F27" s="39" t="s">
        <v>44</v>
      </c>
      <c r="G27" s="26">
        <v>2</v>
      </c>
      <c r="H27" s="106">
        <f>IF(B$29=0,0,G27/B$29)</f>
        <v>2.967359050445104E-3</v>
      </c>
      <c r="I27" s="67">
        <v>1</v>
      </c>
      <c r="K27" s="17">
        <v>25</v>
      </c>
      <c r="L27" s="72">
        <v>-70.899999999999991</v>
      </c>
    </row>
    <row r="28" spans="1:17" x14ac:dyDescent="0.4">
      <c r="A28" s="33" t="s">
        <v>179</v>
      </c>
      <c r="B28" s="115">
        <v>2450</v>
      </c>
      <c r="C28" s="116"/>
      <c r="E28" s="42" t="s">
        <v>78</v>
      </c>
      <c r="F28" s="39" t="s">
        <v>33</v>
      </c>
      <c r="G28" s="26">
        <v>1</v>
      </c>
      <c r="H28" s="106">
        <f>IF(B$29=0,0,G28/B$29)</f>
        <v>1.483679525222552E-3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180</v>
      </c>
      <c r="B29" s="117">
        <v>674</v>
      </c>
      <c r="C29" s="118"/>
      <c r="E29" s="42" t="s">
        <v>81</v>
      </c>
      <c r="F29" s="39" t="s">
        <v>36</v>
      </c>
      <c r="G29" s="26">
        <v>1</v>
      </c>
      <c r="H29" s="106">
        <f>IF(B$29=0,0,G29/B$29)</f>
        <v>1.483679525222552E-3</v>
      </c>
      <c r="I29" s="67">
        <v>1</v>
      </c>
      <c r="K29" s="17">
        <v>27</v>
      </c>
      <c r="L29" s="72">
        <v>-163.6</v>
      </c>
    </row>
    <row r="30" spans="1:17" x14ac:dyDescent="0.4">
      <c r="E30" s="42" t="s">
        <v>88</v>
      </c>
      <c r="F30" s="39" t="s">
        <v>43</v>
      </c>
      <c r="G30" s="26">
        <v>1</v>
      </c>
      <c r="H30" s="106">
        <f>IF(B$29=0,0,G30/B$29)</f>
        <v>1.483679525222552E-3</v>
      </c>
      <c r="I30" s="67">
        <v>7</v>
      </c>
      <c r="K30" s="17">
        <v>28</v>
      </c>
      <c r="L30" s="72">
        <v>-169.5</v>
      </c>
    </row>
    <row r="31" spans="1:17" x14ac:dyDescent="0.4">
      <c r="E31" s="42" t="s">
        <v>94</v>
      </c>
      <c r="F31" s="39" t="s">
        <v>49</v>
      </c>
      <c r="G31" s="26">
        <v>1</v>
      </c>
      <c r="H31" s="106">
        <f>IF(B$29=0,0,G31/B$29)</f>
        <v>1.483679525222552E-3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>IF(B$29=0,0,G32/B$29)</f>
        <v>1.483679525222552E-3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33BA-B00D-49CD-B55D-AD81F7E592B1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89</v>
      </c>
      <c r="C2" s="116"/>
      <c r="E2" s="41" t="s">
        <v>67</v>
      </c>
      <c r="F2" s="38" t="s">
        <v>23</v>
      </c>
      <c r="G2" s="25">
        <v>108</v>
      </c>
      <c r="H2" s="105">
        <f>IF(B$29=0,0,G2/B$29)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27">
        <v>655</v>
      </c>
      <c r="C3" s="128"/>
      <c r="E3" s="42" t="s">
        <v>73</v>
      </c>
      <c r="F3" s="39" t="s">
        <v>28</v>
      </c>
      <c r="G3" s="26">
        <v>79</v>
      </c>
      <c r="H3" s="106">
        <f>IF(B$29=0,0,G3/B$29)</f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0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9">
        <v>-32.699999999999989</v>
      </c>
      <c r="C4" s="130"/>
      <c r="E4" s="42" t="s">
        <v>177</v>
      </c>
      <c r="F4" s="39" t="s">
        <v>178</v>
      </c>
      <c r="G4" s="26">
        <v>69</v>
      </c>
      <c r="H4" s="106">
        <f>IF(B$29=0,0,G4/B$29)</f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0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31">
        <f>IF(B$2=0,0,B$4/B$2)</f>
        <v>-0.36741573033707853</v>
      </c>
      <c r="C5" s="132"/>
      <c r="E5" s="42" t="s">
        <v>65</v>
      </c>
      <c r="F5" s="39" t="s">
        <v>21</v>
      </c>
      <c r="G5" s="26">
        <v>58</v>
      </c>
      <c r="H5" s="106">
        <f>IF(B$29=0,0,G5/B$29)</f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0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69</v>
      </c>
      <c r="F6" s="39" t="s">
        <v>12</v>
      </c>
      <c r="G6" s="26">
        <v>35</v>
      </c>
      <c r="H6" s="106">
        <f>IF(B$29=0,0,G6/B$29)</f>
        <v>0.27777777777777779</v>
      </c>
      <c r="I6" s="67">
        <v>13</v>
      </c>
      <c r="K6" s="17">
        <v>4</v>
      </c>
      <c r="L6" s="72">
        <v>-53.7</v>
      </c>
      <c r="N6" s="88" t="s">
        <v>133</v>
      </c>
      <c r="O6" s="95">
        <f t="shared" si="0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>IF(B$29=0,0,G7/B$29)</f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0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>IF(B$29=0,0,G8/B$29)</f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1">IF(B$2=0,0,B9/B$2)</f>
        <v>0.33707865168539325</v>
      </c>
      <c r="E9" s="42" t="s">
        <v>167</v>
      </c>
      <c r="F9" s="39" t="s">
        <v>168</v>
      </c>
      <c r="G9" s="26">
        <v>16</v>
      </c>
      <c r="H9" s="106">
        <f>IF(B$29=0,0,G9/B$29)</f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>IF(B$29=0,0,G10/B$29)</f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>IF(B$29=0,0,G11/B$29)</f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>IF(B$29=0,0,G12/B$29)</f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IF(B$28=0,0,B13/B$28)</f>
        <v>0.23261390887290168</v>
      </c>
      <c r="E13" s="42" t="s">
        <v>66</v>
      </c>
      <c r="F13" s="39" t="s">
        <v>22</v>
      </c>
      <c r="G13" s="26">
        <v>9</v>
      </c>
      <c r="H13" s="106">
        <f>IF(B$29=0,0,G13/B$29)</f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IF(B$28=0,0,B14/B$28)</f>
        <v>0.27577937649880097</v>
      </c>
      <c r="E14" s="42" t="s">
        <v>72</v>
      </c>
      <c r="F14" s="39" t="s">
        <v>27</v>
      </c>
      <c r="G14" s="26">
        <v>5</v>
      </c>
      <c r="H14" s="106">
        <f>IF(B$29=0,0,G14/B$29)</f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>IF(B$29=0,0,G15/B$29)</f>
        <v>3.968253968253968E-2</v>
      </c>
      <c r="I15" s="67">
        <v>3</v>
      </c>
      <c r="K15" s="17">
        <v>13</v>
      </c>
      <c r="L15" s="72">
        <v>-12.4</v>
      </c>
      <c r="N15" s="87" t="s">
        <v>174</v>
      </c>
      <c r="O15" s="97">
        <f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>IF(B$29=0,0,G16/B$29)</f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>IF(P16=0,0,Q16/P16)</f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>IF(B$29=0,0,G17/B$29)</f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>IF(P17=0,0,Q17/P17)</f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>IF(B$29=0,0,G18/B$29)</f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>IF(P18=0,0,Q18/P18)</f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>IF(B$29=0,0,G19/B$29)</f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>IF(P19=0,0,Q19/P19)</f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>IF(B$29=0,0,G20/B$29)</f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>IF(P20=0,0,Q20/P20)</f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>IF(B$29=0,0,G21/B$29)</f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>IF(P21=0,0,Q21/P21)</f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>IF(B$29=0,0,G22/B$29)</f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>IF(P22=0,0,Q22/P22)</f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>IF(B$29=0,0,G23/B$29)</f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>IF(P23=0,0,Q23/P23)</f>
        <v>-18.385714285714283</v>
      </c>
      <c r="P23" s="92">
        <v>7</v>
      </c>
      <c r="Q23" s="80">
        <v>-128.69999999999999</v>
      </c>
    </row>
    <row r="24" spans="1:17" x14ac:dyDescent="0.4">
      <c r="A24" s="36" t="s">
        <v>14</v>
      </c>
      <c r="B24" s="31">
        <f>IF(B$20=0,0,C24/B$20)</f>
        <v>-9222.8070175438588</v>
      </c>
      <c r="C24" s="24">
        <v>-1051400</v>
      </c>
      <c r="E24" s="42" t="s">
        <v>98</v>
      </c>
      <c r="F24" s="39" t="s">
        <v>53</v>
      </c>
      <c r="G24" s="26">
        <v>1</v>
      </c>
      <c r="H24" s="106">
        <f>IF(B$29=0,0,G24/B$29)</f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>IF(P24=0,0,Q24/P24)</f>
        <v>-26.466666666666665</v>
      </c>
      <c r="P24" s="92">
        <v>3</v>
      </c>
      <c r="Q24" s="80">
        <v>-79.399999999999991</v>
      </c>
    </row>
    <row r="25" spans="1:17" x14ac:dyDescent="0.4">
      <c r="A25" s="63" t="s">
        <v>139</v>
      </c>
      <c r="B25" s="121">
        <v>7</v>
      </c>
      <c r="C25" s="122"/>
      <c r="E25" s="42" t="s">
        <v>77</v>
      </c>
      <c r="F25" s="39" t="s">
        <v>32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>IF(P25=0,0,Q25/P25)</f>
        <v>-81.3</v>
      </c>
      <c r="P25" s="92">
        <v>3</v>
      </c>
      <c r="Q25" s="80">
        <v>-243.89999999999998</v>
      </c>
    </row>
    <row r="26" spans="1:17" x14ac:dyDescent="0.4">
      <c r="A26" s="37" t="s">
        <v>146</v>
      </c>
      <c r="B26" s="119">
        <v>118000</v>
      </c>
      <c r="C26" s="120"/>
      <c r="E26" s="42" t="s">
        <v>78</v>
      </c>
      <c r="F26" s="39" t="s">
        <v>33</v>
      </c>
      <c r="G26" s="26">
        <v>0</v>
      </c>
      <c r="H26" s="106">
        <f>IF(B$29=0,0,G26/B$29)</f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36" t="s">
        <v>140</v>
      </c>
      <c r="B27" s="44">
        <v>1</v>
      </c>
      <c r="C27" s="21">
        <f>IF(B$3=0,0,B27/B$3)</f>
        <v>1.5267175572519084E-3</v>
      </c>
      <c r="E27" s="42" t="s">
        <v>81</v>
      </c>
      <c r="F27" s="39" t="s">
        <v>36</v>
      </c>
      <c r="G27" s="26">
        <v>0</v>
      </c>
      <c r="H27" s="106">
        <f>IF(B$29=0,0,G27/B$29)</f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3" t="s">
        <v>179</v>
      </c>
      <c r="B28" s="115">
        <v>417</v>
      </c>
      <c r="C28" s="116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180</v>
      </c>
      <c r="B29" s="117">
        <v>126</v>
      </c>
      <c r="C29" s="118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174.7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1F7DE-67FE-4BAB-AD74-776A3F3E2741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</v>
      </c>
      <c r="C2" s="116"/>
      <c r="E2" s="41" t="s">
        <v>65</v>
      </c>
      <c r="F2" s="38" t="s">
        <v>21</v>
      </c>
      <c r="G2" s="25">
        <v>6</v>
      </c>
      <c r="H2" s="105">
        <f>IF(B$29=0,0,G2/B$29)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27">
        <v>37</v>
      </c>
      <c r="C3" s="128"/>
      <c r="E3" s="42" t="s">
        <v>177</v>
      </c>
      <c r="F3" s="39" t="s">
        <v>178</v>
      </c>
      <c r="G3" s="26">
        <v>6</v>
      </c>
      <c r="H3" s="106">
        <f>IF(B$29=0,0,G3/B$29)</f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0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9">
        <v>-86.4</v>
      </c>
      <c r="C4" s="130"/>
      <c r="E4" s="42" t="s">
        <v>66</v>
      </c>
      <c r="F4" s="39" t="s">
        <v>22</v>
      </c>
      <c r="G4" s="26">
        <v>4</v>
      </c>
      <c r="H4" s="106">
        <f>IF(B$29=0,0,G4/B$29)</f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0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31">
        <f>IF(B$2=0,0,B$4/B$2)</f>
        <v>-17.28</v>
      </c>
      <c r="C5" s="132"/>
      <c r="E5" s="42" t="s">
        <v>73</v>
      </c>
      <c r="F5" s="39" t="s">
        <v>28</v>
      </c>
      <c r="G5" s="26">
        <v>4</v>
      </c>
      <c r="H5" s="106">
        <f>IF(B$29=0,0,G5/B$29)</f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0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23">
        <f>IF(B$2=0,0,(B$7*1+B$8*2+B$9*3)/B$2)</f>
        <v>2.2000000000000002</v>
      </c>
      <c r="C6" s="124"/>
      <c r="E6" s="42" t="s">
        <v>69</v>
      </c>
      <c r="F6" s="39" t="s">
        <v>12</v>
      </c>
      <c r="G6" s="26">
        <v>3</v>
      </c>
      <c r="H6" s="106">
        <f>IF(B$29=0,0,G6/B$29)</f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0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>IF(B$29=0,0,G7/B$29)</f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0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>IF(B$29=0,0,G8/B$29)</f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0.4</v>
      </c>
      <c r="E9" s="42" t="s">
        <v>67</v>
      </c>
      <c r="F9" s="39" t="s">
        <v>23</v>
      </c>
      <c r="G9" s="26">
        <v>1</v>
      </c>
      <c r="H9" s="106">
        <f>IF(B$29=0,0,G9/B$29)</f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>IF(B$29=0,0,G10/B$29)</f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>IF(B$29=0,0,G11/B$29)</f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>IF(B$29=0,0,G12/B$29)</f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IF(B$28=0,0,B13/B$28)</f>
        <v>0.25806451612903225</v>
      </c>
      <c r="E13" s="42" t="s">
        <v>72</v>
      </c>
      <c r="F13" s="39" t="s">
        <v>27</v>
      </c>
      <c r="G13" s="26">
        <v>0</v>
      </c>
      <c r="H13" s="106">
        <f>IF(B$29=0,0,G13/B$29)</f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IF(B$28=0,0,B14/B$28)</f>
        <v>0.16129032258064516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>IF(B$29=0,0,G20/B$29)</f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>IF(B$29=0,0,G21/B$29)</f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17" x14ac:dyDescent="0.4">
      <c r="A24" s="36" t="s">
        <v>14</v>
      </c>
      <c r="B24" s="31">
        <f>IF(B$20=0,0,C24/B$20)</f>
        <v>-12487.5</v>
      </c>
      <c r="C24" s="24">
        <v>-99900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17" x14ac:dyDescent="0.4">
      <c r="A25" s="63" t="s">
        <v>139</v>
      </c>
      <c r="B25" s="121">
        <v>3</v>
      </c>
      <c r="C25" s="122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17" x14ac:dyDescent="0.4">
      <c r="A26" s="37" t="s">
        <v>146</v>
      </c>
      <c r="B26" s="119">
        <v>57800</v>
      </c>
      <c r="C26" s="120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31</v>
      </c>
      <c r="C28" s="116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17">
        <v>9</v>
      </c>
      <c r="C29" s="118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398E8-3DDC-409A-8672-3CFDDE9ED5DE}">
  <sheetPr codeName="Sheet10"/>
  <dimension ref="A1:Q21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162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214</v>
      </c>
      <c r="C2" s="116"/>
      <c r="E2" s="41" t="s">
        <v>67</v>
      </c>
      <c r="F2" s="38" t="s">
        <v>23</v>
      </c>
      <c r="G2" s="25">
        <v>316</v>
      </c>
      <c r="H2" s="105">
        <f>IF(B$29=0,0,G2/B$29)</f>
        <v>0.65560165975103735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-364.01869158878503</v>
      </c>
      <c r="P2" s="91">
        <v>214</v>
      </c>
      <c r="Q2" s="75">
        <v>-77900</v>
      </c>
    </row>
    <row r="3" spans="1:17" x14ac:dyDescent="0.4">
      <c r="A3" s="34" t="s">
        <v>8</v>
      </c>
      <c r="B3" s="127">
        <v>1756</v>
      </c>
      <c r="C3" s="128"/>
      <c r="E3" s="42" t="s">
        <v>73</v>
      </c>
      <c r="F3" s="39" t="s">
        <v>28</v>
      </c>
      <c r="G3" s="26">
        <v>272</v>
      </c>
      <c r="H3" s="106">
        <f>IF(B$29=0,0,G3/B$29)</f>
        <v>0.56431535269709543</v>
      </c>
      <c r="I3" s="67">
        <v>8</v>
      </c>
      <c r="K3" s="17">
        <v>1</v>
      </c>
      <c r="L3" s="72">
        <v>68.2</v>
      </c>
      <c r="N3" s="88" t="s">
        <v>130</v>
      </c>
      <c r="O3" s="95">
        <f t="shared" ref="O3:O7" si="0">IF(P3=0,0,Q3/P3)</f>
        <v>-1713.4615384615386</v>
      </c>
      <c r="P3" s="92">
        <v>208</v>
      </c>
      <c r="Q3" s="76">
        <v>-356400</v>
      </c>
    </row>
    <row r="4" spans="1:17" x14ac:dyDescent="0.4">
      <c r="A4" s="34" t="s">
        <v>6</v>
      </c>
      <c r="B4" s="129">
        <v>-914.1</v>
      </c>
      <c r="C4" s="130"/>
      <c r="E4" s="42" t="s">
        <v>65</v>
      </c>
      <c r="F4" s="39" t="s">
        <v>21</v>
      </c>
      <c r="G4" s="26">
        <v>185</v>
      </c>
      <c r="H4" s="106">
        <f>IF(B$29=0,0,G4/B$29)</f>
        <v>0.38381742738589214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0"/>
        <v>-800.52910052910056</v>
      </c>
      <c r="P4" s="92">
        <v>189</v>
      </c>
      <c r="Q4" s="76">
        <v>-151300</v>
      </c>
    </row>
    <row r="5" spans="1:17" x14ac:dyDescent="0.4">
      <c r="A5" s="34" t="s">
        <v>7</v>
      </c>
      <c r="B5" s="131">
        <f>IF(B$2=0,0,B$4/B$2)</f>
        <v>-4.2714953271028042</v>
      </c>
      <c r="C5" s="132"/>
      <c r="E5" s="42" t="s">
        <v>167</v>
      </c>
      <c r="F5" s="39" t="s">
        <v>168</v>
      </c>
      <c r="G5" s="26">
        <v>146</v>
      </c>
      <c r="H5" s="106">
        <f>IF(B$29=0,0,G5/B$29)</f>
        <v>0.30290456431535268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0"/>
        <v>240.33149171270719</v>
      </c>
      <c r="P5" s="92">
        <v>181</v>
      </c>
      <c r="Q5" s="76">
        <v>43500</v>
      </c>
    </row>
    <row r="6" spans="1:17" x14ac:dyDescent="0.4">
      <c r="A6" s="34" t="s">
        <v>1</v>
      </c>
      <c r="B6" s="123">
        <f>IF(B$2=0,0,(B$7*1+B$8*2+B$9*3)/B$2)</f>
        <v>2.1261682242990654</v>
      </c>
      <c r="C6" s="124"/>
      <c r="E6" s="42" t="s">
        <v>69</v>
      </c>
      <c r="F6" s="39" t="s">
        <v>12</v>
      </c>
      <c r="G6" s="26">
        <v>134</v>
      </c>
      <c r="H6" s="106">
        <f>IF(B$29=0,0,G6/B$29)</f>
        <v>0.27800829875518673</v>
      </c>
      <c r="I6" s="67">
        <v>12</v>
      </c>
      <c r="K6" s="17">
        <v>4</v>
      </c>
      <c r="L6" s="72">
        <v>57.699999999999996</v>
      </c>
      <c r="N6" s="88" t="s">
        <v>133</v>
      </c>
      <c r="O6" s="95">
        <f t="shared" si="0"/>
        <v>-862.80487804878044</v>
      </c>
      <c r="P6" s="92">
        <v>164</v>
      </c>
      <c r="Q6" s="76">
        <v>-141500</v>
      </c>
    </row>
    <row r="7" spans="1:17" x14ac:dyDescent="0.4">
      <c r="A7" s="34" t="s">
        <v>2</v>
      </c>
      <c r="B7" s="26">
        <v>52</v>
      </c>
      <c r="C7" s="18">
        <f>IF(B$2=0,0,B7/B$2)</f>
        <v>0.24299065420560748</v>
      </c>
      <c r="E7" s="42" t="s">
        <v>177</v>
      </c>
      <c r="F7" s="39" t="s">
        <v>178</v>
      </c>
      <c r="G7" s="26">
        <v>118</v>
      </c>
      <c r="H7" s="106">
        <f>IF(B$29=0,0,G7/B$29)</f>
        <v>0.24481327800829875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0"/>
        <v>-1012.4087591240876</v>
      </c>
      <c r="P7" s="93">
        <v>137</v>
      </c>
      <c r="Q7" s="77">
        <v>-138700</v>
      </c>
    </row>
    <row r="8" spans="1:17" x14ac:dyDescent="0.4">
      <c r="A8" s="34" t="s">
        <v>3</v>
      </c>
      <c r="B8" s="26">
        <v>83</v>
      </c>
      <c r="C8" s="18">
        <f>IF(B$2=0,0,B8/B$2)</f>
        <v>0.38785046728971961</v>
      </c>
      <c r="E8" s="42" t="s">
        <v>68</v>
      </c>
      <c r="F8" s="39" t="s">
        <v>24</v>
      </c>
      <c r="G8" s="26">
        <v>80</v>
      </c>
      <c r="H8" s="106">
        <f>IF(B$29=0,0,G8/B$29)</f>
        <v>0.16597510373443983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79</v>
      </c>
      <c r="C9" s="19">
        <f t="shared" ref="C9" si="1">IF(B$2=0,0,B9/B$2)</f>
        <v>0.36915887850467288</v>
      </c>
      <c r="E9" s="42" t="s">
        <v>70</v>
      </c>
      <c r="F9" s="39" t="s">
        <v>25</v>
      </c>
      <c r="G9" s="26">
        <v>77</v>
      </c>
      <c r="H9" s="106">
        <f>IF(B$29=0,0,G9/B$29)</f>
        <v>0.15975103734439833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0.10280373831775701</v>
      </c>
      <c r="E10" s="42" t="s">
        <v>66</v>
      </c>
      <c r="F10" s="39" t="s">
        <v>22</v>
      </c>
      <c r="G10" s="26">
        <v>57</v>
      </c>
      <c r="H10" s="106">
        <f>IF(B$29=0,0,G10/B$29)</f>
        <v>0.11825726141078838</v>
      </c>
      <c r="I10" s="67">
        <v>6</v>
      </c>
      <c r="K10" s="17">
        <v>8</v>
      </c>
      <c r="L10" s="72">
        <v>96.5</v>
      </c>
      <c r="N10" s="87" t="s">
        <v>158</v>
      </c>
      <c r="O10" s="97">
        <f>IF(P10=0,0,Q10/P10)</f>
        <v>-5.9200000000000035</v>
      </c>
      <c r="P10" s="91">
        <v>80</v>
      </c>
      <c r="Q10" s="79">
        <v>-473.60000000000025</v>
      </c>
    </row>
    <row r="11" spans="1:17" x14ac:dyDescent="0.4">
      <c r="A11" s="35" t="s">
        <v>137</v>
      </c>
      <c r="B11" s="27">
        <v>21</v>
      </c>
      <c r="C11" s="19">
        <f>IF(B$2=0,0,B11/B$2)</f>
        <v>9.8130841121495324E-2</v>
      </c>
      <c r="E11" s="42" t="s">
        <v>71</v>
      </c>
      <c r="F11" s="39" t="s">
        <v>26</v>
      </c>
      <c r="G11" s="26">
        <v>40</v>
      </c>
      <c r="H11" s="106">
        <f>IF(B$29=0,0,G11/B$29)</f>
        <v>8.2987551867219914E-2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-2.5406779661016938</v>
      </c>
      <c r="P11" s="92">
        <v>59</v>
      </c>
      <c r="Q11" s="80">
        <v>-149.89999999999995</v>
      </c>
    </row>
    <row r="12" spans="1:17" x14ac:dyDescent="0.4">
      <c r="A12" s="36" t="s">
        <v>154</v>
      </c>
      <c r="B12" s="28">
        <v>16</v>
      </c>
      <c r="C12" s="21">
        <f>IF(B$2=0,0,B12/B$2)</f>
        <v>7.476635514018691E-2</v>
      </c>
      <c r="E12" s="42" t="s">
        <v>72</v>
      </c>
      <c r="F12" s="39" t="s">
        <v>27</v>
      </c>
      <c r="G12" s="26">
        <v>37</v>
      </c>
      <c r="H12" s="106">
        <f>IF(B$29=0,0,G12/B$29)</f>
        <v>7.6763485477178428E-2</v>
      </c>
      <c r="I12" s="67">
        <v>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358</v>
      </c>
      <c r="C13" s="23">
        <f>IF(B$28=0,0,B13/B$28)</f>
        <v>0.22715736040609136</v>
      </c>
      <c r="E13" s="42" t="s">
        <v>90</v>
      </c>
      <c r="F13" s="39" t="s">
        <v>45</v>
      </c>
      <c r="G13" s="26">
        <v>37</v>
      </c>
      <c r="H13" s="106">
        <f>IF(B$29=0,0,G13/B$29)</f>
        <v>7.6763485477178428E-2</v>
      </c>
      <c r="I13" s="67">
        <v>14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437</v>
      </c>
      <c r="C14" s="18">
        <f>IF(B$28=0,0,B14/B$28)</f>
        <v>0.27728426395939088</v>
      </c>
      <c r="E14" s="42" t="s">
        <v>84</v>
      </c>
      <c r="F14" s="39" t="s">
        <v>39</v>
      </c>
      <c r="G14" s="26">
        <v>27</v>
      </c>
      <c r="H14" s="106">
        <f>IF(B$29=0,0,G14/B$29)</f>
        <v>5.6016597510373446E-2</v>
      </c>
      <c r="I14" s="67">
        <v>7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0.52513966480446927</v>
      </c>
      <c r="E15" s="42" t="s">
        <v>87</v>
      </c>
      <c r="F15" s="39" t="s">
        <v>42</v>
      </c>
      <c r="G15" s="26">
        <v>19</v>
      </c>
      <c r="H15" s="106">
        <f>IF(B$29=0,0,G15/B$29)</f>
        <v>3.9419087136929459E-2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171</v>
      </c>
      <c r="C16" s="16">
        <f>IF(B$14=0,0,B16/B$14)</f>
        <v>0.39130434782608697</v>
      </c>
      <c r="E16" s="42" t="s">
        <v>82</v>
      </c>
      <c r="F16" s="39" t="s">
        <v>37</v>
      </c>
      <c r="G16" s="26">
        <v>15</v>
      </c>
      <c r="H16" s="106">
        <f>IF(B$29=0,0,G16/B$29)</f>
        <v>3.1120331950207469E-2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>IF(P16=0,0,Q16/P16)</f>
        <v>12.745882352941171</v>
      </c>
      <c r="P16" s="92">
        <v>85</v>
      </c>
      <c r="Q16" s="80">
        <v>1083.3999999999996</v>
      </c>
    </row>
    <row r="17" spans="1:17" x14ac:dyDescent="0.4">
      <c r="A17" s="33" t="s">
        <v>10</v>
      </c>
      <c r="B17" s="25">
        <f>B19+B18</f>
        <v>533</v>
      </c>
      <c r="C17" s="16">
        <f>IF(B$3=0,0,B17/B$3)</f>
        <v>0.30353075170842825</v>
      </c>
      <c r="E17" s="42" t="s">
        <v>79</v>
      </c>
      <c r="F17" s="39" t="s">
        <v>34</v>
      </c>
      <c r="G17" s="26">
        <v>9</v>
      </c>
      <c r="H17" s="106">
        <f>IF(B$29=0,0,G17/B$29)</f>
        <v>1.8672199170124481E-2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>IF(P17=0,0,Q17/P17)</f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231</v>
      </c>
      <c r="C18" s="18">
        <f>IF(B$17=0,0,B18/B$17)</f>
        <v>0.43339587242026267</v>
      </c>
      <c r="E18" s="42" t="s">
        <v>80</v>
      </c>
      <c r="F18" s="39" t="s">
        <v>35</v>
      </c>
      <c r="G18" s="26">
        <v>6</v>
      </c>
      <c r="H18" s="106">
        <f>IF(B$29=0,0,G18/B$29)</f>
        <v>1.2448132780082987E-2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>IF(P18=0,0,Q18/P18)</f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302</v>
      </c>
      <c r="C19" s="18">
        <f>IF(B$17=0,0,B19/B$17)</f>
        <v>0.56660412757973733</v>
      </c>
      <c r="E19" s="42" t="s">
        <v>92</v>
      </c>
      <c r="F19" s="39" t="s">
        <v>47</v>
      </c>
      <c r="G19" s="26">
        <v>5</v>
      </c>
      <c r="H19" s="106">
        <f>IF(B$29=0,0,G19/B$29)</f>
        <v>1.0373443983402489E-2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>IF(P19=0,0,Q19/P19)</f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292</v>
      </c>
      <c r="C20" s="18">
        <f>IF(B$3=0,0,B20/B$3)</f>
        <v>0.1662870159453303</v>
      </c>
      <c r="E20" s="42" t="s">
        <v>78</v>
      </c>
      <c r="F20" s="39" t="s">
        <v>33</v>
      </c>
      <c r="G20" s="26">
        <v>3</v>
      </c>
      <c r="H20" s="106">
        <f>IF(B$29=0,0,G20/B$29)</f>
        <v>6.2240663900414933E-3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>IF(P20=0,0,Q20/P20)</f>
        <v>-10.173529411764708</v>
      </c>
      <c r="P20" s="92">
        <v>68</v>
      </c>
      <c r="Q20" s="80">
        <v>-691.80000000000018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>IF(B$29=0,0,G21/B$29)</f>
        <v>4.1493775933609959E-3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>IF(P21=0,0,Q21/P21)</f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>IF(B$29=0,0,G22/B$29)</f>
        <v>4.1493775933609959E-3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>IF(P22=0,0,Q22/P22)</f>
        <v>-19.496402877697843</v>
      </c>
      <c r="P22" s="92">
        <v>139</v>
      </c>
      <c r="Q22" s="80">
        <v>-2710</v>
      </c>
    </row>
    <row r="23" spans="1:17" x14ac:dyDescent="0.4">
      <c r="A23" s="34" t="s">
        <v>5</v>
      </c>
      <c r="B23" s="30">
        <f>IF(B$17=0,0,C23/B$17)</f>
        <v>7600.1876172607881</v>
      </c>
      <c r="C23" s="20">
        <v>4050900</v>
      </c>
      <c r="E23" s="42" t="s">
        <v>74</v>
      </c>
      <c r="F23" s="39" t="s">
        <v>29</v>
      </c>
      <c r="G23" s="26">
        <v>1</v>
      </c>
      <c r="H23" s="106">
        <f>IF(B$29=0,0,G23/B$29)</f>
        <v>2.0746887966804979E-3</v>
      </c>
      <c r="I23" s="67">
        <v>9</v>
      </c>
      <c r="K23" s="17">
        <v>21</v>
      </c>
      <c r="L23" s="72">
        <v>-29.600000000000005</v>
      </c>
      <c r="N23" s="88" t="s">
        <v>175</v>
      </c>
      <c r="O23" s="98">
        <f>IF(P23=0,0,Q23/P23)</f>
        <v>-25.7</v>
      </c>
      <c r="P23" s="92">
        <v>2</v>
      </c>
      <c r="Q23" s="80">
        <v>-51.4</v>
      </c>
    </row>
    <row r="24" spans="1:17" x14ac:dyDescent="0.4">
      <c r="A24" s="36" t="s">
        <v>14</v>
      </c>
      <c r="B24" s="31">
        <f>IF(B$20=0,0,C24/B$20)</f>
        <v>-8597.6027397260277</v>
      </c>
      <c r="C24" s="24">
        <v>-2510500</v>
      </c>
      <c r="E24" s="42" t="s">
        <v>88</v>
      </c>
      <c r="F24" s="39" t="s">
        <v>43</v>
      </c>
      <c r="G24" s="26">
        <v>1</v>
      </c>
      <c r="H24" s="106">
        <f>IF(B$29=0,0,G24/B$29)</f>
        <v>2.0746887966804979E-3</v>
      </c>
      <c r="I24" s="67">
        <v>6</v>
      </c>
      <c r="K24" s="17">
        <v>22</v>
      </c>
      <c r="L24" s="72">
        <v>-4.7000000000000064</v>
      </c>
      <c r="N24" s="88" t="s">
        <v>184</v>
      </c>
      <c r="O24" s="98">
        <f>IF(P24=0,0,Q24/P24)</f>
        <v>-26.638888888888889</v>
      </c>
      <c r="P24" s="92">
        <v>18</v>
      </c>
      <c r="Q24" s="80">
        <v>-479.5</v>
      </c>
    </row>
    <row r="25" spans="1:17" x14ac:dyDescent="0.4">
      <c r="A25" s="63" t="s">
        <v>139</v>
      </c>
      <c r="B25" s="121">
        <v>7</v>
      </c>
      <c r="C25" s="122"/>
      <c r="E25" s="42" t="s">
        <v>89</v>
      </c>
      <c r="F25" s="39" t="s">
        <v>44</v>
      </c>
      <c r="G25" s="26">
        <v>1</v>
      </c>
      <c r="H25" s="106">
        <f>IF(B$29=0,0,G25/B$29)</f>
        <v>2.0746887966804979E-3</v>
      </c>
      <c r="I25" s="67">
        <v>3</v>
      </c>
      <c r="K25" s="17">
        <v>23</v>
      </c>
      <c r="L25" s="72">
        <v>-18.600000000000009</v>
      </c>
    </row>
    <row r="26" spans="1:17" x14ac:dyDescent="0.4">
      <c r="A26" s="37" t="s">
        <v>146</v>
      </c>
      <c r="B26" s="119">
        <v>103200</v>
      </c>
      <c r="C26" s="120"/>
      <c r="E26" s="42" t="s">
        <v>91</v>
      </c>
      <c r="F26" s="39" t="s">
        <v>46</v>
      </c>
      <c r="G26" s="26">
        <v>1</v>
      </c>
      <c r="H26" s="106">
        <f>IF(B$29=0,0,G26/B$29)</f>
        <v>2.0746887966804979E-3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36" t="s">
        <v>140</v>
      </c>
      <c r="B27" s="44">
        <v>5</v>
      </c>
      <c r="C27" s="21">
        <f>IF(B$3=0,0,B27/B$3)</f>
        <v>2.8473804100227792E-3</v>
      </c>
      <c r="E27" s="42" t="s">
        <v>94</v>
      </c>
      <c r="F27" s="39" t="s">
        <v>49</v>
      </c>
      <c r="G27" s="26">
        <v>1</v>
      </c>
      <c r="H27" s="106">
        <f>IF(B$29=0,0,G27/B$29)</f>
        <v>2.0746887966804979E-3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3" t="s">
        <v>179</v>
      </c>
      <c r="B28" s="115">
        <v>1576</v>
      </c>
      <c r="C28" s="116"/>
      <c r="E28" s="42" t="s">
        <v>77</v>
      </c>
      <c r="F28" s="39" t="s">
        <v>32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180</v>
      </c>
      <c r="B29" s="117">
        <v>482</v>
      </c>
      <c r="C29" s="118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-53.7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-53.1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>IF(B$29=0,0,G32/B$29)</f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>IF(B$29=0,0,G33/B$29)</f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45D8E-7F6A-4D94-A3CD-BAB1CD71AFF7}">
  <sheetPr codeName="Sheet11"/>
  <dimension ref="A1:Q3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351</v>
      </c>
      <c r="C2" s="116"/>
      <c r="E2" s="41" t="s">
        <v>67</v>
      </c>
      <c r="F2" s="38" t="s">
        <v>23</v>
      </c>
      <c r="G2" s="25">
        <v>644</v>
      </c>
      <c r="H2" s="105">
        <f>IF(B$29=0,0,G2/B$29)</f>
        <v>0.81108312342569266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-553.60230547550429</v>
      </c>
      <c r="P2" s="91">
        <v>347</v>
      </c>
      <c r="Q2" s="75">
        <v>-192100</v>
      </c>
    </row>
    <row r="3" spans="1:17" x14ac:dyDescent="0.4">
      <c r="A3" s="34" t="s">
        <v>8</v>
      </c>
      <c r="B3" s="127">
        <v>2862</v>
      </c>
      <c r="C3" s="128"/>
      <c r="E3" s="42" t="s">
        <v>73</v>
      </c>
      <c r="F3" s="39" t="s">
        <v>28</v>
      </c>
      <c r="G3" s="26">
        <v>412</v>
      </c>
      <c r="H3" s="106">
        <f>IF(B$29=0,0,G3/B$29)</f>
        <v>0.51889168765743077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0">IF(P3=0,0,Q3/P3)</f>
        <v>-472.75449101796409</v>
      </c>
      <c r="P3" s="92">
        <v>334</v>
      </c>
      <c r="Q3" s="76">
        <v>-157900</v>
      </c>
    </row>
    <row r="4" spans="1:17" x14ac:dyDescent="0.4">
      <c r="A4" s="34" t="s">
        <v>6</v>
      </c>
      <c r="B4" s="129">
        <v>-781.30000000000052</v>
      </c>
      <c r="C4" s="130"/>
      <c r="E4" s="42" t="s">
        <v>65</v>
      </c>
      <c r="F4" s="39" t="s">
        <v>21</v>
      </c>
      <c r="G4" s="26">
        <v>378</v>
      </c>
      <c r="H4" s="106">
        <f>IF(B$29=0,0,G4/B$29)</f>
        <v>0.47607052896725438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0"/>
        <v>835.33123028391162</v>
      </c>
      <c r="P4" s="92">
        <v>317</v>
      </c>
      <c r="Q4" s="76">
        <v>264800</v>
      </c>
    </row>
    <row r="5" spans="1:17" x14ac:dyDescent="0.4">
      <c r="A5" s="34" t="s">
        <v>7</v>
      </c>
      <c r="B5" s="131">
        <f>IF(B$2=0,0,B$4/B$2)</f>
        <v>-2.2259259259259272</v>
      </c>
      <c r="C5" s="132"/>
      <c r="E5" s="42" t="s">
        <v>69</v>
      </c>
      <c r="F5" s="39" t="s">
        <v>12</v>
      </c>
      <c r="G5" s="26">
        <v>253</v>
      </c>
      <c r="H5" s="106">
        <f>IF(B$29=0,0,G5/B$29)</f>
        <v>0.31863979848866497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0"/>
        <v>-1206.5068493150684</v>
      </c>
      <c r="P5" s="92">
        <v>292</v>
      </c>
      <c r="Q5" s="76">
        <v>-352300</v>
      </c>
    </row>
    <row r="6" spans="1:17" x14ac:dyDescent="0.4">
      <c r="A6" s="34" t="s">
        <v>1</v>
      </c>
      <c r="B6" s="123">
        <f>IF(B$2=0,0,(B$7*1+B$8*2+B$9*3)/B$2)</f>
        <v>2.0113960113960112</v>
      </c>
      <c r="C6" s="124"/>
      <c r="E6" s="42" t="s">
        <v>68</v>
      </c>
      <c r="F6" s="39" t="s">
        <v>24</v>
      </c>
      <c r="G6" s="26">
        <v>226</v>
      </c>
      <c r="H6" s="106">
        <f>IF(B$29=0,0,G6/B$29)</f>
        <v>0.28463476070528965</v>
      </c>
      <c r="I6" s="67">
        <v>12</v>
      </c>
      <c r="K6" s="17">
        <v>4</v>
      </c>
      <c r="L6" s="72">
        <v>-114.30000000000001</v>
      </c>
      <c r="N6" s="88" t="s">
        <v>133</v>
      </c>
      <c r="O6" s="95">
        <f t="shared" si="0"/>
        <v>152.4904214559387</v>
      </c>
      <c r="P6" s="92">
        <v>261</v>
      </c>
      <c r="Q6" s="76">
        <v>39800</v>
      </c>
    </row>
    <row r="7" spans="1:17" x14ac:dyDescent="0.4">
      <c r="A7" s="34" t="s">
        <v>2</v>
      </c>
      <c r="B7" s="26">
        <v>119</v>
      </c>
      <c r="C7" s="18">
        <f>IF(B$2=0,0,B7/B$2)</f>
        <v>0.33903133903133903</v>
      </c>
      <c r="E7" s="42" t="s">
        <v>177</v>
      </c>
      <c r="F7" s="39" t="s">
        <v>178</v>
      </c>
      <c r="G7" s="26">
        <v>220</v>
      </c>
      <c r="H7" s="106">
        <f>IF(B$29=0,0,G7/B$29)</f>
        <v>0.2770780856423174</v>
      </c>
      <c r="I7" s="67">
        <v>9</v>
      </c>
      <c r="K7" s="17">
        <v>5</v>
      </c>
      <c r="L7" s="72">
        <v>-136.30000000000001</v>
      </c>
      <c r="N7" s="89" t="s">
        <v>134</v>
      </c>
      <c r="O7" s="96">
        <f t="shared" si="0"/>
        <v>-301.34529147982062</v>
      </c>
      <c r="P7" s="93">
        <v>223</v>
      </c>
      <c r="Q7" s="77">
        <v>-67200</v>
      </c>
    </row>
    <row r="8" spans="1:17" x14ac:dyDescent="0.4">
      <c r="A8" s="34" t="s">
        <v>3</v>
      </c>
      <c r="B8" s="26">
        <v>109</v>
      </c>
      <c r="C8" s="18">
        <f>IF(B$2=0,0,B8/B$2)</f>
        <v>0.31054131054131057</v>
      </c>
      <c r="E8" s="42" t="s">
        <v>167</v>
      </c>
      <c r="F8" s="39" t="s">
        <v>168</v>
      </c>
      <c r="G8" s="26">
        <v>217</v>
      </c>
      <c r="H8" s="106">
        <f>IF(B$29=0,0,G8/B$29)</f>
        <v>0.27329974811083124</v>
      </c>
      <c r="I8" s="67">
        <v>7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1">IF(B$2=0,0,B9/B$2)</f>
        <v>0.3504273504273504</v>
      </c>
      <c r="E9" s="42" t="s">
        <v>70</v>
      </c>
      <c r="F9" s="39" t="s">
        <v>25</v>
      </c>
      <c r="G9" s="26">
        <v>116</v>
      </c>
      <c r="H9" s="106">
        <f>IF(B$29=0,0,G9/B$29)</f>
        <v>0.14609571788413098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0.13105413105413105</v>
      </c>
      <c r="E10" s="42" t="s">
        <v>90</v>
      </c>
      <c r="F10" s="39" t="s">
        <v>45</v>
      </c>
      <c r="G10" s="26">
        <v>103</v>
      </c>
      <c r="H10" s="106">
        <f>IF(B$29=0,0,G10/B$29)</f>
        <v>0.12972292191435769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-2.3504201680672248</v>
      </c>
      <c r="P10" s="91">
        <v>119</v>
      </c>
      <c r="Q10" s="79">
        <v>-279.69999999999976</v>
      </c>
    </row>
    <row r="11" spans="1:17" x14ac:dyDescent="0.4">
      <c r="A11" s="35" t="s">
        <v>137</v>
      </c>
      <c r="B11" s="27">
        <v>48</v>
      </c>
      <c r="C11" s="19">
        <f>IF(B$2=0,0,B11/B$2)</f>
        <v>0.13675213675213677</v>
      </c>
      <c r="E11" s="42" t="s">
        <v>71</v>
      </c>
      <c r="F11" s="39" t="s">
        <v>26</v>
      </c>
      <c r="G11" s="26">
        <v>90</v>
      </c>
      <c r="H11" s="106">
        <f>IF(B$29=0,0,G11/B$29)</f>
        <v>0.11335012594458438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39</v>
      </c>
      <c r="C12" s="21">
        <f>IF(B$2=0,0,B12/B$2)</f>
        <v>0.1111111111111111</v>
      </c>
      <c r="E12" s="42" t="s">
        <v>66</v>
      </c>
      <c r="F12" s="39" t="s">
        <v>22</v>
      </c>
      <c r="G12" s="26">
        <v>76</v>
      </c>
      <c r="H12" s="106">
        <f>IF(B$29=0,0,G12/B$29)</f>
        <v>9.5717884130982367E-2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-1.2369747899159649</v>
      </c>
      <c r="P12" s="93">
        <v>119</v>
      </c>
      <c r="Q12" s="81">
        <v>-147.19999999999982</v>
      </c>
    </row>
    <row r="13" spans="1:17" x14ac:dyDescent="0.4">
      <c r="A13" s="37" t="s">
        <v>122</v>
      </c>
      <c r="B13" s="29">
        <v>709</v>
      </c>
      <c r="C13" s="23">
        <f>IF(B$28=0,0,B13/B$28)</f>
        <v>0.25913742690058478</v>
      </c>
      <c r="E13" s="42" t="s">
        <v>72</v>
      </c>
      <c r="F13" s="39" t="s">
        <v>27</v>
      </c>
      <c r="G13" s="26">
        <v>70</v>
      </c>
      <c r="H13" s="106">
        <f>IF(B$29=0,0,G13/B$29)</f>
        <v>8.8161209068010074E-2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613</v>
      </c>
      <c r="C14" s="18">
        <f>IF(B$28=0,0,B14/B$28)</f>
        <v>0.22404970760233919</v>
      </c>
      <c r="E14" s="42" t="s">
        <v>87</v>
      </c>
      <c r="F14" s="39" t="s">
        <v>42</v>
      </c>
      <c r="G14" s="26">
        <v>41</v>
      </c>
      <c r="H14" s="106">
        <f>IF(B$29=0,0,G14/B$29)</f>
        <v>5.163727959697733E-2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389</v>
      </c>
      <c r="C15" s="16">
        <f>IF(B$13=0,0,B15/B$13)</f>
        <v>0.54866008462623417</v>
      </c>
      <c r="E15" s="42" t="s">
        <v>79</v>
      </c>
      <c r="F15" s="39" t="s">
        <v>34</v>
      </c>
      <c r="G15" s="26">
        <v>31</v>
      </c>
      <c r="H15" s="106">
        <f>IF(B$29=0,0,G15/B$29)</f>
        <v>3.9042821158690177E-2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229</v>
      </c>
      <c r="C16" s="16">
        <f>IF(B$14=0,0,B16/B$14)</f>
        <v>0.37357259380097879</v>
      </c>
      <c r="E16" s="42" t="s">
        <v>84</v>
      </c>
      <c r="F16" s="39" t="s">
        <v>39</v>
      </c>
      <c r="G16" s="26">
        <v>29</v>
      </c>
      <c r="H16" s="106">
        <f>IF(B$29=0,0,G16/B$29)</f>
        <v>3.6523929471032744E-2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>IF(P16=0,0,Q16/P16)</f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831</v>
      </c>
      <c r="C17" s="16">
        <f>IF(B$3=0,0,B17/B$3)</f>
        <v>0.29035639412997905</v>
      </c>
      <c r="E17" s="42" t="s">
        <v>82</v>
      </c>
      <c r="F17" s="39" t="s">
        <v>37</v>
      </c>
      <c r="G17" s="26">
        <v>23</v>
      </c>
      <c r="H17" s="106">
        <f>IF(B$29=0,0,G17/B$29)</f>
        <v>2.8967254408060455E-2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>IF(P17=0,0,Q17/P17)</f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347</v>
      </c>
      <c r="C18" s="18">
        <f>IF(B$17=0,0,B18/B$17)</f>
        <v>0.41756919374247892</v>
      </c>
      <c r="E18" s="42" t="s">
        <v>92</v>
      </c>
      <c r="F18" s="39" t="s">
        <v>47</v>
      </c>
      <c r="G18" s="26">
        <v>16</v>
      </c>
      <c r="H18" s="106">
        <f>IF(B$29=0,0,G18/B$29)</f>
        <v>2.0151133501259445E-2</v>
      </c>
      <c r="I18" s="67">
        <v>5</v>
      </c>
      <c r="K18" s="17">
        <v>16</v>
      </c>
      <c r="L18" s="72">
        <v>58.89999999999997</v>
      </c>
      <c r="N18" s="88" t="s">
        <v>172</v>
      </c>
      <c r="O18" s="98">
        <f>IF(P18=0,0,Q18/P18)</f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484</v>
      </c>
      <c r="C19" s="18">
        <f>IF(B$17=0,0,B19/B$17)</f>
        <v>0.58243080625752108</v>
      </c>
      <c r="E19" s="42" t="s">
        <v>80</v>
      </c>
      <c r="F19" s="39" t="s">
        <v>35</v>
      </c>
      <c r="G19" s="26">
        <v>12</v>
      </c>
      <c r="H19" s="106">
        <f>IF(B$29=0,0,G19/B$29)</f>
        <v>1.5113350125944584E-2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>IF(P19=0,0,Q19/P19)</f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496</v>
      </c>
      <c r="C20" s="18">
        <f>IF(B$3=0,0,B20/B$3)</f>
        <v>0.17330538085255065</v>
      </c>
      <c r="E20" s="42" t="s">
        <v>78</v>
      </c>
      <c r="F20" s="39" t="s">
        <v>33</v>
      </c>
      <c r="G20" s="26">
        <v>8</v>
      </c>
      <c r="H20" s="106">
        <f>IF(B$29=0,0,G20/B$29)</f>
        <v>1.0075566750629723E-2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>IF(P20=0,0,Q20/P20)</f>
        <v>3.5685950413223142</v>
      </c>
      <c r="P20" s="92">
        <v>121</v>
      </c>
      <c r="Q20" s="80">
        <v>431.8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>IF(B$29=0,0,G21/B$29)</f>
        <v>6.2972292191435771E-3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>IF(P21=0,0,Q21/P21)</f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>IF(B$29=0,0,G22/B$29)</f>
        <v>6.2972292191435771E-3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>IF(P22=0,0,Q22/P22)</f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8973.5258724428404</v>
      </c>
      <c r="C23" s="20">
        <v>7457000</v>
      </c>
      <c r="E23" s="42" t="s">
        <v>76</v>
      </c>
      <c r="F23" s="39" t="s">
        <v>31</v>
      </c>
      <c r="G23" s="26">
        <v>4</v>
      </c>
      <c r="H23" s="106">
        <f>IF(B$29=0,0,G23/B$29)</f>
        <v>5.0377833753148613E-3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>IF(P23=0,0,Q23/P23)</f>
        <v>-5.8666666666666671</v>
      </c>
      <c r="P23" s="92">
        <v>3</v>
      </c>
      <c r="Q23" s="80">
        <v>-17.600000000000001</v>
      </c>
    </row>
    <row r="24" spans="1:17" x14ac:dyDescent="0.4">
      <c r="A24" s="36" t="s">
        <v>14</v>
      </c>
      <c r="B24" s="31">
        <f>IF(B$20=0,0,C24/B$20)</f>
        <v>-8500.4032258064508</v>
      </c>
      <c r="C24" s="24">
        <v>-4216200</v>
      </c>
      <c r="E24" s="42" t="s">
        <v>94</v>
      </c>
      <c r="F24" s="39" t="s">
        <v>49</v>
      </c>
      <c r="G24" s="26">
        <v>4</v>
      </c>
      <c r="H24" s="106">
        <f>IF(B$29=0,0,G24/B$29)</f>
        <v>5.0377833753148613E-3</v>
      </c>
      <c r="I24" s="67">
        <v>2</v>
      </c>
      <c r="K24" s="17">
        <v>22</v>
      </c>
      <c r="L24" s="72">
        <v>174.29999999999995</v>
      </c>
      <c r="N24" s="88" t="s">
        <v>162</v>
      </c>
      <c r="O24" s="98">
        <f>IF(P24=0,0,Q24/P24)</f>
        <v>-12.745882352941175</v>
      </c>
      <c r="P24" s="92">
        <v>85</v>
      </c>
      <c r="Q24" s="80">
        <v>-1083.3999999999999</v>
      </c>
    </row>
    <row r="25" spans="1:17" x14ac:dyDescent="0.4">
      <c r="A25" s="63" t="s">
        <v>139</v>
      </c>
      <c r="B25" s="121">
        <v>9</v>
      </c>
      <c r="C25" s="122"/>
      <c r="E25" s="42" t="s">
        <v>85</v>
      </c>
      <c r="F25" s="39" t="s">
        <v>40</v>
      </c>
      <c r="G25" s="26">
        <v>3</v>
      </c>
      <c r="H25" s="106">
        <f>IF(B$29=0,0,G25/B$29)</f>
        <v>3.778337531486146E-3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>IF(P25=0,0,Q25/P25)</f>
        <v>-13.144715447154478</v>
      </c>
      <c r="P25" s="92">
        <v>246</v>
      </c>
      <c r="Q25" s="80">
        <v>-3233.6000000000017</v>
      </c>
    </row>
    <row r="26" spans="1:17" x14ac:dyDescent="0.4">
      <c r="A26" s="37" t="s">
        <v>146</v>
      </c>
      <c r="B26" s="119">
        <v>109300</v>
      </c>
      <c r="C26" s="120"/>
      <c r="E26" s="42" t="s">
        <v>88</v>
      </c>
      <c r="F26" s="39" t="s">
        <v>43</v>
      </c>
      <c r="G26" s="26">
        <v>3</v>
      </c>
      <c r="H26" s="106">
        <f>IF(B$29=0,0,G26/B$29)</f>
        <v>3.778337531486146E-3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>IF(P26=0,0,Q26/P26)</f>
        <v>-18.00714285714286</v>
      </c>
      <c r="P26" s="92">
        <v>14</v>
      </c>
      <c r="Q26" s="80">
        <v>-252.10000000000002</v>
      </c>
    </row>
    <row r="27" spans="1:17" x14ac:dyDescent="0.4">
      <c r="A27" s="36" t="s">
        <v>140</v>
      </c>
      <c r="B27" s="44">
        <v>7</v>
      </c>
      <c r="C27" s="21">
        <f>IF(B$3=0,0,B27/B$3)</f>
        <v>2.4458420684835779E-3</v>
      </c>
      <c r="E27" s="42" t="s">
        <v>163</v>
      </c>
      <c r="F27" s="39" t="s">
        <v>164</v>
      </c>
      <c r="G27" s="26">
        <v>3</v>
      </c>
      <c r="H27" s="106">
        <f>IF(B$29=0,0,G27/B$29)</f>
        <v>3.778337531486146E-3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3" t="s">
        <v>179</v>
      </c>
      <c r="B28" s="115">
        <v>2736</v>
      </c>
      <c r="C28" s="116"/>
      <c r="E28" s="42" t="s">
        <v>86</v>
      </c>
      <c r="F28" s="39" t="s">
        <v>41</v>
      </c>
      <c r="G28" s="26">
        <v>1</v>
      </c>
      <c r="H28" s="106">
        <f>IF(B$29=0,0,G28/B$29)</f>
        <v>1.2594458438287153E-3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180</v>
      </c>
      <c r="B29" s="117">
        <v>794</v>
      </c>
      <c r="C29" s="118"/>
      <c r="E29" s="42" t="s">
        <v>89</v>
      </c>
      <c r="F29" s="39" t="s">
        <v>44</v>
      </c>
      <c r="G29" s="26">
        <v>1</v>
      </c>
      <c r="H29" s="106">
        <f>IF(B$29=0,0,G29/B$29)</f>
        <v>1.2594458438287153E-3</v>
      </c>
      <c r="I29" s="67">
        <v>5</v>
      </c>
      <c r="K29" s="17">
        <v>27</v>
      </c>
      <c r="L29" s="72">
        <v>84.699999999999932</v>
      </c>
    </row>
    <row r="30" spans="1:17" x14ac:dyDescent="0.4">
      <c r="E30" s="42" t="s">
        <v>93</v>
      </c>
      <c r="F30" s="39" t="s">
        <v>48</v>
      </c>
      <c r="G30" s="26">
        <v>1</v>
      </c>
      <c r="H30" s="106">
        <f>IF(B$29=0,0,G30/B$29)</f>
        <v>1.2594458438287153E-3</v>
      </c>
      <c r="I30" s="67">
        <v>7</v>
      </c>
      <c r="K30" s="17">
        <v>28</v>
      </c>
      <c r="L30" s="72">
        <v>43.699999999999932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BB549-30E8-4307-B98F-58F4961D55C0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39</v>
      </c>
      <c r="C2" s="116"/>
      <c r="E2" s="41" t="s">
        <v>177</v>
      </c>
      <c r="F2" s="38" t="s">
        <v>178</v>
      </c>
      <c r="G2" s="25">
        <v>43</v>
      </c>
      <c r="H2" s="105">
        <f>IF(B$29=0,0,G2/B$29)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27">
        <v>316</v>
      </c>
      <c r="C3" s="128"/>
      <c r="E3" s="42" t="s">
        <v>67</v>
      </c>
      <c r="F3" s="39" t="s">
        <v>23</v>
      </c>
      <c r="G3" s="26">
        <v>39</v>
      </c>
      <c r="H3" s="106">
        <f>IF(B$29=0,0,G3/B$29)</f>
        <v>0.63934426229508201</v>
      </c>
      <c r="I3" s="67">
        <v>11</v>
      </c>
      <c r="K3" s="17">
        <v>1</v>
      </c>
      <c r="L3" s="72">
        <v>-14.4</v>
      </c>
      <c r="N3" s="88" t="s">
        <v>130</v>
      </c>
      <c r="O3" s="95">
        <f t="shared" ref="O3:O7" si="0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9">
        <v>91.000000000000014</v>
      </c>
      <c r="C4" s="130"/>
      <c r="E4" s="42" t="s">
        <v>73</v>
      </c>
      <c r="F4" s="39" t="s">
        <v>28</v>
      </c>
      <c r="G4" s="26">
        <v>35</v>
      </c>
      <c r="H4" s="106">
        <f>IF(B$29=0,0,G4/B$29)</f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0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31">
        <f>IF(B$2=0,0,B$4/B$2)</f>
        <v>2.3333333333333335</v>
      </c>
      <c r="C5" s="132"/>
      <c r="E5" s="42" t="s">
        <v>65</v>
      </c>
      <c r="F5" s="39" t="s">
        <v>21</v>
      </c>
      <c r="G5" s="26">
        <v>34</v>
      </c>
      <c r="H5" s="106">
        <f>IF(B$29=0,0,G5/B$29)</f>
        <v>0.55737704918032782</v>
      </c>
      <c r="I5" s="67">
        <v>4</v>
      </c>
      <c r="K5" s="17">
        <v>3</v>
      </c>
      <c r="L5" s="72">
        <v>-2.7999999999999972</v>
      </c>
      <c r="N5" s="88" t="s">
        <v>132</v>
      </c>
      <c r="O5" s="95">
        <f t="shared" si="0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23">
        <f>IF(B$2=0,0,(B$7*1+B$8*2+B$9*3)/B$2)</f>
        <v>2.0256410256410255</v>
      </c>
      <c r="C6" s="124"/>
      <c r="E6" s="42" t="s">
        <v>68</v>
      </c>
      <c r="F6" s="39" t="s">
        <v>24</v>
      </c>
      <c r="G6" s="26">
        <v>28</v>
      </c>
      <c r="H6" s="106">
        <f>IF(B$29=0,0,G6/B$29)</f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0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>IF(B$29=0,0,G7/B$29)</f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0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>IF(B$29=0,0,G8/B$29)</f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1">IF(B$2=0,0,B9/B$2)</f>
        <v>0.38461538461538464</v>
      </c>
      <c r="E9" s="42" t="s">
        <v>66</v>
      </c>
      <c r="F9" s="39" t="s">
        <v>22</v>
      </c>
      <c r="G9" s="26">
        <v>8</v>
      </c>
      <c r="H9" s="106">
        <f>IF(B$29=0,0,G9/B$29)</f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>IF(B$29=0,0,G10/B$29)</f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>IF(B$29=0,0,G11/B$29)</f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>IF(B$29=0,0,G12/B$29)</f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IF(B$28=0,0,B13/B$28)</f>
        <v>0.27777777777777779</v>
      </c>
      <c r="E13" s="42" t="s">
        <v>72</v>
      </c>
      <c r="F13" s="39" t="s">
        <v>27</v>
      </c>
      <c r="G13" s="26">
        <v>4</v>
      </c>
      <c r="H13" s="106">
        <f>IF(B$29=0,0,G13/B$29)</f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0.24358974358974358</v>
      </c>
      <c r="E14" s="42" t="s">
        <v>79</v>
      </c>
      <c r="F14" s="39" t="s">
        <v>34</v>
      </c>
      <c r="G14" s="26">
        <v>3</v>
      </c>
      <c r="H14" s="106">
        <f>IF(B$29=0,0,G14/B$29)</f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>IF(B$29=0,0,G15/B$29)</f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>IF(B$29=0,0,G16/B$29)</f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>IF(P16=0,0,Q16/P16)</f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>IF(B$29=0,0,G17/B$29)</f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>IF(P17=0,0,Q17/P17)</f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>IF(B$29=0,0,G18/B$29)</f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>IF(P18=0,0,Q18/P18)</f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>IF(B$29=0,0,G19/B$29)</f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>IF(P19=0,0,Q19/P19)</f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>IF(B$29=0,0,G20/B$29)</f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>IF(P20=0,0,Q20/P20)</f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>IF(B$29=0,0,G21/B$29)</f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>IF(P21=0,0,Q21/P21)</f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>IF(B$29=0,0,G23/B$29)</f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6" t="s">
        <v>14</v>
      </c>
      <c r="B24" s="31">
        <f>IF(B$20=0,0,C24/B$20)</f>
        <v>-9054.7169811320746</v>
      </c>
      <c r="C24" s="24">
        <v>-479900</v>
      </c>
      <c r="E24" s="42" t="s">
        <v>77</v>
      </c>
      <c r="F24" s="39" t="s">
        <v>32</v>
      </c>
      <c r="G24" s="26">
        <v>0</v>
      </c>
      <c r="H24" s="106">
        <f>IF(B$29=0,0,G24/B$29)</f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63" t="s">
        <v>139</v>
      </c>
      <c r="B25" s="121">
        <v>7</v>
      </c>
      <c r="C25" s="122"/>
      <c r="E25" s="42" t="s">
        <v>78</v>
      </c>
      <c r="F25" s="39" t="s">
        <v>33</v>
      </c>
      <c r="G25" s="26">
        <v>0</v>
      </c>
      <c r="H25" s="106">
        <f>IF(B$29=0,0,G25/B$29)</f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7" t="s">
        <v>146</v>
      </c>
      <c r="B26" s="119">
        <v>109300</v>
      </c>
      <c r="C26" s="120"/>
      <c r="E26" s="42" t="s">
        <v>81</v>
      </c>
      <c r="F26" s="39" t="s">
        <v>36</v>
      </c>
      <c r="G26" s="26">
        <v>0</v>
      </c>
      <c r="H26" s="106">
        <f>IF(B$29=0,0,G26/B$29)</f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82</v>
      </c>
      <c r="F27" s="39" t="s">
        <v>37</v>
      </c>
      <c r="G27" s="26">
        <v>0</v>
      </c>
      <c r="H27" s="106">
        <f>IF(B$29=0,0,G27/B$29)</f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3" t="s">
        <v>179</v>
      </c>
      <c r="B28" s="115">
        <v>234</v>
      </c>
      <c r="C28" s="116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180</v>
      </c>
      <c r="B29" s="117">
        <v>61</v>
      </c>
      <c r="C29" s="118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>IF(B$29=0,0,G34/B$29)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61F68-C619-4B5C-BC3C-5EC65B736955}">
  <sheetPr codeName="Sheet13"/>
  <dimension ref="A1:Q27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269</v>
      </c>
      <c r="C2" s="116"/>
      <c r="E2" s="41" t="s">
        <v>67</v>
      </c>
      <c r="F2" s="38" t="s">
        <v>23</v>
      </c>
      <c r="G2" s="25">
        <v>468</v>
      </c>
      <c r="H2" s="105">
        <f>IF(B$29=0,0,G2/B$29)</f>
        <v>0.78130217028380633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-61.886792452830186</v>
      </c>
      <c r="P2" s="91">
        <v>265</v>
      </c>
      <c r="Q2" s="75">
        <v>-16400</v>
      </c>
    </row>
    <row r="3" spans="1:17" x14ac:dyDescent="0.4">
      <c r="A3" s="34" t="s">
        <v>8</v>
      </c>
      <c r="B3" s="127">
        <v>2146</v>
      </c>
      <c r="C3" s="128"/>
      <c r="E3" s="42" t="s">
        <v>73</v>
      </c>
      <c r="F3" s="39" t="s">
        <v>28</v>
      </c>
      <c r="G3" s="26">
        <v>353</v>
      </c>
      <c r="H3" s="106">
        <f>IF(B$29=0,0,G3/B$29)</f>
        <v>0.58931552587646074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0">IF(P3=0,0,Q3/P3)</f>
        <v>237.2093023255814</v>
      </c>
      <c r="P3" s="92">
        <v>258</v>
      </c>
      <c r="Q3" s="76">
        <v>61200</v>
      </c>
    </row>
    <row r="4" spans="1:17" x14ac:dyDescent="0.4">
      <c r="A4" s="34" t="s">
        <v>6</v>
      </c>
      <c r="B4" s="129">
        <v>-335.99999999999989</v>
      </c>
      <c r="C4" s="130"/>
      <c r="E4" s="42" t="s">
        <v>65</v>
      </c>
      <c r="F4" s="39" t="s">
        <v>21</v>
      </c>
      <c r="G4" s="26">
        <v>331</v>
      </c>
      <c r="H4" s="106">
        <f>IF(B$29=0,0,G4/B$29)</f>
        <v>0.55258764607679467</v>
      </c>
      <c r="I4" s="67">
        <v>5</v>
      </c>
      <c r="K4" s="17">
        <v>2</v>
      </c>
      <c r="L4" s="72">
        <v>-33.9</v>
      </c>
      <c r="N4" s="88" t="s">
        <v>131</v>
      </c>
      <c r="O4" s="95">
        <f t="shared" si="0"/>
        <v>561.57024793388427</v>
      </c>
      <c r="P4" s="92">
        <v>242</v>
      </c>
      <c r="Q4" s="76">
        <v>135900</v>
      </c>
    </row>
    <row r="5" spans="1:17" x14ac:dyDescent="0.4">
      <c r="A5" s="34" t="s">
        <v>7</v>
      </c>
      <c r="B5" s="131">
        <f>IF(B$2=0,0,B$4/B$2)</f>
        <v>-1.2490706319702598</v>
      </c>
      <c r="C5" s="132"/>
      <c r="E5" s="42" t="s">
        <v>177</v>
      </c>
      <c r="F5" s="39" t="s">
        <v>178</v>
      </c>
      <c r="G5" s="26">
        <v>254</v>
      </c>
      <c r="H5" s="106">
        <f>IF(B$29=0,0,G5/B$29)</f>
        <v>0.4240400667779633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0"/>
        <v>361.29032258064518</v>
      </c>
      <c r="P5" s="92">
        <v>217</v>
      </c>
      <c r="Q5" s="76">
        <v>78400</v>
      </c>
    </row>
    <row r="6" spans="1:17" x14ac:dyDescent="0.4">
      <c r="A6" s="34" t="s">
        <v>1</v>
      </c>
      <c r="B6" s="123">
        <f>IF(B$2=0,0,(B$7*1+B$8*2+B$9*3)/B$2)</f>
        <v>2.0817843866171004</v>
      </c>
      <c r="C6" s="124"/>
      <c r="E6" s="42" t="s">
        <v>68</v>
      </c>
      <c r="F6" s="39" t="s">
        <v>24</v>
      </c>
      <c r="G6" s="26">
        <v>216</v>
      </c>
      <c r="H6" s="106">
        <f>IF(B$29=0,0,G6/B$29)</f>
        <v>0.36060100166944908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0"/>
        <v>-2349.2385786802029</v>
      </c>
      <c r="P6" s="92">
        <v>197</v>
      </c>
      <c r="Q6" s="76">
        <v>-462800</v>
      </c>
    </row>
    <row r="7" spans="1:17" x14ac:dyDescent="0.4">
      <c r="A7" s="34" t="s">
        <v>2</v>
      </c>
      <c r="B7" s="26">
        <v>77</v>
      </c>
      <c r="C7" s="18">
        <f>IF(B$2=0,0,B7/B$2)</f>
        <v>0.28624535315985128</v>
      </c>
      <c r="E7" s="42" t="s">
        <v>69</v>
      </c>
      <c r="F7" s="39" t="s">
        <v>12</v>
      </c>
      <c r="G7" s="26">
        <v>185</v>
      </c>
      <c r="H7" s="106">
        <f>IF(B$29=0,0,G7/B$29)</f>
        <v>0.30884808013355591</v>
      </c>
      <c r="I7" s="67">
        <v>9</v>
      </c>
      <c r="K7" s="17">
        <v>5</v>
      </c>
      <c r="L7" s="72">
        <v>-80.099999999999994</v>
      </c>
      <c r="N7" s="89" t="s">
        <v>134</v>
      </c>
      <c r="O7" s="96">
        <f t="shared" si="0"/>
        <v>-113.77245508982035</v>
      </c>
      <c r="P7" s="93">
        <v>167</v>
      </c>
      <c r="Q7" s="77">
        <v>-19000</v>
      </c>
    </row>
    <row r="8" spans="1:17" x14ac:dyDescent="0.4">
      <c r="A8" s="34" t="s">
        <v>3</v>
      </c>
      <c r="B8" s="26">
        <v>93</v>
      </c>
      <c r="C8" s="18">
        <f>IF(B$2=0,0,B8/B$2)</f>
        <v>0.34572490706319703</v>
      </c>
      <c r="E8" s="42" t="s">
        <v>167</v>
      </c>
      <c r="F8" s="39" t="s">
        <v>168</v>
      </c>
      <c r="G8" s="26">
        <v>126</v>
      </c>
      <c r="H8" s="106">
        <f>IF(B$29=0,0,G8/B$29)</f>
        <v>0.21035058430717862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99</v>
      </c>
      <c r="C9" s="19">
        <f t="shared" ref="C9" si="1">IF(B$2=0,0,B9/B$2)</f>
        <v>0.36802973977695169</v>
      </c>
      <c r="E9" s="42" t="s">
        <v>70</v>
      </c>
      <c r="F9" s="39" t="s">
        <v>25</v>
      </c>
      <c r="G9" s="26">
        <v>100</v>
      </c>
      <c r="H9" s="106">
        <f>IF(B$29=0,0,G9/B$29)</f>
        <v>0.1669449081803005</v>
      </c>
      <c r="I9" s="67">
        <v>3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39</v>
      </c>
      <c r="C10" s="19">
        <f>IF(B$2=0,0,B10/B$2)</f>
        <v>0.1449814126394052</v>
      </c>
      <c r="E10" s="42" t="s">
        <v>90</v>
      </c>
      <c r="F10" s="39" t="s">
        <v>45</v>
      </c>
      <c r="G10" s="26">
        <v>95</v>
      </c>
      <c r="H10" s="106">
        <f>IF(B$29=0,0,G10/B$29)</f>
        <v>0.15859766277128548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41</v>
      </c>
      <c r="C11" s="19">
        <f>IF(B$2=0,0,B11/B$2)</f>
        <v>0.15241635687732341</v>
      </c>
      <c r="E11" s="42" t="s">
        <v>66</v>
      </c>
      <c r="F11" s="39" t="s">
        <v>22</v>
      </c>
      <c r="G11" s="26">
        <v>66</v>
      </c>
      <c r="H11" s="106">
        <f>IF(B$29=0,0,G11/B$29)</f>
        <v>0.11018363939899833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0.33366336633663413</v>
      </c>
      <c r="P11" s="92">
        <v>101</v>
      </c>
      <c r="Q11" s="80">
        <v>33.700000000000045</v>
      </c>
    </row>
    <row r="12" spans="1:17" x14ac:dyDescent="0.4">
      <c r="A12" s="36" t="s">
        <v>154</v>
      </c>
      <c r="B12" s="28">
        <v>20</v>
      </c>
      <c r="C12" s="21">
        <f>IF(B$2=0,0,B12/B$2)</f>
        <v>7.434944237918216E-2</v>
      </c>
      <c r="E12" s="42" t="s">
        <v>71</v>
      </c>
      <c r="F12" s="39" t="s">
        <v>26</v>
      </c>
      <c r="G12" s="26">
        <v>62</v>
      </c>
      <c r="H12" s="106">
        <f>IF(B$29=0,0,G12/B$29)</f>
        <v>0.10350584307178631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0.15802469135802499</v>
      </c>
      <c r="P12" s="93">
        <v>81</v>
      </c>
      <c r="Q12" s="81">
        <v>12.800000000000026</v>
      </c>
    </row>
    <row r="13" spans="1:17" x14ac:dyDescent="0.4">
      <c r="A13" s="37" t="s">
        <v>122</v>
      </c>
      <c r="B13" s="29">
        <v>615</v>
      </c>
      <c r="C13" s="23">
        <f>IF(B$28=0,0,B13/B$28)</f>
        <v>0.29160739687055476</v>
      </c>
      <c r="E13" s="42" t="s">
        <v>87</v>
      </c>
      <c r="F13" s="39" t="s">
        <v>42</v>
      </c>
      <c r="G13" s="26">
        <v>46</v>
      </c>
      <c r="H13" s="106">
        <f>IF(B$29=0,0,G13/B$29)</f>
        <v>7.6794657762938229E-2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409</v>
      </c>
      <c r="C14" s="18">
        <f>IF(B$28=0,0,B14/B$28)</f>
        <v>0.19393077287814131</v>
      </c>
      <c r="E14" s="42" t="s">
        <v>72</v>
      </c>
      <c r="F14" s="39" t="s">
        <v>27</v>
      </c>
      <c r="G14" s="26">
        <v>25</v>
      </c>
      <c r="H14" s="106">
        <f>IF(B$29=0,0,G14/B$29)</f>
        <v>4.1736227045075125E-2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344</v>
      </c>
      <c r="C15" s="16">
        <f>IF(B$13=0,0,B15/B$13)</f>
        <v>0.55934959349593494</v>
      </c>
      <c r="E15" s="42" t="s">
        <v>84</v>
      </c>
      <c r="F15" s="39" t="s">
        <v>39</v>
      </c>
      <c r="G15" s="26">
        <v>23</v>
      </c>
      <c r="H15" s="106">
        <f>IF(B$29=0,0,G15/B$29)</f>
        <v>3.8397328881469114E-2</v>
      </c>
      <c r="I15" s="67">
        <v>11</v>
      </c>
      <c r="K15" s="17">
        <v>13</v>
      </c>
      <c r="L15" s="72">
        <v>-235</v>
      </c>
      <c r="N15" s="87" t="s">
        <v>186</v>
      </c>
      <c r="O15" s="97">
        <f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168</v>
      </c>
      <c r="C16" s="16">
        <f>IF(B$14=0,0,B16/B$14)</f>
        <v>0.41075794621026895</v>
      </c>
      <c r="E16" s="42" t="s">
        <v>79</v>
      </c>
      <c r="F16" s="39" t="s">
        <v>34</v>
      </c>
      <c r="G16" s="26">
        <v>22</v>
      </c>
      <c r="H16" s="106">
        <f>IF(B$29=0,0,G16/B$29)</f>
        <v>3.6727879799666109E-2</v>
      </c>
      <c r="I16" s="67">
        <v>5</v>
      </c>
      <c r="K16" s="17">
        <v>14</v>
      </c>
      <c r="L16" s="72">
        <v>-231</v>
      </c>
      <c r="N16" s="88" t="s">
        <v>175</v>
      </c>
      <c r="O16" s="98">
        <f>IF(P16=0,0,Q16/P16)</f>
        <v>20.209090909090907</v>
      </c>
      <c r="P16" s="92">
        <v>11</v>
      </c>
      <c r="Q16" s="80">
        <v>222.29999999999998</v>
      </c>
    </row>
    <row r="17" spans="1:17" x14ac:dyDescent="0.4">
      <c r="A17" s="33" t="s">
        <v>10</v>
      </c>
      <c r="B17" s="25">
        <f>B19+B18</f>
        <v>609</v>
      </c>
      <c r="C17" s="16">
        <f>IF(B$3=0,0,B17/B$3)</f>
        <v>0.28378378378378377</v>
      </c>
      <c r="E17" s="42" t="s">
        <v>92</v>
      </c>
      <c r="F17" s="39" t="s">
        <v>47</v>
      </c>
      <c r="G17" s="26">
        <v>17</v>
      </c>
      <c r="H17" s="106">
        <f>IF(B$29=0,0,G17/B$29)</f>
        <v>2.8380634390651086E-2</v>
      </c>
      <c r="I17" s="67">
        <v>2</v>
      </c>
      <c r="K17" s="17">
        <v>15</v>
      </c>
      <c r="L17" s="72">
        <v>-212.5</v>
      </c>
      <c r="N17" s="88" t="s">
        <v>184</v>
      </c>
      <c r="O17" s="98">
        <f>IF(P17=0,0,Q17/P17)</f>
        <v>19.924999999999997</v>
      </c>
      <c r="P17" s="92">
        <v>4</v>
      </c>
      <c r="Q17" s="80">
        <v>79.699999999999989</v>
      </c>
    </row>
    <row r="18" spans="1:17" x14ac:dyDescent="0.4">
      <c r="A18" s="34" t="s">
        <v>12</v>
      </c>
      <c r="B18" s="26">
        <v>259</v>
      </c>
      <c r="C18" s="18">
        <f>IF(B$17=0,0,B18/B$17)</f>
        <v>0.42528735632183906</v>
      </c>
      <c r="E18" s="42" t="s">
        <v>82</v>
      </c>
      <c r="F18" s="39" t="s">
        <v>37</v>
      </c>
      <c r="G18" s="26">
        <v>16</v>
      </c>
      <c r="H18" s="106">
        <f>IF(B$29=0,0,G18/B$29)</f>
        <v>2.6711185308848081E-2</v>
      </c>
      <c r="I18" s="67">
        <v>8</v>
      </c>
      <c r="K18" s="17">
        <v>16</v>
      </c>
      <c r="L18" s="72">
        <v>-233.2</v>
      </c>
      <c r="N18" s="88" t="s">
        <v>185</v>
      </c>
      <c r="O18" s="98">
        <f>IF(P18=0,0,Q18/P18)</f>
        <v>11.2125</v>
      </c>
      <c r="P18" s="92">
        <v>16</v>
      </c>
      <c r="Q18" s="80">
        <v>179.4</v>
      </c>
    </row>
    <row r="19" spans="1:17" x14ac:dyDescent="0.4">
      <c r="A19" s="34" t="s">
        <v>11</v>
      </c>
      <c r="B19" s="26">
        <v>350</v>
      </c>
      <c r="C19" s="18">
        <f>IF(B$17=0,0,B19/B$17)</f>
        <v>0.57471264367816088</v>
      </c>
      <c r="E19" s="42" t="s">
        <v>80</v>
      </c>
      <c r="F19" s="39" t="s">
        <v>35</v>
      </c>
      <c r="G19" s="26">
        <v>10</v>
      </c>
      <c r="H19" s="106">
        <f>IF(B$29=0,0,G19/B$29)</f>
        <v>1.6694490818030049E-2</v>
      </c>
      <c r="I19" s="67">
        <v>7</v>
      </c>
      <c r="K19" s="17">
        <v>17</v>
      </c>
      <c r="L19" s="72">
        <v>-268.7</v>
      </c>
      <c r="N19" s="88" t="s">
        <v>174</v>
      </c>
      <c r="O19" s="98">
        <f>IF(P19=0,0,Q19/P19)</f>
        <v>7.3615384615384594</v>
      </c>
      <c r="P19" s="92">
        <v>26</v>
      </c>
      <c r="Q19" s="80">
        <v>191.39999999999995</v>
      </c>
    </row>
    <row r="20" spans="1:17" x14ac:dyDescent="0.4">
      <c r="A20" s="34" t="s">
        <v>13</v>
      </c>
      <c r="B20" s="26">
        <v>396</v>
      </c>
      <c r="C20" s="18">
        <f>IF(B$3=0,0,B20/B$3)</f>
        <v>0.18452935694315004</v>
      </c>
      <c r="E20" s="42" t="s">
        <v>74</v>
      </c>
      <c r="F20" s="39" t="s">
        <v>29</v>
      </c>
      <c r="G20" s="26">
        <v>7</v>
      </c>
      <c r="H20" s="106">
        <f>IF(B$29=0,0,G20/B$29)</f>
        <v>1.1686143572621035E-2</v>
      </c>
      <c r="I20" s="67">
        <v>3</v>
      </c>
      <c r="K20" s="17">
        <v>18</v>
      </c>
      <c r="L20" s="72">
        <v>-295.8</v>
      </c>
      <c r="N20" s="88" t="s">
        <v>176</v>
      </c>
      <c r="O20" s="98">
        <f>IF(P20=0,0,Q20/P20)</f>
        <v>5.6000000000000014</v>
      </c>
      <c r="P20" s="92">
        <v>8</v>
      </c>
      <c r="Q20" s="80">
        <v>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>IF(B$29=0,0,G21/B$29)</f>
        <v>1.1686143572621035E-2</v>
      </c>
      <c r="I21" s="67">
        <v>1</v>
      </c>
      <c r="K21" s="17">
        <v>19</v>
      </c>
      <c r="L21" s="72">
        <v>-273.2</v>
      </c>
      <c r="N21" s="88" t="s">
        <v>162</v>
      </c>
      <c r="O21" s="98">
        <f>IF(P21=0,0,Q21/P21)</f>
        <v>3.9268292682926815</v>
      </c>
      <c r="P21" s="92">
        <v>41</v>
      </c>
      <c r="Q21" s="80">
        <v>160.99999999999994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>IF(B$29=0,0,G22/B$29)</f>
        <v>1.1686143572621035E-2</v>
      </c>
      <c r="I22" s="67">
        <v>2</v>
      </c>
      <c r="K22" s="17">
        <v>20</v>
      </c>
      <c r="L22" s="72">
        <v>-270</v>
      </c>
      <c r="N22" s="88" t="s">
        <v>173</v>
      </c>
      <c r="O22" s="98">
        <f>IF(P22=0,0,Q22/P22)</f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10358.456486042693</v>
      </c>
      <c r="C23" s="20">
        <v>6308300</v>
      </c>
      <c r="E23" s="42" t="s">
        <v>163</v>
      </c>
      <c r="F23" s="39" t="s">
        <v>164</v>
      </c>
      <c r="G23" s="26">
        <v>6</v>
      </c>
      <c r="H23" s="106">
        <f>IF(B$29=0,0,G23/B$29)</f>
        <v>1.001669449081803E-2</v>
      </c>
      <c r="I23" s="67">
        <v>6</v>
      </c>
      <c r="K23" s="17">
        <v>21</v>
      </c>
      <c r="L23" s="72">
        <v>-242</v>
      </c>
      <c r="N23" s="88" t="s">
        <v>128</v>
      </c>
      <c r="O23" s="98">
        <f>IF(P23=0,0,Q23/P23)</f>
        <v>-2.1578947368421093</v>
      </c>
      <c r="P23" s="92">
        <v>95</v>
      </c>
      <c r="Q23" s="80">
        <v>-205.0000000000004</v>
      </c>
    </row>
    <row r="24" spans="1:17" x14ac:dyDescent="0.4">
      <c r="A24" s="36" t="s">
        <v>14</v>
      </c>
      <c r="B24" s="31">
        <f>IF(B$20=0,0,C24/B$20)</f>
        <v>-9027.2727272727279</v>
      </c>
      <c r="C24" s="24">
        <v>-3574800</v>
      </c>
      <c r="E24" s="42" t="s">
        <v>78</v>
      </c>
      <c r="F24" s="39" t="s">
        <v>33</v>
      </c>
      <c r="G24" s="26">
        <v>4</v>
      </c>
      <c r="H24" s="106">
        <f>IF(B$29=0,0,G24/B$29)</f>
        <v>6.6777963272120202E-3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>IF(P24=0,0,Q24/P24)</f>
        <v>-3.9666666666666663</v>
      </c>
      <c r="P24" s="92">
        <v>3</v>
      </c>
      <c r="Q24" s="80">
        <v>-11.899999999999999</v>
      </c>
    </row>
    <row r="25" spans="1:17" x14ac:dyDescent="0.4">
      <c r="A25" s="63" t="s">
        <v>139</v>
      </c>
      <c r="B25" s="121">
        <v>8</v>
      </c>
      <c r="C25" s="122"/>
      <c r="E25" s="42" t="s">
        <v>85</v>
      </c>
      <c r="F25" s="39" t="s">
        <v>40</v>
      </c>
      <c r="G25" s="26">
        <v>3</v>
      </c>
      <c r="H25" s="106">
        <f>IF(B$29=0,0,G25/B$29)</f>
        <v>5.008347245409015E-3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>IF(P25=0,0,Q25/P25)</f>
        <v>-5.4016393442622954</v>
      </c>
      <c r="P25" s="92">
        <v>61</v>
      </c>
      <c r="Q25" s="80">
        <v>-329.5</v>
      </c>
    </row>
    <row r="26" spans="1:17" x14ac:dyDescent="0.4">
      <c r="A26" s="37" t="s">
        <v>146</v>
      </c>
      <c r="B26" s="119">
        <v>124700</v>
      </c>
      <c r="C26" s="120"/>
      <c r="E26" s="42" t="s">
        <v>94</v>
      </c>
      <c r="F26" s="39" t="s">
        <v>49</v>
      </c>
      <c r="G26" s="26">
        <v>3</v>
      </c>
      <c r="H26" s="106">
        <f>IF(B$29=0,0,G26/B$29)</f>
        <v>5.008347245409015E-3</v>
      </c>
      <c r="I26" s="67">
        <v>3</v>
      </c>
      <c r="K26" s="17">
        <v>24</v>
      </c>
      <c r="L26" s="72">
        <v>-168.2</v>
      </c>
      <c r="N26" s="88" t="s">
        <v>127</v>
      </c>
      <c r="O26" s="98">
        <f>IF(P26=0,0,Q26/P26)</f>
        <v>-6.687777777777776</v>
      </c>
      <c r="P26" s="92">
        <v>180</v>
      </c>
      <c r="Q26" s="80">
        <v>-1203.7999999999997</v>
      </c>
    </row>
    <row r="27" spans="1:17" x14ac:dyDescent="0.4">
      <c r="A27" s="36" t="s">
        <v>140</v>
      </c>
      <c r="B27" s="44">
        <v>9</v>
      </c>
      <c r="C27" s="21">
        <f>IF(B$3=0,0,B27/B$3)</f>
        <v>4.1938490214352281E-3</v>
      </c>
      <c r="E27" s="42" t="s">
        <v>86</v>
      </c>
      <c r="F27" s="39" t="s">
        <v>41</v>
      </c>
      <c r="G27" s="26">
        <v>2</v>
      </c>
      <c r="H27" s="106">
        <f>IF(B$29=0,0,G27/B$29)</f>
        <v>3.3388981636060101E-3</v>
      </c>
      <c r="I27" s="67">
        <v>5</v>
      </c>
      <c r="K27" s="17">
        <v>25</v>
      </c>
      <c r="L27" s="72">
        <v>-216.89999999999998</v>
      </c>
      <c r="N27" s="88" t="s">
        <v>182</v>
      </c>
      <c r="O27" s="98">
        <f>IF(P27=0,0,Q27/P27)</f>
        <v>-17.200000000000003</v>
      </c>
      <c r="P27" s="92">
        <v>2</v>
      </c>
      <c r="Q27" s="80">
        <v>-34.400000000000006</v>
      </c>
    </row>
    <row r="28" spans="1:17" x14ac:dyDescent="0.4">
      <c r="A28" s="33" t="s">
        <v>179</v>
      </c>
      <c r="B28" s="115">
        <v>2109</v>
      </c>
      <c r="C28" s="116"/>
      <c r="E28" s="42" t="s">
        <v>88</v>
      </c>
      <c r="F28" s="39" t="s">
        <v>43</v>
      </c>
      <c r="G28" s="26">
        <v>2</v>
      </c>
      <c r="H28" s="106">
        <f>IF(B$29=0,0,G28/B$29)</f>
        <v>3.3388981636060101E-3</v>
      </c>
      <c r="I28" s="67">
        <v>3</v>
      </c>
      <c r="K28" s="17">
        <v>26</v>
      </c>
      <c r="L28" s="72">
        <v>-256.29999999999995</v>
      </c>
      <c r="N28" s="88" t="s">
        <v>188</v>
      </c>
      <c r="O28" s="98">
        <f>IF(P28=0,0,Q28/P28)</f>
        <v>-69.5</v>
      </c>
      <c r="P28" s="92">
        <v>1</v>
      </c>
      <c r="Q28" s="80">
        <v>-69.5</v>
      </c>
    </row>
    <row r="29" spans="1:17" x14ac:dyDescent="0.4">
      <c r="A29" s="36" t="s">
        <v>180</v>
      </c>
      <c r="B29" s="117">
        <v>599</v>
      </c>
      <c r="C29" s="118"/>
      <c r="E29" s="42" t="s">
        <v>75</v>
      </c>
      <c r="F29" s="39" t="s">
        <v>30</v>
      </c>
      <c r="G29" s="26">
        <v>1</v>
      </c>
      <c r="H29" s="106">
        <f>IF(B$29=0,0,G29/B$29)</f>
        <v>1.6694490818030051E-3</v>
      </c>
      <c r="I29" s="67">
        <v>9</v>
      </c>
      <c r="K29" s="17">
        <v>27</v>
      </c>
      <c r="L29" s="72">
        <v>-296.29999999999995</v>
      </c>
    </row>
    <row r="30" spans="1:17" x14ac:dyDescent="0.4">
      <c r="E30" s="42" t="s">
        <v>91</v>
      </c>
      <c r="F30" s="39" t="s">
        <v>46</v>
      </c>
      <c r="G30" s="26">
        <v>1</v>
      </c>
      <c r="H30" s="106">
        <f>IF(B$29=0,0,G30/B$29)</f>
        <v>1.6694490818030051E-3</v>
      </c>
      <c r="I30" s="67">
        <v>5</v>
      </c>
      <c r="K30" s="17">
        <v>28</v>
      </c>
      <c r="L30" s="72">
        <v>-290.19999999999993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  <row r="268" spans="11:12" x14ac:dyDescent="0.4">
      <c r="K268" s="17">
        <v>266</v>
      </c>
      <c r="L268" s="72">
        <v>-362.69999999999987</v>
      </c>
    </row>
    <row r="269" spans="11:12" x14ac:dyDescent="0.4">
      <c r="K269" s="17">
        <v>267</v>
      </c>
      <c r="L269" s="72">
        <v>-409.99999999999989</v>
      </c>
    </row>
    <row r="270" spans="11:12" x14ac:dyDescent="0.4">
      <c r="K270" s="17">
        <v>268</v>
      </c>
      <c r="L270" s="72">
        <v>-356.49999999999989</v>
      </c>
    </row>
    <row r="271" spans="11:12" x14ac:dyDescent="0.4">
      <c r="K271" s="17">
        <v>269</v>
      </c>
      <c r="L271" s="72">
        <v>-335.99999999999989</v>
      </c>
    </row>
  </sheetData>
  <sortState xmlns:xlrd2="http://schemas.microsoft.com/office/spreadsheetml/2017/richdata2" ref="N15:Q2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98C7E-10E3-47DA-8579-C65B221672C3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9</v>
      </c>
      <c r="C2" s="116"/>
      <c r="E2" s="41" t="s">
        <v>65</v>
      </c>
      <c r="F2" s="38" t="s">
        <v>21</v>
      </c>
      <c r="G2" s="25">
        <v>15</v>
      </c>
      <c r="H2" s="105">
        <f>IF(B$29=0,0,G2/B$29)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27">
        <v>69</v>
      </c>
      <c r="C3" s="128"/>
      <c r="E3" s="42" t="s">
        <v>67</v>
      </c>
      <c r="F3" s="39" t="s">
        <v>23</v>
      </c>
      <c r="G3" s="26">
        <v>15</v>
      </c>
      <c r="H3" s="106">
        <f>IF(B$29=0,0,G3/B$29)</f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0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9">
        <v>108</v>
      </c>
      <c r="C4" s="130"/>
      <c r="E4" s="42" t="s">
        <v>73</v>
      </c>
      <c r="F4" s="39" t="s">
        <v>28</v>
      </c>
      <c r="G4" s="26">
        <v>13</v>
      </c>
      <c r="H4" s="106">
        <f>IF(B$29=0,0,G4/B$29)</f>
        <v>0.54166666666666663</v>
      </c>
      <c r="I4" s="67">
        <v>10</v>
      </c>
      <c r="K4" s="17">
        <v>2</v>
      </c>
      <c r="L4" s="72">
        <v>71.3</v>
      </c>
      <c r="N4" s="88" t="s">
        <v>131</v>
      </c>
      <c r="O4" s="95">
        <f t="shared" si="0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31">
        <f>IF(B$2=0,0,B$4/B$2)</f>
        <v>12</v>
      </c>
      <c r="C5" s="132"/>
      <c r="E5" s="42" t="s">
        <v>177</v>
      </c>
      <c r="F5" s="39" t="s">
        <v>178</v>
      </c>
      <c r="G5" s="26">
        <v>12</v>
      </c>
      <c r="H5" s="106">
        <f>IF(B$29=0,0,G5/B$29)</f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0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23">
        <f>IF(B$2=0,0,(B$7*1+B$8*2+B$9*3)/B$2)</f>
        <v>1.6666666666666667</v>
      </c>
      <c r="C6" s="124"/>
      <c r="E6" s="42" t="s">
        <v>68</v>
      </c>
      <c r="F6" s="39" t="s">
        <v>24</v>
      </c>
      <c r="G6" s="26">
        <v>9</v>
      </c>
      <c r="H6" s="106">
        <f>IF(B$29=0,0,G6/B$29)</f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0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>IF(B$29=0,0,G7/B$29)</f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0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>IF(B$29=0,0,G8/B$29)</f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0.22222222222222221</v>
      </c>
      <c r="E9" s="42" t="s">
        <v>70</v>
      </c>
      <c r="F9" s="39" t="s">
        <v>25</v>
      </c>
      <c r="G9" s="26">
        <v>4</v>
      </c>
      <c r="H9" s="106">
        <f>IF(B$29=0,0,G9/B$29)</f>
        <v>0.16666666666666666</v>
      </c>
      <c r="I9" s="67">
        <v>4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>IF(B$29=0,0,G10/B$29)</f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>IF(B$29=0,0,G11/B$29)</f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>IF(B$29=0,0,G12/B$29)</f>
        <v>0.125</v>
      </c>
      <c r="I12" s="67">
        <v>4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IF(B$28=0,0,B13/B$28)</f>
        <v>0.37681159420289856</v>
      </c>
      <c r="E13" s="42" t="s">
        <v>72</v>
      </c>
      <c r="F13" s="39" t="s">
        <v>27</v>
      </c>
      <c r="G13" s="26">
        <v>2</v>
      </c>
      <c r="H13" s="106">
        <f>IF(B$29=0,0,G13/B$29)</f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IF(B$28=0,0,B14/B$28)</f>
        <v>0.14492753623188406</v>
      </c>
      <c r="E14" s="42" t="s">
        <v>167</v>
      </c>
      <c r="F14" s="39" t="s">
        <v>168</v>
      </c>
      <c r="G14" s="26">
        <v>2</v>
      </c>
      <c r="H14" s="106">
        <f>IF(B$29=0,0,G14/B$29)</f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>IF(B$29=0,0,G15/B$29)</f>
        <v>4.1666666666666664E-2</v>
      </c>
      <c r="I15" s="67">
        <v>1</v>
      </c>
      <c r="N15" s="87" t="s">
        <v>172</v>
      </c>
      <c r="O15" s="97">
        <f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>IF(B$29=0,0,G16/B$29)</f>
        <v>0</v>
      </c>
      <c r="I16" s="67">
        <v>10</v>
      </c>
      <c r="N16" s="88" t="s">
        <v>174</v>
      </c>
      <c r="O16" s="98">
        <f>IF(P16=0,0,Q16/P16)</f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>IF(B$29=0,0,G17/B$29)</f>
        <v>0</v>
      </c>
      <c r="I17" s="67">
        <v>10</v>
      </c>
      <c r="N17" s="88" t="s">
        <v>182</v>
      </c>
      <c r="O17" s="98">
        <f>IF(P17=0,0,Q17/P17)</f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>IF(B$29=0,0,G18/B$29)</f>
        <v>0</v>
      </c>
      <c r="I18" s="67">
        <v>10</v>
      </c>
      <c r="N18" s="88" t="s">
        <v>173</v>
      </c>
      <c r="O18" s="98">
        <f>IF(P18=0,0,Q18/P18)</f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>IF(B$29=0,0,G19/B$29)</f>
        <v>0</v>
      </c>
      <c r="I19" s="67">
        <v>1</v>
      </c>
      <c r="N19" s="88" t="s">
        <v>185</v>
      </c>
      <c r="O19" s="98">
        <f>IF(P19=0,0,Q19/P19)</f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>IF(B$29=0,0,G20/B$29)</f>
        <v>0</v>
      </c>
      <c r="I20" s="67">
        <v>9</v>
      </c>
      <c r="N20" s="88" t="s">
        <v>128</v>
      </c>
      <c r="O20" s="98">
        <f>IF(P20=0,0,Q20/P20)</f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>IF(B$29=0,0,G21/B$29)</f>
        <v>0</v>
      </c>
      <c r="I21" s="67">
        <v>13</v>
      </c>
      <c r="N21" s="88" t="s">
        <v>171</v>
      </c>
      <c r="O21" s="98">
        <f>IF(P21=0,0,Q21/P21)</f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>IF(B$29=0,0,G22/B$29)</f>
        <v>0</v>
      </c>
      <c r="I22" s="67">
        <v>13</v>
      </c>
      <c r="N22" s="88" t="s">
        <v>127</v>
      </c>
      <c r="O22" s="98">
        <f>IF(P22=0,0,Q22/P22)</f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>IF(B$29=0,0,G23/B$29)</f>
        <v>0</v>
      </c>
      <c r="I23" s="67">
        <v>3</v>
      </c>
    </row>
    <row r="24" spans="1:17" x14ac:dyDescent="0.4">
      <c r="A24" s="36" t="s">
        <v>14</v>
      </c>
      <c r="B24" s="31">
        <f>IF(B$20=0,0,C24/B$20)</f>
        <v>-8400</v>
      </c>
      <c r="C24" s="24">
        <v>-50400</v>
      </c>
      <c r="E24" s="42" t="s">
        <v>82</v>
      </c>
      <c r="F24" s="39" t="s">
        <v>37</v>
      </c>
      <c r="G24" s="26">
        <v>0</v>
      </c>
      <c r="H24" s="106">
        <f>IF(B$29=0,0,G24/B$29)</f>
        <v>0</v>
      </c>
      <c r="I24" s="67">
        <v>14</v>
      </c>
    </row>
    <row r="25" spans="1:17" x14ac:dyDescent="0.4">
      <c r="A25" s="63" t="s">
        <v>139</v>
      </c>
      <c r="B25" s="121">
        <v>5</v>
      </c>
      <c r="C25" s="122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17" x14ac:dyDescent="0.4">
      <c r="A26" s="37" t="s">
        <v>146</v>
      </c>
      <c r="B26" s="119">
        <v>78000</v>
      </c>
      <c r="C26" s="120"/>
      <c r="E26" s="42" t="s">
        <v>84</v>
      </c>
      <c r="F26" s="39" t="s">
        <v>39</v>
      </c>
      <c r="G26" s="26">
        <v>0</v>
      </c>
      <c r="H26" s="106">
        <f>IF(B$29=0,0,G26/B$29)</f>
        <v>0</v>
      </c>
      <c r="I26" s="67">
        <v>15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69</v>
      </c>
      <c r="C28" s="116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</row>
    <row r="29" spans="1:17" x14ac:dyDescent="0.4">
      <c r="A29" s="36" t="s">
        <v>180</v>
      </c>
      <c r="B29" s="117">
        <v>24</v>
      </c>
      <c r="C29" s="118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6A32-80DC-4AAD-B923-4B0F4F6D8DCF}">
  <sheetPr codeName="Sheet15"/>
  <dimension ref="A1:Q19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193</v>
      </c>
      <c r="C2" s="116"/>
      <c r="E2" s="41" t="s">
        <v>67</v>
      </c>
      <c r="F2" s="38" t="s">
        <v>23</v>
      </c>
      <c r="G2" s="25">
        <v>261</v>
      </c>
      <c r="H2" s="105">
        <f>IF(B$29=0,0,G2/B$29)</f>
        <v>0.63658536585365855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27.979274611398964</v>
      </c>
      <c r="P2" s="91">
        <v>193</v>
      </c>
      <c r="Q2" s="75">
        <v>5400</v>
      </c>
    </row>
    <row r="3" spans="1:17" x14ac:dyDescent="0.4">
      <c r="A3" s="34" t="s">
        <v>8</v>
      </c>
      <c r="B3" s="127">
        <v>1578</v>
      </c>
      <c r="C3" s="128"/>
      <c r="E3" s="42" t="s">
        <v>73</v>
      </c>
      <c r="F3" s="39" t="s">
        <v>28</v>
      </c>
      <c r="G3" s="26">
        <v>232</v>
      </c>
      <c r="H3" s="106">
        <f>IF(B$29=0,0,G3/B$29)</f>
        <v>0.56585365853658531</v>
      </c>
      <c r="I3" s="67">
        <v>7</v>
      </c>
      <c r="K3" s="17">
        <v>1</v>
      </c>
      <c r="L3" s="72">
        <v>15</v>
      </c>
      <c r="N3" s="88" t="s">
        <v>130</v>
      </c>
      <c r="O3" s="95">
        <f t="shared" ref="O3:O7" si="0">IF(P3=0,0,Q3/P3)</f>
        <v>901.61290322580646</v>
      </c>
      <c r="P3" s="92">
        <v>186</v>
      </c>
      <c r="Q3" s="76">
        <v>167700</v>
      </c>
    </row>
    <row r="4" spans="1:17" x14ac:dyDescent="0.4">
      <c r="A4" s="34" t="s">
        <v>6</v>
      </c>
      <c r="B4" s="129">
        <v>-463.9</v>
      </c>
      <c r="C4" s="130"/>
      <c r="E4" s="42" t="s">
        <v>65</v>
      </c>
      <c r="F4" s="39" t="s">
        <v>21</v>
      </c>
      <c r="G4" s="26">
        <v>214</v>
      </c>
      <c r="H4" s="106">
        <f>IF(B$29=0,0,G4/B$29)</f>
        <v>0.52195121951219514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0"/>
        <v>-1782.0809248554913</v>
      </c>
      <c r="P4" s="92">
        <v>173</v>
      </c>
      <c r="Q4" s="76">
        <v>-308300</v>
      </c>
    </row>
    <row r="5" spans="1:17" x14ac:dyDescent="0.4">
      <c r="A5" s="34" t="s">
        <v>7</v>
      </c>
      <c r="B5" s="131">
        <f>IF(B$2=0,0,B$4/B$2)</f>
        <v>-2.4036269430051811</v>
      </c>
      <c r="C5" s="132"/>
      <c r="E5" s="42" t="s">
        <v>167</v>
      </c>
      <c r="F5" s="39" t="s">
        <v>168</v>
      </c>
      <c r="G5" s="26">
        <v>147</v>
      </c>
      <c r="H5" s="106">
        <f>IF(B$29=0,0,G5/B$29)</f>
        <v>0.35853658536585364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0"/>
        <v>-273.91304347826087</v>
      </c>
      <c r="P5" s="92">
        <v>161</v>
      </c>
      <c r="Q5" s="76">
        <v>-44100</v>
      </c>
    </row>
    <row r="6" spans="1:17" x14ac:dyDescent="0.4">
      <c r="A6" s="34" t="s">
        <v>1</v>
      </c>
      <c r="B6" s="123">
        <f>IF(B$2=0,0,(B$7*1+B$8*2+B$9*3)/B$2)</f>
        <v>2.088082901554404</v>
      </c>
      <c r="C6" s="124"/>
      <c r="E6" s="42" t="s">
        <v>68</v>
      </c>
      <c r="F6" s="39" t="s">
        <v>24</v>
      </c>
      <c r="G6" s="26">
        <v>141</v>
      </c>
      <c r="H6" s="106">
        <f>IF(B$29=0,0,G6/B$29)</f>
        <v>0.34390243902439022</v>
      </c>
      <c r="I6" s="67">
        <v>7</v>
      </c>
      <c r="K6" s="17">
        <v>4</v>
      </c>
      <c r="L6" s="72">
        <v>5.1000000000000014</v>
      </c>
      <c r="N6" s="88" t="s">
        <v>133</v>
      </c>
      <c r="O6" s="95">
        <f t="shared" si="0"/>
        <v>-1926.2068965517242</v>
      </c>
      <c r="P6" s="92">
        <v>145</v>
      </c>
      <c r="Q6" s="76">
        <v>-279300</v>
      </c>
    </row>
    <row r="7" spans="1:17" x14ac:dyDescent="0.4">
      <c r="A7" s="34" t="s">
        <v>2</v>
      </c>
      <c r="B7" s="26">
        <v>55</v>
      </c>
      <c r="C7" s="18">
        <f>IF(B$2=0,0,B7/B$2)</f>
        <v>0.28497409326424872</v>
      </c>
      <c r="E7" s="42" t="s">
        <v>69</v>
      </c>
      <c r="F7" s="39" t="s">
        <v>12</v>
      </c>
      <c r="G7" s="26">
        <v>127</v>
      </c>
      <c r="H7" s="106">
        <f>IF(B$29=0,0,G7/B$29)</f>
        <v>0.30975609756097561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0"/>
        <v>420</v>
      </c>
      <c r="P7" s="93">
        <v>120</v>
      </c>
      <c r="Q7" s="77">
        <v>50400</v>
      </c>
    </row>
    <row r="8" spans="1:17" x14ac:dyDescent="0.4">
      <c r="A8" s="34" t="s">
        <v>3</v>
      </c>
      <c r="B8" s="26">
        <v>66</v>
      </c>
      <c r="C8" s="18">
        <f>IF(B$2=0,0,B8/B$2)</f>
        <v>0.34196891191709844</v>
      </c>
      <c r="E8" s="42" t="s">
        <v>177</v>
      </c>
      <c r="F8" s="39" t="s">
        <v>178</v>
      </c>
      <c r="G8" s="26">
        <v>55</v>
      </c>
      <c r="H8" s="106">
        <f>IF(B$29=0,0,G8/B$29)</f>
        <v>0.13414634146341464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72</v>
      </c>
      <c r="C9" s="19">
        <f t="shared" ref="C9" si="1">IF(B$2=0,0,B9/B$2)</f>
        <v>0.37305699481865284</v>
      </c>
      <c r="E9" s="42" t="s">
        <v>70</v>
      </c>
      <c r="F9" s="39" t="s">
        <v>25</v>
      </c>
      <c r="G9" s="26">
        <v>50</v>
      </c>
      <c r="H9" s="106">
        <f>IF(B$29=0,0,G9/B$29)</f>
        <v>0.12195121951219512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0.15025906735751296</v>
      </c>
      <c r="E10" s="42" t="s">
        <v>90</v>
      </c>
      <c r="F10" s="39" t="s">
        <v>45</v>
      </c>
      <c r="G10" s="26">
        <v>49</v>
      </c>
      <c r="H10" s="106">
        <f>IF(B$29=0,0,G10/B$29)</f>
        <v>0.11951219512195121</v>
      </c>
      <c r="I10" s="67">
        <v>10</v>
      </c>
      <c r="K10" s="17">
        <v>8</v>
      </c>
      <c r="L10" s="72">
        <v>-4.4999999999999964</v>
      </c>
      <c r="N10" s="87" t="s">
        <v>158</v>
      </c>
      <c r="O10" s="97">
        <f>IF(P10=0,0,Q10/P10)</f>
        <v>-4.3600000000000003</v>
      </c>
      <c r="P10" s="91">
        <v>70</v>
      </c>
      <c r="Q10" s="79">
        <v>-305.20000000000005</v>
      </c>
    </row>
    <row r="11" spans="1:17" x14ac:dyDescent="0.4">
      <c r="A11" s="35" t="s">
        <v>137</v>
      </c>
      <c r="B11" s="27">
        <v>17</v>
      </c>
      <c r="C11" s="19">
        <f>IF(B$2=0,0,B11/B$2)</f>
        <v>8.8082901554404139E-2</v>
      </c>
      <c r="E11" s="42" t="s">
        <v>66</v>
      </c>
      <c r="F11" s="39" t="s">
        <v>22</v>
      </c>
      <c r="G11" s="26">
        <v>40</v>
      </c>
      <c r="H11" s="106">
        <f>IF(B$29=0,0,G11/B$29)</f>
        <v>9.7560975609756101E-2</v>
      </c>
      <c r="I11" s="67">
        <v>12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4.145077720207254E-2</v>
      </c>
      <c r="E12" s="42" t="s">
        <v>71</v>
      </c>
      <c r="F12" s="39" t="s">
        <v>26</v>
      </c>
      <c r="G12" s="26">
        <v>33</v>
      </c>
      <c r="H12" s="106">
        <f>IF(B$29=0,0,G12/B$29)</f>
        <v>8.0487804878048783E-2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-1.4761904761904767</v>
      </c>
      <c r="P12" s="93">
        <v>63</v>
      </c>
      <c r="Q12" s="81">
        <v>-93.000000000000028</v>
      </c>
    </row>
    <row r="13" spans="1:17" x14ac:dyDescent="0.4">
      <c r="A13" s="37" t="s">
        <v>122</v>
      </c>
      <c r="B13" s="29">
        <v>373</v>
      </c>
      <c r="C13" s="23">
        <f>IF(B$28=0,0,B13/B$28)</f>
        <v>0.23637515842839038</v>
      </c>
      <c r="E13" s="42" t="s">
        <v>84</v>
      </c>
      <c r="F13" s="39" t="s">
        <v>39</v>
      </c>
      <c r="G13" s="26">
        <v>28</v>
      </c>
      <c r="H13" s="106">
        <f>IF(B$29=0,0,G13/B$29)</f>
        <v>6.8292682926829273E-2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377</v>
      </c>
      <c r="C14" s="18">
        <f>IF(B$28=0,0,B14/B$28)</f>
        <v>0.23891001267427123</v>
      </c>
      <c r="E14" s="42" t="s">
        <v>72</v>
      </c>
      <c r="F14" s="39" t="s">
        <v>27</v>
      </c>
      <c r="G14" s="26">
        <v>26</v>
      </c>
      <c r="H14" s="106">
        <f>IF(B$29=0,0,G14/B$29)</f>
        <v>6.3414634146341464E-2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215</v>
      </c>
      <c r="C15" s="16">
        <f>IF(B$13=0,0,B15/B$13)</f>
        <v>0.57640750670241292</v>
      </c>
      <c r="E15" s="42" t="s">
        <v>87</v>
      </c>
      <c r="F15" s="39" t="s">
        <v>42</v>
      </c>
      <c r="G15" s="26">
        <v>22</v>
      </c>
      <c r="H15" s="106">
        <f>IF(B$29=0,0,G15/B$29)</f>
        <v>5.3658536585365853E-2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>IF(P15=0,0,Q15/P15)</f>
        <v>38.56428571428571</v>
      </c>
      <c r="P15" s="91">
        <v>14</v>
      </c>
      <c r="Q15" s="79">
        <v>539.9</v>
      </c>
    </row>
    <row r="16" spans="1:17" x14ac:dyDescent="0.4">
      <c r="A16" s="33" t="s">
        <v>125</v>
      </c>
      <c r="B16" s="25">
        <v>131</v>
      </c>
      <c r="C16" s="16">
        <f>IF(B$14=0,0,B16/B$14)</f>
        <v>0.34748010610079577</v>
      </c>
      <c r="E16" s="42" t="s">
        <v>79</v>
      </c>
      <c r="F16" s="39" t="s">
        <v>34</v>
      </c>
      <c r="G16" s="26">
        <v>14</v>
      </c>
      <c r="H16" s="106">
        <f>IF(B$29=0,0,G16/B$29)</f>
        <v>3.4146341463414637E-2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>IF(P16=0,0,Q16/P16)</f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410</v>
      </c>
      <c r="C17" s="16">
        <f>IF(B$3=0,0,B17/B$3)</f>
        <v>0.25982256020278832</v>
      </c>
      <c r="E17" s="42" t="s">
        <v>92</v>
      </c>
      <c r="F17" s="39" t="s">
        <v>47</v>
      </c>
      <c r="G17" s="26">
        <v>11</v>
      </c>
      <c r="H17" s="106">
        <f>IF(B$29=0,0,G17/B$29)</f>
        <v>2.6829268292682926E-2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>IF(P17=0,0,Q17/P17)</f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176</v>
      </c>
      <c r="C18" s="18">
        <f>IF(B$17=0,0,B18/B$17)</f>
        <v>0.42926829268292682</v>
      </c>
      <c r="E18" s="42" t="s">
        <v>80</v>
      </c>
      <c r="F18" s="39" t="s">
        <v>35</v>
      </c>
      <c r="G18" s="26">
        <v>10</v>
      </c>
      <c r="H18" s="106">
        <f>IF(B$29=0,0,G18/B$29)</f>
        <v>2.4390243902439025E-2</v>
      </c>
      <c r="I18" s="67">
        <v>4</v>
      </c>
      <c r="K18" s="17">
        <v>16</v>
      </c>
      <c r="L18" s="72">
        <v>-25.599999999999994</v>
      </c>
      <c r="N18" s="88" t="s">
        <v>182</v>
      </c>
      <c r="O18" s="98">
        <f>IF(P18=0,0,Q18/P18)</f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234</v>
      </c>
      <c r="C19" s="18">
        <f>IF(B$17=0,0,B19/B$17)</f>
        <v>0.57073170731707312</v>
      </c>
      <c r="E19" s="42" t="s">
        <v>82</v>
      </c>
      <c r="F19" s="39" t="s">
        <v>37</v>
      </c>
      <c r="G19" s="26">
        <v>10</v>
      </c>
      <c r="H19" s="106">
        <f>IF(B$29=0,0,G19/B$29)</f>
        <v>2.4390243902439025E-2</v>
      </c>
      <c r="I19" s="67">
        <v>10</v>
      </c>
      <c r="K19" s="17">
        <v>17</v>
      </c>
      <c r="L19" s="72">
        <v>-39.799999999999997</v>
      </c>
      <c r="N19" s="88" t="s">
        <v>173</v>
      </c>
      <c r="O19" s="98">
        <f>IF(P19=0,0,Q19/P19)</f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245</v>
      </c>
      <c r="C20" s="18">
        <f>IF(B$3=0,0,B20/B$3)</f>
        <v>0.15525982256020279</v>
      </c>
      <c r="E20" s="42" t="s">
        <v>86</v>
      </c>
      <c r="F20" s="39" t="s">
        <v>41</v>
      </c>
      <c r="G20" s="26">
        <v>7</v>
      </c>
      <c r="H20" s="106">
        <f>IF(B$29=0,0,G20/B$29)</f>
        <v>1.7073170731707318E-2</v>
      </c>
      <c r="I20" s="67">
        <v>1</v>
      </c>
      <c r="K20" s="17">
        <v>18</v>
      </c>
      <c r="L20" s="72">
        <v>-60.4</v>
      </c>
      <c r="N20" s="88" t="s">
        <v>171</v>
      </c>
      <c r="O20" s="98">
        <f>IF(P20=0,0,Q20/P20)</f>
        <v>5.4016393442622963</v>
      </c>
      <c r="P20" s="92">
        <v>61</v>
      </c>
      <c r="Q20" s="80">
        <v>329.50000000000006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>IF(B$29=0,0,G21/B$29)</f>
        <v>7.3170731707317077E-3</v>
      </c>
      <c r="I21" s="67">
        <v>4</v>
      </c>
      <c r="K21" s="17">
        <v>19</v>
      </c>
      <c r="L21" s="72">
        <v>-60</v>
      </c>
      <c r="N21" s="88" t="s">
        <v>174</v>
      </c>
      <c r="O21" s="98">
        <f>IF(P21=0,0,Q21/P21)</f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>IF(B$29=0,0,G22/B$29)</f>
        <v>4.8780487804878049E-3</v>
      </c>
      <c r="I22" s="67">
        <v>4</v>
      </c>
      <c r="K22" s="17">
        <v>20</v>
      </c>
      <c r="L22" s="72">
        <v>-88.2</v>
      </c>
      <c r="N22" s="88" t="s">
        <v>185</v>
      </c>
      <c r="O22" s="98">
        <f>IF(P22=0,0,Q22/P22)</f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8710.4878048780483</v>
      </c>
      <c r="C23" s="20">
        <v>3571300</v>
      </c>
      <c r="E23" s="42" t="s">
        <v>76</v>
      </c>
      <c r="F23" s="39" t="s">
        <v>31</v>
      </c>
      <c r="G23" s="26">
        <v>2</v>
      </c>
      <c r="H23" s="106">
        <f>IF(B$29=0,0,G23/B$29)</f>
        <v>4.8780487804878049E-3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>IF(P23=0,0,Q23/P23)</f>
        <v>-5.6159090909090912</v>
      </c>
      <c r="P23" s="92">
        <v>44</v>
      </c>
      <c r="Q23" s="80">
        <v>-247.10000000000002</v>
      </c>
    </row>
    <row r="24" spans="1:17" x14ac:dyDescent="0.4">
      <c r="A24" s="36" t="s">
        <v>14</v>
      </c>
      <c r="B24" s="31">
        <f>IF(B$20=0,0,C24/B$20)</f>
        <v>-7451.0204081632655</v>
      </c>
      <c r="C24" s="24">
        <v>-1825500</v>
      </c>
      <c r="E24" s="42" t="s">
        <v>91</v>
      </c>
      <c r="F24" s="39" t="s">
        <v>46</v>
      </c>
      <c r="G24" s="26">
        <v>2</v>
      </c>
      <c r="H24" s="106">
        <f>IF(B$29=0,0,G24/B$29)</f>
        <v>4.8780487804878049E-3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>IF(P24=0,0,Q24/P24)</f>
        <v>-6.4581395348837223</v>
      </c>
      <c r="P24" s="92">
        <v>86</v>
      </c>
      <c r="Q24" s="80">
        <v>-555.40000000000009</v>
      </c>
    </row>
    <row r="25" spans="1:17" x14ac:dyDescent="0.4">
      <c r="A25" s="63" t="s">
        <v>139</v>
      </c>
      <c r="B25" s="121">
        <v>8</v>
      </c>
      <c r="C25" s="122"/>
      <c r="E25" s="42" t="s">
        <v>93</v>
      </c>
      <c r="F25" s="39" t="s">
        <v>48</v>
      </c>
      <c r="G25" s="26">
        <v>2</v>
      </c>
      <c r="H25" s="106">
        <f>IF(B$29=0,0,G25/B$29)</f>
        <v>4.8780487804878049E-3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>IF(P25=0,0,Q25/P25)</f>
        <v>-23.645054945054948</v>
      </c>
      <c r="P25" s="92">
        <v>91</v>
      </c>
      <c r="Q25" s="80">
        <v>-2151.7000000000003</v>
      </c>
    </row>
    <row r="26" spans="1:17" x14ac:dyDescent="0.4">
      <c r="A26" s="37" t="s">
        <v>146</v>
      </c>
      <c r="B26" s="119">
        <v>103000</v>
      </c>
      <c r="C26" s="120"/>
      <c r="E26" s="42" t="s">
        <v>102</v>
      </c>
      <c r="F26" s="39" t="s">
        <v>57</v>
      </c>
      <c r="G26" s="26">
        <v>2</v>
      </c>
      <c r="H26" s="106">
        <f>IF(B$29=0,0,G26/B$29)</f>
        <v>4.8780487804878049E-3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>IF(P26=0,0,Q26/P26)</f>
        <v>-45.699999999999996</v>
      </c>
      <c r="P26" s="92">
        <v>3</v>
      </c>
      <c r="Q26" s="80">
        <v>-137.1</v>
      </c>
    </row>
    <row r="27" spans="1:17" x14ac:dyDescent="0.4">
      <c r="A27" s="36" t="s">
        <v>140</v>
      </c>
      <c r="B27" s="44">
        <v>7</v>
      </c>
      <c r="C27" s="21">
        <f>IF(B$3=0,0,B27/B$3)</f>
        <v>4.4359949302915083E-3</v>
      </c>
      <c r="E27" s="42" t="s">
        <v>94</v>
      </c>
      <c r="F27" s="39" t="s">
        <v>49</v>
      </c>
      <c r="G27" s="26">
        <v>1</v>
      </c>
      <c r="H27" s="106">
        <f>IF(B$29=0,0,G27/B$29)</f>
        <v>2.4390243902439024E-3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3" t="s">
        <v>179</v>
      </c>
      <c r="B28" s="115">
        <v>1578</v>
      </c>
      <c r="C28" s="116"/>
      <c r="E28" s="42" t="s">
        <v>163</v>
      </c>
      <c r="F28" s="39" t="s">
        <v>164</v>
      </c>
      <c r="G28" s="26">
        <v>1</v>
      </c>
      <c r="H28" s="106">
        <f>IF(B$29=0,0,G28/B$29)</f>
        <v>2.4390243902439024E-3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180</v>
      </c>
      <c r="B29" s="117">
        <v>410</v>
      </c>
      <c r="C29" s="118"/>
      <c r="E29" s="42" t="s">
        <v>74</v>
      </c>
      <c r="F29" s="39" t="s">
        <v>29</v>
      </c>
      <c r="G29" s="26">
        <v>0</v>
      </c>
      <c r="H29" s="106">
        <f>IF(B$29=0,0,G29/B$29)</f>
        <v>0</v>
      </c>
      <c r="I29" s="67">
        <v>10</v>
      </c>
      <c r="K29" s="17">
        <v>27</v>
      </c>
      <c r="L29" s="72">
        <v>-266.7</v>
      </c>
    </row>
    <row r="30" spans="1:17" x14ac:dyDescent="0.4">
      <c r="E30" s="42" t="s">
        <v>77</v>
      </c>
      <c r="F30" s="39" t="s">
        <v>32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-283.7</v>
      </c>
    </row>
    <row r="31" spans="1:17" x14ac:dyDescent="0.4">
      <c r="E31" s="42" t="s">
        <v>81</v>
      </c>
      <c r="F31" s="39" t="s">
        <v>36</v>
      </c>
      <c r="G31" s="26">
        <v>0</v>
      </c>
      <c r="H31" s="106">
        <f>IF(B$29=0,0,G31/B$29)</f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>IF(B$29=0,0,G32/B$29)</f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  <row r="191" spans="11:12" x14ac:dyDescent="0.4">
      <c r="K191" s="17">
        <v>189</v>
      </c>
      <c r="L191" s="72">
        <v>-452.59999999999997</v>
      </c>
    </row>
    <row r="192" spans="11:12" x14ac:dyDescent="0.4">
      <c r="K192" s="17">
        <v>190</v>
      </c>
      <c r="L192" s="72">
        <v>-447.4</v>
      </c>
    </row>
    <row r="193" spans="11:12" x14ac:dyDescent="0.4">
      <c r="K193" s="17">
        <v>191</v>
      </c>
      <c r="L193" s="72">
        <v>-462.5</v>
      </c>
    </row>
    <row r="194" spans="11:12" x14ac:dyDescent="0.4">
      <c r="K194" s="17">
        <v>192</v>
      </c>
      <c r="L194" s="72">
        <v>-470.9</v>
      </c>
    </row>
    <row r="195" spans="11:12" x14ac:dyDescent="0.4">
      <c r="K195" s="17">
        <v>193</v>
      </c>
      <c r="L195" s="72">
        <v>-463.9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80A57-9C7C-4366-B8D8-A15F5FD7467E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84</v>
      </c>
      <c r="C2" s="116"/>
      <c r="E2" s="41" t="s">
        <v>67</v>
      </c>
      <c r="F2" s="38" t="s">
        <v>23</v>
      </c>
      <c r="G2" s="25">
        <v>144</v>
      </c>
      <c r="H2" s="105">
        <f>IF(B$29=0,0,G2/B$29)</f>
        <v>0.72727272727272729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27">
        <v>720</v>
      </c>
      <c r="C3" s="128"/>
      <c r="E3" s="42" t="s">
        <v>73</v>
      </c>
      <c r="F3" s="39" t="s">
        <v>28</v>
      </c>
      <c r="G3" s="26">
        <v>94</v>
      </c>
      <c r="H3" s="106">
        <f>IF(B$29=0,0,G3/B$29)</f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0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9">
        <v>-589.6</v>
      </c>
      <c r="C4" s="130"/>
      <c r="E4" s="42" t="s">
        <v>65</v>
      </c>
      <c r="F4" s="39" t="s">
        <v>21</v>
      </c>
      <c r="G4" s="26">
        <v>91</v>
      </c>
      <c r="H4" s="106">
        <f>IF(B$29=0,0,G4/B$29)</f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0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31">
        <f>IF(B$2=0,0,B$4/B$2)</f>
        <v>-7.019047619047619</v>
      </c>
      <c r="C5" s="132"/>
      <c r="E5" s="42" t="s">
        <v>69</v>
      </c>
      <c r="F5" s="39" t="s">
        <v>12</v>
      </c>
      <c r="G5" s="26">
        <v>75</v>
      </c>
      <c r="H5" s="106">
        <f>IF(B$29=0,0,G5/B$29)</f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0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23">
        <f>IF(B$2=0,0,(B$7*1+B$8*2+B$9*3)/B$2)</f>
        <v>2.1309523809523809</v>
      </c>
      <c r="C6" s="124"/>
      <c r="E6" s="42" t="s">
        <v>167</v>
      </c>
      <c r="F6" s="39" t="s">
        <v>168</v>
      </c>
      <c r="G6" s="26">
        <v>69</v>
      </c>
      <c r="H6" s="106">
        <f>IF(B$29=0,0,G6/B$29)</f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0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>IF(B$29=0,0,G7/B$29)</f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0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>IF(B$29=0,0,G8/B$29)</f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1">IF(B$2=0,0,B9/B$2)</f>
        <v>0.40476190476190477</v>
      </c>
      <c r="E9" s="42" t="s">
        <v>71</v>
      </c>
      <c r="F9" s="39" t="s">
        <v>26</v>
      </c>
      <c r="G9" s="26">
        <v>25</v>
      </c>
      <c r="H9" s="106">
        <f>IF(B$29=0,0,G9/B$29)</f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>IF(B$29=0,0,G10/B$29)</f>
        <v>0.11616161616161616</v>
      </c>
      <c r="I10" s="67">
        <v>11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>IF(B$29=0,0,G11/B$29)</f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>IF(B$29=0,0,G12/B$29)</f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IF(B$28=0,0,B13/B$28)</f>
        <v>0.22222222222222221</v>
      </c>
      <c r="E13" s="42" t="s">
        <v>72</v>
      </c>
      <c r="F13" s="39" t="s">
        <v>27</v>
      </c>
      <c r="G13" s="26">
        <v>11</v>
      </c>
      <c r="H13" s="106">
        <f>IF(B$29=0,0,G13/B$29)</f>
        <v>5.5555555555555552E-2</v>
      </c>
      <c r="I13" s="67">
        <v>10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IF(B$28=0,0,B14/B$28)</f>
        <v>0.21249999999999999</v>
      </c>
      <c r="E14" s="42" t="s">
        <v>87</v>
      </c>
      <c r="F14" s="39" t="s">
        <v>42</v>
      </c>
      <c r="G14" s="26">
        <v>11</v>
      </c>
      <c r="H14" s="106">
        <f>IF(B$29=0,0,G14/B$29)</f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>IF(B$29=0,0,G15/B$29)</f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>IF(B$29=0,0,G16/B$29)</f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>IF(P16=0,0,Q16/P16)</f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>IF(B$29=0,0,G17/B$29)</f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>IF(P17=0,0,Q17/P17)</f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>IF(B$29=0,0,G18/B$29)</f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>IF(P18=0,0,Q18/P18)</f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>IF(B$29=0,0,G19/B$29)</f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>IF(P19=0,0,Q19/P19)</f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>IF(B$29=0,0,G20/B$29)</f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>IF(P20=0,0,Q20/P20)</f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>IF(B$29=0,0,G21/B$29)</f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>IF(P21=0,0,Q21/P21)</f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>IF(B$29=0,0,G22/B$29)</f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>IF(P22=0,0,Q22/P22)</f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>IF(B$29=0,0,G23/B$29)</f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>IF(P23=0,0,Q23/P23)</f>
        <v>-42.96</v>
      </c>
      <c r="P23" s="92">
        <v>5</v>
      </c>
      <c r="Q23" s="80">
        <v>-214.8</v>
      </c>
    </row>
    <row r="24" spans="1:17" x14ac:dyDescent="0.4">
      <c r="A24" s="36" t="s">
        <v>14</v>
      </c>
      <c r="B24" s="31">
        <f>IF(B$20=0,0,C24/B$20)</f>
        <v>-8133.5766423357663</v>
      </c>
      <c r="C24" s="24">
        <v>-1114300</v>
      </c>
      <c r="E24" s="42" t="s">
        <v>86</v>
      </c>
      <c r="F24" s="39" t="s">
        <v>41</v>
      </c>
      <c r="G24" s="26">
        <v>1</v>
      </c>
      <c r="H24" s="106">
        <f>IF(B$29=0,0,G24/B$29)</f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>IF(P24=0,0,Q24/P24)</f>
        <v>-45.5</v>
      </c>
      <c r="P24" s="92">
        <v>1</v>
      </c>
      <c r="Q24" s="80">
        <v>-45.5</v>
      </c>
    </row>
    <row r="25" spans="1:17" x14ac:dyDescent="0.4">
      <c r="A25" s="63" t="s">
        <v>139</v>
      </c>
      <c r="B25" s="121">
        <v>7</v>
      </c>
      <c r="C25" s="122"/>
      <c r="E25" s="42" t="s">
        <v>107</v>
      </c>
      <c r="F25" s="39" t="s">
        <v>114</v>
      </c>
      <c r="G25" s="26">
        <v>1</v>
      </c>
      <c r="H25" s="106">
        <f>IF(B$29=0,0,G25/B$29)</f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>IF(P25=0,0,Q25/P25)</f>
        <v>-59.433333333333337</v>
      </c>
      <c r="P25" s="92">
        <v>3</v>
      </c>
      <c r="Q25" s="80">
        <v>-178.3</v>
      </c>
    </row>
    <row r="26" spans="1:17" x14ac:dyDescent="0.4">
      <c r="A26" s="37" t="s">
        <v>146</v>
      </c>
      <c r="B26" s="119">
        <v>113300</v>
      </c>
      <c r="C26" s="120"/>
      <c r="E26" s="42" t="s">
        <v>75</v>
      </c>
      <c r="F26" s="39" t="s">
        <v>30</v>
      </c>
      <c r="G26" s="26">
        <v>0</v>
      </c>
      <c r="H26" s="106">
        <f>IF(B$29=0,0,G26/B$29)</f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36" t="s">
        <v>140</v>
      </c>
      <c r="B27" s="44">
        <v>2</v>
      </c>
      <c r="C27" s="21">
        <f>IF(B$3=0,0,B27/B$3)</f>
        <v>2.7777777777777779E-3</v>
      </c>
      <c r="E27" s="42" t="s">
        <v>77</v>
      </c>
      <c r="F27" s="39" t="s">
        <v>32</v>
      </c>
      <c r="G27" s="26">
        <v>0</v>
      </c>
      <c r="H27" s="106">
        <f>IF(B$29=0,0,G27/B$29)</f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3" t="s">
        <v>179</v>
      </c>
      <c r="B28" s="115">
        <v>720</v>
      </c>
      <c r="C28" s="116"/>
      <c r="E28" s="42" t="s">
        <v>78</v>
      </c>
      <c r="F28" s="39" t="s">
        <v>33</v>
      </c>
      <c r="G28" s="26">
        <v>0</v>
      </c>
      <c r="H28" s="106">
        <f>IF(B$29=0,0,G28/B$29)</f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180</v>
      </c>
      <c r="B29" s="117">
        <v>198</v>
      </c>
      <c r="C29" s="118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-447.9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>IF(B$29=0,0,G35/B$29)</f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9F5C1-2601-4F9F-9FEC-9189783FE14F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28</v>
      </c>
      <c r="C2" s="116"/>
      <c r="E2" s="41" t="s">
        <v>73</v>
      </c>
      <c r="F2" s="38" t="s">
        <v>28</v>
      </c>
      <c r="G2" s="25">
        <v>55</v>
      </c>
      <c r="H2" s="105">
        <f>IF(B$29=0,0,G2/B$29)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27">
        <v>253</v>
      </c>
      <c r="C3" s="128"/>
      <c r="E3" s="42" t="s">
        <v>67</v>
      </c>
      <c r="F3" s="39" t="s">
        <v>23</v>
      </c>
      <c r="G3" s="26">
        <v>45</v>
      </c>
      <c r="H3" s="106">
        <f>IF(B$29=0,0,G3/B$29)</f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0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9">
        <v>-22.000000000000028</v>
      </c>
      <c r="C4" s="130"/>
      <c r="E4" s="42" t="s">
        <v>65</v>
      </c>
      <c r="F4" s="39" t="s">
        <v>21</v>
      </c>
      <c r="G4" s="26">
        <v>37</v>
      </c>
      <c r="H4" s="106">
        <f>IF(B$29=0,0,G4/B$29)</f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0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31">
        <f>IF(B$2=0,0,B$4/B$2)</f>
        <v>-0.7857142857142867</v>
      </c>
      <c r="C5" s="132"/>
      <c r="E5" s="42" t="s">
        <v>68</v>
      </c>
      <c r="F5" s="39" t="s">
        <v>24</v>
      </c>
      <c r="G5" s="26">
        <v>27</v>
      </c>
      <c r="H5" s="106">
        <f>IF(B$29=0,0,G5/B$29)</f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0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23">
        <f>IF(B$2=0,0,(B$7*1+B$8*2+B$9*3)/B$2)</f>
        <v>1.9285714285714286</v>
      </c>
      <c r="C6" s="124"/>
      <c r="E6" s="42" t="s">
        <v>69</v>
      </c>
      <c r="F6" s="39" t="s">
        <v>12</v>
      </c>
      <c r="G6" s="26">
        <v>26</v>
      </c>
      <c r="H6" s="106">
        <f>IF(B$29=0,0,G6/B$29)</f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0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>IF(B$29=0,0,G7/B$29)</f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0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>IF(B$29=0,0,G8/B$29)</f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1">IF(B$2=0,0,B9/B$2)</f>
        <v>0.2857142857142857</v>
      </c>
      <c r="E9" s="42" t="s">
        <v>70</v>
      </c>
      <c r="F9" s="39" t="s">
        <v>25</v>
      </c>
      <c r="G9" s="26">
        <v>11</v>
      </c>
      <c r="H9" s="106">
        <f>IF(B$29=0,0,G9/B$29)</f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>IF(B$29=0,0,G10/B$29)</f>
        <v>0.1</v>
      </c>
      <c r="I10" s="67">
        <v>10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>IF(B$29=0,0,G11/B$29)</f>
        <v>0.1</v>
      </c>
      <c r="I11" s="67">
        <v>4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>IF(B$29=0,0,G12/B$29)</f>
        <v>0.05</v>
      </c>
      <c r="I12" s="67">
        <v>13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IF(B$28=0,0,B13/B$28)</f>
        <v>0.24901185770750989</v>
      </c>
      <c r="E13" s="42" t="s">
        <v>79</v>
      </c>
      <c r="F13" s="39" t="s">
        <v>34</v>
      </c>
      <c r="G13" s="26">
        <v>4</v>
      </c>
      <c r="H13" s="106">
        <f>IF(B$29=0,0,G13/B$29)</f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IF(B$28=0,0,B14/B$28)</f>
        <v>0.33201581027667987</v>
      </c>
      <c r="E14" s="42" t="s">
        <v>84</v>
      </c>
      <c r="F14" s="39" t="s">
        <v>39</v>
      </c>
      <c r="G14" s="26">
        <v>4</v>
      </c>
      <c r="H14" s="106">
        <f>IF(B$29=0,0,G14/B$29)</f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>IF(B$29=0,0,G15/B$29)</f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>IF(B$29=0,0,G16/B$29)</f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>IF(P16=0,0,Q16/P16)</f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>IF(B$29=0,0,G17/B$29)</f>
        <v>2.5000000000000001E-2</v>
      </c>
      <c r="I17" s="67">
        <v>3</v>
      </c>
      <c r="K17" s="17">
        <v>15</v>
      </c>
      <c r="L17" s="72">
        <v>157.69999999999999</v>
      </c>
      <c r="N17" s="88" t="s">
        <v>173</v>
      </c>
      <c r="O17" s="98">
        <f>IF(P17=0,0,Q17/P17)</f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>IF(B$29=0,0,G18/B$29)</f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>IF(P18=0,0,Q18/P18)</f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>IF(P19=0,0,Q19/P19)</f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>IF(P20=0,0,Q20/P20)</f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>IF(P21=0,0,Q21/P21)</f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>IF(P22=0,0,Q22/P22)</f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>IF(B$29=0,0,G23/B$29)</f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6" t="s">
        <v>14</v>
      </c>
      <c r="B24" s="31">
        <f>IF(B$20=0,0,C24/B$20)</f>
        <v>-8765.1162790697672</v>
      </c>
      <c r="C24" s="24">
        <v>-376900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63" t="s">
        <v>139</v>
      </c>
      <c r="B25" s="121">
        <v>4</v>
      </c>
      <c r="C25" s="122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7" t="s">
        <v>146</v>
      </c>
      <c r="B26" s="119">
        <v>106300</v>
      </c>
      <c r="C26" s="120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36" t="s">
        <v>140</v>
      </c>
      <c r="B27" s="44">
        <v>2</v>
      </c>
      <c r="C27" s="21">
        <f>IF(B$3=0,0,B27/B$3)</f>
        <v>7.9051383399209481E-3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3" t="s">
        <v>179</v>
      </c>
      <c r="B28" s="115">
        <v>253</v>
      </c>
      <c r="C28" s="116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180</v>
      </c>
      <c r="B29" s="117">
        <v>80</v>
      </c>
      <c r="C29" s="118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DBAA3-994B-4BD0-BCB8-A305E60FC22C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</v>
      </c>
      <c r="C2" s="116"/>
      <c r="E2" s="41" t="s">
        <v>67</v>
      </c>
      <c r="F2" s="38" t="s">
        <v>23</v>
      </c>
      <c r="G2" s="25">
        <v>3</v>
      </c>
      <c r="H2" s="105">
        <f>IF(B$29=0,0,G2/B$29)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27">
        <v>13</v>
      </c>
      <c r="C3" s="128"/>
      <c r="E3" s="42" t="s">
        <v>65</v>
      </c>
      <c r="F3" s="39" t="s">
        <v>21</v>
      </c>
      <c r="G3" s="26">
        <v>1</v>
      </c>
      <c r="H3" s="106">
        <f>IF(B$29=0,0,G3/B$29)</f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0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9">
        <v>13.3</v>
      </c>
      <c r="C4" s="130"/>
      <c r="E4" s="42" t="s">
        <v>68</v>
      </c>
      <c r="F4" s="39" t="s">
        <v>24</v>
      </c>
      <c r="G4" s="26">
        <v>1</v>
      </c>
      <c r="H4" s="106">
        <f>IF(B$29=0,0,G4/B$29)</f>
        <v>0.5</v>
      </c>
      <c r="I4" s="67">
        <v>1</v>
      </c>
      <c r="N4" s="88" t="s">
        <v>131</v>
      </c>
      <c r="O4" s="95">
        <f t="shared" si="0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31">
        <f>IF(B$2=0,0,B$4/B$2)</f>
        <v>13.3</v>
      </c>
      <c r="C5" s="132"/>
      <c r="E5" s="42" t="s">
        <v>69</v>
      </c>
      <c r="F5" s="39" t="s">
        <v>12</v>
      </c>
      <c r="G5" s="26">
        <v>1</v>
      </c>
      <c r="H5" s="106">
        <f>IF(B$29=0,0,G5/B$29)</f>
        <v>0.5</v>
      </c>
      <c r="I5" s="67">
        <v>1</v>
      </c>
      <c r="N5" s="88" t="s">
        <v>132</v>
      </c>
      <c r="O5" s="95">
        <f t="shared" si="0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82</v>
      </c>
      <c r="F6" s="39" t="s">
        <v>37</v>
      </c>
      <c r="G6" s="26">
        <v>1</v>
      </c>
      <c r="H6" s="106">
        <f>IF(B$29=0,0,G6/B$29)</f>
        <v>0.5</v>
      </c>
      <c r="I6" s="67">
        <v>1</v>
      </c>
      <c r="N6" s="88" t="s">
        <v>133</v>
      </c>
      <c r="O6" s="95">
        <f t="shared" si="0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>IF(B$29=0,0,G8/B$29)</f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177</v>
      </c>
      <c r="F9" s="39" t="s">
        <v>178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>IF(B$29=0,0,G10/B$29)</f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>IF(B$29=0,0,G11/B$29)</f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>IF(B$29=0,0,G12/B$29)</f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IF(B$28=0,0,B13/B$28)</f>
        <v>0.23076923076923078</v>
      </c>
      <c r="E13" s="42" t="s">
        <v>73</v>
      </c>
      <c r="F13" s="39" t="s">
        <v>28</v>
      </c>
      <c r="G13" s="26">
        <v>0</v>
      </c>
      <c r="H13" s="106">
        <f>IF(B$29=0,0,G13/B$29)</f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IF(B$28=0,0,B14/B$28)</f>
        <v>7.6923076923076927E-2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>IF(B$29=0,0,G20/B$29)</f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>IF(B$29=0,0,G21/B$29)</f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9" x14ac:dyDescent="0.4">
      <c r="A24" s="36" t="s">
        <v>14</v>
      </c>
      <c r="B24" s="31">
        <f>IF(B$20=0,0,C24/B$20)</f>
        <v>-12000</v>
      </c>
      <c r="C24" s="24">
        <v>-12000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9" x14ac:dyDescent="0.4">
      <c r="A25" s="63" t="s">
        <v>139</v>
      </c>
      <c r="B25" s="121">
        <v>5</v>
      </c>
      <c r="C25" s="122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9" x14ac:dyDescent="0.4">
      <c r="A26" s="37" t="s">
        <v>146</v>
      </c>
      <c r="B26" s="119">
        <v>48300</v>
      </c>
      <c r="C26" s="120"/>
      <c r="E26" s="42" t="s">
        <v>87</v>
      </c>
      <c r="F26" s="39" t="s">
        <v>42</v>
      </c>
      <c r="G26" s="26">
        <v>0</v>
      </c>
      <c r="H26" s="106">
        <f>IF(B$29=0,0,G26/B$29)</f>
        <v>0</v>
      </c>
      <c r="I26" s="67">
        <v>17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5">
        <v>13</v>
      </c>
      <c r="C28" s="116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9" x14ac:dyDescent="0.4">
      <c r="A29" s="36" t="s">
        <v>180</v>
      </c>
      <c r="B29" s="117">
        <v>2</v>
      </c>
      <c r="C29" s="118"/>
      <c r="E29" s="42" t="s">
        <v>90</v>
      </c>
      <c r="F29" s="39" t="s">
        <v>45</v>
      </c>
      <c r="G29" s="26">
        <v>0</v>
      </c>
      <c r="H29" s="106">
        <f>IF(B$29=0,0,G29/B$29)</f>
        <v>0</v>
      </c>
      <c r="I29" s="67">
        <v>16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A9199-4383-424A-8DE8-44F351601FD0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29</v>
      </c>
      <c r="C2" s="116"/>
      <c r="E2" s="41" t="s">
        <v>67</v>
      </c>
      <c r="F2" s="38" t="s">
        <v>23</v>
      </c>
      <c r="G2" s="25">
        <v>32</v>
      </c>
      <c r="H2" s="105">
        <f>IF(B$29=0,0,G2/B$29)</f>
        <v>0.62745098039215685</v>
      </c>
      <c r="I2" s="66">
        <v>13</v>
      </c>
      <c r="K2" s="15">
        <v>0</v>
      </c>
      <c r="L2" s="71">
        <v>0</v>
      </c>
      <c r="N2" s="87" t="s">
        <v>129</v>
      </c>
      <c r="O2" s="94">
        <f>IF(P2=0,0,Q2/P2)</f>
        <v>-4155.1724137931033</v>
      </c>
      <c r="P2" s="91">
        <v>29</v>
      </c>
      <c r="Q2" s="75">
        <v>-120500</v>
      </c>
    </row>
    <row r="3" spans="1:17" x14ac:dyDescent="0.4">
      <c r="A3" s="34" t="s">
        <v>8</v>
      </c>
      <c r="B3" s="127">
        <v>237</v>
      </c>
      <c r="C3" s="128"/>
      <c r="E3" s="42" t="s">
        <v>65</v>
      </c>
      <c r="F3" s="39" t="s">
        <v>21</v>
      </c>
      <c r="G3" s="26">
        <v>27</v>
      </c>
      <c r="H3" s="106">
        <f>IF(B$29=0,0,G3/B$29)</f>
        <v>0.52941176470588236</v>
      </c>
      <c r="I3" s="67">
        <v>6</v>
      </c>
      <c r="K3" s="17">
        <v>1</v>
      </c>
      <c r="L3" s="72">
        <v>-43.2</v>
      </c>
      <c r="N3" s="88" t="s">
        <v>130</v>
      </c>
      <c r="O3" s="95">
        <f t="shared" ref="O3:O7" si="0">IF(P3=0,0,Q3/P3)</f>
        <v>-1420.6896551724137</v>
      </c>
      <c r="P3" s="92">
        <v>29</v>
      </c>
      <c r="Q3" s="76">
        <v>-41200</v>
      </c>
    </row>
    <row r="4" spans="1:17" x14ac:dyDescent="0.4">
      <c r="A4" s="34" t="s">
        <v>6</v>
      </c>
      <c r="B4" s="129">
        <v>-720.7</v>
      </c>
      <c r="C4" s="130"/>
      <c r="E4" s="42" t="s">
        <v>73</v>
      </c>
      <c r="F4" s="39" t="s">
        <v>28</v>
      </c>
      <c r="G4" s="26">
        <v>23</v>
      </c>
      <c r="H4" s="106">
        <f>IF(B$29=0,0,G4/B$29)</f>
        <v>0.45098039215686275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0"/>
        <v>-1296.4285714285713</v>
      </c>
      <c r="P4" s="92">
        <v>28</v>
      </c>
      <c r="Q4" s="76">
        <v>-36300</v>
      </c>
    </row>
    <row r="5" spans="1:17" x14ac:dyDescent="0.4">
      <c r="A5" s="34" t="s">
        <v>7</v>
      </c>
      <c r="B5" s="131">
        <f>IF(B$2=0,0,B$4/B$2)</f>
        <v>-24.851724137931036</v>
      </c>
      <c r="C5" s="132"/>
      <c r="E5" s="42" t="s">
        <v>167</v>
      </c>
      <c r="F5" s="39" t="s">
        <v>168</v>
      </c>
      <c r="G5" s="26">
        <v>20</v>
      </c>
      <c r="H5" s="106">
        <f>IF(B$29=0,0,G5/B$29)</f>
        <v>0.39215686274509803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0"/>
        <v>-2900</v>
      </c>
      <c r="P5" s="92">
        <v>27</v>
      </c>
      <c r="Q5" s="76">
        <v>-78300</v>
      </c>
    </row>
    <row r="6" spans="1:17" x14ac:dyDescent="0.4">
      <c r="A6" s="34" t="s">
        <v>1</v>
      </c>
      <c r="B6" s="123">
        <f>IF(B$2=0,0,(B$7*1+B$8*2+B$9*3)/B$2)</f>
        <v>2.5862068965517242</v>
      </c>
      <c r="C6" s="124"/>
      <c r="E6" s="42" t="s">
        <v>68</v>
      </c>
      <c r="F6" s="39" t="s">
        <v>24</v>
      </c>
      <c r="G6" s="26">
        <v>15</v>
      </c>
      <c r="H6" s="106">
        <f>IF(B$29=0,0,G6/B$29)</f>
        <v>0.29411764705882354</v>
      </c>
      <c r="I6" s="67">
        <v>11</v>
      </c>
      <c r="K6" s="17">
        <v>4</v>
      </c>
      <c r="L6" s="72">
        <v>-134.1</v>
      </c>
      <c r="N6" s="88" t="s">
        <v>133</v>
      </c>
      <c r="O6" s="95">
        <f t="shared" si="0"/>
        <v>-2668</v>
      </c>
      <c r="P6" s="92">
        <v>25</v>
      </c>
      <c r="Q6" s="76">
        <v>-66700</v>
      </c>
    </row>
    <row r="7" spans="1:17" x14ac:dyDescent="0.4">
      <c r="A7" s="34" t="s">
        <v>2</v>
      </c>
      <c r="B7" s="26">
        <v>1</v>
      </c>
      <c r="C7" s="18">
        <f>IF(B$2=0,0,B7/B$2)</f>
        <v>3.4482758620689655E-2</v>
      </c>
      <c r="E7" s="42" t="s">
        <v>69</v>
      </c>
      <c r="F7" s="39" t="s">
        <v>12</v>
      </c>
      <c r="G7" s="26">
        <v>14</v>
      </c>
      <c r="H7" s="106">
        <f>IF(B$29=0,0,G7/B$29)</f>
        <v>0.27450980392156865</v>
      </c>
      <c r="I7" s="67">
        <v>14</v>
      </c>
      <c r="K7" s="17">
        <v>5</v>
      </c>
      <c r="L7" s="72">
        <v>-152</v>
      </c>
      <c r="N7" s="89" t="s">
        <v>134</v>
      </c>
      <c r="O7" s="96">
        <f t="shared" si="0"/>
        <v>-4628.5714285714284</v>
      </c>
      <c r="P7" s="93">
        <v>21</v>
      </c>
      <c r="Q7" s="77">
        <v>-97200</v>
      </c>
    </row>
    <row r="8" spans="1:17" x14ac:dyDescent="0.4">
      <c r="A8" s="34" t="s">
        <v>3</v>
      </c>
      <c r="B8" s="26">
        <v>10</v>
      </c>
      <c r="C8" s="18">
        <f>IF(B$2=0,0,B8/B$2)</f>
        <v>0.34482758620689657</v>
      </c>
      <c r="E8" s="42" t="s">
        <v>66</v>
      </c>
      <c r="F8" s="39" t="s">
        <v>22</v>
      </c>
      <c r="G8" s="26">
        <v>6</v>
      </c>
      <c r="H8" s="106">
        <f>IF(B$29=0,0,G8/B$29)</f>
        <v>0.11764705882352941</v>
      </c>
      <c r="I8" s="67">
        <v>7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18</v>
      </c>
      <c r="C9" s="19">
        <f t="shared" ref="C9" si="1">IF(B$2=0,0,B9/B$2)</f>
        <v>0.62068965517241381</v>
      </c>
      <c r="E9" s="42" t="s">
        <v>87</v>
      </c>
      <c r="F9" s="39" t="s">
        <v>42</v>
      </c>
      <c r="G9" s="26">
        <v>5</v>
      </c>
      <c r="H9" s="106">
        <f>IF(B$29=0,0,G9/B$29)</f>
        <v>9.8039215686274508E-2</v>
      </c>
      <c r="I9" s="67">
        <v>6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0.20689655172413793</v>
      </c>
      <c r="E10" s="42" t="s">
        <v>70</v>
      </c>
      <c r="F10" s="39" t="s">
        <v>25</v>
      </c>
      <c r="G10" s="26">
        <v>3</v>
      </c>
      <c r="H10" s="106">
        <f>IF(B$29=0,0,G10/B$29)</f>
        <v>5.8823529411764705E-2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-28.073684210526313</v>
      </c>
      <c r="P10" s="91">
        <v>19</v>
      </c>
      <c r="Q10" s="79">
        <v>-533.4</v>
      </c>
    </row>
    <row r="11" spans="1:17" x14ac:dyDescent="0.4">
      <c r="A11" s="35" t="s">
        <v>137</v>
      </c>
      <c r="B11" s="27">
        <v>1</v>
      </c>
      <c r="C11" s="19">
        <f>IF(B$2=0,0,B11/B$2)</f>
        <v>3.4482758620689655E-2</v>
      </c>
      <c r="E11" s="42" t="s">
        <v>71</v>
      </c>
      <c r="F11" s="39" t="s">
        <v>26</v>
      </c>
      <c r="G11" s="26">
        <v>3</v>
      </c>
      <c r="H11" s="106">
        <f>IF(B$29=0,0,G11/B$29)</f>
        <v>5.8823529411764705E-2</v>
      </c>
      <c r="I11" s="67">
        <v>12</v>
      </c>
      <c r="K11" s="17">
        <v>9</v>
      </c>
      <c r="L11" s="72">
        <v>-292.60000000000002</v>
      </c>
      <c r="N11" s="88" t="s">
        <v>159</v>
      </c>
      <c r="O11" s="98">
        <f>IF(P11=0,0,Q11/P11)</f>
        <v>-16.014285714285712</v>
      </c>
      <c r="P11" s="92">
        <v>7</v>
      </c>
      <c r="Q11" s="80">
        <v>-112.09999999999998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3</v>
      </c>
      <c r="H12" s="106">
        <f>IF(B$29=0,0,G12/B$29)</f>
        <v>5.8823529411764705E-2</v>
      </c>
      <c r="I12" s="67">
        <v>9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47</v>
      </c>
      <c r="C13" s="23">
        <f>IF(B$28=0,0,B13/B$28)</f>
        <v>0.19831223628691982</v>
      </c>
      <c r="E13" s="42" t="s">
        <v>79</v>
      </c>
      <c r="F13" s="39" t="s">
        <v>34</v>
      </c>
      <c r="G13" s="26">
        <v>3</v>
      </c>
      <c r="H13" s="106">
        <f>IF(B$29=0,0,G13/B$29)</f>
        <v>5.8823529411764705E-2</v>
      </c>
      <c r="I13" s="67">
        <v>1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0.24050632911392406</v>
      </c>
      <c r="E14" s="42" t="s">
        <v>84</v>
      </c>
      <c r="F14" s="39" t="s">
        <v>39</v>
      </c>
      <c r="G14" s="26">
        <v>3</v>
      </c>
      <c r="H14" s="106">
        <f>IF(B$29=0,0,G14/B$29)</f>
        <v>5.8823529411764705E-2</v>
      </c>
      <c r="I14" s="67">
        <v>5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27</v>
      </c>
      <c r="C15" s="16">
        <f>IF(B$13=0,0,B15/B$13)</f>
        <v>0.57446808510638303</v>
      </c>
      <c r="E15" s="42" t="s">
        <v>90</v>
      </c>
      <c r="F15" s="39" t="s">
        <v>45</v>
      </c>
      <c r="G15" s="26">
        <v>3</v>
      </c>
      <c r="H15" s="106">
        <f>IF(B$29=0,0,G15/B$29)</f>
        <v>5.8823529411764705E-2</v>
      </c>
      <c r="I15" s="67">
        <v>15</v>
      </c>
      <c r="K15" s="17">
        <v>13</v>
      </c>
      <c r="L15" s="72">
        <v>-373.1</v>
      </c>
      <c r="N15" s="87" t="s">
        <v>162</v>
      </c>
      <c r="O15" s="97">
        <f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17</v>
      </c>
      <c r="C16" s="16">
        <f>IF(B$14=0,0,B16/B$14)</f>
        <v>0.2982456140350877</v>
      </c>
      <c r="E16" s="42" t="s">
        <v>82</v>
      </c>
      <c r="F16" s="39" t="s">
        <v>37</v>
      </c>
      <c r="G16" s="26">
        <v>2</v>
      </c>
      <c r="H16" s="106">
        <f>IF(B$29=0,0,G16/B$29)</f>
        <v>3.9215686274509803E-2</v>
      </c>
      <c r="I16" s="67">
        <v>4</v>
      </c>
      <c r="K16" s="17">
        <v>14</v>
      </c>
      <c r="L16" s="72">
        <v>-416.90000000000003</v>
      </c>
      <c r="N16" s="88" t="s">
        <v>171</v>
      </c>
      <c r="O16" s="98">
        <f>IF(P16=0,0,Q16/P16)</f>
        <v>-20.209090909090907</v>
      </c>
      <c r="P16" s="92">
        <v>11</v>
      </c>
      <c r="Q16" s="80">
        <v>-222.29999999999998</v>
      </c>
    </row>
    <row r="17" spans="1:17" x14ac:dyDescent="0.4">
      <c r="A17" s="33" t="s">
        <v>10</v>
      </c>
      <c r="B17" s="25">
        <f>B19+B18</f>
        <v>51</v>
      </c>
      <c r="C17" s="16">
        <f>IF(B$3=0,0,B17/B$3)</f>
        <v>0.21518987341772153</v>
      </c>
      <c r="E17" s="42" t="s">
        <v>75</v>
      </c>
      <c r="F17" s="39" t="s">
        <v>30</v>
      </c>
      <c r="G17" s="26">
        <v>1</v>
      </c>
      <c r="H17" s="106">
        <f>IF(B$29=0,0,G17/B$29)</f>
        <v>1.9607843137254902E-2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>IF(P17=0,0,Q17/P17)</f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22</v>
      </c>
      <c r="C18" s="18">
        <f>IF(B$17=0,0,B18/B$17)</f>
        <v>0.43137254901960786</v>
      </c>
      <c r="E18" s="42" t="s">
        <v>92</v>
      </c>
      <c r="F18" s="39" t="s">
        <v>47</v>
      </c>
      <c r="G18" s="26">
        <v>1</v>
      </c>
      <c r="H18" s="106">
        <f>IF(B$29=0,0,G18/B$29)</f>
        <v>1.9607843137254902E-2</v>
      </c>
      <c r="I18" s="67">
        <v>6</v>
      </c>
      <c r="K18" s="17">
        <v>16</v>
      </c>
      <c r="L18" s="72">
        <v>-392.1</v>
      </c>
      <c r="N18" s="88" t="s">
        <v>172</v>
      </c>
      <c r="O18" s="98">
        <f>IF(P18=0,0,Q18/P18)</f>
        <v>-38.564285714285724</v>
      </c>
      <c r="P18" s="92">
        <v>14</v>
      </c>
      <c r="Q18" s="80">
        <v>-539.90000000000009</v>
      </c>
    </row>
    <row r="19" spans="1:17" x14ac:dyDescent="0.4">
      <c r="A19" s="34" t="s">
        <v>11</v>
      </c>
      <c r="B19" s="26">
        <v>29</v>
      </c>
      <c r="C19" s="18">
        <f>IF(B$17=0,0,B19/B$17)</f>
        <v>0.56862745098039214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>IF(P19=0,0,Q19/P19)</f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55</v>
      </c>
      <c r="C20" s="18">
        <f>IF(B$3=0,0,B20/B$3)</f>
        <v>0.2320675105485232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>IF(P20=0,0,Q20/P20)</f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-443.70000000000005</v>
      </c>
      <c r="N21" s="88" t="s">
        <v>127</v>
      </c>
      <c r="O21" s="98">
        <f>IF(P21=0,0,Q21/P21)</f>
        <v>-47.199999999999996</v>
      </c>
      <c r="P21" s="92">
        <v>6</v>
      </c>
      <c r="Q21" s="80">
        <v>-283.2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>IF(B$29=0,0,G22/B$29)</f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>IF(P22=0,0,Q22/P22)</f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7245.0980392156862</v>
      </c>
      <c r="C23" s="20">
        <v>369500</v>
      </c>
      <c r="E23" s="42" t="s">
        <v>78</v>
      </c>
      <c r="F23" s="39" t="s">
        <v>33</v>
      </c>
      <c r="G23" s="26">
        <v>0</v>
      </c>
      <c r="H23" s="106">
        <f>IF(B$29=0,0,G23/B$29)</f>
        <v>0</v>
      </c>
      <c r="I23" s="67">
        <v>9</v>
      </c>
      <c r="K23" s="17">
        <v>21</v>
      </c>
      <c r="L23" s="72">
        <v>-469.5</v>
      </c>
    </row>
    <row r="24" spans="1:17" x14ac:dyDescent="0.4">
      <c r="A24" s="36" t="s">
        <v>14</v>
      </c>
      <c r="B24" s="31">
        <f>IF(B$20=0,0,C24/B$20)</f>
        <v>-8360</v>
      </c>
      <c r="C24" s="24">
        <v>-459800</v>
      </c>
      <c r="E24" s="42" t="s">
        <v>80</v>
      </c>
      <c r="F24" s="39" t="s">
        <v>35</v>
      </c>
      <c r="G24" s="26">
        <v>0</v>
      </c>
      <c r="H24" s="106">
        <f>IF(B$29=0,0,G24/B$29)</f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63" t="s">
        <v>139</v>
      </c>
      <c r="B25" s="121">
        <v>6</v>
      </c>
      <c r="C25" s="122"/>
      <c r="E25" s="42" t="s">
        <v>81</v>
      </c>
      <c r="F25" s="39" t="s">
        <v>36</v>
      </c>
      <c r="G25" s="26">
        <v>0</v>
      </c>
      <c r="H25" s="106">
        <f>IF(B$29=0,0,G25/B$29)</f>
        <v>0</v>
      </c>
      <c r="I25" s="67">
        <v>3</v>
      </c>
      <c r="K25" s="17">
        <v>23</v>
      </c>
      <c r="L25" s="72">
        <v>-559.5</v>
      </c>
    </row>
    <row r="26" spans="1:17" x14ac:dyDescent="0.4">
      <c r="A26" s="37" t="s">
        <v>146</v>
      </c>
      <c r="B26" s="119">
        <v>85100</v>
      </c>
      <c r="C26" s="120"/>
      <c r="E26" s="42" t="s">
        <v>83</v>
      </c>
      <c r="F26" s="39" t="s">
        <v>38</v>
      </c>
      <c r="G26" s="26">
        <v>0</v>
      </c>
      <c r="H26" s="106">
        <f>IF(B$29=0,0,G26/B$29)</f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36" t="s">
        <v>140</v>
      </c>
      <c r="B27" s="44">
        <v>2</v>
      </c>
      <c r="C27" s="21">
        <f>IF(B$3=0,0,B27/B$3)</f>
        <v>8.4388185654008432E-3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  <c r="K27" s="17">
        <v>25</v>
      </c>
      <c r="L27" s="72">
        <v>-612.90000000000009</v>
      </c>
    </row>
    <row r="28" spans="1:17" x14ac:dyDescent="0.4">
      <c r="A28" s="33" t="s">
        <v>179</v>
      </c>
      <c r="B28" s="115">
        <v>237</v>
      </c>
      <c r="C28" s="116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  <c r="K28" s="17">
        <v>26</v>
      </c>
      <c r="L28" s="72">
        <v>-645.20000000000005</v>
      </c>
    </row>
    <row r="29" spans="1:17" x14ac:dyDescent="0.4">
      <c r="A29" s="36" t="s">
        <v>180</v>
      </c>
      <c r="B29" s="117">
        <v>51</v>
      </c>
      <c r="C29" s="118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  <c r="K29" s="17">
        <v>27</v>
      </c>
      <c r="L29" s="72">
        <v>-648.10000000000014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-693.2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-720.7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8494E-7D1E-47C8-9375-5D6ECA1A9C3E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73</v>
      </c>
      <c r="F2" s="38" t="s">
        <v>28</v>
      </c>
      <c r="G2" s="25">
        <v>7</v>
      </c>
      <c r="H2" s="105">
        <f>IF(B$29=0,0,G2/B$29)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27">
        <v>32</v>
      </c>
      <c r="C3" s="128"/>
      <c r="E3" s="42" t="s">
        <v>65</v>
      </c>
      <c r="F3" s="39" t="s">
        <v>21</v>
      </c>
      <c r="G3" s="26">
        <v>4</v>
      </c>
      <c r="H3" s="106">
        <f>IF(B$29=0,0,G3/B$29)</f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0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9">
        <v>-56.2</v>
      </c>
      <c r="C4" s="130"/>
      <c r="E4" s="42" t="s">
        <v>67</v>
      </c>
      <c r="F4" s="39" t="s">
        <v>23</v>
      </c>
      <c r="G4" s="26">
        <v>2</v>
      </c>
      <c r="H4" s="106">
        <f>IF(B$29=0,0,G4/B$29)</f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0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31">
        <f>IF(B$2=0,0,B$4/B$2)</f>
        <v>-14.05</v>
      </c>
      <c r="C5" s="132"/>
      <c r="E5" s="42" t="s">
        <v>167</v>
      </c>
      <c r="F5" s="39" t="s">
        <v>168</v>
      </c>
      <c r="G5" s="26">
        <v>2</v>
      </c>
      <c r="H5" s="106">
        <f>IF(B$29=0,0,G5/B$29)</f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0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23">
        <f>IF(B$2=0,0,(B$7*1+B$8*2+B$9*3)/B$2)</f>
        <v>2.25</v>
      </c>
      <c r="C6" s="124"/>
      <c r="E6" s="42" t="s">
        <v>66</v>
      </c>
      <c r="F6" s="39" t="s">
        <v>22</v>
      </c>
      <c r="G6" s="26">
        <v>1</v>
      </c>
      <c r="H6" s="106">
        <f>IF(B$29=0,0,G6/B$29)</f>
        <v>0.1</v>
      </c>
      <c r="I6" s="67">
        <v>10</v>
      </c>
      <c r="K6" s="17">
        <v>4</v>
      </c>
      <c r="L6" s="72">
        <v>-56.2</v>
      </c>
      <c r="N6" s="88" t="s">
        <v>133</v>
      </c>
      <c r="O6" s="95">
        <f t="shared" si="0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>IF(B$29=0,0,G7/B$29)</f>
        <v>0.1</v>
      </c>
      <c r="I7" s="67">
        <v>17</v>
      </c>
      <c r="N7" s="89" t="s">
        <v>134</v>
      </c>
      <c r="O7" s="96">
        <f t="shared" si="0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>IF(B$29=0,0,G8/B$29)</f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0.5</v>
      </c>
      <c r="E9" s="42" t="s">
        <v>70</v>
      </c>
      <c r="F9" s="39" t="s">
        <v>25</v>
      </c>
      <c r="G9" s="26">
        <v>1</v>
      </c>
      <c r="H9" s="106">
        <f>IF(B$29=0,0,G9/B$29)</f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>IF(B$29=0,0,G10/B$29)</f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>IF(B$29=0,0,G11/B$29)</f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>IF(B$29=0,0,G12/B$29)</f>
        <v>0.1</v>
      </c>
      <c r="I12" s="67">
        <v>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IF(B$28=0,0,B13/B$28)</f>
        <v>0.21875</v>
      </c>
      <c r="E13" s="42" t="s">
        <v>90</v>
      </c>
      <c r="F13" s="39" t="s">
        <v>45</v>
      </c>
      <c r="G13" s="26">
        <v>1</v>
      </c>
      <c r="H13" s="106">
        <f>IF(B$29=0,0,G13/B$29)</f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IF(B$28=0,0,B14/B$28)</f>
        <v>0.375</v>
      </c>
      <c r="E14" s="42" t="s">
        <v>177</v>
      </c>
      <c r="F14" s="39" t="s">
        <v>178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>IF(B$29=0,0,G15/B$29)</f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>IF(B$29=0,0,G16/B$29)</f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>IF(B$29=0,0,G17/B$29)</f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>IF(B$29=0,0,G18/B$29)</f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>IF(B$29=0,0,G19/B$29)</f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>IF(B$29=0,0,G20/B$29)</f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>IF(B$29=0,0,G21/B$29)</f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>IF(B$29=0,0,G22/B$29)</f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>IF(B$29=0,0,G23/B$29)</f>
        <v>0</v>
      </c>
      <c r="I23" s="67">
        <v>13</v>
      </c>
    </row>
    <row r="24" spans="1:9" x14ac:dyDescent="0.4">
      <c r="A24" s="36" t="s">
        <v>14</v>
      </c>
      <c r="B24" s="31">
        <f>IF(B$20=0,0,C24/B$20)</f>
        <v>-11280</v>
      </c>
      <c r="C24" s="24">
        <v>-56400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</row>
    <row r="25" spans="1:9" x14ac:dyDescent="0.4">
      <c r="A25" s="63" t="s">
        <v>139</v>
      </c>
      <c r="B25" s="121">
        <v>2</v>
      </c>
      <c r="C25" s="122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9" x14ac:dyDescent="0.4">
      <c r="A26" s="37" t="s">
        <v>146</v>
      </c>
      <c r="B26" s="119">
        <v>55200</v>
      </c>
      <c r="C26" s="120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5">
        <v>32</v>
      </c>
      <c r="C28" s="116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</row>
    <row r="29" spans="1:9" x14ac:dyDescent="0.4">
      <c r="A29" s="36" t="s">
        <v>180</v>
      </c>
      <c r="B29" s="117">
        <v>10</v>
      </c>
      <c r="C29" s="118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2019-10-14T08:40:29Z</dcterms:modified>
</cp:coreProperties>
</file>