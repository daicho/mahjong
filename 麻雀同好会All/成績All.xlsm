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1F45DBCC-9BA0-496A-B193-B5BB39CCB09D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491" r:id="rId4"/>
    <sheet name="だいち" sheetId="3492" r:id="rId5"/>
    <sheet name="かこたろう" sheetId="3493" r:id="rId6"/>
    <sheet name="ともき" sheetId="3494" r:id="rId7"/>
    <sheet name="りくと" sheetId="3495" r:id="rId8"/>
    <sheet name="いっしー" sheetId="3496" r:id="rId9"/>
    <sheet name="がくと" sheetId="3497" r:id="rId10"/>
    <sheet name="たかの" sheetId="3498" r:id="rId11"/>
    <sheet name="ただ" sheetId="3499" r:id="rId12"/>
    <sheet name="やがさき" sheetId="3500" r:id="rId13"/>
    <sheet name="れんたろう" sheetId="3501" r:id="rId14"/>
    <sheet name="あさひ" sheetId="3502" r:id="rId15"/>
    <sheet name="まっつん" sheetId="3503" r:id="rId16"/>
    <sheet name="ぱぱ" sheetId="3504" r:id="rId17"/>
    <sheet name="ほたに" sheetId="3505" r:id="rId18"/>
    <sheet name="かわたつ" sheetId="3506" r:id="rId19"/>
    <sheet name="のり" sheetId="3507" r:id="rId20"/>
    <sheet name="ちさと" sheetId="3508" r:id="rId21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3494" l="1"/>
  <c r="O17" i="3494"/>
  <c r="O15" i="3494"/>
  <c r="O19" i="3496"/>
  <c r="O25" i="3504"/>
  <c r="O21" i="3507"/>
  <c r="O19" i="3507"/>
  <c r="O18" i="3507"/>
  <c r="O17" i="3507"/>
  <c r="O16" i="3507"/>
  <c r="O15" i="3507"/>
  <c r="O19" i="3501"/>
  <c r="O18" i="3495"/>
  <c r="O15" i="3499"/>
  <c r="O20" i="3492"/>
  <c r="O24" i="3498"/>
  <c r="O16" i="3508" l="1"/>
  <c r="O15" i="3508"/>
  <c r="H52" i="3508"/>
  <c r="H5" i="3508"/>
  <c r="H51" i="3508"/>
  <c r="H50" i="3508"/>
  <c r="H49" i="3508"/>
  <c r="H48" i="3508"/>
  <c r="H47" i="3508"/>
  <c r="H46" i="3508"/>
  <c r="H45" i="3508"/>
  <c r="C44" i="3508"/>
  <c r="H44" i="3508"/>
  <c r="C43" i="3508"/>
  <c r="H43" i="3508"/>
  <c r="C42" i="3508"/>
  <c r="H42" i="3508"/>
  <c r="C41" i="3508"/>
  <c r="H41" i="3508"/>
  <c r="C40" i="3508"/>
  <c r="H40" i="3508"/>
  <c r="C39" i="3508"/>
  <c r="H39" i="3508"/>
  <c r="C38" i="3508"/>
  <c r="H38" i="3508"/>
  <c r="C37" i="3508"/>
  <c r="H37" i="3508"/>
  <c r="C36" i="3508"/>
  <c r="H36" i="3508"/>
  <c r="C35" i="3508"/>
  <c r="H35" i="3508"/>
  <c r="C34" i="3508"/>
  <c r="H34" i="3508"/>
  <c r="C33" i="3508"/>
  <c r="H33" i="3508"/>
  <c r="C32" i="3508"/>
  <c r="H32" i="3508"/>
  <c r="H31" i="3508"/>
  <c r="C30" i="3508"/>
  <c r="H30" i="3508"/>
  <c r="H29" i="3508"/>
  <c r="H13" i="3508"/>
  <c r="H28" i="3508"/>
  <c r="H27" i="3508"/>
  <c r="B25" i="3508"/>
  <c r="H12" i="3508"/>
  <c r="B24" i="3508"/>
  <c r="H26" i="3508"/>
  <c r="B23" i="3508"/>
  <c r="H25" i="3508"/>
  <c r="B22" i="3508"/>
  <c r="H11" i="3508"/>
  <c r="C21" i="3508"/>
  <c r="H24" i="3508"/>
  <c r="C20" i="3508"/>
  <c r="H10" i="3508"/>
  <c r="C19" i="3508"/>
  <c r="H23" i="3508"/>
  <c r="C18" i="3508"/>
  <c r="H22" i="3508"/>
  <c r="C17" i="3508"/>
  <c r="H21" i="3508"/>
  <c r="C16" i="3508"/>
  <c r="H20" i="3508"/>
  <c r="C15" i="3508"/>
  <c r="H19" i="3508"/>
  <c r="C14" i="3508"/>
  <c r="H18" i="3508"/>
  <c r="C13" i="3508"/>
  <c r="O12" i="3508"/>
  <c r="H17" i="3508"/>
  <c r="C12" i="3508"/>
  <c r="O11" i="3508"/>
  <c r="H16" i="3508"/>
  <c r="C11" i="3508"/>
  <c r="O10" i="3508"/>
  <c r="H2" i="3508"/>
  <c r="C10" i="3508"/>
  <c r="H15" i="3508"/>
  <c r="C9" i="3508"/>
  <c r="H14" i="3508"/>
  <c r="C8" i="3508"/>
  <c r="O7" i="3508"/>
  <c r="H9" i="3508"/>
  <c r="C7" i="3508"/>
  <c r="O6" i="3508"/>
  <c r="H8" i="3508"/>
  <c r="B6" i="3508"/>
  <c r="O5" i="3508"/>
  <c r="H7" i="3508"/>
  <c r="B5" i="3508"/>
  <c r="O4" i="3508"/>
  <c r="H4" i="3508"/>
  <c r="O3" i="3508"/>
  <c r="H6" i="3508"/>
  <c r="O2" i="3508"/>
  <c r="H3" i="3508"/>
  <c r="O24" i="3507"/>
  <c r="O22" i="3507"/>
  <c r="O20" i="3507"/>
  <c r="O23" i="3507"/>
  <c r="H52" i="3507"/>
  <c r="H5" i="3507"/>
  <c r="H51" i="3507"/>
  <c r="H50" i="3507"/>
  <c r="H49" i="3507"/>
  <c r="H48" i="3507"/>
  <c r="H47" i="3507"/>
  <c r="H46" i="3507"/>
  <c r="H45" i="3507"/>
  <c r="C44" i="3507"/>
  <c r="H44" i="3507"/>
  <c r="C43" i="3507"/>
  <c r="H43" i="3507"/>
  <c r="C42" i="3507"/>
  <c r="H42" i="3507"/>
  <c r="C41" i="3507"/>
  <c r="H41" i="3507"/>
  <c r="C40" i="3507"/>
  <c r="H40" i="3507"/>
  <c r="C39" i="3507"/>
  <c r="H39" i="3507"/>
  <c r="C38" i="3507"/>
  <c r="H38" i="3507"/>
  <c r="C37" i="3507"/>
  <c r="H37" i="3507"/>
  <c r="C36" i="3507"/>
  <c r="H36" i="3507"/>
  <c r="C35" i="3507"/>
  <c r="H35" i="3507"/>
  <c r="C34" i="3507"/>
  <c r="H20" i="3507"/>
  <c r="C33" i="3507"/>
  <c r="H34" i="3507"/>
  <c r="C32" i="3507"/>
  <c r="H33" i="3507"/>
  <c r="H19" i="3507"/>
  <c r="C30" i="3507"/>
  <c r="H16" i="3507"/>
  <c r="H32" i="3507"/>
  <c r="H8" i="3507"/>
  <c r="H31" i="3507"/>
  <c r="H30" i="3507"/>
  <c r="B25" i="3507"/>
  <c r="H12" i="3507"/>
  <c r="B24" i="3507"/>
  <c r="H29" i="3507"/>
  <c r="B23" i="3507"/>
  <c r="H28" i="3507"/>
  <c r="B22" i="3507"/>
  <c r="H14" i="3507"/>
  <c r="C21" i="3507"/>
  <c r="H27" i="3507"/>
  <c r="C20" i="3507"/>
  <c r="H17" i="3507"/>
  <c r="C19" i="3507"/>
  <c r="H26" i="3507"/>
  <c r="C18" i="3507"/>
  <c r="H25" i="3507"/>
  <c r="C17" i="3507"/>
  <c r="H15" i="3507"/>
  <c r="C16" i="3507"/>
  <c r="H24" i="3507"/>
  <c r="C15" i="3507"/>
  <c r="H23" i="3507"/>
  <c r="C14" i="3507"/>
  <c r="H22" i="3507"/>
  <c r="C13" i="3507"/>
  <c r="O12" i="3507"/>
  <c r="H18" i="3507"/>
  <c r="C12" i="3507"/>
  <c r="O11" i="3507"/>
  <c r="H21" i="3507"/>
  <c r="C11" i="3507"/>
  <c r="O10" i="3507"/>
  <c r="H3" i="3507"/>
  <c r="C10" i="3507"/>
  <c r="H11" i="3507"/>
  <c r="C9" i="3507"/>
  <c r="H9" i="3507"/>
  <c r="C8" i="3507"/>
  <c r="O7" i="3507"/>
  <c r="H13" i="3507"/>
  <c r="C7" i="3507"/>
  <c r="O6" i="3507"/>
  <c r="H6" i="3507"/>
  <c r="B6" i="3507"/>
  <c r="O5" i="3507"/>
  <c r="H7" i="3507"/>
  <c r="B5" i="3507"/>
  <c r="O4" i="3507"/>
  <c r="H2" i="3507"/>
  <c r="O3" i="3507"/>
  <c r="H10" i="3507"/>
  <c r="O2" i="3507"/>
  <c r="H4" i="3507"/>
  <c r="O16" i="3506"/>
  <c r="O15" i="3506"/>
  <c r="H52" i="3506"/>
  <c r="H7" i="3506"/>
  <c r="H51" i="3506"/>
  <c r="H50" i="3506"/>
  <c r="H49" i="3506"/>
  <c r="H48" i="3506"/>
  <c r="H47" i="3506"/>
  <c r="H46" i="3506"/>
  <c r="H45" i="3506"/>
  <c r="C44" i="3506"/>
  <c r="H44" i="3506"/>
  <c r="C43" i="3506"/>
  <c r="H43" i="3506"/>
  <c r="C42" i="3506"/>
  <c r="H42" i="3506"/>
  <c r="C41" i="3506"/>
  <c r="H41" i="3506"/>
  <c r="C40" i="3506"/>
  <c r="H40" i="3506"/>
  <c r="C39" i="3506"/>
  <c r="H39" i="3506"/>
  <c r="C38" i="3506"/>
  <c r="H38" i="3506"/>
  <c r="C37" i="3506"/>
  <c r="H37" i="3506"/>
  <c r="C36" i="3506"/>
  <c r="H36" i="3506"/>
  <c r="C35" i="3506"/>
  <c r="H35" i="3506"/>
  <c r="C34" i="3506"/>
  <c r="H34" i="3506"/>
  <c r="C33" i="3506"/>
  <c r="H33" i="3506"/>
  <c r="C32" i="3506"/>
  <c r="H32" i="3506"/>
  <c r="H31" i="3506"/>
  <c r="C30" i="3506"/>
  <c r="H30" i="3506"/>
  <c r="H29" i="3506"/>
  <c r="H28" i="3506"/>
  <c r="H27" i="3506"/>
  <c r="H26" i="3506"/>
  <c r="B25" i="3506"/>
  <c r="H25" i="3506"/>
  <c r="B24" i="3506"/>
  <c r="H24" i="3506"/>
  <c r="B23" i="3506"/>
  <c r="H23" i="3506"/>
  <c r="B22" i="3506"/>
  <c r="H22" i="3506"/>
  <c r="C21" i="3506"/>
  <c r="H21" i="3506"/>
  <c r="C20" i="3506"/>
  <c r="H6" i="3506"/>
  <c r="C19" i="3506"/>
  <c r="H20" i="3506"/>
  <c r="C18" i="3506"/>
  <c r="H19" i="3506"/>
  <c r="C17" i="3506"/>
  <c r="H18" i="3506"/>
  <c r="C16" i="3506"/>
  <c r="H17" i="3506"/>
  <c r="C15" i="3506"/>
  <c r="H16" i="3506"/>
  <c r="C14" i="3506"/>
  <c r="H15" i="3506"/>
  <c r="C13" i="3506"/>
  <c r="O12" i="3506"/>
  <c r="H14" i="3506"/>
  <c r="C12" i="3506"/>
  <c r="O11" i="3506"/>
  <c r="H13" i="3506"/>
  <c r="C11" i="3506"/>
  <c r="O10" i="3506"/>
  <c r="H12" i="3506"/>
  <c r="C10" i="3506"/>
  <c r="H11" i="3506"/>
  <c r="C9" i="3506"/>
  <c r="H10" i="3506"/>
  <c r="C8" i="3506"/>
  <c r="O7" i="3506"/>
  <c r="H9" i="3506"/>
  <c r="C7" i="3506"/>
  <c r="O6" i="3506"/>
  <c r="H5" i="3506"/>
  <c r="B6" i="3506"/>
  <c r="O5" i="3506"/>
  <c r="H4" i="3506"/>
  <c r="B5" i="3506"/>
  <c r="O4" i="3506"/>
  <c r="H2" i="3506"/>
  <c r="O3" i="3506"/>
  <c r="H8" i="3506"/>
  <c r="O2" i="3506"/>
  <c r="H3" i="3506"/>
  <c r="O22" i="3505"/>
  <c r="O21" i="3505"/>
  <c r="O17" i="3505"/>
  <c r="O20" i="3505"/>
  <c r="O19" i="3505"/>
  <c r="O18" i="3505"/>
  <c r="O16" i="3505"/>
  <c r="O15" i="3505"/>
  <c r="H52" i="3505"/>
  <c r="H7" i="3505"/>
  <c r="H51" i="3505"/>
  <c r="H50" i="3505"/>
  <c r="H49" i="3505"/>
  <c r="H48" i="3505"/>
  <c r="H47" i="3505"/>
  <c r="H46" i="3505"/>
  <c r="H45" i="3505"/>
  <c r="C44" i="3505"/>
  <c r="H44" i="3505"/>
  <c r="C43" i="3505"/>
  <c r="H43" i="3505"/>
  <c r="C42" i="3505"/>
  <c r="H42" i="3505"/>
  <c r="C41" i="3505"/>
  <c r="H41" i="3505"/>
  <c r="C40" i="3505"/>
  <c r="H40" i="3505"/>
  <c r="C39" i="3505"/>
  <c r="H39" i="3505"/>
  <c r="C38" i="3505"/>
  <c r="H38" i="3505"/>
  <c r="C37" i="3505"/>
  <c r="H37" i="3505"/>
  <c r="C36" i="3505"/>
  <c r="H36" i="3505"/>
  <c r="C35" i="3505"/>
  <c r="H35" i="3505"/>
  <c r="C34" i="3505"/>
  <c r="H34" i="3505"/>
  <c r="C33" i="3505"/>
  <c r="H33" i="3505"/>
  <c r="C32" i="3505"/>
  <c r="H32" i="3505"/>
  <c r="H31" i="3505"/>
  <c r="C30" i="3505"/>
  <c r="H30" i="3505"/>
  <c r="H29" i="3505"/>
  <c r="H8" i="3505"/>
  <c r="H28" i="3505"/>
  <c r="H27" i="3505"/>
  <c r="B25" i="3505"/>
  <c r="H11" i="3505"/>
  <c r="B24" i="3505"/>
  <c r="H26" i="3505"/>
  <c r="B23" i="3505"/>
  <c r="H25" i="3505"/>
  <c r="B22" i="3505"/>
  <c r="H14" i="3505"/>
  <c r="C21" i="3505"/>
  <c r="H24" i="3505"/>
  <c r="C20" i="3505"/>
  <c r="H18" i="3505"/>
  <c r="C19" i="3505"/>
  <c r="H23" i="3505"/>
  <c r="C18" i="3505"/>
  <c r="H17" i="3505"/>
  <c r="C17" i="3505"/>
  <c r="H13" i="3505"/>
  <c r="C16" i="3505"/>
  <c r="H15" i="3505"/>
  <c r="C15" i="3505"/>
  <c r="H22" i="3505"/>
  <c r="C14" i="3505"/>
  <c r="H21" i="3505"/>
  <c r="C13" i="3505"/>
  <c r="O12" i="3505"/>
  <c r="H20" i="3505"/>
  <c r="C12" i="3505"/>
  <c r="O11" i="3505"/>
  <c r="H19" i="3505"/>
  <c r="C11" i="3505"/>
  <c r="O10" i="3505"/>
  <c r="H2" i="3505"/>
  <c r="C10" i="3505"/>
  <c r="H16" i="3505"/>
  <c r="C9" i="3505"/>
  <c r="H12" i="3505"/>
  <c r="C8" i="3505"/>
  <c r="O7" i="3505"/>
  <c r="H9" i="3505"/>
  <c r="C7" i="3505"/>
  <c r="O6" i="3505"/>
  <c r="H6" i="3505"/>
  <c r="B6" i="3505"/>
  <c r="O5" i="3505"/>
  <c r="H5" i="3505"/>
  <c r="B5" i="3505"/>
  <c r="O4" i="3505"/>
  <c r="H3" i="3505"/>
  <c r="O3" i="3505"/>
  <c r="H10" i="3505"/>
  <c r="O2" i="3505"/>
  <c r="H4" i="3505"/>
  <c r="O22" i="3502"/>
  <c r="O16" i="3502"/>
  <c r="O15" i="3502"/>
  <c r="O26" i="3503"/>
  <c r="O17" i="3503"/>
  <c r="O15" i="3503"/>
  <c r="O16" i="3503"/>
  <c r="O23" i="3504"/>
  <c r="O24" i="3504"/>
  <c r="O18" i="3504"/>
  <c r="O15" i="3504"/>
  <c r="O21" i="3498"/>
  <c r="O17" i="3498"/>
  <c r="O28" i="3501"/>
  <c r="O21" i="3501"/>
  <c r="O20" i="3499"/>
  <c r="O16" i="3499"/>
  <c r="O17" i="3499"/>
  <c r="O25" i="3495"/>
  <c r="O29" i="3492"/>
  <c r="O19" i="3492"/>
  <c r="O17" i="3492"/>
  <c r="O31" i="3491"/>
  <c r="O24" i="3491"/>
  <c r="O18" i="3491"/>
  <c r="O17" i="3491"/>
  <c r="O21" i="3504" l="1"/>
  <c r="O17" i="3504"/>
  <c r="O20" i="3504"/>
  <c r="O22" i="3504"/>
  <c r="O26" i="3504"/>
  <c r="O16" i="3504"/>
  <c r="O19" i="3504"/>
  <c r="H52" i="3504"/>
  <c r="H6" i="3504"/>
  <c r="H17" i="3504"/>
  <c r="H51" i="3504"/>
  <c r="H50" i="3504"/>
  <c r="H49" i="3504"/>
  <c r="H48" i="3504"/>
  <c r="H47" i="3504"/>
  <c r="H24" i="3504"/>
  <c r="C44" i="3504"/>
  <c r="H46" i="3504"/>
  <c r="C43" i="3504"/>
  <c r="H45" i="3504"/>
  <c r="C42" i="3504"/>
  <c r="H44" i="3504"/>
  <c r="C41" i="3504"/>
  <c r="H43" i="3504"/>
  <c r="C40" i="3504"/>
  <c r="H42" i="3504"/>
  <c r="C39" i="3504"/>
  <c r="H41" i="3504"/>
  <c r="C38" i="3504"/>
  <c r="H40" i="3504"/>
  <c r="C37" i="3504"/>
  <c r="H39" i="3504"/>
  <c r="C36" i="3504"/>
  <c r="H38" i="3504"/>
  <c r="C35" i="3504"/>
  <c r="H37" i="3504"/>
  <c r="C34" i="3504"/>
  <c r="H36" i="3504"/>
  <c r="C33" i="3504"/>
  <c r="H35" i="3504"/>
  <c r="C32" i="3504"/>
  <c r="H34" i="3504"/>
  <c r="H33" i="3504"/>
  <c r="C30" i="3504"/>
  <c r="H21" i="3504"/>
  <c r="H32" i="3504"/>
  <c r="H10" i="3504"/>
  <c r="H31" i="3504"/>
  <c r="H20" i="3504"/>
  <c r="B25" i="3504"/>
  <c r="H13" i="3504"/>
  <c r="B24" i="3504"/>
  <c r="H23" i="3504"/>
  <c r="B23" i="3504"/>
  <c r="H30" i="3504"/>
  <c r="B22" i="3504"/>
  <c r="H15" i="3504"/>
  <c r="C21" i="3504"/>
  <c r="H29" i="3504"/>
  <c r="C20" i="3504"/>
  <c r="H19" i="3504"/>
  <c r="C19" i="3504"/>
  <c r="H28" i="3504"/>
  <c r="C18" i="3504"/>
  <c r="H16" i="3504"/>
  <c r="C17" i="3504"/>
  <c r="H14" i="3504"/>
  <c r="C16" i="3504"/>
  <c r="H27" i="3504"/>
  <c r="C15" i="3504"/>
  <c r="H26" i="3504"/>
  <c r="C14" i="3504"/>
  <c r="H22" i="3504"/>
  <c r="C13" i="3504"/>
  <c r="O12" i="3504"/>
  <c r="H25" i="3504"/>
  <c r="C12" i="3504"/>
  <c r="O11" i="3504"/>
  <c r="H18" i="3504"/>
  <c r="C11" i="3504"/>
  <c r="O10" i="3504"/>
  <c r="H4" i="3504"/>
  <c r="C10" i="3504"/>
  <c r="H12" i="3504"/>
  <c r="C9" i="3504"/>
  <c r="H9" i="3504"/>
  <c r="C8" i="3504"/>
  <c r="O7" i="3504"/>
  <c r="H8" i="3504"/>
  <c r="C7" i="3504"/>
  <c r="O6" i="3504"/>
  <c r="H5" i="3504"/>
  <c r="B6" i="3504"/>
  <c r="O5" i="3504"/>
  <c r="H7" i="3504"/>
  <c r="B5" i="3504"/>
  <c r="O4" i="3504"/>
  <c r="H2" i="3504"/>
  <c r="O3" i="3504"/>
  <c r="H11" i="3504"/>
  <c r="O2" i="3504"/>
  <c r="H3" i="3504"/>
  <c r="O25" i="3503"/>
  <c r="O24" i="3503"/>
  <c r="O22" i="3503"/>
  <c r="O19" i="3503"/>
  <c r="O23" i="3503"/>
  <c r="O21" i="3503"/>
  <c r="O20" i="3503"/>
  <c r="O18" i="3503"/>
  <c r="H52" i="3503"/>
  <c r="H5" i="3503"/>
  <c r="H20" i="3503"/>
  <c r="H51" i="3503"/>
  <c r="H50" i="3503"/>
  <c r="H49" i="3503"/>
  <c r="H48" i="3503"/>
  <c r="H47" i="3503"/>
  <c r="H46" i="3503"/>
  <c r="C44" i="3503"/>
  <c r="H45" i="3503"/>
  <c r="C43" i="3503"/>
  <c r="H44" i="3503"/>
  <c r="C42" i="3503"/>
  <c r="H43" i="3503"/>
  <c r="C41" i="3503"/>
  <c r="H42" i="3503"/>
  <c r="C40" i="3503"/>
  <c r="H28" i="3503"/>
  <c r="C39" i="3503"/>
  <c r="H41" i="3503"/>
  <c r="C38" i="3503"/>
  <c r="H40" i="3503"/>
  <c r="C37" i="3503"/>
  <c r="H39" i="3503"/>
  <c r="C36" i="3503"/>
  <c r="H38" i="3503"/>
  <c r="C35" i="3503"/>
  <c r="H37" i="3503"/>
  <c r="C34" i="3503"/>
  <c r="H36" i="3503"/>
  <c r="C33" i="3503"/>
  <c r="H35" i="3503"/>
  <c r="C32" i="3503"/>
  <c r="H27" i="3503"/>
  <c r="H26" i="3503"/>
  <c r="C30" i="3503"/>
  <c r="H18" i="3503"/>
  <c r="H25" i="3503"/>
  <c r="H9" i="3503"/>
  <c r="H30" i="3503"/>
  <c r="H29" i="3503"/>
  <c r="B25" i="3503"/>
  <c r="H14" i="3503"/>
  <c r="B24" i="3503"/>
  <c r="H19" i="3503"/>
  <c r="B23" i="3503"/>
  <c r="H34" i="3503"/>
  <c r="B22" i="3503"/>
  <c r="H13" i="3503"/>
  <c r="C21" i="3503"/>
  <c r="H33" i="3503"/>
  <c r="C20" i="3503"/>
  <c r="H16" i="3503"/>
  <c r="C19" i="3503"/>
  <c r="H32" i="3503"/>
  <c r="C18" i="3503"/>
  <c r="H17" i="3503"/>
  <c r="C17" i="3503"/>
  <c r="H15" i="3503"/>
  <c r="C16" i="3503"/>
  <c r="H24" i="3503"/>
  <c r="C15" i="3503"/>
  <c r="H31" i="3503"/>
  <c r="C14" i="3503"/>
  <c r="H23" i="3503"/>
  <c r="C13" i="3503"/>
  <c r="O12" i="3503"/>
  <c r="H22" i="3503"/>
  <c r="C12" i="3503"/>
  <c r="O11" i="3503"/>
  <c r="H21" i="3503"/>
  <c r="C11" i="3503"/>
  <c r="O10" i="3503"/>
  <c r="H4" i="3503"/>
  <c r="C10" i="3503"/>
  <c r="H12" i="3503"/>
  <c r="C9" i="3503"/>
  <c r="H11" i="3503"/>
  <c r="C8" i="3503"/>
  <c r="O7" i="3503"/>
  <c r="H8" i="3503"/>
  <c r="C7" i="3503"/>
  <c r="O6" i="3503"/>
  <c r="H7" i="3503"/>
  <c r="B6" i="3503"/>
  <c r="O5" i="3503"/>
  <c r="H6" i="3503"/>
  <c r="B5" i="3503"/>
  <c r="O4" i="3503"/>
  <c r="H2" i="3503"/>
  <c r="O3" i="3503"/>
  <c r="H10" i="3503"/>
  <c r="O2" i="3503"/>
  <c r="H3" i="3503"/>
  <c r="O21" i="3502"/>
  <c r="O19" i="3502"/>
  <c r="O20" i="3502"/>
  <c r="O18" i="3502"/>
  <c r="O17" i="3502"/>
  <c r="H52" i="3502"/>
  <c r="H13" i="3502"/>
  <c r="H51" i="3502"/>
  <c r="H50" i="3502"/>
  <c r="H49" i="3502"/>
  <c r="H48" i="3502"/>
  <c r="H47" i="3502"/>
  <c r="H46" i="3502"/>
  <c r="H45" i="3502"/>
  <c r="C44" i="3502"/>
  <c r="H44" i="3502"/>
  <c r="C43" i="3502"/>
  <c r="H43" i="3502"/>
  <c r="C42" i="3502"/>
  <c r="H42" i="3502"/>
  <c r="C41" i="3502"/>
  <c r="H41" i="3502"/>
  <c r="C40" i="3502"/>
  <c r="H40" i="3502"/>
  <c r="C39" i="3502"/>
  <c r="H39" i="3502"/>
  <c r="C38" i="3502"/>
  <c r="H38" i="3502"/>
  <c r="C37" i="3502"/>
  <c r="H37" i="3502"/>
  <c r="C36" i="3502"/>
  <c r="H36" i="3502"/>
  <c r="C35" i="3502"/>
  <c r="H35" i="3502"/>
  <c r="C34" i="3502"/>
  <c r="H34" i="3502"/>
  <c r="C33" i="3502"/>
  <c r="H33" i="3502"/>
  <c r="C32" i="3502"/>
  <c r="H32" i="3502"/>
  <c r="H31" i="3502"/>
  <c r="C30" i="3502"/>
  <c r="H14" i="3502"/>
  <c r="H30" i="3502"/>
  <c r="H7" i="3502"/>
  <c r="H29" i="3502"/>
  <c r="H28" i="3502"/>
  <c r="B25" i="3502"/>
  <c r="H10" i="3502"/>
  <c r="B24" i="3502"/>
  <c r="H27" i="3502"/>
  <c r="B23" i="3502"/>
  <c r="H26" i="3502"/>
  <c r="B22" i="3502"/>
  <c r="H25" i="3502"/>
  <c r="C21" i="3502"/>
  <c r="H24" i="3502"/>
  <c r="C20" i="3502"/>
  <c r="H23" i="3502"/>
  <c r="C19" i="3502"/>
  <c r="H22" i="3502"/>
  <c r="C18" i="3502"/>
  <c r="H21" i="3502"/>
  <c r="C17" i="3502"/>
  <c r="H20" i="3502"/>
  <c r="C16" i="3502"/>
  <c r="H19" i="3502"/>
  <c r="C15" i="3502"/>
  <c r="H18" i="3502"/>
  <c r="C14" i="3502"/>
  <c r="H17" i="3502"/>
  <c r="C13" i="3502"/>
  <c r="O12" i="3502"/>
  <c r="H16" i="3502"/>
  <c r="C12" i="3502"/>
  <c r="O11" i="3502"/>
  <c r="H15" i="3502"/>
  <c r="C11" i="3502"/>
  <c r="O10" i="3502"/>
  <c r="H4" i="3502"/>
  <c r="C10" i="3502"/>
  <c r="H12" i="3502"/>
  <c r="C9" i="3502"/>
  <c r="H9" i="3502"/>
  <c r="C8" i="3502"/>
  <c r="O7" i="3502"/>
  <c r="H8" i="3502"/>
  <c r="C7" i="3502"/>
  <c r="O6" i="3502"/>
  <c r="H6" i="3502"/>
  <c r="B6" i="3502"/>
  <c r="O5" i="3502"/>
  <c r="H5" i="3502"/>
  <c r="B5" i="3502"/>
  <c r="O4" i="3502"/>
  <c r="H3" i="3502"/>
  <c r="O3" i="3502"/>
  <c r="H11" i="3502"/>
  <c r="O2" i="3502"/>
  <c r="H2" i="3502"/>
  <c r="O27" i="3501"/>
  <c r="O22" i="3501"/>
  <c r="O25" i="3501"/>
  <c r="O26" i="3501"/>
  <c r="O23" i="3501"/>
  <c r="O17" i="3501"/>
  <c r="O18" i="3501"/>
  <c r="O24" i="3501"/>
  <c r="O16" i="3501"/>
  <c r="O15" i="3501"/>
  <c r="O20" i="3501"/>
  <c r="H52" i="3501"/>
  <c r="H7" i="3501"/>
  <c r="H16" i="3501"/>
  <c r="H51" i="3501"/>
  <c r="H50" i="3501"/>
  <c r="H49" i="3501"/>
  <c r="H48" i="3501"/>
  <c r="H47" i="3501"/>
  <c r="H46" i="3501"/>
  <c r="C44" i="3501"/>
  <c r="H45" i="3501"/>
  <c r="C43" i="3501"/>
  <c r="H44" i="3501"/>
  <c r="C42" i="3501"/>
  <c r="H43" i="3501"/>
  <c r="C41" i="3501"/>
  <c r="H42" i="3501"/>
  <c r="C40" i="3501"/>
  <c r="H41" i="3501"/>
  <c r="C39" i="3501"/>
  <c r="H40" i="3501"/>
  <c r="C38" i="3501"/>
  <c r="H39" i="3501"/>
  <c r="C37" i="3501"/>
  <c r="H38" i="3501"/>
  <c r="C36" i="3501"/>
  <c r="H30" i="3501"/>
  <c r="C35" i="3501"/>
  <c r="H37" i="3501"/>
  <c r="C34" i="3501"/>
  <c r="H36" i="3501"/>
  <c r="C33" i="3501"/>
  <c r="H35" i="3501"/>
  <c r="C32" i="3501"/>
  <c r="H25" i="3501"/>
  <c r="H21" i="3501"/>
  <c r="C30" i="3501"/>
  <c r="H17" i="3501"/>
  <c r="H26" i="3501"/>
  <c r="H9" i="3501"/>
  <c r="H34" i="3501"/>
  <c r="H28" i="3501"/>
  <c r="B25" i="3501"/>
  <c r="H12" i="3501"/>
  <c r="B24" i="3501"/>
  <c r="H27" i="3501"/>
  <c r="B23" i="3501"/>
  <c r="H23" i="3501"/>
  <c r="B22" i="3501"/>
  <c r="H14" i="3501"/>
  <c r="C21" i="3501"/>
  <c r="H33" i="3501"/>
  <c r="C20" i="3501"/>
  <c r="H18" i="3501"/>
  <c r="C19" i="3501"/>
  <c r="H32" i="3501"/>
  <c r="C18" i="3501"/>
  <c r="H19" i="3501"/>
  <c r="C17" i="3501"/>
  <c r="H15" i="3501"/>
  <c r="C16" i="3501"/>
  <c r="H24" i="3501"/>
  <c r="C15" i="3501"/>
  <c r="H31" i="3501"/>
  <c r="C14" i="3501"/>
  <c r="H22" i="3501"/>
  <c r="C13" i="3501"/>
  <c r="O12" i="3501"/>
  <c r="H29" i="3501"/>
  <c r="C12" i="3501"/>
  <c r="O11" i="3501"/>
  <c r="H20" i="3501"/>
  <c r="C11" i="3501"/>
  <c r="O10" i="3501"/>
  <c r="H3" i="3501"/>
  <c r="C10" i="3501"/>
  <c r="H13" i="3501"/>
  <c r="C9" i="3501"/>
  <c r="H11" i="3501"/>
  <c r="C8" i="3501"/>
  <c r="O7" i="3501"/>
  <c r="H8" i="3501"/>
  <c r="C7" i="3501"/>
  <c r="O6" i="3501"/>
  <c r="H6" i="3501"/>
  <c r="B6" i="3501"/>
  <c r="O5" i="3501"/>
  <c r="H5" i="3501"/>
  <c r="B5" i="3501"/>
  <c r="O4" i="3501"/>
  <c r="H2" i="3501"/>
  <c r="O3" i="3501"/>
  <c r="H10" i="3501"/>
  <c r="O2" i="3501"/>
  <c r="H4" i="3501"/>
  <c r="O15" i="3500"/>
  <c r="O21" i="3500"/>
  <c r="O19" i="3500"/>
  <c r="O20" i="3500"/>
  <c r="O18" i="3500"/>
  <c r="O17" i="3500"/>
  <c r="O16" i="3500"/>
  <c r="H52" i="3500"/>
  <c r="H10" i="3500"/>
  <c r="H16" i="3500"/>
  <c r="H51" i="3500"/>
  <c r="H50" i="3500"/>
  <c r="H49" i="3500"/>
  <c r="H48" i="3500"/>
  <c r="H47" i="3500"/>
  <c r="H46" i="3500"/>
  <c r="C44" i="3500"/>
  <c r="H45" i="3500"/>
  <c r="C43" i="3500"/>
  <c r="H44" i="3500"/>
  <c r="C42" i="3500"/>
  <c r="H43" i="3500"/>
  <c r="C41" i="3500"/>
  <c r="H42" i="3500"/>
  <c r="C40" i="3500"/>
  <c r="H41" i="3500"/>
  <c r="C39" i="3500"/>
  <c r="H40" i="3500"/>
  <c r="C38" i="3500"/>
  <c r="H39" i="3500"/>
  <c r="C37" i="3500"/>
  <c r="H38" i="3500"/>
  <c r="C36" i="3500"/>
  <c r="H37" i="3500"/>
  <c r="C35" i="3500"/>
  <c r="H36" i="3500"/>
  <c r="C34" i="3500"/>
  <c r="H35" i="3500"/>
  <c r="C33" i="3500"/>
  <c r="H34" i="3500"/>
  <c r="C32" i="3500"/>
  <c r="H33" i="3500"/>
  <c r="H20" i="3500"/>
  <c r="C30" i="3500"/>
  <c r="H19" i="3500"/>
  <c r="H32" i="3500"/>
  <c r="H7" i="3500"/>
  <c r="H31" i="3500"/>
  <c r="H30" i="3500"/>
  <c r="B25" i="3500"/>
  <c r="H18" i="3500"/>
  <c r="B24" i="3500"/>
  <c r="H29" i="3500"/>
  <c r="B23" i="3500"/>
  <c r="H28" i="3500"/>
  <c r="B22" i="3500"/>
  <c r="H15" i="3500"/>
  <c r="C21" i="3500"/>
  <c r="H27" i="3500"/>
  <c r="C20" i="3500"/>
  <c r="H26" i="3500"/>
  <c r="C19" i="3500"/>
  <c r="H25" i="3500"/>
  <c r="C18" i="3500"/>
  <c r="H14" i="3500"/>
  <c r="C17" i="3500"/>
  <c r="H13" i="3500"/>
  <c r="C16" i="3500"/>
  <c r="H24" i="3500"/>
  <c r="C15" i="3500"/>
  <c r="H23" i="3500"/>
  <c r="C14" i="3500"/>
  <c r="H22" i="3500"/>
  <c r="C13" i="3500"/>
  <c r="O12" i="3500"/>
  <c r="H21" i="3500"/>
  <c r="C12" i="3500"/>
  <c r="O11" i="3500"/>
  <c r="H17" i="3500"/>
  <c r="C11" i="3500"/>
  <c r="O10" i="3500"/>
  <c r="H3" i="3500"/>
  <c r="C10" i="3500"/>
  <c r="H12" i="3500"/>
  <c r="C9" i="3500"/>
  <c r="H11" i="3500"/>
  <c r="C8" i="3500"/>
  <c r="O7" i="3500"/>
  <c r="H9" i="3500"/>
  <c r="C7" i="3500"/>
  <c r="O6" i="3500"/>
  <c r="H6" i="3500"/>
  <c r="B6" i="3500"/>
  <c r="O5" i="3500"/>
  <c r="H5" i="3500"/>
  <c r="B5" i="3500"/>
  <c r="O4" i="3500"/>
  <c r="H2" i="3500"/>
  <c r="O3" i="3500"/>
  <c r="H8" i="3500"/>
  <c r="O2" i="3500"/>
  <c r="H4" i="3500"/>
  <c r="O27" i="3499"/>
  <c r="O25" i="3499"/>
  <c r="O24" i="3499"/>
  <c r="O26" i="3499"/>
  <c r="O18" i="3499"/>
  <c r="O19" i="3499"/>
  <c r="O23" i="3499"/>
  <c r="O22" i="3499"/>
  <c r="O21" i="3499"/>
  <c r="H52" i="3499"/>
  <c r="H6" i="3499"/>
  <c r="H23" i="3499"/>
  <c r="H51" i="3499"/>
  <c r="H50" i="3499"/>
  <c r="H49" i="3499"/>
  <c r="H48" i="3499"/>
  <c r="H47" i="3499"/>
  <c r="H46" i="3499"/>
  <c r="C44" i="3499"/>
  <c r="H45" i="3499"/>
  <c r="C43" i="3499"/>
  <c r="H44" i="3499"/>
  <c r="C42" i="3499"/>
  <c r="H43" i="3499"/>
  <c r="C41" i="3499"/>
  <c r="H42" i="3499"/>
  <c r="C40" i="3499"/>
  <c r="H41" i="3499"/>
  <c r="C39" i="3499"/>
  <c r="H40" i="3499"/>
  <c r="C38" i="3499"/>
  <c r="H39" i="3499"/>
  <c r="C37" i="3499"/>
  <c r="H38" i="3499"/>
  <c r="C36" i="3499"/>
  <c r="H37" i="3499"/>
  <c r="C35" i="3499"/>
  <c r="H36" i="3499"/>
  <c r="C34" i="3499"/>
  <c r="H31" i="3499"/>
  <c r="C33" i="3499"/>
  <c r="H35" i="3499"/>
  <c r="C32" i="3499"/>
  <c r="H26" i="3499"/>
  <c r="H25" i="3499"/>
  <c r="C30" i="3499"/>
  <c r="H17" i="3499"/>
  <c r="H30" i="3499"/>
  <c r="H9" i="3499"/>
  <c r="H29" i="3499"/>
  <c r="H27" i="3499"/>
  <c r="B25" i="3499"/>
  <c r="H13" i="3499"/>
  <c r="B24" i="3499"/>
  <c r="H28" i="3499"/>
  <c r="B23" i="3499"/>
  <c r="H24" i="3499"/>
  <c r="B22" i="3499"/>
  <c r="H14" i="3499"/>
  <c r="C21" i="3499"/>
  <c r="H34" i="3499"/>
  <c r="C20" i="3499"/>
  <c r="H16" i="3499"/>
  <c r="C19" i="3499"/>
  <c r="H33" i="3499"/>
  <c r="C18" i="3499"/>
  <c r="H18" i="3499"/>
  <c r="C17" i="3499"/>
  <c r="H15" i="3499"/>
  <c r="C16" i="3499"/>
  <c r="H19" i="3499"/>
  <c r="C15" i="3499"/>
  <c r="H32" i="3499"/>
  <c r="C14" i="3499"/>
  <c r="H22" i="3499"/>
  <c r="C13" i="3499"/>
  <c r="O12" i="3499"/>
  <c r="H21" i="3499"/>
  <c r="C12" i="3499"/>
  <c r="O11" i="3499"/>
  <c r="H20" i="3499"/>
  <c r="C11" i="3499"/>
  <c r="O10" i="3499"/>
  <c r="H3" i="3499"/>
  <c r="C10" i="3499"/>
  <c r="H12" i="3499"/>
  <c r="C9" i="3499"/>
  <c r="H10" i="3499"/>
  <c r="C8" i="3499"/>
  <c r="O7" i="3499"/>
  <c r="H8" i="3499"/>
  <c r="C7" i="3499"/>
  <c r="O6" i="3499"/>
  <c r="H5" i="3499"/>
  <c r="B6" i="3499"/>
  <c r="O5" i="3499"/>
  <c r="H7" i="3499"/>
  <c r="B5" i="3499"/>
  <c r="O4" i="3499"/>
  <c r="H2" i="3499"/>
  <c r="O3" i="3499"/>
  <c r="H11" i="3499"/>
  <c r="O2" i="3499"/>
  <c r="H4" i="3499"/>
  <c r="O23" i="3498"/>
  <c r="O19" i="3498"/>
  <c r="O22" i="3498"/>
  <c r="O15" i="3498"/>
  <c r="O20" i="3498"/>
  <c r="O16" i="3498"/>
  <c r="O18" i="3498"/>
  <c r="H52" i="3498"/>
  <c r="H5" i="3498"/>
  <c r="H51" i="3498"/>
  <c r="H50" i="3498"/>
  <c r="H49" i="3498"/>
  <c r="H48" i="3498"/>
  <c r="H47" i="3498"/>
  <c r="H46" i="3498"/>
  <c r="H45" i="3498"/>
  <c r="C44" i="3498"/>
  <c r="H44" i="3498"/>
  <c r="C43" i="3498"/>
  <c r="H43" i="3498"/>
  <c r="C42" i="3498"/>
  <c r="H42" i="3498"/>
  <c r="C41" i="3498"/>
  <c r="H41" i="3498"/>
  <c r="C40" i="3498"/>
  <c r="H40" i="3498"/>
  <c r="C39" i="3498"/>
  <c r="H39" i="3498"/>
  <c r="C38" i="3498"/>
  <c r="H38" i="3498"/>
  <c r="C37" i="3498"/>
  <c r="H37" i="3498"/>
  <c r="C36" i="3498"/>
  <c r="H36" i="3498"/>
  <c r="C35" i="3498"/>
  <c r="H35" i="3498"/>
  <c r="C34" i="3498"/>
  <c r="H34" i="3498"/>
  <c r="C33" i="3498"/>
  <c r="H33" i="3498"/>
  <c r="C32" i="3498"/>
  <c r="H27" i="3498"/>
  <c r="H32" i="3498"/>
  <c r="C30" i="3498"/>
  <c r="H18" i="3498"/>
  <c r="H26" i="3498"/>
  <c r="H12" i="3498"/>
  <c r="H22" i="3498"/>
  <c r="H25" i="3498"/>
  <c r="B25" i="3498"/>
  <c r="H14" i="3498"/>
  <c r="B24" i="3498"/>
  <c r="H31" i="3498"/>
  <c r="B23" i="3498"/>
  <c r="H24" i="3498"/>
  <c r="B22" i="3498"/>
  <c r="H13" i="3498"/>
  <c r="C21" i="3498"/>
  <c r="H30" i="3498"/>
  <c r="C20" i="3498"/>
  <c r="H15" i="3498"/>
  <c r="C19" i="3498"/>
  <c r="H29" i="3498"/>
  <c r="C18" i="3498"/>
  <c r="H17" i="3498"/>
  <c r="C17" i="3498"/>
  <c r="H16" i="3498"/>
  <c r="C16" i="3498"/>
  <c r="H21" i="3498"/>
  <c r="C15" i="3498"/>
  <c r="H28" i="3498"/>
  <c r="C14" i="3498"/>
  <c r="H20" i="3498"/>
  <c r="C13" i="3498"/>
  <c r="O12" i="3498"/>
  <c r="H19" i="3498"/>
  <c r="C12" i="3498"/>
  <c r="O11" i="3498"/>
  <c r="H23" i="3498"/>
  <c r="C11" i="3498"/>
  <c r="O10" i="3498"/>
  <c r="H3" i="3498"/>
  <c r="C10" i="3498"/>
  <c r="H11" i="3498"/>
  <c r="C9" i="3498"/>
  <c r="H10" i="3498"/>
  <c r="C8" i="3498"/>
  <c r="O7" i="3498"/>
  <c r="H8" i="3498"/>
  <c r="C7" i="3498"/>
  <c r="O6" i="3498"/>
  <c r="H6" i="3498"/>
  <c r="B6" i="3498"/>
  <c r="O5" i="3498"/>
  <c r="H7" i="3498"/>
  <c r="B5" i="3498"/>
  <c r="O4" i="3498"/>
  <c r="H2" i="3498"/>
  <c r="O3" i="3498"/>
  <c r="H9" i="3498"/>
  <c r="O2" i="3498"/>
  <c r="H4" i="3498"/>
  <c r="O19" i="3497"/>
  <c r="O18" i="3497"/>
  <c r="O17" i="3497"/>
  <c r="O16" i="3497"/>
  <c r="O15" i="3497"/>
  <c r="H52" i="3497"/>
  <c r="H51" i="3497"/>
  <c r="H50" i="3497"/>
  <c r="H49" i="3497"/>
  <c r="H48" i="3497"/>
  <c r="H47" i="3497"/>
  <c r="H46" i="3497"/>
  <c r="H45" i="3497"/>
  <c r="H44" i="3497"/>
  <c r="C44" i="3497"/>
  <c r="H43" i="3497"/>
  <c r="C43" i="3497"/>
  <c r="H42" i="3497"/>
  <c r="C42" i="3497"/>
  <c r="H41" i="3497"/>
  <c r="C41" i="3497"/>
  <c r="H40" i="3497"/>
  <c r="C40" i="3497"/>
  <c r="H39" i="3497"/>
  <c r="C39" i="3497"/>
  <c r="H38" i="3497"/>
  <c r="C38" i="3497"/>
  <c r="H37" i="3497"/>
  <c r="C37" i="3497"/>
  <c r="H36" i="3497"/>
  <c r="C36" i="3497"/>
  <c r="H35" i="3497"/>
  <c r="C35" i="3497"/>
  <c r="H34" i="3497"/>
  <c r="C34" i="3497"/>
  <c r="H33" i="3497"/>
  <c r="C33" i="3497"/>
  <c r="H32" i="3497"/>
  <c r="C32" i="3497"/>
  <c r="H31" i="3497"/>
  <c r="H30" i="3497"/>
  <c r="C30" i="3497"/>
  <c r="H29" i="3497"/>
  <c r="H28" i="3497"/>
  <c r="H27" i="3497"/>
  <c r="H26" i="3497"/>
  <c r="H25" i="3497"/>
  <c r="B25" i="3497"/>
  <c r="H10" i="3497"/>
  <c r="B24" i="3497"/>
  <c r="H24" i="3497"/>
  <c r="B23" i="3497"/>
  <c r="H23" i="3497"/>
  <c r="B22" i="3497"/>
  <c r="H22" i="3497"/>
  <c r="C21" i="3497"/>
  <c r="H21" i="3497"/>
  <c r="C20" i="3497"/>
  <c r="H20" i="3497"/>
  <c r="C19" i="3497"/>
  <c r="H19" i="3497"/>
  <c r="C18" i="3497"/>
  <c r="H7" i="3497"/>
  <c r="C17" i="3497"/>
  <c r="H18" i="3497"/>
  <c r="C16" i="3497"/>
  <c r="H17" i="3497"/>
  <c r="C15" i="3497"/>
  <c r="H16" i="3497"/>
  <c r="C14" i="3497"/>
  <c r="H15" i="3497"/>
  <c r="C13" i="3497"/>
  <c r="O12" i="3497"/>
  <c r="H14" i="3497"/>
  <c r="C12" i="3497"/>
  <c r="O11" i="3497"/>
  <c r="H13" i="3497"/>
  <c r="C11" i="3497"/>
  <c r="O10" i="3497"/>
  <c r="H4" i="3497"/>
  <c r="C10" i="3497"/>
  <c r="H12" i="3497"/>
  <c r="C9" i="3497"/>
  <c r="H11" i="3497"/>
  <c r="C8" i="3497"/>
  <c r="O7" i="3497"/>
  <c r="H9" i="3497"/>
  <c r="C7" i="3497"/>
  <c r="O6" i="3497"/>
  <c r="H5" i="3497"/>
  <c r="B6" i="3497"/>
  <c r="O5" i="3497"/>
  <c r="H6" i="3497"/>
  <c r="B5" i="3497"/>
  <c r="O4" i="3497"/>
  <c r="H8" i="3497"/>
  <c r="O3" i="3497"/>
  <c r="H3" i="3497"/>
  <c r="O2" i="3497"/>
  <c r="H2" i="3497"/>
  <c r="O23" i="3496"/>
  <c r="O25" i="3496"/>
  <c r="O22" i="3496"/>
  <c r="O18" i="3496"/>
  <c r="O15" i="3496"/>
  <c r="O20" i="3496"/>
  <c r="O24" i="3496"/>
  <c r="O17" i="3496"/>
  <c r="O21" i="3496"/>
  <c r="O16" i="3496"/>
  <c r="O26" i="3496"/>
  <c r="H52" i="3496"/>
  <c r="H7" i="3496"/>
  <c r="H51" i="3496"/>
  <c r="H50" i="3496"/>
  <c r="H49" i="3496"/>
  <c r="H48" i="3496"/>
  <c r="H47" i="3496"/>
  <c r="H46" i="3496"/>
  <c r="H45" i="3496"/>
  <c r="C44" i="3496"/>
  <c r="H44" i="3496"/>
  <c r="C43" i="3496"/>
  <c r="H43" i="3496"/>
  <c r="C42" i="3496"/>
  <c r="H42" i="3496"/>
  <c r="C41" i="3496"/>
  <c r="H41" i="3496"/>
  <c r="C40" i="3496"/>
  <c r="H40" i="3496"/>
  <c r="C39" i="3496"/>
  <c r="H39" i="3496"/>
  <c r="C38" i="3496"/>
  <c r="H38" i="3496"/>
  <c r="C37" i="3496"/>
  <c r="H37" i="3496"/>
  <c r="C36" i="3496"/>
  <c r="H23" i="3496"/>
  <c r="C35" i="3496"/>
  <c r="H36" i="3496"/>
  <c r="C34" i="3496"/>
  <c r="H35" i="3496"/>
  <c r="C33" i="3496"/>
  <c r="H34" i="3496"/>
  <c r="C32" i="3496"/>
  <c r="H22" i="3496"/>
  <c r="H33" i="3496"/>
  <c r="C30" i="3496"/>
  <c r="H17" i="3496"/>
  <c r="H32" i="3496"/>
  <c r="H11" i="3496"/>
  <c r="H31" i="3496"/>
  <c r="H30" i="3496"/>
  <c r="B25" i="3496"/>
  <c r="H16" i="3496"/>
  <c r="B24" i="3496"/>
  <c r="H29" i="3496"/>
  <c r="B23" i="3496"/>
  <c r="H28" i="3496"/>
  <c r="B22" i="3496"/>
  <c r="H9" i="3496"/>
  <c r="C21" i="3496"/>
  <c r="H27" i="3496"/>
  <c r="C20" i="3496"/>
  <c r="H14" i="3496"/>
  <c r="C19" i="3496"/>
  <c r="H26" i="3496"/>
  <c r="C18" i="3496"/>
  <c r="H15" i="3496"/>
  <c r="C17" i="3496"/>
  <c r="H21" i="3496"/>
  <c r="C16" i="3496"/>
  <c r="H25" i="3496"/>
  <c r="C15" i="3496"/>
  <c r="H24" i="3496"/>
  <c r="C14" i="3496"/>
  <c r="H20" i="3496"/>
  <c r="C13" i="3496"/>
  <c r="O12" i="3496"/>
  <c r="H19" i="3496"/>
  <c r="C12" i="3496"/>
  <c r="O11" i="3496"/>
  <c r="H18" i="3496"/>
  <c r="C11" i="3496"/>
  <c r="O10" i="3496"/>
  <c r="H3" i="3496"/>
  <c r="C10" i="3496"/>
  <c r="H13" i="3496"/>
  <c r="C9" i="3496"/>
  <c r="H10" i="3496"/>
  <c r="C8" i="3496"/>
  <c r="O7" i="3496"/>
  <c r="H8" i="3496"/>
  <c r="C7" i="3496"/>
  <c r="O6" i="3496"/>
  <c r="H5" i="3496"/>
  <c r="B6" i="3496"/>
  <c r="O5" i="3496"/>
  <c r="H6" i="3496"/>
  <c r="B5" i="3496"/>
  <c r="O4" i="3496"/>
  <c r="H2" i="3496"/>
  <c r="O3" i="3496"/>
  <c r="H12" i="3496"/>
  <c r="O2" i="3496"/>
  <c r="H4" i="3496"/>
  <c r="O26" i="3495"/>
  <c r="O23" i="3495"/>
  <c r="O22" i="3495"/>
  <c r="O21" i="3495"/>
  <c r="O24" i="3495"/>
  <c r="O20" i="3495"/>
  <c r="O19" i="3495"/>
  <c r="O17" i="3495"/>
  <c r="O15" i="3495"/>
  <c r="O16" i="3495"/>
  <c r="H52" i="3495"/>
  <c r="H7" i="3495"/>
  <c r="H19" i="3495"/>
  <c r="H51" i="3495"/>
  <c r="H50" i="3495"/>
  <c r="H49" i="3495"/>
  <c r="H48" i="3495"/>
  <c r="H47" i="3495"/>
  <c r="H46" i="3495"/>
  <c r="C44" i="3495"/>
  <c r="H45" i="3495"/>
  <c r="C43" i="3495"/>
  <c r="H44" i="3495"/>
  <c r="C42" i="3495"/>
  <c r="H43" i="3495"/>
  <c r="C41" i="3495"/>
  <c r="H42" i="3495"/>
  <c r="C40" i="3495"/>
  <c r="H41" i="3495"/>
  <c r="C39" i="3495"/>
  <c r="H40" i="3495"/>
  <c r="C38" i="3495"/>
  <c r="H39" i="3495"/>
  <c r="C37" i="3495"/>
  <c r="H38" i="3495"/>
  <c r="C36" i="3495"/>
  <c r="H37" i="3495"/>
  <c r="C35" i="3495"/>
  <c r="H36" i="3495"/>
  <c r="C34" i="3495"/>
  <c r="H31" i="3495"/>
  <c r="C33" i="3495"/>
  <c r="H35" i="3495"/>
  <c r="C32" i="3495"/>
  <c r="H30" i="3495"/>
  <c r="H24" i="3495"/>
  <c r="C30" i="3495"/>
  <c r="H17" i="3495"/>
  <c r="H34" i="3495"/>
  <c r="H10" i="3495"/>
  <c r="H26" i="3495"/>
  <c r="H29" i="3495"/>
  <c r="B25" i="3495"/>
  <c r="H12" i="3495"/>
  <c r="B24" i="3495"/>
  <c r="H25" i="3495"/>
  <c r="B23" i="3495"/>
  <c r="H23" i="3495"/>
  <c r="B22" i="3495"/>
  <c r="H13" i="3495"/>
  <c r="C21" i="3495"/>
  <c r="H33" i="3495"/>
  <c r="C20" i="3495"/>
  <c r="H15" i="3495"/>
  <c r="C19" i="3495"/>
  <c r="H28" i="3495"/>
  <c r="C18" i="3495"/>
  <c r="H18" i="3495"/>
  <c r="C17" i="3495"/>
  <c r="H16" i="3495"/>
  <c r="C16" i="3495"/>
  <c r="H27" i="3495"/>
  <c r="C15" i="3495"/>
  <c r="H32" i="3495"/>
  <c r="C14" i="3495"/>
  <c r="H20" i="3495"/>
  <c r="C13" i="3495"/>
  <c r="O12" i="3495"/>
  <c r="H22" i="3495"/>
  <c r="C12" i="3495"/>
  <c r="O11" i="3495"/>
  <c r="H21" i="3495"/>
  <c r="C11" i="3495"/>
  <c r="O10" i="3495"/>
  <c r="H4" i="3495"/>
  <c r="C10" i="3495"/>
  <c r="H14" i="3495"/>
  <c r="C9" i="3495"/>
  <c r="H11" i="3495"/>
  <c r="C8" i="3495"/>
  <c r="O7" i="3495"/>
  <c r="H8" i="3495"/>
  <c r="C7" i="3495"/>
  <c r="O6" i="3495"/>
  <c r="H5" i="3495"/>
  <c r="B6" i="3495"/>
  <c r="O5" i="3495"/>
  <c r="H6" i="3495"/>
  <c r="B5" i="3495"/>
  <c r="O4" i="3495"/>
  <c r="H2" i="3495"/>
  <c r="O3" i="3495"/>
  <c r="H9" i="3495"/>
  <c r="O2" i="3495"/>
  <c r="H3" i="3495"/>
  <c r="O20" i="3494"/>
  <c r="O19" i="3494"/>
  <c r="O18" i="3494"/>
  <c r="O16" i="3494"/>
  <c r="H52" i="3494"/>
  <c r="H15" i="3494"/>
  <c r="H51" i="3494"/>
  <c r="H50" i="3494"/>
  <c r="H49" i="3494"/>
  <c r="H48" i="3494"/>
  <c r="H47" i="3494"/>
  <c r="H46" i="3494"/>
  <c r="H45" i="3494"/>
  <c r="C44" i="3494"/>
  <c r="H44" i="3494"/>
  <c r="C43" i="3494"/>
  <c r="H43" i="3494"/>
  <c r="C42" i="3494"/>
  <c r="H42" i="3494"/>
  <c r="C41" i="3494"/>
  <c r="H41" i="3494"/>
  <c r="C40" i="3494"/>
  <c r="H40" i="3494"/>
  <c r="C39" i="3494"/>
  <c r="H39" i="3494"/>
  <c r="C38" i="3494"/>
  <c r="H38" i="3494"/>
  <c r="C37" i="3494"/>
  <c r="H37" i="3494"/>
  <c r="C36" i="3494"/>
  <c r="H36" i="3494"/>
  <c r="C35" i="3494"/>
  <c r="H35" i="3494"/>
  <c r="C34" i="3494"/>
  <c r="H34" i="3494"/>
  <c r="C33" i="3494"/>
  <c r="H33" i="3494"/>
  <c r="C32" i="3494"/>
  <c r="H32" i="3494"/>
  <c r="H31" i="3494"/>
  <c r="C30" i="3494"/>
  <c r="H30" i="3494"/>
  <c r="H29" i="3494"/>
  <c r="H7" i="3494"/>
  <c r="H28" i="3494"/>
  <c r="H27" i="3494"/>
  <c r="B25" i="3494"/>
  <c r="H10" i="3494"/>
  <c r="B24" i="3494"/>
  <c r="H26" i="3494"/>
  <c r="B23" i="3494"/>
  <c r="H25" i="3494"/>
  <c r="B22" i="3494"/>
  <c r="H14" i="3494"/>
  <c r="C21" i="3494"/>
  <c r="H24" i="3494"/>
  <c r="C20" i="3494"/>
  <c r="H23" i="3494"/>
  <c r="C19" i="3494"/>
  <c r="H22" i="3494"/>
  <c r="C18" i="3494"/>
  <c r="H13" i="3494"/>
  <c r="C17" i="3494"/>
  <c r="H21" i="3494"/>
  <c r="C16" i="3494"/>
  <c r="H20" i="3494"/>
  <c r="C15" i="3494"/>
  <c r="H19" i="3494"/>
  <c r="C14" i="3494"/>
  <c r="H18" i="3494"/>
  <c r="C13" i="3494"/>
  <c r="O12" i="3494"/>
  <c r="H17" i="3494"/>
  <c r="C12" i="3494"/>
  <c r="O11" i="3494"/>
  <c r="H16" i="3494"/>
  <c r="C11" i="3494"/>
  <c r="O10" i="3494"/>
  <c r="H4" i="3494"/>
  <c r="C10" i="3494"/>
  <c r="H9" i="3494"/>
  <c r="C9" i="3494"/>
  <c r="H12" i="3494"/>
  <c r="C8" i="3494"/>
  <c r="O7" i="3494"/>
  <c r="H8" i="3494"/>
  <c r="C7" i="3494"/>
  <c r="O6" i="3494"/>
  <c r="H6" i="3494"/>
  <c r="B6" i="3494"/>
  <c r="O5" i="3494"/>
  <c r="H5" i="3494"/>
  <c r="B5" i="3494"/>
  <c r="O4" i="3494"/>
  <c r="H2" i="3494"/>
  <c r="O3" i="3494"/>
  <c r="H11" i="3494"/>
  <c r="O2" i="3494"/>
  <c r="H3" i="3494"/>
  <c r="O17" i="3493"/>
  <c r="O16" i="3493"/>
  <c r="O15" i="3493"/>
  <c r="H52" i="3493"/>
  <c r="H51" i="3493"/>
  <c r="H50" i="3493"/>
  <c r="H49" i="3493"/>
  <c r="H48" i="3493"/>
  <c r="H47" i="3493"/>
  <c r="H46" i="3493"/>
  <c r="H45" i="3493"/>
  <c r="H44" i="3493"/>
  <c r="C44" i="3493"/>
  <c r="H43" i="3493"/>
  <c r="C43" i="3493"/>
  <c r="H42" i="3493"/>
  <c r="C42" i="3493"/>
  <c r="H41" i="3493"/>
  <c r="C41" i="3493"/>
  <c r="H40" i="3493"/>
  <c r="C40" i="3493"/>
  <c r="H39" i="3493"/>
  <c r="C39" i="3493"/>
  <c r="H38" i="3493"/>
  <c r="C38" i="3493"/>
  <c r="H37" i="3493"/>
  <c r="C37" i="3493"/>
  <c r="H36" i="3493"/>
  <c r="C36" i="3493"/>
  <c r="H35" i="3493"/>
  <c r="C35" i="3493"/>
  <c r="H34" i="3493"/>
  <c r="C34" i="3493"/>
  <c r="H33" i="3493"/>
  <c r="C33" i="3493"/>
  <c r="H32" i="3493"/>
  <c r="C32" i="3493"/>
  <c r="H31" i="3493"/>
  <c r="H30" i="3493"/>
  <c r="C30" i="3493"/>
  <c r="H29" i="3493"/>
  <c r="H28" i="3493"/>
  <c r="H27" i="3493"/>
  <c r="H26" i="3493"/>
  <c r="H25" i="3493"/>
  <c r="B25" i="3493"/>
  <c r="H24" i="3493"/>
  <c r="B24" i="3493"/>
  <c r="H23" i="3493"/>
  <c r="B23" i="3493"/>
  <c r="H22" i="3493"/>
  <c r="B22" i="3493"/>
  <c r="H21" i="3493"/>
  <c r="C21" i="3493"/>
  <c r="H20" i="3493"/>
  <c r="C20" i="3493"/>
  <c r="H19" i="3493"/>
  <c r="C19" i="3493"/>
  <c r="H18" i="3493"/>
  <c r="C18" i="3493"/>
  <c r="H17" i="3493"/>
  <c r="C17" i="3493"/>
  <c r="H16" i="3493"/>
  <c r="C16" i="3493"/>
  <c r="H15" i="3493"/>
  <c r="C15" i="3493"/>
  <c r="H14" i="3493"/>
  <c r="C14" i="3493"/>
  <c r="H13" i="3493"/>
  <c r="C13" i="3493"/>
  <c r="O12" i="3493"/>
  <c r="H12" i="3493"/>
  <c r="C12" i="3493"/>
  <c r="O11" i="3493"/>
  <c r="H11" i="3493"/>
  <c r="C11" i="3493"/>
  <c r="O10" i="3493"/>
  <c r="H10" i="3493"/>
  <c r="C10" i="3493"/>
  <c r="H9" i="3493"/>
  <c r="C9" i="3493"/>
  <c r="H8" i="3493"/>
  <c r="C8" i="3493"/>
  <c r="O7" i="3493"/>
  <c r="H7" i="3493"/>
  <c r="C7" i="3493"/>
  <c r="O6" i="3493"/>
  <c r="H6" i="3493"/>
  <c r="B6" i="3493"/>
  <c r="O5" i="3493"/>
  <c r="H5" i="3493"/>
  <c r="B5" i="3493"/>
  <c r="O4" i="3493"/>
  <c r="H4" i="3493"/>
  <c r="O3" i="3493"/>
  <c r="H3" i="3493"/>
  <c r="O2" i="3493"/>
  <c r="H2" i="3493"/>
  <c r="O26" i="3492"/>
  <c r="O24" i="3492"/>
  <c r="O25" i="3492"/>
  <c r="O27" i="3492"/>
  <c r="O23" i="3492"/>
  <c r="O28" i="3492"/>
  <c r="O22" i="3492"/>
  <c r="O18" i="3492"/>
  <c r="O21" i="3492"/>
  <c r="O16" i="3492"/>
  <c r="O15" i="3492"/>
  <c r="H52" i="3492"/>
  <c r="H7" i="3492"/>
  <c r="H15" i="3492"/>
  <c r="H51" i="3492"/>
  <c r="H50" i="3492"/>
  <c r="H49" i="3492"/>
  <c r="H48" i="3492"/>
  <c r="H47" i="3492"/>
  <c r="H32" i="3492"/>
  <c r="C44" i="3492"/>
  <c r="H46" i="3492"/>
  <c r="C43" i="3492"/>
  <c r="H45" i="3492"/>
  <c r="C42" i="3492"/>
  <c r="H44" i="3492"/>
  <c r="C41" i="3492"/>
  <c r="H43" i="3492"/>
  <c r="C40" i="3492"/>
  <c r="H42" i="3492"/>
  <c r="C39" i="3492"/>
  <c r="H41" i="3492"/>
  <c r="C38" i="3492"/>
  <c r="H40" i="3492"/>
  <c r="C37" i="3492"/>
  <c r="H39" i="3492"/>
  <c r="C36" i="3492"/>
  <c r="H38" i="3492"/>
  <c r="C35" i="3492"/>
  <c r="H37" i="3492"/>
  <c r="C34" i="3492"/>
  <c r="H28" i="3492"/>
  <c r="C33" i="3492"/>
  <c r="H36" i="3492"/>
  <c r="C32" i="3492"/>
  <c r="H31" i="3492"/>
  <c r="H22" i="3492"/>
  <c r="C30" i="3492"/>
  <c r="H18" i="3492"/>
  <c r="H25" i="3492"/>
  <c r="H8" i="3492"/>
  <c r="H27" i="3492"/>
  <c r="H30" i="3492"/>
  <c r="B25" i="3492"/>
  <c r="H12" i="3492"/>
  <c r="B24" i="3492"/>
  <c r="H21" i="3492"/>
  <c r="B23" i="3492"/>
  <c r="H26" i="3492"/>
  <c r="B22" i="3492"/>
  <c r="H14" i="3492"/>
  <c r="C21" i="3492"/>
  <c r="H35" i="3492"/>
  <c r="C20" i="3492"/>
  <c r="H17" i="3492"/>
  <c r="C19" i="3492"/>
  <c r="H34" i="3492"/>
  <c r="C18" i="3492"/>
  <c r="H19" i="3492"/>
  <c r="C17" i="3492"/>
  <c r="H16" i="3492"/>
  <c r="C16" i="3492"/>
  <c r="H20" i="3492"/>
  <c r="C15" i="3492"/>
  <c r="H33" i="3492"/>
  <c r="C14" i="3492"/>
  <c r="H23" i="3492"/>
  <c r="C13" i="3492"/>
  <c r="O12" i="3492"/>
  <c r="H29" i="3492"/>
  <c r="C12" i="3492"/>
  <c r="O11" i="3492"/>
  <c r="H24" i="3492"/>
  <c r="C11" i="3492"/>
  <c r="O10" i="3492"/>
  <c r="H3" i="3492"/>
  <c r="C10" i="3492"/>
  <c r="H13" i="3492"/>
  <c r="C9" i="3492"/>
  <c r="H11" i="3492"/>
  <c r="C8" i="3492"/>
  <c r="O7" i="3492"/>
  <c r="H9" i="3492"/>
  <c r="C7" i="3492"/>
  <c r="O6" i="3492"/>
  <c r="H6" i="3492"/>
  <c r="B6" i="3492"/>
  <c r="O5" i="3492"/>
  <c r="H5" i="3492"/>
  <c r="B5" i="3492"/>
  <c r="O4" i="3492"/>
  <c r="H2" i="3492"/>
  <c r="O3" i="3492"/>
  <c r="H10" i="3492"/>
  <c r="O2" i="3492"/>
  <c r="H4" i="3492"/>
  <c r="O30" i="3491"/>
  <c r="O29" i="3491"/>
  <c r="O25" i="3491"/>
  <c r="O22" i="3491"/>
  <c r="O28" i="3491"/>
  <c r="O26" i="3491"/>
  <c r="O21" i="3491"/>
  <c r="O27" i="3491"/>
  <c r="O20" i="3491"/>
  <c r="O23" i="3491"/>
  <c r="O19" i="3491"/>
  <c r="O16" i="3491"/>
  <c r="O15" i="3491"/>
  <c r="H52" i="3491"/>
  <c r="H7" i="3491"/>
  <c r="H19" i="3491"/>
  <c r="H51" i="3491"/>
  <c r="H50" i="3491"/>
  <c r="H49" i="3491"/>
  <c r="H48" i="3491"/>
  <c r="H47" i="3491"/>
  <c r="H32" i="3491"/>
  <c r="C44" i="3491"/>
  <c r="H46" i="3491"/>
  <c r="C43" i="3491"/>
  <c r="H45" i="3491"/>
  <c r="C42" i="3491"/>
  <c r="H44" i="3491"/>
  <c r="C41" i="3491"/>
  <c r="H43" i="3491"/>
  <c r="C40" i="3491"/>
  <c r="H34" i="3491"/>
  <c r="C39" i="3491"/>
  <c r="H42" i="3491"/>
  <c r="C38" i="3491"/>
  <c r="H41" i="3491"/>
  <c r="C37" i="3491"/>
  <c r="H40" i="3491"/>
  <c r="C36" i="3491"/>
  <c r="H33" i="3491"/>
  <c r="C35" i="3491"/>
  <c r="H39" i="3491"/>
  <c r="C34" i="3491"/>
  <c r="H31" i="3491"/>
  <c r="C33" i="3491"/>
  <c r="H38" i="3491"/>
  <c r="C32" i="3491"/>
  <c r="H27" i="3491"/>
  <c r="H23" i="3491"/>
  <c r="C30" i="3491"/>
  <c r="H17" i="3491"/>
  <c r="H29" i="3491"/>
  <c r="H9" i="3491"/>
  <c r="H30" i="3491"/>
  <c r="H28" i="3491"/>
  <c r="B25" i="3491"/>
  <c r="H13" i="3491"/>
  <c r="B24" i="3491"/>
  <c r="H24" i="3491"/>
  <c r="B23" i="3491"/>
  <c r="H26" i="3491"/>
  <c r="B22" i="3491"/>
  <c r="H14" i="3491"/>
  <c r="C21" i="3491"/>
  <c r="H37" i="3491"/>
  <c r="C20" i="3491"/>
  <c r="H16" i="3491"/>
  <c r="C19" i="3491"/>
  <c r="H35" i="3491"/>
  <c r="C18" i="3491"/>
  <c r="H18" i="3491"/>
  <c r="C17" i="3491"/>
  <c r="H15" i="3491"/>
  <c r="C16" i="3491"/>
  <c r="H22" i="3491"/>
  <c r="C15" i="3491"/>
  <c r="H36" i="3491"/>
  <c r="C14" i="3491"/>
  <c r="H20" i="3491"/>
  <c r="C13" i="3491"/>
  <c r="O12" i="3491"/>
  <c r="H25" i="3491"/>
  <c r="C12" i="3491"/>
  <c r="O11" i="3491"/>
  <c r="H21" i="3491"/>
  <c r="C11" i="3491"/>
  <c r="O10" i="3491"/>
  <c r="H3" i="3491"/>
  <c r="C10" i="3491"/>
  <c r="H12" i="3491"/>
  <c r="C9" i="3491"/>
  <c r="H11" i="3491"/>
  <c r="C8" i="3491"/>
  <c r="O7" i="3491"/>
  <c r="H8" i="3491"/>
  <c r="C7" i="3491"/>
  <c r="O6" i="3491"/>
  <c r="H5" i="3491"/>
  <c r="B6" i="3491"/>
  <c r="O5" i="3491"/>
  <c r="H6" i="3491"/>
  <c r="B5" i="3491"/>
  <c r="O4" i="3491"/>
  <c r="H2" i="3491"/>
  <c r="O3" i="3491"/>
  <c r="H10" i="3491"/>
  <c r="O2" i="3491"/>
  <c r="H4" i="349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<sst xmlns="http://schemas.openxmlformats.org/spreadsheetml/2006/main" count="3835" uniqueCount="201">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</sst>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全体!$K$2:$K$2657</c:f>
              <c:numCache>
                <c:formatCode>General</c:formatCode>
                <c:ptCount val="26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</c:numCache>
            </c:numRef>
          </c:xVal>
          <c:yVal>
            <c:numRef>
              <c:f>全体!$L$2:$L$2657</c:f>
              <c:numCache>
                <c:formatCode>\+0.0;\-0.0;\±0</c:formatCode>
                <c:ptCount val="265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4-43F0-9C8D-DC96D485D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-20.098596890405766</c:v>
                </c:pt>
                <c:pt idx="1">
                  <c:v>-0.38895371450797356</c:v>
                </c:pt>
                <c:pt idx="2">
                  <c:v>4.9689440993788816</c:v>
                </c:pt>
                <c:pt idx="3">
                  <c:v>5.4054054054054053</c:v>
                </c:pt>
                <c:pt idx="4">
                  <c:v>2.0110608345902463</c:v>
                </c:pt>
                <c:pt idx="5">
                  <c:v>14.934289127837514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C-46FF-BDD8-2E83BB82A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400</c:v>
                </c:pt>
                <c:pt idx="1">
                  <c:v>893</c:v>
                </c:pt>
                <c:pt idx="2">
                  <c:v>1130</c:v>
                </c:pt>
                <c:pt idx="3">
                  <c:v>1120</c:v>
                </c:pt>
                <c:pt idx="4">
                  <c:v>942</c:v>
                </c:pt>
                <c:pt idx="5">
                  <c:v>614</c:v>
                </c:pt>
                <c:pt idx="6">
                  <c:v>373</c:v>
                </c:pt>
                <c:pt idx="7">
                  <c:v>205</c:v>
                </c:pt>
                <c:pt idx="8">
                  <c:v>117</c:v>
                </c:pt>
                <c:pt idx="9">
                  <c:v>56</c:v>
                </c:pt>
                <c:pt idx="10">
                  <c:v>31</c:v>
                </c:pt>
                <c:pt idx="11">
                  <c:v>15</c:v>
                </c:pt>
                <c:pt idx="12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F-4440-B023-782DE9444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だいち!$K$2:$K$625</c:f>
              <c:numCache>
                <c:formatCode>General</c:formatCode>
                <c:ptCount val="6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</c:numCache>
            </c:numRef>
          </c:xVal>
          <c:yVal>
            <c:numRef>
              <c:f>だいち!$L$2:$L$625</c:f>
              <c:numCache>
                <c:formatCode>\+0.0;\-0.0;\±0</c:formatCode>
                <c:ptCount val="62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2-4E18-B771-2292848DF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1314.5867098865479</c:v>
                </c:pt>
                <c:pt idx="1">
                  <c:v>1126</c:v>
                </c:pt>
                <c:pt idx="2">
                  <c:v>1283.3040421792618</c:v>
                </c:pt>
                <c:pt idx="3">
                  <c:v>1700.3853564547205</c:v>
                </c:pt>
                <c:pt idx="4">
                  <c:v>1449.4600431965443</c:v>
                </c:pt>
                <c:pt idx="5">
                  <c:v>1605.1813471502592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C-4566-8FDC-4A6F5F189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102</c:v>
                </c:pt>
                <c:pt idx="1">
                  <c:v>209</c:v>
                </c:pt>
                <c:pt idx="2">
                  <c:v>301</c:v>
                </c:pt>
                <c:pt idx="3">
                  <c:v>311</c:v>
                </c:pt>
                <c:pt idx="4">
                  <c:v>229</c:v>
                </c:pt>
                <c:pt idx="5">
                  <c:v>167</c:v>
                </c:pt>
                <c:pt idx="6">
                  <c:v>108</c:v>
                </c:pt>
                <c:pt idx="7">
                  <c:v>49</c:v>
                </c:pt>
                <c:pt idx="8">
                  <c:v>31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A-4F95-8412-58BDD4CD3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2-4D4A-8E82-C53B69709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6-4206-AB3F-F664A30D8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B-4266-8B41-210C3755C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2-4001-96B3-9F89396DF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-6028.5714285714284</c:v>
                </c:pt>
                <c:pt idx="1">
                  <c:v>-416.66666666666669</c:v>
                </c:pt>
                <c:pt idx="2">
                  <c:v>-2433.3333333333335</c:v>
                </c:pt>
                <c:pt idx="3">
                  <c:v>4860</c:v>
                </c:pt>
                <c:pt idx="4">
                  <c:v>11375</c:v>
                </c:pt>
                <c:pt idx="5">
                  <c:v>-325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FD-4F95-8AE3-A4B9324FB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2-448D-84A4-EFE49FDC4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りくと!$K$2:$K$394</c:f>
              <c:numCache>
                <c:formatCode>General</c:formatCode>
                <c:ptCount val="3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</c:numCache>
            </c:numRef>
          </c:xVal>
          <c:yVal>
            <c:numRef>
              <c:f>りくと!$L$2:$L$394</c:f>
              <c:numCache>
                <c:formatCode>\+0.0;\-0.0;\±0</c:formatCode>
                <c:ptCount val="39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1D-46BB-855C-5DFC52C17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-171.20822622107968</c:v>
                </c:pt>
                <c:pt idx="1">
                  <c:v>-1353.9473684210527</c:v>
                </c:pt>
                <c:pt idx="2">
                  <c:v>366.57458563535914</c:v>
                </c:pt>
                <c:pt idx="3">
                  <c:v>-577.10843373493981</c:v>
                </c:pt>
                <c:pt idx="4">
                  <c:v>-1252.8813559322034</c:v>
                </c:pt>
                <c:pt idx="5">
                  <c:v>-921.91235059760959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69-49EA-8B04-BFA5BAD83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44</c:v>
                </c:pt>
                <c:pt idx="1">
                  <c:v>108</c:v>
                </c:pt>
                <c:pt idx="2">
                  <c:v>159</c:v>
                </c:pt>
                <c:pt idx="3">
                  <c:v>145</c:v>
                </c:pt>
                <c:pt idx="4">
                  <c:v>134</c:v>
                </c:pt>
                <c:pt idx="5">
                  <c:v>95</c:v>
                </c:pt>
                <c:pt idx="6">
                  <c:v>58</c:v>
                </c:pt>
                <c:pt idx="7">
                  <c:v>27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9-45A8-BC7B-BBE9DB8F5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36-4FFA-A67D-156BC93FB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C-4FE0-9326-8C941A9D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7-46CB-8278-58C422DCB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0-451D-975A-7585FD72A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B-4939-862C-8F0079626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EF-4D2C-8DEB-D0FD57F93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たかの!$L$2:$L$257</c:f>
              <c:numCache>
                <c:formatCode>\+0.0;\-0.0;\±0</c:formatCode>
                <c:ptCount val="25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A-425D-83D8-5E29048E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</c:v>
                </c:pt>
                <c:pt idx="1">
                  <c:v>-1936.9477911646586</c:v>
                </c:pt>
                <c:pt idx="2">
                  <c:v>-1185.5895196506551</c:v>
                </c:pt>
                <c:pt idx="3">
                  <c:v>-117.05069124423963</c:v>
                </c:pt>
                <c:pt idx="4">
                  <c:v>-590.9547738693467</c:v>
                </c:pt>
                <c:pt idx="5">
                  <c:v>-1181.4371257485029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51-427F-B5C6-8E25AED41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62</c:v>
                </c:pt>
                <c:pt idx="1">
                  <c:v>127</c:v>
                </c:pt>
                <c:pt idx="2">
                  <c:v>113</c:v>
                </c:pt>
                <c:pt idx="3">
                  <c:v>111</c:v>
                </c:pt>
                <c:pt idx="4">
                  <c:v>85</c:v>
                </c:pt>
                <c:pt idx="5">
                  <c:v>40</c:v>
                </c:pt>
                <c:pt idx="6">
                  <c:v>22</c:v>
                </c:pt>
                <c:pt idx="7">
                  <c:v>16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F-4745-818A-9B09ECF1A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ただ!$K$2:$K$436</c:f>
              <c:numCache>
                <c:formatCode>General</c:formatCode>
                <c:ptCount val="4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</c:numCache>
            </c:numRef>
          </c:xVal>
          <c:yVal>
            <c:numRef>
              <c:f>ただ!$L$2:$L$436</c:f>
              <c:numCache>
                <c:formatCode>\+0.0;\-0.0;\±0</c:formatCode>
                <c:ptCount val="43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F-41DC-B2F5-B22C1BA10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-890.69767441860461</c:v>
                </c:pt>
                <c:pt idx="1">
                  <c:v>-7.6738609112709835</c:v>
                </c:pt>
                <c:pt idx="2">
                  <c:v>339.23076923076923</c:v>
                </c:pt>
                <c:pt idx="3">
                  <c:v>-1167.4033149171271</c:v>
                </c:pt>
                <c:pt idx="4">
                  <c:v>30.864197530864196</c:v>
                </c:pt>
                <c:pt idx="5">
                  <c:v>124.37275985663082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F-46C3-AC4B-56F2278D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160</c:v>
                </c:pt>
                <c:pt idx="2">
                  <c:v>211</c:v>
                </c:pt>
                <c:pt idx="3">
                  <c:v>198</c:v>
                </c:pt>
                <c:pt idx="4">
                  <c:v>140</c:v>
                </c:pt>
                <c:pt idx="5">
                  <c:v>98</c:v>
                </c:pt>
                <c:pt idx="6">
                  <c:v>46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2-414C-86B5-CA41B9D63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32-4658-92E3-5AD93312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91-4402-9992-F24066A44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B4D-81A7-69FB1293A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れんたろう!$K$2:$K$342</c:f>
              <c:numCache>
                <c:formatCode>General</c:formatCode>
                <c:ptCount val="3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</c:numCache>
            </c:numRef>
          </c:xVal>
          <c:yVal>
            <c:numRef>
              <c:f>れんたろう!$L$2:$L$342</c:f>
              <c:numCache>
                <c:formatCode>\+0.0;\-0.0;\±0</c:formatCode>
                <c:ptCount val="34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3-4714-AFCD-46957EA5C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276.78571428571428</c:v>
                </c:pt>
                <c:pt idx="1">
                  <c:v>33.738601823708208</c:v>
                </c:pt>
                <c:pt idx="2">
                  <c:v>249.18032786885246</c:v>
                </c:pt>
                <c:pt idx="3">
                  <c:v>812.94964028776974</c:v>
                </c:pt>
                <c:pt idx="4">
                  <c:v>-1510.3174603174602</c:v>
                </c:pt>
                <c:pt idx="5">
                  <c:v>172.51184834123222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F7-4CBA-9665-6EAD2B697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25</c:v>
                </c:pt>
                <c:pt idx="1">
                  <c:v>79</c:v>
                </c:pt>
                <c:pt idx="2">
                  <c:v>113</c:v>
                </c:pt>
                <c:pt idx="3">
                  <c:v>150</c:v>
                </c:pt>
                <c:pt idx="4">
                  <c:v>150</c:v>
                </c:pt>
                <c:pt idx="5">
                  <c:v>88</c:v>
                </c:pt>
                <c:pt idx="6">
                  <c:v>64</c:v>
                </c:pt>
                <c:pt idx="7">
                  <c:v>37</c:v>
                </c:pt>
                <c:pt idx="8">
                  <c:v>24</c:v>
                </c:pt>
                <c:pt idx="9">
                  <c:v>11</c:v>
                </c:pt>
                <c:pt idx="10">
                  <c:v>7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0-47B4-835A-E32929BCD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E-4601-BAA9-DF9F99A1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C-4E0C-8B91-9BA57FFF0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0-4D3E-9BB7-E44921979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まっつん!$K$2:$K$270</c:f>
              <c:numCache>
                <c:formatCode>General</c:formatCode>
                <c:ptCount val="2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</c:numCache>
            </c:numRef>
          </c:xVal>
          <c:yVal>
            <c:numRef>
              <c:f>まっつん!$L$2:$L$270</c:f>
              <c:numCache>
                <c:formatCode>\+0.0;\-0.0;\±0</c:formatCode>
                <c:ptCount val="26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19-4F4D-B0FB-76460BDAE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39.92537313432836</c:v>
                </c:pt>
                <c:pt idx="1">
                  <c:v>604.21455938697318</c:v>
                </c:pt>
                <c:pt idx="2">
                  <c:v>-525.40983606557381</c:v>
                </c:pt>
                <c:pt idx="3">
                  <c:v>-158.40707964601771</c:v>
                </c:pt>
                <c:pt idx="4">
                  <c:v>-1315.686274509804</c:v>
                </c:pt>
                <c:pt idx="5">
                  <c:v>-166.8639053254438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E6-4DBF-A870-9D6804B6B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42</c:v>
                </c:pt>
                <c:pt idx="1">
                  <c:v>91</c:v>
                </c:pt>
                <c:pt idx="2">
                  <c:v>110</c:v>
                </c:pt>
                <c:pt idx="3">
                  <c:v>101</c:v>
                </c:pt>
                <c:pt idx="4">
                  <c:v>100</c:v>
                </c:pt>
                <c:pt idx="5">
                  <c:v>63</c:v>
                </c:pt>
                <c:pt idx="6">
                  <c:v>34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CD-477E-AB43-36F9A6CA9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ぱぱ!$L$2:$L$100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D6-48A3-8A5F-F90EE4B77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-2813.4020618556701</c:v>
                </c:pt>
                <c:pt idx="1">
                  <c:v>375.25773195876286</c:v>
                </c:pt>
                <c:pt idx="2">
                  <c:v>-1567.741935483871</c:v>
                </c:pt>
                <c:pt idx="3">
                  <c:v>-3352.9411764705883</c:v>
                </c:pt>
                <c:pt idx="4">
                  <c:v>1114.4736842105262</c:v>
                </c:pt>
                <c:pt idx="5">
                  <c:v>-35.820895522388057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5B-47A7-8D26-1DEA7E084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40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F-4A59-9F8F-175D32A58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A-447C-BFDA-FCA8E0636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9-4A2B-A1A4-599F73DBB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41-475B-B64A-837D0D36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C-4834-9C10-600B08F46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C7-4CA8-86DC-7ABAAB52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48-4A2E-96A4-0EC94B934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のり!$L$2:$L$59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1-4116-BFA4-CE062C13C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-2721.0526315789475</c:v>
                </c:pt>
                <c:pt idx="1">
                  <c:v>-145.61403508771929</c:v>
                </c:pt>
                <c:pt idx="2">
                  <c:v>-1201.8181818181818</c:v>
                </c:pt>
                <c:pt idx="3">
                  <c:v>-2134</c:v>
                </c:pt>
                <c:pt idx="4">
                  <c:v>-1617.0212765957447</c:v>
                </c:pt>
                <c:pt idx="5">
                  <c:v>-2747.5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7-4812-9401-646DEF7AB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25</c:v>
                </c:pt>
                <c:pt idx="3">
                  <c:v>16</c:v>
                </c:pt>
                <c:pt idx="4">
                  <c:v>16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2B-4092-9D7C-0F8F05A4D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6C-4A3D-A106-AD1D1453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0-4DA5-8BF5-3C5525A3D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A-403F-A434-ED4CD66D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DFE86C-8317-4CC5-AD74-5113071381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D28D1C-D3EE-4B07-8D36-614237F20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F85FB0-3F63-490B-AF0D-EC6292C59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C80425-F3A8-4FDF-A1F9-ED6DDA907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E32958-0BD5-485B-9523-CBF9998885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C3833C0-9987-462F-9FD2-CC0B5E64F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2D6BE4-7B9A-42F7-9701-7D7C946FA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B7C529-4F4D-4177-8524-568F9EBAE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E0721D-A6B1-4309-9ED2-E214FE58A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648A30-71E6-42EE-9997-B3160BA90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30B9ED-DC9F-4B56-A0C3-9104F1D09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F281F4-1244-4335-9BED-44E70777A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02FB3C-A848-4524-A5A1-0EE370BF1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62394D-C644-4CC4-A78E-7856133F0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B1D0AD-C483-4138-A325-A0E86AB77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1876F8-8950-4370-BBDB-4646CAAEB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1F7DCC-5A05-44FC-BAB0-48CC665DE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56EA12-43FC-45DD-BDDD-FF0BE25EE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323442-7C73-463B-82C1-F6C97974B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6ED642-8EB0-4FB7-9F40-8B3241779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39D363-F811-45D4-9FCB-C627027B2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04B39C1-BBA5-4B59-9C77-8CBF3BF20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86A2F0-C982-487E-B569-07924415F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3F9ECD-3F42-4D87-9069-D9E5BCC64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A2A1C1-FC81-4141-9BD8-E81E8BC16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C00067-0063-4C6A-A360-44C9DF22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7BA2F67-B118-4AEE-B4C7-ECF6D096B2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805227-6854-4AC6-86E8-6348183DD9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2ABF7BF-8522-42BB-8B77-F872783B8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50C8E01-B24F-4007-A240-285BD7898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2A620E-8221-4134-A15D-14120574F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146849-4455-42CE-AAF7-B831EF3F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EA4366-1C92-4053-8C90-4D34ACFEF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ED8360-7BA8-45B2-9EF2-D6A2C223B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B66D5C-E451-4C86-A4E7-E964234DC3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E0EE7-7B12-4E0E-99BA-4A988A887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E842E0-1CB7-45D5-8719-1832AC76B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297C09-198C-4E90-A1B2-5C1073F7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D4C9DC-2F59-446C-84E3-D87B3B219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E38529-77F6-4115-A32B-3E438C1A5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9465E0-BBAB-4504-8B99-CFDA7C0C4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50EC7E-3E34-4828-AE8E-D7FBD6C54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36E562-55B6-4532-91E1-44DD46FC3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5C1BA8-6211-45FC-A94C-C1BBFE99F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92F89D-81A7-432E-BFB6-E7015AB02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0C7BD7-CA4C-484A-8264-CDB794D3B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1A6168-E5CC-4B10-98AE-84337E061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1A7F964-0165-43C8-924F-9D829CC88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202956-1F6A-4CF8-A146-BDFAC812E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E27BF5-540D-4262-9BA1-2FB88FB38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FEC713-1CE4-4EDE-AED7-364588B920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F4744F-19AF-45A5-9EBE-0AFB588826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9E58A1-F5E3-4E82-8342-6964F04F7B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47F29B-FB57-4F4A-995C-531B44DFF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35"/>
      <c r="C1" s="13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7">
        <v>0</v>
      </c>
      <c r="C3" s="138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5">
      <c r="A4" s="20" t="s">
        <v>6</v>
      </c>
      <c r="B4" s="139">
        <v>0</v>
      </c>
      <c r="C4" s="140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5">
      <c r="A5" s="20" t="s">
        <v>7</v>
      </c>
      <c r="B5" s="141">
        <f>IF(B$2=0,0,B$4/B$2)</f>
        <v>0</v>
      </c>
      <c r="C5" s="142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5">
      <c r="A6" s="20" t="s">
        <v>1</v>
      </c>
      <c r="B6" s="133">
        <f>IF(B$2=0,0,(B$7*1+B$8*2+B$9*3)/B$2)</f>
        <v>0</v>
      </c>
      <c r="C6" s="134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5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5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5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5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5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5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5">
      <c r="A28" s="64" t="s">
        <v>134</v>
      </c>
      <c r="B28" s="131">
        <v>0</v>
      </c>
      <c r="C28" s="132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5">
      <c r="A29" s="40" t="s">
        <v>177</v>
      </c>
      <c r="B29" s="129">
        <v>-1000000</v>
      </c>
      <c r="C29" s="130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5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5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5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5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5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5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5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5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5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5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5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5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5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5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5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5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5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5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5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5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0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60" customWidth="1"/>
    <col min="8" max="8" width="10.69921875" style="59" customWidth="1"/>
    <col min="9" max="9" width="10.69921875" style="61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2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3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1" customWidth="1"/>
    <col min="22" max="22" width="10.69921875" style="59" customWidth="1"/>
    <col min="23" max="23" width="10.69921875" style="62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6" customWidth="1"/>
    <col min="34" max="16384" width="9" style="47"/>
  </cols>
  <sheetData>
    <row r="1" spans="1:33" x14ac:dyDescent="0.45">
      <c r="A1" s="46"/>
      <c r="B1" s="143" t="s">
        <v>6</v>
      </c>
      <c r="C1" s="144"/>
      <c r="D1" s="143" t="s">
        <v>7</v>
      </c>
      <c r="E1" s="144"/>
      <c r="F1" s="143" t="s">
        <v>15</v>
      </c>
      <c r="G1" s="144"/>
      <c r="H1" s="143" t="s">
        <v>14</v>
      </c>
      <c r="I1" s="144"/>
      <c r="J1" s="143" t="s">
        <v>147</v>
      </c>
      <c r="K1" s="144"/>
      <c r="L1" s="143" t="s">
        <v>137</v>
      </c>
      <c r="M1" s="144"/>
      <c r="N1" s="143" t="s">
        <v>138</v>
      </c>
      <c r="O1" s="144"/>
      <c r="P1" s="143" t="s">
        <v>5</v>
      </c>
      <c r="Q1" s="144"/>
      <c r="R1" s="143" t="s">
        <v>16</v>
      </c>
      <c r="S1" s="144"/>
      <c r="T1" s="143" t="s">
        <v>17</v>
      </c>
      <c r="U1" s="144"/>
      <c r="V1" s="143" t="s">
        <v>122</v>
      </c>
      <c r="W1" s="144"/>
      <c r="X1" s="143" t="s">
        <v>119</v>
      </c>
      <c r="Y1" s="144"/>
      <c r="Z1" s="143" t="s">
        <v>125</v>
      </c>
      <c r="AA1" s="144"/>
      <c r="AB1" s="143" t="s">
        <v>139</v>
      </c>
      <c r="AC1" s="144"/>
      <c r="AD1" s="143" t="s">
        <v>136</v>
      </c>
      <c r="AE1" s="144"/>
      <c r="AF1" s="143" t="s">
        <v>177</v>
      </c>
      <c r="AG1" s="144"/>
    </row>
    <row r="2" spans="1:33" x14ac:dyDescent="0.45">
      <c r="A2" s="46" t="s">
        <v>146</v>
      </c>
      <c r="B2" s="145"/>
      <c r="C2" s="146"/>
      <c r="D2" s="145"/>
      <c r="E2" s="146"/>
      <c r="F2" s="147">
        <v>0.94955848099532314</v>
      </c>
      <c r="G2" s="148"/>
      <c r="H2" s="147">
        <v>0.94853922071775165</v>
      </c>
      <c r="I2" s="148"/>
      <c r="J2" s="147">
        <v>0.89929759838471823</v>
      </c>
      <c r="K2" s="148"/>
      <c r="L2" s="147">
        <v>0.76242254687579492</v>
      </c>
      <c r="M2" s="148"/>
      <c r="N2" s="147">
        <v>0.76882808801304636</v>
      </c>
      <c r="O2" s="148"/>
      <c r="P2" s="147">
        <v>0.57419489320459782</v>
      </c>
      <c r="Q2" s="148"/>
      <c r="R2" s="147">
        <v>-0.50066141027909572</v>
      </c>
      <c r="S2" s="148"/>
      <c r="T2" s="147">
        <v>0.37848517428985373</v>
      </c>
      <c r="U2" s="148"/>
      <c r="V2" s="147">
        <v>0.73991597008598353</v>
      </c>
      <c r="W2" s="148"/>
      <c r="X2" s="147">
        <v>4.5625699449146621E-2</v>
      </c>
      <c r="Y2" s="148"/>
      <c r="Z2" s="147">
        <v>0.28653616950832811</v>
      </c>
      <c r="AA2" s="148"/>
      <c r="AB2" s="147">
        <v>0.43342711765649139</v>
      </c>
      <c r="AC2" s="148"/>
      <c r="AD2" s="147">
        <v>-0.20709824200318497</v>
      </c>
      <c r="AE2" s="148"/>
      <c r="AF2" s="147">
        <v>0.83514034265634296</v>
      </c>
      <c r="AG2" s="148"/>
    </row>
    <row r="3" spans="1:33" x14ac:dyDescent="0.45">
      <c r="A3" s="48">
        <v>1</v>
      </c>
      <c r="B3" s="49" t="s">
        <v>195</v>
      </c>
      <c r="C3" s="50">
        <v>5778.2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-7477.8461538461543</v>
      </c>
      <c r="T3" s="51" t="s">
        <v>189</v>
      </c>
      <c r="U3" s="53">
        <v>0</v>
      </c>
      <c r="V3" s="51" t="s">
        <v>189</v>
      </c>
      <c r="W3" s="54">
        <v>0.39583333333333331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0.83333333333333337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5">
      <c r="A4" s="56">
        <v>2</v>
      </c>
      <c r="B4" s="57" t="s">
        <v>196</v>
      </c>
      <c r="C4" s="58">
        <v>109</v>
      </c>
      <c r="D4" s="59" t="s">
        <v>196</v>
      </c>
      <c r="E4" s="71">
        <v>12.111111111111111</v>
      </c>
      <c r="F4" s="59" t="s">
        <v>195</v>
      </c>
      <c r="G4" s="60">
        <v>1.767255216693419</v>
      </c>
      <c r="H4" s="59" t="s">
        <v>195</v>
      </c>
      <c r="I4" s="61">
        <v>0.4622792937399679</v>
      </c>
      <c r="J4" s="59" t="s">
        <v>189</v>
      </c>
      <c r="K4" s="61">
        <v>0.14285714285714285</v>
      </c>
      <c r="L4" s="59" t="s">
        <v>195</v>
      </c>
      <c r="M4" s="62">
        <v>0.34615384615384615</v>
      </c>
      <c r="N4" s="59" t="s">
        <v>196</v>
      </c>
      <c r="O4" s="62">
        <v>8.6956521739130432E-2</v>
      </c>
      <c r="P4" s="59" t="s">
        <v>192</v>
      </c>
      <c r="Q4" s="63">
        <v>11250.561797752809</v>
      </c>
      <c r="R4" s="59" t="s">
        <v>197</v>
      </c>
      <c r="S4" s="63">
        <v>-7793.478260869565</v>
      </c>
      <c r="T4" s="59" t="s">
        <v>200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196</v>
      </c>
      <c r="AA4" s="62">
        <v>0.61538461538461542</v>
      </c>
      <c r="AB4" s="59" t="s">
        <v>196</v>
      </c>
      <c r="AC4" s="62">
        <v>0.5</v>
      </c>
      <c r="AD4" s="59" t="s">
        <v>186</v>
      </c>
      <c r="AE4" s="62">
        <v>0.51541850220264318</v>
      </c>
      <c r="AF4" s="59" t="s">
        <v>183</v>
      </c>
      <c r="AG4" s="66">
        <v>149100</v>
      </c>
    </row>
    <row r="5" spans="1:33" x14ac:dyDescent="0.45">
      <c r="A5" s="56">
        <v>3</v>
      </c>
      <c r="B5" s="57" t="s">
        <v>192</v>
      </c>
      <c r="C5" s="58">
        <v>91.000000000000014</v>
      </c>
      <c r="D5" s="59" t="s">
        <v>195</v>
      </c>
      <c r="E5" s="71">
        <v>9.2747993579454242</v>
      </c>
      <c r="F5" s="59" t="s">
        <v>189</v>
      </c>
      <c r="G5" s="60">
        <v>1.8571428571428572</v>
      </c>
      <c r="H5" s="59" t="s">
        <v>192</v>
      </c>
      <c r="I5" s="61">
        <v>0.35897435897435898</v>
      </c>
      <c r="J5" s="59" t="s">
        <v>196</v>
      </c>
      <c r="K5" s="61">
        <v>0.22222222222222221</v>
      </c>
      <c r="L5" s="59" t="s">
        <v>194</v>
      </c>
      <c r="M5" s="62">
        <v>0.32835820895522388</v>
      </c>
      <c r="N5" s="59" t="s">
        <v>189</v>
      </c>
      <c r="O5" s="62">
        <v>0.11320754716981132</v>
      </c>
      <c r="P5" s="59" t="s">
        <v>191</v>
      </c>
      <c r="Q5" s="63">
        <v>10468.427835051547</v>
      </c>
      <c r="R5" s="59" t="s">
        <v>186</v>
      </c>
      <c r="S5" s="63">
        <v>-7967.6646706586826</v>
      </c>
      <c r="T5" s="59" t="s">
        <v>195</v>
      </c>
      <c r="U5" s="61">
        <v>8.0256821829855537E-2</v>
      </c>
      <c r="V5" s="59" t="s">
        <v>191</v>
      </c>
      <c r="W5" s="62">
        <v>0.30059523809523808</v>
      </c>
      <c r="X5" s="59" t="s">
        <v>194</v>
      </c>
      <c r="Y5" s="62">
        <v>0.27777777777777779</v>
      </c>
      <c r="Z5" s="59" t="s">
        <v>194</v>
      </c>
      <c r="AA5" s="62">
        <v>0.61386138613861385</v>
      </c>
      <c r="AB5" s="59" t="s">
        <v>195</v>
      </c>
      <c r="AC5" s="62">
        <v>0.49180327868852458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5">
      <c r="A6" s="56">
        <v>4</v>
      </c>
      <c r="B6" s="57" t="s">
        <v>191</v>
      </c>
      <c r="C6" s="58">
        <v>61.700000000000273</v>
      </c>
      <c r="D6" s="59" t="s">
        <v>192</v>
      </c>
      <c r="E6" s="71">
        <v>2.3333333333333335</v>
      </c>
      <c r="F6" s="59" t="s">
        <v>199</v>
      </c>
      <c r="G6" s="60">
        <v>1.9285714285714286</v>
      </c>
      <c r="H6" s="59" t="s">
        <v>199</v>
      </c>
      <c r="I6" s="61">
        <v>0.35714285714285715</v>
      </c>
      <c r="J6" s="59" t="s">
        <v>195</v>
      </c>
      <c r="K6" s="61">
        <v>0.22953451043338685</v>
      </c>
      <c r="L6" s="59" t="s">
        <v>189</v>
      </c>
      <c r="M6" s="62">
        <v>0.32075471698113206</v>
      </c>
      <c r="N6" s="59" t="s">
        <v>195</v>
      </c>
      <c r="O6" s="62">
        <v>0.14190283400809717</v>
      </c>
      <c r="P6" s="59" t="s">
        <v>194</v>
      </c>
      <c r="Q6" s="63">
        <v>9344.0909090909099</v>
      </c>
      <c r="R6" s="59" t="s">
        <v>184</v>
      </c>
      <c r="S6" s="63">
        <v>-8240</v>
      </c>
      <c r="T6" s="59" t="s">
        <v>188</v>
      </c>
      <c r="U6" s="61">
        <v>0.10588235294117647</v>
      </c>
      <c r="V6" s="59" t="s">
        <v>195</v>
      </c>
      <c r="W6" s="62">
        <v>0.29393398751115074</v>
      </c>
      <c r="X6" s="59" t="s">
        <v>188</v>
      </c>
      <c r="Y6" s="62">
        <v>0.27272727272727271</v>
      </c>
      <c r="Z6" s="59" t="s">
        <v>195</v>
      </c>
      <c r="AA6" s="62">
        <v>0.61305007587253413</v>
      </c>
      <c r="AB6" s="59" t="s">
        <v>194</v>
      </c>
      <c r="AC6" s="62">
        <v>0.43333333333333335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5">
      <c r="A7" s="56">
        <v>5</v>
      </c>
      <c r="B7" s="57" t="s">
        <v>200</v>
      </c>
      <c r="C7" s="58">
        <v>13.3</v>
      </c>
      <c r="D7" s="59" t="s">
        <v>189</v>
      </c>
      <c r="E7" s="71">
        <v>0.69999999999999984</v>
      </c>
      <c r="F7" s="59" t="s">
        <v>194</v>
      </c>
      <c r="G7" s="60">
        <v>1.9890109890109891</v>
      </c>
      <c r="H7" s="59" t="s">
        <v>194</v>
      </c>
      <c r="I7" s="61">
        <v>0.34065934065934067</v>
      </c>
      <c r="J7" s="59" t="s">
        <v>199</v>
      </c>
      <c r="K7" s="61">
        <v>0.2857142857142857</v>
      </c>
      <c r="L7" s="59" t="s">
        <v>199</v>
      </c>
      <c r="M7" s="62">
        <v>0.31620553359683795</v>
      </c>
      <c r="N7" s="59" t="s">
        <v>187</v>
      </c>
      <c r="O7" s="62">
        <v>0.14942528735632185</v>
      </c>
      <c r="P7" s="59" t="s">
        <v>195</v>
      </c>
      <c r="Q7" s="63">
        <v>9260.8187134502932</v>
      </c>
      <c r="R7" s="59" t="s">
        <v>190</v>
      </c>
      <c r="S7" s="63">
        <v>-8301.176470588236</v>
      </c>
      <c r="T7" s="59" t="s">
        <v>196</v>
      </c>
      <c r="U7" s="61">
        <v>0.1111111111111111</v>
      </c>
      <c r="V7" s="59" t="s">
        <v>190</v>
      </c>
      <c r="W7" s="62">
        <v>0.29055441478439425</v>
      </c>
      <c r="X7" s="59" t="s">
        <v>192</v>
      </c>
      <c r="Y7" s="62">
        <v>0.23931623931623933</v>
      </c>
      <c r="Z7" s="59" t="s">
        <v>199</v>
      </c>
      <c r="AA7" s="62">
        <v>0.58730158730158732</v>
      </c>
      <c r="AB7" s="59" t="s">
        <v>183</v>
      </c>
      <c r="AC7" s="62">
        <v>0.40489684878712312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5">
      <c r="A8" s="56">
        <v>6</v>
      </c>
      <c r="B8" s="57" t="s">
        <v>189</v>
      </c>
      <c r="C8" s="58">
        <v>4.8999999999999986</v>
      </c>
      <c r="D8" s="59" t="s">
        <v>191</v>
      </c>
      <c r="E8" s="71">
        <v>0.18147058823529491</v>
      </c>
      <c r="F8" s="59" t="s">
        <v>183</v>
      </c>
      <c r="G8" s="60">
        <v>2</v>
      </c>
      <c r="H8" s="59" t="s">
        <v>193</v>
      </c>
      <c r="I8" s="61">
        <v>0.33640552995391704</v>
      </c>
      <c r="J8" s="59" t="s">
        <v>194</v>
      </c>
      <c r="K8" s="61">
        <v>0.32967032967032966</v>
      </c>
      <c r="L8" s="59" t="s">
        <v>198</v>
      </c>
      <c r="M8" s="62">
        <v>0.3125</v>
      </c>
      <c r="N8" s="59" t="s">
        <v>198</v>
      </c>
      <c r="O8" s="62">
        <v>0.15625</v>
      </c>
      <c r="P8" s="59" t="s">
        <v>190</v>
      </c>
      <c r="Q8" s="63">
        <v>9250.6343713956176</v>
      </c>
      <c r="R8" s="59" t="s">
        <v>196</v>
      </c>
      <c r="S8" s="63">
        <v>-8400</v>
      </c>
      <c r="T8" s="59" t="s">
        <v>187</v>
      </c>
      <c r="U8" s="61">
        <v>0.12313432835820895</v>
      </c>
      <c r="V8" s="59" t="s">
        <v>192</v>
      </c>
      <c r="W8" s="62">
        <v>0.27777777777777779</v>
      </c>
      <c r="X8" s="59" t="s">
        <v>193</v>
      </c>
      <c r="Y8" s="62">
        <v>0.23860981308411214</v>
      </c>
      <c r="Z8" s="59" t="s">
        <v>187</v>
      </c>
      <c r="AA8" s="62">
        <v>0.58379373848987104</v>
      </c>
      <c r="AB8" s="59" t="s">
        <v>188</v>
      </c>
      <c r="AC8" s="62">
        <v>0.40301318267419961</v>
      </c>
      <c r="AD8" s="59" t="s">
        <v>191</v>
      </c>
      <c r="AE8" s="62">
        <v>0.45103092783505155</v>
      </c>
      <c r="AF8" s="59" t="s">
        <v>193</v>
      </c>
      <c r="AG8" s="66">
        <v>109300</v>
      </c>
    </row>
    <row r="9" spans="1:33" x14ac:dyDescent="0.45">
      <c r="A9" s="56">
        <v>7</v>
      </c>
      <c r="B9" s="57" t="s">
        <v>183</v>
      </c>
      <c r="C9" s="58">
        <v>5.8619775700208265E-14</v>
      </c>
      <c r="D9" s="59" t="s">
        <v>183</v>
      </c>
      <c r="E9" s="71">
        <v>2.2079011563166956E-17</v>
      </c>
      <c r="F9" s="59" t="s">
        <v>200</v>
      </c>
      <c r="G9" s="60">
        <v>2</v>
      </c>
      <c r="H9" s="59" t="s">
        <v>183</v>
      </c>
      <c r="I9" s="61">
        <v>0.33333333333333331</v>
      </c>
      <c r="J9" s="59" t="s">
        <v>183</v>
      </c>
      <c r="K9" s="61">
        <v>0.33333333333333331</v>
      </c>
      <c r="L9" s="59" t="s">
        <v>188</v>
      </c>
      <c r="M9" s="62">
        <v>0.29807240244475786</v>
      </c>
      <c r="N9" s="59" t="s">
        <v>188</v>
      </c>
      <c r="O9" s="62">
        <v>0.16408086506817113</v>
      </c>
      <c r="P9" s="59" t="s">
        <v>183</v>
      </c>
      <c r="Q9" s="63">
        <v>9034.6346033728914</v>
      </c>
      <c r="R9" s="59" t="s">
        <v>193</v>
      </c>
      <c r="S9" s="63">
        <v>-8413.1280388978939</v>
      </c>
      <c r="T9" s="59" t="s">
        <v>183</v>
      </c>
      <c r="U9" s="61">
        <v>0.12354048964218456</v>
      </c>
      <c r="V9" s="59" t="s">
        <v>183</v>
      </c>
      <c r="W9" s="62">
        <v>0.26704517157228946</v>
      </c>
      <c r="X9" s="59" t="s">
        <v>197</v>
      </c>
      <c r="Y9" s="62">
        <v>0.23191489361702128</v>
      </c>
      <c r="Z9" s="59" t="s">
        <v>197</v>
      </c>
      <c r="AA9" s="62">
        <v>0.57608695652173914</v>
      </c>
      <c r="AB9" s="59" t="s">
        <v>191</v>
      </c>
      <c r="AC9" s="62">
        <v>0.3983739837398374</v>
      </c>
      <c r="AD9" s="59" t="s">
        <v>190</v>
      </c>
      <c r="AE9" s="62">
        <v>0.45098039215686275</v>
      </c>
      <c r="AF9" s="59" t="s">
        <v>192</v>
      </c>
      <c r="AG9" s="66">
        <v>109300</v>
      </c>
    </row>
    <row r="10" spans="1:33" x14ac:dyDescent="0.45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193</v>
      </c>
      <c r="G10" s="60">
        <v>2.0069124423963132</v>
      </c>
      <c r="H10" s="59" t="s">
        <v>191</v>
      </c>
      <c r="I10" s="61">
        <v>0.31176470588235294</v>
      </c>
      <c r="J10" s="59" t="s">
        <v>187</v>
      </c>
      <c r="K10" s="61">
        <v>0.33582089552238809</v>
      </c>
      <c r="L10" s="59" t="s">
        <v>183</v>
      </c>
      <c r="M10" s="62">
        <v>0.2979297511049081</v>
      </c>
      <c r="N10" s="59" t="s">
        <v>183</v>
      </c>
      <c r="O10" s="62">
        <v>0.16710862991393347</v>
      </c>
      <c r="P10" s="59" t="s">
        <v>196</v>
      </c>
      <c r="Q10" s="63">
        <v>8891.6666666666661</v>
      </c>
      <c r="R10" s="59" t="s">
        <v>183</v>
      </c>
      <c r="S10" s="63">
        <v>-8419.042316258352</v>
      </c>
      <c r="T10" s="59" t="s">
        <v>193</v>
      </c>
      <c r="U10" s="61">
        <v>0.1313364055299539</v>
      </c>
      <c r="V10" s="59" t="s">
        <v>185</v>
      </c>
      <c r="W10" s="62">
        <v>0.25806451612903225</v>
      </c>
      <c r="X10" s="59" t="s">
        <v>187</v>
      </c>
      <c r="Y10" s="62">
        <v>0.22436781609195403</v>
      </c>
      <c r="Z10" s="59" t="s">
        <v>190</v>
      </c>
      <c r="AA10" s="62">
        <v>0.57597173144876324</v>
      </c>
      <c r="AB10" s="59" t="s">
        <v>197</v>
      </c>
      <c r="AC10" s="62">
        <v>0.39449541284403672</v>
      </c>
      <c r="AD10" s="59" t="s">
        <v>197</v>
      </c>
      <c r="AE10" s="62">
        <v>0.44067796610169491</v>
      </c>
      <c r="AF10" s="59" t="s">
        <v>190</v>
      </c>
      <c r="AG10" s="66">
        <v>107600</v>
      </c>
    </row>
    <row r="11" spans="1:33" x14ac:dyDescent="0.45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192</v>
      </c>
      <c r="G11" s="60">
        <v>2.0256410256410255</v>
      </c>
      <c r="H11" s="59" t="s">
        <v>189</v>
      </c>
      <c r="I11" s="61">
        <v>0.2857142857142857</v>
      </c>
      <c r="J11" s="59" t="s">
        <v>193</v>
      </c>
      <c r="K11" s="61">
        <v>0.34331797235023043</v>
      </c>
      <c r="L11" s="59" t="s">
        <v>193</v>
      </c>
      <c r="M11" s="62">
        <v>0.2904225352112676</v>
      </c>
      <c r="N11" s="59" t="s">
        <v>192</v>
      </c>
      <c r="O11" s="62">
        <v>0.16772151898734178</v>
      </c>
      <c r="P11" s="59" t="s">
        <v>193</v>
      </c>
      <c r="Q11" s="63">
        <v>8829.9709020368573</v>
      </c>
      <c r="R11" s="59" t="s">
        <v>195</v>
      </c>
      <c r="S11" s="63">
        <v>-8506.1340941512117</v>
      </c>
      <c r="T11" s="59" t="s">
        <v>191</v>
      </c>
      <c r="U11" s="61">
        <v>0.13235294117647059</v>
      </c>
      <c r="V11" s="59" t="s">
        <v>193</v>
      </c>
      <c r="W11" s="62">
        <v>0.25233644859813081</v>
      </c>
      <c r="X11" s="59" t="s">
        <v>183</v>
      </c>
      <c r="Y11" s="62">
        <v>0.21968225509238509</v>
      </c>
      <c r="Z11" s="59" t="s">
        <v>183</v>
      </c>
      <c r="AA11" s="62">
        <v>0.57348004475941816</v>
      </c>
      <c r="AB11" s="59" t="s">
        <v>199</v>
      </c>
      <c r="AC11" s="62">
        <v>0.39285714285714285</v>
      </c>
      <c r="AD11" s="59" t="s">
        <v>187</v>
      </c>
      <c r="AE11" s="62">
        <v>0.43707482993197277</v>
      </c>
      <c r="AF11" s="59" t="s">
        <v>199</v>
      </c>
      <c r="AG11" s="66">
        <v>106300</v>
      </c>
    </row>
    <row r="12" spans="1:33" x14ac:dyDescent="0.45">
      <c r="A12" s="56">
        <v>10</v>
      </c>
      <c r="B12" s="57" t="s">
        <v>198</v>
      </c>
      <c r="C12" s="58">
        <v>-56.2</v>
      </c>
      <c r="D12" s="59" t="s">
        <v>187</v>
      </c>
      <c r="E12" s="71">
        <v>-1.0865671641791044</v>
      </c>
      <c r="F12" s="59" t="s">
        <v>191</v>
      </c>
      <c r="G12" s="60">
        <v>2.0441176470588234</v>
      </c>
      <c r="H12" s="59" t="s">
        <v>187</v>
      </c>
      <c r="I12" s="61">
        <v>0.28358208955223879</v>
      </c>
      <c r="J12" s="59" t="s">
        <v>191</v>
      </c>
      <c r="K12" s="61">
        <v>0.35588235294117648</v>
      </c>
      <c r="L12" s="59" t="s">
        <v>191</v>
      </c>
      <c r="M12" s="62">
        <v>0.28477064220183484</v>
      </c>
      <c r="N12" s="59" t="s">
        <v>199</v>
      </c>
      <c r="O12" s="62">
        <v>0.16996047430830039</v>
      </c>
      <c r="P12" s="59" t="s">
        <v>187</v>
      </c>
      <c r="Q12" s="63">
        <v>8710.8843537414959</v>
      </c>
      <c r="R12" s="59" t="s">
        <v>188</v>
      </c>
      <c r="S12" s="63">
        <v>-8564.4699140401153</v>
      </c>
      <c r="T12" s="59" t="s">
        <v>190</v>
      </c>
      <c r="U12" s="61">
        <v>0.14285714285714285</v>
      </c>
      <c r="V12" s="59" t="s">
        <v>187</v>
      </c>
      <c r="W12" s="62">
        <v>0.24965517241379309</v>
      </c>
      <c r="X12" s="59" t="s">
        <v>195</v>
      </c>
      <c r="Y12" s="62">
        <v>0.21766280107047278</v>
      </c>
      <c r="Z12" s="59" t="s">
        <v>186</v>
      </c>
      <c r="AA12" s="62">
        <v>0.57291666666666663</v>
      </c>
      <c r="AB12" s="59" t="s">
        <v>193</v>
      </c>
      <c r="AC12" s="62">
        <v>0.37209302325581395</v>
      </c>
      <c r="AD12" s="59" t="s">
        <v>194</v>
      </c>
      <c r="AE12" s="62">
        <v>0.43636363636363634</v>
      </c>
      <c r="AF12" s="59" t="s">
        <v>188</v>
      </c>
      <c r="AG12" s="66">
        <v>103200</v>
      </c>
    </row>
    <row r="13" spans="1:33" x14ac:dyDescent="0.45">
      <c r="A13" s="56">
        <v>11</v>
      </c>
      <c r="B13" s="57" t="s">
        <v>185</v>
      </c>
      <c r="C13" s="58">
        <v>-86.4</v>
      </c>
      <c r="D13" s="59" t="s">
        <v>193</v>
      </c>
      <c r="E13" s="71">
        <v>-2.1006912442396324</v>
      </c>
      <c r="F13" s="59" t="s">
        <v>187</v>
      </c>
      <c r="G13" s="60">
        <v>2.0522388059701493</v>
      </c>
      <c r="H13" s="59" t="s">
        <v>186</v>
      </c>
      <c r="I13" s="61">
        <v>0.27551020408163263</v>
      </c>
      <c r="J13" s="59" t="s">
        <v>190</v>
      </c>
      <c r="K13" s="61">
        <v>0.37244897959183676</v>
      </c>
      <c r="L13" s="59" t="s">
        <v>192</v>
      </c>
      <c r="M13" s="62">
        <v>0.28164556962025317</v>
      </c>
      <c r="N13" s="59" t="s">
        <v>194</v>
      </c>
      <c r="O13" s="62">
        <v>0.17164179104477612</v>
      </c>
      <c r="P13" s="59" t="s">
        <v>189</v>
      </c>
      <c r="Q13" s="63">
        <v>8511.7647058823532</v>
      </c>
      <c r="R13" s="59" t="s">
        <v>199</v>
      </c>
      <c r="S13" s="63">
        <v>-8765.1162790697672</v>
      </c>
      <c r="T13" s="59" t="s">
        <v>194</v>
      </c>
      <c r="U13" s="61">
        <v>0.15384615384615385</v>
      </c>
      <c r="V13" s="59" t="s">
        <v>199</v>
      </c>
      <c r="W13" s="62">
        <v>0.24901185770750989</v>
      </c>
      <c r="X13" s="59" t="s">
        <v>186</v>
      </c>
      <c r="Y13" s="62">
        <v>0.20303383897316218</v>
      </c>
      <c r="Z13" s="59" t="s">
        <v>191</v>
      </c>
      <c r="AA13" s="62">
        <v>0.56930693069306926</v>
      </c>
      <c r="AB13" s="59" t="s">
        <v>187</v>
      </c>
      <c r="AC13" s="62">
        <v>0.37090163934426229</v>
      </c>
      <c r="AD13" s="59" t="s">
        <v>183</v>
      </c>
      <c r="AE13" s="62">
        <v>0.43113678950655843</v>
      </c>
      <c r="AF13" s="59" t="s">
        <v>187</v>
      </c>
      <c r="AG13" s="66">
        <v>103000</v>
      </c>
    </row>
    <row r="14" spans="1:33" x14ac:dyDescent="0.45">
      <c r="A14" s="56">
        <v>12</v>
      </c>
      <c r="B14" s="57" t="s">
        <v>184</v>
      </c>
      <c r="C14" s="58">
        <v>-132.1</v>
      </c>
      <c r="D14" s="59" t="s">
        <v>190</v>
      </c>
      <c r="E14" s="71">
        <v>-4.1512755102040817</v>
      </c>
      <c r="F14" s="59" t="s">
        <v>190</v>
      </c>
      <c r="G14" s="60">
        <v>2.1071428571428572</v>
      </c>
      <c r="H14" s="59" t="s">
        <v>190</v>
      </c>
      <c r="I14" s="61">
        <v>0.26530612244897961</v>
      </c>
      <c r="J14" s="59" t="s">
        <v>192</v>
      </c>
      <c r="K14" s="61">
        <v>0.38461538461538464</v>
      </c>
      <c r="L14" s="59" t="s">
        <v>190</v>
      </c>
      <c r="M14" s="62">
        <v>0.27238454288407166</v>
      </c>
      <c r="N14" s="59" t="s">
        <v>193</v>
      </c>
      <c r="O14" s="62">
        <v>0.17380281690140845</v>
      </c>
      <c r="P14" s="59" t="s">
        <v>186</v>
      </c>
      <c r="Q14" s="63">
        <v>7904.8458149779735</v>
      </c>
      <c r="R14" s="59" t="s">
        <v>191</v>
      </c>
      <c r="S14" s="63">
        <v>-8827.4549098196385</v>
      </c>
      <c r="T14" s="59" t="s">
        <v>192</v>
      </c>
      <c r="U14" s="61">
        <v>0.15384615384615385</v>
      </c>
      <c r="V14" s="59" t="s">
        <v>194</v>
      </c>
      <c r="W14" s="62">
        <v>0.23379629629629631</v>
      </c>
      <c r="X14" s="59" t="s">
        <v>191</v>
      </c>
      <c r="Y14" s="62">
        <v>0.18303571428571427</v>
      </c>
      <c r="Z14" s="59" t="s">
        <v>192</v>
      </c>
      <c r="AA14" s="62">
        <v>0.53846153846153844</v>
      </c>
      <c r="AB14" s="59" t="s">
        <v>190</v>
      </c>
      <c r="AC14" s="62">
        <v>0.36415094339622639</v>
      </c>
      <c r="AD14" s="59" t="s">
        <v>193</v>
      </c>
      <c r="AE14" s="62">
        <v>0.42192046556741031</v>
      </c>
      <c r="AF14" s="59" t="s">
        <v>197</v>
      </c>
      <c r="AG14" s="66">
        <v>85100</v>
      </c>
    </row>
    <row r="15" spans="1:33" x14ac:dyDescent="0.45">
      <c r="A15" s="56">
        <v>13</v>
      </c>
      <c r="B15" s="57" t="s">
        <v>187</v>
      </c>
      <c r="C15" s="58">
        <v>-291.2</v>
      </c>
      <c r="D15" s="59" t="s">
        <v>188</v>
      </c>
      <c r="E15" s="71">
        <v>-5.2105882352941189</v>
      </c>
      <c r="F15" s="59" t="s">
        <v>188</v>
      </c>
      <c r="G15" s="60">
        <v>2.1411764705882352</v>
      </c>
      <c r="H15" s="59" t="s">
        <v>188</v>
      </c>
      <c r="I15" s="61">
        <v>0.25490196078431371</v>
      </c>
      <c r="J15" s="59" t="s">
        <v>188</v>
      </c>
      <c r="K15" s="61">
        <v>0.396078431372549</v>
      </c>
      <c r="L15" s="59" t="s">
        <v>187</v>
      </c>
      <c r="M15" s="62">
        <v>0.27034482758620687</v>
      </c>
      <c r="N15" s="59" t="s">
        <v>191</v>
      </c>
      <c r="O15" s="62">
        <v>0.18311926605504586</v>
      </c>
      <c r="P15" s="59" t="s">
        <v>199</v>
      </c>
      <c r="Q15" s="63">
        <v>7901.25</v>
      </c>
      <c r="R15" s="59" t="s">
        <v>192</v>
      </c>
      <c r="S15" s="63">
        <v>-9054.7169811320746</v>
      </c>
      <c r="T15" s="59" t="s">
        <v>186</v>
      </c>
      <c r="U15" s="61">
        <v>0.17346938775510204</v>
      </c>
      <c r="V15" s="59" t="s">
        <v>200</v>
      </c>
      <c r="W15" s="62">
        <v>0.23076923076923078</v>
      </c>
      <c r="X15" s="59" t="s">
        <v>190</v>
      </c>
      <c r="Y15" s="62">
        <v>0.18138261464750172</v>
      </c>
      <c r="Z15" s="59" t="s">
        <v>193</v>
      </c>
      <c r="AA15" s="62">
        <v>0.53240740740740744</v>
      </c>
      <c r="AB15" s="59" t="s">
        <v>186</v>
      </c>
      <c r="AC15" s="62">
        <v>0.33333333333333331</v>
      </c>
      <c r="AD15" s="59" t="s">
        <v>188</v>
      </c>
      <c r="AE15" s="62">
        <v>0.41640378548895901</v>
      </c>
      <c r="AF15" s="59" t="s">
        <v>196</v>
      </c>
      <c r="AG15" s="66">
        <v>78000</v>
      </c>
    </row>
    <row r="16" spans="1:33" x14ac:dyDescent="0.45">
      <c r="A16" s="56">
        <v>14</v>
      </c>
      <c r="B16" s="57" t="s">
        <v>186</v>
      </c>
      <c r="C16" s="58">
        <v>-761.40000000000009</v>
      </c>
      <c r="D16" s="59" t="s">
        <v>186</v>
      </c>
      <c r="E16" s="71">
        <v>-7.7693877551020414</v>
      </c>
      <c r="F16" s="59" t="s">
        <v>186</v>
      </c>
      <c r="G16" s="60">
        <v>2.1530612244897958</v>
      </c>
      <c r="H16" s="59" t="s">
        <v>198</v>
      </c>
      <c r="I16" s="61">
        <v>0.25</v>
      </c>
      <c r="J16" s="59" t="s">
        <v>185</v>
      </c>
      <c r="K16" s="61">
        <v>0.4</v>
      </c>
      <c r="L16" s="59" t="s">
        <v>185</v>
      </c>
      <c r="M16" s="62">
        <v>0.27027027027027029</v>
      </c>
      <c r="N16" s="59" t="s">
        <v>190</v>
      </c>
      <c r="O16" s="62">
        <v>0.18693056864593152</v>
      </c>
      <c r="P16" s="59" t="s">
        <v>197</v>
      </c>
      <c r="Q16" s="63">
        <v>7810.1694915254238</v>
      </c>
      <c r="R16" s="59" t="s">
        <v>194</v>
      </c>
      <c r="S16" s="63">
        <v>-9212.173913043478</v>
      </c>
      <c r="T16" s="59" t="s">
        <v>197</v>
      </c>
      <c r="U16" s="61">
        <v>0.17543859649122806</v>
      </c>
      <c r="V16" s="59" t="s">
        <v>186</v>
      </c>
      <c r="W16" s="62">
        <v>0.22403733955659277</v>
      </c>
      <c r="X16" s="59" t="s">
        <v>185</v>
      </c>
      <c r="Y16" s="62">
        <v>0.16129032258064516</v>
      </c>
      <c r="Z16" s="59" t="s">
        <v>188</v>
      </c>
      <c r="AA16" s="62">
        <v>0.51732673267326734</v>
      </c>
      <c r="AB16" s="59" t="s">
        <v>192</v>
      </c>
      <c r="AC16" s="62">
        <v>0.32142857142857145</v>
      </c>
      <c r="AD16" s="59" t="s">
        <v>195</v>
      </c>
      <c r="AE16" s="62">
        <v>0.40584795321637429</v>
      </c>
      <c r="AF16" s="59" t="s">
        <v>185</v>
      </c>
      <c r="AG16" s="66">
        <v>57800</v>
      </c>
    </row>
    <row r="17" spans="1:33" x14ac:dyDescent="0.45">
      <c r="A17" s="56">
        <v>15</v>
      </c>
      <c r="B17" s="57" t="s">
        <v>197</v>
      </c>
      <c r="C17" s="58">
        <v>-837.60000000000014</v>
      </c>
      <c r="D17" s="59" t="s">
        <v>198</v>
      </c>
      <c r="E17" s="71">
        <v>-14.05</v>
      </c>
      <c r="F17" s="59" t="s">
        <v>185</v>
      </c>
      <c r="G17" s="60">
        <v>2.2000000000000002</v>
      </c>
      <c r="H17" s="59" t="s">
        <v>185</v>
      </c>
      <c r="I17" s="61">
        <v>0.2</v>
      </c>
      <c r="J17" s="59" t="s">
        <v>186</v>
      </c>
      <c r="K17" s="61">
        <v>0.42857142857142855</v>
      </c>
      <c r="L17" s="59" t="s">
        <v>186</v>
      </c>
      <c r="M17" s="62">
        <v>0.26487747957992996</v>
      </c>
      <c r="N17" s="59" t="s">
        <v>186</v>
      </c>
      <c r="O17" s="62">
        <v>0.19486581096849476</v>
      </c>
      <c r="P17" s="59" t="s">
        <v>184</v>
      </c>
      <c r="Q17" s="63">
        <v>7800</v>
      </c>
      <c r="R17" s="59" t="s">
        <v>189</v>
      </c>
      <c r="S17" s="63">
        <v>-9866.6666666666661</v>
      </c>
      <c r="T17" s="59" t="s">
        <v>199</v>
      </c>
      <c r="U17" s="61">
        <v>0.25</v>
      </c>
      <c r="V17" s="59" t="s">
        <v>198</v>
      </c>
      <c r="W17" s="62">
        <v>0.21875</v>
      </c>
      <c r="X17" s="59" t="s">
        <v>196</v>
      </c>
      <c r="Y17" s="62">
        <v>0.14492753623188406</v>
      </c>
      <c r="Z17" s="59" t="s">
        <v>189</v>
      </c>
      <c r="AA17" s="62">
        <v>0.47368421052631576</v>
      </c>
      <c r="AB17" s="59" t="s">
        <v>198</v>
      </c>
      <c r="AC17" s="62">
        <v>0.25</v>
      </c>
      <c r="AD17" s="59" t="s">
        <v>189</v>
      </c>
      <c r="AE17" s="62">
        <v>0.35294117647058826</v>
      </c>
      <c r="AF17" s="59" t="s">
        <v>198</v>
      </c>
      <c r="AG17" s="66">
        <v>55200</v>
      </c>
    </row>
    <row r="18" spans="1:33" x14ac:dyDescent="0.45">
      <c r="A18" s="56">
        <v>16</v>
      </c>
      <c r="B18" s="57" t="s">
        <v>193</v>
      </c>
      <c r="C18" s="58">
        <v>-911.7000000000005</v>
      </c>
      <c r="D18" s="59" t="s">
        <v>197</v>
      </c>
      <c r="E18" s="71">
        <v>-14.694736842105266</v>
      </c>
      <c r="F18" s="59" t="s">
        <v>198</v>
      </c>
      <c r="G18" s="60">
        <v>2.25</v>
      </c>
      <c r="H18" s="59" t="s">
        <v>197</v>
      </c>
      <c r="I18" s="61">
        <v>0.15789473684210525</v>
      </c>
      <c r="J18" s="59" t="s">
        <v>198</v>
      </c>
      <c r="K18" s="61">
        <v>0.5</v>
      </c>
      <c r="L18" s="59" t="s">
        <v>197</v>
      </c>
      <c r="M18" s="62">
        <v>0.25106382978723402</v>
      </c>
      <c r="N18" s="59" t="s">
        <v>197</v>
      </c>
      <c r="O18" s="62">
        <v>0.19574468085106383</v>
      </c>
      <c r="P18" s="59" t="s">
        <v>188</v>
      </c>
      <c r="Q18" s="63">
        <v>7465.7728706624603</v>
      </c>
      <c r="R18" s="59" t="s">
        <v>198</v>
      </c>
      <c r="S18" s="63">
        <v>-11280</v>
      </c>
      <c r="T18" s="59" t="s">
        <v>198</v>
      </c>
      <c r="U18" s="61">
        <v>0.25</v>
      </c>
      <c r="V18" s="59" t="s">
        <v>188</v>
      </c>
      <c r="W18" s="62">
        <v>0.20749871597329225</v>
      </c>
      <c r="X18" s="59" t="s">
        <v>189</v>
      </c>
      <c r="Y18" s="62">
        <v>0.125</v>
      </c>
      <c r="Z18" s="59" t="s">
        <v>198</v>
      </c>
      <c r="AA18" s="62">
        <v>0.42857142857142855</v>
      </c>
      <c r="AB18" s="59" t="s">
        <v>185</v>
      </c>
      <c r="AC18" s="62">
        <v>0.2</v>
      </c>
      <c r="AD18" s="59" t="s">
        <v>185</v>
      </c>
      <c r="AE18" s="62">
        <v>0.3</v>
      </c>
      <c r="AF18" s="59" t="s">
        <v>200</v>
      </c>
      <c r="AG18" s="66">
        <v>48300</v>
      </c>
    </row>
    <row r="19" spans="1:33" x14ac:dyDescent="0.45">
      <c r="A19" s="56">
        <v>17</v>
      </c>
      <c r="B19" s="57" t="s">
        <v>188</v>
      </c>
      <c r="C19" s="58">
        <v>-1328.7000000000003</v>
      </c>
      <c r="D19" s="59" t="s">
        <v>185</v>
      </c>
      <c r="E19" s="71">
        <v>-17.28</v>
      </c>
      <c r="F19" s="59" t="s">
        <v>197</v>
      </c>
      <c r="G19" s="60">
        <v>2.3508771929824563</v>
      </c>
      <c r="H19" s="59" t="s">
        <v>184</v>
      </c>
      <c r="I19" s="61">
        <v>0</v>
      </c>
      <c r="J19" s="59" t="s">
        <v>197</v>
      </c>
      <c r="K19" s="61">
        <v>0.50877192982456143</v>
      </c>
      <c r="L19" s="59" t="s">
        <v>200</v>
      </c>
      <c r="M19" s="62">
        <v>0.15384615384615385</v>
      </c>
      <c r="N19" s="59" t="s">
        <v>185</v>
      </c>
      <c r="O19" s="62">
        <v>0.21621621621621623</v>
      </c>
      <c r="P19" s="59" t="s">
        <v>185</v>
      </c>
      <c r="Q19" s="63">
        <v>7100</v>
      </c>
      <c r="R19" s="59" t="s">
        <v>200</v>
      </c>
      <c r="S19" s="63">
        <v>-12000</v>
      </c>
      <c r="T19" s="59" t="s">
        <v>185</v>
      </c>
      <c r="U19" s="61">
        <v>0.4</v>
      </c>
      <c r="V19" s="59" t="s">
        <v>197</v>
      </c>
      <c r="W19" s="62">
        <v>0.19574468085106383</v>
      </c>
      <c r="X19" s="59" t="s">
        <v>200</v>
      </c>
      <c r="Y19" s="62">
        <v>7.6923076923076927E-2</v>
      </c>
      <c r="Z19" s="59" t="s">
        <v>200</v>
      </c>
      <c r="AA19" s="62">
        <v>0.33333333333333331</v>
      </c>
      <c r="AB19" s="59" t="s">
        <v>184</v>
      </c>
      <c r="AC19" s="62">
        <v>0</v>
      </c>
      <c r="AD19" s="59" t="s">
        <v>198</v>
      </c>
      <c r="AE19" s="62">
        <v>0.3</v>
      </c>
      <c r="AF19" s="59" t="s">
        <v>189</v>
      </c>
      <c r="AG19" s="66">
        <v>46000</v>
      </c>
    </row>
    <row r="20" spans="1:33" x14ac:dyDescent="0.45">
      <c r="A20" s="56">
        <v>18</v>
      </c>
      <c r="B20" s="57" t="s">
        <v>190</v>
      </c>
      <c r="C20" s="58">
        <v>-1627.3</v>
      </c>
      <c r="D20" s="59" t="s">
        <v>184</v>
      </c>
      <c r="E20" s="71">
        <v>-33.024999999999999</v>
      </c>
      <c r="F20" s="59" t="s">
        <v>184</v>
      </c>
      <c r="G20" s="60">
        <v>3</v>
      </c>
      <c r="H20" s="59" t="s">
        <v>200</v>
      </c>
      <c r="I20" s="61">
        <v>0</v>
      </c>
      <c r="J20" s="59" t="s">
        <v>184</v>
      </c>
      <c r="K20" s="61">
        <v>1</v>
      </c>
      <c r="L20" s="59" t="s">
        <v>184</v>
      </c>
      <c r="M20" s="62">
        <v>0.04</v>
      </c>
      <c r="N20" s="59" t="s">
        <v>184</v>
      </c>
      <c r="O20" s="62">
        <v>0.4</v>
      </c>
      <c r="P20" s="59" t="s">
        <v>198</v>
      </c>
      <c r="Q20" s="63">
        <v>4940</v>
      </c>
      <c r="R20" s="59" t="s">
        <v>185</v>
      </c>
      <c r="S20" s="63">
        <v>-12487.5</v>
      </c>
      <c r="T20" s="59" t="s">
        <v>184</v>
      </c>
      <c r="U20" s="61">
        <v>0.5</v>
      </c>
      <c r="V20" s="59" t="s">
        <v>184</v>
      </c>
      <c r="W20" s="62">
        <v>0</v>
      </c>
      <c r="X20" s="59" t="s">
        <v>184</v>
      </c>
      <c r="Y20" s="62">
        <v>0</v>
      </c>
      <c r="Z20" s="59" t="s">
        <v>184</v>
      </c>
      <c r="AA20" s="62">
        <v>0</v>
      </c>
      <c r="AB20" s="59" t="s">
        <v>200</v>
      </c>
      <c r="AC20" s="62">
        <v>0</v>
      </c>
      <c r="AD20" s="59" t="s">
        <v>196</v>
      </c>
      <c r="AE20" s="62">
        <v>0.29166666666666669</v>
      </c>
      <c r="AF20" s="59" t="s">
        <v>184</v>
      </c>
      <c r="AG20" s="66">
        <v>13000</v>
      </c>
    </row>
  </sheetData>
  <sortState xmlns:xlrd2="http://schemas.microsoft.com/office/spreadsheetml/2017/richdata2" ref="AF3:AG54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6C91A-1D01-44ED-ABD2-18877DA42331}">
  <sheetPr codeName="Sheet3"/>
  <dimension ref="A1:Q265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2655</v>
      </c>
      <c r="C2" s="128"/>
      <c r="E2" s="43" t="s">
        <v>66</v>
      </c>
      <c r="F2" s="25" t="s">
        <v>22</v>
      </c>
      <c r="G2" s="13">
        <v>4390</v>
      </c>
      <c r="H2" s="106">
        <f>IF(B$47=0,0,G2/B$47)</f>
        <v>0.73534338358458962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-20.098596890405766</v>
      </c>
      <c r="P2" s="92">
        <v>2637</v>
      </c>
      <c r="Q2" s="76">
        <v>-53000</v>
      </c>
    </row>
    <row r="3" spans="1:17" x14ac:dyDescent="0.45">
      <c r="A3" s="37" t="s">
        <v>8</v>
      </c>
      <c r="B3" s="137">
        <v>21495</v>
      </c>
      <c r="C3" s="138"/>
      <c r="E3" s="44" t="s">
        <v>72</v>
      </c>
      <c r="F3" s="41" t="s">
        <v>27</v>
      </c>
      <c r="G3" s="34">
        <v>3197</v>
      </c>
      <c r="H3" s="107">
        <f>IF(B$47=0,0,G3/B$47)</f>
        <v>0.53551088777219435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-0.38895371450797356</v>
      </c>
      <c r="P3" s="93">
        <v>2571</v>
      </c>
      <c r="Q3" s="77">
        <v>-1000</v>
      </c>
    </row>
    <row r="4" spans="1:17" x14ac:dyDescent="0.45">
      <c r="A4" s="37" t="s">
        <v>6</v>
      </c>
      <c r="B4" s="139">
        <v>5.8619775700208265E-14</v>
      </c>
      <c r="C4" s="140"/>
      <c r="E4" s="44" t="s">
        <v>64</v>
      </c>
      <c r="F4" s="41" t="s">
        <v>20</v>
      </c>
      <c r="G4" s="34">
        <v>2967</v>
      </c>
      <c r="H4" s="107">
        <f>IF(B$47=0,0,G4/B$47)</f>
        <v>0.49698492462311555</v>
      </c>
      <c r="I4" s="68">
        <v>9</v>
      </c>
      <c r="K4" s="5">
        <v>2</v>
      </c>
      <c r="L4" s="73">
        <v>-7</v>
      </c>
      <c r="N4" s="89" t="s">
        <v>128</v>
      </c>
      <c r="O4" s="96">
        <f t="shared" si="0"/>
        <v>4.9689440993788816</v>
      </c>
      <c r="P4" s="93">
        <v>2415</v>
      </c>
      <c r="Q4" s="77">
        <v>12000</v>
      </c>
    </row>
    <row r="5" spans="1:17" x14ac:dyDescent="0.45">
      <c r="A5" s="37" t="s">
        <v>7</v>
      </c>
      <c r="B5" s="141">
        <f>IF(B$2=0,0,B$4/B$2)</f>
        <v>2.2079011563166956E-17</v>
      </c>
      <c r="C5" s="142"/>
      <c r="E5" s="44" t="s">
        <v>68</v>
      </c>
      <c r="F5" s="41" t="s">
        <v>12</v>
      </c>
      <c r="G5" s="34">
        <v>1856</v>
      </c>
      <c r="H5" s="107">
        <f>IF(B$47=0,0,G5/B$47)</f>
        <v>0.31088777219430486</v>
      </c>
      <c r="I5" s="68">
        <v>9</v>
      </c>
      <c r="K5" s="5">
        <v>3</v>
      </c>
      <c r="L5" s="73">
        <v>0</v>
      </c>
      <c r="N5" s="89" t="s">
        <v>129</v>
      </c>
      <c r="O5" s="96">
        <f t="shared" si="0"/>
        <v>5.4054054054054053</v>
      </c>
      <c r="P5" s="93">
        <v>2220</v>
      </c>
      <c r="Q5" s="77">
        <v>12000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67</v>
      </c>
      <c r="F6" s="41" t="s">
        <v>23</v>
      </c>
      <c r="G6" s="34">
        <v>1765</v>
      </c>
      <c r="H6" s="107">
        <f>IF(B$47=0,0,G6/B$47)</f>
        <v>0.29564489112227804</v>
      </c>
      <c r="I6" s="68">
        <v>8</v>
      </c>
      <c r="K6" s="5">
        <v>4</v>
      </c>
      <c r="L6" s="73">
        <v>-1</v>
      </c>
      <c r="N6" s="89" t="s">
        <v>130</v>
      </c>
      <c r="O6" s="96">
        <f t="shared" si="0"/>
        <v>2.0110608345902463</v>
      </c>
      <c r="P6" s="93">
        <v>1989</v>
      </c>
      <c r="Q6" s="77">
        <v>4000</v>
      </c>
    </row>
    <row r="7" spans="1:17" x14ac:dyDescent="0.45">
      <c r="A7" s="37" t="s">
        <v>2</v>
      </c>
      <c r="B7" s="34">
        <v>885</v>
      </c>
      <c r="C7" s="31">
        <f t="shared" ref="C7:C10" si="1">IF(B$2=0,0,B7/B$2)</f>
        <v>0.33333333333333331</v>
      </c>
      <c r="E7" s="44" t="s">
        <v>157</v>
      </c>
      <c r="F7" s="41" t="s">
        <v>158</v>
      </c>
      <c r="G7" s="34">
        <v>1736</v>
      </c>
      <c r="H7" s="107">
        <f>IF(B$47=0,0,G7/B$47)</f>
        <v>0.29078726968174207</v>
      </c>
      <c r="I7" s="68">
        <v>9</v>
      </c>
      <c r="K7" s="5">
        <v>5</v>
      </c>
      <c r="L7" s="73">
        <v>39.9</v>
      </c>
      <c r="N7" s="90" t="s">
        <v>131</v>
      </c>
      <c r="O7" s="97">
        <f t="shared" si="0"/>
        <v>14.934289127837514</v>
      </c>
      <c r="P7" s="94">
        <v>1674</v>
      </c>
      <c r="Q7" s="78">
        <v>25000</v>
      </c>
    </row>
    <row r="8" spans="1:17" x14ac:dyDescent="0.45">
      <c r="A8" s="37" t="s">
        <v>3</v>
      </c>
      <c r="B8" s="34">
        <v>885</v>
      </c>
      <c r="C8" s="31">
        <f t="shared" si="1"/>
        <v>0.33333333333333331</v>
      </c>
      <c r="E8" s="44" t="s">
        <v>69</v>
      </c>
      <c r="F8" s="41" t="s">
        <v>24</v>
      </c>
      <c r="G8" s="34">
        <v>920</v>
      </c>
      <c r="H8" s="107">
        <f>IF(B$47=0,0,G8/B$47)</f>
        <v>0.1541038525963149</v>
      </c>
      <c r="I8" s="68">
        <v>5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885</v>
      </c>
      <c r="C9" s="7">
        <f t="shared" si="1"/>
        <v>0.33333333333333331</v>
      </c>
      <c r="E9" s="44" t="s">
        <v>89</v>
      </c>
      <c r="F9" s="41" t="s">
        <v>44</v>
      </c>
      <c r="G9" s="34">
        <v>816</v>
      </c>
      <c r="H9" s="107">
        <f>IF(B$47=0,0,G9/B$47)</f>
        <v>0.13668341708542714</v>
      </c>
      <c r="I9" s="68">
        <v>7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328</v>
      </c>
      <c r="C10" s="32">
        <f t="shared" si="1"/>
        <v>0.12354048964218456</v>
      </c>
      <c r="E10" s="44" t="s">
        <v>65</v>
      </c>
      <c r="F10" s="41" t="s">
        <v>21</v>
      </c>
      <c r="G10" s="34">
        <v>669</v>
      </c>
      <c r="H10" s="107">
        <f>IF(B$47=0,0,G10/B$47)</f>
        <v>0.11206030150753769</v>
      </c>
      <c r="I10" s="68">
        <v>7</v>
      </c>
      <c r="K10" s="5">
        <v>8</v>
      </c>
      <c r="L10" s="73">
        <v>-26.699999999999996</v>
      </c>
      <c r="N10" s="88" t="s">
        <v>149</v>
      </c>
      <c r="O10" s="98">
        <f>IF(P10=0,0,Q10/P10)</f>
        <v>-1.9551020408163255</v>
      </c>
      <c r="P10" s="92">
        <v>882</v>
      </c>
      <c r="Q10" s="80">
        <v>-1724.3999999999992</v>
      </c>
    </row>
    <row r="11" spans="1:17" x14ac:dyDescent="0.45">
      <c r="A11" s="40" t="s">
        <v>121</v>
      </c>
      <c r="B11" s="16">
        <v>5362</v>
      </c>
      <c r="C11" s="11">
        <f>IF(B$46=0,0,B11/B$46)</f>
        <v>0.26704517157228946</v>
      </c>
      <c r="E11" s="44" t="s">
        <v>70</v>
      </c>
      <c r="F11" s="41" t="s">
        <v>25</v>
      </c>
      <c r="G11" s="34">
        <v>580</v>
      </c>
      <c r="H11" s="107">
        <f>IF(B$47=0,0,G11/B$47)</f>
        <v>9.7152428810720268E-2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0.55804988662131561</v>
      </c>
      <c r="P11" s="93">
        <v>882</v>
      </c>
      <c r="Q11" s="81">
        <v>492.20000000000033</v>
      </c>
    </row>
    <row r="12" spans="1:17" x14ac:dyDescent="0.45">
      <c r="A12" s="37" t="s">
        <v>118</v>
      </c>
      <c r="B12" s="34">
        <v>4411</v>
      </c>
      <c r="C12" s="31">
        <f>IF(B$46=0,0,B12/B$46)</f>
        <v>0.21968225509238509</v>
      </c>
      <c r="E12" s="44" t="s">
        <v>71</v>
      </c>
      <c r="F12" s="41" t="s">
        <v>26</v>
      </c>
      <c r="G12" s="34">
        <v>392</v>
      </c>
      <c r="H12" s="107">
        <f>IF(B$47=0,0,G12/B$47)</f>
        <v>6.5661641541038526E-2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1.3970521541950118</v>
      </c>
      <c r="P12" s="94">
        <v>882</v>
      </c>
      <c r="Q12" s="82">
        <v>1232.2000000000005</v>
      </c>
    </row>
    <row r="13" spans="1:17" x14ac:dyDescent="0.45">
      <c r="A13" s="19" t="s">
        <v>123</v>
      </c>
      <c r="B13" s="13">
        <v>3075</v>
      </c>
      <c r="C13" s="4">
        <f>IF(B$11=0,0,B13/B$11)</f>
        <v>0.57348004475941816</v>
      </c>
      <c r="E13" s="44" t="s">
        <v>86</v>
      </c>
      <c r="F13" s="41" t="s">
        <v>41</v>
      </c>
      <c r="G13" s="34">
        <v>359</v>
      </c>
      <c r="H13" s="107">
        <f>IF(B$47=0,0,G13/B$47)</f>
        <v>6.0134003350083752E-2</v>
      </c>
      <c r="I13" s="68">
        <v>10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1786</v>
      </c>
      <c r="C14" s="4">
        <f>IF(B$12=0,0,B14/B$12)</f>
        <v>0.40489684878712312</v>
      </c>
      <c r="E14" s="44" t="s">
        <v>83</v>
      </c>
      <c r="F14" s="41" t="s">
        <v>38</v>
      </c>
      <c r="G14" s="34">
        <v>286</v>
      </c>
      <c r="H14" s="107">
        <f>IF(B$47=0,0,G14/B$47)</f>
        <v>4.7906197654941376E-2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6404</v>
      </c>
      <c r="C15" s="4">
        <f>IF(B$3=0,0,B15/B$3)</f>
        <v>0.2979297511049081</v>
      </c>
      <c r="E15" s="44" t="s">
        <v>78</v>
      </c>
      <c r="F15" s="41" t="s">
        <v>33</v>
      </c>
      <c r="G15" s="34">
        <v>159</v>
      </c>
      <c r="H15" s="107">
        <f>IF(B$47=0,0,G15/B$47)</f>
        <v>2.6633165829145728E-2</v>
      </c>
      <c r="I15" s="68">
        <v>6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13</v>
      </c>
      <c r="B16" s="34">
        <v>3592</v>
      </c>
      <c r="C16" s="31">
        <f>IF(B$3=0,0,B16/B$3)</f>
        <v>0.16710862991393347</v>
      </c>
      <c r="E16" s="44" t="s">
        <v>81</v>
      </c>
      <c r="F16" s="41" t="s">
        <v>36</v>
      </c>
      <c r="G16" s="34">
        <v>144</v>
      </c>
      <c r="H16" s="107">
        <f>IF(B$47=0,0,G16/B$47)</f>
        <v>2.4120603015075376E-2</v>
      </c>
      <c r="I16" s="68">
        <v>7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37" t="s">
        <v>12</v>
      </c>
      <c r="B17" s="34">
        <v>2761</v>
      </c>
      <c r="C17" s="31">
        <f>IF(B$15=0,0,B17/B$15)</f>
        <v>0.43113678950655843</v>
      </c>
      <c r="E17" s="44" t="s">
        <v>91</v>
      </c>
      <c r="F17" s="41" t="s">
        <v>46</v>
      </c>
      <c r="G17" s="34">
        <v>108</v>
      </c>
      <c r="H17" s="107">
        <f>IF(B$47=0,0,G17/B$47)</f>
        <v>1.8090452261306532E-2</v>
      </c>
      <c r="I17" s="68">
        <v>7</v>
      </c>
      <c r="K17" s="5">
        <v>15</v>
      </c>
      <c r="L17" s="73">
        <v>0</v>
      </c>
      <c r="N17" s="89" t="s">
        <v>197</v>
      </c>
      <c r="O17" s="99">
        <f>IF(P17=0,0,Q17/P17)</f>
        <v>22.042105263157879</v>
      </c>
      <c r="P17" s="93">
        <v>114</v>
      </c>
      <c r="Q17" s="81">
        <v>2512.7999999999984</v>
      </c>
    </row>
    <row r="18" spans="1:17" x14ac:dyDescent="0.45">
      <c r="A18" s="37" t="s">
        <v>11</v>
      </c>
      <c r="B18" s="34">
        <v>3643</v>
      </c>
      <c r="C18" s="31">
        <f>IF(B$15=0,0,B18/B$15)</f>
        <v>0.56886321049344157</v>
      </c>
      <c r="E18" s="44" t="s">
        <v>79</v>
      </c>
      <c r="F18" s="41" t="s">
        <v>34</v>
      </c>
      <c r="G18" s="34">
        <v>90</v>
      </c>
      <c r="H18" s="107">
        <f>IF(B$47=0,0,G18/B$47)</f>
        <v>1.507537688442211E-2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37" t="s">
        <v>180</v>
      </c>
      <c r="B19" s="34">
        <v>3075</v>
      </c>
      <c r="C19" s="31">
        <f>IF(B$15=0,0,B19/B$15)</f>
        <v>0.48016864459712677</v>
      </c>
      <c r="E19" s="44" t="s">
        <v>153</v>
      </c>
      <c r="F19" s="41" t="s">
        <v>154</v>
      </c>
      <c r="G19" s="34">
        <v>90</v>
      </c>
      <c r="H19" s="107">
        <f>IF(B$47=0,0,G19/B$47)</f>
        <v>1.507537688442211E-2</v>
      </c>
      <c r="I19" s="68">
        <v>5</v>
      </c>
      <c r="K19" s="5">
        <v>17</v>
      </c>
      <c r="L19" s="73">
        <v>-8</v>
      </c>
      <c r="N19" s="89" t="s">
        <v>186</v>
      </c>
      <c r="O19" s="99">
        <f>IF(P19=0,0,Q19/P19)</f>
        <v>11.654081632653059</v>
      </c>
      <c r="P19" s="93">
        <v>196</v>
      </c>
      <c r="Q19" s="81">
        <v>2284.1999999999994</v>
      </c>
    </row>
    <row r="20" spans="1:17" x14ac:dyDescent="0.45">
      <c r="A20" s="37" t="s">
        <v>178</v>
      </c>
      <c r="B20" s="34">
        <v>1786</v>
      </c>
      <c r="C20" s="31">
        <f>IF(B$15=0,0,B20/B$15)</f>
        <v>0.2788881948782011</v>
      </c>
      <c r="E20" s="44" t="s">
        <v>75</v>
      </c>
      <c r="F20" s="41" t="s">
        <v>30</v>
      </c>
      <c r="G20" s="34">
        <v>38</v>
      </c>
      <c r="H20" s="107">
        <f>IF(B$47=0,0,G20/B$47)</f>
        <v>6.3651591289782244E-3</v>
      </c>
      <c r="I20" s="68">
        <v>4</v>
      </c>
      <c r="K20" s="5">
        <v>18</v>
      </c>
      <c r="L20" s="73">
        <v>0</v>
      </c>
      <c r="N20" s="89" t="s">
        <v>188</v>
      </c>
      <c r="O20" s="99">
        <f>IF(P20=0,0,Q20/P20)</f>
        <v>7.8158823529411752</v>
      </c>
      <c r="P20" s="93">
        <v>510</v>
      </c>
      <c r="Q20" s="81">
        <v>3986.0999999999995</v>
      </c>
    </row>
    <row r="21" spans="1:17" x14ac:dyDescent="0.45">
      <c r="A21" s="37" t="s">
        <v>179</v>
      </c>
      <c r="B21" s="34">
        <v>1543</v>
      </c>
      <c r="C21" s="31">
        <f>IF(B$15=0,0,B21/B$15)</f>
        <v>0.24094316052467207</v>
      </c>
      <c r="E21" s="44" t="s">
        <v>73</v>
      </c>
      <c r="F21" s="41" t="s">
        <v>28</v>
      </c>
      <c r="G21" s="34">
        <v>37</v>
      </c>
      <c r="H21" s="107">
        <f>IF(B$47=0,0,G21/B$47)</f>
        <v>6.1976549413735342E-3</v>
      </c>
      <c r="I21" s="68">
        <v>6</v>
      </c>
      <c r="K21" s="5">
        <v>19</v>
      </c>
      <c r="L21" s="73">
        <v>-6.1</v>
      </c>
      <c r="N21" s="89" t="s">
        <v>190</v>
      </c>
      <c r="O21" s="99">
        <f>IF(P21=0,0,Q21/P21)</f>
        <v>6.2269132653061217</v>
      </c>
      <c r="P21" s="93">
        <v>784</v>
      </c>
      <c r="Q21" s="81">
        <v>4881.8999999999996</v>
      </c>
    </row>
    <row r="22" spans="1:17" x14ac:dyDescent="0.45">
      <c r="A22" s="37" t="s">
        <v>5</v>
      </c>
      <c r="B22" s="17">
        <f>IF(B$15=0,0,C22/B$15)</f>
        <v>9034.6346033728914</v>
      </c>
      <c r="C22" s="8">
        <v>57857800</v>
      </c>
      <c r="E22" s="44" t="s">
        <v>77</v>
      </c>
      <c r="F22" s="41" t="s">
        <v>32</v>
      </c>
      <c r="G22" s="34">
        <v>34</v>
      </c>
      <c r="H22" s="107">
        <f>IF(B$47=0,0,G22/B$47)</f>
        <v>5.6951423785594644E-3</v>
      </c>
      <c r="I22" s="68">
        <v>4</v>
      </c>
      <c r="K22" s="5">
        <v>20</v>
      </c>
      <c r="L22" s="73">
        <v>4.9000000000000004</v>
      </c>
      <c r="N22" s="89" t="s">
        <v>193</v>
      </c>
      <c r="O22" s="99">
        <f>IF(P22=0,0,Q22/P22)</f>
        <v>3.1510368663594557</v>
      </c>
      <c r="P22" s="93">
        <v>868</v>
      </c>
      <c r="Q22" s="81">
        <v>2735.1000000000076</v>
      </c>
    </row>
    <row r="23" spans="1:17" x14ac:dyDescent="0.45">
      <c r="A23" s="38" t="s">
        <v>162</v>
      </c>
      <c r="B23" s="114">
        <f>IF($B$15-B$14=0,0,C23/($B$15-B$14))</f>
        <v>9603.5946297098308</v>
      </c>
      <c r="C23" s="115">
        <v>44349400</v>
      </c>
      <c r="E23" s="44" t="s">
        <v>92</v>
      </c>
      <c r="F23" s="41" t="s">
        <v>47</v>
      </c>
      <c r="G23" s="34">
        <v>29</v>
      </c>
      <c r="H23" s="107">
        <f>IF(B$47=0,0,G23/B$47)</f>
        <v>4.8576214405360134E-3</v>
      </c>
      <c r="I23" s="68">
        <v>5</v>
      </c>
      <c r="K23" s="5">
        <v>21</v>
      </c>
      <c r="L23" s="73">
        <v>0</v>
      </c>
      <c r="N23" s="89" t="s">
        <v>187</v>
      </c>
      <c r="O23" s="99">
        <f>IF(P23=0,0,Q23/P23)</f>
        <v>1.6298507462686569</v>
      </c>
      <c r="P23" s="93">
        <v>536</v>
      </c>
      <c r="Q23" s="81">
        <v>873.60000000000014</v>
      </c>
    </row>
    <row r="24" spans="1:17" x14ac:dyDescent="0.45">
      <c r="A24" s="38" t="s">
        <v>163</v>
      </c>
      <c r="B24" s="114">
        <f>IF(B$14=0,0,C24/B$14)</f>
        <v>7563.4938409854421</v>
      </c>
      <c r="C24" s="115">
        <v>13508400</v>
      </c>
      <c r="E24" s="44" t="s">
        <v>85</v>
      </c>
      <c r="F24" s="41" t="s">
        <v>40</v>
      </c>
      <c r="G24" s="34">
        <v>25</v>
      </c>
      <c r="H24" s="107">
        <f>IF(B$47=0,0,G24/B$47)</f>
        <v>4.1876046901172526E-3</v>
      </c>
      <c r="I24" s="68">
        <v>4</v>
      </c>
      <c r="K24" s="5">
        <v>22</v>
      </c>
      <c r="L24" s="73">
        <v>-36</v>
      </c>
      <c r="N24" s="89" t="s">
        <v>199</v>
      </c>
      <c r="O24" s="99">
        <f>IF(P24=0,0,Q24/P24)</f>
        <v>1.1785714285714317</v>
      </c>
      <c r="P24" s="93">
        <v>56</v>
      </c>
      <c r="Q24" s="81">
        <v>66.000000000000171</v>
      </c>
    </row>
    <row r="25" spans="1:17" x14ac:dyDescent="0.45">
      <c r="A25" s="38" t="s">
        <v>161</v>
      </c>
      <c r="B25" s="114">
        <f>IF(B$16=0,0,C25/B$16)</f>
        <v>-8419.042316258352</v>
      </c>
      <c r="C25" s="115">
        <v>-30241200</v>
      </c>
      <c r="E25" s="44" t="s">
        <v>74</v>
      </c>
      <c r="F25" s="41" t="s">
        <v>29</v>
      </c>
      <c r="G25" s="34">
        <v>21</v>
      </c>
      <c r="H25" s="107">
        <f>IF(B$47=0,0,G25/B$47)</f>
        <v>3.5175879396984926E-3</v>
      </c>
      <c r="I25" s="68">
        <v>7</v>
      </c>
      <c r="K25" s="5">
        <v>23</v>
      </c>
      <c r="L25" s="73">
        <v>-3</v>
      </c>
      <c r="N25" s="89" t="s">
        <v>194</v>
      </c>
      <c r="O25" s="99">
        <f>IF(P25=0,0,Q25/P25)</f>
        <v>5.7692307692313316E-2</v>
      </c>
      <c r="P25" s="93">
        <v>182</v>
      </c>
      <c r="Q25" s="81">
        <v>10.500000000001023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17</v>
      </c>
      <c r="H26" s="107">
        <f>IF(B$47=0,0,G26/B$47)</f>
        <v>2.8475711892797322E-3</v>
      </c>
      <c r="I26" s="68">
        <v>4</v>
      </c>
      <c r="K26" s="5">
        <v>24</v>
      </c>
      <c r="L26" s="73">
        <v>0</v>
      </c>
      <c r="N26" s="89" t="s">
        <v>191</v>
      </c>
      <c r="O26" s="99">
        <f>IF(P26=0,0,Q26/P26)</f>
        <v>-0.27220588235294102</v>
      </c>
      <c r="P26" s="93">
        <v>680</v>
      </c>
      <c r="Q26" s="81">
        <v>-185.09999999999991</v>
      </c>
    </row>
    <row r="27" spans="1:17" x14ac:dyDescent="0.45">
      <c r="A27" s="37" t="s">
        <v>156</v>
      </c>
      <c r="B27" s="34">
        <v>35</v>
      </c>
      <c r="C27" s="109">
        <v>0</v>
      </c>
      <c r="E27" s="44" t="s">
        <v>93</v>
      </c>
      <c r="F27" s="41" t="s">
        <v>48</v>
      </c>
      <c r="G27" s="34">
        <v>16</v>
      </c>
      <c r="H27" s="107">
        <f>IF(B$47=0,0,G27/B$47)</f>
        <v>2.680067001675042E-3</v>
      </c>
      <c r="I27" s="68">
        <v>5</v>
      </c>
      <c r="K27" s="5">
        <v>25</v>
      </c>
      <c r="L27" s="73">
        <v>-41</v>
      </c>
      <c r="N27" s="89" t="s">
        <v>189</v>
      </c>
      <c r="O27" s="99">
        <f>IF(P27=0,0,Q27/P27)</f>
        <v>-1.0499999999999996</v>
      </c>
      <c r="P27" s="93">
        <v>14</v>
      </c>
      <c r="Q27" s="81">
        <v>-14.699999999999996</v>
      </c>
    </row>
    <row r="28" spans="1:17" x14ac:dyDescent="0.45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13</v>
      </c>
      <c r="H28" s="107">
        <f>IF(B$47=0,0,G28/B$47)</f>
        <v>2.1775544388609714E-3</v>
      </c>
      <c r="I28" s="68">
        <v>4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5">
      <c r="A29" s="40" t="s">
        <v>177</v>
      </c>
      <c r="B29" s="129">
        <v>149100</v>
      </c>
      <c r="C29" s="130"/>
      <c r="E29" s="44" t="s">
        <v>90</v>
      </c>
      <c r="F29" s="41" t="s">
        <v>45</v>
      </c>
      <c r="G29" s="34">
        <v>12</v>
      </c>
      <c r="H29" s="107">
        <f>IF(B$47=0,0,G29/B$47)</f>
        <v>2.0100502512562816E-3</v>
      </c>
      <c r="I29" s="68">
        <v>4</v>
      </c>
      <c r="K29" s="5">
        <v>27</v>
      </c>
      <c r="L29" s="73">
        <v>0</v>
      </c>
      <c r="N29" s="89" t="s">
        <v>195</v>
      </c>
      <c r="O29" s="99">
        <f>IF(P29=0,0,Q29/P29)</f>
        <v>-13.912199036918134</v>
      </c>
      <c r="P29" s="93">
        <v>1246</v>
      </c>
      <c r="Q29" s="81">
        <v>-17334.599999999995</v>
      </c>
    </row>
    <row r="30" spans="1:17" x14ac:dyDescent="0.45">
      <c r="A30" s="39" t="s">
        <v>135</v>
      </c>
      <c r="B30" s="27">
        <v>58</v>
      </c>
      <c r="C30" s="32">
        <f>IF(B$3=0,0,B30/B$3)</f>
        <v>2.6983019306815537E-3</v>
      </c>
      <c r="E30" s="44" t="s">
        <v>88</v>
      </c>
      <c r="F30" s="41" t="s">
        <v>43</v>
      </c>
      <c r="G30" s="34">
        <v>10</v>
      </c>
      <c r="H30" s="107">
        <f>IF(B$47=0,0,G30/B$47)</f>
        <v>1.6750418760469012E-3</v>
      </c>
      <c r="I30" s="68">
        <v>5</v>
      </c>
      <c r="K30" s="5">
        <v>28</v>
      </c>
      <c r="L30" s="73">
        <v>-31.5</v>
      </c>
      <c r="N30" s="89" t="s">
        <v>196</v>
      </c>
      <c r="O30" s="99">
        <f>IF(P30=0,0,Q30/P30)</f>
        <v>-18.166666666666668</v>
      </c>
      <c r="P30" s="93">
        <v>18</v>
      </c>
      <c r="Q30" s="81">
        <v>-327</v>
      </c>
    </row>
    <row r="31" spans="1:17" x14ac:dyDescent="0.45">
      <c r="E31" s="44" t="s">
        <v>95</v>
      </c>
      <c r="F31" s="41" t="s">
        <v>50</v>
      </c>
      <c r="G31" s="34">
        <v>7</v>
      </c>
      <c r="H31" s="107">
        <f>IF(B$47=0,0,G31/B$47)</f>
        <v>1.1725293132328308E-3</v>
      </c>
      <c r="I31" s="68">
        <v>4</v>
      </c>
      <c r="K31" s="5">
        <v>29</v>
      </c>
      <c r="L31" s="73">
        <v>36.700000000000003</v>
      </c>
      <c r="N31" s="89" t="s">
        <v>200</v>
      </c>
      <c r="O31" s="99">
        <f>IF(P31=0,0,Q31/P31)</f>
        <v>-19.950000000000003</v>
      </c>
      <c r="P31" s="93">
        <v>2</v>
      </c>
      <c r="Q31" s="81">
        <v>-39.900000000000006</v>
      </c>
    </row>
    <row r="32" spans="1:17" x14ac:dyDescent="0.45">
      <c r="A32" s="64" t="s">
        <v>168</v>
      </c>
      <c r="B32" s="122">
        <v>400</v>
      </c>
      <c r="C32" s="119">
        <f>IF(B$15=0,0,B32/B$15)</f>
        <v>6.2460961898813241E-2</v>
      </c>
      <c r="E32" s="44" t="s">
        <v>106</v>
      </c>
      <c r="F32" s="41" t="s">
        <v>113</v>
      </c>
      <c r="G32" s="34">
        <v>3</v>
      </c>
      <c r="H32" s="107">
        <f>IF(B$47=0,0,G32/B$47)</f>
        <v>5.025125628140704E-4</v>
      </c>
      <c r="I32" s="68">
        <v>3</v>
      </c>
      <c r="K32" s="5">
        <v>30</v>
      </c>
      <c r="L32" s="73">
        <v>0</v>
      </c>
    </row>
    <row r="33" spans="1:12" x14ac:dyDescent="0.45">
      <c r="A33" s="37" t="s">
        <v>164</v>
      </c>
      <c r="B33" s="34">
        <v>893</v>
      </c>
      <c r="C33" s="31">
        <f t="shared" ref="C33:C44" si="2">IF(B$15=0,0,B33/B$15)</f>
        <v>0.13944409743910055</v>
      </c>
      <c r="E33" s="44" t="s">
        <v>97</v>
      </c>
      <c r="F33" s="41" t="s">
        <v>52</v>
      </c>
      <c r="G33" s="34">
        <v>2</v>
      </c>
      <c r="H33" s="107">
        <f>IF(B$47=0,0,G33/B$47)</f>
        <v>3.3500837520938025E-4</v>
      </c>
      <c r="I33" s="68">
        <v>3</v>
      </c>
      <c r="K33" s="5">
        <v>31</v>
      </c>
      <c r="L33" s="73">
        <v>18.3</v>
      </c>
    </row>
    <row r="34" spans="1:12" x14ac:dyDescent="0.45">
      <c r="A34" s="37" t="s">
        <v>165</v>
      </c>
      <c r="B34" s="123">
        <v>1130</v>
      </c>
      <c r="C34" s="31">
        <f>IF(B$15=0,0,B34/B$15)</f>
        <v>0.1764522173641474</v>
      </c>
      <c r="E34" s="44" t="s">
        <v>101</v>
      </c>
      <c r="F34" s="41" t="s">
        <v>56</v>
      </c>
      <c r="G34" s="34">
        <v>2</v>
      </c>
      <c r="H34" s="107">
        <f>IF(B$47=0,0,G34/B$47)</f>
        <v>3.3500837520938025E-4</v>
      </c>
      <c r="I34" s="68">
        <v>2</v>
      </c>
      <c r="K34" s="5">
        <v>32</v>
      </c>
      <c r="L34" s="73">
        <v>8.6000000000000014</v>
      </c>
    </row>
    <row r="35" spans="1:12" x14ac:dyDescent="0.45">
      <c r="A35" s="37" t="s">
        <v>166</v>
      </c>
      <c r="B35" s="123">
        <v>1120</v>
      </c>
      <c r="C35" s="31">
        <f t="shared" si="2"/>
        <v>0.17489069331667709</v>
      </c>
      <c r="E35" s="44" t="s">
        <v>80</v>
      </c>
      <c r="F35" s="41" t="s">
        <v>35</v>
      </c>
      <c r="G35" s="34">
        <v>1</v>
      </c>
      <c r="H35" s="107">
        <f>IF(B$47=0,0,G35/B$47)</f>
        <v>1.6750418760469013E-4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37" t="s">
        <v>167</v>
      </c>
      <c r="B36" s="123">
        <v>942</v>
      </c>
      <c r="C36" s="31">
        <f t="shared" si="2"/>
        <v>0.1470955652717052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5">
      <c r="A37" s="37" t="s">
        <v>169</v>
      </c>
      <c r="B37" s="123">
        <v>614</v>
      </c>
      <c r="C37" s="31">
        <f t="shared" si="2"/>
        <v>9.587757651467832E-2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170</v>
      </c>
      <c r="B38" s="123">
        <v>373</v>
      </c>
      <c r="C38" s="31">
        <f t="shared" si="2"/>
        <v>5.8244846970643346E-2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171</v>
      </c>
      <c r="B39" s="123">
        <v>205</v>
      </c>
      <c r="C39" s="31">
        <f t="shared" si="2"/>
        <v>3.2011242973141785E-2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172</v>
      </c>
      <c r="B40" s="123">
        <v>117</v>
      </c>
      <c r="C40" s="31">
        <f t="shared" si="2"/>
        <v>1.8269831355402874E-2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173</v>
      </c>
      <c r="B41" s="123">
        <v>56</v>
      </c>
      <c r="C41" s="31">
        <f t="shared" si="2"/>
        <v>8.7445346658338533E-3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174</v>
      </c>
      <c r="B42" s="123">
        <v>31</v>
      </c>
      <c r="C42" s="31">
        <f t="shared" si="2"/>
        <v>4.8407245471580266E-3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175</v>
      </c>
      <c r="B43" s="123">
        <v>15</v>
      </c>
      <c r="C43" s="31">
        <f t="shared" si="2"/>
        <v>2.3422860712054966E-3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9" t="s">
        <v>176</v>
      </c>
      <c r="B44" s="124">
        <v>74</v>
      </c>
      <c r="C44" s="32">
        <f t="shared" si="2"/>
        <v>1.1555277951280449E-2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64" t="s">
        <v>181</v>
      </c>
      <c r="B46" s="127">
        <v>20079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9" t="s">
        <v>182</v>
      </c>
      <c r="B47" s="125">
        <v>5970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5">
      <c r="K53" s="5">
        <v>51</v>
      </c>
      <c r="L53" s="73">
        <v>7.1054273576010019E-15</v>
      </c>
    </row>
    <row r="54" spans="5:12" x14ac:dyDescent="0.45">
      <c r="K54" s="5">
        <v>52</v>
      </c>
      <c r="L54" s="73">
        <v>14.900000000000007</v>
      </c>
    </row>
    <row r="55" spans="5:12" x14ac:dyDescent="0.45">
      <c r="K55" s="5">
        <v>53</v>
      </c>
      <c r="L55" s="73">
        <v>1.2000000000000082</v>
      </c>
    </row>
    <row r="56" spans="5:12" x14ac:dyDescent="0.45">
      <c r="K56" s="5">
        <v>54</v>
      </c>
      <c r="L56" s="73">
        <v>8.2156503822261584E-15</v>
      </c>
    </row>
    <row r="57" spans="5:12" x14ac:dyDescent="0.45">
      <c r="K57" s="5">
        <v>55</v>
      </c>
      <c r="L57" s="73">
        <v>57.20000000000001</v>
      </c>
    </row>
    <row r="58" spans="5:12" x14ac:dyDescent="0.45">
      <c r="K58" s="5">
        <v>56</v>
      </c>
      <c r="L58" s="73">
        <v>18.800000000000011</v>
      </c>
    </row>
    <row r="59" spans="5:12" x14ac:dyDescent="0.45">
      <c r="K59" s="5">
        <v>57</v>
      </c>
      <c r="L59" s="73">
        <v>1.0658141036401503E-14</v>
      </c>
    </row>
    <row r="60" spans="5:12" x14ac:dyDescent="0.45">
      <c r="K60" s="5">
        <v>58</v>
      </c>
      <c r="L60" s="73">
        <v>26.20000000000001</v>
      </c>
    </row>
    <row r="61" spans="5:12" x14ac:dyDescent="0.45">
      <c r="K61" s="5">
        <v>59</v>
      </c>
      <c r="L61" s="73">
        <v>1.0000000000000107</v>
      </c>
    </row>
    <row r="62" spans="5:12" x14ac:dyDescent="0.45">
      <c r="K62" s="5">
        <v>60</v>
      </c>
      <c r="L62" s="73">
        <v>1.0658141036401503E-14</v>
      </c>
    </row>
    <row r="63" spans="5:12" x14ac:dyDescent="0.45">
      <c r="K63" s="5">
        <v>61</v>
      </c>
      <c r="L63" s="73">
        <v>56.500000000000014</v>
      </c>
    </row>
    <row r="64" spans="5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</sheetData>
  <sortState xmlns:xlrd2="http://schemas.microsoft.com/office/spreadsheetml/2017/richdata2" ref="N15:Q3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EA228-1B73-40F8-A612-A75FECC3F6B6}">
  <sheetPr codeName="Sheet4"/>
  <dimension ref="A1:Q62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623</v>
      </c>
      <c r="C2" s="128"/>
      <c r="E2" s="43" t="s">
        <v>66</v>
      </c>
      <c r="F2" s="25" t="s">
        <v>22</v>
      </c>
      <c r="G2" s="13">
        <v>1126</v>
      </c>
      <c r="H2" s="106">
        <f>IF(B$47=0,0,G2/B$47)</f>
        <v>0.72458172458172454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1314.5867098865479</v>
      </c>
      <c r="P2" s="92">
        <v>617</v>
      </c>
      <c r="Q2" s="76">
        <v>811100</v>
      </c>
    </row>
    <row r="3" spans="1:17" x14ac:dyDescent="0.45">
      <c r="A3" s="37" t="s">
        <v>8</v>
      </c>
      <c r="B3" s="137">
        <v>4940</v>
      </c>
      <c r="C3" s="138"/>
      <c r="E3" s="44" t="s">
        <v>72</v>
      </c>
      <c r="F3" s="41" t="s">
        <v>27</v>
      </c>
      <c r="G3" s="34">
        <v>836</v>
      </c>
      <c r="H3" s="107">
        <f>IF(B$47=0,0,G3/B$47)</f>
        <v>0.53796653796653793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1126</v>
      </c>
      <c r="P3" s="93">
        <v>600</v>
      </c>
      <c r="Q3" s="77">
        <v>675600</v>
      </c>
    </row>
    <row r="4" spans="1:17" x14ac:dyDescent="0.45">
      <c r="A4" s="37" t="s">
        <v>6</v>
      </c>
      <c r="B4" s="139">
        <v>5778.2</v>
      </c>
      <c r="C4" s="140"/>
      <c r="E4" s="44" t="s">
        <v>64</v>
      </c>
      <c r="F4" s="41" t="s">
        <v>20</v>
      </c>
      <c r="G4" s="34">
        <v>766</v>
      </c>
      <c r="H4" s="107">
        <f>IF(B$47=0,0,G4/B$47)</f>
        <v>0.4929214929214929</v>
      </c>
      <c r="I4" s="68">
        <v>10</v>
      </c>
      <c r="K4" s="5">
        <v>2</v>
      </c>
      <c r="L4" s="73">
        <v>14</v>
      </c>
      <c r="N4" s="89" t="s">
        <v>128</v>
      </c>
      <c r="O4" s="96">
        <f t="shared" si="0"/>
        <v>1283.3040421792618</v>
      </c>
      <c r="P4" s="93">
        <v>569</v>
      </c>
      <c r="Q4" s="77">
        <v>730200</v>
      </c>
    </row>
    <row r="5" spans="1:17" x14ac:dyDescent="0.45">
      <c r="A5" s="37" t="s">
        <v>7</v>
      </c>
      <c r="B5" s="141">
        <f>IF(B$2=0,0,B$4/B$2)</f>
        <v>9.2747993579454242</v>
      </c>
      <c r="C5" s="142"/>
      <c r="E5" s="44" t="s">
        <v>67</v>
      </c>
      <c r="F5" s="41" t="s">
        <v>23</v>
      </c>
      <c r="G5" s="34">
        <v>456</v>
      </c>
      <c r="H5" s="107">
        <f>IF(B$47=0,0,G5/B$47)</f>
        <v>0.29343629343629346</v>
      </c>
      <c r="I5" s="68">
        <v>9</v>
      </c>
      <c r="K5" s="5">
        <v>3</v>
      </c>
      <c r="L5" s="73">
        <v>29.1</v>
      </c>
      <c r="N5" s="89" t="s">
        <v>129</v>
      </c>
      <c r="O5" s="96">
        <f t="shared" si="0"/>
        <v>1700.3853564547205</v>
      </c>
      <c r="P5" s="93">
        <v>519</v>
      </c>
      <c r="Q5" s="77">
        <v>882500</v>
      </c>
    </row>
    <row r="6" spans="1:17" x14ac:dyDescent="0.45">
      <c r="A6" s="37" t="s">
        <v>1</v>
      </c>
      <c r="B6" s="133">
        <f>IF(B$2=0,0,(B$7*1+B$8*2+B$9*3)/B$2)</f>
        <v>1.767255216693419</v>
      </c>
      <c r="C6" s="134"/>
      <c r="E6" s="44" t="s">
        <v>68</v>
      </c>
      <c r="F6" s="41" t="s">
        <v>12</v>
      </c>
      <c r="G6" s="34">
        <v>448</v>
      </c>
      <c r="H6" s="107">
        <f>IF(B$47=0,0,G6/B$47)</f>
        <v>0.28828828828828829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1449.4600431965443</v>
      </c>
      <c r="P6" s="93">
        <v>463</v>
      </c>
      <c r="Q6" s="77">
        <v>671100</v>
      </c>
    </row>
    <row r="7" spans="1:17" x14ac:dyDescent="0.45">
      <c r="A7" s="37" t="s">
        <v>2</v>
      </c>
      <c r="B7" s="34">
        <v>288</v>
      </c>
      <c r="C7" s="31">
        <f t="shared" ref="C7:C10" si="1">IF(B$2=0,0,B7/B$2)</f>
        <v>0.4622792937399679</v>
      </c>
      <c r="E7" s="44" t="s">
        <v>157</v>
      </c>
      <c r="F7" s="41" t="s">
        <v>158</v>
      </c>
      <c r="G7" s="34">
        <v>398</v>
      </c>
      <c r="H7" s="107">
        <f>IF(B$47=0,0,G7/B$47)</f>
        <v>0.25611325611325614</v>
      </c>
      <c r="I7" s="68">
        <v>10</v>
      </c>
      <c r="K7" s="5">
        <v>5</v>
      </c>
      <c r="L7" s="73">
        <v>145.80000000000001</v>
      </c>
      <c r="N7" s="90" t="s">
        <v>131</v>
      </c>
      <c r="O7" s="97">
        <f t="shared" si="0"/>
        <v>1605.1813471502592</v>
      </c>
      <c r="P7" s="94">
        <v>386</v>
      </c>
      <c r="Q7" s="78">
        <v>619600</v>
      </c>
    </row>
    <row r="8" spans="1:17" x14ac:dyDescent="0.45">
      <c r="A8" s="37" t="s">
        <v>3</v>
      </c>
      <c r="B8" s="34">
        <v>192</v>
      </c>
      <c r="C8" s="31">
        <f t="shared" si="1"/>
        <v>0.30818619582664525</v>
      </c>
      <c r="E8" s="44" t="s">
        <v>89</v>
      </c>
      <c r="F8" s="41" t="s">
        <v>44</v>
      </c>
      <c r="G8" s="34">
        <v>256</v>
      </c>
      <c r="H8" s="107">
        <f>IF(B$47=0,0,G8/B$47)</f>
        <v>0.16473616473616473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143</v>
      </c>
      <c r="C9" s="7">
        <f t="shared" si="1"/>
        <v>0.22953451043338685</v>
      </c>
      <c r="E9" s="44" t="s">
        <v>69</v>
      </c>
      <c r="F9" s="41" t="s">
        <v>24</v>
      </c>
      <c r="G9" s="34">
        <v>235</v>
      </c>
      <c r="H9" s="107">
        <f>IF(B$47=0,0,G9/B$47)</f>
        <v>0.15122265122265122</v>
      </c>
      <c r="I9" s="68">
        <v>6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50</v>
      </c>
      <c r="C10" s="32">
        <f t="shared" si="1"/>
        <v>8.0256821829855537E-2</v>
      </c>
      <c r="E10" s="44" t="s">
        <v>65</v>
      </c>
      <c r="F10" s="41" t="s">
        <v>21</v>
      </c>
      <c r="G10" s="34">
        <v>187</v>
      </c>
      <c r="H10" s="107">
        <f>IF(B$47=0,0,G10/B$47)</f>
        <v>0.12033462033462033</v>
      </c>
      <c r="I10" s="68">
        <v>6</v>
      </c>
      <c r="K10" s="5">
        <v>8</v>
      </c>
      <c r="L10" s="73">
        <v>55.700000000000017</v>
      </c>
      <c r="N10" s="88" t="s">
        <v>149</v>
      </c>
      <c r="O10" s="98">
        <f>IF(P10=0,0,Q10/P10)</f>
        <v>13.512195121951223</v>
      </c>
      <c r="P10" s="92">
        <v>164</v>
      </c>
      <c r="Q10" s="80">
        <v>2216.0000000000005</v>
      </c>
    </row>
    <row r="11" spans="1:17" x14ac:dyDescent="0.45">
      <c r="A11" s="40" t="s">
        <v>121</v>
      </c>
      <c r="B11" s="16">
        <v>1318</v>
      </c>
      <c r="C11" s="11">
        <f>IF(B$46=0,0,B11/B$46)</f>
        <v>0.29393398751115074</v>
      </c>
      <c r="E11" s="44" t="s">
        <v>70</v>
      </c>
      <c r="F11" s="41" t="s">
        <v>25</v>
      </c>
      <c r="G11" s="34">
        <v>113</v>
      </c>
      <c r="H11" s="107">
        <f>IF(B$47=0,0,G11/B$47)</f>
        <v>7.2715572715572718E-2</v>
      </c>
      <c r="I11" s="68">
        <v>12</v>
      </c>
      <c r="K11" s="5">
        <v>9</v>
      </c>
      <c r="L11" s="73">
        <v>14.700000000000017</v>
      </c>
      <c r="N11" s="89" t="s">
        <v>150</v>
      </c>
      <c r="O11" s="99">
        <f>IF(P11=0,0,Q11/P11)</f>
        <v>6.4030456852791886</v>
      </c>
      <c r="P11" s="93">
        <v>197</v>
      </c>
      <c r="Q11" s="81">
        <v>1261.4000000000001</v>
      </c>
    </row>
    <row r="12" spans="1:17" x14ac:dyDescent="0.45">
      <c r="A12" s="37" t="s">
        <v>118</v>
      </c>
      <c r="B12" s="34">
        <v>976</v>
      </c>
      <c r="C12" s="31">
        <f>IF(B$46=0,0,B12/B$46)</f>
        <v>0.21766280107047278</v>
      </c>
      <c r="E12" s="44" t="s">
        <v>86</v>
      </c>
      <c r="F12" s="41" t="s">
        <v>41</v>
      </c>
      <c r="G12" s="34">
        <v>107</v>
      </c>
      <c r="H12" s="107">
        <f>IF(B$47=0,0,G12/B$47)</f>
        <v>6.8854568854568851E-2</v>
      </c>
      <c r="I12" s="68">
        <v>7</v>
      </c>
      <c r="K12" s="5">
        <v>10</v>
      </c>
      <c r="L12" s="73">
        <v>-16.799999999999983</v>
      </c>
      <c r="N12" s="90" t="s">
        <v>151</v>
      </c>
      <c r="O12" s="100">
        <f>IF(P12=0,0,Q12/P12)</f>
        <v>8.7768339768339771</v>
      </c>
      <c r="P12" s="94">
        <v>259</v>
      </c>
      <c r="Q12" s="82">
        <v>2273.2000000000003</v>
      </c>
    </row>
    <row r="13" spans="1:17" x14ac:dyDescent="0.45">
      <c r="A13" s="19" t="s">
        <v>123</v>
      </c>
      <c r="B13" s="13">
        <v>808</v>
      </c>
      <c r="C13" s="4">
        <f>IF(B$11=0,0,B13/B$11)</f>
        <v>0.61305007587253413</v>
      </c>
      <c r="E13" s="44" t="s">
        <v>71</v>
      </c>
      <c r="F13" s="41" t="s">
        <v>26</v>
      </c>
      <c r="G13" s="34">
        <v>98</v>
      </c>
      <c r="H13" s="107">
        <f>IF(B$47=0,0,G13/B$47)</f>
        <v>6.3063063063063057E-2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480</v>
      </c>
      <c r="C14" s="4">
        <f>IF(B$12=0,0,B14/B$12)</f>
        <v>0.49180327868852458</v>
      </c>
      <c r="E14" s="44" t="s">
        <v>83</v>
      </c>
      <c r="F14" s="41" t="s">
        <v>38</v>
      </c>
      <c r="G14" s="34">
        <v>67</v>
      </c>
      <c r="H14" s="107">
        <f>IF(B$47=0,0,G14/B$47)</f>
        <v>4.3114543114543116E-2</v>
      </c>
      <c r="I14" s="68">
        <v>11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1710</v>
      </c>
      <c r="C15" s="4">
        <f>IF(B$3=0,0,B15/B$3)</f>
        <v>0.34615384615384615</v>
      </c>
      <c r="E15" s="44" t="s">
        <v>153</v>
      </c>
      <c r="F15" s="41" t="s">
        <v>154</v>
      </c>
      <c r="G15" s="34">
        <v>38</v>
      </c>
      <c r="H15" s="107">
        <f>IF(B$47=0,0,G15/B$47)</f>
        <v>2.4453024453024452E-2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13</v>
      </c>
      <c r="B16" s="34">
        <v>701</v>
      </c>
      <c r="C16" s="31">
        <f>IF(B$3=0,0,B16/B$3)</f>
        <v>0.14190283400809717</v>
      </c>
      <c r="E16" s="44" t="s">
        <v>78</v>
      </c>
      <c r="F16" s="41" t="s">
        <v>33</v>
      </c>
      <c r="G16" s="34">
        <v>37</v>
      </c>
      <c r="H16" s="107">
        <f>IF(B$47=0,0,G16/B$47)</f>
        <v>2.3809523809523808E-2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37" t="s">
        <v>12</v>
      </c>
      <c r="B17" s="34">
        <v>694</v>
      </c>
      <c r="C17" s="31">
        <f>IF(B$15=0,0,B17/B$15)</f>
        <v>0.40584795321637429</v>
      </c>
      <c r="E17" s="44" t="s">
        <v>81</v>
      </c>
      <c r="F17" s="41" t="s">
        <v>36</v>
      </c>
      <c r="G17" s="34">
        <v>28</v>
      </c>
      <c r="H17" s="107">
        <f>IF(B$47=0,0,G17/B$47)</f>
        <v>1.8018018018018018E-2</v>
      </c>
      <c r="I17" s="68">
        <v>10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37" t="s">
        <v>11</v>
      </c>
      <c r="B18" s="34">
        <v>1016</v>
      </c>
      <c r="C18" s="31">
        <f>IF(B$15=0,0,B18/B$15)</f>
        <v>0.59415204678362576</v>
      </c>
      <c r="E18" s="44" t="s">
        <v>91</v>
      </c>
      <c r="F18" s="41" t="s">
        <v>46</v>
      </c>
      <c r="G18" s="34">
        <v>25</v>
      </c>
      <c r="H18" s="107">
        <f>IF(B$47=0,0,G18/B$47)</f>
        <v>1.6087516087516088E-2</v>
      </c>
      <c r="I18" s="68">
        <v>9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5">
      <c r="A19" s="37" t="s">
        <v>180</v>
      </c>
      <c r="B19" s="34">
        <v>808</v>
      </c>
      <c r="C19" s="31">
        <f>IF(B$15=0,0,B19/B$15)</f>
        <v>0.47251461988304094</v>
      </c>
      <c r="E19" s="44" t="s">
        <v>79</v>
      </c>
      <c r="F19" s="41" t="s">
        <v>34</v>
      </c>
      <c r="G19" s="34">
        <v>16</v>
      </c>
      <c r="H19" s="107">
        <f>IF(B$47=0,0,G19/B$47)</f>
        <v>1.0296010296010296E-2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178</v>
      </c>
      <c r="B20" s="34">
        <v>480</v>
      </c>
      <c r="C20" s="31">
        <f>IF(B$15=0,0,B20/B$15)</f>
        <v>0.2807017543859649</v>
      </c>
      <c r="E20" s="44" t="s">
        <v>77</v>
      </c>
      <c r="F20" s="41" t="s">
        <v>32</v>
      </c>
      <c r="G20" s="34">
        <v>11</v>
      </c>
      <c r="H20" s="107">
        <f>IF(B$47=0,0,G20/B$47)</f>
        <v>7.0785070785070788E-3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26.026666666666664</v>
      </c>
      <c r="P20" s="93">
        <v>15</v>
      </c>
      <c r="Q20" s="81">
        <v>390.4</v>
      </c>
    </row>
    <row r="21" spans="1:17" x14ac:dyDescent="0.45">
      <c r="A21" s="37" t="s">
        <v>179</v>
      </c>
      <c r="B21" s="34">
        <v>422</v>
      </c>
      <c r="C21" s="31">
        <f>IF(B$15=0,0,B21/B$15)</f>
        <v>0.24678362573099416</v>
      </c>
      <c r="E21" s="44" t="s">
        <v>85</v>
      </c>
      <c r="F21" s="41" t="s">
        <v>40</v>
      </c>
      <c r="G21" s="34">
        <v>11</v>
      </c>
      <c r="H21" s="107">
        <f>IF(B$47=0,0,G21/B$47)</f>
        <v>7.0785070785070788E-3</v>
      </c>
      <c r="I21" s="68">
        <v>2</v>
      </c>
      <c r="K21" s="5">
        <v>19</v>
      </c>
      <c r="L21" s="73">
        <v>42.600000000000016</v>
      </c>
      <c r="N21" s="89" t="s">
        <v>187</v>
      </c>
      <c r="O21" s="99">
        <f>IF(P21=0,0,Q21/P21)</f>
        <v>19.551937984496128</v>
      </c>
      <c r="P21" s="93">
        <v>129</v>
      </c>
      <c r="Q21" s="81">
        <v>2522.2000000000003</v>
      </c>
    </row>
    <row r="22" spans="1:17" x14ac:dyDescent="0.45">
      <c r="A22" s="37" t="s">
        <v>5</v>
      </c>
      <c r="B22" s="17">
        <f>IF(B$15=0,0,C22/B$15)</f>
        <v>9260.8187134502932</v>
      </c>
      <c r="C22" s="8">
        <v>15836000</v>
      </c>
      <c r="E22" s="44" t="s">
        <v>92</v>
      </c>
      <c r="F22" s="41" t="s">
        <v>47</v>
      </c>
      <c r="G22" s="34">
        <v>10</v>
      </c>
      <c r="H22" s="107">
        <f>IF(B$47=0,0,G22/B$47)</f>
        <v>6.4350064350064346E-3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19.296129032258065</v>
      </c>
      <c r="P22" s="93">
        <v>155</v>
      </c>
      <c r="Q22" s="81">
        <v>2990.9</v>
      </c>
    </row>
    <row r="23" spans="1:17" x14ac:dyDescent="0.45">
      <c r="A23" s="38" t="s">
        <v>162</v>
      </c>
      <c r="B23" s="114">
        <f>IF($B$15-B$14=0,0,C23/($B$15-B$14))</f>
        <v>9585.203252032521</v>
      </c>
      <c r="C23" s="115">
        <v>11789800</v>
      </c>
      <c r="E23" s="44" t="s">
        <v>75</v>
      </c>
      <c r="F23" s="41" t="s">
        <v>30</v>
      </c>
      <c r="G23" s="34">
        <v>9</v>
      </c>
      <c r="H23" s="107">
        <f>IF(B$47=0,0,G23/B$47)</f>
        <v>5.7915057915057912E-3</v>
      </c>
      <c r="I23" s="68">
        <v>6</v>
      </c>
      <c r="K23" s="5">
        <v>21</v>
      </c>
      <c r="L23" s="73">
        <v>125.30000000000001</v>
      </c>
      <c r="N23" s="89" t="s">
        <v>190</v>
      </c>
      <c r="O23" s="99">
        <f>IF(P23=0,0,Q23/P23)</f>
        <v>14.432631578947369</v>
      </c>
      <c r="P23" s="93">
        <v>285</v>
      </c>
      <c r="Q23" s="81">
        <v>4113.3</v>
      </c>
    </row>
    <row r="24" spans="1:17" x14ac:dyDescent="0.45">
      <c r="A24" s="38" t="s">
        <v>163</v>
      </c>
      <c r="B24" s="114">
        <f>IF(B$14=0,0,C24/B$14)</f>
        <v>8429.5833333333339</v>
      </c>
      <c r="C24" s="115">
        <v>4046200</v>
      </c>
      <c r="E24" s="44" t="s">
        <v>73</v>
      </c>
      <c r="F24" s="41" t="s">
        <v>28</v>
      </c>
      <c r="G24" s="34">
        <v>7</v>
      </c>
      <c r="H24" s="107">
        <f>IF(B$47=0,0,G24/B$47)</f>
        <v>4.5045045045045045E-3</v>
      </c>
      <c r="I24" s="68">
        <v>9</v>
      </c>
      <c r="K24" s="5">
        <v>22</v>
      </c>
      <c r="L24" s="73">
        <v>99.800000000000011</v>
      </c>
      <c r="N24" s="89" t="s">
        <v>193</v>
      </c>
      <c r="O24" s="99">
        <f>IF(P24=0,0,Q24/P24)</f>
        <v>13.289000000000005</v>
      </c>
      <c r="P24" s="93">
        <v>300</v>
      </c>
      <c r="Q24" s="81">
        <v>3986.7000000000016</v>
      </c>
    </row>
    <row r="25" spans="1:17" x14ac:dyDescent="0.45">
      <c r="A25" s="38" t="s">
        <v>161</v>
      </c>
      <c r="B25" s="114">
        <f>IF(B$16=0,0,C25/B$16)</f>
        <v>-8506.1340941512117</v>
      </c>
      <c r="C25" s="115">
        <v>-5962800</v>
      </c>
      <c r="E25" s="44" t="s">
        <v>90</v>
      </c>
      <c r="F25" s="41" t="s">
        <v>45</v>
      </c>
      <c r="G25" s="34">
        <v>5</v>
      </c>
      <c r="H25" s="107">
        <f>IF(B$47=0,0,G25/B$47)</f>
        <v>3.2175032175032173E-3</v>
      </c>
      <c r="I25" s="68">
        <v>3</v>
      </c>
      <c r="K25" s="5">
        <v>23</v>
      </c>
      <c r="L25" s="73">
        <v>124.50000000000001</v>
      </c>
      <c r="N25" s="89" t="s">
        <v>189</v>
      </c>
      <c r="O25" s="99">
        <f>IF(P25=0,0,Q25/P25)</f>
        <v>8</v>
      </c>
      <c r="P25" s="93">
        <v>1</v>
      </c>
      <c r="Q25" s="81">
        <v>8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4</v>
      </c>
      <c r="H26" s="107">
        <f>IF(B$47=0,0,G26/B$47)</f>
        <v>2.5740025740025739E-3</v>
      </c>
      <c r="I26" s="68">
        <v>5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7" t="s">
        <v>156</v>
      </c>
      <c r="B27" s="34">
        <v>43</v>
      </c>
      <c r="C27" s="109">
        <v>0</v>
      </c>
      <c r="E27" s="44" t="s">
        <v>88</v>
      </c>
      <c r="F27" s="41" t="s">
        <v>43</v>
      </c>
      <c r="G27" s="34">
        <v>4</v>
      </c>
      <c r="H27" s="107">
        <f>IF(B$47=0,0,G27/B$47)</f>
        <v>2.5740025740025739E-3</v>
      </c>
      <c r="I27" s="68">
        <v>2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64" t="s">
        <v>134</v>
      </c>
      <c r="B28" s="131">
        <v>10</v>
      </c>
      <c r="C28" s="132"/>
      <c r="E28" s="44" t="s">
        <v>95</v>
      </c>
      <c r="F28" s="41" t="s">
        <v>50</v>
      </c>
      <c r="G28" s="34">
        <v>4</v>
      </c>
      <c r="H28" s="107">
        <f>IF(B$47=0,0,G28/B$47)</f>
        <v>2.5740025740025739E-3</v>
      </c>
      <c r="I28" s="68">
        <v>2</v>
      </c>
      <c r="K28" s="5">
        <v>26</v>
      </c>
      <c r="L28" s="73">
        <v>108.20000000000002</v>
      </c>
      <c r="N28" s="89" t="s">
        <v>191</v>
      </c>
      <c r="O28" s="99">
        <f>IF(P28=0,0,Q28/P28)</f>
        <v>4.5608695652173905</v>
      </c>
      <c r="P28" s="93">
        <v>207</v>
      </c>
      <c r="Q28" s="81">
        <v>944.09999999999991</v>
      </c>
    </row>
    <row r="29" spans="1:17" x14ac:dyDescent="0.45">
      <c r="A29" s="40" t="s">
        <v>177</v>
      </c>
      <c r="B29" s="129">
        <v>149100</v>
      </c>
      <c r="C29" s="130"/>
      <c r="E29" s="44" t="s">
        <v>74</v>
      </c>
      <c r="F29" s="41" t="s">
        <v>29</v>
      </c>
      <c r="G29" s="34">
        <v>3</v>
      </c>
      <c r="H29" s="107">
        <f>IF(B$47=0,0,G29/B$47)</f>
        <v>1.9305019305019305E-3</v>
      </c>
      <c r="I29" s="68">
        <v>8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9" t="s">
        <v>135</v>
      </c>
      <c r="B30" s="27">
        <v>4</v>
      </c>
      <c r="C30" s="32">
        <f>IF(B$3=0,0,B30/B$3)</f>
        <v>8.0971659919028337E-4</v>
      </c>
      <c r="E30" s="44" t="s">
        <v>87</v>
      </c>
      <c r="F30" s="41" t="s">
        <v>42</v>
      </c>
      <c r="G30" s="34">
        <v>3</v>
      </c>
      <c r="H30" s="107">
        <f>IF(B$47=0,0,G30/B$47)</f>
        <v>1.9305019305019305E-3</v>
      </c>
      <c r="I30" s="68">
        <v>5</v>
      </c>
      <c r="K30" s="5">
        <v>28</v>
      </c>
      <c r="L30" s="73">
        <v>129.20000000000002</v>
      </c>
    </row>
    <row r="31" spans="1:17" x14ac:dyDescent="0.45">
      <c r="E31" s="44" t="s">
        <v>93</v>
      </c>
      <c r="F31" s="41" t="s">
        <v>48</v>
      </c>
      <c r="G31" s="34">
        <v>3</v>
      </c>
      <c r="H31" s="107">
        <f>IF(B$47=0,0,G31/B$47)</f>
        <v>1.9305019305019305E-3</v>
      </c>
      <c r="I31" s="68">
        <v>6</v>
      </c>
      <c r="K31" s="5">
        <v>29</v>
      </c>
      <c r="L31" s="73">
        <v>120.80000000000001</v>
      </c>
    </row>
    <row r="32" spans="1:17" x14ac:dyDescent="0.45">
      <c r="A32" s="64" t="s">
        <v>168</v>
      </c>
      <c r="B32" s="122">
        <v>102</v>
      </c>
      <c r="C32" s="119">
        <f>IF(B$15=0,0,B32/B$15)</f>
        <v>5.9649122807017542E-2</v>
      </c>
      <c r="E32" s="44" t="s">
        <v>106</v>
      </c>
      <c r="F32" s="41" t="s">
        <v>113</v>
      </c>
      <c r="G32" s="34">
        <v>2</v>
      </c>
      <c r="H32" s="107">
        <f>IF(B$47=0,0,G32/B$47)</f>
        <v>1.287001287001287E-3</v>
      </c>
      <c r="I32" s="68">
        <v>2</v>
      </c>
      <c r="K32" s="5">
        <v>30</v>
      </c>
      <c r="L32" s="73">
        <v>174.10000000000002</v>
      </c>
    </row>
    <row r="33" spans="1:12" x14ac:dyDescent="0.45">
      <c r="A33" s="37" t="s">
        <v>164</v>
      </c>
      <c r="B33" s="34">
        <v>209</v>
      </c>
      <c r="C33" s="31">
        <f t="shared" ref="C33:C44" si="2">IF(B$15=0,0,B33/B$15)</f>
        <v>0.12222222222222222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5">
      <c r="A34" s="37" t="s">
        <v>165</v>
      </c>
      <c r="B34" s="123">
        <v>301</v>
      </c>
      <c r="C34" s="31">
        <f>IF(B$15=0,0,B34/B$15)</f>
        <v>0.1760233918128655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5">
      <c r="A35" s="37" t="s">
        <v>166</v>
      </c>
      <c r="B35" s="123">
        <v>311</v>
      </c>
      <c r="C35" s="31">
        <f t="shared" si="2"/>
        <v>0.18187134502923977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37" t="s">
        <v>167</v>
      </c>
      <c r="B36" s="123">
        <v>229</v>
      </c>
      <c r="C36" s="31">
        <f t="shared" si="2"/>
        <v>0.13391812865497077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169</v>
      </c>
      <c r="B37" s="123">
        <v>167</v>
      </c>
      <c r="C37" s="31">
        <f t="shared" si="2"/>
        <v>9.7660818713450295E-2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170</v>
      </c>
      <c r="B38" s="123">
        <v>108</v>
      </c>
      <c r="C38" s="31">
        <f t="shared" si="2"/>
        <v>6.3157894736842107E-2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171</v>
      </c>
      <c r="B39" s="123">
        <v>49</v>
      </c>
      <c r="C39" s="31">
        <f t="shared" si="2"/>
        <v>2.8654970760233919E-2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172</v>
      </c>
      <c r="B40" s="123">
        <v>31</v>
      </c>
      <c r="C40" s="31">
        <f t="shared" si="2"/>
        <v>1.8128654970760234E-2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173</v>
      </c>
      <c r="B41" s="123">
        <v>12</v>
      </c>
      <c r="C41" s="31">
        <f t="shared" si="2"/>
        <v>7.0175438596491229E-3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174</v>
      </c>
      <c r="B42" s="123">
        <v>8</v>
      </c>
      <c r="C42" s="31">
        <f t="shared" si="2"/>
        <v>4.6783625730994153E-3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175</v>
      </c>
      <c r="B43" s="123">
        <v>3</v>
      </c>
      <c r="C43" s="31">
        <f t="shared" si="2"/>
        <v>1.7543859649122807E-3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9" t="s">
        <v>176</v>
      </c>
      <c r="B44" s="124">
        <v>24</v>
      </c>
      <c r="C44" s="32">
        <f t="shared" si="2"/>
        <v>1.4035087719298246E-2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64" t="s">
        <v>181</v>
      </c>
      <c r="B46" s="127">
        <v>4484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9" t="s">
        <v>182</v>
      </c>
      <c r="B47" s="125">
        <v>1554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5">
      <c r="K53" s="5">
        <v>51</v>
      </c>
      <c r="L53" s="73">
        <v>145.80000000000004</v>
      </c>
    </row>
    <row r="54" spans="5:12" x14ac:dyDescent="0.45">
      <c r="K54" s="5">
        <v>52</v>
      </c>
      <c r="L54" s="73">
        <v>139.10000000000005</v>
      </c>
    </row>
    <row r="55" spans="5:12" x14ac:dyDescent="0.45">
      <c r="K55" s="5">
        <v>53</v>
      </c>
      <c r="L55" s="73">
        <v>111.10000000000005</v>
      </c>
    </row>
    <row r="56" spans="5:12" x14ac:dyDescent="0.45">
      <c r="K56" s="5">
        <v>54</v>
      </c>
      <c r="L56" s="73">
        <v>127.80000000000005</v>
      </c>
    </row>
    <row r="57" spans="5:12" x14ac:dyDescent="0.45">
      <c r="K57" s="5">
        <v>55</v>
      </c>
      <c r="L57" s="73">
        <v>120.80000000000005</v>
      </c>
    </row>
    <row r="58" spans="5:12" x14ac:dyDescent="0.45">
      <c r="K58" s="5">
        <v>56</v>
      </c>
      <c r="L58" s="73">
        <v>152.40000000000006</v>
      </c>
    </row>
    <row r="59" spans="5:12" x14ac:dyDescent="0.45">
      <c r="K59" s="5">
        <v>57</v>
      </c>
      <c r="L59" s="73">
        <v>168.20000000000007</v>
      </c>
    </row>
    <row r="60" spans="5:12" x14ac:dyDescent="0.45">
      <c r="K60" s="5">
        <v>58</v>
      </c>
      <c r="L60" s="73">
        <v>225.20000000000007</v>
      </c>
    </row>
    <row r="61" spans="5:12" x14ac:dyDescent="0.45">
      <c r="K61" s="5">
        <v>59</v>
      </c>
      <c r="L61" s="73">
        <v>230.50000000000009</v>
      </c>
    </row>
    <row r="62" spans="5:12" x14ac:dyDescent="0.45">
      <c r="K62" s="5">
        <v>60</v>
      </c>
      <c r="L62" s="73">
        <v>184.40000000000009</v>
      </c>
    </row>
    <row r="63" spans="5:12" x14ac:dyDescent="0.45">
      <c r="K63" s="5">
        <v>61</v>
      </c>
      <c r="L63" s="73">
        <v>205.50000000000009</v>
      </c>
    </row>
    <row r="64" spans="5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10CA9-4FF1-4424-A033-18B3A75716C2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18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7">
        <v>25</v>
      </c>
      <c r="C3" s="138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17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9">
        <v>-132.1</v>
      </c>
      <c r="C4" s="140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18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41">
        <f>IF(B$2=0,0,B$4/B$2)</f>
        <v>-33.024999999999999</v>
      </c>
      <c r="C5" s="142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18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3">
        <f>IF(B$2=0,0,(B$7*1+B$8*2+B$9*3)/B$2)</f>
        <v>3</v>
      </c>
      <c r="C6" s="134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18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17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15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17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13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14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14</v>
      </c>
    </row>
    <row r="20" spans="1:17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5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7</v>
      </c>
    </row>
    <row r="23" spans="1:17" x14ac:dyDescent="0.45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8</v>
      </c>
    </row>
    <row r="24" spans="1:17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5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5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5">
      <c r="A28" s="64" t="s">
        <v>134</v>
      </c>
      <c r="B28" s="131">
        <v>0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13000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17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59FA-B3A2-4D4F-B9EC-1C95AEDBD7EF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7</v>
      </c>
      <c r="C2" s="128"/>
      <c r="E2" s="43" t="s">
        <v>66</v>
      </c>
      <c r="F2" s="25" t="s">
        <v>22</v>
      </c>
      <c r="G2" s="13">
        <v>13</v>
      </c>
      <c r="H2" s="106">
        <f>IF(B$47=0,0,G2/B$47)</f>
        <v>0.8666666666666667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-6028.5714285714284</v>
      </c>
      <c r="P2" s="92">
        <v>7</v>
      </c>
      <c r="Q2" s="76">
        <v>-42200</v>
      </c>
    </row>
    <row r="3" spans="1:17" x14ac:dyDescent="0.45">
      <c r="A3" s="37" t="s">
        <v>8</v>
      </c>
      <c r="B3" s="137">
        <v>53</v>
      </c>
      <c r="C3" s="138"/>
      <c r="E3" s="44" t="s">
        <v>64</v>
      </c>
      <c r="F3" s="41" t="s">
        <v>20</v>
      </c>
      <c r="G3" s="34">
        <v>10</v>
      </c>
      <c r="H3" s="107">
        <f>IF(B$47=0,0,G3/B$47)</f>
        <v>0.66666666666666663</v>
      </c>
      <c r="I3" s="68">
        <v>1</v>
      </c>
      <c r="K3" s="5">
        <v>1</v>
      </c>
      <c r="L3" s="73">
        <v>7</v>
      </c>
      <c r="N3" s="89" t="s">
        <v>127</v>
      </c>
      <c r="O3" s="96">
        <f t="shared" si="0"/>
        <v>-416.66666666666669</v>
      </c>
      <c r="P3" s="93">
        <v>6</v>
      </c>
      <c r="Q3" s="77">
        <v>-2500</v>
      </c>
    </row>
    <row r="4" spans="1:17" x14ac:dyDescent="0.45">
      <c r="A4" s="37" t="s">
        <v>6</v>
      </c>
      <c r="B4" s="139">
        <v>4.8999999999999986</v>
      </c>
      <c r="C4" s="140"/>
      <c r="E4" s="44" t="s">
        <v>72</v>
      </c>
      <c r="F4" s="41" t="s">
        <v>27</v>
      </c>
      <c r="G4" s="34">
        <v>9</v>
      </c>
      <c r="H4" s="107">
        <f>IF(B$47=0,0,G4/B$47)</f>
        <v>0.6</v>
      </c>
      <c r="I4" s="68">
        <v>4</v>
      </c>
      <c r="K4" s="5">
        <v>2</v>
      </c>
      <c r="L4" s="73">
        <v>-24.5</v>
      </c>
      <c r="N4" s="89" t="s">
        <v>128</v>
      </c>
      <c r="O4" s="96">
        <f t="shared" si="0"/>
        <v>-2433.3333333333335</v>
      </c>
      <c r="P4" s="93">
        <v>6</v>
      </c>
      <c r="Q4" s="77">
        <v>-14600</v>
      </c>
    </row>
    <row r="5" spans="1:17" x14ac:dyDescent="0.45">
      <c r="A5" s="37" t="s">
        <v>7</v>
      </c>
      <c r="B5" s="141">
        <f>IF(B$2=0,0,B$4/B$2)</f>
        <v>0.69999999999999984</v>
      </c>
      <c r="C5" s="142"/>
      <c r="E5" s="44" t="s">
        <v>67</v>
      </c>
      <c r="F5" s="41" t="s">
        <v>23</v>
      </c>
      <c r="G5" s="34">
        <v>4</v>
      </c>
      <c r="H5" s="107">
        <f>IF(B$47=0,0,G5/B$47)</f>
        <v>0.26666666666666666</v>
      </c>
      <c r="I5" s="68">
        <v>10</v>
      </c>
      <c r="K5" s="5">
        <v>3</v>
      </c>
      <c r="L5" s="73">
        <v>-26.5</v>
      </c>
      <c r="N5" s="89" t="s">
        <v>129</v>
      </c>
      <c r="O5" s="96">
        <f t="shared" si="0"/>
        <v>4860</v>
      </c>
      <c r="P5" s="93">
        <v>5</v>
      </c>
      <c r="Q5" s="77">
        <v>24300</v>
      </c>
    </row>
    <row r="6" spans="1:17" x14ac:dyDescent="0.45">
      <c r="A6" s="37" t="s">
        <v>1</v>
      </c>
      <c r="B6" s="133">
        <f>IF(B$2=0,0,(B$7*1+B$8*2+B$9*3)/B$2)</f>
        <v>1.8571428571428572</v>
      </c>
      <c r="C6" s="134"/>
      <c r="E6" s="44" t="s">
        <v>68</v>
      </c>
      <c r="F6" s="41" t="s">
        <v>12</v>
      </c>
      <c r="G6" s="34">
        <v>3</v>
      </c>
      <c r="H6" s="107">
        <f>IF(B$47=0,0,G6/B$47)</f>
        <v>0.2</v>
      </c>
      <c r="I6" s="68">
        <v>16</v>
      </c>
      <c r="K6" s="5">
        <v>4</v>
      </c>
      <c r="L6" s="73">
        <v>-15.5</v>
      </c>
      <c r="N6" s="89" t="s">
        <v>130</v>
      </c>
      <c r="O6" s="96">
        <f t="shared" si="0"/>
        <v>11375</v>
      </c>
      <c r="P6" s="93">
        <v>4</v>
      </c>
      <c r="Q6" s="77">
        <v>45500</v>
      </c>
    </row>
    <row r="7" spans="1:17" x14ac:dyDescent="0.45">
      <c r="A7" s="37" t="s">
        <v>2</v>
      </c>
      <c r="B7" s="34">
        <v>2</v>
      </c>
      <c r="C7" s="31">
        <f t="shared" ref="C7:C10" si="1">IF(B$2=0,0,B7/B$2)</f>
        <v>0.2857142857142857</v>
      </c>
      <c r="E7" s="44" t="s">
        <v>89</v>
      </c>
      <c r="F7" s="41" t="s">
        <v>44</v>
      </c>
      <c r="G7" s="34">
        <v>3</v>
      </c>
      <c r="H7" s="107">
        <f>IF(B$47=0,0,G7/B$47)</f>
        <v>0.2</v>
      </c>
      <c r="I7" s="68">
        <v>2</v>
      </c>
      <c r="K7" s="5">
        <v>5</v>
      </c>
      <c r="L7" s="73">
        <v>2.1000000000000014</v>
      </c>
      <c r="N7" s="90" t="s">
        <v>131</v>
      </c>
      <c r="O7" s="97">
        <f t="shared" si="0"/>
        <v>-325</v>
      </c>
      <c r="P7" s="94">
        <v>4</v>
      </c>
      <c r="Q7" s="78">
        <v>-1300</v>
      </c>
    </row>
    <row r="8" spans="1:17" x14ac:dyDescent="0.45">
      <c r="A8" s="37" t="s">
        <v>3</v>
      </c>
      <c r="B8" s="34">
        <v>4</v>
      </c>
      <c r="C8" s="31">
        <f t="shared" si="1"/>
        <v>0.5714285714285714</v>
      </c>
      <c r="E8" s="44" t="s">
        <v>69</v>
      </c>
      <c r="F8" s="41" t="s">
        <v>24</v>
      </c>
      <c r="G8" s="34">
        <v>2</v>
      </c>
      <c r="H8" s="107">
        <f>IF(B$47=0,0,G8/B$47)</f>
        <v>0.13333333333333333</v>
      </c>
      <c r="I8" s="68">
        <v>11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1</v>
      </c>
      <c r="C9" s="7">
        <f t="shared" si="1"/>
        <v>0.14285714285714285</v>
      </c>
      <c r="E9" s="44" t="s">
        <v>71</v>
      </c>
      <c r="F9" s="41" t="s">
        <v>26</v>
      </c>
      <c r="G9" s="34">
        <v>2</v>
      </c>
      <c r="H9" s="107">
        <f>IF(B$47=0,0,G9/B$47)</f>
        <v>0.13333333333333333</v>
      </c>
      <c r="I9" s="68">
        <v>1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86</v>
      </c>
      <c r="F10" s="41" t="s">
        <v>41</v>
      </c>
      <c r="G10" s="34">
        <v>2</v>
      </c>
      <c r="H10" s="107">
        <f>IF(B$47=0,0,G10/B$47)</f>
        <v>0.13333333333333333</v>
      </c>
      <c r="I10" s="68">
        <v>2</v>
      </c>
      <c r="N10" s="88" t="s">
        <v>149</v>
      </c>
      <c r="O10" s="98">
        <f>IF(P10=0,0,Q10/P10)</f>
        <v>1.3999999999999995</v>
      </c>
      <c r="P10" s="92">
        <v>2</v>
      </c>
      <c r="Q10" s="80">
        <v>2.7999999999999989</v>
      </c>
    </row>
    <row r="11" spans="1:17" x14ac:dyDescent="0.45">
      <c r="A11" s="40" t="s">
        <v>121</v>
      </c>
      <c r="B11" s="16">
        <v>19</v>
      </c>
      <c r="C11" s="11">
        <f>IF(B$46=0,0,B11/B$46)</f>
        <v>0.39583333333333331</v>
      </c>
      <c r="E11" s="44" t="s">
        <v>65</v>
      </c>
      <c r="F11" s="41" t="s">
        <v>21</v>
      </c>
      <c r="G11" s="34">
        <v>1</v>
      </c>
      <c r="H11" s="107">
        <f>IF(B$47=0,0,G11/B$47)</f>
        <v>6.6666666666666666E-2</v>
      </c>
      <c r="I11" s="68">
        <v>16</v>
      </c>
      <c r="N11" s="89" t="s">
        <v>150</v>
      </c>
      <c r="O11" s="99">
        <f>IF(P11=0,0,Q11/P11)</f>
        <v>11.866666666666667</v>
      </c>
      <c r="P11" s="93">
        <v>3</v>
      </c>
      <c r="Q11" s="81">
        <v>35.6</v>
      </c>
    </row>
    <row r="12" spans="1:17" x14ac:dyDescent="0.45">
      <c r="A12" s="37" t="s">
        <v>118</v>
      </c>
      <c r="B12" s="34">
        <v>6</v>
      </c>
      <c r="C12" s="31">
        <f>IF(B$46=0,0,B12/B$46)</f>
        <v>0.125</v>
      </c>
      <c r="E12" s="44" t="s">
        <v>70</v>
      </c>
      <c r="F12" s="41" t="s">
        <v>25</v>
      </c>
      <c r="G12" s="34">
        <v>1</v>
      </c>
      <c r="H12" s="107">
        <f>IF(B$47=0,0,G12/B$47)</f>
        <v>6.6666666666666666E-2</v>
      </c>
      <c r="I12" s="68">
        <v>13</v>
      </c>
      <c r="N12" s="90" t="s">
        <v>151</v>
      </c>
      <c r="O12" s="100">
        <f>IF(P12=0,0,Q12/P12)</f>
        <v>-16.75</v>
      </c>
      <c r="P12" s="94">
        <v>2</v>
      </c>
      <c r="Q12" s="82">
        <v>-33.5</v>
      </c>
    </row>
    <row r="13" spans="1:17" x14ac:dyDescent="0.45">
      <c r="A13" s="19" t="s">
        <v>123</v>
      </c>
      <c r="B13" s="13">
        <v>9</v>
      </c>
      <c r="C13" s="4">
        <f>IF(B$11=0,0,B13/B$11)</f>
        <v>0.47368421052631576</v>
      </c>
      <c r="E13" s="44" t="s">
        <v>79</v>
      </c>
      <c r="F13" s="41" t="s">
        <v>34</v>
      </c>
      <c r="G13" s="34">
        <v>1</v>
      </c>
      <c r="H13" s="107">
        <f>IF(B$47=0,0,G13/B$47)</f>
        <v>6.6666666666666666E-2</v>
      </c>
      <c r="I13" s="68">
        <v>2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0.83333333333333337</v>
      </c>
      <c r="E14" s="44" t="s">
        <v>83</v>
      </c>
      <c r="F14" s="41" t="s">
        <v>38</v>
      </c>
      <c r="G14" s="34">
        <v>1</v>
      </c>
      <c r="H14" s="107">
        <f>IF(B$47=0,0,G14/B$47)</f>
        <v>6.6666666666666666E-2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17</v>
      </c>
      <c r="C15" s="4">
        <f>IF(B$3=0,0,B15/B$3)</f>
        <v>0.32075471698113206</v>
      </c>
      <c r="E15" s="44" t="s">
        <v>157</v>
      </c>
      <c r="F15" s="41" t="s">
        <v>158</v>
      </c>
      <c r="G15" s="34">
        <v>1</v>
      </c>
      <c r="H15" s="107">
        <f>IF(B$47=0,0,G15/B$47)</f>
        <v>6.6666666666666666E-2</v>
      </c>
      <c r="I15" s="68">
        <v>16</v>
      </c>
      <c r="N15" s="88" t="s">
        <v>186</v>
      </c>
      <c r="O15" s="98">
        <f>IF(P15=0,0,Q15/P15)</f>
        <v>58.099999999999994</v>
      </c>
      <c r="P15" s="92">
        <v>1</v>
      </c>
      <c r="Q15" s="80">
        <v>58.099999999999994</v>
      </c>
    </row>
    <row r="16" spans="1:17" x14ac:dyDescent="0.45">
      <c r="A16" s="37" t="s">
        <v>13</v>
      </c>
      <c r="B16" s="34">
        <v>6</v>
      </c>
      <c r="C16" s="31">
        <f>IF(B$3=0,0,B16/B$3)</f>
        <v>0.11320754716981132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37" t="s">
        <v>12</v>
      </c>
      <c r="B17" s="34">
        <v>6</v>
      </c>
      <c r="C17" s="31">
        <f>IF(B$15=0,0,B17/B$15)</f>
        <v>0.35294117647058826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5">
      <c r="A18" s="37" t="s">
        <v>11</v>
      </c>
      <c r="B18" s="34">
        <v>11</v>
      </c>
      <c r="C18" s="31">
        <f>IF(B$15=0,0,B18/B$15)</f>
        <v>0.6470588235294118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  <c r="N18" s="89" t="s">
        <v>191</v>
      </c>
      <c r="O18" s="99">
        <f>IF(P18=0,0,Q18/P18)</f>
        <v>5.0399999999999991</v>
      </c>
      <c r="P18" s="93">
        <v>5</v>
      </c>
      <c r="Q18" s="81">
        <v>25.199999999999996</v>
      </c>
    </row>
    <row r="19" spans="1:17" x14ac:dyDescent="0.45">
      <c r="A19" s="37" t="s">
        <v>180</v>
      </c>
      <c r="B19" s="34">
        <v>9</v>
      </c>
      <c r="C19" s="31">
        <f>IF(B$15=0,0,B19/B$15)</f>
        <v>0.52941176470588236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  <c r="N19" s="89" t="s">
        <v>195</v>
      </c>
      <c r="O19" s="99">
        <f>IF(P19=0,0,Q19/P19)</f>
        <v>-8</v>
      </c>
      <c r="P19" s="93">
        <v>1</v>
      </c>
      <c r="Q19" s="81">
        <v>-8</v>
      </c>
    </row>
    <row r="20" spans="1:17" x14ac:dyDescent="0.45">
      <c r="A20" s="37" t="s">
        <v>178</v>
      </c>
      <c r="B20" s="34">
        <v>5</v>
      </c>
      <c r="C20" s="31">
        <f>IF(B$15=0,0,B20/B$15)</f>
        <v>0.29411764705882354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  <c r="N20" s="89" t="s">
        <v>190</v>
      </c>
      <c r="O20" s="99">
        <f>IF(P20=0,0,Q20/P20)</f>
        <v>-9.3250000000000011</v>
      </c>
      <c r="P20" s="93">
        <v>4</v>
      </c>
      <c r="Q20" s="81">
        <v>-37.300000000000004</v>
      </c>
    </row>
    <row r="21" spans="1:17" x14ac:dyDescent="0.45">
      <c r="A21" s="37" t="s">
        <v>179</v>
      </c>
      <c r="B21" s="34">
        <v>3</v>
      </c>
      <c r="C21" s="31">
        <f>IF(B$15=0,0,B21/B$15)</f>
        <v>0.17647058823529413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  <c r="N21" s="89" t="s">
        <v>193</v>
      </c>
      <c r="O21" s="99">
        <f>IF(P21=0,0,Q21/P21)</f>
        <v>-64.3</v>
      </c>
      <c r="P21" s="93">
        <v>1</v>
      </c>
      <c r="Q21" s="81">
        <v>-64.3</v>
      </c>
    </row>
    <row r="22" spans="1:17" x14ac:dyDescent="0.45">
      <c r="A22" s="37" t="s">
        <v>5</v>
      </c>
      <c r="B22" s="17">
        <f>IF(B$15=0,0,C22/B$15)</f>
        <v>8511.7647058823532</v>
      </c>
      <c r="C22" s="8">
        <v>144700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</row>
    <row r="23" spans="1:17" x14ac:dyDescent="0.45">
      <c r="A23" s="38" t="s">
        <v>162</v>
      </c>
      <c r="B23" s="114">
        <f>IF($B$15-B$14=0,0,C23/($B$15-B$14))</f>
        <v>8633.3333333333339</v>
      </c>
      <c r="C23" s="115">
        <v>103600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5">
      <c r="A24" s="38" t="s">
        <v>163</v>
      </c>
      <c r="B24" s="114">
        <f>IF(B$14=0,0,C24/B$14)</f>
        <v>8220</v>
      </c>
      <c r="C24" s="115">
        <v>41100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-9866.6666666666661</v>
      </c>
      <c r="C25" s="115">
        <v>-59200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17" x14ac:dyDescent="0.45">
      <c r="A27" s="37" t="s">
        <v>156</v>
      </c>
      <c r="B27" s="34">
        <v>20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17" x14ac:dyDescent="0.45">
      <c r="A28" s="64" t="s">
        <v>134</v>
      </c>
      <c r="B28" s="131">
        <v>3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46000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2</v>
      </c>
      <c r="C32" s="119">
        <f>IF(B$15=0,0,B32/B$15)</f>
        <v>0.11764705882352941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2</v>
      </c>
      <c r="C33" s="31">
        <f t="shared" ref="C33:C44" si="2">IF(B$15=0,0,B33/B$15)</f>
        <v>0.11764705882352941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</v>
      </c>
      <c r="C34" s="31">
        <f>IF(B$15=0,0,B34/B$15)</f>
        <v>5.8823529411764705E-2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4</v>
      </c>
      <c r="C35" s="31">
        <f t="shared" si="2"/>
        <v>0.23529411764705882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3</v>
      </c>
      <c r="C36" s="31">
        <f t="shared" si="2"/>
        <v>0.17647058823529413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5.8823529411764705E-2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1</v>
      </c>
      <c r="C38" s="31">
        <f t="shared" si="2"/>
        <v>5.8823529411764705E-2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1</v>
      </c>
      <c r="C41" s="31">
        <f t="shared" si="2"/>
        <v>5.8823529411764705E-2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48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15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B4B8E-4309-4CF6-BE72-F070AE1641F0}">
  <sheetPr codeName="Sheet7"/>
  <dimension ref="A1:Q39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392</v>
      </c>
      <c r="C2" s="128"/>
      <c r="E2" s="43" t="s">
        <v>66</v>
      </c>
      <c r="F2" s="25" t="s">
        <v>22</v>
      </c>
      <c r="G2" s="13">
        <v>584</v>
      </c>
      <c r="H2" s="106">
        <f>IF(B$47=0,0,G2/B$47)</f>
        <v>0.72456575682382129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-171.20822622107968</v>
      </c>
      <c r="P2" s="92">
        <v>389</v>
      </c>
      <c r="Q2" s="76">
        <v>-66600</v>
      </c>
    </row>
    <row r="3" spans="1:17" x14ac:dyDescent="0.45">
      <c r="A3" s="37" t="s">
        <v>8</v>
      </c>
      <c r="B3" s="137">
        <v>3183</v>
      </c>
      <c r="C3" s="138"/>
      <c r="E3" s="44" t="s">
        <v>64</v>
      </c>
      <c r="F3" s="41" t="s">
        <v>20</v>
      </c>
      <c r="G3" s="34">
        <v>475</v>
      </c>
      <c r="H3" s="107">
        <f>IF(B$47=0,0,G3/B$47)</f>
        <v>0.58933002481389574</v>
      </c>
      <c r="I3" s="68">
        <v>4</v>
      </c>
      <c r="K3" s="5">
        <v>1</v>
      </c>
      <c r="L3" s="73">
        <v>40.9</v>
      </c>
      <c r="N3" s="89" t="s">
        <v>127</v>
      </c>
      <c r="O3" s="96">
        <f t="shared" si="0"/>
        <v>-1353.9473684210527</v>
      </c>
      <c r="P3" s="93">
        <v>380</v>
      </c>
      <c r="Q3" s="77">
        <v>-514500</v>
      </c>
    </row>
    <row r="4" spans="1:17" x14ac:dyDescent="0.45">
      <c r="A4" s="37" t="s">
        <v>6</v>
      </c>
      <c r="B4" s="139">
        <v>-1627.3</v>
      </c>
      <c r="C4" s="140"/>
      <c r="E4" s="44" t="s">
        <v>72</v>
      </c>
      <c r="F4" s="41" t="s">
        <v>27</v>
      </c>
      <c r="G4" s="34">
        <v>383</v>
      </c>
      <c r="H4" s="107">
        <f>IF(B$47=0,0,G4/B$47)</f>
        <v>0.47518610421836227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366.57458563535914</v>
      </c>
      <c r="P4" s="93">
        <v>362</v>
      </c>
      <c r="Q4" s="77">
        <v>132700</v>
      </c>
    </row>
    <row r="5" spans="1:17" x14ac:dyDescent="0.45">
      <c r="A5" s="37" t="s">
        <v>7</v>
      </c>
      <c r="B5" s="141">
        <f>IF(B$2=0,0,B$4/B$2)</f>
        <v>-4.1512755102040817</v>
      </c>
      <c r="C5" s="142"/>
      <c r="E5" s="44" t="s">
        <v>68</v>
      </c>
      <c r="F5" s="41" t="s">
        <v>12</v>
      </c>
      <c r="G5" s="34">
        <v>286</v>
      </c>
      <c r="H5" s="107">
        <f>IF(B$47=0,0,G5/B$47)</f>
        <v>0.35483870967741937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-577.10843373493981</v>
      </c>
      <c r="P5" s="93">
        <v>332</v>
      </c>
      <c r="Q5" s="77">
        <v>-191600</v>
      </c>
    </row>
    <row r="6" spans="1:17" x14ac:dyDescent="0.45">
      <c r="A6" s="37" t="s">
        <v>1</v>
      </c>
      <c r="B6" s="133">
        <f>IF(B$2=0,0,(B$7*1+B$8*2+B$9*3)/B$2)</f>
        <v>2.1071428571428572</v>
      </c>
      <c r="C6" s="134"/>
      <c r="E6" s="44" t="s">
        <v>67</v>
      </c>
      <c r="F6" s="41" t="s">
        <v>23</v>
      </c>
      <c r="G6" s="34">
        <v>271</v>
      </c>
      <c r="H6" s="107">
        <f>IF(B$47=0,0,G6/B$47)</f>
        <v>0.33622828784119108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-1252.8813559322034</v>
      </c>
      <c r="P6" s="93">
        <v>295</v>
      </c>
      <c r="Q6" s="77">
        <v>-369600</v>
      </c>
    </row>
    <row r="7" spans="1:17" x14ac:dyDescent="0.45">
      <c r="A7" s="37" t="s">
        <v>2</v>
      </c>
      <c r="B7" s="34">
        <v>104</v>
      </c>
      <c r="C7" s="31">
        <f t="shared" ref="C7:C10" si="1">IF(B$2=0,0,B7/B$2)</f>
        <v>0.26530612244897961</v>
      </c>
      <c r="E7" s="44" t="s">
        <v>157</v>
      </c>
      <c r="F7" s="41" t="s">
        <v>158</v>
      </c>
      <c r="G7" s="34">
        <v>244</v>
      </c>
      <c r="H7" s="107">
        <f>IF(B$47=0,0,G7/B$47)</f>
        <v>0.30272952853598017</v>
      </c>
      <c r="I7" s="68">
        <v>7</v>
      </c>
      <c r="K7" s="5">
        <v>5</v>
      </c>
      <c r="L7" s="73">
        <v>14.600000000000001</v>
      </c>
      <c r="N7" s="90" t="s">
        <v>131</v>
      </c>
      <c r="O7" s="97">
        <f t="shared" si="0"/>
        <v>-921.91235059760959</v>
      </c>
      <c r="P7" s="94">
        <v>251</v>
      </c>
      <c r="Q7" s="78">
        <v>-231400</v>
      </c>
    </row>
    <row r="8" spans="1:17" x14ac:dyDescent="0.45">
      <c r="A8" s="37" t="s">
        <v>3</v>
      </c>
      <c r="B8" s="34">
        <v>142</v>
      </c>
      <c r="C8" s="31">
        <f t="shared" si="1"/>
        <v>0.36224489795918369</v>
      </c>
      <c r="E8" s="44" t="s">
        <v>69</v>
      </c>
      <c r="F8" s="41" t="s">
        <v>24</v>
      </c>
      <c r="G8" s="34">
        <v>145</v>
      </c>
      <c r="H8" s="107">
        <f>IF(B$47=0,0,G8/B$47)</f>
        <v>0.17990074441687345</v>
      </c>
      <c r="I8" s="68">
        <v>2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146</v>
      </c>
      <c r="C9" s="7">
        <f t="shared" si="1"/>
        <v>0.37244897959183676</v>
      </c>
      <c r="E9" s="44" t="s">
        <v>65</v>
      </c>
      <c r="F9" s="41" t="s">
        <v>21</v>
      </c>
      <c r="G9" s="34">
        <v>110</v>
      </c>
      <c r="H9" s="107">
        <f>IF(B$47=0,0,G9/B$47)</f>
        <v>0.13647642679900746</v>
      </c>
      <c r="I9" s="68">
        <v>2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56</v>
      </c>
      <c r="C10" s="32">
        <f t="shared" si="1"/>
        <v>0.14285714285714285</v>
      </c>
      <c r="E10" s="44" t="s">
        <v>89</v>
      </c>
      <c r="F10" s="41" t="s">
        <v>44</v>
      </c>
      <c r="G10" s="34">
        <v>107</v>
      </c>
      <c r="H10" s="107">
        <f>IF(B$47=0,0,G10/B$47)</f>
        <v>0.13275434243176179</v>
      </c>
      <c r="I10" s="68">
        <v>8</v>
      </c>
      <c r="K10" s="5">
        <v>8</v>
      </c>
      <c r="L10" s="73">
        <v>60.199999999999996</v>
      </c>
      <c r="N10" s="88" t="s">
        <v>149</v>
      </c>
      <c r="O10" s="98">
        <f>IF(P10=0,0,Q10/P10)</f>
        <v>-6.2234177215189881</v>
      </c>
      <c r="P10" s="92">
        <v>158</v>
      </c>
      <c r="Q10" s="80">
        <v>-983.30000000000018</v>
      </c>
    </row>
    <row r="11" spans="1:17" x14ac:dyDescent="0.45">
      <c r="A11" s="40" t="s">
        <v>121</v>
      </c>
      <c r="B11" s="16">
        <v>849</v>
      </c>
      <c r="C11" s="11">
        <f>IF(B$46=0,0,B11/B$46)</f>
        <v>0.29055441478439425</v>
      </c>
      <c r="E11" s="44" t="s">
        <v>70</v>
      </c>
      <c r="F11" s="41" t="s">
        <v>25</v>
      </c>
      <c r="G11" s="34">
        <v>104</v>
      </c>
      <c r="H11" s="107">
        <f>IF(B$47=0,0,G11/B$47)</f>
        <v>0.12903225806451613</v>
      </c>
      <c r="I11" s="68">
        <v>2</v>
      </c>
      <c r="K11" s="5">
        <v>9</v>
      </c>
      <c r="L11" s="73">
        <v>24.4</v>
      </c>
      <c r="N11" s="89" t="s">
        <v>150</v>
      </c>
      <c r="O11" s="99">
        <f>IF(P11=0,0,Q11/P11)</f>
        <v>-4.8967213114754102</v>
      </c>
      <c r="P11" s="93">
        <v>122</v>
      </c>
      <c r="Q11" s="81">
        <v>-597.40000000000009</v>
      </c>
    </row>
    <row r="12" spans="1:17" x14ac:dyDescent="0.45">
      <c r="A12" s="37" t="s">
        <v>118</v>
      </c>
      <c r="B12" s="34">
        <v>530</v>
      </c>
      <c r="C12" s="31">
        <f>IF(B$46=0,0,B12/B$46)</f>
        <v>0.18138261464750172</v>
      </c>
      <c r="E12" s="44" t="s">
        <v>86</v>
      </c>
      <c r="F12" s="41" t="s">
        <v>41</v>
      </c>
      <c r="G12" s="34">
        <v>49</v>
      </c>
      <c r="H12" s="107">
        <f>IF(B$47=0,0,G12/B$47)</f>
        <v>6.0794044665012405E-2</v>
      </c>
      <c r="I12" s="68">
        <v>9</v>
      </c>
      <c r="K12" s="5">
        <v>10</v>
      </c>
      <c r="L12" s="73">
        <v>-20.100000000000001</v>
      </c>
      <c r="N12" s="90" t="s">
        <v>151</v>
      </c>
      <c r="O12" s="100">
        <f>IF(P12=0,0,Q12/P12)</f>
        <v>-0.87027027027026982</v>
      </c>
      <c r="P12" s="94">
        <v>111</v>
      </c>
      <c r="Q12" s="82">
        <v>-96.599999999999952</v>
      </c>
    </row>
    <row r="13" spans="1:17" x14ac:dyDescent="0.45">
      <c r="A13" s="19" t="s">
        <v>123</v>
      </c>
      <c r="B13" s="13">
        <v>489</v>
      </c>
      <c r="C13" s="4">
        <f>IF(B$11=0,0,B13/B$11)</f>
        <v>0.57597173144876324</v>
      </c>
      <c r="E13" s="44" t="s">
        <v>83</v>
      </c>
      <c r="F13" s="41" t="s">
        <v>38</v>
      </c>
      <c r="G13" s="34">
        <v>41</v>
      </c>
      <c r="H13" s="107">
        <f>IF(B$47=0,0,G13/B$47)</f>
        <v>5.0868486352357321E-2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193</v>
      </c>
      <c r="C14" s="4">
        <f>IF(B$12=0,0,B14/B$12)</f>
        <v>0.36415094339622639</v>
      </c>
      <c r="E14" s="44" t="s">
        <v>71</v>
      </c>
      <c r="F14" s="41" t="s">
        <v>26</v>
      </c>
      <c r="G14" s="34">
        <v>34</v>
      </c>
      <c r="H14" s="107">
        <f>IF(B$47=0,0,G14/B$47)</f>
        <v>4.2183622828784122E-2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867</v>
      </c>
      <c r="C15" s="4">
        <f>IF(B$3=0,0,B15/B$3)</f>
        <v>0.27238454288407166</v>
      </c>
      <c r="E15" s="44" t="s">
        <v>81</v>
      </c>
      <c r="F15" s="41" t="s">
        <v>36</v>
      </c>
      <c r="G15" s="34">
        <v>24</v>
      </c>
      <c r="H15" s="107">
        <f>IF(B$47=0,0,G15/B$47)</f>
        <v>2.9776674937965261E-2</v>
      </c>
      <c r="I15" s="68">
        <v>5</v>
      </c>
      <c r="K15" s="5">
        <v>13</v>
      </c>
      <c r="L15" s="73">
        <v>49.5</v>
      </c>
      <c r="N15" s="88" t="s">
        <v>189</v>
      </c>
      <c r="O15" s="98">
        <f>IF(P15=0,0,Q15/P15)</f>
        <v>9.3250000000000011</v>
      </c>
      <c r="P15" s="92">
        <v>4</v>
      </c>
      <c r="Q15" s="80">
        <v>37.300000000000004</v>
      </c>
    </row>
    <row r="16" spans="1:17" x14ac:dyDescent="0.45">
      <c r="A16" s="37" t="s">
        <v>13</v>
      </c>
      <c r="B16" s="34">
        <v>595</v>
      </c>
      <c r="C16" s="31">
        <f>IF(B$3=0,0,B16/B$3)</f>
        <v>0.18693056864593152</v>
      </c>
      <c r="E16" s="44" t="s">
        <v>78</v>
      </c>
      <c r="F16" s="41" t="s">
        <v>33</v>
      </c>
      <c r="G16" s="34">
        <v>20</v>
      </c>
      <c r="H16" s="107">
        <f>IF(B$47=0,0,G16/B$47)</f>
        <v>2.4813895781637719E-2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9.1657894736842103</v>
      </c>
      <c r="P16" s="93">
        <v>38</v>
      </c>
      <c r="Q16" s="81">
        <v>348.3</v>
      </c>
    </row>
    <row r="17" spans="1:17" x14ac:dyDescent="0.45">
      <c r="A17" s="37" t="s">
        <v>12</v>
      </c>
      <c r="B17" s="34">
        <v>391</v>
      </c>
      <c r="C17" s="31">
        <f>IF(B$15=0,0,B17/B$15)</f>
        <v>0.45098039215686275</v>
      </c>
      <c r="E17" s="44" t="s">
        <v>91</v>
      </c>
      <c r="F17" s="41" t="s">
        <v>46</v>
      </c>
      <c r="G17" s="34">
        <v>15</v>
      </c>
      <c r="H17" s="107">
        <f>IF(B$47=0,0,G17/B$47)</f>
        <v>1.8610421836228287E-2</v>
      </c>
      <c r="I17" s="68">
        <v>6</v>
      </c>
      <c r="K17" s="5">
        <v>15</v>
      </c>
      <c r="L17" s="73">
        <v>38.5</v>
      </c>
      <c r="N17" s="89" t="s">
        <v>188</v>
      </c>
      <c r="O17" s="99">
        <f>IF(P17=0,0,Q17/P17)</f>
        <v>8.186486486486487</v>
      </c>
      <c r="P17" s="93">
        <v>74</v>
      </c>
      <c r="Q17" s="81">
        <v>605.80000000000007</v>
      </c>
    </row>
    <row r="18" spans="1:17" x14ac:dyDescent="0.45">
      <c r="A18" s="37" t="s">
        <v>11</v>
      </c>
      <c r="B18" s="34">
        <v>476</v>
      </c>
      <c r="C18" s="31">
        <f>IF(B$15=0,0,B18/B$15)</f>
        <v>0.5490196078431373</v>
      </c>
      <c r="E18" s="44" t="s">
        <v>79</v>
      </c>
      <c r="F18" s="41" t="s">
        <v>34</v>
      </c>
      <c r="G18" s="34">
        <v>13</v>
      </c>
      <c r="H18" s="107">
        <f>IF(B$47=0,0,G18/B$47)</f>
        <v>1.6129032258064516E-2</v>
      </c>
      <c r="I18" s="68">
        <v>8</v>
      </c>
      <c r="K18" s="5">
        <v>16</v>
      </c>
      <c r="L18" s="73">
        <v>14.600000000000001</v>
      </c>
      <c r="N18" s="89" t="s">
        <v>197</v>
      </c>
      <c r="O18" s="99">
        <f>IF(P18=0,0,Q18/P18)</f>
        <v>3.1666666666666656</v>
      </c>
      <c r="P18" s="93">
        <v>3</v>
      </c>
      <c r="Q18" s="81">
        <v>9.4999999999999964</v>
      </c>
    </row>
    <row r="19" spans="1:17" x14ac:dyDescent="0.45">
      <c r="A19" s="37" t="s">
        <v>180</v>
      </c>
      <c r="B19" s="34">
        <v>489</v>
      </c>
      <c r="C19" s="31">
        <f>IF(B$15=0,0,B19/B$15)</f>
        <v>0.56401384083044981</v>
      </c>
      <c r="E19" s="44" t="s">
        <v>153</v>
      </c>
      <c r="F19" s="41" t="s">
        <v>154</v>
      </c>
      <c r="G19" s="34">
        <v>12</v>
      </c>
      <c r="H19" s="107">
        <f>IF(B$47=0,0,G19/B$47)</f>
        <v>1.488833746898263E-2</v>
      </c>
      <c r="I19" s="68">
        <v>6</v>
      </c>
      <c r="K19" s="5">
        <v>17</v>
      </c>
      <c r="L19" s="73">
        <v>13.900000000000002</v>
      </c>
      <c r="N19" s="89" t="s">
        <v>191</v>
      </c>
      <c r="O19" s="99">
        <f>IF(P19=0,0,Q19/P19)</f>
        <v>1.8000000000000012</v>
      </c>
      <c r="P19" s="93">
        <v>106</v>
      </c>
      <c r="Q19" s="81">
        <v>190.80000000000013</v>
      </c>
    </row>
    <row r="20" spans="1:17" x14ac:dyDescent="0.45">
      <c r="A20" s="37" t="s">
        <v>178</v>
      </c>
      <c r="B20" s="34">
        <v>193</v>
      </c>
      <c r="C20" s="31">
        <f>IF(B$15=0,0,B20/B$15)</f>
        <v>0.22260668973471742</v>
      </c>
      <c r="E20" s="44" t="s">
        <v>75</v>
      </c>
      <c r="F20" s="41" t="s">
        <v>30</v>
      </c>
      <c r="G20" s="34">
        <v>8</v>
      </c>
      <c r="H20" s="107">
        <f>IF(B$47=0,0,G20/B$47)</f>
        <v>9.9255583126550868E-3</v>
      </c>
      <c r="I20" s="68">
        <v>1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179</v>
      </c>
      <c r="B21" s="34">
        <v>185</v>
      </c>
      <c r="C21" s="31">
        <f>IF(B$15=0,0,B21/B$15)</f>
        <v>0.21337946943483277</v>
      </c>
      <c r="E21" s="44" t="s">
        <v>73</v>
      </c>
      <c r="F21" s="41" t="s">
        <v>28</v>
      </c>
      <c r="G21" s="34">
        <v>4</v>
      </c>
      <c r="H21" s="107">
        <f>IF(B$47=0,0,G21/B$47)</f>
        <v>4.9627791563275434E-3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-5.5333333333333332</v>
      </c>
      <c r="P21" s="93">
        <v>60</v>
      </c>
      <c r="Q21" s="81">
        <v>-332</v>
      </c>
    </row>
    <row r="22" spans="1:17" x14ac:dyDescent="0.45">
      <c r="A22" s="37" t="s">
        <v>5</v>
      </c>
      <c r="B22" s="17">
        <f>IF(B$15=0,0,C22/B$15)</f>
        <v>9250.6343713956176</v>
      </c>
      <c r="C22" s="8">
        <v>8020300</v>
      </c>
      <c r="E22" s="44" t="s">
        <v>74</v>
      </c>
      <c r="F22" s="41" t="s">
        <v>29</v>
      </c>
      <c r="G22" s="34">
        <v>3</v>
      </c>
      <c r="H22" s="107">
        <f>IF(B$47=0,0,G22/B$47)</f>
        <v>3.7220843672456576E-3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-7.0579999999999989</v>
      </c>
      <c r="P22" s="93">
        <v>150</v>
      </c>
      <c r="Q22" s="81">
        <v>-1058.6999999999998</v>
      </c>
    </row>
    <row r="23" spans="1:17" x14ac:dyDescent="0.45">
      <c r="A23" s="38" t="s">
        <v>162</v>
      </c>
      <c r="B23" s="114">
        <f>IF($B$15-B$14=0,0,C23/($B$15-B$14))</f>
        <v>9643.3234421364978</v>
      </c>
      <c r="C23" s="115">
        <v>6499600</v>
      </c>
      <c r="E23" s="44" t="s">
        <v>84</v>
      </c>
      <c r="F23" s="41" t="s">
        <v>39</v>
      </c>
      <c r="G23" s="34">
        <v>3</v>
      </c>
      <c r="H23" s="107">
        <f>IF(B$47=0,0,G23/B$47)</f>
        <v>3.7220843672456576E-3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8" t="s">
        <v>163</v>
      </c>
      <c r="B24" s="114">
        <f>IF(B$14=0,0,C24/B$14)</f>
        <v>7879.2746113989633</v>
      </c>
      <c r="C24" s="115">
        <v>1520700</v>
      </c>
      <c r="E24" s="44" t="s">
        <v>92</v>
      </c>
      <c r="F24" s="41" t="s">
        <v>47</v>
      </c>
      <c r="G24" s="34">
        <v>3</v>
      </c>
      <c r="H24" s="107">
        <f>IF(B$47=0,0,G24/B$47)</f>
        <v>3.7220843672456576E-3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-14.432631578947369</v>
      </c>
      <c r="P24" s="93">
        <v>285</v>
      </c>
      <c r="Q24" s="81">
        <v>-4113.3</v>
      </c>
    </row>
    <row r="25" spans="1:17" x14ac:dyDescent="0.45">
      <c r="A25" s="38" t="s">
        <v>161</v>
      </c>
      <c r="B25" s="114">
        <f>IF(B$16=0,0,C25/B$16)</f>
        <v>-8301.176470588236</v>
      </c>
      <c r="C25" s="115">
        <v>-4939200</v>
      </c>
      <c r="E25" s="44" t="s">
        <v>85</v>
      </c>
      <c r="F25" s="41" t="s">
        <v>40</v>
      </c>
      <c r="G25" s="34">
        <v>2</v>
      </c>
      <c r="H25" s="107">
        <f>IF(B$47=0,0,G25/B$47)</f>
        <v>2.4813895781637717E-3</v>
      </c>
      <c r="I25" s="68">
        <v>6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2.4813895781637717E-3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1.2406947890818859E-3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64" t="s">
        <v>134</v>
      </c>
      <c r="B28" s="131">
        <v>10</v>
      </c>
      <c r="C28" s="132"/>
      <c r="E28" s="44" t="s">
        <v>80</v>
      </c>
      <c r="F28" s="41" t="s">
        <v>35</v>
      </c>
      <c r="G28" s="34">
        <v>1</v>
      </c>
      <c r="H28" s="107">
        <f>IF(B$47=0,0,G28/B$47)</f>
        <v>1.2406947890818859E-3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40" t="s">
        <v>177</v>
      </c>
      <c r="B29" s="129">
        <v>107600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1.2406947890818859E-3</v>
      </c>
      <c r="I29" s="68">
        <v>8</v>
      </c>
      <c r="K29" s="5">
        <v>27</v>
      </c>
      <c r="L29" s="73">
        <v>-163.6</v>
      </c>
    </row>
    <row r="30" spans="1:17" x14ac:dyDescent="0.45">
      <c r="A30" s="39" t="s">
        <v>135</v>
      </c>
      <c r="B30" s="27">
        <v>13</v>
      </c>
      <c r="C30" s="32">
        <f>IF(B$3=0,0,B30/B$3)</f>
        <v>4.0841972981464029E-3</v>
      </c>
      <c r="E30" s="44" t="s">
        <v>93</v>
      </c>
      <c r="F30" s="41" t="s">
        <v>48</v>
      </c>
      <c r="G30" s="34">
        <v>1</v>
      </c>
      <c r="H30" s="107">
        <f>IF(B$47=0,0,G30/B$47)</f>
        <v>1.2406947890818859E-3</v>
      </c>
      <c r="I30" s="68">
        <v>8</v>
      </c>
      <c r="K30" s="5">
        <v>28</v>
      </c>
      <c r="L30" s="73">
        <v>-169.5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1.2406947890818859E-3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168</v>
      </c>
      <c r="B32" s="122">
        <v>44</v>
      </c>
      <c r="C32" s="119">
        <f>IF(B$15=0,0,B32/B$15)</f>
        <v>5.0749711649365627E-2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5">
      <c r="A33" s="37" t="s">
        <v>164</v>
      </c>
      <c r="B33" s="34">
        <v>108</v>
      </c>
      <c r="C33" s="31">
        <f t="shared" ref="C33:C44" si="2">IF(B$15=0,0,B33/B$15)</f>
        <v>0.1245674740484429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7" t="s">
        <v>165</v>
      </c>
      <c r="B34" s="123">
        <v>159</v>
      </c>
      <c r="C34" s="31">
        <f>IF(B$15=0,0,B34/B$15)</f>
        <v>0.18339100346020762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A35" s="37" t="s">
        <v>166</v>
      </c>
      <c r="B35" s="123">
        <v>145</v>
      </c>
      <c r="C35" s="31">
        <f t="shared" si="2"/>
        <v>0.16724336793540945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37" t="s">
        <v>167</v>
      </c>
      <c r="B36" s="123">
        <v>134</v>
      </c>
      <c r="C36" s="31">
        <f t="shared" si="2"/>
        <v>0.15455594002306805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169</v>
      </c>
      <c r="B37" s="123">
        <v>95</v>
      </c>
      <c r="C37" s="31">
        <f t="shared" si="2"/>
        <v>0.10957324106113034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170</v>
      </c>
      <c r="B38" s="123">
        <v>58</v>
      </c>
      <c r="C38" s="31">
        <f t="shared" si="2"/>
        <v>6.6897347174163777E-2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171</v>
      </c>
      <c r="B39" s="123">
        <v>27</v>
      </c>
      <c r="C39" s="31">
        <f t="shared" si="2"/>
        <v>3.1141868512110725E-2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172</v>
      </c>
      <c r="B40" s="123">
        <v>14</v>
      </c>
      <c r="C40" s="31">
        <f t="shared" si="2"/>
        <v>1.6147635524798153E-2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173</v>
      </c>
      <c r="B41" s="123">
        <v>6</v>
      </c>
      <c r="C41" s="31">
        <f t="shared" si="2"/>
        <v>6.920415224913495E-3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174</v>
      </c>
      <c r="B42" s="123">
        <v>3</v>
      </c>
      <c r="C42" s="31">
        <f t="shared" si="2"/>
        <v>3.4602076124567475E-3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175</v>
      </c>
      <c r="B43" s="123">
        <v>5</v>
      </c>
      <c r="C43" s="31">
        <f t="shared" si="2"/>
        <v>5.7670126874279125E-3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9" t="s">
        <v>176</v>
      </c>
      <c r="B44" s="124">
        <v>8</v>
      </c>
      <c r="C44" s="32">
        <f t="shared" si="2"/>
        <v>9.22722029988466E-3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64" t="s">
        <v>181</v>
      </c>
      <c r="B46" s="127">
        <v>2922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9" t="s">
        <v>182</v>
      </c>
      <c r="B47" s="125">
        <v>806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5">
      <c r="K53" s="5">
        <v>51</v>
      </c>
      <c r="L53" s="73">
        <v>-269.59999999999997</v>
      </c>
    </row>
    <row r="54" spans="5:12" x14ac:dyDescent="0.45">
      <c r="K54" s="5">
        <v>52</v>
      </c>
      <c r="L54" s="73">
        <v>-308.09999999999997</v>
      </c>
    </row>
    <row r="55" spans="5:12" x14ac:dyDescent="0.45">
      <c r="K55" s="5">
        <v>53</v>
      </c>
      <c r="L55" s="73">
        <v>-336.49999999999994</v>
      </c>
    </row>
    <row r="56" spans="5:12" x14ac:dyDescent="0.45">
      <c r="K56" s="5">
        <v>54</v>
      </c>
      <c r="L56" s="73">
        <v>-378.89999999999992</v>
      </c>
    </row>
    <row r="57" spans="5:12" x14ac:dyDescent="0.45">
      <c r="K57" s="5">
        <v>55</v>
      </c>
      <c r="L57" s="73">
        <v>-364.2999999999999</v>
      </c>
    </row>
    <row r="58" spans="5:12" x14ac:dyDescent="0.45">
      <c r="K58" s="5">
        <v>56</v>
      </c>
      <c r="L58" s="73">
        <v>-316.2999999999999</v>
      </c>
    </row>
    <row r="59" spans="5:12" x14ac:dyDescent="0.45">
      <c r="K59" s="5">
        <v>57</v>
      </c>
      <c r="L59" s="73">
        <v>-312.49999999999989</v>
      </c>
    </row>
    <row r="60" spans="5:12" x14ac:dyDescent="0.45">
      <c r="K60" s="5">
        <v>58</v>
      </c>
      <c r="L60" s="73">
        <v>-254.59999999999988</v>
      </c>
    </row>
    <row r="61" spans="5:12" x14ac:dyDescent="0.45">
      <c r="K61" s="5">
        <v>59</v>
      </c>
      <c r="L61" s="73">
        <v>-205.09999999999988</v>
      </c>
    </row>
    <row r="62" spans="5:12" x14ac:dyDescent="0.45">
      <c r="K62" s="5">
        <v>60</v>
      </c>
      <c r="L62" s="73">
        <v>-214.59999999999988</v>
      </c>
    </row>
    <row r="63" spans="5:12" x14ac:dyDescent="0.45">
      <c r="K63" s="5">
        <v>61</v>
      </c>
      <c r="L63" s="73">
        <v>-211.89999999999989</v>
      </c>
    </row>
    <row r="64" spans="5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A97E9-E57A-4264-B9F2-BE51131D6E2E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7">
        <v>670</v>
      </c>
      <c r="C3" s="138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9">
        <v>-3.4999999999999893</v>
      </c>
      <c r="C4" s="140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14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41">
        <f>IF(B$2=0,0,B$4/B$2)</f>
        <v>-3.8461538461538346E-2</v>
      </c>
      <c r="C5" s="142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12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3">
        <f>IF(B$2=0,0,(B$7*1+B$8*2+B$9*3)/B$2)</f>
        <v>1.9890109890109891</v>
      </c>
      <c r="C6" s="134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13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12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15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3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10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5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2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3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12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40" t="s">
        <v>177</v>
      </c>
      <c r="B29" s="129">
        <v>118000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164.79999999999998</v>
      </c>
    </row>
    <row r="30" spans="1:17" x14ac:dyDescent="0.45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177.7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5">
      <c r="A32" s="64" t="s">
        <v>168</v>
      </c>
      <c r="B32" s="122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7" t="s">
        <v>165</v>
      </c>
      <c r="B34" s="123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5">
      <c r="A35" s="37" t="s">
        <v>166</v>
      </c>
      <c r="B35" s="123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5">
      <c r="A36" s="37" t="s">
        <v>167</v>
      </c>
      <c r="B36" s="123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169</v>
      </c>
      <c r="B37" s="123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170</v>
      </c>
      <c r="B38" s="123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171</v>
      </c>
      <c r="B39" s="123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172</v>
      </c>
      <c r="B40" s="123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173</v>
      </c>
      <c r="B41" s="123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9" t="s">
        <v>176</v>
      </c>
      <c r="B44" s="124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9" t="s">
        <v>182</v>
      </c>
      <c r="B47" s="125">
        <v>133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213.90000000000003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5">
      <c r="K53" s="5">
        <v>51</v>
      </c>
      <c r="L53" s="73">
        <v>292.60000000000002</v>
      </c>
    </row>
    <row r="54" spans="5:12" x14ac:dyDescent="0.45">
      <c r="K54" s="5">
        <v>52</v>
      </c>
      <c r="L54" s="73">
        <v>319.10000000000002</v>
      </c>
    </row>
    <row r="55" spans="5:12" x14ac:dyDescent="0.45">
      <c r="K55" s="5">
        <v>53</v>
      </c>
      <c r="L55" s="73">
        <v>268.60000000000002</v>
      </c>
    </row>
    <row r="56" spans="5:12" x14ac:dyDescent="0.45">
      <c r="K56" s="5">
        <v>54</v>
      </c>
      <c r="L56" s="73">
        <v>253.50000000000003</v>
      </c>
    </row>
    <row r="57" spans="5:12" x14ac:dyDescent="0.45">
      <c r="K57" s="5">
        <v>55</v>
      </c>
      <c r="L57" s="73">
        <v>269.40000000000003</v>
      </c>
    </row>
    <row r="58" spans="5:12" x14ac:dyDescent="0.45">
      <c r="K58" s="5">
        <v>56</v>
      </c>
      <c r="L58" s="73">
        <v>273.8</v>
      </c>
    </row>
    <row r="59" spans="5:12" x14ac:dyDescent="0.45">
      <c r="K59" s="5">
        <v>57</v>
      </c>
      <c r="L59" s="73">
        <v>260.3</v>
      </c>
    </row>
    <row r="60" spans="5:12" x14ac:dyDescent="0.45">
      <c r="K60" s="5">
        <v>58</v>
      </c>
      <c r="L60" s="73">
        <v>293.3</v>
      </c>
    </row>
    <row r="61" spans="5:12" x14ac:dyDescent="0.45">
      <c r="K61" s="5">
        <v>59</v>
      </c>
      <c r="L61" s="73">
        <v>283.3</v>
      </c>
    </row>
    <row r="62" spans="5:12" x14ac:dyDescent="0.45">
      <c r="K62" s="5">
        <v>60</v>
      </c>
      <c r="L62" s="73">
        <v>272.60000000000002</v>
      </c>
    </row>
    <row r="63" spans="5:12" x14ac:dyDescent="0.45">
      <c r="K63" s="5">
        <v>61</v>
      </c>
      <c r="L63" s="73">
        <v>259.20000000000005</v>
      </c>
    </row>
    <row r="64" spans="5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C569-6D1E-4E60-99C3-480D8FA39FBA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7">
        <v>37</v>
      </c>
      <c r="C3" s="138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9">
        <v>-86.4</v>
      </c>
      <c r="C4" s="140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41">
        <f>IF(B$2=0,0,B$4/B$2)</f>
        <v>-17.28</v>
      </c>
      <c r="C5" s="142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6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3">
        <f>IF(B$2=0,0,(B$7*1+B$8*2+B$9*3)/B$2)</f>
        <v>2.2000000000000002</v>
      </c>
      <c r="C6" s="134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13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15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14</v>
      </c>
    </row>
    <row r="21" spans="1:17" x14ac:dyDescent="0.45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5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17" x14ac:dyDescent="0.45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17" x14ac:dyDescent="0.45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5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57800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5">
      <c r="A34" s="37" t="s">
        <v>165</v>
      </c>
      <c r="B34" s="123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9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17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84323-1813-4DE1-A11E-93FEF7D68591}">
  <sheetPr codeName="Sheet10"/>
  <dimension ref="A1:Q25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255</v>
      </c>
      <c r="C2" s="128"/>
      <c r="E2" s="43" t="s">
        <v>66</v>
      </c>
      <c r="F2" s="25" t="s">
        <v>22</v>
      </c>
      <c r="G2" s="13">
        <v>400</v>
      </c>
      <c r="H2" s="106">
        <f>IF(B$47=0,0,G2/B$47)</f>
        <v>0.68610634648370494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40</v>
      </c>
      <c r="P2" s="92">
        <v>255</v>
      </c>
      <c r="Q2" s="76">
        <v>10200</v>
      </c>
    </row>
    <row r="3" spans="1:17" x14ac:dyDescent="0.45">
      <c r="A3" s="37" t="s">
        <v>8</v>
      </c>
      <c r="B3" s="137">
        <v>2127</v>
      </c>
      <c r="C3" s="138"/>
      <c r="E3" s="44" t="s">
        <v>72</v>
      </c>
      <c r="F3" s="41" t="s">
        <v>27</v>
      </c>
      <c r="G3" s="34">
        <v>333</v>
      </c>
      <c r="H3" s="107">
        <f>IF(B$47=0,0,G3/B$47)</f>
        <v>0.57118353344768436</v>
      </c>
      <c r="I3" s="68">
        <v>6</v>
      </c>
      <c r="K3" s="5">
        <v>1</v>
      </c>
      <c r="L3" s="73">
        <v>68.2</v>
      </c>
      <c r="N3" s="89" t="s">
        <v>127</v>
      </c>
      <c r="O3" s="96">
        <f t="shared" si="0"/>
        <v>-1936.9477911646586</v>
      </c>
      <c r="P3" s="93">
        <v>249</v>
      </c>
      <c r="Q3" s="77">
        <v>-482300</v>
      </c>
    </row>
    <row r="4" spans="1:17" x14ac:dyDescent="0.45">
      <c r="A4" s="37" t="s">
        <v>6</v>
      </c>
      <c r="B4" s="139">
        <v>-1328.7000000000003</v>
      </c>
      <c r="C4" s="140"/>
      <c r="E4" s="44" t="s">
        <v>64</v>
      </c>
      <c r="F4" s="41" t="s">
        <v>20</v>
      </c>
      <c r="G4" s="34">
        <v>208</v>
      </c>
      <c r="H4" s="107">
        <f>IF(B$47=0,0,G4/B$47)</f>
        <v>0.35677530017152659</v>
      </c>
      <c r="I4" s="68">
        <v>17</v>
      </c>
      <c r="K4" s="5">
        <v>2</v>
      </c>
      <c r="L4" s="73">
        <v>58.5</v>
      </c>
      <c r="N4" s="89" t="s">
        <v>128</v>
      </c>
      <c r="O4" s="96">
        <f t="shared" si="0"/>
        <v>-1185.5895196506551</v>
      </c>
      <c r="P4" s="93">
        <v>229</v>
      </c>
      <c r="Q4" s="77">
        <v>-271500</v>
      </c>
    </row>
    <row r="5" spans="1:17" x14ac:dyDescent="0.45">
      <c r="A5" s="37" t="s">
        <v>7</v>
      </c>
      <c r="B5" s="141">
        <f>IF(B$2=0,0,B$4/B$2)</f>
        <v>-5.2105882352941189</v>
      </c>
      <c r="C5" s="142"/>
      <c r="E5" s="44" t="s">
        <v>157</v>
      </c>
      <c r="F5" s="41" t="s">
        <v>158</v>
      </c>
      <c r="G5" s="34">
        <v>189</v>
      </c>
      <c r="H5" s="107">
        <f>IF(B$47=0,0,G5/B$47)</f>
        <v>0.32418524871355059</v>
      </c>
      <c r="I5" s="68">
        <v>6</v>
      </c>
      <c r="K5" s="5">
        <v>3</v>
      </c>
      <c r="L5" s="73">
        <v>82.1</v>
      </c>
      <c r="N5" s="89" t="s">
        <v>129</v>
      </c>
      <c r="O5" s="96">
        <f t="shared" si="0"/>
        <v>-117.05069124423963</v>
      </c>
      <c r="P5" s="93">
        <v>217</v>
      </c>
      <c r="Q5" s="77">
        <v>-25400</v>
      </c>
    </row>
    <row r="6" spans="1:17" x14ac:dyDescent="0.45">
      <c r="A6" s="37" t="s">
        <v>1</v>
      </c>
      <c r="B6" s="133">
        <f>IF(B$2=0,0,(B$7*1+B$8*2+B$9*3)/B$2)</f>
        <v>2.1411764705882352</v>
      </c>
      <c r="C6" s="134"/>
      <c r="E6" s="44" t="s">
        <v>68</v>
      </c>
      <c r="F6" s="41" t="s">
        <v>12</v>
      </c>
      <c r="G6" s="34">
        <v>155</v>
      </c>
      <c r="H6" s="107">
        <f>IF(B$47=0,0,G6/B$47)</f>
        <v>0.2658662092624357</v>
      </c>
      <c r="I6" s="68">
        <v>13</v>
      </c>
      <c r="K6" s="5">
        <v>4</v>
      </c>
      <c r="L6" s="73">
        <v>57.699999999999996</v>
      </c>
      <c r="N6" s="89" t="s">
        <v>130</v>
      </c>
      <c r="O6" s="96">
        <f t="shared" si="0"/>
        <v>-590.9547738693467</v>
      </c>
      <c r="P6" s="93">
        <v>199</v>
      </c>
      <c r="Q6" s="77">
        <v>-117600</v>
      </c>
    </row>
    <row r="7" spans="1:17" x14ac:dyDescent="0.45">
      <c r="A7" s="37" t="s">
        <v>2</v>
      </c>
      <c r="B7" s="34">
        <v>65</v>
      </c>
      <c r="C7" s="31">
        <f t="shared" ref="C7:C10" si="1">IF(B$2=0,0,B7/B$2)</f>
        <v>0.25490196078431371</v>
      </c>
      <c r="E7" s="44" t="s">
        <v>67</v>
      </c>
      <c r="F7" s="41" t="s">
        <v>23</v>
      </c>
      <c r="G7" s="34">
        <v>95</v>
      </c>
      <c r="H7" s="107">
        <f>IF(B$47=0,0,G7/B$47)</f>
        <v>0.16295025728987994</v>
      </c>
      <c r="I7" s="68">
        <v>16</v>
      </c>
      <c r="K7" s="5">
        <v>5</v>
      </c>
      <c r="L7" s="73">
        <v>123.69999999999999</v>
      </c>
      <c r="N7" s="90" t="s">
        <v>131</v>
      </c>
      <c r="O7" s="97">
        <f t="shared" si="0"/>
        <v>-1181.4371257485029</v>
      </c>
      <c r="P7" s="94">
        <v>167</v>
      </c>
      <c r="Q7" s="78">
        <v>-197300</v>
      </c>
    </row>
    <row r="8" spans="1:17" x14ac:dyDescent="0.45">
      <c r="A8" s="37" t="s">
        <v>3</v>
      </c>
      <c r="B8" s="34">
        <v>89</v>
      </c>
      <c r="C8" s="31">
        <f t="shared" si="1"/>
        <v>0.34901960784313724</v>
      </c>
      <c r="E8" s="44" t="s">
        <v>69</v>
      </c>
      <c r="F8" s="41" t="s">
        <v>24</v>
      </c>
      <c r="G8" s="34">
        <v>93</v>
      </c>
      <c r="H8" s="107">
        <f>IF(B$47=0,0,G8/B$47)</f>
        <v>0.15951972555746141</v>
      </c>
      <c r="I8" s="68">
        <v>4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101</v>
      </c>
      <c r="C9" s="7">
        <f t="shared" si="1"/>
        <v>0.396078431372549</v>
      </c>
      <c r="E9" s="44" t="s">
        <v>65</v>
      </c>
      <c r="F9" s="41" t="s">
        <v>21</v>
      </c>
      <c r="G9" s="34">
        <v>60</v>
      </c>
      <c r="H9" s="107">
        <f>IF(B$47=0,0,G9/B$47)</f>
        <v>0.10291595197255575</v>
      </c>
      <c r="I9" s="68">
        <v>8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27</v>
      </c>
      <c r="C10" s="32">
        <f t="shared" si="1"/>
        <v>0.10588235294117647</v>
      </c>
      <c r="E10" s="44" t="s">
        <v>70</v>
      </c>
      <c r="F10" s="41" t="s">
        <v>25</v>
      </c>
      <c r="G10" s="34">
        <v>50</v>
      </c>
      <c r="H10" s="107">
        <f>IF(B$47=0,0,G10/B$47)</f>
        <v>8.5763293310463118E-2</v>
      </c>
      <c r="I10" s="68">
        <v>9</v>
      </c>
      <c r="K10" s="5">
        <v>8</v>
      </c>
      <c r="L10" s="73">
        <v>96.5</v>
      </c>
      <c r="N10" s="88" t="s">
        <v>149</v>
      </c>
      <c r="O10" s="98">
        <f>IF(P10=0,0,Q10/P10)</f>
        <v>-8.1536082474226816</v>
      </c>
      <c r="P10" s="92">
        <v>97</v>
      </c>
      <c r="Q10" s="80">
        <v>-790.9000000000002</v>
      </c>
    </row>
    <row r="11" spans="1:17" x14ac:dyDescent="0.45">
      <c r="A11" s="40" t="s">
        <v>121</v>
      </c>
      <c r="B11" s="16">
        <v>404</v>
      </c>
      <c r="C11" s="11">
        <f>IF(B$46=0,0,B11/B$46)</f>
        <v>0.20749871597329225</v>
      </c>
      <c r="E11" s="44" t="s">
        <v>71</v>
      </c>
      <c r="F11" s="41" t="s">
        <v>26</v>
      </c>
      <c r="G11" s="34">
        <v>46</v>
      </c>
      <c r="H11" s="107">
        <f>IF(B$47=0,0,G11/B$47)</f>
        <v>7.8902229845626073E-2</v>
      </c>
      <c r="I11" s="68">
        <v>6</v>
      </c>
      <c r="K11" s="5">
        <v>9</v>
      </c>
      <c r="L11" s="73">
        <v>82.8</v>
      </c>
      <c r="N11" s="89" t="s">
        <v>150</v>
      </c>
      <c r="O11" s="99">
        <f>IF(P11=0,0,Q11/P11)</f>
        <v>-3.0972602739726023</v>
      </c>
      <c r="P11" s="93">
        <v>73</v>
      </c>
      <c r="Q11" s="81">
        <v>-226.09999999999997</v>
      </c>
    </row>
    <row r="12" spans="1:17" x14ac:dyDescent="0.45">
      <c r="A12" s="37" t="s">
        <v>118</v>
      </c>
      <c r="B12" s="34">
        <v>531</v>
      </c>
      <c r="C12" s="31">
        <f>IF(B$46=0,0,B12/B$46)</f>
        <v>0.27272727272727271</v>
      </c>
      <c r="E12" s="44" t="s">
        <v>89</v>
      </c>
      <c r="F12" s="41" t="s">
        <v>44</v>
      </c>
      <c r="G12" s="34">
        <v>44</v>
      </c>
      <c r="H12" s="107">
        <f>IF(B$47=0,0,G12/B$47)</f>
        <v>7.5471698113207544E-2</v>
      </c>
      <c r="I12" s="68">
        <v>15</v>
      </c>
      <c r="K12" s="5">
        <v>10</v>
      </c>
      <c r="L12" s="73">
        <v>110.5</v>
      </c>
      <c r="N12" s="90" t="s">
        <v>151</v>
      </c>
      <c r="O12" s="100">
        <f>IF(P12=0,0,Q12/P12)</f>
        <v>-3.6670588235294117</v>
      </c>
      <c r="P12" s="94">
        <v>85</v>
      </c>
      <c r="Q12" s="82">
        <v>-311.7</v>
      </c>
    </row>
    <row r="13" spans="1:17" x14ac:dyDescent="0.45">
      <c r="A13" s="19" t="s">
        <v>123</v>
      </c>
      <c r="B13" s="13">
        <v>209</v>
      </c>
      <c r="C13" s="4">
        <f>IF(B$11=0,0,B13/B$11)</f>
        <v>0.51732673267326734</v>
      </c>
      <c r="E13" s="44" t="s">
        <v>83</v>
      </c>
      <c r="F13" s="41" t="s">
        <v>38</v>
      </c>
      <c r="G13" s="34">
        <v>36</v>
      </c>
      <c r="H13" s="107">
        <f>IF(B$47=0,0,G13/B$47)</f>
        <v>6.1749571183533448E-2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214</v>
      </c>
      <c r="C14" s="4">
        <f>IF(B$12=0,0,B14/B$12)</f>
        <v>0.40301318267419961</v>
      </c>
      <c r="E14" s="44" t="s">
        <v>86</v>
      </c>
      <c r="F14" s="41" t="s">
        <v>41</v>
      </c>
      <c r="G14" s="34">
        <v>23</v>
      </c>
      <c r="H14" s="107">
        <f>IF(B$47=0,0,G14/B$47)</f>
        <v>3.9451114922813037E-2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634</v>
      </c>
      <c r="C15" s="4">
        <f>IF(B$3=0,0,B15/B$3)</f>
        <v>0.29807240244475786</v>
      </c>
      <c r="E15" s="44" t="s">
        <v>81</v>
      </c>
      <c r="F15" s="41" t="s">
        <v>36</v>
      </c>
      <c r="G15" s="34">
        <v>18</v>
      </c>
      <c r="H15" s="107">
        <f>IF(B$47=0,0,G15/B$47)</f>
        <v>3.0874785591766724E-2</v>
      </c>
      <c r="I15" s="68">
        <v>4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5">
      <c r="A16" s="37" t="s">
        <v>13</v>
      </c>
      <c r="B16" s="34">
        <v>349</v>
      </c>
      <c r="C16" s="31">
        <f>IF(B$3=0,0,B16/B$3)</f>
        <v>0.16408086506817113</v>
      </c>
      <c r="E16" s="44" t="s">
        <v>78</v>
      </c>
      <c r="F16" s="41" t="s">
        <v>33</v>
      </c>
      <c r="G16" s="34">
        <v>10</v>
      </c>
      <c r="H16" s="107">
        <f>IF(B$47=0,0,G16/B$47)</f>
        <v>1.7152658662092625E-2</v>
      </c>
      <c r="I16" s="68">
        <v>11</v>
      </c>
      <c r="K16" s="5">
        <v>14</v>
      </c>
      <c r="L16" s="73">
        <v>4.7999999999999936</v>
      </c>
      <c r="N16" s="89" t="s">
        <v>193</v>
      </c>
      <c r="O16" s="99">
        <f>IF(P16=0,0,Q16/P16)</f>
        <v>9.3460784313725469</v>
      </c>
      <c r="P16" s="93">
        <v>102</v>
      </c>
      <c r="Q16" s="81">
        <v>953.29999999999973</v>
      </c>
    </row>
    <row r="17" spans="1:17" x14ac:dyDescent="0.45">
      <c r="A17" s="37" t="s">
        <v>12</v>
      </c>
      <c r="B17" s="34">
        <v>264</v>
      </c>
      <c r="C17" s="31">
        <f>IF(B$15=0,0,B17/B$15)</f>
        <v>0.41640378548895901</v>
      </c>
      <c r="E17" s="44" t="s">
        <v>79</v>
      </c>
      <c r="F17" s="41" t="s">
        <v>34</v>
      </c>
      <c r="G17" s="34">
        <v>9</v>
      </c>
      <c r="H17" s="107">
        <f>IF(B$47=0,0,G17/B$47)</f>
        <v>1.5437392795883362E-2</v>
      </c>
      <c r="I17" s="68">
        <v>10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37" t="s">
        <v>11</v>
      </c>
      <c r="B18" s="34">
        <v>370</v>
      </c>
      <c r="C18" s="31">
        <f>IF(B$15=0,0,B18/B$15)</f>
        <v>0.58359621451104104</v>
      </c>
      <c r="E18" s="44" t="s">
        <v>91</v>
      </c>
      <c r="F18" s="41" t="s">
        <v>46</v>
      </c>
      <c r="G18" s="34">
        <v>7</v>
      </c>
      <c r="H18" s="107">
        <f>IF(B$47=0,0,G18/B$47)</f>
        <v>1.2006861063464836E-2</v>
      </c>
      <c r="I18" s="68">
        <v>11</v>
      </c>
      <c r="K18" s="5">
        <v>16</v>
      </c>
      <c r="L18" s="73">
        <v>-45.300000000000004</v>
      </c>
      <c r="N18" s="89" t="s">
        <v>187</v>
      </c>
      <c r="O18" s="99">
        <f>IF(P18=0,0,Q18/P18)</f>
        <v>2.1131147540983592</v>
      </c>
      <c r="P18" s="93">
        <v>61</v>
      </c>
      <c r="Q18" s="81">
        <v>128.89999999999992</v>
      </c>
    </row>
    <row r="19" spans="1:17" x14ac:dyDescent="0.45">
      <c r="A19" s="37" t="s">
        <v>180</v>
      </c>
      <c r="B19" s="34">
        <v>209</v>
      </c>
      <c r="C19" s="31">
        <f>IF(B$15=0,0,B19/B$15)</f>
        <v>0.32965299684542587</v>
      </c>
      <c r="E19" s="44" t="s">
        <v>74</v>
      </c>
      <c r="F19" s="41" t="s">
        <v>29</v>
      </c>
      <c r="G19" s="34">
        <v>3</v>
      </c>
      <c r="H19" s="107">
        <f>IF(B$47=0,0,G19/B$47)</f>
        <v>5.1457975986277877E-3</v>
      </c>
      <c r="I19" s="68">
        <v>4</v>
      </c>
      <c r="K19" s="5">
        <v>17</v>
      </c>
      <c r="L19" s="73">
        <v>-45.000000000000007</v>
      </c>
      <c r="N19" s="89" t="s">
        <v>190</v>
      </c>
      <c r="O19" s="99">
        <f>IF(P19=0,0,Q19/P19)</f>
        <v>-8.1864864864864888</v>
      </c>
      <c r="P19" s="93">
        <v>74</v>
      </c>
      <c r="Q19" s="81">
        <v>-605.80000000000018</v>
      </c>
    </row>
    <row r="20" spans="1:17" x14ac:dyDescent="0.45">
      <c r="A20" s="37" t="s">
        <v>178</v>
      </c>
      <c r="B20" s="34">
        <v>214</v>
      </c>
      <c r="C20" s="31">
        <f>IF(B$15=0,0,B20/B$15)</f>
        <v>0.33753943217665616</v>
      </c>
      <c r="E20" s="44" t="s">
        <v>75</v>
      </c>
      <c r="F20" s="41" t="s">
        <v>30</v>
      </c>
      <c r="G20" s="34">
        <v>3</v>
      </c>
      <c r="H20" s="107">
        <f>IF(B$47=0,0,G20/B$47)</f>
        <v>5.1457975986277877E-3</v>
      </c>
      <c r="I20" s="68">
        <v>7</v>
      </c>
      <c r="K20" s="5">
        <v>18</v>
      </c>
      <c r="L20" s="73">
        <v>-30.300000000000008</v>
      </c>
      <c r="N20" s="89" t="s">
        <v>191</v>
      </c>
      <c r="O20" s="99">
        <f>IF(P20=0,0,Q20/P20)</f>
        <v>-14.047457627118645</v>
      </c>
      <c r="P20" s="93">
        <v>59</v>
      </c>
      <c r="Q20" s="81">
        <v>-828.80000000000007</v>
      </c>
    </row>
    <row r="21" spans="1:17" x14ac:dyDescent="0.45">
      <c r="A21" s="37" t="s">
        <v>179</v>
      </c>
      <c r="B21" s="34">
        <v>211</v>
      </c>
      <c r="C21" s="31">
        <f>IF(B$15=0,0,B21/B$15)</f>
        <v>0.33280757097791797</v>
      </c>
      <c r="E21" s="44" t="s">
        <v>77</v>
      </c>
      <c r="F21" s="41" t="s">
        <v>32</v>
      </c>
      <c r="G21" s="34">
        <v>3</v>
      </c>
      <c r="H21" s="107">
        <f>IF(B$47=0,0,G21/B$47)</f>
        <v>5.1457975986277877E-3</v>
      </c>
      <c r="I21" s="68">
        <v>6</v>
      </c>
      <c r="K21" s="5">
        <v>19</v>
      </c>
      <c r="L21" s="73">
        <v>17.699999999999992</v>
      </c>
      <c r="N21" s="89" t="s">
        <v>199</v>
      </c>
      <c r="O21" s="99">
        <f>IF(P21=0,0,Q21/P21)</f>
        <v>-16.62857142857143</v>
      </c>
      <c r="P21" s="93">
        <v>7</v>
      </c>
      <c r="Q21" s="81">
        <v>-116.40000000000002</v>
      </c>
    </row>
    <row r="22" spans="1:17" x14ac:dyDescent="0.45">
      <c r="A22" s="37" t="s">
        <v>5</v>
      </c>
      <c r="B22" s="17">
        <f>IF(B$15=0,0,C22/B$15)</f>
        <v>7465.7728706624603</v>
      </c>
      <c r="C22" s="8">
        <v>4733300</v>
      </c>
      <c r="E22" s="44" t="s">
        <v>88</v>
      </c>
      <c r="F22" s="41" t="s">
        <v>43</v>
      </c>
      <c r="G22" s="34">
        <v>2</v>
      </c>
      <c r="H22" s="107">
        <f>IF(B$47=0,0,G22/B$47)</f>
        <v>3.4305317324185248E-3</v>
      </c>
      <c r="I22" s="68">
        <v>1</v>
      </c>
      <c r="K22" s="5">
        <v>20</v>
      </c>
      <c r="L22" s="73">
        <v>-24.100000000000005</v>
      </c>
      <c r="N22" s="89" t="s">
        <v>195</v>
      </c>
      <c r="O22" s="99">
        <f>IF(P22=0,0,Q22/P22)</f>
        <v>-19.296129032258065</v>
      </c>
      <c r="P22" s="93">
        <v>155</v>
      </c>
      <c r="Q22" s="81">
        <v>-2990.9</v>
      </c>
    </row>
    <row r="23" spans="1:17" x14ac:dyDescent="0.45">
      <c r="A23" s="38" t="s">
        <v>162</v>
      </c>
      <c r="B23" s="114">
        <f>IF($B$15-B$14=0,0,C23/($B$15-B$14))</f>
        <v>8112.3809523809523</v>
      </c>
      <c r="C23" s="115">
        <v>3407200</v>
      </c>
      <c r="E23" s="44" t="s">
        <v>73</v>
      </c>
      <c r="F23" s="41" t="s">
        <v>28</v>
      </c>
      <c r="G23" s="34">
        <v>1</v>
      </c>
      <c r="H23" s="107">
        <f>IF(B$47=0,0,G23/B$47)</f>
        <v>1.7152658662092624E-3</v>
      </c>
      <c r="I23" s="68">
        <v>10</v>
      </c>
      <c r="K23" s="5">
        <v>21</v>
      </c>
      <c r="L23" s="73">
        <v>-29.600000000000005</v>
      </c>
      <c r="N23" s="89" t="s">
        <v>192</v>
      </c>
      <c r="O23" s="99">
        <f>IF(P23=0,0,Q23/P23)</f>
        <v>-26.638888888888889</v>
      </c>
      <c r="P23" s="93">
        <v>18</v>
      </c>
      <c r="Q23" s="81">
        <v>-479.5</v>
      </c>
    </row>
    <row r="24" spans="1:17" x14ac:dyDescent="0.45">
      <c r="A24" s="38" t="s">
        <v>163</v>
      </c>
      <c r="B24" s="114">
        <f>IF(B$14=0,0,C24/B$14)</f>
        <v>6196.7289719626169</v>
      </c>
      <c r="C24" s="115">
        <v>1326100</v>
      </c>
      <c r="E24" s="44" t="s">
        <v>84</v>
      </c>
      <c r="F24" s="41" t="s">
        <v>39</v>
      </c>
      <c r="G24" s="34">
        <v>1</v>
      </c>
      <c r="H24" s="107">
        <f>IF(B$47=0,0,G24/B$47)</f>
        <v>1.7152658662092624E-3</v>
      </c>
      <c r="I24" s="68">
        <v>6</v>
      </c>
      <c r="K24" s="5">
        <v>22</v>
      </c>
      <c r="L24" s="73">
        <v>-4.7000000000000064</v>
      </c>
      <c r="N24" s="89" t="s">
        <v>197</v>
      </c>
      <c r="O24" s="99">
        <f>IF(P24=0,0,Q24/P24)</f>
        <v>-34.137499999999996</v>
      </c>
      <c r="P24" s="93">
        <v>8</v>
      </c>
      <c r="Q24" s="81">
        <v>-273.09999999999997</v>
      </c>
    </row>
    <row r="25" spans="1:17" x14ac:dyDescent="0.45">
      <c r="A25" s="38" t="s">
        <v>161</v>
      </c>
      <c r="B25" s="114">
        <f>IF(B$16=0,0,C25/B$16)</f>
        <v>-8564.4699140401153</v>
      </c>
      <c r="C25" s="115">
        <v>-2989000</v>
      </c>
      <c r="E25" s="44" t="s">
        <v>87</v>
      </c>
      <c r="F25" s="41" t="s">
        <v>42</v>
      </c>
      <c r="G25" s="34">
        <v>1</v>
      </c>
      <c r="H25" s="107">
        <f>IF(B$47=0,0,G25/B$47)</f>
        <v>1.7152658662092624E-3</v>
      </c>
      <c r="I25" s="68">
        <v>6</v>
      </c>
      <c r="K25" s="5">
        <v>23</v>
      </c>
      <c r="L25" s="73">
        <v>-18.600000000000009</v>
      </c>
    </row>
    <row r="26" spans="1:17" x14ac:dyDescent="0.45">
      <c r="A26" s="37" t="s">
        <v>155</v>
      </c>
      <c r="B26" s="34">
        <v>10</v>
      </c>
      <c r="C26" s="109">
        <v>0</v>
      </c>
      <c r="E26" s="44" t="s">
        <v>90</v>
      </c>
      <c r="F26" s="41" t="s">
        <v>45</v>
      </c>
      <c r="G26" s="34">
        <v>1</v>
      </c>
      <c r="H26" s="107">
        <f>IF(B$47=0,0,G26/B$47)</f>
        <v>1.7152658662092624E-3</v>
      </c>
      <c r="I26" s="68">
        <v>5</v>
      </c>
      <c r="K26" s="5">
        <v>24</v>
      </c>
      <c r="L26" s="73">
        <v>-26.900000000000009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93</v>
      </c>
      <c r="F27" s="41" t="s">
        <v>48</v>
      </c>
      <c r="G27" s="34">
        <v>1</v>
      </c>
      <c r="H27" s="107">
        <f>IF(B$47=0,0,G27/B$47)</f>
        <v>1.7152658662092624E-3</v>
      </c>
      <c r="I27" s="68">
        <v>7</v>
      </c>
      <c r="K27" s="5">
        <v>25</v>
      </c>
      <c r="L27" s="73">
        <v>-37.900000000000006</v>
      </c>
    </row>
    <row r="28" spans="1:17" x14ac:dyDescent="0.45">
      <c r="A28" s="64" t="s">
        <v>134</v>
      </c>
      <c r="B28" s="131">
        <v>7</v>
      </c>
      <c r="C28" s="132"/>
      <c r="E28" s="44" t="s">
        <v>76</v>
      </c>
      <c r="F28" s="41" t="s">
        <v>31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-59.800000000000004</v>
      </c>
    </row>
    <row r="29" spans="1:17" x14ac:dyDescent="0.45">
      <c r="A29" s="40" t="s">
        <v>177</v>
      </c>
      <c r="B29" s="129">
        <v>103200</v>
      </c>
      <c r="C29" s="130"/>
      <c r="E29" s="44" t="s">
        <v>80</v>
      </c>
      <c r="F29" s="41" t="s">
        <v>35</v>
      </c>
      <c r="G29" s="34">
        <v>0</v>
      </c>
      <c r="H29" s="107">
        <f>IF(B$47=0,0,G29/B$47)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9" t="s">
        <v>135</v>
      </c>
      <c r="B30" s="27">
        <v>5</v>
      </c>
      <c r="C30" s="32">
        <f>IF(B$3=0,0,B30/B$3)</f>
        <v>2.3507287259050304E-3</v>
      </c>
      <c r="E30" s="44" t="s">
        <v>82</v>
      </c>
      <c r="F30" s="41" t="s">
        <v>37</v>
      </c>
      <c r="G30" s="34">
        <v>0</v>
      </c>
      <c r="H30" s="107">
        <f>IF(B$47=0,0,G30/B$47)</f>
        <v>0</v>
      </c>
      <c r="I30" s="68">
        <v>1</v>
      </c>
      <c r="K30" s="5">
        <v>28</v>
      </c>
      <c r="L30" s="73">
        <v>-53.1</v>
      </c>
    </row>
    <row r="31" spans="1:17" x14ac:dyDescent="0.45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-12.899999999999999</v>
      </c>
    </row>
    <row r="32" spans="1:17" x14ac:dyDescent="0.45">
      <c r="A32" s="64" t="s">
        <v>168</v>
      </c>
      <c r="B32" s="122">
        <v>62</v>
      </c>
      <c r="C32" s="119">
        <f>IF(B$15=0,0,B32/B$15)</f>
        <v>9.7791798107255523E-2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37" t="s">
        <v>164</v>
      </c>
      <c r="B33" s="34">
        <v>127</v>
      </c>
      <c r="C33" s="31">
        <f t="shared" ref="C33:C44" si="2">IF(B$15=0,0,B33/B$15)</f>
        <v>0.20031545741324921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7" t="s">
        <v>165</v>
      </c>
      <c r="B34" s="123">
        <v>113</v>
      </c>
      <c r="C34" s="31">
        <f>IF(B$15=0,0,B34/B$15)</f>
        <v>0.17823343848580442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5">
      <c r="A35" s="37" t="s">
        <v>166</v>
      </c>
      <c r="B35" s="123">
        <v>111</v>
      </c>
      <c r="C35" s="31">
        <f t="shared" si="2"/>
        <v>0.1750788643533123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37" t="s">
        <v>167</v>
      </c>
      <c r="B36" s="123">
        <v>85</v>
      </c>
      <c r="C36" s="31">
        <f t="shared" si="2"/>
        <v>0.13406940063091483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169</v>
      </c>
      <c r="B37" s="123">
        <v>40</v>
      </c>
      <c r="C37" s="31">
        <f t="shared" si="2"/>
        <v>6.3091482649842268E-2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170</v>
      </c>
      <c r="B38" s="123">
        <v>22</v>
      </c>
      <c r="C38" s="31">
        <f t="shared" si="2"/>
        <v>3.4700315457413249E-2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171</v>
      </c>
      <c r="B39" s="123">
        <v>16</v>
      </c>
      <c r="C39" s="31">
        <f t="shared" si="2"/>
        <v>2.5236593059936908E-2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172</v>
      </c>
      <c r="B40" s="123">
        <v>4</v>
      </c>
      <c r="C40" s="31">
        <f t="shared" si="2"/>
        <v>6.3091482649842269E-3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173</v>
      </c>
      <c r="B41" s="123">
        <v>1</v>
      </c>
      <c r="C41" s="31">
        <f t="shared" si="2"/>
        <v>1.5772870662460567E-3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174</v>
      </c>
      <c r="B42" s="123">
        <v>1</v>
      </c>
      <c r="C42" s="31">
        <f t="shared" si="2"/>
        <v>1.5772870662460567E-3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9" t="s">
        <v>176</v>
      </c>
      <c r="B44" s="124">
        <v>1</v>
      </c>
      <c r="C44" s="32">
        <f t="shared" si="2"/>
        <v>1.5772870662460567E-3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64" t="s">
        <v>181</v>
      </c>
      <c r="B46" s="127">
        <v>1947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9" t="s">
        <v>182</v>
      </c>
      <c r="B47" s="125">
        <v>583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-402.29999999999995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5">
      <c r="K53" s="5">
        <v>51</v>
      </c>
      <c r="L53" s="73">
        <v>-417.29999999999995</v>
      </c>
    </row>
    <row r="54" spans="5:12" x14ac:dyDescent="0.45">
      <c r="K54" s="5">
        <v>52</v>
      </c>
      <c r="L54" s="73">
        <v>-421.29999999999995</v>
      </c>
    </row>
    <row r="55" spans="5:12" x14ac:dyDescent="0.45">
      <c r="K55" s="5">
        <v>53</v>
      </c>
      <c r="L55" s="73">
        <v>-451.69999999999993</v>
      </c>
    </row>
    <row r="56" spans="5:12" x14ac:dyDescent="0.45">
      <c r="K56" s="5">
        <v>54</v>
      </c>
      <c r="L56" s="73">
        <v>-445.09999999999991</v>
      </c>
    </row>
    <row r="57" spans="5:12" x14ac:dyDescent="0.45">
      <c r="K57" s="5">
        <v>55</v>
      </c>
      <c r="L57" s="73">
        <v>-465.59999999999991</v>
      </c>
    </row>
    <row r="58" spans="5:12" x14ac:dyDescent="0.45">
      <c r="K58" s="5">
        <v>56</v>
      </c>
      <c r="L58" s="73">
        <v>-502.59999999999991</v>
      </c>
    </row>
    <row r="59" spans="5:12" x14ac:dyDescent="0.45">
      <c r="K59" s="5">
        <v>57</v>
      </c>
      <c r="L59" s="73">
        <v>-533.29999999999995</v>
      </c>
    </row>
    <row r="60" spans="5:12" x14ac:dyDescent="0.45">
      <c r="K60" s="5">
        <v>58</v>
      </c>
      <c r="L60" s="73">
        <v>-573.29999999999995</v>
      </c>
    </row>
    <row r="61" spans="5:12" x14ac:dyDescent="0.45">
      <c r="K61" s="5">
        <v>59</v>
      </c>
      <c r="L61" s="73">
        <v>-550.79999999999995</v>
      </c>
    </row>
    <row r="62" spans="5:12" x14ac:dyDescent="0.45">
      <c r="K62" s="5">
        <v>60</v>
      </c>
      <c r="L62" s="73">
        <v>-535.29999999999995</v>
      </c>
    </row>
    <row r="63" spans="5:12" x14ac:dyDescent="0.45">
      <c r="K63" s="5">
        <v>61</v>
      </c>
      <c r="L63" s="73">
        <v>-492.29999999999995</v>
      </c>
    </row>
    <row r="64" spans="5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00420-997A-4501-B203-D295EE635986}">
  <sheetPr codeName="Sheet11"/>
  <dimension ref="A1:Q43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434</v>
      </c>
      <c r="C2" s="128"/>
      <c r="E2" s="43" t="s">
        <v>66</v>
      </c>
      <c r="F2" s="25" t="s">
        <v>22</v>
      </c>
      <c r="G2" s="13">
        <v>797</v>
      </c>
      <c r="H2" s="106">
        <f>IF(B$47=0,0,G2/B$47)</f>
        <v>0.80181086519114686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-890.69767441860461</v>
      </c>
      <c r="P2" s="92">
        <v>430</v>
      </c>
      <c r="Q2" s="76">
        <v>-383000</v>
      </c>
    </row>
    <row r="3" spans="1:17" x14ac:dyDescent="0.45">
      <c r="A3" s="37" t="s">
        <v>8</v>
      </c>
      <c r="B3" s="137">
        <v>3550</v>
      </c>
      <c r="C3" s="138"/>
      <c r="E3" s="44" t="s">
        <v>72</v>
      </c>
      <c r="F3" s="41" t="s">
        <v>27</v>
      </c>
      <c r="G3" s="34">
        <v>521</v>
      </c>
      <c r="H3" s="107">
        <f>IF(B$47=0,0,G3/B$47)</f>
        <v>0.5241448692152918</v>
      </c>
      <c r="I3" s="68">
        <v>13</v>
      </c>
      <c r="K3" s="5">
        <v>1</v>
      </c>
      <c r="L3" s="73">
        <v>-36.700000000000003</v>
      </c>
      <c r="N3" s="89" t="s">
        <v>127</v>
      </c>
      <c r="O3" s="96">
        <f t="shared" si="0"/>
        <v>-7.6738609112709835</v>
      </c>
      <c r="P3" s="93">
        <v>417</v>
      </c>
      <c r="Q3" s="77">
        <v>-3200</v>
      </c>
    </row>
    <row r="4" spans="1:17" x14ac:dyDescent="0.45">
      <c r="A4" s="37" t="s">
        <v>6</v>
      </c>
      <c r="B4" s="139">
        <v>-911.7000000000005</v>
      </c>
      <c r="C4" s="140"/>
      <c r="E4" s="44" t="s">
        <v>64</v>
      </c>
      <c r="F4" s="41" t="s">
        <v>20</v>
      </c>
      <c r="G4" s="34">
        <v>449</v>
      </c>
      <c r="H4" s="107">
        <f>IF(B$47=0,0,G4/B$47)</f>
        <v>0.45171026156941652</v>
      </c>
      <c r="I4" s="68">
        <v>13</v>
      </c>
      <c r="K4" s="5">
        <v>2</v>
      </c>
      <c r="L4" s="73">
        <v>-45.300000000000004</v>
      </c>
      <c r="N4" s="89" t="s">
        <v>128</v>
      </c>
      <c r="O4" s="96">
        <f t="shared" si="0"/>
        <v>339.23076923076923</v>
      </c>
      <c r="P4" s="93">
        <v>390</v>
      </c>
      <c r="Q4" s="77">
        <v>132300</v>
      </c>
    </row>
    <row r="5" spans="1:17" x14ac:dyDescent="0.45">
      <c r="A5" s="37" t="s">
        <v>7</v>
      </c>
      <c r="B5" s="141">
        <f>IF(B$2=0,0,B$4/B$2)</f>
        <v>-2.1006912442396324</v>
      </c>
      <c r="C5" s="142"/>
      <c r="E5" s="44" t="s">
        <v>68</v>
      </c>
      <c r="F5" s="41" t="s">
        <v>12</v>
      </c>
      <c r="G5" s="34">
        <v>305</v>
      </c>
      <c r="H5" s="107">
        <f>IF(B$47=0,0,G5/B$47)</f>
        <v>0.30684104627766601</v>
      </c>
      <c r="I5" s="68">
        <v>10</v>
      </c>
      <c r="K5" s="5">
        <v>3</v>
      </c>
      <c r="L5" s="73">
        <v>-81.7</v>
      </c>
      <c r="N5" s="89" t="s">
        <v>129</v>
      </c>
      <c r="O5" s="96">
        <f t="shared" si="0"/>
        <v>-1167.4033149171271</v>
      </c>
      <c r="P5" s="93">
        <v>362</v>
      </c>
      <c r="Q5" s="77">
        <v>-422600</v>
      </c>
    </row>
    <row r="6" spans="1:17" x14ac:dyDescent="0.45">
      <c r="A6" s="37" t="s">
        <v>1</v>
      </c>
      <c r="B6" s="133">
        <f>IF(B$2=0,0,(B$7*1+B$8*2+B$9*3)/B$2)</f>
        <v>2.0069124423963132</v>
      </c>
      <c r="C6" s="134"/>
      <c r="E6" s="44" t="s">
        <v>157</v>
      </c>
      <c r="F6" s="41" t="s">
        <v>158</v>
      </c>
      <c r="G6" s="34">
        <v>294</v>
      </c>
      <c r="H6" s="107">
        <f>IF(B$47=0,0,G6/B$47)</f>
        <v>0.29577464788732394</v>
      </c>
      <c r="I6" s="68">
        <v>8</v>
      </c>
      <c r="K6" s="5">
        <v>4</v>
      </c>
      <c r="L6" s="73">
        <v>-114.30000000000001</v>
      </c>
      <c r="N6" s="89" t="s">
        <v>130</v>
      </c>
      <c r="O6" s="96">
        <f t="shared" si="0"/>
        <v>30.864197530864196</v>
      </c>
      <c r="P6" s="93">
        <v>324</v>
      </c>
      <c r="Q6" s="77">
        <v>10000</v>
      </c>
    </row>
    <row r="7" spans="1:17" x14ac:dyDescent="0.45">
      <c r="A7" s="37" t="s">
        <v>2</v>
      </c>
      <c r="B7" s="34">
        <v>146</v>
      </c>
      <c r="C7" s="31">
        <f t="shared" ref="C7:C10" si="1">IF(B$2=0,0,B7/B$2)</f>
        <v>0.33640552995391704</v>
      </c>
      <c r="E7" s="44" t="s">
        <v>67</v>
      </c>
      <c r="F7" s="41" t="s">
        <v>23</v>
      </c>
      <c r="G7" s="34">
        <v>260</v>
      </c>
      <c r="H7" s="107">
        <f>IF(B$47=0,0,G7/B$47)</f>
        <v>0.26156941649899396</v>
      </c>
      <c r="I7" s="68">
        <v>11</v>
      </c>
      <c r="K7" s="5">
        <v>5</v>
      </c>
      <c r="L7" s="73">
        <v>-136.30000000000001</v>
      </c>
      <c r="N7" s="90" t="s">
        <v>131</v>
      </c>
      <c r="O7" s="97">
        <f t="shared" si="0"/>
        <v>124.37275985663082</v>
      </c>
      <c r="P7" s="94">
        <v>279</v>
      </c>
      <c r="Q7" s="78">
        <v>34700</v>
      </c>
    </row>
    <row r="8" spans="1:17" x14ac:dyDescent="0.45">
      <c r="A8" s="37" t="s">
        <v>3</v>
      </c>
      <c r="B8" s="34">
        <v>139</v>
      </c>
      <c r="C8" s="31">
        <f t="shared" si="1"/>
        <v>0.32027649769585254</v>
      </c>
      <c r="E8" s="44" t="s">
        <v>69</v>
      </c>
      <c r="F8" s="41" t="s">
        <v>24</v>
      </c>
      <c r="G8" s="34">
        <v>145</v>
      </c>
      <c r="H8" s="107">
        <f>IF(B$47=0,0,G8/B$47)</f>
        <v>0.14587525150905434</v>
      </c>
      <c r="I8" s="68">
        <v>7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149</v>
      </c>
      <c r="C9" s="7">
        <f t="shared" si="1"/>
        <v>0.34331797235023043</v>
      </c>
      <c r="E9" s="44" t="s">
        <v>89</v>
      </c>
      <c r="F9" s="41" t="s">
        <v>44</v>
      </c>
      <c r="G9" s="34">
        <v>125</v>
      </c>
      <c r="H9" s="107">
        <f>IF(B$47=0,0,G9/B$47)</f>
        <v>0.12575452716297786</v>
      </c>
      <c r="I9" s="68">
        <v>9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57</v>
      </c>
      <c r="C10" s="32">
        <f t="shared" si="1"/>
        <v>0.1313364055299539</v>
      </c>
      <c r="E10" s="44" t="s">
        <v>70</v>
      </c>
      <c r="F10" s="41" t="s">
        <v>25</v>
      </c>
      <c r="G10" s="34">
        <v>112</v>
      </c>
      <c r="H10" s="107">
        <f>IF(B$47=0,0,G10/B$47)</f>
        <v>0.11267605633802817</v>
      </c>
      <c r="I10" s="68">
        <v>4</v>
      </c>
      <c r="K10" s="5">
        <v>8</v>
      </c>
      <c r="L10" s="73">
        <v>-52.300000000000018</v>
      </c>
      <c r="N10" s="88" t="s">
        <v>149</v>
      </c>
      <c r="O10" s="98">
        <f>IF(P10=0,0,Q10/P10)</f>
        <v>-2.2107142857142841</v>
      </c>
      <c r="P10" s="92">
        <v>140</v>
      </c>
      <c r="Q10" s="80">
        <v>-309.49999999999977</v>
      </c>
    </row>
    <row r="11" spans="1:17" x14ac:dyDescent="0.45">
      <c r="A11" s="40" t="s">
        <v>121</v>
      </c>
      <c r="B11" s="16">
        <v>864</v>
      </c>
      <c r="C11" s="11">
        <f>IF(B$46=0,0,B11/B$46)</f>
        <v>0.25233644859813081</v>
      </c>
      <c r="E11" s="44" t="s">
        <v>65</v>
      </c>
      <c r="F11" s="41" t="s">
        <v>21</v>
      </c>
      <c r="G11" s="34">
        <v>94</v>
      </c>
      <c r="H11" s="107">
        <f>IF(B$47=0,0,G11/B$47)</f>
        <v>9.4567404426559351E-2</v>
      </c>
      <c r="I11" s="68">
        <v>13</v>
      </c>
      <c r="K11" s="5">
        <v>9</v>
      </c>
      <c r="L11" s="73">
        <v>-53.500000000000021</v>
      </c>
      <c r="N11" s="89" t="s">
        <v>150</v>
      </c>
      <c r="O11" s="99">
        <f>IF(P11=0,0,Q11/P11)</f>
        <v>-1.6643356643356648</v>
      </c>
      <c r="P11" s="93">
        <v>143</v>
      </c>
      <c r="Q11" s="81">
        <v>-238.00000000000009</v>
      </c>
    </row>
    <row r="12" spans="1:17" x14ac:dyDescent="0.45">
      <c r="A12" s="37" t="s">
        <v>118</v>
      </c>
      <c r="B12" s="34">
        <v>817</v>
      </c>
      <c r="C12" s="31">
        <f>IF(B$46=0,0,B12/B$46)</f>
        <v>0.23860981308411214</v>
      </c>
      <c r="E12" s="44" t="s">
        <v>71</v>
      </c>
      <c r="F12" s="41" t="s">
        <v>26</v>
      </c>
      <c r="G12" s="34">
        <v>90</v>
      </c>
      <c r="H12" s="107">
        <f>IF(B$47=0,0,G12/B$47)</f>
        <v>9.0543259557344061E-2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-2.6771812080536903</v>
      </c>
      <c r="P12" s="94">
        <v>149</v>
      </c>
      <c r="Q12" s="82">
        <v>-398.89999999999986</v>
      </c>
    </row>
    <row r="13" spans="1:17" x14ac:dyDescent="0.45">
      <c r="A13" s="19" t="s">
        <v>123</v>
      </c>
      <c r="B13" s="13">
        <v>460</v>
      </c>
      <c r="C13" s="4">
        <f>IF(B$11=0,0,B13/B$11)</f>
        <v>0.53240740740740744</v>
      </c>
      <c r="E13" s="44" t="s">
        <v>86</v>
      </c>
      <c r="F13" s="41" t="s">
        <v>41</v>
      </c>
      <c r="G13" s="34">
        <v>54</v>
      </c>
      <c r="H13" s="107">
        <f>IF(B$47=0,0,G13/B$47)</f>
        <v>5.4325955734406441E-2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304</v>
      </c>
      <c r="C14" s="4">
        <f>IF(B$12=0,0,B14/B$12)</f>
        <v>0.37209302325581395</v>
      </c>
      <c r="E14" s="44" t="s">
        <v>83</v>
      </c>
      <c r="F14" s="41" t="s">
        <v>38</v>
      </c>
      <c r="G14" s="34">
        <v>43</v>
      </c>
      <c r="H14" s="107">
        <f>IF(B$47=0,0,G14/B$47)</f>
        <v>4.3259557344064385E-2</v>
      </c>
      <c r="I14" s="68">
        <v>10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1031</v>
      </c>
      <c r="C15" s="4">
        <f>IF(B$3=0,0,B15/B$3)</f>
        <v>0.2904225352112676</v>
      </c>
      <c r="E15" s="44" t="s">
        <v>78</v>
      </c>
      <c r="F15" s="41" t="s">
        <v>33</v>
      </c>
      <c r="G15" s="34">
        <v>35</v>
      </c>
      <c r="H15" s="107">
        <f>IF(B$47=0,0,G15/B$47)</f>
        <v>3.5211267605633804E-2</v>
      </c>
      <c r="I15" s="68">
        <v>3</v>
      </c>
      <c r="K15" s="5">
        <v>13</v>
      </c>
      <c r="L15" s="73">
        <v>-43.200000000000024</v>
      </c>
      <c r="N15" s="88" t="s">
        <v>189</v>
      </c>
      <c r="O15" s="98">
        <f>IF(P15=0,0,Q15/P15)</f>
        <v>64.3</v>
      </c>
      <c r="P15" s="92">
        <v>1</v>
      </c>
      <c r="Q15" s="80">
        <v>64.3</v>
      </c>
    </row>
    <row r="16" spans="1:17" x14ac:dyDescent="0.45">
      <c r="A16" s="37" t="s">
        <v>13</v>
      </c>
      <c r="B16" s="34">
        <v>617</v>
      </c>
      <c r="C16" s="31">
        <f>IF(B$3=0,0,B16/B$3)</f>
        <v>0.17380281690140845</v>
      </c>
      <c r="E16" s="44" t="s">
        <v>81</v>
      </c>
      <c r="F16" s="41" t="s">
        <v>36</v>
      </c>
      <c r="G16" s="34">
        <v>29</v>
      </c>
      <c r="H16" s="107">
        <f>IF(B$47=0,0,G16/B$47)</f>
        <v>2.9175050301810865E-2</v>
      </c>
      <c r="I16" s="68">
        <v>6</v>
      </c>
      <c r="K16" s="5">
        <v>14</v>
      </c>
      <c r="L16" s="73">
        <v>-50.400000000000027</v>
      </c>
      <c r="N16" s="89" t="s">
        <v>199</v>
      </c>
      <c r="O16" s="99">
        <f>IF(P16=0,0,Q16/P16)</f>
        <v>45.975000000000001</v>
      </c>
      <c r="P16" s="93">
        <v>8</v>
      </c>
      <c r="Q16" s="81">
        <v>367.8</v>
      </c>
    </row>
    <row r="17" spans="1:17" x14ac:dyDescent="0.45">
      <c r="A17" s="37" t="s">
        <v>12</v>
      </c>
      <c r="B17" s="34">
        <v>435</v>
      </c>
      <c r="C17" s="31">
        <f>IF(B$15=0,0,B17/B$15)</f>
        <v>0.42192046556741031</v>
      </c>
      <c r="E17" s="44" t="s">
        <v>91</v>
      </c>
      <c r="F17" s="41" t="s">
        <v>46</v>
      </c>
      <c r="G17" s="34">
        <v>20</v>
      </c>
      <c r="H17" s="107">
        <f>IF(B$47=0,0,G17/B$47)</f>
        <v>2.0120724346076459E-2</v>
      </c>
      <c r="I17" s="68">
        <v>5</v>
      </c>
      <c r="K17" s="5">
        <v>15</v>
      </c>
      <c r="L17" s="73">
        <v>23.89999999999997</v>
      </c>
      <c r="N17" s="89" t="s">
        <v>197</v>
      </c>
      <c r="O17" s="99">
        <f>IF(P17=0,0,Q17/P17)</f>
        <v>23.085000000000001</v>
      </c>
      <c r="P17" s="93">
        <v>20</v>
      </c>
      <c r="Q17" s="81">
        <v>461.7</v>
      </c>
    </row>
    <row r="18" spans="1:17" x14ac:dyDescent="0.45">
      <c r="A18" s="37" t="s">
        <v>11</v>
      </c>
      <c r="B18" s="34">
        <v>596</v>
      </c>
      <c r="C18" s="31">
        <f>IF(B$15=0,0,B18/B$15)</f>
        <v>0.57807953443258975</v>
      </c>
      <c r="E18" s="44" t="s">
        <v>79</v>
      </c>
      <c r="F18" s="41" t="s">
        <v>34</v>
      </c>
      <c r="G18" s="34">
        <v>14</v>
      </c>
      <c r="H18" s="107">
        <f>IF(B$47=0,0,G18/B$47)</f>
        <v>1.4084507042253521E-2</v>
      </c>
      <c r="I18" s="68">
        <v>12</v>
      </c>
      <c r="K18" s="5">
        <v>16</v>
      </c>
      <c r="L18" s="73">
        <v>58.89999999999997</v>
      </c>
      <c r="N18" s="89" t="s">
        <v>192</v>
      </c>
      <c r="O18" s="99">
        <f>IF(P18=0,0,Q18/P18)</f>
        <v>19.630000000000003</v>
      </c>
      <c r="P18" s="93">
        <v>10</v>
      </c>
      <c r="Q18" s="81">
        <v>196.3</v>
      </c>
    </row>
    <row r="19" spans="1:17" x14ac:dyDescent="0.45">
      <c r="A19" s="37" t="s">
        <v>180</v>
      </c>
      <c r="B19" s="34">
        <v>460</v>
      </c>
      <c r="C19" s="31">
        <f>IF(B$15=0,0,B19/B$15)</f>
        <v>0.44616876818622697</v>
      </c>
      <c r="E19" s="44" t="s">
        <v>77</v>
      </c>
      <c r="F19" s="41" t="s">
        <v>32</v>
      </c>
      <c r="G19" s="34">
        <v>9</v>
      </c>
      <c r="H19" s="107">
        <f>IF(B$47=0,0,G19/B$47)</f>
        <v>9.0543259557344068E-3</v>
      </c>
      <c r="I19" s="68">
        <v>2</v>
      </c>
      <c r="K19" s="5">
        <v>17</v>
      </c>
      <c r="L19" s="73">
        <v>58.599999999999973</v>
      </c>
      <c r="N19" s="89" t="s">
        <v>190</v>
      </c>
      <c r="O19" s="99">
        <f>IF(P19=0,0,Q19/P19)</f>
        <v>7.0579999999999989</v>
      </c>
      <c r="P19" s="93">
        <v>150</v>
      </c>
      <c r="Q19" s="81">
        <v>1058.6999999999998</v>
      </c>
    </row>
    <row r="20" spans="1:17" x14ac:dyDescent="0.45">
      <c r="A20" s="37" t="s">
        <v>178</v>
      </c>
      <c r="B20" s="34">
        <v>304</v>
      </c>
      <c r="C20" s="31">
        <f>IF(B$15=0,0,B20/B$15)</f>
        <v>0.29485935984481088</v>
      </c>
      <c r="E20" s="44" t="s">
        <v>73</v>
      </c>
      <c r="F20" s="41" t="s">
        <v>28</v>
      </c>
      <c r="G20" s="34">
        <v>6</v>
      </c>
      <c r="H20" s="107">
        <f>IF(B$47=0,0,G20/B$47)</f>
        <v>6.0362173038229373E-3</v>
      </c>
      <c r="I20" s="68">
        <v>7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179</v>
      </c>
      <c r="B21" s="34">
        <v>267</v>
      </c>
      <c r="C21" s="31">
        <f>IF(B$15=0,0,B21/B$15)</f>
        <v>0.25897187196896215</v>
      </c>
      <c r="E21" s="44" t="s">
        <v>74</v>
      </c>
      <c r="F21" s="41" t="s">
        <v>29</v>
      </c>
      <c r="G21" s="34">
        <v>6</v>
      </c>
      <c r="H21" s="107">
        <f>IF(B$47=0,0,G21/B$47)</f>
        <v>6.0362173038229373E-3</v>
      </c>
      <c r="I21" s="68">
        <v>3</v>
      </c>
      <c r="K21" s="5">
        <v>19</v>
      </c>
      <c r="L21" s="73">
        <v>125.69999999999996</v>
      </c>
      <c r="N21" s="89" t="s">
        <v>186</v>
      </c>
      <c r="O21" s="99">
        <f>IF(P21=0,0,Q21/P21)</f>
        <v>3.5652173913043526</v>
      </c>
      <c r="P21" s="93">
        <v>23</v>
      </c>
      <c r="Q21" s="81">
        <v>82.000000000000114</v>
      </c>
    </row>
    <row r="22" spans="1:17" x14ac:dyDescent="0.45">
      <c r="A22" s="37" t="s">
        <v>5</v>
      </c>
      <c r="B22" s="17">
        <f>IF(B$15=0,0,C22/B$15)</f>
        <v>8829.9709020368573</v>
      </c>
      <c r="C22" s="8">
        <v>9103700</v>
      </c>
      <c r="E22" s="44" t="s">
        <v>75</v>
      </c>
      <c r="F22" s="41" t="s">
        <v>30</v>
      </c>
      <c r="G22" s="34">
        <v>6</v>
      </c>
      <c r="H22" s="107">
        <f>IF(B$47=0,0,G22/B$47)</f>
        <v>6.0362173038229373E-3</v>
      </c>
      <c r="I22" s="68">
        <v>5</v>
      </c>
      <c r="K22" s="5">
        <v>20</v>
      </c>
      <c r="L22" s="73">
        <v>126.89999999999996</v>
      </c>
      <c r="N22" s="89" t="s">
        <v>187</v>
      </c>
      <c r="O22" s="99">
        <f>IF(P22=0,0,Q22/P22)</f>
        <v>1.5705357142857159</v>
      </c>
      <c r="P22" s="93">
        <v>112</v>
      </c>
      <c r="Q22" s="81">
        <v>175.90000000000018</v>
      </c>
    </row>
    <row r="23" spans="1:17" x14ac:dyDescent="0.45">
      <c r="A23" s="38" t="s">
        <v>162</v>
      </c>
      <c r="B23" s="114">
        <f>IF($B$15-B$14=0,0,C23/($B$15-B$14))</f>
        <v>9517.6066024759293</v>
      </c>
      <c r="C23" s="115">
        <v>6919300</v>
      </c>
      <c r="E23" s="44" t="s">
        <v>153</v>
      </c>
      <c r="F23" s="41" t="s">
        <v>154</v>
      </c>
      <c r="G23" s="34">
        <v>6</v>
      </c>
      <c r="H23" s="107">
        <f>IF(B$47=0,0,G23/B$47)</f>
        <v>6.0362173038229373E-3</v>
      </c>
      <c r="I23" s="68">
        <v>8</v>
      </c>
      <c r="K23" s="5">
        <v>21</v>
      </c>
      <c r="L23" s="73">
        <v>129.69999999999996</v>
      </c>
      <c r="N23" s="89" t="s">
        <v>191</v>
      </c>
      <c r="O23" s="99">
        <f>IF(P23=0,0,Q23/P23)</f>
        <v>0.3793388429752097</v>
      </c>
      <c r="P23" s="93">
        <v>121</v>
      </c>
      <c r="Q23" s="81">
        <v>45.900000000000375</v>
      </c>
    </row>
    <row r="24" spans="1:17" x14ac:dyDescent="0.45">
      <c r="A24" s="38" t="s">
        <v>163</v>
      </c>
      <c r="B24" s="114">
        <f>IF(B$14=0,0,C24/B$14)</f>
        <v>7185.5263157894733</v>
      </c>
      <c r="C24" s="115">
        <v>2184400</v>
      </c>
      <c r="E24" s="44" t="s">
        <v>84</v>
      </c>
      <c r="F24" s="41" t="s">
        <v>39</v>
      </c>
      <c r="G24" s="34">
        <v>4</v>
      </c>
      <c r="H24" s="107">
        <f>IF(B$47=0,0,G24/B$47)</f>
        <v>4.0241448692152921E-3</v>
      </c>
      <c r="I24" s="68">
        <v>2</v>
      </c>
      <c r="K24" s="5">
        <v>22</v>
      </c>
      <c r="L24" s="73">
        <v>174.29999999999995</v>
      </c>
      <c r="N24" s="89" t="s">
        <v>196</v>
      </c>
      <c r="O24" s="99">
        <f>IF(P24=0,0,Q24/P24)</f>
        <v>-6.2</v>
      </c>
      <c r="P24" s="93">
        <v>3</v>
      </c>
      <c r="Q24" s="81">
        <v>-18.600000000000001</v>
      </c>
    </row>
    <row r="25" spans="1:17" x14ac:dyDescent="0.45">
      <c r="A25" s="38" t="s">
        <v>161</v>
      </c>
      <c r="B25" s="114">
        <f>IF(B$16=0,0,C25/B$16)</f>
        <v>-8413.1280388978939</v>
      </c>
      <c r="C25" s="115">
        <v>-5190900</v>
      </c>
      <c r="E25" s="44" t="s">
        <v>92</v>
      </c>
      <c r="F25" s="41" t="s">
        <v>47</v>
      </c>
      <c r="G25" s="34">
        <v>4</v>
      </c>
      <c r="H25" s="107">
        <f>IF(B$47=0,0,G25/B$47)</f>
        <v>4.0241448692152921E-3</v>
      </c>
      <c r="I25" s="68">
        <v>6</v>
      </c>
      <c r="K25" s="5">
        <v>23</v>
      </c>
      <c r="L25" s="73">
        <v>172.89999999999995</v>
      </c>
      <c r="N25" s="89" t="s">
        <v>188</v>
      </c>
      <c r="O25" s="99">
        <f>IF(P25=0,0,Q25/P25)</f>
        <v>-9.3460784313725487</v>
      </c>
      <c r="P25" s="93">
        <v>102</v>
      </c>
      <c r="Q25" s="81">
        <v>-953.3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4.0241448692152921E-3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-13.289000000000005</v>
      </c>
      <c r="P26" s="93">
        <v>300</v>
      </c>
      <c r="Q26" s="81">
        <v>-3986.7000000000016</v>
      </c>
    </row>
    <row r="27" spans="1:17" x14ac:dyDescent="0.45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3.0181086519114686E-3</v>
      </c>
      <c r="I27" s="68">
        <v>2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64" t="s">
        <v>134</v>
      </c>
      <c r="B28" s="131">
        <v>9</v>
      </c>
      <c r="C28" s="132"/>
      <c r="E28" s="44" t="s">
        <v>85</v>
      </c>
      <c r="F28" s="41" t="s">
        <v>40</v>
      </c>
      <c r="G28" s="34">
        <v>1</v>
      </c>
      <c r="H28" s="107">
        <f>IF(B$47=0,0,G28/B$47)</f>
        <v>1.006036217303823E-3</v>
      </c>
      <c r="I28" s="68">
        <v>7</v>
      </c>
      <c r="K28" s="5">
        <v>26</v>
      </c>
      <c r="L28" s="73">
        <v>128.69999999999993</v>
      </c>
    </row>
    <row r="29" spans="1:17" x14ac:dyDescent="0.45">
      <c r="A29" s="40" t="s">
        <v>177</v>
      </c>
      <c r="B29" s="129">
        <v>109300</v>
      </c>
      <c r="C29" s="130"/>
      <c r="E29" s="44" t="s">
        <v>88</v>
      </c>
      <c r="F29" s="41" t="s">
        <v>43</v>
      </c>
      <c r="G29" s="34">
        <v>1</v>
      </c>
      <c r="H29" s="107">
        <f>IF(B$47=0,0,G29/B$47)</f>
        <v>1.006036217303823E-3</v>
      </c>
      <c r="I29" s="68">
        <v>6</v>
      </c>
      <c r="K29" s="5">
        <v>27</v>
      </c>
      <c r="L29" s="73">
        <v>84.699999999999932</v>
      </c>
    </row>
    <row r="30" spans="1:17" x14ac:dyDescent="0.45">
      <c r="A30" s="39" t="s">
        <v>135</v>
      </c>
      <c r="B30" s="27">
        <v>10</v>
      </c>
      <c r="C30" s="32">
        <f>IF(B$3=0,0,B30/B$3)</f>
        <v>2.8169014084507044E-3</v>
      </c>
      <c r="E30" s="44" t="s">
        <v>90</v>
      </c>
      <c r="F30" s="41" t="s">
        <v>45</v>
      </c>
      <c r="G30" s="34">
        <v>1</v>
      </c>
      <c r="H30" s="107">
        <f>IF(B$47=0,0,G30/B$47)</f>
        <v>1.006036217303823E-3</v>
      </c>
      <c r="I30" s="68">
        <v>6</v>
      </c>
      <c r="K30" s="5">
        <v>28</v>
      </c>
      <c r="L30" s="73">
        <v>43.699999999999932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1.006036217303823E-3</v>
      </c>
      <c r="I31" s="68">
        <v>5</v>
      </c>
      <c r="K31" s="5">
        <v>29</v>
      </c>
      <c r="L31" s="73">
        <v>32.899999999999935</v>
      </c>
    </row>
    <row r="32" spans="1:17" x14ac:dyDescent="0.45">
      <c r="A32" s="64" t="s">
        <v>168</v>
      </c>
      <c r="B32" s="122">
        <v>55</v>
      </c>
      <c r="C32" s="119">
        <f>IF(B$15=0,0,B32/B$15)</f>
        <v>5.33462657613967E-2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48.499999999999936</v>
      </c>
    </row>
    <row r="33" spans="1:12" x14ac:dyDescent="0.45">
      <c r="A33" s="37" t="s">
        <v>164</v>
      </c>
      <c r="B33" s="34">
        <v>160</v>
      </c>
      <c r="C33" s="31">
        <f t="shared" ref="C33:C44" si="2">IF(B$15=0,0,B33/B$15)</f>
        <v>0.15518913676042678</v>
      </c>
      <c r="E33" s="44" t="s">
        <v>80</v>
      </c>
      <c r="F33" s="41" t="s">
        <v>35</v>
      </c>
      <c r="G33" s="34">
        <v>0</v>
      </c>
      <c r="H33" s="107">
        <f>IF(B$47=0,0,G33/B$47)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7" t="s">
        <v>165</v>
      </c>
      <c r="B34" s="123">
        <v>211</v>
      </c>
      <c r="C34" s="31">
        <f>IF(B$15=0,0,B34/B$15)</f>
        <v>0.2046556741028128</v>
      </c>
      <c r="E34" s="44" t="s">
        <v>82</v>
      </c>
      <c r="F34" s="41" t="s">
        <v>37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A35" s="37" t="s">
        <v>166</v>
      </c>
      <c r="B35" s="123">
        <v>198</v>
      </c>
      <c r="C35" s="31">
        <f t="shared" si="2"/>
        <v>0.19204655674102813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37" t="s">
        <v>167</v>
      </c>
      <c r="B36" s="123">
        <v>140</v>
      </c>
      <c r="C36" s="31">
        <f t="shared" si="2"/>
        <v>0.13579049466537343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169</v>
      </c>
      <c r="B37" s="123">
        <v>98</v>
      </c>
      <c r="C37" s="31">
        <f t="shared" si="2"/>
        <v>9.5053346265761396E-2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170</v>
      </c>
      <c r="B38" s="123">
        <v>46</v>
      </c>
      <c r="C38" s="31">
        <f t="shared" si="2"/>
        <v>4.4616876818622697E-2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171</v>
      </c>
      <c r="B39" s="123">
        <v>35</v>
      </c>
      <c r="C39" s="31">
        <f t="shared" si="2"/>
        <v>3.3947623666343359E-2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172</v>
      </c>
      <c r="B40" s="123">
        <v>17</v>
      </c>
      <c r="C40" s="31">
        <f t="shared" si="2"/>
        <v>1.6488845780795344E-2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173</v>
      </c>
      <c r="B41" s="123">
        <v>12</v>
      </c>
      <c r="C41" s="31">
        <f t="shared" si="2"/>
        <v>1.1639185257032008E-2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174</v>
      </c>
      <c r="B42" s="123">
        <v>8</v>
      </c>
      <c r="C42" s="31">
        <f t="shared" si="2"/>
        <v>7.7594568380213386E-3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175</v>
      </c>
      <c r="B43" s="123">
        <v>2</v>
      </c>
      <c r="C43" s="31">
        <f t="shared" si="2"/>
        <v>1.9398642095053346E-3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9" t="s">
        <v>176</v>
      </c>
      <c r="B44" s="124">
        <v>12</v>
      </c>
      <c r="C44" s="32">
        <f t="shared" si="2"/>
        <v>1.1639185257032008E-2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64" t="s">
        <v>181</v>
      </c>
      <c r="B46" s="127">
        <v>3424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9" t="s">
        <v>182</v>
      </c>
      <c r="B47" s="125">
        <v>994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5">
      <c r="K53" s="5">
        <v>51</v>
      </c>
      <c r="L53" s="73">
        <v>196.99999999999994</v>
      </c>
    </row>
    <row r="54" spans="5:12" x14ac:dyDescent="0.45">
      <c r="K54" s="5">
        <v>52</v>
      </c>
      <c r="L54" s="73">
        <v>196.59999999999994</v>
      </c>
    </row>
    <row r="55" spans="5:12" x14ac:dyDescent="0.45">
      <c r="K55" s="5">
        <v>53</v>
      </c>
      <c r="L55" s="73">
        <v>214.69999999999993</v>
      </c>
    </row>
    <row r="56" spans="5:12" x14ac:dyDescent="0.45">
      <c r="K56" s="5">
        <v>54</v>
      </c>
      <c r="L56" s="73">
        <v>237.49999999999994</v>
      </c>
    </row>
    <row r="57" spans="5:12" x14ac:dyDescent="0.45">
      <c r="K57" s="5">
        <v>55</v>
      </c>
      <c r="L57" s="73">
        <v>224.69999999999993</v>
      </c>
    </row>
    <row r="58" spans="5:12" x14ac:dyDescent="0.45">
      <c r="K58" s="5">
        <v>56</v>
      </c>
      <c r="L58" s="73">
        <v>260.69999999999993</v>
      </c>
    </row>
    <row r="59" spans="5:12" x14ac:dyDescent="0.45">
      <c r="K59" s="5">
        <v>57</v>
      </c>
      <c r="L59" s="73">
        <v>211.59999999999994</v>
      </c>
    </row>
    <row r="60" spans="5:12" x14ac:dyDescent="0.45">
      <c r="K60" s="5">
        <v>58</v>
      </c>
      <c r="L60" s="73">
        <v>208.99999999999994</v>
      </c>
    </row>
    <row r="61" spans="5:12" x14ac:dyDescent="0.45">
      <c r="K61" s="5">
        <v>59</v>
      </c>
      <c r="L61" s="73">
        <v>221.49999999999994</v>
      </c>
    </row>
    <row r="62" spans="5:12" x14ac:dyDescent="0.45">
      <c r="K62" s="5">
        <v>60</v>
      </c>
      <c r="L62" s="73">
        <v>233.79999999999995</v>
      </c>
    </row>
    <row r="63" spans="5:12" x14ac:dyDescent="0.45">
      <c r="K63" s="5">
        <v>61</v>
      </c>
      <c r="L63" s="73">
        <v>234.69999999999996</v>
      </c>
    </row>
    <row r="64" spans="5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4A27F-C478-4CEC-A4B2-35692FA8029F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14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7">
        <v>316</v>
      </c>
      <c r="C3" s="138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9">
        <v>91.000000000000014</v>
      </c>
      <c r="C4" s="140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6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41">
        <f>IF(B$2=0,0,B$4/B$2)</f>
        <v>2.3333333333333335</v>
      </c>
      <c r="C5" s="142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2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3">
        <f>IF(B$2=0,0,(B$7*1+B$8*2+B$9*3)/B$2)</f>
        <v>2.0256410256410255</v>
      </c>
      <c r="C6" s="134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3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3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13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14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2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8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152.50000000000003</v>
      </c>
    </row>
    <row r="23" spans="1:17" x14ac:dyDescent="0.45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5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81.500000000000028</v>
      </c>
    </row>
    <row r="27" spans="1:17" x14ac:dyDescent="0.45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64.700000000000031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49.60000000000003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5">
      <c r="A32" s="64" t="s">
        <v>168</v>
      </c>
      <c r="B32" s="122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7" t="s">
        <v>165</v>
      </c>
      <c r="B34" s="123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A35" s="37" t="s">
        <v>166</v>
      </c>
      <c r="B35" s="123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5">
      <c r="A36" s="37" t="s">
        <v>167</v>
      </c>
      <c r="B36" s="123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169</v>
      </c>
      <c r="B37" s="123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170</v>
      </c>
      <c r="B38" s="123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171</v>
      </c>
      <c r="B39" s="123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172</v>
      </c>
      <c r="B40" s="123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173</v>
      </c>
      <c r="B41" s="123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174</v>
      </c>
      <c r="B42" s="123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5">
      <c r="A44" s="39" t="s">
        <v>176</v>
      </c>
      <c r="B44" s="124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5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5">
      <c r="A47" s="39" t="s">
        <v>182</v>
      </c>
      <c r="B47" s="125">
        <v>61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645E-B69D-44FC-AEA0-7C33435D84DF}">
  <sheetPr codeName="Sheet13"/>
  <dimension ref="A1:Q34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340</v>
      </c>
      <c r="C2" s="128"/>
      <c r="E2" s="43" t="s">
        <v>66</v>
      </c>
      <c r="F2" s="25" t="s">
        <v>22</v>
      </c>
      <c r="G2" s="13">
        <v>609</v>
      </c>
      <c r="H2" s="106">
        <f>IF(B$47=0,0,G2/B$47)</f>
        <v>0.79503916449086165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276.78571428571428</v>
      </c>
      <c r="P2" s="92">
        <v>336</v>
      </c>
      <c r="Q2" s="76">
        <v>93000</v>
      </c>
    </row>
    <row r="3" spans="1:17" x14ac:dyDescent="0.45">
      <c r="A3" s="37" t="s">
        <v>8</v>
      </c>
      <c r="B3" s="137">
        <v>2725</v>
      </c>
      <c r="C3" s="138"/>
      <c r="E3" s="44" t="s">
        <v>72</v>
      </c>
      <c r="F3" s="41" t="s">
        <v>27</v>
      </c>
      <c r="G3" s="34">
        <v>434</v>
      </c>
      <c r="H3" s="107">
        <f>IF(B$47=0,0,G3/B$47)</f>
        <v>0.56657963446475201</v>
      </c>
      <c r="I3" s="68">
        <v>8</v>
      </c>
      <c r="K3" s="5">
        <v>1</v>
      </c>
      <c r="L3" s="73">
        <v>3.9</v>
      </c>
      <c r="N3" s="89" t="s">
        <v>127</v>
      </c>
      <c r="O3" s="96">
        <f t="shared" si="0"/>
        <v>33.738601823708208</v>
      </c>
      <c r="P3" s="93">
        <v>329</v>
      </c>
      <c r="Q3" s="77">
        <v>11100</v>
      </c>
    </row>
    <row r="4" spans="1:17" x14ac:dyDescent="0.45">
      <c r="A4" s="37" t="s">
        <v>6</v>
      </c>
      <c r="B4" s="139">
        <v>61.700000000000273</v>
      </c>
      <c r="C4" s="140"/>
      <c r="E4" s="44" t="s">
        <v>64</v>
      </c>
      <c r="F4" s="41" t="s">
        <v>20</v>
      </c>
      <c r="G4" s="34">
        <v>432</v>
      </c>
      <c r="H4" s="107">
        <f>IF(B$47=0,0,G4/B$47)</f>
        <v>0.56396866840731075</v>
      </c>
      <c r="I4" s="68">
        <v>5</v>
      </c>
      <c r="K4" s="5">
        <v>2</v>
      </c>
      <c r="L4" s="73">
        <v>-33.9</v>
      </c>
      <c r="N4" s="89" t="s">
        <v>128</v>
      </c>
      <c r="O4" s="96">
        <f t="shared" si="0"/>
        <v>249.18032786885246</v>
      </c>
      <c r="P4" s="93">
        <v>305</v>
      </c>
      <c r="Q4" s="77">
        <v>76000</v>
      </c>
    </row>
    <row r="5" spans="1:17" x14ac:dyDescent="0.45">
      <c r="A5" s="37" t="s">
        <v>7</v>
      </c>
      <c r="B5" s="141">
        <f>IF(B$2=0,0,B$4/B$2)</f>
        <v>0.18147058823529491</v>
      </c>
      <c r="C5" s="142"/>
      <c r="E5" s="44" t="s">
        <v>67</v>
      </c>
      <c r="F5" s="41" t="s">
        <v>23</v>
      </c>
      <c r="G5" s="34">
        <v>288</v>
      </c>
      <c r="H5" s="107">
        <f>IF(B$47=0,0,G5/B$47)</f>
        <v>0.37597911227154046</v>
      </c>
      <c r="I5" s="68">
        <v>3</v>
      </c>
      <c r="K5" s="5">
        <v>3</v>
      </c>
      <c r="L5" s="73">
        <v>-70.099999999999994</v>
      </c>
      <c r="N5" s="89" t="s">
        <v>129</v>
      </c>
      <c r="O5" s="96">
        <f t="shared" si="0"/>
        <v>812.94964028776974</v>
      </c>
      <c r="P5" s="93">
        <v>278</v>
      </c>
      <c r="Q5" s="77">
        <v>226000</v>
      </c>
    </row>
    <row r="6" spans="1:17" x14ac:dyDescent="0.45">
      <c r="A6" s="37" t="s">
        <v>1</v>
      </c>
      <c r="B6" s="133">
        <f>IF(B$2=0,0,(B$7*1+B$8*2+B$9*3)/B$2)</f>
        <v>2.0441176470588234</v>
      </c>
      <c r="C6" s="134"/>
      <c r="E6" s="44" t="s">
        <v>68</v>
      </c>
      <c r="F6" s="41" t="s">
        <v>12</v>
      </c>
      <c r="G6" s="34">
        <v>256</v>
      </c>
      <c r="H6" s="107">
        <f>IF(B$47=0,0,G6/B$47)</f>
        <v>0.33420365535248042</v>
      </c>
      <c r="I6" s="68">
        <v>5</v>
      </c>
      <c r="K6" s="5">
        <v>4</v>
      </c>
      <c r="L6" s="73">
        <v>-35.099999999999994</v>
      </c>
      <c r="N6" s="89" t="s">
        <v>130</v>
      </c>
      <c r="O6" s="96">
        <f t="shared" si="0"/>
        <v>-1510.3174603174602</v>
      </c>
      <c r="P6" s="93">
        <v>252</v>
      </c>
      <c r="Q6" s="77">
        <v>-380600</v>
      </c>
    </row>
    <row r="7" spans="1:17" x14ac:dyDescent="0.45">
      <c r="A7" s="37" t="s">
        <v>2</v>
      </c>
      <c r="B7" s="34">
        <v>106</v>
      </c>
      <c r="C7" s="31">
        <f t="shared" ref="C7:C10" si="1">IF(B$2=0,0,B7/B$2)</f>
        <v>0.31176470588235294</v>
      </c>
      <c r="E7" s="44" t="s">
        <v>157</v>
      </c>
      <c r="F7" s="41" t="s">
        <v>158</v>
      </c>
      <c r="G7" s="34">
        <v>194</v>
      </c>
      <c r="H7" s="107">
        <f>IF(B$47=0,0,G7/B$47)</f>
        <v>0.25326370757180156</v>
      </c>
      <c r="I7" s="68">
        <v>11</v>
      </c>
      <c r="K7" s="5">
        <v>5</v>
      </c>
      <c r="L7" s="73">
        <v>-80.099999999999994</v>
      </c>
      <c r="N7" s="90" t="s">
        <v>131</v>
      </c>
      <c r="O7" s="97">
        <f t="shared" si="0"/>
        <v>172.51184834123222</v>
      </c>
      <c r="P7" s="94">
        <v>211</v>
      </c>
      <c r="Q7" s="78">
        <v>36400</v>
      </c>
    </row>
    <row r="8" spans="1:17" x14ac:dyDescent="0.45">
      <c r="A8" s="37" t="s">
        <v>3</v>
      </c>
      <c r="B8" s="34">
        <v>113</v>
      </c>
      <c r="C8" s="31">
        <f t="shared" si="1"/>
        <v>0.33235294117647057</v>
      </c>
      <c r="E8" s="44" t="s">
        <v>69</v>
      </c>
      <c r="F8" s="41" t="s">
        <v>24</v>
      </c>
      <c r="G8" s="34">
        <v>140</v>
      </c>
      <c r="H8" s="107">
        <f>IF(B$47=0,0,G8/B$47)</f>
        <v>0.18276762402088773</v>
      </c>
      <c r="I8" s="68">
        <v>1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121</v>
      </c>
      <c r="C9" s="7">
        <f t="shared" si="1"/>
        <v>0.35588235294117648</v>
      </c>
      <c r="E9" s="44" t="s">
        <v>89</v>
      </c>
      <c r="F9" s="41" t="s">
        <v>44</v>
      </c>
      <c r="G9" s="34">
        <v>130</v>
      </c>
      <c r="H9" s="107">
        <f>IF(B$47=0,0,G9/B$47)</f>
        <v>0.16971279373368145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45</v>
      </c>
      <c r="C10" s="32">
        <f t="shared" si="1"/>
        <v>0.13235294117647059</v>
      </c>
      <c r="E10" s="44" t="s">
        <v>65</v>
      </c>
      <c r="F10" s="41" t="s">
        <v>21</v>
      </c>
      <c r="G10" s="34">
        <v>94</v>
      </c>
      <c r="H10" s="107">
        <f>IF(B$47=0,0,G10/B$47)</f>
        <v>0.12271540469973891</v>
      </c>
      <c r="I10" s="68">
        <v>5</v>
      </c>
      <c r="K10" s="5">
        <v>8</v>
      </c>
      <c r="L10" s="73">
        <v>-146</v>
      </c>
      <c r="N10" s="88" t="s">
        <v>149</v>
      </c>
      <c r="O10" s="98">
        <f>IF(P10=0,0,Q10/P10)</f>
        <v>-2.9696078431372559</v>
      </c>
      <c r="P10" s="92">
        <v>102</v>
      </c>
      <c r="Q10" s="80">
        <v>-302.90000000000009</v>
      </c>
    </row>
    <row r="11" spans="1:17" x14ac:dyDescent="0.45">
      <c r="A11" s="40" t="s">
        <v>121</v>
      </c>
      <c r="B11" s="16">
        <v>808</v>
      </c>
      <c r="C11" s="11">
        <f>IF(B$46=0,0,B11/B$46)</f>
        <v>0.30059523809523808</v>
      </c>
      <c r="E11" s="44" t="s">
        <v>70</v>
      </c>
      <c r="F11" s="41" t="s">
        <v>25</v>
      </c>
      <c r="G11" s="34">
        <v>84</v>
      </c>
      <c r="H11" s="107">
        <f>IF(B$47=0,0,G11/B$47)</f>
        <v>0.10966057441253264</v>
      </c>
      <c r="I11" s="68">
        <v>6</v>
      </c>
      <c r="K11" s="5">
        <v>9</v>
      </c>
      <c r="L11" s="73">
        <v>-173</v>
      </c>
      <c r="N11" s="89" t="s">
        <v>150</v>
      </c>
      <c r="O11" s="99">
        <f>IF(P11=0,0,Q11/P11)</f>
        <v>2.2015503875968991</v>
      </c>
      <c r="P11" s="93">
        <v>129</v>
      </c>
      <c r="Q11" s="81">
        <v>284</v>
      </c>
    </row>
    <row r="12" spans="1:17" x14ac:dyDescent="0.45">
      <c r="A12" s="37" t="s">
        <v>118</v>
      </c>
      <c r="B12" s="34">
        <v>492</v>
      </c>
      <c r="C12" s="31">
        <f>IF(B$46=0,0,B12/B$46)</f>
        <v>0.18303571428571427</v>
      </c>
      <c r="E12" s="44" t="s">
        <v>86</v>
      </c>
      <c r="F12" s="41" t="s">
        <v>41</v>
      </c>
      <c r="G12" s="34">
        <v>51</v>
      </c>
      <c r="H12" s="107">
        <f>IF(B$47=0,0,G12/B$47)</f>
        <v>6.6579634464751958E-2</v>
      </c>
      <c r="I12" s="68">
        <v>8</v>
      </c>
      <c r="K12" s="5">
        <v>10</v>
      </c>
      <c r="L12" s="73">
        <v>-206.1</v>
      </c>
      <c r="N12" s="90" t="s">
        <v>151</v>
      </c>
      <c r="O12" s="100">
        <f>IF(P12=0,0,Q12/P12)</f>
        <v>1.8198113207547173</v>
      </c>
      <c r="P12" s="94">
        <v>106</v>
      </c>
      <c r="Q12" s="82">
        <v>192.90000000000003</v>
      </c>
    </row>
    <row r="13" spans="1:17" x14ac:dyDescent="0.45">
      <c r="A13" s="19" t="s">
        <v>123</v>
      </c>
      <c r="B13" s="13">
        <v>460</v>
      </c>
      <c r="C13" s="4">
        <f>IF(B$11=0,0,B13/B$11)</f>
        <v>0.56930693069306926</v>
      </c>
      <c r="E13" s="44" t="s">
        <v>71</v>
      </c>
      <c r="F13" s="41" t="s">
        <v>26</v>
      </c>
      <c r="G13" s="34">
        <v>36</v>
      </c>
      <c r="H13" s="107">
        <f>IF(B$47=0,0,G13/B$47)</f>
        <v>4.6997389033942558E-2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196</v>
      </c>
      <c r="C14" s="4">
        <f>IF(B$12=0,0,B14/B$12)</f>
        <v>0.3983739837398374</v>
      </c>
      <c r="E14" s="44" t="s">
        <v>83</v>
      </c>
      <c r="F14" s="41" t="s">
        <v>38</v>
      </c>
      <c r="G14" s="34">
        <v>26</v>
      </c>
      <c r="H14" s="107">
        <f>IF(B$47=0,0,G14/B$47)</f>
        <v>3.3942558746736295E-2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776</v>
      </c>
      <c r="C15" s="4">
        <f>IF(B$3=0,0,B15/B$3)</f>
        <v>0.28477064220183484</v>
      </c>
      <c r="E15" s="44" t="s">
        <v>78</v>
      </c>
      <c r="F15" s="41" t="s">
        <v>33</v>
      </c>
      <c r="G15" s="34">
        <v>24</v>
      </c>
      <c r="H15" s="107">
        <f>IF(B$47=0,0,G15/B$47)</f>
        <v>3.1331592689295036E-2</v>
      </c>
      <c r="I15" s="68">
        <v>4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13</v>
      </c>
      <c r="B16" s="34">
        <v>499</v>
      </c>
      <c r="C16" s="31">
        <f>IF(B$3=0,0,B16/B$3)</f>
        <v>0.18311926605504586</v>
      </c>
      <c r="E16" s="44" t="s">
        <v>153</v>
      </c>
      <c r="F16" s="41" t="s">
        <v>154</v>
      </c>
      <c r="G16" s="34">
        <v>22</v>
      </c>
      <c r="H16" s="107">
        <f>IF(B$47=0,0,G16/B$47)</f>
        <v>2.8720626631853787E-2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37" t="s">
        <v>12</v>
      </c>
      <c r="B17" s="34">
        <v>350</v>
      </c>
      <c r="C17" s="31">
        <f>IF(B$15=0,0,B17/B$15)</f>
        <v>0.45103092783505155</v>
      </c>
      <c r="E17" s="44" t="s">
        <v>91</v>
      </c>
      <c r="F17" s="41" t="s">
        <v>46</v>
      </c>
      <c r="G17" s="34">
        <v>20</v>
      </c>
      <c r="H17" s="107">
        <f>IF(B$47=0,0,G17/B$47)</f>
        <v>2.6109660574412531E-2</v>
      </c>
      <c r="I17" s="68">
        <v>2</v>
      </c>
      <c r="K17" s="5">
        <v>15</v>
      </c>
      <c r="L17" s="73">
        <v>-212.5</v>
      </c>
      <c r="N17" s="89" t="s">
        <v>188</v>
      </c>
      <c r="O17" s="99">
        <f>IF(P17=0,0,Q17/P17)</f>
        <v>14.047457627118643</v>
      </c>
      <c r="P17" s="93">
        <v>59</v>
      </c>
      <c r="Q17" s="81">
        <v>828.8</v>
      </c>
    </row>
    <row r="18" spans="1:17" x14ac:dyDescent="0.45">
      <c r="A18" s="37" t="s">
        <v>11</v>
      </c>
      <c r="B18" s="34">
        <v>426</v>
      </c>
      <c r="C18" s="31">
        <f>IF(B$15=0,0,B18/B$15)</f>
        <v>0.5489690721649485</v>
      </c>
      <c r="E18" s="44" t="s">
        <v>81</v>
      </c>
      <c r="F18" s="41" t="s">
        <v>36</v>
      </c>
      <c r="G18" s="34">
        <v>18</v>
      </c>
      <c r="H18" s="107">
        <f>IF(B$47=0,0,G18/B$47)</f>
        <v>2.3498694516971279E-2</v>
      </c>
      <c r="I18" s="68">
        <v>9</v>
      </c>
      <c r="K18" s="5">
        <v>16</v>
      </c>
      <c r="L18" s="73">
        <v>-233.2</v>
      </c>
      <c r="N18" s="89" t="s">
        <v>194</v>
      </c>
      <c r="O18" s="99">
        <f>IF(P18=0,0,Q18/P18)</f>
        <v>11.2125</v>
      </c>
      <c r="P18" s="93">
        <v>16</v>
      </c>
      <c r="Q18" s="81">
        <v>179.4</v>
      </c>
    </row>
    <row r="19" spans="1:17" x14ac:dyDescent="0.45">
      <c r="A19" s="37" t="s">
        <v>180</v>
      </c>
      <c r="B19" s="34">
        <v>460</v>
      </c>
      <c r="C19" s="31">
        <f>IF(B$15=0,0,B19/B$15)</f>
        <v>0.59278350515463918</v>
      </c>
      <c r="E19" s="44" t="s">
        <v>79</v>
      </c>
      <c r="F19" s="41" t="s">
        <v>34</v>
      </c>
      <c r="G19" s="34">
        <v>12</v>
      </c>
      <c r="H19" s="107">
        <f>IF(B$47=0,0,G19/B$47)</f>
        <v>1.5665796344647518E-2</v>
      </c>
      <c r="I19" s="68">
        <v>9</v>
      </c>
      <c r="K19" s="5">
        <v>17</v>
      </c>
      <c r="L19" s="73">
        <v>-268.7</v>
      </c>
      <c r="N19" s="89" t="s">
        <v>197</v>
      </c>
      <c r="O19" s="99">
        <f>IF(P19=0,0,Q19/P19)</f>
        <v>9.4086956521739165</v>
      </c>
      <c r="P19" s="93">
        <v>23</v>
      </c>
      <c r="Q19" s="81">
        <v>216.40000000000006</v>
      </c>
    </row>
    <row r="20" spans="1:17" x14ac:dyDescent="0.45">
      <c r="A20" s="37" t="s">
        <v>178</v>
      </c>
      <c r="B20" s="34">
        <v>196</v>
      </c>
      <c r="C20" s="31">
        <f>IF(B$15=0,0,B20/B$15)</f>
        <v>0.25257731958762886</v>
      </c>
      <c r="E20" s="44" t="s">
        <v>73</v>
      </c>
      <c r="F20" s="41" t="s">
        <v>28</v>
      </c>
      <c r="G20" s="34">
        <v>9</v>
      </c>
      <c r="H20" s="107">
        <f>IF(B$47=0,0,G20/B$47)</f>
        <v>1.1749347258485639E-2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9.15625</v>
      </c>
      <c r="P20" s="93">
        <v>32</v>
      </c>
      <c r="Q20" s="81">
        <v>293</v>
      </c>
    </row>
    <row r="21" spans="1:17" x14ac:dyDescent="0.45">
      <c r="A21" s="37" t="s">
        <v>179</v>
      </c>
      <c r="B21" s="34">
        <v>120</v>
      </c>
      <c r="C21" s="31">
        <f>IF(B$15=0,0,B21/B$15)</f>
        <v>0.15463917525773196</v>
      </c>
      <c r="E21" s="44" t="s">
        <v>92</v>
      </c>
      <c r="F21" s="41" t="s">
        <v>47</v>
      </c>
      <c r="G21" s="34">
        <v>8</v>
      </c>
      <c r="H21" s="107">
        <f>IF(B$47=0,0,G21/B$47)</f>
        <v>1.0443864229765013E-2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5</v>
      </c>
      <c r="B22" s="17">
        <f>IF(B$15=0,0,C22/B$15)</f>
        <v>10468.427835051547</v>
      </c>
      <c r="C22" s="8">
        <v>8123500</v>
      </c>
      <c r="E22" s="44" t="s">
        <v>75</v>
      </c>
      <c r="F22" s="41" t="s">
        <v>30</v>
      </c>
      <c r="G22" s="34">
        <v>7</v>
      </c>
      <c r="H22" s="107">
        <f>IF(B$47=0,0,G22/B$47)</f>
        <v>9.138381201044387E-3</v>
      </c>
      <c r="I22" s="68">
        <v>2</v>
      </c>
      <c r="K22" s="5">
        <v>20</v>
      </c>
      <c r="L22" s="73">
        <v>-270</v>
      </c>
      <c r="N22" s="89" t="s">
        <v>193</v>
      </c>
      <c r="O22" s="99">
        <f>IF(P22=0,0,Q22/P22)</f>
        <v>-0.37933884297521064</v>
      </c>
      <c r="P22" s="93">
        <v>121</v>
      </c>
      <c r="Q22" s="81">
        <v>-45.900000000000489</v>
      </c>
    </row>
    <row r="23" spans="1:17" x14ac:dyDescent="0.45">
      <c r="A23" s="38" t="s">
        <v>162</v>
      </c>
      <c r="B23" s="114">
        <f>IF($B$15-B$14=0,0,C23/($B$15-B$14))</f>
        <v>11221.551724137931</v>
      </c>
      <c r="C23" s="115">
        <v>6508500</v>
      </c>
      <c r="E23" s="44" t="s">
        <v>84</v>
      </c>
      <c r="F23" s="41" t="s">
        <v>39</v>
      </c>
      <c r="G23" s="34">
        <v>5</v>
      </c>
      <c r="H23" s="107">
        <f>IF(B$47=0,0,G23/B$47)</f>
        <v>6.5274151436031328E-3</v>
      </c>
      <c r="I23" s="68">
        <v>1</v>
      </c>
      <c r="K23" s="5">
        <v>21</v>
      </c>
      <c r="L23" s="73">
        <v>-242</v>
      </c>
      <c r="N23" s="89" t="s">
        <v>190</v>
      </c>
      <c r="O23" s="99">
        <f>IF(P23=0,0,Q23/P23)</f>
        <v>-1.8000000000000007</v>
      </c>
      <c r="P23" s="93">
        <v>106</v>
      </c>
      <c r="Q23" s="81">
        <v>-190.80000000000007</v>
      </c>
    </row>
    <row r="24" spans="1:17" x14ac:dyDescent="0.45">
      <c r="A24" s="38" t="s">
        <v>163</v>
      </c>
      <c r="B24" s="114">
        <f>IF(B$14=0,0,C24/B$14)</f>
        <v>8239.7959183673465</v>
      </c>
      <c r="C24" s="115">
        <v>1615000</v>
      </c>
      <c r="E24" s="44" t="s">
        <v>77</v>
      </c>
      <c r="F24" s="41" t="s">
        <v>32</v>
      </c>
      <c r="G24" s="34">
        <v>4</v>
      </c>
      <c r="H24" s="107">
        <f>IF(B$47=0,0,G24/B$47)</f>
        <v>5.2219321148825066E-3</v>
      </c>
      <c r="I24" s="68">
        <v>5</v>
      </c>
      <c r="K24" s="5">
        <v>22</v>
      </c>
      <c r="L24" s="73">
        <v>-202.9</v>
      </c>
      <c r="N24" s="89" t="s">
        <v>187</v>
      </c>
      <c r="O24" s="99">
        <f>IF(P24=0,0,Q24/P24)</f>
        <v>-2.1031914893617025</v>
      </c>
      <c r="P24" s="93">
        <v>94</v>
      </c>
      <c r="Q24" s="81">
        <v>-197.70000000000005</v>
      </c>
    </row>
    <row r="25" spans="1:17" x14ac:dyDescent="0.45">
      <c r="A25" s="38" t="s">
        <v>161</v>
      </c>
      <c r="B25" s="114">
        <f>IF(B$16=0,0,C25/B$16)</f>
        <v>-8827.4549098196385</v>
      </c>
      <c r="C25" s="115">
        <v>-4404900</v>
      </c>
      <c r="E25" s="44" t="s">
        <v>93</v>
      </c>
      <c r="F25" s="41" t="s">
        <v>48</v>
      </c>
      <c r="G25" s="34">
        <v>4</v>
      </c>
      <c r="H25" s="107">
        <f>IF(B$47=0,0,G25/B$47)</f>
        <v>5.2219321148825066E-3</v>
      </c>
      <c r="I25" s="68">
        <v>2</v>
      </c>
      <c r="K25" s="5">
        <v>23</v>
      </c>
      <c r="L25" s="73">
        <v>-200.9</v>
      </c>
      <c r="N25" s="89" t="s">
        <v>195</v>
      </c>
      <c r="O25" s="99">
        <f>IF(P25=0,0,Q25/P25)</f>
        <v>-4.5608695652173905</v>
      </c>
      <c r="P25" s="93">
        <v>207</v>
      </c>
      <c r="Q25" s="81">
        <v>-944.0999999999998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90</v>
      </c>
      <c r="F26" s="41" t="s">
        <v>45</v>
      </c>
      <c r="G26" s="34">
        <v>3</v>
      </c>
      <c r="H26" s="107">
        <f>IF(B$47=0,0,G26/B$47)</f>
        <v>3.9164490861618795E-3</v>
      </c>
      <c r="I26" s="68">
        <v>1</v>
      </c>
      <c r="K26" s="5">
        <v>24</v>
      </c>
      <c r="L26" s="73">
        <v>-168.2</v>
      </c>
      <c r="N26" s="89" t="s">
        <v>189</v>
      </c>
      <c r="O26" s="99">
        <f>IF(P26=0,0,Q26/P26)</f>
        <v>-5.0399999999999983</v>
      </c>
      <c r="P26" s="93">
        <v>5</v>
      </c>
      <c r="Q26" s="81">
        <v>-25.199999999999992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85</v>
      </c>
      <c r="F27" s="41" t="s">
        <v>40</v>
      </c>
      <c r="G27" s="34">
        <v>2</v>
      </c>
      <c r="H27" s="107">
        <f>IF(B$47=0,0,G27/B$47)</f>
        <v>2.6109660574412533E-3</v>
      </c>
      <c r="I27" s="68">
        <v>5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64" t="s">
        <v>134</v>
      </c>
      <c r="B28" s="131">
        <v>8</v>
      </c>
      <c r="C28" s="132"/>
      <c r="E28" s="44" t="s">
        <v>87</v>
      </c>
      <c r="F28" s="41" t="s">
        <v>42</v>
      </c>
      <c r="G28" s="34">
        <v>2</v>
      </c>
      <c r="H28" s="107">
        <f>IF(B$47=0,0,G28/B$47)</f>
        <v>2.6109660574412533E-3</v>
      </c>
      <c r="I28" s="68">
        <v>3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40" t="s">
        <v>177</v>
      </c>
      <c r="B29" s="129">
        <v>124700</v>
      </c>
      <c r="C29" s="130"/>
      <c r="E29" s="44" t="s">
        <v>74</v>
      </c>
      <c r="F29" s="41" t="s">
        <v>29</v>
      </c>
      <c r="G29" s="34">
        <v>1</v>
      </c>
      <c r="H29" s="107">
        <f>IF(B$47=0,0,G29/B$47)</f>
        <v>1.3054830287206266E-3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9" t="s">
        <v>135</v>
      </c>
      <c r="B30" s="27">
        <v>10</v>
      </c>
      <c r="C30" s="32">
        <f>IF(B$3=0,0,B30/B$3)</f>
        <v>3.669724770642202E-3</v>
      </c>
      <c r="E30" s="44" t="s">
        <v>97</v>
      </c>
      <c r="F30" s="41" t="s">
        <v>52</v>
      </c>
      <c r="G30" s="34">
        <v>1</v>
      </c>
      <c r="H30" s="107">
        <f>IF(B$47=0,0,G30/B$47)</f>
        <v>1.3054830287206266E-3</v>
      </c>
      <c r="I30" s="68">
        <v>2</v>
      </c>
      <c r="K30" s="5">
        <v>28</v>
      </c>
      <c r="L30" s="73">
        <v>-290.19999999999993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5">
      <c r="A32" s="64" t="s">
        <v>168</v>
      </c>
      <c r="B32" s="122">
        <v>25</v>
      </c>
      <c r="C32" s="119">
        <f>IF(B$15=0,0,B32/B$15)</f>
        <v>3.2216494845360821E-2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5">
      <c r="A33" s="37" t="s">
        <v>164</v>
      </c>
      <c r="B33" s="34">
        <v>79</v>
      </c>
      <c r="C33" s="31">
        <f t="shared" ref="C33:C44" si="2">IF(B$15=0,0,B33/B$15)</f>
        <v>0.10180412371134021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5">
      <c r="A34" s="37" t="s">
        <v>165</v>
      </c>
      <c r="B34" s="123">
        <v>113</v>
      </c>
      <c r="C34" s="31">
        <f>IF(B$15=0,0,B34/B$15)</f>
        <v>0.14561855670103094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5">
      <c r="A35" s="37" t="s">
        <v>166</v>
      </c>
      <c r="B35" s="123">
        <v>150</v>
      </c>
      <c r="C35" s="31">
        <f t="shared" si="2"/>
        <v>0.19329896907216496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37" t="s">
        <v>167</v>
      </c>
      <c r="B36" s="123">
        <v>150</v>
      </c>
      <c r="C36" s="31">
        <f t="shared" si="2"/>
        <v>0.19329896907216496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5">
      <c r="A37" s="37" t="s">
        <v>169</v>
      </c>
      <c r="B37" s="123">
        <v>88</v>
      </c>
      <c r="C37" s="31">
        <f t="shared" si="2"/>
        <v>0.1134020618556701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170</v>
      </c>
      <c r="B38" s="123">
        <v>64</v>
      </c>
      <c r="C38" s="31">
        <f t="shared" si="2"/>
        <v>8.247422680412371E-2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171</v>
      </c>
      <c r="B39" s="123">
        <v>37</v>
      </c>
      <c r="C39" s="31">
        <f t="shared" si="2"/>
        <v>4.7680412371134018E-2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172</v>
      </c>
      <c r="B40" s="123">
        <v>24</v>
      </c>
      <c r="C40" s="31">
        <f t="shared" si="2"/>
        <v>3.0927835051546393E-2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173</v>
      </c>
      <c r="B41" s="123">
        <v>11</v>
      </c>
      <c r="C41" s="31">
        <f t="shared" si="2"/>
        <v>1.4175257731958763E-2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174</v>
      </c>
      <c r="B42" s="123">
        <v>7</v>
      </c>
      <c r="C42" s="31">
        <f t="shared" si="2"/>
        <v>9.0206185567010301E-3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175</v>
      </c>
      <c r="B43" s="123">
        <v>3</v>
      </c>
      <c r="C43" s="31">
        <f t="shared" si="2"/>
        <v>3.8659793814432991E-3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9" t="s">
        <v>176</v>
      </c>
      <c r="B44" s="124">
        <v>15</v>
      </c>
      <c r="C44" s="32">
        <f t="shared" si="2"/>
        <v>1.9329896907216496E-2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64" t="s">
        <v>181</v>
      </c>
      <c r="B46" s="127">
        <v>2688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9" t="s">
        <v>182</v>
      </c>
      <c r="B47" s="125">
        <v>766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5">
      <c r="K53" s="5">
        <v>51</v>
      </c>
      <c r="L53" s="73">
        <v>-409.99999999999994</v>
      </c>
    </row>
    <row r="54" spans="5:12" x14ac:dyDescent="0.45">
      <c r="K54" s="5">
        <v>52</v>
      </c>
      <c r="L54" s="73">
        <v>-426.39999999999992</v>
      </c>
    </row>
    <row r="55" spans="5:12" x14ac:dyDescent="0.45">
      <c r="K55" s="5">
        <v>53</v>
      </c>
      <c r="L55" s="73">
        <v>-399.89999999999992</v>
      </c>
    </row>
    <row r="56" spans="5:12" x14ac:dyDescent="0.45">
      <c r="K56" s="5">
        <v>54</v>
      </c>
      <c r="L56" s="73">
        <v>-411.19999999999993</v>
      </c>
    </row>
    <row r="57" spans="5:12" x14ac:dyDescent="0.45">
      <c r="K57" s="5">
        <v>55</v>
      </c>
      <c r="L57" s="73">
        <v>-420.49999999999994</v>
      </c>
    </row>
    <row r="58" spans="5:12" x14ac:dyDescent="0.45">
      <c r="K58" s="5">
        <v>56</v>
      </c>
      <c r="L58" s="73">
        <v>-395.39999999999992</v>
      </c>
    </row>
    <row r="59" spans="5:12" x14ac:dyDescent="0.45">
      <c r="K59" s="5">
        <v>57</v>
      </c>
      <c r="L59" s="73">
        <v>-428.89999999999992</v>
      </c>
    </row>
    <row r="60" spans="5:12" x14ac:dyDescent="0.45">
      <c r="K60" s="5">
        <v>58</v>
      </c>
      <c r="L60" s="73">
        <v>-466.39999999999992</v>
      </c>
    </row>
    <row r="61" spans="5:12" x14ac:dyDescent="0.45">
      <c r="K61" s="5">
        <v>59</v>
      </c>
      <c r="L61" s="73">
        <v>-475.7999999999999</v>
      </c>
    </row>
    <row r="62" spans="5:12" x14ac:dyDescent="0.45">
      <c r="K62" s="5">
        <v>60</v>
      </c>
      <c r="L62" s="73">
        <v>-475.2999999999999</v>
      </c>
    </row>
    <row r="63" spans="5:12" x14ac:dyDescent="0.45">
      <c r="K63" s="5">
        <v>61</v>
      </c>
      <c r="L63" s="73">
        <v>-487.39999999999992</v>
      </c>
    </row>
    <row r="64" spans="5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CD46-CACB-4D1C-B5E4-5DB732D3E9B2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7">
        <v>69</v>
      </c>
      <c r="C3" s="138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13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9">
        <v>109</v>
      </c>
      <c r="C4" s="140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41">
        <f>IF(B$2=0,0,B$4/B$2)</f>
        <v>12.111111111111111</v>
      </c>
      <c r="C5" s="142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3">
        <f>IF(B$2=0,0,(B$7*1+B$8*2+B$9*3)/B$2)</f>
        <v>1.6666666666666667</v>
      </c>
      <c r="C6" s="134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15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1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3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4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4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10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13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14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5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8</v>
      </c>
    </row>
    <row r="28" spans="1:17" x14ac:dyDescent="0.45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9</v>
      </c>
    </row>
    <row r="29" spans="1:17" x14ac:dyDescent="0.45">
      <c r="A29" s="40" t="s">
        <v>177</v>
      </c>
      <c r="B29" s="129">
        <v>78000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24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DDA0-351D-4CEC-A7E1-B169E2A9020F}">
  <sheetPr codeName="Sheet15"/>
  <dimension ref="A1:Q27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268</v>
      </c>
      <c r="C2" s="128"/>
      <c r="E2" s="43" t="s">
        <v>66</v>
      </c>
      <c r="F2" s="25" t="s">
        <v>22</v>
      </c>
      <c r="G2" s="13">
        <v>399</v>
      </c>
      <c r="H2" s="106">
        <f>IF(B$47=0,0,G2/B$47)</f>
        <v>0.6785714285714286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39.92537313432836</v>
      </c>
      <c r="P2" s="92">
        <v>268</v>
      </c>
      <c r="Q2" s="76">
        <v>10700</v>
      </c>
    </row>
    <row r="3" spans="1:17" x14ac:dyDescent="0.45">
      <c r="A3" s="37" t="s">
        <v>8</v>
      </c>
      <c r="B3" s="137">
        <v>2175</v>
      </c>
      <c r="C3" s="138"/>
      <c r="E3" s="44" t="s">
        <v>64</v>
      </c>
      <c r="F3" s="41" t="s">
        <v>20</v>
      </c>
      <c r="G3" s="34">
        <v>311</v>
      </c>
      <c r="H3" s="107">
        <f>IF(B$47=0,0,G3/B$47)</f>
        <v>0.52891156462585032</v>
      </c>
      <c r="I3" s="68">
        <v>7</v>
      </c>
      <c r="K3" s="5">
        <v>1</v>
      </c>
      <c r="L3" s="73">
        <v>15</v>
      </c>
      <c r="N3" s="89" t="s">
        <v>127</v>
      </c>
      <c r="O3" s="96">
        <f t="shared" si="0"/>
        <v>604.21455938697318</v>
      </c>
      <c r="P3" s="93">
        <v>261</v>
      </c>
      <c r="Q3" s="77">
        <v>157700</v>
      </c>
    </row>
    <row r="4" spans="1:17" x14ac:dyDescent="0.45">
      <c r="A4" s="37" t="s">
        <v>6</v>
      </c>
      <c r="B4" s="139">
        <v>-291.2</v>
      </c>
      <c r="C4" s="140"/>
      <c r="E4" s="44" t="s">
        <v>72</v>
      </c>
      <c r="F4" s="41" t="s">
        <v>27</v>
      </c>
      <c r="G4" s="34">
        <v>309</v>
      </c>
      <c r="H4" s="107">
        <f>IF(B$47=0,0,G4/B$47)</f>
        <v>0.52551020408163263</v>
      </c>
      <c r="I4" s="68">
        <v>12</v>
      </c>
      <c r="K4" s="5">
        <v>2</v>
      </c>
      <c r="L4" s="73">
        <v>-24.299999999999997</v>
      </c>
      <c r="N4" s="89" t="s">
        <v>128</v>
      </c>
      <c r="O4" s="96">
        <f t="shared" si="0"/>
        <v>-525.40983606557381</v>
      </c>
      <c r="P4" s="93">
        <v>244</v>
      </c>
      <c r="Q4" s="77">
        <v>-128200</v>
      </c>
    </row>
    <row r="5" spans="1:17" x14ac:dyDescent="0.45">
      <c r="A5" s="37" t="s">
        <v>7</v>
      </c>
      <c r="B5" s="141">
        <f>IF(B$2=0,0,B$4/B$2)</f>
        <v>-1.0865671641791044</v>
      </c>
      <c r="C5" s="142"/>
      <c r="E5" s="44" t="s">
        <v>157</v>
      </c>
      <c r="F5" s="41" t="s">
        <v>158</v>
      </c>
      <c r="G5" s="34">
        <v>238</v>
      </c>
      <c r="H5" s="107">
        <f>IF(B$47=0,0,G5/B$47)</f>
        <v>0.40476190476190477</v>
      </c>
      <c r="I5" s="68">
        <v>2</v>
      </c>
      <c r="K5" s="5">
        <v>3</v>
      </c>
      <c r="L5" s="73">
        <v>-15.599999999999998</v>
      </c>
      <c r="N5" s="89" t="s">
        <v>129</v>
      </c>
      <c r="O5" s="96">
        <f t="shared" si="0"/>
        <v>-158.40707964601771</v>
      </c>
      <c r="P5" s="93">
        <v>226</v>
      </c>
      <c r="Q5" s="77">
        <v>-35800</v>
      </c>
    </row>
    <row r="6" spans="1:17" x14ac:dyDescent="0.45">
      <c r="A6" s="37" t="s">
        <v>1</v>
      </c>
      <c r="B6" s="133">
        <f>IF(B$2=0,0,(B$7*1+B$8*2+B$9*3)/B$2)</f>
        <v>2.0522388059701493</v>
      </c>
      <c r="C6" s="134"/>
      <c r="E6" s="44" t="s">
        <v>67</v>
      </c>
      <c r="F6" s="41" t="s">
        <v>23</v>
      </c>
      <c r="G6" s="34">
        <v>213</v>
      </c>
      <c r="H6" s="107">
        <f>IF(B$47=0,0,G6/B$47)</f>
        <v>0.36224489795918369</v>
      </c>
      <c r="I6" s="68">
        <v>5</v>
      </c>
      <c r="K6" s="5">
        <v>4</v>
      </c>
      <c r="L6" s="73">
        <v>5.1000000000000014</v>
      </c>
      <c r="N6" s="89" t="s">
        <v>130</v>
      </c>
      <c r="O6" s="96">
        <f t="shared" si="0"/>
        <v>-1315.686274509804</v>
      </c>
      <c r="P6" s="93">
        <v>204</v>
      </c>
      <c r="Q6" s="77">
        <v>-268400</v>
      </c>
    </row>
    <row r="7" spans="1:17" x14ac:dyDescent="0.45">
      <c r="A7" s="37" t="s">
        <v>2</v>
      </c>
      <c r="B7" s="34">
        <v>76</v>
      </c>
      <c r="C7" s="31">
        <f t="shared" ref="C7:C10" si="1">IF(B$2=0,0,B7/B$2)</f>
        <v>0.28358208955223879</v>
      </c>
      <c r="E7" s="44" t="s">
        <v>68</v>
      </c>
      <c r="F7" s="41" t="s">
        <v>12</v>
      </c>
      <c r="G7" s="34">
        <v>189</v>
      </c>
      <c r="H7" s="107">
        <f>IF(B$47=0,0,G7/B$47)</f>
        <v>0.32142857142857145</v>
      </c>
      <c r="I7" s="68">
        <v>8</v>
      </c>
      <c r="K7" s="5">
        <v>5</v>
      </c>
      <c r="L7" s="73">
        <v>9.6000000000000014</v>
      </c>
      <c r="N7" s="90" t="s">
        <v>131</v>
      </c>
      <c r="O7" s="97">
        <f t="shared" si="0"/>
        <v>-166.8639053254438</v>
      </c>
      <c r="P7" s="94">
        <v>169</v>
      </c>
      <c r="Q7" s="78">
        <v>-28200</v>
      </c>
    </row>
    <row r="8" spans="1:17" x14ac:dyDescent="0.45">
      <c r="A8" s="37" t="s">
        <v>3</v>
      </c>
      <c r="B8" s="34">
        <v>102</v>
      </c>
      <c r="C8" s="31">
        <f t="shared" si="1"/>
        <v>0.38059701492537312</v>
      </c>
      <c r="E8" s="44" t="s">
        <v>69</v>
      </c>
      <c r="F8" s="41" t="s">
        <v>24</v>
      </c>
      <c r="G8" s="34">
        <v>79</v>
      </c>
      <c r="H8" s="107">
        <f>IF(B$47=0,0,G8/B$47)</f>
        <v>0.13435374149659865</v>
      </c>
      <c r="I8" s="68">
        <v>10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90</v>
      </c>
      <c r="C9" s="7">
        <f t="shared" si="1"/>
        <v>0.33582089552238809</v>
      </c>
      <c r="E9" s="44" t="s">
        <v>89</v>
      </c>
      <c r="F9" s="41" t="s">
        <v>44</v>
      </c>
      <c r="G9" s="34">
        <v>69</v>
      </c>
      <c r="H9" s="107">
        <f>IF(B$47=0,0,G9/B$47)</f>
        <v>0.11734693877551021</v>
      </c>
      <c r="I9" s="68">
        <v>11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33</v>
      </c>
      <c r="C10" s="32">
        <f t="shared" si="1"/>
        <v>0.12313432835820895</v>
      </c>
      <c r="E10" s="44" t="s">
        <v>65</v>
      </c>
      <c r="F10" s="41" t="s">
        <v>21</v>
      </c>
      <c r="G10" s="34">
        <v>58</v>
      </c>
      <c r="H10" s="107">
        <f>IF(B$47=0,0,G10/B$47)</f>
        <v>9.8639455782312924E-2</v>
      </c>
      <c r="I10" s="68">
        <v>12</v>
      </c>
      <c r="K10" s="5">
        <v>8</v>
      </c>
      <c r="L10" s="73">
        <v>-4.4999999999999964</v>
      </c>
      <c r="N10" s="88" t="s">
        <v>149</v>
      </c>
      <c r="O10" s="98">
        <f>IF(P10=0,0,Q10/P10)</f>
        <v>-3.2144230769230777</v>
      </c>
      <c r="P10" s="92">
        <v>104</v>
      </c>
      <c r="Q10" s="80">
        <v>-334.30000000000007</v>
      </c>
    </row>
    <row r="11" spans="1:17" x14ac:dyDescent="0.45">
      <c r="A11" s="40" t="s">
        <v>121</v>
      </c>
      <c r="B11" s="16">
        <v>543</v>
      </c>
      <c r="C11" s="11">
        <f>IF(B$46=0,0,B11/B$46)</f>
        <v>0.24965517241379309</v>
      </c>
      <c r="E11" s="44" t="s">
        <v>70</v>
      </c>
      <c r="F11" s="41" t="s">
        <v>25</v>
      </c>
      <c r="G11" s="34">
        <v>49</v>
      </c>
      <c r="H11" s="107">
        <f>IF(B$47=0,0,G11/B$47)</f>
        <v>8.3333333333333329E-2</v>
      </c>
      <c r="I11" s="68">
        <v>10</v>
      </c>
      <c r="K11" s="5">
        <v>9</v>
      </c>
      <c r="L11" s="73">
        <v>-9.3999999999999968</v>
      </c>
      <c r="N11" s="89" t="s">
        <v>150</v>
      </c>
      <c r="O11" s="99">
        <f>IF(P11=0,0,Q11/P11)</f>
        <v>0.81411764705882339</v>
      </c>
      <c r="P11" s="93">
        <v>85</v>
      </c>
      <c r="Q11" s="81">
        <v>69.199999999999989</v>
      </c>
    </row>
    <row r="12" spans="1:17" x14ac:dyDescent="0.45">
      <c r="A12" s="37" t="s">
        <v>118</v>
      </c>
      <c r="B12" s="34">
        <v>488</v>
      </c>
      <c r="C12" s="31">
        <f>IF(B$46=0,0,B12/B$46)</f>
        <v>0.22436781609195403</v>
      </c>
      <c r="E12" s="44" t="s">
        <v>71</v>
      </c>
      <c r="F12" s="41" t="s">
        <v>26</v>
      </c>
      <c r="G12" s="34">
        <v>49</v>
      </c>
      <c r="H12" s="107">
        <f>IF(B$47=0,0,G12/B$47)</f>
        <v>8.3333333333333329E-2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-0.33037974683544341</v>
      </c>
      <c r="P12" s="94">
        <v>79</v>
      </c>
      <c r="Q12" s="82">
        <v>-26.10000000000003</v>
      </c>
    </row>
    <row r="13" spans="1:17" x14ac:dyDescent="0.45">
      <c r="A13" s="19" t="s">
        <v>123</v>
      </c>
      <c r="B13" s="13">
        <v>317</v>
      </c>
      <c r="C13" s="4">
        <f>IF(B$11=0,0,B13/B$11)</f>
        <v>0.58379373848987104</v>
      </c>
      <c r="E13" s="44" t="s">
        <v>83</v>
      </c>
      <c r="F13" s="41" t="s">
        <v>38</v>
      </c>
      <c r="G13" s="34">
        <v>35</v>
      </c>
      <c r="H13" s="107">
        <f>IF(B$47=0,0,G13/B$47)</f>
        <v>5.9523809523809521E-2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181</v>
      </c>
      <c r="C14" s="4">
        <f>IF(B$12=0,0,B14/B$12)</f>
        <v>0.37090163934426229</v>
      </c>
      <c r="E14" s="44" t="s">
        <v>86</v>
      </c>
      <c r="F14" s="41" t="s">
        <v>41</v>
      </c>
      <c r="G14" s="34">
        <v>33</v>
      </c>
      <c r="H14" s="107">
        <f>IF(B$47=0,0,G14/B$47)</f>
        <v>5.6122448979591837E-2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588</v>
      </c>
      <c r="C15" s="4">
        <f>IF(B$3=0,0,B15/B$3)</f>
        <v>0.27034482758620687</v>
      </c>
      <c r="E15" s="44" t="s">
        <v>78</v>
      </c>
      <c r="F15" s="41" t="s">
        <v>33</v>
      </c>
      <c r="G15" s="34">
        <v>15</v>
      </c>
      <c r="H15" s="107">
        <f>IF(B$47=0,0,G15/B$47)</f>
        <v>2.5510204081632654E-2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13</v>
      </c>
      <c r="B16" s="34">
        <v>325</v>
      </c>
      <c r="C16" s="31">
        <f>IF(B$3=0,0,B16/B$3)</f>
        <v>0.14942528735632185</v>
      </c>
      <c r="E16" s="44" t="s">
        <v>81</v>
      </c>
      <c r="F16" s="41" t="s">
        <v>36</v>
      </c>
      <c r="G16" s="34">
        <v>14</v>
      </c>
      <c r="H16" s="107">
        <f>IF(B$47=0,0,G16/B$47)</f>
        <v>2.3809523809523808E-2</v>
      </c>
      <c r="I16" s="68">
        <v>8</v>
      </c>
      <c r="K16" s="5">
        <v>14</v>
      </c>
      <c r="L16" s="73">
        <v>-5.7999999999999945</v>
      </c>
      <c r="N16" s="89" t="s">
        <v>197</v>
      </c>
      <c r="O16" s="99">
        <f>IF(P16=0,0,Q16/P16)</f>
        <v>32.171428571428571</v>
      </c>
      <c r="P16" s="93">
        <v>28</v>
      </c>
      <c r="Q16" s="81">
        <v>900.8</v>
      </c>
    </row>
    <row r="17" spans="1:17" x14ac:dyDescent="0.45">
      <c r="A17" s="37" t="s">
        <v>12</v>
      </c>
      <c r="B17" s="34">
        <v>257</v>
      </c>
      <c r="C17" s="31">
        <f>IF(B$15=0,0,B17/B$15)</f>
        <v>0.43707482993197277</v>
      </c>
      <c r="E17" s="44" t="s">
        <v>79</v>
      </c>
      <c r="F17" s="41" t="s">
        <v>34</v>
      </c>
      <c r="G17" s="34">
        <v>12</v>
      </c>
      <c r="H17" s="107">
        <f>IF(B$47=0,0,G17/B$47)</f>
        <v>2.0408163265306121E-2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37" t="s">
        <v>11</v>
      </c>
      <c r="B18" s="34">
        <v>331</v>
      </c>
      <c r="C18" s="31">
        <f>IF(B$15=0,0,B18/B$15)</f>
        <v>0.56292517006802723</v>
      </c>
      <c r="E18" s="44" t="s">
        <v>91</v>
      </c>
      <c r="F18" s="41" t="s">
        <v>46</v>
      </c>
      <c r="G18" s="34">
        <v>12</v>
      </c>
      <c r="H18" s="107">
        <f>IF(B$47=0,0,G18/B$47)</f>
        <v>2.0408163265306121E-2</v>
      </c>
      <c r="I18" s="68">
        <v>4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37" t="s">
        <v>180</v>
      </c>
      <c r="B19" s="34">
        <v>317</v>
      </c>
      <c r="C19" s="31">
        <f>IF(B$15=0,0,B19/B$15)</f>
        <v>0.53911564625850339</v>
      </c>
      <c r="E19" s="44" t="s">
        <v>85</v>
      </c>
      <c r="F19" s="41" t="s">
        <v>40</v>
      </c>
      <c r="G19" s="34">
        <v>8</v>
      </c>
      <c r="H19" s="107">
        <f>IF(B$47=0,0,G19/B$47)</f>
        <v>1.3605442176870748E-2</v>
      </c>
      <c r="I19" s="68">
        <v>1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5">
      <c r="A20" s="37" t="s">
        <v>178</v>
      </c>
      <c r="B20" s="34">
        <v>181</v>
      </c>
      <c r="C20" s="31">
        <f>IF(B$15=0,0,B20/B$15)</f>
        <v>0.30782312925170069</v>
      </c>
      <c r="E20" s="44" t="s">
        <v>153</v>
      </c>
      <c r="F20" s="41" t="s">
        <v>154</v>
      </c>
      <c r="G20" s="34">
        <v>6</v>
      </c>
      <c r="H20" s="107">
        <f>IF(B$47=0,0,G20/B$47)</f>
        <v>1.020408163265306E-2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5.5333333333333341</v>
      </c>
      <c r="P20" s="93">
        <v>60</v>
      </c>
      <c r="Q20" s="81">
        <v>332.00000000000006</v>
      </c>
    </row>
    <row r="21" spans="1:17" x14ac:dyDescent="0.45">
      <c r="A21" s="37" t="s">
        <v>179</v>
      </c>
      <c r="B21" s="34">
        <v>90</v>
      </c>
      <c r="C21" s="31">
        <f>IF(B$15=0,0,B21/B$15)</f>
        <v>0.15306122448979592</v>
      </c>
      <c r="E21" s="44" t="s">
        <v>73</v>
      </c>
      <c r="F21" s="41" t="s">
        <v>28</v>
      </c>
      <c r="G21" s="34">
        <v>5</v>
      </c>
      <c r="H21" s="107">
        <f>IF(B$47=0,0,G21/B$47)</f>
        <v>8.5034013605442185E-3</v>
      </c>
      <c r="I21" s="68">
        <v>4</v>
      </c>
      <c r="K21" s="5">
        <v>19</v>
      </c>
      <c r="L21" s="73">
        <v>-60</v>
      </c>
      <c r="N21" s="89" t="s">
        <v>191</v>
      </c>
      <c r="O21" s="99">
        <f>IF(P21=0,0,Q21/P21)</f>
        <v>2.1031914893617034</v>
      </c>
      <c r="P21" s="93">
        <v>94</v>
      </c>
      <c r="Q21" s="81">
        <v>197.7000000000001</v>
      </c>
    </row>
    <row r="22" spans="1:17" x14ac:dyDescent="0.45">
      <c r="A22" s="37" t="s">
        <v>5</v>
      </c>
      <c r="B22" s="17">
        <f>IF(B$15=0,0,C22/B$15)</f>
        <v>8710.8843537414959</v>
      </c>
      <c r="C22" s="8">
        <v>5122000</v>
      </c>
      <c r="E22" s="44" t="s">
        <v>74</v>
      </c>
      <c r="F22" s="41" t="s">
        <v>29</v>
      </c>
      <c r="G22" s="34">
        <v>3</v>
      </c>
      <c r="H22" s="107">
        <f>IF(B$47=0,0,G22/B$47)</f>
        <v>5.1020408163265302E-3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8" t="s">
        <v>162</v>
      </c>
      <c r="B23" s="114">
        <f>IF($B$15-B$14=0,0,C23/($B$15-B$14))</f>
        <v>9447.911547911548</v>
      </c>
      <c r="C23" s="115">
        <v>3845300</v>
      </c>
      <c r="E23" s="44" t="s">
        <v>75</v>
      </c>
      <c r="F23" s="41" t="s">
        <v>30</v>
      </c>
      <c r="G23" s="34">
        <v>3</v>
      </c>
      <c r="H23" s="107">
        <f>IF(B$47=0,0,G23/B$47)</f>
        <v>5.1020408163265302E-3</v>
      </c>
      <c r="I23" s="68">
        <v>8</v>
      </c>
      <c r="K23" s="5">
        <v>21</v>
      </c>
      <c r="L23" s="73">
        <v>-125.80000000000001</v>
      </c>
      <c r="N23" s="89" t="s">
        <v>193</v>
      </c>
      <c r="O23" s="99">
        <f>IF(P23=0,0,Q23/P23)</f>
        <v>-1.5705357142857146</v>
      </c>
      <c r="P23" s="93">
        <v>112</v>
      </c>
      <c r="Q23" s="81">
        <v>-175.90000000000003</v>
      </c>
    </row>
    <row r="24" spans="1:17" x14ac:dyDescent="0.45">
      <c r="A24" s="38" t="s">
        <v>163</v>
      </c>
      <c r="B24" s="114">
        <f>IF(B$14=0,0,C24/B$14)</f>
        <v>7053.5911602209944</v>
      </c>
      <c r="C24" s="115">
        <v>1276700</v>
      </c>
      <c r="E24" s="44" t="s">
        <v>77</v>
      </c>
      <c r="F24" s="41" t="s">
        <v>32</v>
      </c>
      <c r="G24" s="34">
        <v>3</v>
      </c>
      <c r="H24" s="107">
        <f>IF(B$47=0,0,G24/B$47)</f>
        <v>5.1020408163265302E-3</v>
      </c>
      <c r="I24" s="68">
        <v>7</v>
      </c>
      <c r="K24" s="5">
        <v>22</v>
      </c>
      <c r="L24" s="73">
        <v>-149.30000000000001</v>
      </c>
      <c r="N24" s="89" t="s">
        <v>188</v>
      </c>
      <c r="O24" s="99">
        <f>IF(P24=0,0,Q24/P24)</f>
        <v>-2.1131147540983606</v>
      </c>
      <c r="P24" s="93">
        <v>61</v>
      </c>
      <c r="Q24" s="81">
        <v>-128.9</v>
      </c>
    </row>
    <row r="25" spans="1:17" x14ac:dyDescent="0.45">
      <c r="A25" s="38" t="s">
        <v>161</v>
      </c>
      <c r="B25" s="114">
        <f>IF(B$16=0,0,C25/B$16)</f>
        <v>-7477.8461538461543</v>
      </c>
      <c r="C25" s="115">
        <v>-2430300</v>
      </c>
      <c r="E25" s="44" t="s">
        <v>90</v>
      </c>
      <c r="F25" s="41" t="s">
        <v>45</v>
      </c>
      <c r="G25" s="34">
        <v>2</v>
      </c>
      <c r="H25" s="107">
        <f>IF(B$47=0,0,G25/B$47)</f>
        <v>3.4013605442176869E-3</v>
      </c>
      <c r="I25" s="68">
        <v>2</v>
      </c>
      <c r="K25" s="5">
        <v>23</v>
      </c>
      <c r="L25" s="73">
        <v>-150.30000000000001</v>
      </c>
      <c r="N25" s="89" t="s">
        <v>195</v>
      </c>
      <c r="O25" s="99">
        <f>IF(P25=0,0,Q25/P25)</f>
        <v>-19.551937984496128</v>
      </c>
      <c r="P25" s="93">
        <v>129</v>
      </c>
      <c r="Q25" s="81">
        <v>-2522.2000000000003</v>
      </c>
    </row>
    <row r="26" spans="1:17" x14ac:dyDescent="0.45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3.4013605442176869E-3</v>
      </c>
      <c r="I26" s="68">
        <v>8</v>
      </c>
      <c r="K26" s="5">
        <v>24</v>
      </c>
      <c r="L26" s="73">
        <v>-196.10000000000002</v>
      </c>
      <c r="N26" s="89" t="s">
        <v>196</v>
      </c>
      <c r="O26" s="99">
        <f>IF(P26=0,0,Q26/P26)</f>
        <v>-45.699999999999996</v>
      </c>
      <c r="P26" s="93">
        <v>3</v>
      </c>
      <c r="Q26" s="81">
        <v>-137.1</v>
      </c>
    </row>
    <row r="27" spans="1:17" x14ac:dyDescent="0.45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3.4013605442176869E-3</v>
      </c>
      <c r="I27" s="68">
        <v>4</v>
      </c>
      <c r="K27" s="5">
        <v>25</v>
      </c>
      <c r="L27" s="73">
        <v>-240.00000000000003</v>
      </c>
    </row>
    <row r="28" spans="1:17" x14ac:dyDescent="0.45">
      <c r="A28" s="64" t="s">
        <v>134</v>
      </c>
      <c r="B28" s="131">
        <v>8</v>
      </c>
      <c r="C28" s="132"/>
      <c r="E28" s="44" t="s">
        <v>101</v>
      </c>
      <c r="F28" s="41" t="s">
        <v>56</v>
      </c>
      <c r="G28" s="34">
        <v>2</v>
      </c>
      <c r="H28" s="107">
        <f>IF(B$47=0,0,G28/B$47)</f>
        <v>3.4013605442176869E-3</v>
      </c>
      <c r="I28" s="68">
        <v>1</v>
      </c>
      <c r="K28" s="5">
        <v>26</v>
      </c>
      <c r="L28" s="73">
        <v>-277</v>
      </c>
    </row>
    <row r="29" spans="1:17" x14ac:dyDescent="0.45">
      <c r="A29" s="40" t="s">
        <v>177</v>
      </c>
      <c r="B29" s="129">
        <v>103000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1.7006802721088435E-3</v>
      </c>
      <c r="I29" s="68">
        <v>7</v>
      </c>
      <c r="K29" s="5">
        <v>27</v>
      </c>
      <c r="L29" s="73">
        <v>-266.7</v>
      </c>
    </row>
    <row r="30" spans="1:17" x14ac:dyDescent="0.45">
      <c r="A30" s="39" t="s">
        <v>135</v>
      </c>
      <c r="B30" s="27">
        <v>7</v>
      </c>
      <c r="C30" s="32">
        <f>IF(B$3=0,0,B30/B$3)</f>
        <v>3.2183908045977012E-3</v>
      </c>
      <c r="E30" s="44" t="s">
        <v>88</v>
      </c>
      <c r="F30" s="41" t="s">
        <v>43</v>
      </c>
      <c r="G30" s="34">
        <v>1</v>
      </c>
      <c r="H30" s="107">
        <f>IF(B$47=0,0,G30/B$47)</f>
        <v>1.7006802721088435E-3</v>
      </c>
      <c r="I30" s="68">
        <v>4</v>
      </c>
      <c r="K30" s="5">
        <v>28</v>
      </c>
      <c r="L30" s="73">
        <v>-283.7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5">
      <c r="A32" s="64" t="s">
        <v>168</v>
      </c>
      <c r="B32" s="122">
        <v>42</v>
      </c>
      <c r="C32" s="119">
        <f>IF(B$15=0,0,B32/B$15)</f>
        <v>7.1428571428571425E-2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37" t="s">
        <v>164</v>
      </c>
      <c r="B33" s="34">
        <v>91</v>
      </c>
      <c r="C33" s="31">
        <f t="shared" ref="C33:C44" si="2">IF(B$15=0,0,B33/B$15)</f>
        <v>0.15476190476190477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7" t="s">
        <v>165</v>
      </c>
      <c r="B34" s="123">
        <v>110</v>
      </c>
      <c r="C34" s="31">
        <f>IF(B$15=0,0,B34/B$15)</f>
        <v>0.1870748299319728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A35" s="37" t="s">
        <v>166</v>
      </c>
      <c r="B35" s="123">
        <v>101</v>
      </c>
      <c r="C35" s="31">
        <f t="shared" si="2"/>
        <v>0.17176870748299319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37" t="s">
        <v>167</v>
      </c>
      <c r="B36" s="123">
        <v>100</v>
      </c>
      <c r="C36" s="31">
        <f t="shared" si="2"/>
        <v>0.17006802721088435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5">
      <c r="A37" s="37" t="s">
        <v>169</v>
      </c>
      <c r="B37" s="123">
        <v>63</v>
      </c>
      <c r="C37" s="31">
        <f t="shared" si="2"/>
        <v>0.10714285714285714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170</v>
      </c>
      <c r="B38" s="123">
        <v>34</v>
      </c>
      <c r="C38" s="31">
        <f t="shared" si="2"/>
        <v>5.7823129251700682E-2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171</v>
      </c>
      <c r="B39" s="123">
        <v>16</v>
      </c>
      <c r="C39" s="31">
        <f t="shared" si="2"/>
        <v>2.7210884353741496E-2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172</v>
      </c>
      <c r="B40" s="123">
        <v>13</v>
      </c>
      <c r="C40" s="31">
        <f t="shared" si="2"/>
        <v>2.2108843537414966E-2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173</v>
      </c>
      <c r="B41" s="123">
        <v>8</v>
      </c>
      <c r="C41" s="31">
        <f t="shared" si="2"/>
        <v>1.3605442176870748E-2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174</v>
      </c>
      <c r="B42" s="123">
        <v>2</v>
      </c>
      <c r="C42" s="31">
        <f t="shared" si="2"/>
        <v>3.4013605442176869E-3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175</v>
      </c>
      <c r="B43" s="123">
        <v>2</v>
      </c>
      <c r="C43" s="31">
        <f t="shared" si="2"/>
        <v>3.4013605442176869E-3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9" t="s">
        <v>176</v>
      </c>
      <c r="B44" s="124">
        <v>6</v>
      </c>
      <c r="C44" s="32">
        <f t="shared" si="2"/>
        <v>1.020408163265306E-2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64" t="s">
        <v>181</v>
      </c>
      <c r="B46" s="127">
        <v>2175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9" t="s">
        <v>182</v>
      </c>
      <c r="B47" s="125">
        <v>588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5">
      <c r="K53" s="5">
        <v>51</v>
      </c>
      <c r="L53" s="73">
        <v>-601.09999999999991</v>
      </c>
    </row>
    <row r="54" spans="5:12" x14ac:dyDescent="0.45">
      <c r="K54" s="5">
        <v>52</v>
      </c>
      <c r="L54" s="73">
        <v>-608.19999999999993</v>
      </c>
    </row>
    <row r="55" spans="5:12" x14ac:dyDescent="0.45">
      <c r="K55" s="5">
        <v>53</v>
      </c>
      <c r="L55" s="73">
        <v>-616.09999999999991</v>
      </c>
    </row>
    <row r="56" spans="5:12" x14ac:dyDescent="0.45">
      <c r="K56" s="5">
        <v>54</v>
      </c>
      <c r="L56" s="73">
        <v>-613.89999999999986</v>
      </c>
    </row>
    <row r="57" spans="5:12" x14ac:dyDescent="0.45">
      <c r="K57" s="5">
        <v>55</v>
      </c>
      <c r="L57" s="73">
        <v>-690.49999999999989</v>
      </c>
    </row>
    <row r="58" spans="5:12" x14ac:dyDescent="0.45">
      <c r="K58" s="5">
        <v>56</v>
      </c>
      <c r="L58" s="73">
        <v>-655.69999999999993</v>
      </c>
    </row>
    <row r="59" spans="5:12" x14ac:dyDescent="0.45">
      <c r="K59" s="5">
        <v>57</v>
      </c>
      <c r="L59" s="73">
        <v>-643.5</v>
      </c>
    </row>
    <row r="60" spans="5:12" x14ac:dyDescent="0.45">
      <c r="K60" s="5">
        <v>58</v>
      </c>
      <c r="L60" s="73">
        <v>-597.5</v>
      </c>
    </row>
    <row r="61" spans="5:12" x14ac:dyDescent="0.45">
      <c r="K61" s="5">
        <v>59</v>
      </c>
      <c r="L61" s="73">
        <v>-600.69999999999993</v>
      </c>
    </row>
    <row r="62" spans="5:12" x14ac:dyDescent="0.45">
      <c r="K62" s="5">
        <v>60</v>
      </c>
      <c r="L62" s="73">
        <v>-658.89999999999986</v>
      </c>
    </row>
    <row r="63" spans="5:12" x14ac:dyDescent="0.45">
      <c r="K63" s="5">
        <v>61</v>
      </c>
      <c r="L63" s="73">
        <v>-606.39999999999986</v>
      </c>
    </row>
    <row r="64" spans="5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D8CE9-D0DE-43B0-AF4C-2313771D85AD}">
  <sheetPr codeName="Sheet16"/>
  <dimension ref="A1:Q1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98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0.74889867841409696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-2813.4020618556701</v>
      </c>
      <c r="P2" s="92">
        <v>97</v>
      </c>
      <c r="Q2" s="76">
        <v>-272900</v>
      </c>
    </row>
    <row r="3" spans="1:17" x14ac:dyDescent="0.45">
      <c r="A3" s="37" t="s">
        <v>8</v>
      </c>
      <c r="B3" s="137">
        <v>857</v>
      </c>
      <c r="C3" s="138"/>
      <c r="E3" s="44" t="s">
        <v>64</v>
      </c>
      <c r="F3" s="41" t="s">
        <v>20</v>
      </c>
      <c r="G3" s="34">
        <v>107</v>
      </c>
      <c r="H3" s="107">
        <f>IF(B$47=0,0,G3/B$47)</f>
        <v>0.47136563876651982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375.25773195876286</v>
      </c>
      <c r="P3" s="93">
        <v>97</v>
      </c>
      <c r="Q3" s="77">
        <v>36400</v>
      </c>
    </row>
    <row r="4" spans="1:17" x14ac:dyDescent="0.45">
      <c r="A4" s="37" t="s">
        <v>6</v>
      </c>
      <c r="B4" s="139">
        <v>-761.40000000000009</v>
      </c>
      <c r="C4" s="140"/>
      <c r="E4" s="44" t="s">
        <v>72</v>
      </c>
      <c r="F4" s="41" t="s">
        <v>27</v>
      </c>
      <c r="G4" s="34">
        <v>105</v>
      </c>
      <c r="H4" s="107">
        <f>IF(B$47=0,0,G4/B$47)</f>
        <v>0.46255506607929514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-1567.741935483871</v>
      </c>
      <c r="P4" s="93">
        <v>93</v>
      </c>
      <c r="Q4" s="77">
        <v>-145800</v>
      </c>
    </row>
    <row r="5" spans="1:17" x14ac:dyDescent="0.45">
      <c r="A5" s="37" t="s">
        <v>7</v>
      </c>
      <c r="B5" s="141">
        <f>IF(B$2=0,0,B$4/B$2)</f>
        <v>-7.7693877551020414</v>
      </c>
      <c r="C5" s="142"/>
      <c r="E5" s="44" t="s">
        <v>68</v>
      </c>
      <c r="F5" s="41" t="s">
        <v>12</v>
      </c>
      <c r="G5" s="34">
        <v>89</v>
      </c>
      <c r="H5" s="107">
        <f>IF(B$47=0,0,G5/B$47)</f>
        <v>0.39207048458149779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-3352.9411764705883</v>
      </c>
      <c r="P5" s="93">
        <v>85</v>
      </c>
      <c r="Q5" s="77">
        <v>-285000</v>
      </c>
    </row>
    <row r="6" spans="1:17" x14ac:dyDescent="0.45">
      <c r="A6" s="37" t="s">
        <v>1</v>
      </c>
      <c r="B6" s="133">
        <f>IF(B$2=0,0,(B$7*1+B$8*2+B$9*3)/B$2)</f>
        <v>2.1530612244897958</v>
      </c>
      <c r="C6" s="134"/>
      <c r="E6" s="44" t="s">
        <v>157</v>
      </c>
      <c r="F6" s="41" t="s">
        <v>158</v>
      </c>
      <c r="G6" s="34">
        <v>79</v>
      </c>
      <c r="H6" s="107">
        <f>IF(B$47=0,0,G6/B$47)</f>
        <v>0.34801762114537443</v>
      </c>
      <c r="I6" s="68">
        <v>4</v>
      </c>
      <c r="K6" s="5">
        <v>4</v>
      </c>
      <c r="L6" s="73">
        <v>52.3</v>
      </c>
      <c r="N6" s="89" t="s">
        <v>130</v>
      </c>
      <c r="O6" s="96">
        <f t="shared" si="0"/>
        <v>1114.4736842105262</v>
      </c>
      <c r="P6" s="93">
        <v>76</v>
      </c>
      <c r="Q6" s="77">
        <v>84700</v>
      </c>
    </row>
    <row r="7" spans="1:17" x14ac:dyDescent="0.45">
      <c r="A7" s="37" t="s">
        <v>2</v>
      </c>
      <c r="B7" s="34">
        <v>27</v>
      </c>
      <c r="C7" s="31">
        <f t="shared" ref="C7:C10" si="1">IF(B$2=0,0,B7/B$2)</f>
        <v>0.27551020408163263</v>
      </c>
      <c r="E7" s="44" t="s">
        <v>67</v>
      </c>
      <c r="F7" s="41" t="s">
        <v>23</v>
      </c>
      <c r="G7" s="34">
        <v>50</v>
      </c>
      <c r="H7" s="107">
        <f>IF(B$47=0,0,G7/B$47)</f>
        <v>0.22026431718061673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-35.820895522388057</v>
      </c>
      <c r="P7" s="94">
        <v>67</v>
      </c>
      <c r="Q7" s="78">
        <v>-2400</v>
      </c>
    </row>
    <row r="8" spans="1:17" x14ac:dyDescent="0.45">
      <c r="A8" s="37" t="s">
        <v>3</v>
      </c>
      <c r="B8" s="34">
        <v>29</v>
      </c>
      <c r="C8" s="31">
        <f t="shared" si="1"/>
        <v>0.29591836734693877</v>
      </c>
      <c r="E8" s="44" t="s">
        <v>69</v>
      </c>
      <c r="F8" s="41" t="s">
        <v>24</v>
      </c>
      <c r="G8" s="34">
        <v>32</v>
      </c>
      <c r="H8" s="107">
        <f>IF(B$47=0,0,G8/B$47)</f>
        <v>0.14096916299559473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42</v>
      </c>
      <c r="C9" s="7">
        <f t="shared" si="1"/>
        <v>0.42857142857142855</v>
      </c>
      <c r="E9" s="44" t="s">
        <v>70</v>
      </c>
      <c r="F9" s="41" t="s">
        <v>25</v>
      </c>
      <c r="G9" s="34">
        <v>27</v>
      </c>
      <c r="H9" s="107">
        <f>IF(B$47=0,0,G9/B$47)</f>
        <v>0.11894273127753303</v>
      </c>
      <c r="I9" s="68">
        <v>3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17</v>
      </c>
      <c r="C10" s="32">
        <f t="shared" si="1"/>
        <v>0.17346938775510204</v>
      </c>
      <c r="E10" s="44" t="s">
        <v>89</v>
      </c>
      <c r="F10" s="41" t="s">
        <v>44</v>
      </c>
      <c r="G10" s="34">
        <v>26</v>
      </c>
      <c r="H10" s="107">
        <f>IF(B$47=0,0,G10/B$47)</f>
        <v>0.11453744493392071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5">
      <c r="A11" s="40" t="s">
        <v>121</v>
      </c>
      <c r="B11" s="16">
        <v>192</v>
      </c>
      <c r="C11" s="11">
        <f>IF(B$46=0,0,B11/B$46)</f>
        <v>0.22403733955659277</v>
      </c>
      <c r="E11" s="44" t="s">
        <v>65</v>
      </c>
      <c r="F11" s="41" t="s">
        <v>21</v>
      </c>
      <c r="G11" s="34">
        <v>20</v>
      </c>
      <c r="H11" s="107">
        <f>IF(B$47=0,0,G11/B$47)</f>
        <v>8.8105726872246701E-2</v>
      </c>
      <c r="I11" s="68">
        <v>14</v>
      </c>
      <c r="K11" s="5">
        <v>9</v>
      </c>
      <c r="L11" s="73">
        <v>-70.599999999999994</v>
      </c>
      <c r="N11" s="89" t="s">
        <v>150</v>
      </c>
      <c r="O11" s="99">
        <f>IF(P11=0,0,Q11/P11)</f>
        <v>-6.3000000000000007</v>
      </c>
      <c r="P11" s="93">
        <v>39</v>
      </c>
      <c r="Q11" s="81">
        <v>-245.70000000000002</v>
      </c>
    </row>
    <row r="12" spans="1:17" x14ac:dyDescent="0.45">
      <c r="A12" s="37" t="s">
        <v>118</v>
      </c>
      <c r="B12" s="34">
        <v>174</v>
      </c>
      <c r="C12" s="31">
        <f>IF(B$46=0,0,B12/B$46)</f>
        <v>0.20303383897316218</v>
      </c>
      <c r="E12" s="44" t="s">
        <v>71</v>
      </c>
      <c r="F12" s="41" t="s">
        <v>26</v>
      </c>
      <c r="G12" s="34">
        <v>13</v>
      </c>
      <c r="H12" s="107">
        <f>IF(B$47=0,0,G12/B$47)</f>
        <v>5.7268722466960353E-2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5">
      <c r="A13" s="19" t="s">
        <v>123</v>
      </c>
      <c r="B13" s="13">
        <v>110</v>
      </c>
      <c r="C13" s="4">
        <f>IF(B$11=0,0,B13/B$11)</f>
        <v>0.57291666666666663</v>
      </c>
      <c r="E13" s="44" t="s">
        <v>86</v>
      </c>
      <c r="F13" s="41" t="s">
        <v>41</v>
      </c>
      <c r="G13" s="34">
        <v>12</v>
      </c>
      <c r="H13" s="107">
        <f>IF(B$47=0,0,G13/B$47)</f>
        <v>5.2863436123348019E-2</v>
      </c>
      <c r="I13" s="68">
        <v>13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58</v>
      </c>
      <c r="C14" s="4">
        <f>IF(B$12=0,0,B14/B$12)</f>
        <v>0.33333333333333331</v>
      </c>
      <c r="E14" s="44" t="s">
        <v>78</v>
      </c>
      <c r="F14" s="41" t="s">
        <v>33</v>
      </c>
      <c r="G14" s="34">
        <v>7</v>
      </c>
      <c r="H14" s="107">
        <f>IF(B$47=0,0,G14/B$47)</f>
        <v>3.0837004405286344E-2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227</v>
      </c>
      <c r="C15" s="4">
        <f>IF(B$3=0,0,B15/B$3)</f>
        <v>0.26487747957992996</v>
      </c>
      <c r="E15" s="44" t="s">
        <v>83</v>
      </c>
      <c r="F15" s="41" t="s">
        <v>38</v>
      </c>
      <c r="G15" s="34">
        <v>7</v>
      </c>
      <c r="H15" s="107">
        <f>IF(B$47=0,0,G15/B$47)</f>
        <v>3.0837004405286344E-2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5">
      <c r="A16" s="37" t="s">
        <v>13</v>
      </c>
      <c r="B16" s="34">
        <v>167</v>
      </c>
      <c r="C16" s="31">
        <f>IF(B$3=0,0,B16/B$3)</f>
        <v>0.19486581096849476</v>
      </c>
      <c r="E16" s="44" t="s">
        <v>79</v>
      </c>
      <c r="F16" s="41" t="s">
        <v>34</v>
      </c>
      <c r="G16" s="34">
        <v>4</v>
      </c>
      <c r="H16" s="107">
        <f>IF(B$47=0,0,G16/B$47)</f>
        <v>1.7621145374449341E-2</v>
      </c>
      <c r="I16" s="68">
        <v>7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37" t="s">
        <v>12</v>
      </c>
      <c r="B17" s="34">
        <v>117</v>
      </c>
      <c r="C17" s="31">
        <f>IF(B$15=0,0,B17/B$15)</f>
        <v>0.51541850220264318</v>
      </c>
      <c r="E17" s="44" t="s">
        <v>153</v>
      </c>
      <c r="F17" s="41" t="s">
        <v>154</v>
      </c>
      <c r="G17" s="34">
        <v>4</v>
      </c>
      <c r="H17" s="107">
        <f>IF(B$47=0,0,G17/B$47)</f>
        <v>1.7621145374449341E-2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5">
      <c r="A18" s="37" t="s">
        <v>11</v>
      </c>
      <c r="B18" s="34">
        <v>110</v>
      </c>
      <c r="C18" s="31">
        <f>IF(B$15=0,0,B18/B$15)</f>
        <v>0.48458149779735682</v>
      </c>
      <c r="E18" s="44" t="s">
        <v>73</v>
      </c>
      <c r="F18" s="41" t="s">
        <v>28</v>
      </c>
      <c r="G18" s="34">
        <v>3</v>
      </c>
      <c r="H18" s="107">
        <f>IF(B$47=0,0,G18/B$47)</f>
        <v>1.3215859030837005E-2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37" t="s">
        <v>180</v>
      </c>
      <c r="B19" s="34">
        <v>110</v>
      </c>
      <c r="C19" s="31">
        <f>IF(B$15=0,0,B19/B$15)</f>
        <v>0.48458149779735682</v>
      </c>
      <c r="E19" s="44" t="s">
        <v>81</v>
      </c>
      <c r="F19" s="41" t="s">
        <v>36</v>
      </c>
      <c r="G19" s="34">
        <v>3</v>
      </c>
      <c r="H19" s="107">
        <f>IF(B$47=0,0,G19/B$47)</f>
        <v>1.3215859030837005E-2</v>
      </c>
      <c r="I19" s="68">
        <v>12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178</v>
      </c>
      <c r="B20" s="34">
        <v>58</v>
      </c>
      <c r="C20" s="31">
        <f>IF(B$15=0,0,B20/B$15)</f>
        <v>0.25550660792951541</v>
      </c>
      <c r="E20" s="44" t="s">
        <v>87</v>
      </c>
      <c r="F20" s="41" t="s">
        <v>42</v>
      </c>
      <c r="G20" s="34">
        <v>2</v>
      </c>
      <c r="H20" s="107">
        <f>IF(B$47=0,0,G20/B$47)</f>
        <v>8.8105726872246704E-3</v>
      </c>
      <c r="I20" s="68">
        <v>1</v>
      </c>
      <c r="K20" s="5">
        <v>18</v>
      </c>
      <c r="L20" s="73">
        <v>-342.69999999999993</v>
      </c>
      <c r="N20" s="89" t="s">
        <v>191</v>
      </c>
      <c r="O20" s="99">
        <f>IF(P20=0,0,Q20/P20)</f>
        <v>-9.1562499999999982</v>
      </c>
      <c r="P20" s="93">
        <v>32</v>
      </c>
      <c r="Q20" s="81">
        <v>-292.99999999999994</v>
      </c>
    </row>
    <row r="21" spans="1:17" x14ac:dyDescent="0.45">
      <c r="A21" s="37" t="s">
        <v>179</v>
      </c>
      <c r="B21" s="34">
        <v>59</v>
      </c>
      <c r="C21" s="31">
        <f>IF(B$15=0,0,B21/B$15)</f>
        <v>0.25991189427312777</v>
      </c>
      <c r="E21" s="44" t="s">
        <v>91</v>
      </c>
      <c r="F21" s="41" t="s">
        <v>46</v>
      </c>
      <c r="G21" s="34">
        <v>2</v>
      </c>
      <c r="H21" s="107">
        <f>IF(B$47=0,0,G21/B$47)</f>
        <v>8.8105726872246704E-3</v>
      </c>
      <c r="I21" s="68">
        <v>12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5">
      <c r="A22" s="37" t="s">
        <v>5</v>
      </c>
      <c r="B22" s="17">
        <f>IF(B$15=0,0,C22/B$15)</f>
        <v>7904.8458149779735</v>
      </c>
      <c r="C22" s="8">
        <v>1794400</v>
      </c>
      <c r="E22" s="44" t="s">
        <v>75</v>
      </c>
      <c r="F22" s="41" t="s">
        <v>30</v>
      </c>
      <c r="G22" s="34">
        <v>1</v>
      </c>
      <c r="H22" s="107">
        <f>IF(B$47=0,0,G22/B$47)</f>
        <v>4.4052863436123352E-3</v>
      </c>
      <c r="I22" s="68">
        <v>9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5">
      <c r="A23" s="38" t="s">
        <v>162</v>
      </c>
      <c r="B23" s="114">
        <f>IF($B$15-B$14=0,0,C23/($B$15-B$14))</f>
        <v>8659.7633136094682</v>
      </c>
      <c r="C23" s="115">
        <v>1463500</v>
      </c>
      <c r="E23" s="44" t="s">
        <v>85</v>
      </c>
      <c r="F23" s="41" t="s">
        <v>40</v>
      </c>
      <c r="G23" s="34">
        <v>1</v>
      </c>
      <c r="H23" s="107">
        <f>IF(B$47=0,0,G23/B$47)</f>
        <v>4.4052863436123352E-3</v>
      </c>
      <c r="I23" s="68">
        <v>3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5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4.4052863436123352E-3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5">
      <c r="A25" s="38" t="s">
        <v>161</v>
      </c>
      <c r="B25" s="114">
        <f>IF(B$16=0,0,C25/B$16)</f>
        <v>-7967.6646706586826</v>
      </c>
      <c r="C25" s="115">
        <v>-1330600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189</v>
      </c>
      <c r="O25" s="99">
        <f>IF(P25=0,0,Q25/P25)</f>
        <v>-58.099999999999994</v>
      </c>
      <c r="P25" s="93">
        <v>1</v>
      </c>
      <c r="Q25" s="81">
        <v>-58.099999999999994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40" t="s">
        <v>177</v>
      </c>
      <c r="B29" s="129">
        <v>113300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9" t="s">
        <v>135</v>
      </c>
      <c r="B30" s="27">
        <v>3</v>
      </c>
      <c r="C30" s="32">
        <f>IF(B$3=0,0,B30/B$3)</f>
        <v>3.5005834305717621E-3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-447.9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5">
      <c r="A32" s="64" t="s">
        <v>168</v>
      </c>
      <c r="B32" s="122">
        <v>26</v>
      </c>
      <c r="C32" s="119">
        <f>IF(B$15=0,0,B32/B$15)</f>
        <v>0.11453744493392071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37" t="s">
        <v>164</v>
      </c>
      <c r="B33" s="34">
        <v>44</v>
      </c>
      <c r="C33" s="31">
        <f t="shared" ref="C33:C44" si="2">IF(B$15=0,0,B33/B$15)</f>
        <v>0.19383259911894274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7" t="s">
        <v>165</v>
      </c>
      <c r="B34" s="123">
        <v>40</v>
      </c>
      <c r="C34" s="31">
        <f>IF(B$15=0,0,B34/B$15)</f>
        <v>0.1762114537444934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A35" s="37" t="s">
        <v>166</v>
      </c>
      <c r="B35" s="123">
        <v>38</v>
      </c>
      <c r="C35" s="31">
        <f t="shared" si="2"/>
        <v>0.16740088105726872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37" t="s">
        <v>167</v>
      </c>
      <c r="B36" s="123">
        <v>34</v>
      </c>
      <c r="C36" s="31">
        <f t="shared" si="2"/>
        <v>0.14977973568281938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5">
      <c r="A37" s="37" t="s">
        <v>169</v>
      </c>
      <c r="B37" s="123">
        <v>22</v>
      </c>
      <c r="C37" s="31">
        <f t="shared" si="2"/>
        <v>9.6916299559471369E-2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170</v>
      </c>
      <c r="B38" s="123">
        <v>9</v>
      </c>
      <c r="C38" s="31">
        <f t="shared" si="2"/>
        <v>3.9647577092511016E-2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171</v>
      </c>
      <c r="B39" s="123">
        <v>7</v>
      </c>
      <c r="C39" s="31">
        <f t="shared" si="2"/>
        <v>3.0837004405286344E-2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172</v>
      </c>
      <c r="B40" s="123">
        <v>3</v>
      </c>
      <c r="C40" s="31">
        <f t="shared" si="2"/>
        <v>1.3215859030837005E-2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173</v>
      </c>
      <c r="B41" s="123">
        <v>2</v>
      </c>
      <c r="C41" s="31">
        <f t="shared" si="2"/>
        <v>8.8105726872246704E-3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174</v>
      </c>
      <c r="B42" s="123">
        <v>1</v>
      </c>
      <c r="C42" s="31">
        <f t="shared" si="2"/>
        <v>4.4052863436123352E-3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9" t="s">
        <v>176</v>
      </c>
      <c r="B44" s="124">
        <v>1</v>
      </c>
      <c r="C44" s="32">
        <f t="shared" si="2"/>
        <v>4.4052863436123352E-3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64" t="s">
        <v>181</v>
      </c>
      <c r="B46" s="127">
        <v>857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9" t="s">
        <v>182</v>
      </c>
      <c r="B47" s="125">
        <v>227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5">
      <c r="K53" s="5">
        <v>51</v>
      </c>
      <c r="L53" s="73">
        <v>-379</v>
      </c>
    </row>
    <row r="54" spans="5:12" x14ac:dyDescent="0.45">
      <c r="K54" s="5">
        <v>52</v>
      </c>
      <c r="L54" s="73">
        <v>-435</v>
      </c>
    </row>
    <row r="55" spans="5:12" x14ac:dyDescent="0.45">
      <c r="K55" s="5">
        <v>53</v>
      </c>
      <c r="L55" s="73">
        <v>-458.69999999999993</v>
      </c>
    </row>
    <row r="56" spans="5:12" x14ac:dyDescent="0.45">
      <c r="K56" s="5">
        <v>54</v>
      </c>
      <c r="L56" s="73">
        <v>-493.79999999999995</v>
      </c>
    </row>
    <row r="57" spans="5:12" x14ac:dyDescent="0.45">
      <c r="K57" s="5">
        <v>55</v>
      </c>
      <c r="L57" s="73">
        <v>-444.79999999999995</v>
      </c>
    </row>
    <row r="58" spans="5:12" x14ac:dyDescent="0.45">
      <c r="K58" s="5">
        <v>56</v>
      </c>
      <c r="L58" s="73">
        <v>-417.69999999999993</v>
      </c>
    </row>
    <row r="59" spans="5:12" x14ac:dyDescent="0.45">
      <c r="K59" s="5">
        <v>57</v>
      </c>
      <c r="L59" s="73">
        <v>-450.5</v>
      </c>
    </row>
    <row r="60" spans="5:12" x14ac:dyDescent="0.45">
      <c r="K60" s="5">
        <v>58</v>
      </c>
      <c r="L60" s="73">
        <v>-532.5</v>
      </c>
    </row>
    <row r="61" spans="5:12" x14ac:dyDescent="0.45">
      <c r="K61" s="5">
        <v>59</v>
      </c>
      <c r="L61" s="73">
        <v>-594.79999999999995</v>
      </c>
    </row>
    <row r="62" spans="5:12" x14ac:dyDescent="0.45">
      <c r="K62" s="5">
        <v>60</v>
      </c>
      <c r="L62" s="73">
        <v>-542.79999999999995</v>
      </c>
    </row>
    <row r="63" spans="5:12" x14ac:dyDescent="0.45">
      <c r="K63" s="5">
        <v>61</v>
      </c>
      <c r="L63" s="73">
        <v>-588.1</v>
      </c>
    </row>
    <row r="64" spans="5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8017B-686B-47D9-8EA5-FC7E57A5AD9B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7">
        <v>253</v>
      </c>
      <c r="C3" s="138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15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9">
        <v>-22.000000000000028</v>
      </c>
      <c r="C4" s="140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12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41">
        <f>IF(B$2=0,0,B$4/B$2)</f>
        <v>-0.7857142857142867</v>
      </c>
      <c r="C5" s="142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6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3">
        <f>IF(B$2=0,0,(B$7*1+B$8*2+B$9*3)/B$2)</f>
        <v>1.9285714285714286</v>
      </c>
      <c r="C6" s="134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7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5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9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10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14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1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14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  <c r="K26" s="5">
        <v>24</v>
      </c>
      <c r="L26" s="73">
        <v>10.899999999999977</v>
      </c>
    </row>
    <row r="27" spans="1:17" x14ac:dyDescent="0.45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45.399999999999977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5">
      <c r="A29" s="40" t="s">
        <v>177</v>
      </c>
      <c r="B29" s="129">
        <v>106300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  <c r="K30" s="5">
        <v>28</v>
      </c>
      <c r="L30" s="73">
        <v>-22.000000000000028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80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78A08-7176-4597-9223-2E4ACBE5BB99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7">
        <v>13</v>
      </c>
      <c r="C3" s="138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8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9">
        <v>13.3</v>
      </c>
      <c r="C4" s="140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1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41">
        <f>IF(B$2=0,0,B$4/B$2)</f>
        <v>13.3</v>
      </c>
      <c r="C5" s="142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15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5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</row>
    <row r="19" spans="1:9" x14ac:dyDescent="0.45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14</v>
      </c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5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5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9" x14ac:dyDescent="0.45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5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9" x14ac:dyDescent="0.45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5">
      <c r="A28" s="64" t="s">
        <v>134</v>
      </c>
      <c r="B28" s="131">
        <v>5</v>
      </c>
      <c r="C28" s="132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16</v>
      </c>
    </row>
    <row r="29" spans="1:9" x14ac:dyDescent="0.45">
      <c r="A29" s="40" t="s">
        <v>177</v>
      </c>
      <c r="B29" s="129">
        <v>48300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8491-062A-4D2A-845D-84931B872AE6}">
  <sheetPr codeName="Sheet19"/>
  <dimension ref="A1:Q59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57</v>
      </c>
      <c r="C2" s="128"/>
      <c r="E2" s="43" t="s">
        <v>66</v>
      </c>
      <c r="F2" s="25" t="s">
        <v>22</v>
      </c>
      <c r="G2" s="13">
        <v>77</v>
      </c>
      <c r="H2" s="106">
        <f>IF(B$47=0,0,G2/B$47)</f>
        <v>0.65254237288135597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-2721.0526315789475</v>
      </c>
      <c r="P2" s="92">
        <v>57</v>
      </c>
      <c r="Q2" s="76">
        <v>-155100</v>
      </c>
    </row>
    <row r="3" spans="1:17" x14ac:dyDescent="0.45">
      <c r="A3" s="37" t="s">
        <v>8</v>
      </c>
      <c r="B3" s="137">
        <v>470</v>
      </c>
      <c r="C3" s="138"/>
      <c r="E3" s="44" t="s">
        <v>72</v>
      </c>
      <c r="F3" s="41" t="s">
        <v>27</v>
      </c>
      <c r="G3" s="34">
        <v>67</v>
      </c>
      <c r="H3" s="107">
        <f>IF(B$47=0,0,G3/B$47)</f>
        <v>0.56779661016949157</v>
      </c>
      <c r="I3" s="68">
        <v>7</v>
      </c>
      <c r="K3" s="5">
        <v>1</v>
      </c>
      <c r="L3" s="73">
        <v>-43.2</v>
      </c>
      <c r="N3" s="89" t="s">
        <v>127</v>
      </c>
      <c r="O3" s="96">
        <f t="shared" si="0"/>
        <v>-145.61403508771929</v>
      </c>
      <c r="P3" s="93">
        <v>57</v>
      </c>
      <c r="Q3" s="77">
        <v>-8300</v>
      </c>
    </row>
    <row r="4" spans="1:17" x14ac:dyDescent="0.45">
      <c r="A4" s="37" t="s">
        <v>6</v>
      </c>
      <c r="B4" s="139">
        <v>-837.60000000000014</v>
      </c>
      <c r="C4" s="140"/>
      <c r="E4" s="44" t="s">
        <v>64</v>
      </c>
      <c r="F4" s="41" t="s">
        <v>20</v>
      </c>
      <c r="G4" s="34">
        <v>52</v>
      </c>
      <c r="H4" s="107">
        <f>IF(B$47=0,0,G4/B$47)</f>
        <v>0.44067796610169491</v>
      </c>
      <c r="I4" s="68">
        <v>15</v>
      </c>
      <c r="K4" s="5">
        <v>2</v>
      </c>
      <c r="L4" s="73">
        <v>-96.5</v>
      </c>
      <c r="N4" s="89" t="s">
        <v>128</v>
      </c>
      <c r="O4" s="96">
        <f t="shared" si="0"/>
        <v>-1201.8181818181818</v>
      </c>
      <c r="P4" s="93">
        <v>55</v>
      </c>
      <c r="Q4" s="77">
        <v>-66100</v>
      </c>
    </row>
    <row r="5" spans="1:17" x14ac:dyDescent="0.45">
      <c r="A5" s="37" t="s">
        <v>7</v>
      </c>
      <c r="B5" s="141">
        <f>IF(B$2=0,0,B$4/B$2)</f>
        <v>-14.694736842105266</v>
      </c>
      <c r="C5" s="142"/>
      <c r="E5" s="44" t="s">
        <v>157</v>
      </c>
      <c r="F5" s="41" t="s">
        <v>158</v>
      </c>
      <c r="G5" s="34">
        <v>45</v>
      </c>
      <c r="H5" s="107">
        <f>IF(B$47=0,0,G5/B$47)</f>
        <v>0.38135593220338981</v>
      </c>
      <c r="I5" s="68">
        <v>3</v>
      </c>
      <c r="K5" s="5">
        <v>3</v>
      </c>
      <c r="L5" s="73">
        <v>-151.9</v>
      </c>
      <c r="N5" s="89" t="s">
        <v>129</v>
      </c>
      <c r="O5" s="96">
        <f t="shared" si="0"/>
        <v>-2134</v>
      </c>
      <c r="P5" s="93">
        <v>50</v>
      </c>
      <c r="Q5" s="77">
        <v>-106700</v>
      </c>
    </row>
    <row r="6" spans="1:17" x14ac:dyDescent="0.45">
      <c r="A6" s="37" t="s">
        <v>1</v>
      </c>
      <c r="B6" s="133">
        <f>IF(B$2=0,0,(B$7*1+B$8*2+B$9*3)/B$2)</f>
        <v>2.3508771929824563</v>
      </c>
      <c r="C6" s="134"/>
      <c r="E6" s="44" t="s">
        <v>68</v>
      </c>
      <c r="F6" s="41" t="s">
        <v>12</v>
      </c>
      <c r="G6" s="34">
        <v>30</v>
      </c>
      <c r="H6" s="107">
        <f>IF(B$47=0,0,G6/B$47)</f>
        <v>0.25423728813559321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-1617.0212765957447</v>
      </c>
      <c r="P6" s="93">
        <v>47</v>
      </c>
      <c r="Q6" s="77">
        <v>-76000</v>
      </c>
    </row>
    <row r="7" spans="1:17" x14ac:dyDescent="0.45">
      <c r="A7" s="37" t="s">
        <v>2</v>
      </c>
      <c r="B7" s="34">
        <v>9</v>
      </c>
      <c r="C7" s="31">
        <f t="shared" ref="C7:C10" si="1">IF(B$2=0,0,B7/B$2)</f>
        <v>0.15789473684210525</v>
      </c>
      <c r="E7" s="44" t="s">
        <v>67</v>
      </c>
      <c r="F7" s="41" t="s">
        <v>23</v>
      </c>
      <c r="G7" s="34">
        <v>26</v>
      </c>
      <c r="H7" s="107">
        <f>IF(B$47=0,0,G7/B$47)</f>
        <v>0.22033898305084745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-2747.5</v>
      </c>
      <c r="P7" s="94">
        <v>40</v>
      </c>
      <c r="Q7" s="78">
        <v>-109900</v>
      </c>
    </row>
    <row r="8" spans="1:17" x14ac:dyDescent="0.45">
      <c r="A8" s="37" t="s">
        <v>3</v>
      </c>
      <c r="B8" s="34">
        <v>19</v>
      </c>
      <c r="C8" s="31">
        <f t="shared" si="1"/>
        <v>0.33333333333333331</v>
      </c>
      <c r="E8" s="44" t="s">
        <v>89</v>
      </c>
      <c r="F8" s="41" t="s">
        <v>44</v>
      </c>
      <c r="G8" s="34">
        <v>14</v>
      </c>
      <c r="H8" s="107">
        <f>IF(B$47=0,0,G8/B$47)</f>
        <v>0.11864406779661017</v>
      </c>
      <c r="I8" s="68">
        <v>10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29</v>
      </c>
      <c r="C9" s="7">
        <f t="shared" si="1"/>
        <v>0.50877192982456143</v>
      </c>
      <c r="E9" s="44" t="s">
        <v>70</v>
      </c>
      <c r="F9" s="41" t="s">
        <v>25</v>
      </c>
      <c r="G9" s="34">
        <v>13</v>
      </c>
      <c r="H9" s="107">
        <f>IF(B$47=0,0,G9/B$47)</f>
        <v>0.11016949152542373</v>
      </c>
      <c r="I9" s="68">
        <v>5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10</v>
      </c>
      <c r="C10" s="32">
        <f t="shared" si="1"/>
        <v>0.17543859649122806</v>
      </c>
      <c r="E10" s="44" t="s">
        <v>65</v>
      </c>
      <c r="F10" s="41" t="s">
        <v>21</v>
      </c>
      <c r="G10" s="34">
        <v>12</v>
      </c>
      <c r="H10" s="107">
        <f>IF(B$47=0,0,G10/B$47)</f>
        <v>0.10169491525423729</v>
      </c>
      <c r="I10" s="68">
        <v>9</v>
      </c>
      <c r="K10" s="5">
        <v>8</v>
      </c>
      <c r="L10" s="73">
        <v>-289.8</v>
      </c>
      <c r="N10" s="88" t="s">
        <v>149</v>
      </c>
      <c r="O10" s="98">
        <f>IF(P10=0,0,Q10/P10)</f>
        <v>-23.931999999999999</v>
      </c>
      <c r="P10" s="92">
        <v>25</v>
      </c>
      <c r="Q10" s="80">
        <v>-598.29999999999995</v>
      </c>
    </row>
    <row r="11" spans="1:17" x14ac:dyDescent="0.45">
      <c r="A11" s="40" t="s">
        <v>121</v>
      </c>
      <c r="B11" s="16">
        <v>92</v>
      </c>
      <c r="C11" s="11">
        <f>IF(B$46=0,0,B11/B$46)</f>
        <v>0.19574468085106383</v>
      </c>
      <c r="E11" s="44" t="s">
        <v>71</v>
      </c>
      <c r="F11" s="41" t="s">
        <v>26</v>
      </c>
      <c r="G11" s="34">
        <v>10</v>
      </c>
      <c r="H11" s="107">
        <f>IF(B$47=0,0,G11/B$47)</f>
        <v>8.4745762711864403E-2</v>
      </c>
      <c r="I11" s="68">
        <v>3</v>
      </c>
      <c r="K11" s="5">
        <v>9</v>
      </c>
      <c r="L11" s="73">
        <v>-292.60000000000002</v>
      </c>
      <c r="N11" s="89" t="s">
        <v>150</v>
      </c>
      <c r="O11" s="99">
        <f>IF(P11=0,0,Q11/P11)</f>
        <v>-10.668749999999999</v>
      </c>
      <c r="P11" s="93">
        <v>16</v>
      </c>
      <c r="Q11" s="81">
        <v>-170.7</v>
      </c>
    </row>
    <row r="12" spans="1:17" x14ac:dyDescent="0.45">
      <c r="A12" s="37" t="s">
        <v>118</v>
      </c>
      <c r="B12" s="34">
        <v>109</v>
      </c>
      <c r="C12" s="31">
        <f>IF(B$46=0,0,B12/B$46)</f>
        <v>0.23191489361702128</v>
      </c>
      <c r="E12" s="44" t="s">
        <v>86</v>
      </c>
      <c r="F12" s="41" t="s">
        <v>41</v>
      </c>
      <c r="G12" s="34">
        <v>10</v>
      </c>
      <c r="H12" s="107">
        <f>IF(B$47=0,0,G12/B$47)</f>
        <v>8.4745762711864403E-2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-4.2874999999999996</v>
      </c>
      <c r="P12" s="94">
        <v>16</v>
      </c>
      <c r="Q12" s="82">
        <v>-68.599999999999994</v>
      </c>
    </row>
    <row r="13" spans="1:17" x14ac:dyDescent="0.45">
      <c r="A13" s="19" t="s">
        <v>123</v>
      </c>
      <c r="B13" s="13">
        <v>53</v>
      </c>
      <c r="C13" s="4">
        <f>IF(B$11=0,0,B13/B$11)</f>
        <v>0.57608695652173914</v>
      </c>
      <c r="E13" s="44" t="s">
        <v>69</v>
      </c>
      <c r="F13" s="41" t="s">
        <v>24</v>
      </c>
      <c r="G13" s="34">
        <v>9</v>
      </c>
      <c r="H13" s="107">
        <f>IF(B$47=0,0,G13/B$47)</f>
        <v>7.6271186440677971E-2</v>
      </c>
      <c r="I13" s="68">
        <v>16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43</v>
      </c>
      <c r="C14" s="4">
        <f>IF(B$12=0,0,B14/B$12)</f>
        <v>0.39449541284403672</v>
      </c>
      <c r="E14" s="44" t="s">
        <v>83</v>
      </c>
      <c r="F14" s="41" t="s">
        <v>38</v>
      </c>
      <c r="G14" s="34">
        <v>7</v>
      </c>
      <c r="H14" s="107">
        <f>IF(B$47=0,0,G14/B$47)</f>
        <v>5.9322033898305086E-2</v>
      </c>
      <c r="I14" s="68">
        <v>6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118</v>
      </c>
      <c r="C15" s="4">
        <f>IF(B$3=0,0,B15/B$3)</f>
        <v>0.25106382978723402</v>
      </c>
      <c r="E15" s="44" t="s">
        <v>78</v>
      </c>
      <c r="F15" s="41" t="s">
        <v>33</v>
      </c>
      <c r="G15" s="34">
        <v>3</v>
      </c>
      <c r="H15" s="107">
        <f>IF(B$47=0,0,G15/B$47)</f>
        <v>2.5423728813559324E-2</v>
      </c>
      <c r="I15" s="68">
        <v>8</v>
      </c>
      <c r="K15" s="5">
        <v>13</v>
      </c>
      <c r="L15" s="73">
        <v>-373.1</v>
      </c>
      <c r="N15" s="88" t="s">
        <v>188</v>
      </c>
      <c r="O15" s="98">
        <f>IF(P15=0,0,Q15/P15)</f>
        <v>34.137499999999996</v>
      </c>
      <c r="P15" s="92">
        <v>8</v>
      </c>
      <c r="Q15" s="80">
        <v>273.09999999999997</v>
      </c>
    </row>
    <row r="16" spans="1:17" x14ac:dyDescent="0.45">
      <c r="A16" s="37" t="s">
        <v>13</v>
      </c>
      <c r="B16" s="34">
        <v>92</v>
      </c>
      <c r="C16" s="31">
        <f>IF(B$3=0,0,B16/B$3)</f>
        <v>0.19574468085106383</v>
      </c>
      <c r="E16" s="44" t="s">
        <v>91</v>
      </c>
      <c r="F16" s="41" t="s">
        <v>46</v>
      </c>
      <c r="G16" s="34">
        <v>3</v>
      </c>
      <c r="H16" s="107">
        <f>IF(B$47=0,0,G16/B$47)</f>
        <v>2.5423728813559324E-2</v>
      </c>
      <c r="I16" s="68">
        <v>3</v>
      </c>
      <c r="K16" s="5">
        <v>14</v>
      </c>
      <c r="L16" s="73">
        <v>-416.90000000000003</v>
      </c>
      <c r="N16" s="89" t="s">
        <v>190</v>
      </c>
      <c r="O16" s="99">
        <f>IF(P16=0,0,Q16/P16)</f>
        <v>-3.1666666666666656</v>
      </c>
      <c r="P16" s="93">
        <v>3</v>
      </c>
      <c r="Q16" s="81">
        <v>-9.4999999999999964</v>
      </c>
    </row>
    <row r="17" spans="1:17" x14ac:dyDescent="0.45">
      <c r="A17" s="37" t="s">
        <v>12</v>
      </c>
      <c r="B17" s="34">
        <v>52</v>
      </c>
      <c r="C17" s="31">
        <f>IF(B$15=0,0,B17/B$15)</f>
        <v>0.44067796610169491</v>
      </c>
      <c r="E17" s="44" t="s">
        <v>81</v>
      </c>
      <c r="F17" s="41" t="s">
        <v>36</v>
      </c>
      <c r="G17" s="34">
        <v>2</v>
      </c>
      <c r="H17" s="107">
        <f>IF(B$47=0,0,G17/B$47)</f>
        <v>1.6949152542372881E-2</v>
      </c>
      <c r="I17" s="68">
        <v>11</v>
      </c>
      <c r="K17" s="5">
        <v>15</v>
      </c>
      <c r="L17" s="73">
        <v>-452.20000000000005</v>
      </c>
      <c r="N17" s="89" t="s">
        <v>191</v>
      </c>
      <c r="O17" s="99">
        <f>IF(P17=0,0,Q17/P17)</f>
        <v>-9.4086956521739129</v>
      </c>
      <c r="P17" s="93">
        <v>23</v>
      </c>
      <c r="Q17" s="81">
        <v>-216.4</v>
      </c>
    </row>
    <row r="18" spans="1:17" x14ac:dyDescent="0.45">
      <c r="A18" s="37" t="s">
        <v>11</v>
      </c>
      <c r="B18" s="34">
        <v>66</v>
      </c>
      <c r="C18" s="31">
        <f>IF(B$15=0,0,B18/B$15)</f>
        <v>0.55932203389830504</v>
      </c>
      <c r="E18" s="44" t="s">
        <v>74</v>
      </c>
      <c r="F18" s="41" t="s">
        <v>29</v>
      </c>
      <c r="G18" s="34">
        <v>1</v>
      </c>
      <c r="H18" s="107">
        <f>IF(B$47=0,0,G18/B$47)</f>
        <v>8.4745762711864406E-3</v>
      </c>
      <c r="I18" s="68">
        <v>1</v>
      </c>
      <c r="K18" s="5">
        <v>16</v>
      </c>
      <c r="L18" s="73">
        <v>-392.1</v>
      </c>
      <c r="N18" s="89" t="s">
        <v>189</v>
      </c>
      <c r="O18" s="99">
        <f>IF(P18=0,0,Q18/P18)</f>
        <v>-12.000000000000002</v>
      </c>
      <c r="P18" s="93">
        <v>1</v>
      </c>
      <c r="Q18" s="81">
        <v>-12.000000000000002</v>
      </c>
    </row>
    <row r="19" spans="1:17" x14ac:dyDescent="0.45">
      <c r="A19" s="37" t="s">
        <v>180</v>
      </c>
      <c r="B19" s="34">
        <v>53</v>
      </c>
      <c r="C19" s="31">
        <f>IF(B$15=0,0,B19/B$15)</f>
        <v>0.44915254237288138</v>
      </c>
      <c r="E19" s="44" t="s">
        <v>92</v>
      </c>
      <c r="F19" s="41" t="s">
        <v>47</v>
      </c>
      <c r="G19" s="34">
        <v>1</v>
      </c>
      <c r="H19" s="107">
        <f>IF(B$47=0,0,G19/B$47)</f>
        <v>8.4745762711864406E-3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178</v>
      </c>
      <c r="B20" s="34">
        <v>43</v>
      </c>
      <c r="C20" s="31">
        <f>IF(B$15=0,0,B20/B$15)</f>
        <v>0.36440677966101692</v>
      </c>
      <c r="E20" s="44" t="s">
        <v>95</v>
      </c>
      <c r="F20" s="41" t="s">
        <v>50</v>
      </c>
      <c r="G20" s="34">
        <v>1</v>
      </c>
      <c r="H20" s="107">
        <f>IF(B$47=0,0,G20/B$47)</f>
        <v>8.4745762711864406E-3</v>
      </c>
      <c r="I20" s="68">
        <v>1</v>
      </c>
      <c r="K20" s="5">
        <v>18</v>
      </c>
      <c r="L20" s="73">
        <v>-443.20000000000005</v>
      </c>
      <c r="N20" s="89" t="s">
        <v>193</v>
      </c>
      <c r="O20" s="99">
        <f>IF(P20=0,0,Q20/P20)</f>
        <v>-23.085000000000001</v>
      </c>
      <c r="P20" s="93">
        <v>20</v>
      </c>
      <c r="Q20" s="81">
        <v>-461.7</v>
      </c>
    </row>
    <row r="21" spans="1:17" x14ac:dyDescent="0.45">
      <c r="A21" s="37" t="s">
        <v>179</v>
      </c>
      <c r="B21" s="34">
        <v>22</v>
      </c>
      <c r="C21" s="31">
        <f>IF(B$15=0,0,B21/B$15)</f>
        <v>0.1864406779661017</v>
      </c>
      <c r="E21" s="44" t="s">
        <v>73</v>
      </c>
      <c r="F21" s="41" t="s">
        <v>28</v>
      </c>
      <c r="G21" s="34">
        <v>0</v>
      </c>
      <c r="H21" s="107">
        <f>IF(B$47=0,0,G21/B$47)</f>
        <v>0</v>
      </c>
      <c r="I21" s="68">
        <v>11</v>
      </c>
      <c r="K21" s="5">
        <v>19</v>
      </c>
      <c r="L21" s="73">
        <v>-443.70000000000005</v>
      </c>
      <c r="N21" s="89" t="s">
        <v>195</v>
      </c>
      <c r="O21" s="99">
        <f>IF(P21=0,0,Q21/P21)</f>
        <v>-26.026666666666667</v>
      </c>
      <c r="P21" s="93">
        <v>15</v>
      </c>
      <c r="Q21" s="81">
        <v>-390.40000000000003</v>
      </c>
    </row>
    <row r="22" spans="1:17" x14ac:dyDescent="0.45">
      <c r="A22" s="37" t="s">
        <v>5</v>
      </c>
      <c r="B22" s="17">
        <f>IF(B$15=0,0,C22/B$15)</f>
        <v>7810.1694915254238</v>
      </c>
      <c r="C22" s="8">
        <v>921600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-467.6</v>
      </c>
      <c r="N22" s="89" t="s">
        <v>187</v>
      </c>
      <c r="O22" s="99">
        <f>IF(P22=0,0,Q22/P22)</f>
        <v>-32.171428571428571</v>
      </c>
      <c r="P22" s="93">
        <v>28</v>
      </c>
      <c r="Q22" s="81">
        <v>-900.8</v>
      </c>
    </row>
    <row r="23" spans="1:17" x14ac:dyDescent="0.45">
      <c r="A23" s="38" t="s">
        <v>162</v>
      </c>
      <c r="B23" s="114">
        <f>IF($B$15-B$14=0,0,C23/($B$15-B$14))</f>
        <v>8404</v>
      </c>
      <c r="C23" s="115">
        <v>630300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-469.5</v>
      </c>
      <c r="N23" s="89" t="s">
        <v>199</v>
      </c>
      <c r="O23" s="99">
        <f>IF(P23=0,0,Q23/P23)</f>
        <v>-41.385714285714293</v>
      </c>
      <c r="P23" s="93">
        <v>7</v>
      </c>
      <c r="Q23" s="81">
        <v>-289.70000000000005</v>
      </c>
    </row>
    <row r="24" spans="1:17" x14ac:dyDescent="0.45">
      <c r="A24" s="38" t="s">
        <v>163</v>
      </c>
      <c r="B24" s="114">
        <f>IF(B$14=0,0,C24/B$14)</f>
        <v>6774.4186046511632</v>
      </c>
      <c r="C24" s="115">
        <v>291300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-510.20000000000005</v>
      </c>
      <c r="N24" s="89" t="s">
        <v>186</v>
      </c>
      <c r="O24" s="99">
        <f>IF(P24=0,0,Q24/P24)</f>
        <v>-67.157142857142858</v>
      </c>
      <c r="P24" s="93">
        <v>7</v>
      </c>
      <c r="Q24" s="81">
        <v>-470.1</v>
      </c>
    </row>
    <row r="25" spans="1:17" x14ac:dyDescent="0.45">
      <c r="A25" s="38" t="s">
        <v>161</v>
      </c>
      <c r="B25" s="114">
        <f>IF(B$16=0,0,C25/B$16)</f>
        <v>-7793.478260869565</v>
      </c>
      <c r="C25" s="115">
        <v>-717000</v>
      </c>
      <c r="E25" s="44" t="s">
        <v>79</v>
      </c>
      <c r="F25" s="41" t="s">
        <v>34</v>
      </c>
      <c r="G25" s="34">
        <v>0</v>
      </c>
      <c r="H25" s="107">
        <f>IF(B$47=0,0,G25/B$47)</f>
        <v>0</v>
      </c>
      <c r="I25" s="68">
        <v>14</v>
      </c>
      <c r="K25" s="5">
        <v>23</v>
      </c>
      <c r="L25" s="73">
        <v>-559.5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-565.10000000000014</v>
      </c>
    </row>
    <row r="27" spans="1:17" x14ac:dyDescent="0.45">
      <c r="A27" s="37" t="s">
        <v>156</v>
      </c>
      <c r="B27" s="34">
        <v>19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-612.90000000000009</v>
      </c>
    </row>
    <row r="28" spans="1:17" x14ac:dyDescent="0.45">
      <c r="A28" s="64" t="s">
        <v>134</v>
      </c>
      <c r="B28" s="131">
        <v>6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-645.20000000000005</v>
      </c>
    </row>
    <row r="29" spans="1:17" x14ac:dyDescent="0.45">
      <c r="A29" s="40" t="s">
        <v>177</v>
      </c>
      <c r="B29" s="129">
        <v>85100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-648.10000000000014</v>
      </c>
    </row>
    <row r="30" spans="1:17" x14ac:dyDescent="0.45">
      <c r="A30" s="39" t="s">
        <v>135</v>
      </c>
      <c r="B30" s="27">
        <v>2</v>
      </c>
      <c r="C30" s="32">
        <f>IF(B$3=0,0,B30/B$3)</f>
        <v>4.2553191489361703E-3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-693.2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-720.7</v>
      </c>
    </row>
    <row r="32" spans="1:17" x14ac:dyDescent="0.45">
      <c r="A32" s="64" t="s">
        <v>168</v>
      </c>
      <c r="B32" s="122">
        <v>11</v>
      </c>
      <c r="C32" s="119">
        <f>IF(B$15=0,0,B32/B$15)</f>
        <v>9.3220338983050849E-2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-716.30000000000018</v>
      </c>
    </row>
    <row r="33" spans="1:12" x14ac:dyDescent="0.45">
      <c r="A33" s="37" t="s">
        <v>164</v>
      </c>
      <c r="B33" s="34">
        <v>26</v>
      </c>
      <c r="C33" s="31">
        <f t="shared" ref="C33:C44" si="2">IF(B$15=0,0,B33/B$15)</f>
        <v>0.22033898305084745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-757.60000000000014</v>
      </c>
    </row>
    <row r="34" spans="1:12" x14ac:dyDescent="0.45">
      <c r="A34" s="37" t="s">
        <v>165</v>
      </c>
      <c r="B34" s="123">
        <v>25</v>
      </c>
      <c r="C34" s="31">
        <f>IF(B$15=0,0,B34/B$15)</f>
        <v>0.21186440677966101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-742.70000000000016</v>
      </c>
    </row>
    <row r="35" spans="1:12" x14ac:dyDescent="0.45">
      <c r="A35" s="37" t="s">
        <v>166</v>
      </c>
      <c r="B35" s="123">
        <v>16</v>
      </c>
      <c r="C35" s="31">
        <f t="shared" si="2"/>
        <v>0.13559322033898305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37" t="s">
        <v>167</v>
      </c>
      <c r="B36" s="123">
        <v>16</v>
      </c>
      <c r="C36" s="31">
        <f t="shared" si="2"/>
        <v>0.13559322033898305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-780.90000000000009</v>
      </c>
    </row>
    <row r="37" spans="1:12" x14ac:dyDescent="0.45">
      <c r="A37" s="37" t="s">
        <v>169</v>
      </c>
      <c r="B37" s="123">
        <v>8</v>
      </c>
      <c r="C37" s="31">
        <f t="shared" si="2"/>
        <v>6.7796610169491525E-2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-731.80000000000018</v>
      </c>
    </row>
    <row r="38" spans="1:12" x14ac:dyDescent="0.45">
      <c r="A38" s="37" t="s">
        <v>170</v>
      </c>
      <c r="B38" s="123">
        <v>7</v>
      </c>
      <c r="C38" s="31">
        <f t="shared" si="2"/>
        <v>5.9322033898305086E-2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171</v>
      </c>
      <c r="B39" s="123">
        <v>6</v>
      </c>
      <c r="C39" s="31">
        <f t="shared" si="2"/>
        <v>5.0847457627118647E-2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-735.20000000000016</v>
      </c>
    </row>
    <row r="41" spans="1:12" x14ac:dyDescent="0.45">
      <c r="A41" s="37" t="s">
        <v>173</v>
      </c>
      <c r="B41" s="123">
        <v>1</v>
      </c>
      <c r="C41" s="31">
        <f t="shared" si="2"/>
        <v>8.4745762711864406E-3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-765.10000000000014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9" t="s">
        <v>176</v>
      </c>
      <c r="B44" s="124">
        <v>2</v>
      </c>
      <c r="C44" s="32">
        <f t="shared" si="2"/>
        <v>1.6949152542372881E-2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-824.50000000000011</v>
      </c>
    </row>
    <row r="46" spans="1:12" x14ac:dyDescent="0.45">
      <c r="A46" s="64" t="s">
        <v>181</v>
      </c>
      <c r="B46" s="127">
        <v>470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-775.30000000000018</v>
      </c>
    </row>
    <row r="47" spans="1:12" x14ac:dyDescent="0.45">
      <c r="A47" s="39" t="s">
        <v>182</v>
      </c>
      <c r="B47" s="125">
        <v>118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-866.30000000000007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5">
      <c r="K53" s="5">
        <v>51</v>
      </c>
      <c r="L53" s="73">
        <v>-897.40000000000009</v>
      </c>
    </row>
    <row r="54" spans="5:12" x14ac:dyDescent="0.45">
      <c r="K54" s="5">
        <v>52</v>
      </c>
      <c r="L54" s="73">
        <v>-915.90000000000009</v>
      </c>
    </row>
    <row r="55" spans="5:12" x14ac:dyDescent="0.45">
      <c r="K55" s="5">
        <v>53</v>
      </c>
      <c r="L55" s="73">
        <v>-880.7</v>
      </c>
    </row>
    <row r="56" spans="5:12" x14ac:dyDescent="0.45">
      <c r="K56" s="5">
        <v>54</v>
      </c>
      <c r="L56" s="73">
        <v>-851.80000000000007</v>
      </c>
    </row>
    <row r="57" spans="5:12" x14ac:dyDescent="0.45">
      <c r="K57" s="5">
        <v>55</v>
      </c>
      <c r="L57" s="73">
        <v>-848.50000000000011</v>
      </c>
    </row>
    <row r="58" spans="5:12" x14ac:dyDescent="0.45">
      <c r="K58" s="5">
        <v>56</v>
      </c>
      <c r="L58" s="73">
        <v>-843.20000000000016</v>
      </c>
    </row>
    <row r="59" spans="5:12" x14ac:dyDescent="0.45">
      <c r="K59" s="5">
        <v>57</v>
      </c>
      <c r="L59" s="73">
        <v>-837.60000000000014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694B-24D8-48D7-AB02-162DD59C67FE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7">
        <v>32</v>
      </c>
      <c r="C3" s="138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16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9">
        <v>-56.2</v>
      </c>
      <c r="C4" s="140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16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41">
        <f>IF(B$2=0,0,B$4/B$2)</f>
        <v>-14.05</v>
      </c>
      <c r="C5" s="142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12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3">
        <f>IF(B$2=0,0,(B$7*1+B$8*2+B$9*3)/B$2)</f>
        <v>2.25</v>
      </c>
      <c r="C6" s="134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10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17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15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5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</row>
    <row r="19" spans="1:9" x14ac:dyDescent="0.45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5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5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</row>
    <row r="22" spans="1:9" x14ac:dyDescent="0.45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14</v>
      </c>
    </row>
    <row r="23" spans="1:9" x14ac:dyDescent="0.45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5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5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9" x14ac:dyDescent="0.45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9" x14ac:dyDescent="0.45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9" x14ac:dyDescent="0.45">
      <c r="A28" s="64" t="s">
        <v>134</v>
      </c>
      <c r="B28" s="131">
        <v>2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5">
      <c r="A29" s="40" t="s">
        <v>177</v>
      </c>
      <c r="B29" s="129">
        <v>55200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5">
      <c r="A35" s="37" t="s">
        <v>166</v>
      </c>
      <c r="B35" s="123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10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1064</vt:i4>
      </vt:variant>
    </vt:vector>
  </HeadingPairs>
  <TitlesOfParts>
    <vt:vector size="1085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2019-12-06T12:11:13Z</dcterms:modified>
</cp:coreProperties>
</file>