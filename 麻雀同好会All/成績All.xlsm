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C1DB80E4-D1EA-44E1-AEB1-85CADE27FDAA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455" r:id="rId4"/>
    <sheet name="だいち" sheetId="3456" r:id="rId5"/>
    <sheet name="かこたろう" sheetId="3457" r:id="rId6"/>
    <sheet name="ともき" sheetId="3458" r:id="rId7"/>
    <sheet name="りくと" sheetId="3459" r:id="rId8"/>
    <sheet name="いっしー" sheetId="3460" r:id="rId9"/>
    <sheet name="がくと" sheetId="3461" r:id="rId10"/>
    <sheet name="たかの" sheetId="3462" r:id="rId11"/>
    <sheet name="ただ" sheetId="3463" r:id="rId12"/>
    <sheet name="やがさき" sheetId="3464" r:id="rId13"/>
    <sheet name="れんたろう" sheetId="3465" r:id="rId14"/>
    <sheet name="あさひ" sheetId="3466" r:id="rId15"/>
    <sheet name="まっつん" sheetId="3467" r:id="rId16"/>
    <sheet name="ぱぱ" sheetId="3468" r:id="rId17"/>
    <sheet name="ほたに" sheetId="3469" r:id="rId18"/>
    <sheet name="かわたつ" sheetId="3470" r:id="rId19"/>
    <sheet name="のり" sheetId="3471" r:id="rId20"/>
    <sheet name="ちさと" sheetId="3472" r:id="rId21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3460" l="1"/>
  <c r="O19" i="3471"/>
  <c r="O18" i="3471"/>
  <c r="O17" i="3471"/>
  <c r="O16" i="3471"/>
  <c r="O15" i="3471"/>
  <c r="O17" i="3465"/>
  <c r="O16" i="3459"/>
  <c r="O20" i="3456"/>
  <c r="O24" i="3462"/>
  <c r="O16" i="3472"/>
  <c r="O15" i="3472"/>
  <c r="H52" i="3472"/>
  <c r="H5" i="3472"/>
  <c r="H51" i="3472"/>
  <c r="H50" i="3472"/>
  <c r="H49" i="3472"/>
  <c r="H48" i="3472"/>
  <c r="H47" i="3472"/>
  <c r="H46" i="3472"/>
  <c r="H45" i="3472"/>
  <c r="C44" i="3472"/>
  <c r="H44" i="3472"/>
  <c r="C43" i="3472"/>
  <c r="H43" i="3472"/>
  <c r="C42" i="3472"/>
  <c r="H42" i="3472"/>
  <c r="C41" i="3472"/>
  <c r="H41" i="3472"/>
  <c r="C40" i="3472"/>
  <c r="H40" i="3472"/>
  <c r="C39" i="3472"/>
  <c r="H39" i="3472"/>
  <c r="C38" i="3472"/>
  <c r="H38" i="3472"/>
  <c r="C37" i="3472"/>
  <c r="H37" i="3472"/>
  <c r="C36" i="3472"/>
  <c r="H36" i="3472"/>
  <c r="C35" i="3472"/>
  <c r="H35" i="3472"/>
  <c r="C34" i="3472"/>
  <c r="H34" i="3472"/>
  <c r="C33" i="3472"/>
  <c r="H33" i="3472"/>
  <c r="C32" i="3472"/>
  <c r="H32" i="3472"/>
  <c r="H31" i="3472"/>
  <c r="C30" i="3472"/>
  <c r="H30" i="3472"/>
  <c r="H29" i="3472"/>
  <c r="H13" i="3472"/>
  <c r="H28" i="3472"/>
  <c r="H27" i="3472"/>
  <c r="B25" i="3472"/>
  <c r="H12" i="3472"/>
  <c r="B24" i="3472"/>
  <c r="H26" i="3472"/>
  <c r="B23" i="3472"/>
  <c r="H25" i="3472"/>
  <c r="B22" i="3472"/>
  <c r="H11" i="3472"/>
  <c r="C21" i="3472"/>
  <c r="H24" i="3472"/>
  <c r="C20" i="3472"/>
  <c r="H10" i="3472"/>
  <c r="C19" i="3472"/>
  <c r="H23" i="3472"/>
  <c r="C18" i="3472"/>
  <c r="H22" i="3472"/>
  <c r="C17" i="3472"/>
  <c r="H21" i="3472"/>
  <c r="C16" i="3472"/>
  <c r="H20" i="3472"/>
  <c r="C15" i="3472"/>
  <c r="H19" i="3472"/>
  <c r="C14" i="3472"/>
  <c r="H18" i="3472"/>
  <c r="C13" i="3472"/>
  <c r="O12" i="3472"/>
  <c r="H17" i="3472"/>
  <c r="C12" i="3472"/>
  <c r="O11" i="3472"/>
  <c r="H16" i="3472"/>
  <c r="C11" i="3472"/>
  <c r="O10" i="3472"/>
  <c r="H2" i="3472"/>
  <c r="C10" i="3472"/>
  <c r="H15" i="3472"/>
  <c r="C9" i="3472"/>
  <c r="H14" i="3472"/>
  <c r="C8" i="3472"/>
  <c r="O7" i="3472"/>
  <c r="H9" i="3472"/>
  <c r="C7" i="3472"/>
  <c r="O6" i="3472"/>
  <c r="H8" i="3472"/>
  <c r="B6" i="3472"/>
  <c r="O5" i="3472"/>
  <c r="H7" i="3472"/>
  <c r="B5" i="3472"/>
  <c r="O4" i="3472"/>
  <c r="H4" i="3472"/>
  <c r="O3" i="3472"/>
  <c r="H6" i="3472"/>
  <c r="O2" i="3472"/>
  <c r="H3" i="3472"/>
  <c r="O23" i="3471"/>
  <c r="O21" i="3471"/>
  <c r="O20" i="3471"/>
  <c r="O22" i="3471"/>
  <c r="H52" i="3471"/>
  <c r="H5" i="3471"/>
  <c r="H51" i="3471"/>
  <c r="H50" i="3471"/>
  <c r="H49" i="3471"/>
  <c r="H48" i="3471"/>
  <c r="H47" i="3471"/>
  <c r="H46" i="3471"/>
  <c r="H45" i="3471"/>
  <c r="C44" i="3471"/>
  <c r="H44" i="3471"/>
  <c r="C43" i="3471"/>
  <c r="H43" i="3471"/>
  <c r="C42" i="3471"/>
  <c r="H42" i="3471"/>
  <c r="C41" i="3471"/>
  <c r="H41" i="3471"/>
  <c r="C40" i="3471"/>
  <c r="H40" i="3471"/>
  <c r="C39" i="3471"/>
  <c r="H39" i="3471"/>
  <c r="C38" i="3471"/>
  <c r="H38" i="3471"/>
  <c r="C37" i="3471"/>
  <c r="H37" i="3471"/>
  <c r="C36" i="3471"/>
  <c r="H36" i="3471"/>
  <c r="C35" i="3471"/>
  <c r="H35" i="3471"/>
  <c r="C34" i="3471"/>
  <c r="H19" i="3471"/>
  <c r="C33" i="3471"/>
  <c r="H34" i="3471"/>
  <c r="C32" i="3471"/>
  <c r="H33" i="3471"/>
  <c r="H32" i="3471"/>
  <c r="C30" i="3471"/>
  <c r="H17" i="3471"/>
  <c r="H31" i="3471"/>
  <c r="H8" i="3471"/>
  <c r="H30" i="3471"/>
  <c r="H29" i="3471"/>
  <c r="B25" i="3471"/>
  <c r="H11" i="3471"/>
  <c r="B24" i="3471"/>
  <c r="H28" i="3471"/>
  <c r="B23" i="3471"/>
  <c r="H27" i="3471"/>
  <c r="B22" i="3471"/>
  <c r="H14" i="3471"/>
  <c r="C21" i="3471"/>
  <c r="H26" i="3471"/>
  <c r="C20" i="3471"/>
  <c r="H16" i="3471"/>
  <c r="C19" i="3471"/>
  <c r="H25" i="3471"/>
  <c r="C18" i="3471"/>
  <c r="H24" i="3471"/>
  <c r="C17" i="3471"/>
  <c r="H15" i="3471"/>
  <c r="C16" i="3471"/>
  <c r="H23" i="3471"/>
  <c r="C15" i="3471"/>
  <c r="H22" i="3471"/>
  <c r="C14" i="3471"/>
  <c r="H21" i="3471"/>
  <c r="C13" i="3471"/>
  <c r="O12" i="3471"/>
  <c r="H18" i="3471"/>
  <c r="C12" i="3471"/>
  <c r="O11" i="3471"/>
  <c r="H20" i="3471"/>
  <c r="C11" i="3471"/>
  <c r="O10" i="3471"/>
  <c r="H3" i="3471"/>
  <c r="C10" i="3471"/>
  <c r="H13" i="3471"/>
  <c r="C9" i="3471"/>
  <c r="H10" i="3471"/>
  <c r="C8" i="3471"/>
  <c r="O7" i="3471"/>
  <c r="H12" i="3471"/>
  <c r="C7" i="3471"/>
  <c r="O6" i="3471"/>
  <c r="H6" i="3471"/>
  <c r="B6" i="3471"/>
  <c r="O5" i="3471"/>
  <c r="H7" i="3471"/>
  <c r="B5" i="3471"/>
  <c r="O4" i="3471"/>
  <c r="H2" i="3471"/>
  <c r="O3" i="3471"/>
  <c r="H9" i="3471"/>
  <c r="O2" i="3471"/>
  <c r="H4" i="3471"/>
  <c r="O16" i="3470"/>
  <c r="O15" i="3470"/>
  <c r="H52" i="3470"/>
  <c r="H7" i="3470"/>
  <c r="H51" i="3470"/>
  <c r="H50" i="3470"/>
  <c r="H49" i="3470"/>
  <c r="H48" i="3470"/>
  <c r="H47" i="3470"/>
  <c r="H46" i="3470"/>
  <c r="H45" i="3470"/>
  <c r="C44" i="3470"/>
  <c r="H44" i="3470"/>
  <c r="C43" i="3470"/>
  <c r="H43" i="3470"/>
  <c r="C42" i="3470"/>
  <c r="H42" i="3470"/>
  <c r="C41" i="3470"/>
  <c r="H41" i="3470"/>
  <c r="C40" i="3470"/>
  <c r="H40" i="3470"/>
  <c r="C39" i="3470"/>
  <c r="H39" i="3470"/>
  <c r="C38" i="3470"/>
  <c r="H38" i="3470"/>
  <c r="C37" i="3470"/>
  <c r="H37" i="3470"/>
  <c r="C36" i="3470"/>
  <c r="H36" i="3470"/>
  <c r="C35" i="3470"/>
  <c r="H35" i="3470"/>
  <c r="C34" i="3470"/>
  <c r="H34" i="3470"/>
  <c r="C33" i="3470"/>
  <c r="H33" i="3470"/>
  <c r="C32" i="3470"/>
  <c r="H32" i="3470"/>
  <c r="H31" i="3470"/>
  <c r="C30" i="3470"/>
  <c r="H30" i="3470"/>
  <c r="H29" i="3470"/>
  <c r="H28" i="3470"/>
  <c r="H27" i="3470"/>
  <c r="H26" i="3470"/>
  <c r="B25" i="3470"/>
  <c r="H25" i="3470"/>
  <c r="B24" i="3470"/>
  <c r="H24" i="3470"/>
  <c r="B23" i="3470"/>
  <c r="H23" i="3470"/>
  <c r="B22" i="3470"/>
  <c r="H22" i="3470"/>
  <c r="C21" i="3470"/>
  <c r="H21" i="3470"/>
  <c r="C20" i="3470"/>
  <c r="H6" i="3470"/>
  <c r="C19" i="3470"/>
  <c r="H20" i="3470"/>
  <c r="C18" i="3470"/>
  <c r="H19" i="3470"/>
  <c r="C17" i="3470"/>
  <c r="H18" i="3470"/>
  <c r="C16" i="3470"/>
  <c r="H17" i="3470"/>
  <c r="C15" i="3470"/>
  <c r="H16" i="3470"/>
  <c r="C14" i="3470"/>
  <c r="H15" i="3470"/>
  <c r="C13" i="3470"/>
  <c r="O12" i="3470"/>
  <c r="H14" i="3470"/>
  <c r="C12" i="3470"/>
  <c r="O11" i="3470"/>
  <c r="H13" i="3470"/>
  <c r="C11" i="3470"/>
  <c r="O10" i="3470"/>
  <c r="H12" i="3470"/>
  <c r="C10" i="3470"/>
  <c r="H11" i="3470"/>
  <c r="C9" i="3470"/>
  <c r="H10" i="3470"/>
  <c r="C8" i="3470"/>
  <c r="O7" i="3470"/>
  <c r="H9" i="3470"/>
  <c r="C7" i="3470"/>
  <c r="O6" i="3470"/>
  <c r="H5" i="3470"/>
  <c r="B6" i="3470"/>
  <c r="O5" i="3470"/>
  <c r="H4" i="3470"/>
  <c r="B5" i="3470"/>
  <c r="O4" i="3470"/>
  <c r="H2" i="3470"/>
  <c r="O3" i="3470"/>
  <c r="H8" i="3470"/>
  <c r="O2" i="3470"/>
  <c r="H3" i="3470"/>
  <c r="O22" i="3469"/>
  <c r="O21" i="3469"/>
  <c r="O17" i="3469"/>
  <c r="O20" i="3469"/>
  <c r="O19" i="3469"/>
  <c r="O18" i="3469"/>
  <c r="O16" i="3469"/>
  <c r="O15" i="3469"/>
  <c r="H52" i="3469"/>
  <c r="H7" i="3469"/>
  <c r="H51" i="3469"/>
  <c r="H50" i="3469"/>
  <c r="H49" i="3469"/>
  <c r="H48" i="3469"/>
  <c r="H47" i="3469"/>
  <c r="H46" i="3469"/>
  <c r="H45" i="3469"/>
  <c r="C44" i="3469"/>
  <c r="H44" i="3469"/>
  <c r="C43" i="3469"/>
  <c r="H43" i="3469"/>
  <c r="C42" i="3469"/>
  <c r="H42" i="3469"/>
  <c r="C41" i="3469"/>
  <c r="H41" i="3469"/>
  <c r="C40" i="3469"/>
  <c r="H40" i="3469"/>
  <c r="C39" i="3469"/>
  <c r="H39" i="3469"/>
  <c r="C38" i="3469"/>
  <c r="H38" i="3469"/>
  <c r="C37" i="3469"/>
  <c r="H37" i="3469"/>
  <c r="C36" i="3469"/>
  <c r="H36" i="3469"/>
  <c r="C35" i="3469"/>
  <c r="H35" i="3469"/>
  <c r="C34" i="3469"/>
  <c r="H34" i="3469"/>
  <c r="C33" i="3469"/>
  <c r="H33" i="3469"/>
  <c r="C32" i="3469"/>
  <c r="H32" i="3469"/>
  <c r="H31" i="3469"/>
  <c r="C30" i="3469"/>
  <c r="H30" i="3469"/>
  <c r="H29" i="3469"/>
  <c r="H8" i="3469"/>
  <c r="H28" i="3469"/>
  <c r="H27" i="3469"/>
  <c r="B25" i="3469"/>
  <c r="H11" i="3469"/>
  <c r="B24" i="3469"/>
  <c r="H26" i="3469"/>
  <c r="B23" i="3469"/>
  <c r="H25" i="3469"/>
  <c r="B22" i="3469"/>
  <c r="H14" i="3469"/>
  <c r="C21" i="3469"/>
  <c r="H24" i="3469"/>
  <c r="C20" i="3469"/>
  <c r="H18" i="3469"/>
  <c r="C19" i="3469"/>
  <c r="H23" i="3469"/>
  <c r="C18" i="3469"/>
  <c r="H17" i="3469"/>
  <c r="C17" i="3469"/>
  <c r="H13" i="3469"/>
  <c r="C16" i="3469"/>
  <c r="H15" i="3469"/>
  <c r="C15" i="3469"/>
  <c r="H22" i="3469"/>
  <c r="C14" i="3469"/>
  <c r="H21" i="3469"/>
  <c r="C13" i="3469"/>
  <c r="O12" i="3469"/>
  <c r="H20" i="3469"/>
  <c r="C12" i="3469"/>
  <c r="O11" i="3469"/>
  <c r="H19" i="3469"/>
  <c r="C11" i="3469"/>
  <c r="O10" i="3469"/>
  <c r="H2" i="3469"/>
  <c r="C10" i="3469"/>
  <c r="H16" i="3469"/>
  <c r="C9" i="3469"/>
  <c r="H12" i="3469"/>
  <c r="C8" i="3469"/>
  <c r="O7" i="3469"/>
  <c r="H9" i="3469"/>
  <c r="C7" i="3469"/>
  <c r="O6" i="3469"/>
  <c r="H6" i="3469"/>
  <c r="B6" i="3469"/>
  <c r="O5" i="3469"/>
  <c r="H5" i="3469"/>
  <c r="B5" i="3469"/>
  <c r="O4" i="3469"/>
  <c r="H3" i="3469"/>
  <c r="O3" i="3469"/>
  <c r="H10" i="3469"/>
  <c r="O2" i="3469"/>
  <c r="H4" i="3469"/>
  <c r="O22" i="3466"/>
  <c r="O16" i="3466"/>
  <c r="O15" i="3466"/>
  <c r="O26" i="3467"/>
  <c r="O17" i="3467"/>
  <c r="O15" i="3467"/>
  <c r="O16" i="3467"/>
  <c r="O23" i="3468"/>
  <c r="O24" i="3468"/>
  <c r="O18" i="3468"/>
  <c r="O15" i="3468"/>
  <c r="O21" i="3462"/>
  <c r="O17" i="3462"/>
  <c r="O28" i="3465"/>
  <c r="O21" i="3465"/>
  <c r="O19" i="3463"/>
  <c r="O15" i="3463"/>
  <c r="O16" i="3463"/>
  <c r="O25" i="3459"/>
  <c r="O29" i="3456"/>
  <c r="O19" i="3456"/>
  <c r="O17" i="3456"/>
  <c r="O31" i="3455"/>
  <c r="O25" i="3455"/>
  <c r="O18" i="3455"/>
  <c r="O16" i="3455"/>
  <c r="O21" i="3468" l="1"/>
  <c r="O17" i="3468"/>
  <c r="O20" i="3468"/>
  <c r="O22" i="3468"/>
  <c r="O25" i="3468"/>
  <c r="O16" i="3468"/>
  <c r="O19" i="3468"/>
  <c r="H52" i="3468"/>
  <c r="H6" i="3468"/>
  <c r="H17" i="3468"/>
  <c r="H51" i="3468"/>
  <c r="H50" i="3468"/>
  <c r="H49" i="3468"/>
  <c r="H48" i="3468"/>
  <c r="H47" i="3468"/>
  <c r="H24" i="3468"/>
  <c r="C44" i="3468"/>
  <c r="H46" i="3468"/>
  <c r="C43" i="3468"/>
  <c r="H45" i="3468"/>
  <c r="C42" i="3468"/>
  <c r="H44" i="3468"/>
  <c r="C41" i="3468"/>
  <c r="H43" i="3468"/>
  <c r="C40" i="3468"/>
  <c r="H42" i="3468"/>
  <c r="C39" i="3468"/>
  <c r="H41" i="3468"/>
  <c r="C38" i="3468"/>
  <c r="H40" i="3468"/>
  <c r="C37" i="3468"/>
  <c r="H39" i="3468"/>
  <c r="C36" i="3468"/>
  <c r="H38" i="3468"/>
  <c r="C35" i="3468"/>
  <c r="H37" i="3468"/>
  <c r="C34" i="3468"/>
  <c r="H36" i="3468"/>
  <c r="C33" i="3468"/>
  <c r="H35" i="3468"/>
  <c r="C32" i="3468"/>
  <c r="H34" i="3468"/>
  <c r="H33" i="3468"/>
  <c r="C30" i="3468"/>
  <c r="H21" i="3468"/>
  <c r="H32" i="3468"/>
  <c r="H10" i="3468"/>
  <c r="H31" i="3468"/>
  <c r="H20" i="3468"/>
  <c r="B25" i="3468"/>
  <c r="H13" i="3468"/>
  <c r="B24" i="3468"/>
  <c r="H23" i="3468"/>
  <c r="B23" i="3468"/>
  <c r="H30" i="3468"/>
  <c r="B22" i="3468"/>
  <c r="H15" i="3468"/>
  <c r="C21" i="3468"/>
  <c r="H29" i="3468"/>
  <c r="C20" i="3468"/>
  <c r="H19" i="3468"/>
  <c r="C19" i="3468"/>
  <c r="H28" i="3468"/>
  <c r="C18" i="3468"/>
  <c r="H16" i="3468"/>
  <c r="C17" i="3468"/>
  <c r="H14" i="3468"/>
  <c r="C16" i="3468"/>
  <c r="H27" i="3468"/>
  <c r="C15" i="3468"/>
  <c r="H26" i="3468"/>
  <c r="C14" i="3468"/>
  <c r="H22" i="3468"/>
  <c r="C13" i="3468"/>
  <c r="O12" i="3468"/>
  <c r="H25" i="3468"/>
  <c r="C12" i="3468"/>
  <c r="O11" i="3468"/>
  <c r="H18" i="3468"/>
  <c r="C11" i="3468"/>
  <c r="O10" i="3468"/>
  <c r="H4" i="3468"/>
  <c r="C10" i="3468"/>
  <c r="H12" i="3468"/>
  <c r="C9" i="3468"/>
  <c r="H9" i="3468"/>
  <c r="C8" i="3468"/>
  <c r="O7" i="3468"/>
  <c r="H8" i="3468"/>
  <c r="C7" i="3468"/>
  <c r="O6" i="3468"/>
  <c r="H5" i="3468"/>
  <c r="B6" i="3468"/>
  <c r="O5" i="3468"/>
  <c r="H7" i="3468"/>
  <c r="B5" i="3468"/>
  <c r="O4" i="3468"/>
  <c r="H2" i="3468"/>
  <c r="O3" i="3468"/>
  <c r="H11" i="3468"/>
  <c r="O2" i="3468"/>
  <c r="H3" i="3468"/>
  <c r="O25" i="3467"/>
  <c r="O24" i="3467"/>
  <c r="O22" i="3467"/>
  <c r="O19" i="3467"/>
  <c r="O23" i="3467"/>
  <c r="O21" i="3467"/>
  <c r="O20" i="3467"/>
  <c r="O18" i="3467"/>
  <c r="H52" i="3467"/>
  <c r="H5" i="3467"/>
  <c r="H20" i="3467"/>
  <c r="H51" i="3467"/>
  <c r="H50" i="3467"/>
  <c r="H49" i="3467"/>
  <c r="H48" i="3467"/>
  <c r="H47" i="3467"/>
  <c r="H46" i="3467"/>
  <c r="C44" i="3467"/>
  <c r="H45" i="3467"/>
  <c r="C43" i="3467"/>
  <c r="H44" i="3467"/>
  <c r="C42" i="3467"/>
  <c r="H43" i="3467"/>
  <c r="C41" i="3467"/>
  <c r="H42" i="3467"/>
  <c r="C40" i="3467"/>
  <c r="H28" i="3467"/>
  <c r="C39" i="3467"/>
  <c r="H41" i="3467"/>
  <c r="C38" i="3467"/>
  <c r="H40" i="3467"/>
  <c r="C37" i="3467"/>
  <c r="H39" i="3467"/>
  <c r="C36" i="3467"/>
  <c r="H38" i="3467"/>
  <c r="C35" i="3467"/>
  <c r="H37" i="3467"/>
  <c r="C34" i="3467"/>
  <c r="H36" i="3467"/>
  <c r="C33" i="3467"/>
  <c r="H35" i="3467"/>
  <c r="C32" i="3467"/>
  <c r="H27" i="3467"/>
  <c r="H26" i="3467"/>
  <c r="C30" i="3467"/>
  <c r="H18" i="3467"/>
  <c r="H25" i="3467"/>
  <c r="H9" i="3467"/>
  <c r="H30" i="3467"/>
  <c r="H29" i="3467"/>
  <c r="B25" i="3467"/>
  <c r="H14" i="3467"/>
  <c r="B24" i="3467"/>
  <c r="H19" i="3467"/>
  <c r="B23" i="3467"/>
  <c r="H34" i="3467"/>
  <c r="B22" i="3467"/>
  <c r="H13" i="3467"/>
  <c r="C21" i="3467"/>
  <c r="H33" i="3467"/>
  <c r="C20" i="3467"/>
  <c r="H16" i="3467"/>
  <c r="C19" i="3467"/>
  <c r="H32" i="3467"/>
  <c r="C18" i="3467"/>
  <c r="H17" i="3467"/>
  <c r="C17" i="3467"/>
  <c r="H15" i="3467"/>
  <c r="C16" i="3467"/>
  <c r="H24" i="3467"/>
  <c r="C15" i="3467"/>
  <c r="H31" i="3467"/>
  <c r="C14" i="3467"/>
  <c r="H23" i="3467"/>
  <c r="C13" i="3467"/>
  <c r="O12" i="3467"/>
  <c r="H22" i="3467"/>
  <c r="C12" i="3467"/>
  <c r="O11" i="3467"/>
  <c r="H21" i="3467"/>
  <c r="C11" i="3467"/>
  <c r="O10" i="3467"/>
  <c r="H3" i="3467"/>
  <c r="C10" i="3467"/>
  <c r="H12" i="3467"/>
  <c r="C9" i="3467"/>
  <c r="H11" i="3467"/>
  <c r="C8" i="3467"/>
  <c r="O7" i="3467"/>
  <c r="H8" i="3467"/>
  <c r="C7" i="3467"/>
  <c r="O6" i="3467"/>
  <c r="H7" i="3467"/>
  <c r="B6" i="3467"/>
  <c r="O5" i="3467"/>
  <c r="H6" i="3467"/>
  <c r="B5" i="3467"/>
  <c r="O4" i="3467"/>
  <c r="H2" i="3467"/>
  <c r="O3" i="3467"/>
  <c r="H10" i="3467"/>
  <c r="O2" i="3467"/>
  <c r="H4" i="3467"/>
  <c r="O21" i="3466"/>
  <c r="O19" i="3466"/>
  <c r="O20" i="3466"/>
  <c r="O18" i="3466"/>
  <c r="O17" i="3466"/>
  <c r="H52" i="3466"/>
  <c r="H13" i="3466"/>
  <c r="H51" i="3466"/>
  <c r="H50" i="3466"/>
  <c r="H49" i="3466"/>
  <c r="H48" i="3466"/>
  <c r="H47" i="3466"/>
  <c r="H46" i="3466"/>
  <c r="H45" i="3466"/>
  <c r="C44" i="3466"/>
  <c r="H44" i="3466"/>
  <c r="C43" i="3466"/>
  <c r="H43" i="3466"/>
  <c r="C42" i="3466"/>
  <c r="H42" i="3466"/>
  <c r="C41" i="3466"/>
  <c r="H41" i="3466"/>
  <c r="C40" i="3466"/>
  <c r="H40" i="3466"/>
  <c r="C39" i="3466"/>
  <c r="H39" i="3466"/>
  <c r="C38" i="3466"/>
  <c r="H38" i="3466"/>
  <c r="C37" i="3466"/>
  <c r="H37" i="3466"/>
  <c r="C36" i="3466"/>
  <c r="H36" i="3466"/>
  <c r="C35" i="3466"/>
  <c r="H35" i="3466"/>
  <c r="C34" i="3466"/>
  <c r="H34" i="3466"/>
  <c r="C33" i="3466"/>
  <c r="H33" i="3466"/>
  <c r="C32" i="3466"/>
  <c r="H32" i="3466"/>
  <c r="H31" i="3466"/>
  <c r="C30" i="3466"/>
  <c r="H14" i="3466"/>
  <c r="H30" i="3466"/>
  <c r="H7" i="3466"/>
  <c r="H29" i="3466"/>
  <c r="H28" i="3466"/>
  <c r="B25" i="3466"/>
  <c r="H10" i="3466"/>
  <c r="B24" i="3466"/>
  <c r="H27" i="3466"/>
  <c r="B23" i="3466"/>
  <c r="H26" i="3466"/>
  <c r="B22" i="3466"/>
  <c r="H25" i="3466"/>
  <c r="C21" i="3466"/>
  <c r="H24" i="3466"/>
  <c r="C20" i="3466"/>
  <c r="H23" i="3466"/>
  <c r="C19" i="3466"/>
  <c r="H22" i="3466"/>
  <c r="C18" i="3466"/>
  <c r="H21" i="3466"/>
  <c r="C17" i="3466"/>
  <c r="H20" i="3466"/>
  <c r="C16" i="3466"/>
  <c r="H19" i="3466"/>
  <c r="C15" i="3466"/>
  <c r="H18" i="3466"/>
  <c r="C14" i="3466"/>
  <c r="H17" i="3466"/>
  <c r="C13" i="3466"/>
  <c r="O12" i="3466"/>
  <c r="H16" i="3466"/>
  <c r="C12" i="3466"/>
  <c r="O11" i="3466"/>
  <c r="H15" i="3466"/>
  <c r="C11" i="3466"/>
  <c r="O10" i="3466"/>
  <c r="H4" i="3466"/>
  <c r="C10" i="3466"/>
  <c r="H12" i="3466"/>
  <c r="C9" i="3466"/>
  <c r="H9" i="3466"/>
  <c r="C8" i="3466"/>
  <c r="O7" i="3466"/>
  <c r="H8" i="3466"/>
  <c r="C7" i="3466"/>
  <c r="O6" i="3466"/>
  <c r="H6" i="3466"/>
  <c r="B6" i="3466"/>
  <c r="O5" i="3466"/>
  <c r="H5" i="3466"/>
  <c r="B5" i="3466"/>
  <c r="O4" i="3466"/>
  <c r="H3" i="3466"/>
  <c r="O3" i="3466"/>
  <c r="H11" i="3466"/>
  <c r="O2" i="3466"/>
  <c r="H2" i="3466"/>
  <c r="O27" i="3465"/>
  <c r="O23" i="3465"/>
  <c r="O26" i="3465"/>
  <c r="O25" i="3465"/>
  <c r="O24" i="3465"/>
  <c r="O18" i="3465"/>
  <c r="O19" i="3465"/>
  <c r="O22" i="3465"/>
  <c r="O16" i="3465"/>
  <c r="O15" i="3465"/>
  <c r="O20" i="3465"/>
  <c r="H52" i="3465"/>
  <c r="H7" i="3465"/>
  <c r="H16" i="3465"/>
  <c r="H51" i="3465"/>
  <c r="H50" i="3465"/>
  <c r="H49" i="3465"/>
  <c r="H48" i="3465"/>
  <c r="H47" i="3465"/>
  <c r="H46" i="3465"/>
  <c r="C44" i="3465"/>
  <c r="H45" i="3465"/>
  <c r="C43" i="3465"/>
  <c r="H44" i="3465"/>
  <c r="C42" i="3465"/>
  <c r="H43" i="3465"/>
  <c r="C41" i="3465"/>
  <c r="H42" i="3465"/>
  <c r="C40" i="3465"/>
  <c r="H41" i="3465"/>
  <c r="C39" i="3465"/>
  <c r="H40" i="3465"/>
  <c r="C38" i="3465"/>
  <c r="H39" i="3465"/>
  <c r="C37" i="3465"/>
  <c r="H38" i="3465"/>
  <c r="C36" i="3465"/>
  <c r="H30" i="3465"/>
  <c r="C35" i="3465"/>
  <c r="H37" i="3465"/>
  <c r="C34" i="3465"/>
  <c r="H36" i="3465"/>
  <c r="C33" i="3465"/>
  <c r="H35" i="3465"/>
  <c r="C32" i="3465"/>
  <c r="H24" i="3465"/>
  <c r="H21" i="3465"/>
  <c r="C30" i="3465"/>
  <c r="H17" i="3465"/>
  <c r="H28" i="3465"/>
  <c r="H9" i="3465"/>
  <c r="H34" i="3465"/>
  <c r="H27" i="3465"/>
  <c r="B25" i="3465"/>
  <c r="H12" i="3465"/>
  <c r="B24" i="3465"/>
  <c r="H26" i="3465"/>
  <c r="B23" i="3465"/>
  <c r="H25" i="3465"/>
  <c r="B22" i="3465"/>
  <c r="H14" i="3465"/>
  <c r="C21" i="3465"/>
  <c r="H33" i="3465"/>
  <c r="C20" i="3465"/>
  <c r="H18" i="3465"/>
  <c r="C19" i="3465"/>
  <c r="H32" i="3465"/>
  <c r="C18" i="3465"/>
  <c r="H19" i="3465"/>
  <c r="C17" i="3465"/>
  <c r="H15" i="3465"/>
  <c r="C16" i="3465"/>
  <c r="H23" i="3465"/>
  <c r="C15" i="3465"/>
  <c r="H31" i="3465"/>
  <c r="C14" i="3465"/>
  <c r="H22" i="3465"/>
  <c r="C13" i="3465"/>
  <c r="O12" i="3465"/>
  <c r="H29" i="3465"/>
  <c r="C12" i="3465"/>
  <c r="O11" i="3465"/>
  <c r="H20" i="3465"/>
  <c r="C11" i="3465"/>
  <c r="O10" i="3465"/>
  <c r="H3" i="3465"/>
  <c r="C10" i="3465"/>
  <c r="H13" i="3465"/>
  <c r="C9" i="3465"/>
  <c r="H11" i="3465"/>
  <c r="C8" i="3465"/>
  <c r="O7" i="3465"/>
  <c r="H8" i="3465"/>
  <c r="C7" i="3465"/>
  <c r="O6" i="3465"/>
  <c r="H6" i="3465"/>
  <c r="B6" i="3465"/>
  <c r="O5" i="3465"/>
  <c r="H5" i="3465"/>
  <c r="B5" i="3465"/>
  <c r="O4" i="3465"/>
  <c r="H2" i="3465"/>
  <c r="O3" i="3465"/>
  <c r="H10" i="3465"/>
  <c r="O2" i="3465"/>
  <c r="H4" i="3465"/>
  <c r="O15" i="3464"/>
  <c r="O21" i="3464"/>
  <c r="O19" i="3464"/>
  <c r="O20" i="3464"/>
  <c r="O18" i="3464"/>
  <c r="O17" i="3464"/>
  <c r="O16" i="3464"/>
  <c r="H52" i="3464"/>
  <c r="H10" i="3464"/>
  <c r="H16" i="3464"/>
  <c r="H51" i="3464"/>
  <c r="H50" i="3464"/>
  <c r="H49" i="3464"/>
  <c r="H48" i="3464"/>
  <c r="H47" i="3464"/>
  <c r="H46" i="3464"/>
  <c r="C44" i="3464"/>
  <c r="H45" i="3464"/>
  <c r="C43" i="3464"/>
  <c r="H44" i="3464"/>
  <c r="C42" i="3464"/>
  <c r="H43" i="3464"/>
  <c r="C41" i="3464"/>
  <c r="H42" i="3464"/>
  <c r="C40" i="3464"/>
  <c r="H41" i="3464"/>
  <c r="C39" i="3464"/>
  <c r="H40" i="3464"/>
  <c r="C38" i="3464"/>
  <c r="H39" i="3464"/>
  <c r="C37" i="3464"/>
  <c r="H38" i="3464"/>
  <c r="C36" i="3464"/>
  <c r="H37" i="3464"/>
  <c r="C35" i="3464"/>
  <c r="H36" i="3464"/>
  <c r="C34" i="3464"/>
  <c r="H35" i="3464"/>
  <c r="C33" i="3464"/>
  <c r="H34" i="3464"/>
  <c r="C32" i="3464"/>
  <c r="H33" i="3464"/>
  <c r="H20" i="3464"/>
  <c r="C30" i="3464"/>
  <c r="H19" i="3464"/>
  <c r="H32" i="3464"/>
  <c r="H7" i="3464"/>
  <c r="H31" i="3464"/>
  <c r="H30" i="3464"/>
  <c r="B25" i="3464"/>
  <c r="H18" i="3464"/>
  <c r="B24" i="3464"/>
  <c r="H29" i="3464"/>
  <c r="B23" i="3464"/>
  <c r="H28" i="3464"/>
  <c r="B22" i="3464"/>
  <c r="H15" i="3464"/>
  <c r="C21" i="3464"/>
  <c r="H27" i="3464"/>
  <c r="C20" i="3464"/>
  <c r="H26" i="3464"/>
  <c r="C19" i="3464"/>
  <c r="H25" i="3464"/>
  <c r="C18" i="3464"/>
  <c r="H14" i="3464"/>
  <c r="C17" i="3464"/>
  <c r="H13" i="3464"/>
  <c r="C16" i="3464"/>
  <c r="H24" i="3464"/>
  <c r="C15" i="3464"/>
  <c r="H23" i="3464"/>
  <c r="C14" i="3464"/>
  <c r="H22" i="3464"/>
  <c r="C13" i="3464"/>
  <c r="O12" i="3464"/>
  <c r="H21" i="3464"/>
  <c r="C12" i="3464"/>
  <c r="O11" i="3464"/>
  <c r="H17" i="3464"/>
  <c r="C11" i="3464"/>
  <c r="O10" i="3464"/>
  <c r="H3" i="3464"/>
  <c r="C10" i="3464"/>
  <c r="H12" i="3464"/>
  <c r="C9" i="3464"/>
  <c r="H11" i="3464"/>
  <c r="C8" i="3464"/>
  <c r="O7" i="3464"/>
  <c r="H9" i="3464"/>
  <c r="C7" i="3464"/>
  <c r="O6" i="3464"/>
  <c r="H6" i="3464"/>
  <c r="B6" i="3464"/>
  <c r="O5" i="3464"/>
  <c r="H5" i="3464"/>
  <c r="B5" i="3464"/>
  <c r="O4" i="3464"/>
  <c r="H2" i="3464"/>
  <c r="O3" i="3464"/>
  <c r="H8" i="3464"/>
  <c r="O2" i="3464"/>
  <c r="H4" i="3464"/>
  <c r="O26" i="3463"/>
  <c r="O24" i="3463"/>
  <c r="O23" i="3463"/>
  <c r="O25" i="3463"/>
  <c r="O17" i="3463"/>
  <c r="O18" i="3463"/>
  <c r="O22" i="3463"/>
  <c r="O21" i="3463"/>
  <c r="O20" i="3463"/>
  <c r="H52" i="3463"/>
  <c r="H6" i="3463"/>
  <c r="H23" i="3463"/>
  <c r="H51" i="3463"/>
  <c r="H50" i="3463"/>
  <c r="H49" i="3463"/>
  <c r="H48" i="3463"/>
  <c r="H47" i="3463"/>
  <c r="H46" i="3463"/>
  <c r="C44" i="3463"/>
  <c r="H45" i="3463"/>
  <c r="C43" i="3463"/>
  <c r="H44" i="3463"/>
  <c r="C42" i="3463"/>
  <c r="H43" i="3463"/>
  <c r="C41" i="3463"/>
  <c r="H42" i="3463"/>
  <c r="C40" i="3463"/>
  <c r="H41" i="3463"/>
  <c r="C39" i="3463"/>
  <c r="H40" i="3463"/>
  <c r="C38" i="3463"/>
  <c r="H39" i="3463"/>
  <c r="C37" i="3463"/>
  <c r="H38" i="3463"/>
  <c r="C36" i="3463"/>
  <c r="H37" i="3463"/>
  <c r="C35" i="3463"/>
  <c r="H36" i="3463"/>
  <c r="C34" i="3463"/>
  <c r="H30" i="3463"/>
  <c r="C33" i="3463"/>
  <c r="H35" i="3463"/>
  <c r="C32" i="3463"/>
  <c r="H26" i="3463"/>
  <c r="H25" i="3463"/>
  <c r="C30" i="3463"/>
  <c r="H17" i="3463"/>
  <c r="H34" i="3463"/>
  <c r="H9" i="3463"/>
  <c r="H29" i="3463"/>
  <c r="H27" i="3463"/>
  <c r="B25" i="3463"/>
  <c r="H13" i="3463"/>
  <c r="B24" i="3463"/>
  <c r="H28" i="3463"/>
  <c r="B23" i="3463"/>
  <c r="H24" i="3463"/>
  <c r="B22" i="3463"/>
  <c r="H14" i="3463"/>
  <c r="C21" i="3463"/>
  <c r="H33" i="3463"/>
  <c r="C20" i="3463"/>
  <c r="H16" i="3463"/>
  <c r="C19" i="3463"/>
  <c r="H32" i="3463"/>
  <c r="C18" i="3463"/>
  <c r="H18" i="3463"/>
  <c r="C17" i="3463"/>
  <c r="H15" i="3463"/>
  <c r="C16" i="3463"/>
  <c r="H19" i="3463"/>
  <c r="C15" i="3463"/>
  <c r="H31" i="3463"/>
  <c r="C14" i="3463"/>
  <c r="H22" i="3463"/>
  <c r="C13" i="3463"/>
  <c r="O12" i="3463"/>
  <c r="H21" i="3463"/>
  <c r="C12" i="3463"/>
  <c r="O11" i="3463"/>
  <c r="H20" i="3463"/>
  <c r="C11" i="3463"/>
  <c r="O10" i="3463"/>
  <c r="H3" i="3463"/>
  <c r="C10" i="3463"/>
  <c r="H12" i="3463"/>
  <c r="C9" i="3463"/>
  <c r="H10" i="3463"/>
  <c r="C8" i="3463"/>
  <c r="O7" i="3463"/>
  <c r="H8" i="3463"/>
  <c r="C7" i="3463"/>
  <c r="O6" i="3463"/>
  <c r="H5" i="3463"/>
  <c r="B6" i="3463"/>
  <c r="O5" i="3463"/>
  <c r="H7" i="3463"/>
  <c r="B5" i="3463"/>
  <c r="O4" i="3463"/>
  <c r="H2" i="3463"/>
  <c r="O3" i="3463"/>
  <c r="H11" i="3463"/>
  <c r="O2" i="3463"/>
  <c r="H4" i="3463"/>
  <c r="O23" i="3462"/>
  <c r="O19" i="3462"/>
  <c r="O22" i="3462"/>
  <c r="O15" i="3462"/>
  <c r="O20" i="3462"/>
  <c r="O16" i="3462"/>
  <c r="O18" i="3462"/>
  <c r="H52" i="3462"/>
  <c r="H5" i="3462"/>
  <c r="H51" i="3462"/>
  <c r="H50" i="3462"/>
  <c r="H49" i="3462"/>
  <c r="H48" i="3462"/>
  <c r="H47" i="3462"/>
  <c r="H46" i="3462"/>
  <c r="H45" i="3462"/>
  <c r="C44" i="3462"/>
  <c r="H44" i="3462"/>
  <c r="C43" i="3462"/>
  <c r="H43" i="3462"/>
  <c r="C42" i="3462"/>
  <c r="H42" i="3462"/>
  <c r="C41" i="3462"/>
  <c r="H41" i="3462"/>
  <c r="C40" i="3462"/>
  <c r="H40" i="3462"/>
  <c r="C39" i="3462"/>
  <c r="H39" i="3462"/>
  <c r="C38" i="3462"/>
  <c r="H38" i="3462"/>
  <c r="C37" i="3462"/>
  <c r="H37" i="3462"/>
  <c r="C36" i="3462"/>
  <c r="H36" i="3462"/>
  <c r="C35" i="3462"/>
  <c r="H35" i="3462"/>
  <c r="C34" i="3462"/>
  <c r="H34" i="3462"/>
  <c r="C33" i="3462"/>
  <c r="H33" i="3462"/>
  <c r="C32" i="3462"/>
  <c r="H26" i="3462"/>
  <c r="H32" i="3462"/>
  <c r="C30" i="3462"/>
  <c r="H18" i="3462"/>
  <c r="H25" i="3462"/>
  <c r="H11" i="3462"/>
  <c r="H22" i="3462"/>
  <c r="H24" i="3462"/>
  <c r="B25" i="3462"/>
  <c r="H14" i="3462"/>
  <c r="B24" i="3462"/>
  <c r="H31" i="3462"/>
  <c r="B23" i="3462"/>
  <c r="H30" i="3462"/>
  <c r="B22" i="3462"/>
  <c r="H13" i="3462"/>
  <c r="C21" i="3462"/>
  <c r="H29" i="3462"/>
  <c r="C20" i="3462"/>
  <c r="H15" i="3462"/>
  <c r="C19" i="3462"/>
  <c r="H28" i="3462"/>
  <c r="C18" i="3462"/>
  <c r="H17" i="3462"/>
  <c r="C17" i="3462"/>
  <c r="H16" i="3462"/>
  <c r="C16" i="3462"/>
  <c r="H21" i="3462"/>
  <c r="C15" i="3462"/>
  <c r="H27" i="3462"/>
  <c r="C14" i="3462"/>
  <c r="H20" i="3462"/>
  <c r="C13" i="3462"/>
  <c r="O12" i="3462"/>
  <c r="H19" i="3462"/>
  <c r="C12" i="3462"/>
  <c r="O11" i="3462"/>
  <c r="H23" i="3462"/>
  <c r="C11" i="3462"/>
  <c r="O10" i="3462"/>
  <c r="H3" i="3462"/>
  <c r="C10" i="3462"/>
  <c r="H12" i="3462"/>
  <c r="C9" i="3462"/>
  <c r="H10" i="3462"/>
  <c r="C8" i="3462"/>
  <c r="O7" i="3462"/>
  <c r="H8" i="3462"/>
  <c r="C7" i="3462"/>
  <c r="O6" i="3462"/>
  <c r="H6" i="3462"/>
  <c r="B6" i="3462"/>
  <c r="O5" i="3462"/>
  <c r="H7" i="3462"/>
  <c r="B5" i="3462"/>
  <c r="O4" i="3462"/>
  <c r="H2" i="3462"/>
  <c r="O3" i="3462"/>
  <c r="H9" i="3462"/>
  <c r="O2" i="3462"/>
  <c r="H4" i="3462"/>
  <c r="O19" i="3461"/>
  <c r="O18" i="3461"/>
  <c r="O17" i="3461"/>
  <c r="O16" i="3461"/>
  <c r="O15" i="3461"/>
  <c r="H52" i="3461"/>
  <c r="H51" i="3461"/>
  <c r="H50" i="3461"/>
  <c r="H49" i="3461"/>
  <c r="H48" i="3461"/>
  <c r="H47" i="3461"/>
  <c r="H46" i="3461"/>
  <c r="H45" i="3461"/>
  <c r="H44" i="3461"/>
  <c r="C44" i="3461"/>
  <c r="H43" i="3461"/>
  <c r="C43" i="3461"/>
  <c r="H42" i="3461"/>
  <c r="C42" i="3461"/>
  <c r="H41" i="3461"/>
  <c r="C41" i="3461"/>
  <c r="H40" i="3461"/>
  <c r="C40" i="3461"/>
  <c r="H39" i="3461"/>
  <c r="C39" i="3461"/>
  <c r="H38" i="3461"/>
  <c r="C38" i="3461"/>
  <c r="H37" i="3461"/>
  <c r="C37" i="3461"/>
  <c r="H36" i="3461"/>
  <c r="C36" i="3461"/>
  <c r="H35" i="3461"/>
  <c r="C35" i="3461"/>
  <c r="H34" i="3461"/>
  <c r="C34" i="3461"/>
  <c r="H33" i="3461"/>
  <c r="C33" i="3461"/>
  <c r="H32" i="3461"/>
  <c r="C32" i="3461"/>
  <c r="H31" i="3461"/>
  <c r="H30" i="3461"/>
  <c r="C30" i="3461"/>
  <c r="H29" i="3461"/>
  <c r="H28" i="3461"/>
  <c r="H27" i="3461"/>
  <c r="H26" i="3461"/>
  <c r="H25" i="3461"/>
  <c r="B25" i="3461"/>
  <c r="H10" i="3461"/>
  <c r="B24" i="3461"/>
  <c r="H24" i="3461"/>
  <c r="B23" i="3461"/>
  <c r="H23" i="3461"/>
  <c r="B22" i="3461"/>
  <c r="H22" i="3461"/>
  <c r="C21" i="3461"/>
  <c r="H21" i="3461"/>
  <c r="C20" i="3461"/>
  <c r="H20" i="3461"/>
  <c r="C19" i="3461"/>
  <c r="H19" i="3461"/>
  <c r="C18" i="3461"/>
  <c r="H7" i="3461"/>
  <c r="C17" i="3461"/>
  <c r="H18" i="3461"/>
  <c r="C16" i="3461"/>
  <c r="H17" i="3461"/>
  <c r="C15" i="3461"/>
  <c r="H16" i="3461"/>
  <c r="C14" i="3461"/>
  <c r="H15" i="3461"/>
  <c r="C13" i="3461"/>
  <c r="O12" i="3461"/>
  <c r="H14" i="3461"/>
  <c r="C12" i="3461"/>
  <c r="O11" i="3461"/>
  <c r="H13" i="3461"/>
  <c r="C11" i="3461"/>
  <c r="O10" i="3461"/>
  <c r="H4" i="3461"/>
  <c r="C10" i="3461"/>
  <c r="H12" i="3461"/>
  <c r="C9" i="3461"/>
  <c r="H11" i="3461"/>
  <c r="C8" i="3461"/>
  <c r="O7" i="3461"/>
  <c r="H9" i="3461"/>
  <c r="C7" i="3461"/>
  <c r="O6" i="3461"/>
  <c r="H5" i="3461"/>
  <c r="B6" i="3461"/>
  <c r="O5" i="3461"/>
  <c r="H6" i="3461"/>
  <c r="B5" i="3461"/>
  <c r="O4" i="3461"/>
  <c r="H8" i="3461"/>
  <c r="O3" i="3461"/>
  <c r="H3" i="3461"/>
  <c r="O2" i="3461"/>
  <c r="H2" i="3461"/>
  <c r="O23" i="3460"/>
  <c r="O25" i="3460"/>
  <c r="O22" i="3460"/>
  <c r="O18" i="3460"/>
  <c r="O15" i="3460"/>
  <c r="O20" i="3460"/>
  <c r="O24" i="3460"/>
  <c r="O17" i="3460"/>
  <c r="O21" i="3460"/>
  <c r="O16" i="3460"/>
  <c r="O26" i="3460"/>
  <c r="H52" i="3460"/>
  <c r="H7" i="3460"/>
  <c r="H51" i="3460"/>
  <c r="H50" i="3460"/>
  <c r="H49" i="3460"/>
  <c r="H48" i="3460"/>
  <c r="H47" i="3460"/>
  <c r="H46" i="3460"/>
  <c r="H45" i="3460"/>
  <c r="C44" i="3460"/>
  <c r="H44" i="3460"/>
  <c r="C43" i="3460"/>
  <c r="H43" i="3460"/>
  <c r="C42" i="3460"/>
  <c r="H42" i="3460"/>
  <c r="C41" i="3460"/>
  <c r="H41" i="3460"/>
  <c r="C40" i="3460"/>
  <c r="H40" i="3460"/>
  <c r="C39" i="3460"/>
  <c r="H39" i="3460"/>
  <c r="C38" i="3460"/>
  <c r="H38" i="3460"/>
  <c r="C37" i="3460"/>
  <c r="H37" i="3460"/>
  <c r="C36" i="3460"/>
  <c r="H23" i="3460"/>
  <c r="C35" i="3460"/>
  <c r="H36" i="3460"/>
  <c r="C34" i="3460"/>
  <c r="H35" i="3460"/>
  <c r="C33" i="3460"/>
  <c r="H34" i="3460"/>
  <c r="C32" i="3460"/>
  <c r="H22" i="3460"/>
  <c r="H33" i="3460"/>
  <c r="C30" i="3460"/>
  <c r="H17" i="3460"/>
  <c r="H32" i="3460"/>
  <c r="H11" i="3460"/>
  <c r="H31" i="3460"/>
  <c r="H30" i="3460"/>
  <c r="B25" i="3460"/>
  <c r="H16" i="3460"/>
  <c r="B24" i="3460"/>
  <c r="H29" i="3460"/>
  <c r="B23" i="3460"/>
  <c r="H28" i="3460"/>
  <c r="B22" i="3460"/>
  <c r="H9" i="3460"/>
  <c r="C21" i="3460"/>
  <c r="H27" i="3460"/>
  <c r="C20" i="3460"/>
  <c r="H14" i="3460"/>
  <c r="C19" i="3460"/>
  <c r="H26" i="3460"/>
  <c r="C18" i="3460"/>
  <c r="H15" i="3460"/>
  <c r="C17" i="3460"/>
  <c r="H21" i="3460"/>
  <c r="C16" i="3460"/>
  <c r="H25" i="3460"/>
  <c r="C15" i="3460"/>
  <c r="H24" i="3460"/>
  <c r="C14" i="3460"/>
  <c r="H20" i="3460"/>
  <c r="C13" i="3460"/>
  <c r="O12" i="3460"/>
  <c r="H19" i="3460"/>
  <c r="C12" i="3460"/>
  <c r="O11" i="3460"/>
  <c r="H18" i="3460"/>
  <c r="C11" i="3460"/>
  <c r="O10" i="3460"/>
  <c r="H3" i="3460"/>
  <c r="C10" i="3460"/>
  <c r="H13" i="3460"/>
  <c r="C9" i="3460"/>
  <c r="H10" i="3460"/>
  <c r="C8" i="3460"/>
  <c r="O7" i="3460"/>
  <c r="H8" i="3460"/>
  <c r="C7" i="3460"/>
  <c r="O6" i="3460"/>
  <c r="H5" i="3460"/>
  <c r="B6" i="3460"/>
  <c r="O5" i="3460"/>
  <c r="H6" i="3460"/>
  <c r="B5" i="3460"/>
  <c r="O4" i="3460"/>
  <c r="H2" i="3460"/>
  <c r="O3" i="3460"/>
  <c r="H12" i="3460"/>
  <c r="O2" i="3460"/>
  <c r="H4" i="3460"/>
  <c r="O26" i="3459"/>
  <c r="O23" i="3459"/>
  <c r="O22" i="3459"/>
  <c r="O21" i="3459"/>
  <c r="O24" i="3459"/>
  <c r="O20" i="3459"/>
  <c r="O19" i="3459"/>
  <c r="O18" i="3459"/>
  <c r="O15" i="3459"/>
  <c r="O17" i="3459"/>
  <c r="H52" i="3459"/>
  <c r="H7" i="3459"/>
  <c r="H19" i="3459"/>
  <c r="H51" i="3459"/>
  <c r="H50" i="3459"/>
  <c r="H49" i="3459"/>
  <c r="H48" i="3459"/>
  <c r="H47" i="3459"/>
  <c r="H46" i="3459"/>
  <c r="C44" i="3459"/>
  <c r="H45" i="3459"/>
  <c r="C43" i="3459"/>
  <c r="H44" i="3459"/>
  <c r="C42" i="3459"/>
  <c r="H43" i="3459"/>
  <c r="C41" i="3459"/>
  <c r="H42" i="3459"/>
  <c r="C40" i="3459"/>
  <c r="H41" i="3459"/>
  <c r="C39" i="3459"/>
  <c r="H40" i="3459"/>
  <c r="C38" i="3459"/>
  <c r="H39" i="3459"/>
  <c r="C37" i="3459"/>
  <c r="H38" i="3459"/>
  <c r="C36" i="3459"/>
  <c r="H37" i="3459"/>
  <c r="C35" i="3459"/>
  <c r="H36" i="3459"/>
  <c r="C34" i="3459"/>
  <c r="H31" i="3459"/>
  <c r="C33" i="3459"/>
  <c r="H35" i="3459"/>
  <c r="C32" i="3459"/>
  <c r="H30" i="3459"/>
  <c r="H24" i="3459"/>
  <c r="C30" i="3459"/>
  <c r="H17" i="3459"/>
  <c r="H34" i="3459"/>
  <c r="H11" i="3459"/>
  <c r="H26" i="3459"/>
  <c r="H29" i="3459"/>
  <c r="B25" i="3459"/>
  <c r="H12" i="3459"/>
  <c r="B24" i="3459"/>
  <c r="H25" i="3459"/>
  <c r="B23" i="3459"/>
  <c r="H23" i="3459"/>
  <c r="B22" i="3459"/>
  <c r="H13" i="3459"/>
  <c r="C21" i="3459"/>
  <c r="H33" i="3459"/>
  <c r="C20" i="3459"/>
  <c r="H15" i="3459"/>
  <c r="C19" i="3459"/>
  <c r="H28" i="3459"/>
  <c r="C18" i="3459"/>
  <c r="H18" i="3459"/>
  <c r="C17" i="3459"/>
  <c r="H16" i="3459"/>
  <c r="C16" i="3459"/>
  <c r="H27" i="3459"/>
  <c r="C15" i="3459"/>
  <c r="H32" i="3459"/>
  <c r="C14" i="3459"/>
  <c r="H20" i="3459"/>
  <c r="C13" i="3459"/>
  <c r="O12" i="3459"/>
  <c r="H22" i="3459"/>
  <c r="C12" i="3459"/>
  <c r="O11" i="3459"/>
  <c r="H21" i="3459"/>
  <c r="C11" i="3459"/>
  <c r="O10" i="3459"/>
  <c r="H4" i="3459"/>
  <c r="C10" i="3459"/>
  <c r="H14" i="3459"/>
  <c r="C9" i="3459"/>
  <c r="H10" i="3459"/>
  <c r="C8" i="3459"/>
  <c r="O7" i="3459"/>
  <c r="H8" i="3459"/>
  <c r="C7" i="3459"/>
  <c r="O6" i="3459"/>
  <c r="H5" i="3459"/>
  <c r="B6" i="3459"/>
  <c r="O5" i="3459"/>
  <c r="H6" i="3459"/>
  <c r="B5" i="3459"/>
  <c r="O4" i="3459"/>
  <c r="H2" i="3459"/>
  <c r="O3" i="3459"/>
  <c r="H9" i="3459"/>
  <c r="O2" i="3459"/>
  <c r="H3" i="3459"/>
  <c r="O18" i="3458"/>
  <c r="O17" i="3458"/>
  <c r="O16" i="3458"/>
  <c r="O15" i="3458"/>
  <c r="H52" i="3458"/>
  <c r="H51" i="3458"/>
  <c r="H50" i="3458"/>
  <c r="H49" i="3458"/>
  <c r="H48" i="3458"/>
  <c r="H47" i="3458"/>
  <c r="H46" i="3458"/>
  <c r="H45" i="3458"/>
  <c r="H44" i="3458"/>
  <c r="C44" i="3458"/>
  <c r="H43" i="3458"/>
  <c r="C43" i="3458"/>
  <c r="H42" i="3458"/>
  <c r="C42" i="3458"/>
  <c r="H41" i="3458"/>
  <c r="C41" i="3458"/>
  <c r="H40" i="3458"/>
  <c r="C40" i="3458"/>
  <c r="H39" i="3458"/>
  <c r="C39" i="3458"/>
  <c r="H38" i="3458"/>
  <c r="C38" i="3458"/>
  <c r="H37" i="3458"/>
  <c r="C37" i="3458"/>
  <c r="H36" i="3458"/>
  <c r="C36" i="3458"/>
  <c r="H35" i="3458"/>
  <c r="C35" i="3458"/>
  <c r="H34" i="3458"/>
  <c r="C34" i="3458"/>
  <c r="H33" i="3458"/>
  <c r="C33" i="3458"/>
  <c r="H32" i="3458"/>
  <c r="C32" i="3458"/>
  <c r="H31" i="3458"/>
  <c r="H30" i="3458"/>
  <c r="C30" i="3458"/>
  <c r="H29" i="3458"/>
  <c r="H28" i="3458"/>
  <c r="H6" i="3458"/>
  <c r="H27" i="3458"/>
  <c r="H26" i="3458"/>
  <c r="B25" i="3458"/>
  <c r="H11" i="3458"/>
  <c r="B24" i="3458"/>
  <c r="H25" i="3458"/>
  <c r="B23" i="3458"/>
  <c r="H24" i="3458"/>
  <c r="B22" i="3458"/>
  <c r="H10" i="3458"/>
  <c r="C21" i="3458"/>
  <c r="H23" i="3458"/>
  <c r="C20" i="3458"/>
  <c r="H22" i="3458"/>
  <c r="C19" i="3458"/>
  <c r="H21" i="3458"/>
  <c r="C18" i="3458"/>
  <c r="H20" i="3458"/>
  <c r="C17" i="3458"/>
  <c r="H19" i="3458"/>
  <c r="C16" i="3458"/>
  <c r="H18" i="3458"/>
  <c r="C15" i="3458"/>
  <c r="H17" i="3458"/>
  <c r="C14" i="3458"/>
  <c r="H16" i="3458"/>
  <c r="C13" i="3458"/>
  <c r="O12" i="3458"/>
  <c r="H15" i="3458"/>
  <c r="C12" i="3458"/>
  <c r="O11" i="3458"/>
  <c r="H14" i="3458"/>
  <c r="C11" i="3458"/>
  <c r="O10" i="3458"/>
  <c r="H3" i="3458"/>
  <c r="C10" i="3458"/>
  <c r="H9" i="3458"/>
  <c r="C9" i="3458"/>
  <c r="H13" i="3458"/>
  <c r="C8" i="3458"/>
  <c r="O7" i="3458"/>
  <c r="H8" i="3458"/>
  <c r="C7" i="3458"/>
  <c r="O6" i="3458"/>
  <c r="H7" i="3458"/>
  <c r="B6" i="3458"/>
  <c r="O5" i="3458"/>
  <c r="H5" i="3458"/>
  <c r="B5" i="3458"/>
  <c r="O4" i="3458"/>
  <c r="H2" i="3458"/>
  <c r="O3" i="3458"/>
  <c r="H12" i="3458"/>
  <c r="O2" i="3458"/>
  <c r="H4" i="3458"/>
  <c r="O17" i="3457"/>
  <c r="O16" i="3457"/>
  <c r="O15" i="3457"/>
  <c r="H52" i="3457"/>
  <c r="H51" i="3457"/>
  <c r="H50" i="3457"/>
  <c r="H49" i="3457"/>
  <c r="H48" i="3457"/>
  <c r="H47" i="3457"/>
  <c r="H46" i="3457"/>
  <c r="H45" i="3457"/>
  <c r="H44" i="3457"/>
  <c r="C44" i="3457"/>
  <c r="H43" i="3457"/>
  <c r="C43" i="3457"/>
  <c r="H42" i="3457"/>
  <c r="C42" i="3457"/>
  <c r="H41" i="3457"/>
  <c r="C41" i="3457"/>
  <c r="H40" i="3457"/>
  <c r="C40" i="3457"/>
  <c r="H39" i="3457"/>
  <c r="C39" i="3457"/>
  <c r="H38" i="3457"/>
  <c r="C38" i="3457"/>
  <c r="H37" i="3457"/>
  <c r="C37" i="3457"/>
  <c r="H36" i="3457"/>
  <c r="C36" i="3457"/>
  <c r="H35" i="3457"/>
  <c r="C35" i="3457"/>
  <c r="H34" i="3457"/>
  <c r="C34" i="3457"/>
  <c r="H33" i="3457"/>
  <c r="C33" i="3457"/>
  <c r="H32" i="3457"/>
  <c r="C32" i="3457"/>
  <c r="H31" i="3457"/>
  <c r="H30" i="3457"/>
  <c r="C30" i="3457"/>
  <c r="H29" i="3457"/>
  <c r="H28" i="3457"/>
  <c r="H27" i="3457"/>
  <c r="H26" i="3457"/>
  <c r="H25" i="3457"/>
  <c r="B25" i="3457"/>
  <c r="H24" i="3457"/>
  <c r="B24" i="3457"/>
  <c r="H23" i="3457"/>
  <c r="B23" i="3457"/>
  <c r="H22" i="3457"/>
  <c r="B22" i="3457"/>
  <c r="H21" i="3457"/>
  <c r="C21" i="3457"/>
  <c r="H20" i="3457"/>
  <c r="C20" i="3457"/>
  <c r="H19" i="3457"/>
  <c r="C19" i="3457"/>
  <c r="H18" i="3457"/>
  <c r="C18" i="3457"/>
  <c r="H17" i="3457"/>
  <c r="C17" i="3457"/>
  <c r="H16" i="3457"/>
  <c r="C16" i="3457"/>
  <c r="H15" i="3457"/>
  <c r="C15" i="3457"/>
  <c r="H14" i="3457"/>
  <c r="C14" i="3457"/>
  <c r="H13" i="3457"/>
  <c r="C13" i="3457"/>
  <c r="O12" i="3457"/>
  <c r="H12" i="3457"/>
  <c r="C12" i="3457"/>
  <c r="O11" i="3457"/>
  <c r="H11" i="3457"/>
  <c r="C11" i="3457"/>
  <c r="O10" i="3457"/>
  <c r="H10" i="3457"/>
  <c r="C10" i="3457"/>
  <c r="H9" i="3457"/>
  <c r="C9" i="3457"/>
  <c r="H8" i="3457"/>
  <c r="C8" i="3457"/>
  <c r="O7" i="3457"/>
  <c r="H7" i="3457"/>
  <c r="C7" i="3457"/>
  <c r="O6" i="3457"/>
  <c r="H6" i="3457"/>
  <c r="B6" i="3457"/>
  <c r="O5" i="3457"/>
  <c r="H5" i="3457"/>
  <c r="B5" i="3457"/>
  <c r="O4" i="3457"/>
  <c r="H4" i="3457"/>
  <c r="O3" i="3457"/>
  <c r="H3" i="3457"/>
  <c r="O2" i="3457"/>
  <c r="H2" i="3457"/>
  <c r="O27" i="3456"/>
  <c r="O24" i="3456"/>
  <c r="O25" i="3456"/>
  <c r="O28" i="3456"/>
  <c r="O23" i="3456"/>
  <c r="O26" i="3456"/>
  <c r="O22" i="3456"/>
  <c r="O18" i="3456"/>
  <c r="O21" i="3456"/>
  <c r="O16" i="3456"/>
  <c r="O15" i="3456"/>
  <c r="H52" i="3456"/>
  <c r="H7" i="3456"/>
  <c r="H15" i="3456"/>
  <c r="H51" i="3456"/>
  <c r="H50" i="3456"/>
  <c r="H49" i="3456"/>
  <c r="H48" i="3456"/>
  <c r="H47" i="3456"/>
  <c r="H32" i="3456"/>
  <c r="C44" i="3456"/>
  <c r="H46" i="3456"/>
  <c r="C43" i="3456"/>
  <c r="H45" i="3456"/>
  <c r="C42" i="3456"/>
  <c r="H44" i="3456"/>
  <c r="C41" i="3456"/>
  <c r="H43" i="3456"/>
  <c r="C40" i="3456"/>
  <c r="H42" i="3456"/>
  <c r="C39" i="3456"/>
  <c r="H41" i="3456"/>
  <c r="C38" i="3456"/>
  <c r="H40" i="3456"/>
  <c r="C37" i="3456"/>
  <c r="H39" i="3456"/>
  <c r="C36" i="3456"/>
  <c r="H38" i="3456"/>
  <c r="C35" i="3456"/>
  <c r="H37" i="3456"/>
  <c r="C34" i="3456"/>
  <c r="H31" i="3456"/>
  <c r="C33" i="3456"/>
  <c r="H36" i="3456"/>
  <c r="C32" i="3456"/>
  <c r="H30" i="3456"/>
  <c r="H22" i="3456"/>
  <c r="C30" i="3456"/>
  <c r="H18" i="3456"/>
  <c r="H25" i="3456"/>
  <c r="H8" i="3456"/>
  <c r="H27" i="3456"/>
  <c r="H29" i="3456"/>
  <c r="B25" i="3456"/>
  <c r="H12" i="3456"/>
  <c r="B24" i="3456"/>
  <c r="H21" i="3456"/>
  <c r="B23" i="3456"/>
  <c r="H26" i="3456"/>
  <c r="B22" i="3456"/>
  <c r="H14" i="3456"/>
  <c r="C21" i="3456"/>
  <c r="H35" i="3456"/>
  <c r="C20" i="3456"/>
  <c r="H17" i="3456"/>
  <c r="C19" i="3456"/>
  <c r="H34" i="3456"/>
  <c r="C18" i="3456"/>
  <c r="H19" i="3456"/>
  <c r="C17" i="3456"/>
  <c r="H16" i="3456"/>
  <c r="C16" i="3456"/>
  <c r="H20" i="3456"/>
  <c r="C15" i="3456"/>
  <c r="H33" i="3456"/>
  <c r="C14" i="3456"/>
  <c r="H23" i="3456"/>
  <c r="C13" i="3456"/>
  <c r="O12" i="3456"/>
  <c r="H28" i="3456"/>
  <c r="C12" i="3456"/>
  <c r="O11" i="3456"/>
  <c r="H24" i="3456"/>
  <c r="C11" i="3456"/>
  <c r="O10" i="3456"/>
  <c r="H3" i="3456"/>
  <c r="C10" i="3456"/>
  <c r="H13" i="3456"/>
  <c r="C9" i="3456"/>
  <c r="H11" i="3456"/>
  <c r="C8" i="3456"/>
  <c r="O7" i="3456"/>
  <c r="H9" i="3456"/>
  <c r="C7" i="3456"/>
  <c r="O6" i="3456"/>
  <c r="H6" i="3456"/>
  <c r="B6" i="3456"/>
  <c r="O5" i="3456"/>
  <c r="H5" i="3456"/>
  <c r="B5" i="3456"/>
  <c r="O4" i="3456"/>
  <c r="H2" i="3456"/>
  <c r="O3" i="3456"/>
  <c r="H10" i="3456"/>
  <c r="O2" i="3456"/>
  <c r="H4" i="3456"/>
  <c r="O30" i="3455"/>
  <c r="O29" i="3455"/>
  <c r="O27" i="3455"/>
  <c r="O23" i="3455"/>
  <c r="O28" i="3455"/>
  <c r="O26" i="3455"/>
  <c r="O21" i="3455"/>
  <c r="O22" i="3455"/>
  <c r="O20" i="3455"/>
  <c r="O24" i="3455"/>
  <c r="O19" i="3455"/>
  <c r="O17" i="3455"/>
  <c r="O15" i="3455"/>
  <c r="H52" i="3455"/>
  <c r="H7" i="3455"/>
  <c r="H18" i="3455"/>
  <c r="H51" i="3455"/>
  <c r="H50" i="3455"/>
  <c r="H49" i="3455"/>
  <c r="H48" i="3455"/>
  <c r="H47" i="3455"/>
  <c r="H32" i="3455"/>
  <c r="C44" i="3455"/>
  <c r="H46" i="3455"/>
  <c r="C43" i="3455"/>
  <c r="H45" i="3455"/>
  <c r="C42" i="3455"/>
  <c r="H44" i="3455"/>
  <c r="C41" i="3455"/>
  <c r="H43" i="3455"/>
  <c r="C40" i="3455"/>
  <c r="H34" i="3455"/>
  <c r="C39" i="3455"/>
  <c r="H42" i="3455"/>
  <c r="C38" i="3455"/>
  <c r="H41" i="3455"/>
  <c r="C37" i="3455"/>
  <c r="H40" i="3455"/>
  <c r="C36" i="3455"/>
  <c r="H33" i="3455"/>
  <c r="C35" i="3455"/>
  <c r="H39" i="3455"/>
  <c r="C34" i="3455"/>
  <c r="H31" i="3455"/>
  <c r="C33" i="3455"/>
  <c r="H38" i="3455"/>
  <c r="C32" i="3455"/>
  <c r="H26" i="3455"/>
  <c r="H23" i="3455"/>
  <c r="C30" i="3455"/>
  <c r="H17" i="3455"/>
  <c r="H30" i="3455"/>
  <c r="H9" i="3455"/>
  <c r="H29" i="3455"/>
  <c r="H28" i="3455"/>
  <c r="B25" i="3455"/>
  <c r="H13" i="3455"/>
  <c r="B24" i="3455"/>
  <c r="H24" i="3455"/>
  <c r="B23" i="3455"/>
  <c r="H27" i="3455"/>
  <c r="B22" i="3455"/>
  <c r="H14" i="3455"/>
  <c r="C21" i="3455"/>
  <c r="H37" i="3455"/>
  <c r="C20" i="3455"/>
  <c r="H16" i="3455"/>
  <c r="C19" i="3455"/>
  <c r="H35" i="3455"/>
  <c r="C18" i="3455"/>
  <c r="H19" i="3455"/>
  <c r="C17" i="3455"/>
  <c r="H15" i="3455"/>
  <c r="C16" i="3455"/>
  <c r="H22" i="3455"/>
  <c r="C15" i="3455"/>
  <c r="H36" i="3455"/>
  <c r="C14" i="3455"/>
  <c r="H20" i="3455"/>
  <c r="C13" i="3455"/>
  <c r="O12" i="3455"/>
  <c r="H25" i="3455"/>
  <c r="C12" i="3455"/>
  <c r="O11" i="3455"/>
  <c r="H21" i="3455"/>
  <c r="C11" i="3455"/>
  <c r="O10" i="3455"/>
  <c r="H3" i="3455"/>
  <c r="C10" i="3455"/>
  <c r="H12" i="3455"/>
  <c r="C9" i="3455"/>
  <c r="H11" i="3455"/>
  <c r="C8" i="3455"/>
  <c r="O7" i="3455"/>
  <c r="H8" i="3455"/>
  <c r="C7" i="3455"/>
  <c r="O6" i="3455"/>
  <c r="H5" i="3455"/>
  <c r="B6" i="3455"/>
  <c r="O5" i="3455"/>
  <c r="H6" i="3455"/>
  <c r="B5" i="3455"/>
  <c r="O4" i="3455"/>
  <c r="H2" i="3455"/>
  <c r="O3" i="3455"/>
  <c r="H10" i="3455"/>
  <c r="O2" i="3455"/>
  <c r="H4" i="3455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<sst xmlns="http://schemas.openxmlformats.org/spreadsheetml/2006/main" count="3829" uniqueCount="201">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</sst>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全体!$K$2:$K$2573</c:f>
              <c:numCache>
                <c:formatCode>General</c:formatCode>
                <c:ptCount val="25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</c:numCache>
            </c:numRef>
          </c:xVal>
          <c:yVal>
            <c:numRef>
              <c:f>全体!$L$2:$L$2573</c:f>
              <c:numCache>
                <c:formatCode>\+0.0;\-0.0;\±0</c:formatCode>
                <c:ptCount val="2572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8.7041485130612273E-14</c:v>
                </c:pt>
                <c:pt idx="2216">
                  <c:v>8.7041485130612273E-14</c:v>
                </c:pt>
                <c:pt idx="2217">
                  <c:v>8.7041485130612273E-14</c:v>
                </c:pt>
                <c:pt idx="2218">
                  <c:v>6.8000000000000869</c:v>
                </c:pt>
                <c:pt idx="2219">
                  <c:v>31.600000000000087</c:v>
                </c:pt>
                <c:pt idx="2220">
                  <c:v>8.7041485130612273E-14</c:v>
                </c:pt>
                <c:pt idx="2221">
                  <c:v>-16.099999999999916</c:v>
                </c:pt>
                <c:pt idx="2222">
                  <c:v>26.900000000000084</c:v>
                </c:pt>
                <c:pt idx="2223">
                  <c:v>8.7041485130612273E-14</c:v>
                </c:pt>
                <c:pt idx="2224">
                  <c:v>6.6000000000000867</c:v>
                </c:pt>
                <c:pt idx="2225">
                  <c:v>28.800000000000082</c:v>
                </c:pt>
                <c:pt idx="2226">
                  <c:v>8.3488771451811772E-14</c:v>
                </c:pt>
                <c:pt idx="2227">
                  <c:v>4.4000000000000838</c:v>
                </c:pt>
                <c:pt idx="2228">
                  <c:v>20.300000000000082</c:v>
                </c:pt>
                <c:pt idx="2229">
                  <c:v>8.3488771451811772E-14</c:v>
                </c:pt>
                <c:pt idx="2230">
                  <c:v>18.300000000000082</c:v>
                </c:pt>
                <c:pt idx="2231">
                  <c:v>16.700000000000081</c:v>
                </c:pt>
                <c:pt idx="2232">
                  <c:v>8.3488771451811772E-14</c:v>
                </c:pt>
                <c:pt idx="2233">
                  <c:v>19.200000000000081</c:v>
                </c:pt>
                <c:pt idx="2234">
                  <c:v>27.800000000000082</c:v>
                </c:pt>
                <c:pt idx="2235">
                  <c:v>8.3488771451811772E-14</c:v>
                </c:pt>
                <c:pt idx="2236">
                  <c:v>12.400000000000084</c:v>
                </c:pt>
                <c:pt idx="2237">
                  <c:v>13.000000000000083</c:v>
                </c:pt>
                <c:pt idx="2238">
                  <c:v>8.3488771451811772E-14</c:v>
                </c:pt>
                <c:pt idx="2239">
                  <c:v>61.500000000000085</c:v>
                </c:pt>
                <c:pt idx="2240">
                  <c:v>8.8000000000000842</c:v>
                </c:pt>
                <c:pt idx="2241">
                  <c:v>8.3488771451811772E-14</c:v>
                </c:pt>
                <c:pt idx="2242">
                  <c:v>-1.9999999999999165</c:v>
                </c:pt>
                <c:pt idx="2243">
                  <c:v>35.200000000000088</c:v>
                </c:pt>
                <c:pt idx="2244">
                  <c:v>8.7041485130612273E-14</c:v>
                </c:pt>
                <c:pt idx="2245">
                  <c:v>30.500000000000085</c:v>
                </c:pt>
                <c:pt idx="2246">
                  <c:v>34.900000000000084</c:v>
                </c:pt>
                <c:pt idx="2247">
                  <c:v>8.7041485130612273E-14</c:v>
                </c:pt>
                <c:pt idx="2248">
                  <c:v>12.200000000000086</c:v>
                </c:pt>
                <c:pt idx="2249">
                  <c:v>-40.599999999999909</c:v>
                </c:pt>
                <c:pt idx="2250">
                  <c:v>9.4146912488213275E-14</c:v>
                </c:pt>
                <c:pt idx="2251">
                  <c:v>32.400000000000091</c:v>
                </c:pt>
                <c:pt idx="2252">
                  <c:v>48.000000000000092</c:v>
                </c:pt>
                <c:pt idx="2253">
                  <c:v>9.4146912488213275E-14</c:v>
                </c:pt>
                <c:pt idx="2254">
                  <c:v>55.100000000000094</c:v>
                </c:pt>
                <c:pt idx="2255">
                  <c:v>35.100000000000094</c:v>
                </c:pt>
                <c:pt idx="2256">
                  <c:v>9.4146912488213275E-14</c:v>
                </c:pt>
                <c:pt idx="2257">
                  <c:v>40.900000000000091</c:v>
                </c:pt>
                <c:pt idx="2258">
                  <c:v>31.700000000000095</c:v>
                </c:pt>
                <c:pt idx="2259">
                  <c:v>9.4146912488213275E-14</c:v>
                </c:pt>
                <c:pt idx="2260">
                  <c:v>-1.3999999999999058</c:v>
                </c:pt>
                <c:pt idx="2261">
                  <c:v>-18.399999999999906</c:v>
                </c:pt>
                <c:pt idx="2262">
                  <c:v>9.4146912488213275E-14</c:v>
                </c:pt>
                <c:pt idx="2263">
                  <c:v>-8.6999999999999051</c:v>
                </c:pt>
                <c:pt idx="2264">
                  <c:v>-35.499999999999908</c:v>
                </c:pt>
                <c:pt idx="2265">
                  <c:v>9.4146912488213275E-14</c:v>
                </c:pt>
                <c:pt idx="2266">
                  <c:v>28.800000000000097</c:v>
                </c:pt>
                <c:pt idx="2267">
                  <c:v>41.400000000000091</c:v>
                </c:pt>
                <c:pt idx="2268">
                  <c:v>9.4146912488213275E-14</c:v>
                </c:pt>
                <c:pt idx="2269">
                  <c:v>12.600000000000094</c:v>
                </c:pt>
                <c:pt idx="2270">
                  <c:v>-28.699999999999903</c:v>
                </c:pt>
                <c:pt idx="2271">
                  <c:v>9.7699626167013776E-14</c:v>
                </c:pt>
                <c:pt idx="2272">
                  <c:v>14.900000000000098</c:v>
                </c:pt>
                <c:pt idx="2273">
                  <c:v>42.700000000000095</c:v>
                </c:pt>
                <c:pt idx="2274">
                  <c:v>9.4146912488213275E-14</c:v>
                </c:pt>
                <c:pt idx="2275">
                  <c:v>-23.999999999999908</c:v>
                </c:pt>
                <c:pt idx="2276">
                  <c:v>-25.599999999999909</c:v>
                </c:pt>
                <c:pt idx="2277">
                  <c:v>9.4146912488213275E-14</c:v>
                </c:pt>
                <c:pt idx="2278">
                  <c:v>4.0000000000000941</c:v>
                </c:pt>
                <c:pt idx="2279">
                  <c:v>-24.099999999999909</c:v>
                </c:pt>
                <c:pt idx="2280">
                  <c:v>9.4146912488213275E-14</c:v>
                </c:pt>
                <c:pt idx="2281">
                  <c:v>-4.4999999999999059</c:v>
                </c:pt>
                <c:pt idx="2282">
                  <c:v>-34.499999999999908</c:v>
                </c:pt>
                <c:pt idx="2283">
                  <c:v>9.4146912488213275E-14</c:v>
                </c:pt>
                <c:pt idx="2284">
                  <c:v>-30.499999999999908</c:v>
                </c:pt>
                <c:pt idx="2285">
                  <c:v>-33.799999999999905</c:v>
                </c:pt>
                <c:pt idx="2286">
                  <c:v>9.4146912488213275E-14</c:v>
                </c:pt>
                <c:pt idx="2287">
                  <c:v>-31.299999999999905</c:v>
                </c:pt>
                <c:pt idx="2288">
                  <c:v>-6.4999999999999059</c:v>
                </c:pt>
                <c:pt idx="2289">
                  <c:v>9.4146912488213275E-14</c:v>
                </c:pt>
                <c:pt idx="2290">
                  <c:v>-22.399999999999906</c:v>
                </c:pt>
                <c:pt idx="2291">
                  <c:v>3.1000000000000956</c:v>
                </c:pt>
                <c:pt idx="2292">
                  <c:v>9.5479180117763462E-14</c:v>
                </c:pt>
                <c:pt idx="2293">
                  <c:v>1.3000000000000955</c:v>
                </c:pt>
                <c:pt idx="2294">
                  <c:v>26.100000000000094</c:v>
                </c:pt>
                <c:pt idx="2295">
                  <c:v>9.4146912488213275E-14</c:v>
                </c:pt>
                <c:pt idx="2296">
                  <c:v>5.6000000000000938</c:v>
                </c:pt>
                <c:pt idx="2297">
                  <c:v>-19.399999999999906</c:v>
                </c:pt>
                <c:pt idx="2298">
                  <c:v>9.4146912488213275E-14</c:v>
                </c:pt>
                <c:pt idx="2299">
                  <c:v>14.800000000000095</c:v>
                </c:pt>
                <c:pt idx="2300">
                  <c:v>14.200000000000095</c:v>
                </c:pt>
                <c:pt idx="2301">
                  <c:v>9.5923269327613525E-14</c:v>
                </c:pt>
                <c:pt idx="2302">
                  <c:v>-42.299999999999905</c:v>
                </c:pt>
                <c:pt idx="2303">
                  <c:v>-49.099999999999902</c:v>
                </c:pt>
                <c:pt idx="2304">
                  <c:v>1.0125233984581428E-13</c:v>
                </c:pt>
                <c:pt idx="2305">
                  <c:v>11.400000000000102</c:v>
                </c:pt>
                <c:pt idx="2306">
                  <c:v>53.400000000000098</c:v>
                </c:pt>
                <c:pt idx="2307">
                  <c:v>1.0125233984581428E-13</c:v>
                </c:pt>
                <c:pt idx="2308">
                  <c:v>22.200000000000102</c:v>
                </c:pt>
                <c:pt idx="2309">
                  <c:v>-9.3999999999999009</c:v>
                </c:pt>
                <c:pt idx="2310">
                  <c:v>9.9475983006414026E-14</c:v>
                </c:pt>
                <c:pt idx="2311">
                  <c:v>9.1000000000000991</c:v>
                </c:pt>
                <c:pt idx="2312">
                  <c:v>-20.399999999999899</c:v>
                </c:pt>
                <c:pt idx="2313">
                  <c:v>9.7699626167013776E-14</c:v>
                </c:pt>
                <c:pt idx="2314">
                  <c:v>-36.099999999999909</c:v>
                </c:pt>
                <c:pt idx="2315">
                  <c:v>-7.2999999999999066</c:v>
                </c:pt>
                <c:pt idx="2316">
                  <c:v>9.3258734068513149E-14</c:v>
                </c:pt>
                <c:pt idx="2317">
                  <c:v>-2.9999999999999067</c:v>
                </c:pt>
                <c:pt idx="2318">
                  <c:v>-31.499999999999908</c:v>
                </c:pt>
                <c:pt idx="2319">
                  <c:v>9.4146912488213275E-14</c:v>
                </c:pt>
                <c:pt idx="2320">
                  <c:v>32.500000000000092</c:v>
                </c:pt>
                <c:pt idx="2321">
                  <c:v>21.300000000000097</c:v>
                </c:pt>
                <c:pt idx="2322">
                  <c:v>9.4146912488213275E-14</c:v>
                </c:pt>
                <c:pt idx="2323">
                  <c:v>-22.399999999999906</c:v>
                </c:pt>
                <c:pt idx="2324">
                  <c:v>-69.099999999999909</c:v>
                </c:pt>
                <c:pt idx="2325">
                  <c:v>8.7041485130612273E-14</c:v>
                </c:pt>
                <c:pt idx="2326">
                  <c:v>15.200000000000086</c:v>
                </c:pt>
                <c:pt idx="2327">
                  <c:v>18.30000000000009</c:v>
                </c:pt>
                <c:pt idx="2328">
                  <c:v>8.7041485130612273E-14</c:v>
                </c:pt>
                <c:pt idx="2329">
                  <c:v>1.6000000000000871</c:v>
                </c:pt>
                <c:pt idx="2330">
                  <c:v>-48.899999999999913</c:v>
                </c:pt>
                <c:pt idx="2331">
                  <c:v>8.7041485130612273E-14</c:v>
                </c:pt>
                <c:pt idx="2332">
                  <c:v>26.80000000000009</c:v>
                </c:pt>
                <c:pt idx="2333">
                  <c:v>40.100000000000087</c:v>
                </c:pt>
                <c:pt idx="2334">
                  <c:v>8.7041485130612273E-14</c:v>
                </c:pt>
                <c:pt idx="2335">
                  <c:v>-21.299999999999912</c:v>
                </c:pt>
                <c:pt idx="2336">
                  <c:v>-4.6999999999999122</c:v>
                </c:pt>
                <c:pt idx="2337">
                  <c:v>8.7929663550312398E-14</c:v>
                </c:pt>
                <c:pt idx="2338">
                  <c:v>-29.899999999999913</c:v>
                </c:pt>
                <c:pt idx="2339">
                  <c:v>-5.0999999999999108</c:v>
                </c:pt>
                <c:pt idx="2340">
                  <c:v>8.8817841970012523E-14</c:v>
                </c:pt>
                <c:pt idx="2341">
                  <c:v>-13.799999999999912</c:v>
                </c:pt>
                <c:pt idx="2342">
                  <c:v>-39.299999999999912</c:v>
                </c:pt>
                <c:pt idx="2343">
                  <c:v>8.7041485130612273E-14</c:v>
                </c:pt>
                <c:pt idx="2344">
                  <c:v>10.900000000000087</c:v>
                </c:pt>
                <c:pt idx="2345">
                  <c:v>55.900000000000084</c:v>
                </c:pt>
                <c:pt idx="2346">
                  <c:v>8.7041485130612273E-14</c:v>
                </c:pt>
                <c:pt idx="2347">
                  <c:v>6.000000000000087</c:v>
                </c:pt>
                <c:pt idx="2348">
                  <c:v>-23.599999999999916</c:v>
                </c:pt>
                <c:pt idx="2349">
                  <c:v>8.7041485130612273E-14</c:v>
                </c:pt>
                <c:pt idx="2350">
                  <c:v>-15.299999999999914</c:v>
                </c:pt>
                <c:pt idx="2351">
                  <c:v>1.8000000000000878</c:v>
                </c:pt>
                <c:pt idx="2352">
                  <c:v>8.7707618945387367E-14</c:v>
                </c:pt>
                <c:pt idx="2353">
                  <c:v>34.600000000000087</c:v>
                </c:pt>
                <c:pt idx="2354">
                  <c:v>-19.899999999999913</c:v>
                </c:pt>
                <c:pt idx="2355">
                  <c:v>8.7041485130612273E-14</c:v>
                </c:pt>
                <c:pt idx="2356">
                  <c:v>-6.499999999999913</c:v>
                </c:pt>
                <c:pt idx="2357">
                  <c:v>36.700000000000088</c:v>
                </c:pt>
                <c:pt idx="2358">
                  <c:v>8.7041485130612273E-14</c:v>
                </c:pt>
                <c:pt idx="2359">
                  <c:v>-25.299999999999912</c:v>
                </c:pt>
                <c:pt idx="2360">
                  <c:v>-20.599999999999916</c:v>
                </c:pt>
                <c:pt idx="2361">
                  <c:v>8.7041485130612273E-14</c:v>
                </c:pt>
                <c:pt idx="2362">
                  <c:v>-20.899999999999913</c:v>
                </c:pt>
                <c:pt idx="2363">
                  <c:v>-3.999999999999913</c:v>
                </c:pt>
                <c:pt idx="2364">
                  <c:v>8.7041485130612273E-14</c:v>
                </c:pt>
                <c:pt idx="2365">
                  <c:v>16.500000000000085</c:v>
                </c:pt>
                <c:pt idx="2366">
                  <c:v>0.60000000000008669</c:v>
                </c:pt>
                <c:pt idx="2367">
                  <c:v>8.6708418223224726E-14</c:v>
                </c:pt>
                <c:pt idx="2368">
                  <c:v>3.5000000000000866</c:v>
                </c:pt>
                <c:pt idx="2369">
                  <c:v>39.000000000000085</c:v>
                </c:pt>
                <c:pt idx="2370">
                  <c:v>8.7041485130612273E-14</c:v>
                </c:pt>
                <c:pt idx="2371">
                  <c:v>-32.999999999999915</c:v>
                </c:pt>
                <c:pt idx="2372">
                  <c:v>45.60000000000008</c:v>
                </c:pt>
                <c:pt idx="2373">
                  <c:v>7.9936057773011271E-14</c:v>
                </c:pt>
                <c:pt idx="2374">
                  <c:v>-24.099999999999923</c:v>
                </c:pt>
                <c:pt idx="2375">
                  <c:v>-23.799999999999919</c:v>
                </c:pt>
                <c:pt idx="2376">
                  <c:v>7.9936057773011271E-14</c:v>
                </c:pt>
                <c:pt idx="2377">
                  <c:v>10.300000000000081</c:v>
                </c:pt>
                <c:pt idx="2378">
                  <c:v>45.400000000000077</c:v>
                </c:pt>
                <c:pt idx="2379">
                  <c:v>7.9936057773011271E-14</c:v>
                </c:pt>
                <c:pt idx="2380">
                  <c:v>26.700000000000081</c:v>
                </c:pt>
                <c:pt idx="2381">
                  <c:v>22.300000000000075</c:v>
                </c:pt>
                <c:pt idx="2382">
                  <c:v>7.638334409421077E-14</c:v>
                </c:pt>
                <c:pt idx="2383">
                  <c:v>-28.89999999999992</c:v>
                </c:pt>
                <c:pt idx="2384">
                  <c:v>-43.099999999999923</c:v>
                </c:pt>
                <c:pt idx="2385">
                  <c:v>7.9936057773011271E-14</c:v>
                </c:pt>
                <c:pt idx="2386">
                  <c:v>21.500000000000078</c:v>
                </c:pt>
                <c:pt idx="2387">
                  <c:v>24.000000000000078</c:v>
                </c:pt>
                <c:pt idx="2388">
                  <c:v>7.9936057773011271E-14</c:v>
                </c:pt>
                <c:pt idx="2389">
                  <c:v>-25.099999999999923</c:v>
                </c:pt>
                <c:pt idx="2390">
                  <c:v>5.0000000000000799</c:v>
                </c:pt>
                <c:pt idx="2391">
                  <c:v>7.9936057773011271E-14</c:v>
                </c:pt>
                <c:pt idx="2392">
                  <c:v>3.0000000000000799</c:v>
                </c:pt>
                <c:pt idx="2393">
                  <c:v>37.10000000000008</c:v>
                </c:pt>
                <c:pt idx="2394">
                  <c:v>7.9936057773011271E-14</c:v>
                </c:pt>
                <c:pt idx="2395">
                  <c:v>-1.89999999999992</c:v>
                </c:pt>
                <c:pt idx="2396">
                  <c:v>-27.699999999999918</c:v>
                </c:pt>
                <c:pt idx="2397">
                  <c:v>7.9936057773011271E-14</c:v>
                </c:pt>
                <c:pt idx="2398">
                  <c:v>35.900000000000077</c:v>
                </c:pt>
                <c:pt idx="2399">
                  <c:v>45.200000000000074</c:v>
                </c:pt>
                <c:pt idx="2400">
                  <c:v>7.2830630415410269E-14</c:v>
                </c:pt>
                <c:pt idx="2401">
                  <c:v>37.40000000000007</c:v>
                </c:pt>
                <c:pt idx="2402">
                  <c:v>59.100000000000065</c:v>
                </c:pt>
                <c:pt idx="2403">
                  <c:v>6.5725203057809267E-14</c:v>
                </c:pt>
                <c:pt idx="2404">
                  <c:v>-3.4999999999999343</c:v>
                </c:pt>
                <c:pt idx="2405">
                  <c:v>16.000000000000064</c:v>
                </c:pt>
                <c:pt idx="2406">
                  <c:v>6.5725203057809267E-14</c:v>
                </c:pt>
                <c:pt idx="2407">
                  <c:v>28.100000000000065</c:v>
                </c:pt>
                <c:pt idx="2408">
                  <c:v>41.700000000000067</c:v>
                </c:pt>
                <c:pt idx="2409">
                  <c:v>6.5725203057809267E-14</c:v>
                </c:pt>
                <c:pt idx="2410">
                  <c:v>51.900000000000063</c:v>
                </c:pt>
                <c:pt idx="2411">
                  <c:v>2.4000000000000643</c:v>
                </c:pt>
                <c:pt idx="2412">
                  <c:v>6.4392935428259079E-14</c:v>
                </c:pt>
                <c:pt idx="2413">
                  <c:v>-17.099999999999937</c:v>
                </c:pt>
                <c:pt idx="2414">
                  <c:v>-21.899999999999935</c:v>
                </c:pt>
                <c:pt idx="2415">
                  <c:v>6.2172489379008766E-14</c:v>
                </c:pt>
                <c:pt idx="2416">
                  <c:v>-46.099999999999937</c:v>
                </c:pt>
                <c:pt idx="2417">
                  <c:v>-41.899999999999935</c:v>
                </c:pt>
                <c:pt idx="2418">
                  <c:v>6.5725203057809267E-14</c:v>
                </c:pt>
                <c:pt idx="2419">
                  <c:v>-30.299999999999933</c:v>
                </c:pt>
                <c:pt idx="2420">
                  <c:v>16.500000000000064</c:v>
                </c:pt>
                <c:pt idx="2421">
                  <c:v>6.2172489379008766E-14</c:v>
                </c:pt>
                <c:pt idx="2422">
                  <c:v>-36.599999999999937</c:v>
                </c:pt>
                <c:pt idx="2423">
                  <c:v>-48.999999999999936</c:v>
                </c:pt>
                <c:pt idx="2424">
                  <c:v>6.5725203057809267E-14</c:v>
                </c:pt>
                <c:pt idx="2425">
                  <c:v>-48.599999999999937</c:v>
                </c:pt>
                <c:pt idx="2426">
                  <c:v>-44.399999999999935</c:v>
                </c:pt>
                <c:pt idx="2427">
                  <c:v>6.5725203057809267E-14</c:v>
                </c:pt>
                <c:pt idx="2428">
                  <c:v>-9.5999999999999339</c:v>
                </c:pt>
                <c:pt idx="2429">
                  <c:v>40.20000000000006</c:v>
                </c:pt>
                <c:pt idx="2430">
                  <c:v>5.8619775700208265E-14</c:v>
                </c:pt>
                <c:pt idx="2431">
                  <c:v>-48.79999999999994</c:v>
                </c:pt>
                <c:pt idx="2432">
                  <c:v>-49.999999999999943</c:v>
                </c:pt>
                <c:pt idx="2433">
                  <c:v>5.8619775700208265E-14</c:v>
                </c:pt>
                <c:pt idx="2434">
                  <c:v>-11.399999999999942</c:v>
                </c:pt>
                <c:pt idx="2435">
                  <c:v>33.70000000000006</c:v>
                </c:pt>
                <c:pt idx="2436">
                  <c:v>5.8619775700208265E-14</c:v>
                </c:pt>
                <c:pt idx="2437">
                  <c:v>124.10000000000005</c:v>
                </c:pt>
                <c:pt idx="2438">
                  <c:v>132.90000000000006</c:v>
                </c:pt>
                <c:pt idx="2439">
                  <c:v>4.4408920985006262E-14</c:v>
                </c:pt>
                <c:pt idx="2440">
                  <c:v>22.400000000000041</c:v>
                </c:pt>
                <c:pt idx="2441">
                  <c:v>29.400000000000041</c:v>
                </c:pt>
                <c:pt idx="2442">
                  <c:v>4.4408920985006262E-14</c:v>
                </c:pt>
                <c:pt idx="2443">
                  <c:v>13.600000000000044</c:v>
                </c:pt>
                <c:pt idx="2444">
                  <c:v>-0.49999999999995559</c:v>
                </c:pt>
                <c:pt idx="2445">
                  <c:v>4.4408920985006262E-14</c:v>
                </c:pt>
                <c:pt idx="2446">
                  <c:v>-48.19999999999996</c:v>
                </c:pt>
                <c:pt idx="2447">
                  <c:v>-70.599999999999952</c:v>
                </c:pt>
                <c:pt idx="2448">
                  <c:v>4.4408920985006262E-14</c:v>
                </c:pt>
                <c:pt idx="2449">
                  <c:v>44.500000000000043</c:v>
                </c:pt>
                <c:pt idx="2450">
                  <c:v>31.000000000000043</c:v>
                </c:pt>
                <c:pt idx="2451">
                  <c:v>4.4408920985006262E-14</c:v>
                </c:pt>
                <c:pt idx="2452">
                  <c:v>17.000000000000043</c:v>
                </c:pt>
                <c:pt idx="2453">
                  <c:v>-6.599999999999957</c:v>
                </c:pt>
                <c:pt idx="2454">
                  <c:v>4.2632564145606011E-14</c:v>
                </c:pt>
                <c:pt idx="2455">
                  <c:v>3.2000000000000428</c:v>
                </c:pt>
                <c:pt idx="2456">
                  <c:v>-26.399999999999956</c:v>
                </c:pt>
                <c:pt idx="2457">
                  <c:v>4.0856207306205761E-14</c:v>
                </c:pt>
                <c:pt idx="2458">
                  <c:v>-52.299999999999955</c:v>
                </c:pt>
                <c:pt idx="2459">
                  <c:v>-11.499999999999956</c:v>
                </c:pt>
                <c:pt idx="2460">
                  <c:v>4.4408920985006262E-14</c:v>
                </c:pt>
                <c:pt idx="2461">
                  <c:v>-22.799999999999955</c:v>
                </c:pt>
                <c:pt idx="2462">
                  <c:v>-70.599999999999952</c:v>
                </c:pt>
                <c:pt idx="2463">
                  <c:v>4.4408920985006262E-14</c:v>
                </c:pt>
                <c:pt idx="2464">
                  <c:v>5.8000000000000442</c:v>
                </c:pt>
                <c:pt idx="2465">
                  <c:v>-16.299999999999955</c:v>
                </c:pt>
                <c:pt idx="2466">
                  <c:v>4.4408920985006262E-14</c:v>
                </c:pt>
                <c:pt idx="2467">
                  <c:v>-41.099999999999959</c:v>
                </c:pt>
                <c:pt idx="2468">
                  <c:v>5.8000000000000416</c:v>
                </c:pt>
                <c:pt idx="2469">
                  <c:v>4.1744385725905886E-14</c:v>
                </c:pt>
                <c:pt idx="2470">
                  <c:v>-56.399999999999956</c:v>
                </c:pt>
                <c:pt idx="2471">
                  <c:v>-7.3999999999999542</c:v>
                </c:pt>
                <c:pt idx="2472">
                  <c:v>4.6185277824406512E-14</c:v>
                </c:pt>
                <c:pt idx="2473">
                  <c:v>36.200000000000045</c:v>
                </c:pt>
                <c:pt idx="2474">
                  <c:v>43.300000000000047</c:v>
                </c:pt>
                <c:pt idx="2475">
                  <c:v>5.1514348342607263E-14</c:v>
                </c:pt>
                <c:pt idx="2476">
                  <c:v>-26.399999999999949</c:v>
                </c:pt>
                <c:pt idx="2477">
                  <c:v>-24.99999999999995</c:v>
                </c:pt>
                <c:pt idx="2478">
                  <c:v>5.1514348342607263E-14</c:v>
                </c:pt>
                <c:pt idx="2479">
                  <c:v>-13.099999999999948</c:v>
                </c:pt>
                <c:pt idx="2480">
                  <c:v>36.100000000000051</c:v>
                </c:pt>
                <c:pt idx="2481">
                  <c:v>5.1514348342607263E-14</c:v>
                </c:pt>
                <c:pt idx="2482">
                  <c:v>-3.8999999999999484</c:v>
                </c:pt>
                <c:pt idx="2483">
                  <c:v>-19.199999999999946</c:v>
                </c:pt>
                <c:pt idx="2484">
                  <c:v>5.1514348342607263E-14</c:v>
                </c:pt>
                <c:pt idx="2485">
                  <c:v>-48.99999999999995</c:v>
                </c:pt>
                <c:pt idx="2486">
                  <c:v>13.000000000000052</c:v>
                </c:pt>
                <c:pt idx="2487">
                  <c:v>5.1514348342607263E-14</c:v>
                </c:pt>
                <c:pt idx="2488">
                  <c:v>-19.49999999999995</c:v>
                </c:pt>
                <c:pt idx="2489">
                  <c:v>-16.799999999999947</c:v>
                </c:pt>
                <c:pt idx="2490">
                  <c:v>5.1514348342607263E-14</c:v>
                </c:pt>
                <c:pt idx="2491">
                  <c:v>37.800000000000047</c:v>
                </c:pt>
                <c:pt idx="2492">
                  <c:v>-7.6999999999999513</c:v>
                </c:pt>
                <c:pt idx="2493">
                  <c:v>4.8849813083506888E-14</c:v>
                </c:pt>
                <c:pt idx="2494">
                  <c:v>-18.399999999999949</c:v>
                </c:pt>
                <c:pt idx="2495">
                  <c:v>-59.199999999999946</c:v>
                </c:pt>
                <c:pt idx="2496">
                  <c:v>5.8619775700208265E-14</c:v>
                </c:pt>
                <c:pt idx="2497">
                  <c:v>1.1000000000000587</c:v>
                </c:pt>
                <c:pt idx="2498">
                  <c:v>44.800000000000061</c:v>
                </c:pt>
                <c:pt idx="2499">
                  <c:v>6.5725203057809267E-14</c:v>
                </c:pt>
                <c:pt idx="2500">
                  <c:v>1.1000000000000658</c:v>
                </c:pt>
                <c:pt idx="2501">
                  <c:v>25.100000000000065</c:v>
                </c:pt>
                <c:pt idx="2502">
                  <c:v>6.5725203057809267E-14</c:v>
                </c:pt>
                <c:pt idx="2503">
                  <c:v>-9.999999999993428E-2</c:v>
                </c:pt>
                <c:pt idx="2504">
                  <c:v>-35.79999999999994</c:v>
                </c:pt>
                <c:pt idx="2505">
                  <c:v>5.8619775700208265E-14</c:v>
                </c:pt>
                <c:pt idx="2506">
                  <c:v>-22.499999999999943</c:v>
                </c:pt>
                <c:pt idx="2507">
                  <c:v>-30.399999999999942</c:v>
                </c:pt>
                <c:pt idx="2508">
                  <c:v>5.8619775700208265E-14</c:v>
                </c:pt>
                <c:pt idx="2509">
                  <c:v>-87.399999999999949</c:v>
                </c:pt>
                <c:pt idx="2510">
                  <c:v>9.7000000000000473</c:v>
                </c:pt>
                <c:pt idx="2511">
                  <c:v>4.7961634663806763E-14</c:v>
                </c:pt>
                <c:pt idx="2512">
                  <c:v>25.900000000000048</c:v>
                </c:pt>
                <c:pt idx="2513">
                  <c:v>2.8000000000000451</c:v>
                </c:pt>
                <c:pt idx="2514">
                  <c:v>4.5297099404706387E-14</c:v>
                </c:pt>
                <c:pt idx="2515">
                  <c:v>-12.899999999999954</c:v>
                </c:pt>
                <c:pt idx="2516">
                  <c:v>32.300000000000047</c:v>
                </c:pt>
                <c:pt idx="2517">
                  <c:v>5.1514348342607263E-14</c:v>
                </c:pt>
                <c:pt idx="2518">
                  <c:v>36.00000000000005</c:v>
                </c:pt>
                <c:pt idx="2519">
                  <c:v>-12.799999999999946</c:v>
                </c:pt>
                <c:pt idx="2520">
                  <c:v>5.5067062021407764E-14</c:v>
                </c:pt>
                <c:pt idx="2521">
                  <c:v>20.400000000000055</c:v>
                </c:pt>
                <c:pt idx="2522">
                  <c:v>-30.699999999999946</c:v>
                </c:pt>
                <c:pt idx="2523">
                  <c:v>5.1514348342607263E-14</c:v>
                </c:pt>
                <c:pt idx="2524">
                  <c:v>-60.299999999999947</c:v>
                </c:pt>
                <c:pt idx="2525">
                  <c:v>-0.29999999999994564</c:v>
                </c:pt>
                <c:pt idx="2526">
                  <c:v>5.4345417055401413E-14</c:v>
                </c:pt>
                <c:pt idx="2527">
                  <c:v>-45.599999999999952</c:v>
                </c:pt>
                <c:pt idx="2528">
                  <c:v>9.6000000000000529</c:v>
                </c:pt>
                <c:pt idx="2529">
                  <c:v>5.3290705182007514E-14</c:v>
                </c:pt>
                <c:pt idx="2530">
                  <c:v>28.900000000000048</c:v>
                </c:pt>
                <c:pt idx="2531">
                  <c:v>27.900000000000048</c:v>
                </c:pt>
                <c:pt idx="2532">
                  <c:v>5.1514348342607263E-14</c:v>
                </c:pt>
                <c:pt idx="2533">
                  <c:v>-31.49999999999995</c:v>
                </c:pt>
                <c:pt idx="2534">
                  <c:v>-38.399999999999949</c:v>
                </c:pt>
                <c:pt idx="2535">
                  <c:v>5.1514348342607263E-14</c:v>
                </c:pt>
                <c:pt idx="2536">
                  <c:v>33.50000000000005</c:v>
                </c:pt>
                <c:pt idx="2537">
                  <c:v>0.70000000000005436</c:v>
                </c:pt>
                <c:pt idx="2538">
                  <c:v>5.440092820663267E-14</c:v>
                </c:pt>
                <c:pt idx="2539">
                  <c:v>12.000000000000055</c:v>
                </c:pt>
                <c:pt idx="2540">
                  <c:v>38.300000000000054</c:v>
                </c:pt>
                <c:pt idx="2541">
                  <c:v>5.8619775700208265E-14</c:v>
                </c:pt>
                <c:pt idx="2542">
                  <c:v>7.400000000000059</c:v>
                </c:pt>
                <c:pt idx="2543">
                  <c:v>26.800000000000054</c:v>
                </c:pt>
                <c:pt idx="2544">
                  <c:v>5.5067062021407764E-14</c:v>
                </c:pt>
                <c:pt idx="2545">
                  <c:v>-26.799999999999947</c:v>
                </c:pt>
                <c:pt idx="2546">
                  <c:v>-5.2999999999999456</c:v>
                </c:pt>
                <c:pt idx="2547">
                  <c:v>5.4178883601707639E-14</c:v>
                </c:pt>
                <c:pt idx="2548">
                  <c:v>-20.199999999999946</c:v>
                </c:pt>
                <c:pt idx="2549">
                  <c:v>-28.899999999999942</c:v>
                </c:pt>
                <c:pt idx="2550">
                  <c:v>5.5067062021407764E-14</c:v>
                </c:pt>
                <c:pt idx="2551">
                  <c:v>-22.599999999999945</c:v>
                </c:pt>
                <c:pt idx="2552">
                  <c:v>-19.999999999999943</c:v>
                </c:pt>
                <c:pt idx="2553">
                  <c:v>5.5067062021407764E-14</c:v>
                </c:pt>
                <c:pt idx="2554">
                  <c:v>42.300000000000054</c:v>
                </c:pt>
                <c:pt idx="2555">
                  <c:v>47.000000000000057</c:v>
                </c:pt>
                <c:pt idx="2556">
                  <c:v>5.8619775700208265E-14</c:v>
                </c:pt>
                <c:pt idx="2557">
                  <c:v>-21.599999999999945</c:v>
                </c:pt>
                <c:pt idx="2558">
                  <c:v>0.60000000000005649</c:v>
                </c:pt>
                <c:pt idx="2559">
                  <c:v>5.6510351953420468E-14</c:v>
                </c:pt>
                <c:pt idx="2560">
                  <c:v>1.1000000000000565</c:v>
                </c:pt>
                <c:pt idx="2561">
                  <c:v>-47.399999999999949</c:v>
                </c:pt>
                <c:pt idx="2562">
                  <c:v>5.1514348342607263E-14</c:v>
                </c:pt>
                <c:pt idx="2563">
                  <c:v>-55.49999999999995</c:v>
                </c:pt>
                <c:pt idx="2564">
                  <c:v>-66.199999999999946</c:v>
                </c:pt>
                <c:pt idx="2565">
                  <c:v>5.8619775700208265E-14</c:v>
                </c:pt>
                <c:pt idx="2566">
                  <c:v>54.20000000000006</c:v>
                </c:pt>
                <c:pt idx="2567">
                  <c:v>48.70000000000006</c:v>
                </c:pt>
                <c:pt idx="2568">
                  <c:v>5.8619775700208265E-14</c:v>
                </c:pt>
                <c:pt idx="2569">
                  <c:v>15.700000000000058</c:v>
                </c:pt>
                <c:pt idx="2570">
                  <c:v>18.300000000000061</c:v>
                </c:pt>
                <c:pt idx="2571">
                  <c:v>5.8619775700208265E-14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8-4B8E-A271-912894095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-18.823529411764707</c:v>
                </c:pt>
                <c:pt idx="1">
                  <c:v>-1.2077294685990339</c:v>
                </c:pt>
                <c:pt idx="2">
                  <c:v>4.2900042900042896</c:v>
                </c:pt>
                <c:pt idx="3">
                  <c:v>5.5944055944055942</c:v>
                </c:pt>
                <c:pt idx="4">
                  <c:v>2.0800832033281331</c:v>
                </c:pt>
                <c:pt idx="5">
                  <c:v>15.460729746444033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1-42F6-BCBE-33BC61F8C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380</c:v>
                </c:pt>
                <c:pt idx="1">
                  <c:v>851</c:v>
                </c:pt>
                <c:pt idx="2">
                  <c:v>1104</c:v>
                </c:pt>
                <c:pt idx="3">
                  <c:v>1083</c:v>
                </c:pt>
                <c:pt idx="4">
                  <c:v>909</c:v>
                </c:pt>
                <c:pt idx="5">
                  <c:v>588</c:v>
                </c:pt>
                <c:pt idx="6">
                  <c:v>363</c:v>
                </c:pt>
                <c:pt idx="7">
                  <c:v>198</c:v>
                </c:pt>
                <c:pt idx="8">
                  <c:v>114</c:v>
                </c:pt>
                <c:pt idx="9">
                  <c:v>56</c:v>
                </c:pt>
                <c:pt idx="10">
                  <c:v>30</c:v>
                </c:pt>
                <c:pt idx="11">
                  <c:v>14</c:v>
                </c:pt>
                <c:pt idx="1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5-42E4-93B3-75A005890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だいち!$K$2:$K$612</c:f>
              <c:numCache>
                <c:formatCode>General</c:formatCode>
                <c:ptCount val="6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</c:numCache>
            </c:numRef>
          </c:xVal>
          <c:yVal>
            <c:numRef>
              <c:f>だいち!$L$2:$L$612</c:f>
              <c:numCache>
                <c:formatCode>\+0.0;\-0.0;\±0</c:formatCode>
                <c:ptCount val="61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5137.5</c:v>
                </c:pt>
                <c:pt idx="541">
                  <c:v>5155.7999999999993</c:v>
                </c:pt>
                <c:pt idx="542">
                  <c:v>5175</c:v>
                </c:pt>
                <c:pt idx="543">
                  <c:v>5175.5999999999995</c:v>
                </c:pt>
                <c:pt idx="544">
                  <c:v>5140.3999999999996</c:v>
                </c:pt>
                <c:pt idx="545">
                  <c:v>5181</c:v>
                </c:pt>
                <c:pt idx="546">
                  <c:v>5213.3999999999996</c:v>
                </c:pt>
                <c:pt idx="547">
                  <c:v>5181.7</c:v>
                </c:pt>
                <c:pt idx="548">
                  <c:v>5139</c:v>
                </c:pt>
                <c:pt idx="549">
                  <c:v>5163.0999999999995</c:v>
                </c:pt>
                <c:pt idx="550">
                  <c:v>5187.8999999999996</c:v>
                </c:pt>
                <c:pt idx="551">
                  <c:v>5213.3999999999996</c:v>
                </c:pt>
                <c:pt idx="552">
                  <c:v>5238.2</c:v>
                </c:pt>
                <c:pt idx="553">
                  <c:v>5213.2</c:v>
                </c:pt>
                <c:pt idx="554">
                  <c:v>5183.7</c:v>
                </c:pt>
                <c:pt idx="555">
                  <c:v>5216.2</c:v>
                </c:pt>
                <c:pt idx="556">
                  <c:v>5193.7999999999993</c:v>
                </c:pt>
                <c:pt idx="557">
                  <c:v>5209</c:v>
                </c:pt>
                <c:pt idx="558">
                  <c:v>5158.5</c:v>
                </c:pt>
                <c:pt idx="559">
                  <c:v>5185.2999999999993</c:v>
                </c:pt>
                <c:pt idx="560">
                  <c:v>5183.5</c:v>
                </c:pt>
                <c:pt idx="561">
                  <c:v>5203.3999999999996</c:v>
                </c:pt>
                <c:pt idx="562">
                  <c:v>5166.7</c:v>
                </c:pt>
                <c:pt idx="563">
                  <c:v>5187.2999999999993</c:v>
                </c:pt>
                <c:pt idx="564">
                  <c:v>5191.2999999999993</c:v>
                </c:pt>
                <c:pt idx="565">
                  <c:v>5207.7999999999993</c:v>
                </c:pt>
                <c:pt idx="566">
                  <c:v>5168.7999999999993</c:v>
                </c:pt>
                <c:pt idx="567">
                  <c:v>5123.2</c:v>
                </c:pt>
                <c:pt idx="568">
                  <c:v>5157.2999999999993</c:v>
                </c:pt>
                <c:pt idx="569">
                  <c:v>5185</c:v>
                </c:pt>
                <c:pt idx="570">
                  <c:v>5220.8999999999996</c:v>
                </c:pt>
                <c:pt idx="571">
                  <c:v>5242.5999999999995</c:v>
                </c:pt>
                <c:pt idx="572">
                  <c:v>5262.0999999999995</c:v>
                </c:pt>
                <c:pt idx="573">
                  <c:v>5275.7</c:v>
                </c:pt>
                <c:pt idx="574">
                  <c:v>5317.5999999999995</c:v>
                </c:pt>
                <c:pt idx="575">
                  <c:v>5301.0999999999995</c:v>
                </c:pt>
                <c:pt idx="576">
                  <c:v>5350.0999999999995</c:v>
                </c:pt>
                <c:pt idx="577">
                  <c:v>5394.5</c:v>
                </c:pt>
                <c:pt idx="578">
                  <c:v>5354.2999999999993</c:v>
                </c:pt>
                <c:pt idx="579">
                  <c:v>5404.2999999999993</c:v>
                </c:pt>
                <c:pt idx="580">
                  <c:v>5528.4</c:v>
                </c:pt>
                <c:pt idx="581">
                  <c:v>5535.4</c:v>
                </c:pt>
                <c:pt idx="582">
                  <c:v>5521.2999999999993</c:v>
                </c:pt>
                <c:pt idx="583">
                  <c:v>5591.9</c:v>
                </c:pt>
                <c:pt idx="584">
                  <c:v>5560.9</c:v>
                </c:pt>
                <c:pt idx="585">
                  <c:v>5537.2999999999993</c:v>
                </c:pt>
                <c:pt idx="586">
                  <c:v>5540.5</c:v>
                </c:pt>
                <c:pt idx="587">
                  <c:v>5552</c:v>
                </c:pt>
                <c:pt idx="588">
                  <c:v>5622.5999999999995</c:v>
                </c:pt>
                <c:pt idx="589">
                  <c:v>5628.4</c:v>
                </c:pt>
                <c:pt idx="590">
                  <c:v>5675.2999999999993</c:v>
                </c:pt>
                <c:pt idx="591">
                  <c:v>5682.7</c:v>
                </c:pt>
                <c:pt idx="592">
                  <c:v>5684.0999999999995</c:v>
                </c:pt>
                <c:pt idx="593">
                  <c:v>5680.2</c:v>
                </c:pt>
                <c:pt idx="594">
                  <c:v>5697</c:v>
                </c:pt>
                <c:pt idx="595">
                  <c:v>5704.7</c:v>
                </c:pt>
                <c:pt idx="596">
                  <c:v>5663.9</c:v>
                </c:pt>
                <c:pt idx="597">
                  <c:v>5707.5999999999995</c:v>
                </c:pt>
                <c:pt idx="598">
                  <c:v>5708.7</c:v>
                </c:pt>
                <c:pt idx="599">
                  <c:v>5747.0999999999995</c:v>
                </c:pt>
                <c:pt idx="600">
                  <c:v>5714.2999999999993</c:v>
                </c:pt>
                <c:pt idx="601">
                  <c:v>5740.5999999999995</c:v>
                </c:pt>
                <c:pt idx="602">
                  <c:v>5762.0999999999995</c:v>
                </c:pt>
                <c:pt idx="603">
                  <c:v>5753.4</c:v>
                </c:pt>
                <c:pt idx="604">
                  <c:v>5730.7999999999993</c:v>
                </c:pt>
                <c:pt idx="605">
                  <c:v>5735.5</c:v>
                </c:pt>
                <c:pt idx="606">
                  <c:v>5757.7</c:v>
                </c:pt>
                <c:pt idx="607">
                  <c:v>5709.2</c:v>
                </c:pt>
                <c:pt idx="608">
                  <c:v>5775.4</c:v>
                </c:pt>
                <c:pt idx="609">
                  <c:v>5829.6</c:v>
                </c:pt>
                <c:pt idx="610">
                  <c:v>5845.3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D-4CE1-829C-E31E090B8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1308.955223880597</c:v>
                </c:pt>
                <c:pt idx="1">
                  <c:v>1098.8054607508532</c:v>
                </c:pt>
                <c:pt idx="2">
                  <c:v>1322.3423423423424</c:v>
                </c:pt>
                <c:pt idx="3">
                  <c:v>1842.4063116370808</c:v>
                </c:pt>
                <c:pt idx="4">
                  <c:v>1517.4392935982339</c:v>
                </c:pt>
                <c:pt idx="5">
                  <c:v>1698.4042553191489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F-474C-A2CF-C2085A162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95</c:v>
                </c:pt>
                <c:pt idx="1">
                  <c:v>201</c:v>
                </c:pt>
                <c:pt idx="2">
                  <c:v>295</c:v>
                </c:pt>
                <c:pt idx="3">
                  <c:v>308</c:v>
                </c:pt>
                <c:pt idx="4">
                  <c:v>223</c:v>
                </c:pt>
                <c:pt idx="5">
                  <c:v>167</c:v>
                </c:pt>
                <c:pt idx="6">
                  <c:v>106</c:v>
                </c:pt>
                <c:pt idx="7">
                  <c:v>48</c:v>
                </c:pt>
                <c:pt idx="8">
                  <c:v>30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30F-8B0B-9756EF0D4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0-494E-B0FE-614B55923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1-4A5C-98C8-F49536BCB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1C-4729-BB0B-51A5F02E3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5-4C4F-A2BE-3325BA1A6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B-49C6-B2A6-07B0983F6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2-40A7-AC9B-07FA5B50B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りくと!$K$2:$K$381</c:f>
              <c:numCache>
                <c:formatCode>General</c:formatCode>
                <c:ptCount val="3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</c:numCache>
            </c:numRef>
          </c:xVal>
          <c:yVal>
            <c:numRef>
              <c:f>りくと!$L$2:$L$381</c:f>
              <c:numCache>
                <c:formatCode>\+0.0;\-0.0;\±0</c:formatCode>
                <c:ptCount val="38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-1314.4999999999998</c:v>
                </c:pt>
                <c:pt idx="341">
                  <c:v>-1342.2999999999997</c:v>
                </c:pt>
                <c:pt idx="342">
                  <c:v>-1329.8999999999999</c:v>
                </c:pt>
                <c:pt idx="343">
                  <c:v>-1338.6999999999998</c:v>
                </c:pt>
                <c:pt idx="344">
                  <c:v>-1323.1</c:v>
                </c:pt>
                <c:pt idx="345">
                  <c:v>-1304.6999999999998</c:v>
                </c:pt>
                <c:pt idx="346">
                  <c:v>-1346.1</c:v>
                </c:pt>
                <c:pt idx="347">
                  <c:v>-1342.1</c:v>
                </c:pt>
                <c:pt idx="348">
                  <c:v>-1346.6</c:v>
                </c:pt>
                <c:pt idx="349">
                  <c:v>-1377.1</c:v>
                </c:pt>
                <c:pt idx="350">
                  <c:v>-1408.3999999999999</c:v>
                </c:pt>
                <c:pt idx="351">
                  <c:v>-1430.7999999999997</c:v>
                </c:pt>
                <c:pt idx="352">
                  <c:v>-1429.4999999999998</c:v>
                </c:pt>
                <c:pt idx="353">
                  <c:v>-1423.8999999999996</c:v>
                </c:pt>
                <c:pt idx="354">
                  <c:v>-1435.0999999999997</c:v>
                </c:pt>
                <c:pt idx="355">
                  <c:v>-1481.7999999999997</c:v>
                </c:pt>
                <c:pt idx="356">
                  <c:v>-1478.6999999999998</c:v>
                </c:pt>
                <c:pt idx="357">
                  <c:v>-1492.4999999999998</c:v>
                </c:pt>
                <c:pt idx="358">
                  <c:v>-1481.5999999999997</c:v>
                </c:pt>
                <c:pt idx="359">
                  <c:v>-1464.4999999999998</c:v>
                </c:pt>
                <c:pt idx="360">
                  <c:v>-1518.9999999999998</c:v>
                </c:pt>
                <c:pt idx="361">
                  <c:v>-1475.7999999999997</c:v>
                </c:pt>
                <c:pt idx="362">
                  <c:v>-1471.0999999999997</c:v>
                </c:pt>
                <c:pt idx="363">
                  <c:v>-1454.1999999999998</c:v>
                </c:pt>
                <c:pt idx="364">
                  <c:v>-1451.1999999999998</c:v>
                </c:pt>
                <c:pt idx="365">
                  <c:v>-1476.9999999999998</c:v>
                </c:pt>
                <c:pt idx="366">
                  <c:v>-1526.4999999999998</c:v>
                </c:pt>
                <c:pt idx="367">
                  <c:v>-1531.2999999999997</c:v>
                </c:pt>
                <c:pt idx="368">
                  <c:v>-1579.4999999999998</c:v>
                </c:pt>
                <c:pt idx="369">
                  <c:v>-1534.9999999999998</c:v>
                </c:pt>
                <c:pt idx="370">
                  <c:v>-1498.7999999999997</c:v>
                </c:pt>
                <c:pt idx="371">
                  <c:v>-1543.6</c:v>
                </c:pt>
                <c:pt idx="372">
                  <c:v>-1519.6</c:v>
                </c:pt>
                <c:pt idx="373">
                  <c:v>-1555.2999999999997</c:v>
                </c:pt>
                <c:pt idx="374">
                  <c:v>-1554.9999999999998</c:v>
                </c:pt>
                <c:pt idx="375">
                  <c:v>-1564.6</c:v>
                </c:pt>
                <c:pt idx="376">
                  <c:v>-1535.6999999999998</c:v>
                </c:pt>
                <c:pt idx="377">
                  <c:v>-1562.4999999999998</c:v>
                </c:pt>
                <c:pt idx="378">
                  <c:v>-1584.1</c:v>
                </c:pt>
                <c:pt idx="379">
                  <c:v>-1582.9999999999998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57-4A1D-9F3A-00D0AFAD2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-146.93333333333334</c:v>
                </c:pt>
                <c:pt idx="1">
                  <c:v>-1391.8032786885246</c:v>
                </c:pt>
                <c:pt idx="2">
                  <c:v>458.33333333333331</c:v>
                </c:pt>
                <c:pt idx="3">
                  <c:v>-747.16981132075466</c:v>
                </c:pt>
                <c:pt idx="4">
                  <c:v>-1201.7730496453901</c:v>
                </c:pt>
                <c:pt idx="5">
                  <c:v>-952.91666666666663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8-4998-AF5E-59291C985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41</c:v>
                </c:pt>
                <c:pt idx="1">
                  <c:v>97</c:v>
                </c:pt>
                <c:pt idx="2">
                  <c:v>151</c:v>
                </c:pt>
                <c:pt idx="3">
                  <c:v>142</c:v>
                </c:pt>
                <c:pt idx="4">
                  <c:v>128</c:v>
                </c:pt>
                <c:pt idx="5">
                  <c:v>92</c:v>
                </c:pt>
                <c:pt idx="6">
                  <c:v>57</c:v>
                </c:pt>
                <c:pt idx="7">
                  <c:v>27</c:v>
                </c:pt>
                <c:pt idx="8">
                  <c:v>13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E9-402F-B520-76347F058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00B-A5D9-F034DA95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9-4655-8ED7-EDEEF9648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8F-4493-A97E-66AB7F33F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1-4AC8-9DD5-12C7E8E2C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4-4BE6-8BB2-559631574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B-4D8E-94D3-ABB1DE428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たかの!$L$2:$L$248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E-4AD1-888D-8089CFCD3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-17.073170731707318</c:v>
                </c:pt>
                <c:pt idx="1">
                  <c:v>-1648.3333333333333</c:v>
                </c:pt>
                <c:pt idx="2">
                  <c:v>-1230.909090909091</c:v>
                </c:pt>
                <c:pt idx="3">
                  <c:v>-110.90047393364929</c:v>
                </c:pt>
                <c:pt idx="4">
                  <c:v>-537.3056994818653</c:v>
                </c:pt>
                <c:pt idx="5">
                  <c:v>-1009.2592592592592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D2-4F76-8B08-A775B5153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113</c:v>
                </c:pt>
                <c:pt idx="3">
                  <c:v>107</c:v>
                </c:pt>
                <c:pt idx="4">
                  <c:v>83</c:v>
                </c:pt>
                <c:pt idx="5">
                  <c:v>36</c:v>
                </c:pt>
                <c:pt idx="6">
                  <c:v>21</c:v>
                </c:pt>
                <c:pt idx="7">
                  <c:v>15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E7-4609-92A0-7892C8EF8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ただ!$K$2:$K$426</c:f>
              <c:numCache>
                <c:formatCode>General</c:formatCode>
                <c:ptCount val="4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</c:numCache>
            </c:numRef>
          </c:xVal>
          <c:yVal>
            <c:numRef>
              <c:f>ただ!$L$2:$L$426</c:f>
              <c:numCache>
                <c:formatCode>\+0.0;\-0.0;\±0</c:formatCode>
                <c:ptCount val="42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B-47DF-AE32-7F802B15D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-809.04761904761904</c:v>
                </c:pt>
                <c:pt idx="1">
                  <c:v>-28.255528255528255</c:v>
                </c:pt>
                <c:pt idx="2">
                  <c:v>406.82414698162728</c:v>
                </c:pt>
                <c:pt idx="3">
                  <c:v>-1097.7401129943503</c:v>
                </c:pt>
                <c:pt idx="4">
                  <c:v>16.403785488958992</c:v>
                </c:pt>
                <c:pt idx="5">
                  <c:v>72.527472527472526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D3-4503-BA76-96E6C012C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54</c:v>
                </c:pt>
                <c:pt idx="1">
                  <c:v>155</c:v>
                </c:pt>
                <c:pt idx="2">
                  <c:v>211</c:v>
                </c:pt>
                <c:pt idx="3">
                  <c:v>190</c:v>
                </c:pt>
                <c:pt idx="4">
                  <c:v>138</c:v>
                </c:pt>
                <c:pt idx="5">
                  <c:v>95</c:v>
                </c:pt>
                <c:pt idx="6">
                  <c:v>46</c:v>
                </c:pt>
                <c:pt idx="7">
                  <c:v>35</c:v>
                </c:pt>
                <c:pt idx="8">
                  <c:v>17</c:v>
                </c:pt>
                <c:pt idx="9">
                  <c:v>12</c:v>
                </c:pt>
                <c:pt idx="10">
                  <c:v>8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C6-4B8E-865D-2E13BAFB0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5-4470-A7B6-9B1C598A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A-4545-B488-F11FD2979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0-4579-8038-AA14DECFB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れんたろう!$K$2:$K$323</c:f>
              <c:numCache>
                <c:formatCode>General</c:formatCode>
                <c:ptCount val="3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</c:numCache>
            </c:numRef>
          </c:xVal>
          <c:yVal>
            <c:numRef>
              <c:f>れんたろう!$L$2:$L$323</c:f>
              <c:numCache>
                <c:formatCode>\+0.0;\-0.0;\±0</c:formatCode>
                <c:ptCount val="32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AE-4DD2-868B-E1AB4671D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100.63091482649843</c:v>
                </c:pt>
                <c:pt idx="1">
                  <c:v>-165.16129032258064</c:v>
                </c:pt>
                <c:pt idx="2">
                  <c:v>488.15331010452962</c:v>
                </c:pt>
                <c:pt idx="3">
                  <c:v>683.14176245210729</c:v>
                </c:pt>
                <c:pt idx="4">
                  <c:v>-1618.1434599156119</c:v>
                </c:pt>
                <c:pt idx="5">
                  <c:v>131.65829145728642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28-4ED7-A41B-263BF39C2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24</c:v>
                </c:pt>
                <c:pt idx="1">
                  <c:v>76</c:v>
                </c:pt>
                <c:pt idx="2">
                  <c:v>108</c:v>
                </c:pt>
                <c:pt idx="3">
                  <c:v>144</c:v>
                </c:pt>
                <c:pt idx="4">
                  <c:v>140</c:v>
                </c:pt>
                <c:pt idx="5">
                  <c:v>80</c:v>
                </c:pt>
                <c:pt idx="6">
                  <c:v>61</c:v>
                </c:pt>
                <c:pt idx="7">
                  <c:v>32</c:v>
                </c:pt>
                <c:pt idx="8">
                  <c:v>23</c:v>
                </c:pt>
                <c:pt idx="9">
                  <c:v>11</c:v>
                </c:pt>
                <c:pt idx="10">
                  <c:v>6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F-48A1-8321-F0A8C210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CE-4981-AD9C-6D4C19E32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2-4C35-B6C1-630721223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5-468B-84EB-B7EA62CA5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まっつん!$K$2:$K$260</c:f>
              <c:numCache>
                <c:formatCode>General</c:formatCode>
                <c:ptCount val="2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</c:numCache>
            </c:numRef>
          </c:xVal>
          <c:yVal>
            <c:numRef>
              <c:f>まっつん!$L$2:$L$260</c:f>
              <c:numCache>
                <c:formatCode>\+0.0;\-0.0;\±0</c:formatCode>
                <c:ptCount val="25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-456.09999999999997</c:v>
                </c:pt>
                <c:pt idx="196">
                  <c:v>-449.29999999999995</c:v>
                </c:pt>
                <c:pt idx="197">
                  <c:v>-465.4</c:v>
                </c:pt>
                <c:pt idx="198">
                  <c:v>-458.79999999999995</c:v>
                </c:pt>
                <c:pt idx="199">
                  <c:v>-454.4</c:v>
                </c:pt>
                <c:pt idx="200">
                  <c:v>-456</c:v>
                </c:pt>
                <c:pt idx="201">
                  <c:v>-447.4</c:v>
                </c:pt>
                <c:pt idx="202">
                  <c:v>-385.9</c:v>
                </c:pt>
                <c:pt idx="203">
                  <c:v>-420.79999999999995</c:v>
                </c:pt>
                <c:pt idx="204">
                  <c:v>-408.59999999999997</c:v>
                </c:pt>
                <c:pt idx="205">
                  <c:v>-428.59999999999997</c:v>
                </c:pt>
                <c:pt idx="206">
                  <c:v>-416</c:v>
                </c:pt>
                <c:pt idx="207">
                  <c:v>-390.4</c:v>
                </c:pt>
                <c:pt idx="208">
                  <c:v>-391</c:v>
                </c:pt>
                <c:pt idx="209">
                  <c:v>-397.79999999999995</c:v>
                </c:pt>
                <c:pt idx="210">
                  <c:v>-388.7</c:v>
                </c:pt>
                <c:pt idx="211">
                  <c:v>-391.7</c:v>
                </c:pt>
                <c:pt idx="212">
                  <c:v>-410</c:v>
                </c:pt>
                <c:pt idx="213">
                  <c:v>-361.09999999999997</c:v>
                </c:pt>
                <c:pt idx="214">
                  <c:v>-401.2</c:v>
                </c:pt>
                <c:pt idx="215">
                  <c:v>-384.59999999999997</c:v>
                </c:pt>
                <c:pt idx="216">
                  <c:v>-359.79999999999995</c:v>
                </c:pt>
                <c:pt idx="217">
                  <c:v>-320.5</c:v>
                </c:pt>
                <c:pt idx="218">
                  <c:v>-376.4</c:v>
                </c:pt>
                <c:pt idx="219">
                  <c:v>-370.4</c:v>
                </c:pt>
                <c:pt idx="220">
                  <c:v>-385.7</c:v>
                </c:pt>
                <c:pt idx="221">
                  <c:v>-351.09999999999997</c:v>
                </c:pt>
                <c:pt idx="222">
                  <c:v>-357.59999999999997</c:v>
                </c:pt>
                <c:pt idx="223">
                  <c:v>-382.9</c:v>
                </c:pt>
                <c:pt idx="224">
                  <c:v>-403.79999999999995</c:v>
                </c:pt>
                <c:pt idx="225">
                  <c:v>-400.29999999999995</c:v>
                </c:pt>
                <c:pt idx="226">
                  <c:v>-433.29999999999995</c:v>
                </c:pt>
                <c:pt idx="227">
                  <c:v>-457.4</c:v>
                </c:pt>
                <c:pt idx="228">
                  <c:v>-447.09999999999997</c:v>
                </c:pt>
                <c:pt idx="229">
                  <c:v>-451.5</c:v>
                </c:pt>
                <c:pt idx="230">
                  <c:v>-465.7</c:v>
                </c:pt>
                <c:pt idx="231">
                  <c:v>-463.2</c:v>
                </c:pt>
                <c:pt idx="232">
                  <c:v>-433.09999999999997</c:v>
                </c:pt>
                <c:pt idx="233">
                  <c:v>-435</c:v>
                </c:pt>
                <c:pt idx="234">
                  <c:v>-425.7</c:v>
                </c:pt>
                <c:pt idx="235">
                  <c:v>-484.79999999999995</c:v>
                </c:pt>
                <c:pt idx="236">
                  <c:v>-530.9</c:v>
                </c:pt>
                <c:pt idx="237">
                  <c:v>-567.5</c:v>
                </c:pt>
                <c:pt idx="238">
                  <c:v>-563.29999999999995</c:v>
                </c:pt>
                <c:pt idx="239">
                  <c:v>-513.5</c:v>
                </c:pt>
                <c:pt idx="240">
                  <c:v>-514.70000000000005</c:v>
                </c:pt>
                <c:pt idx="241">
                  <c:v>-526.1</c:v>
                </c:pt>
                <c:pt idx="242">
                  <c:v>-517.29999999999995</c:v>
                </c:pt>
                <c:pt idx="243">
                  <c:v>-494.9</c:v>
                </c:pt>
                <c:pt idx="244">
                  <c:v>-481.3</c:v>
                </c:pt>
                <c:pt idx="245">
                  <c:v>-454.90000000000003</c:v>
                </c:pt>
                <c:pt idx="246">
                  <c:v>-460.7</c:v>
                </c:pt>
                <c:pt idx="247">
                  <c:v>-517.1</c:v>
                </c:pt>
                <c:pt idx="248">
                  <c:v>-455.1</c:v>
                </c:pt>
                <c:pt idx="249">
                  <c:v>-452.4</c:v>
                </c:pt>
                <c:pt idx="250">
                  <c:v>-414.6</c:v>
                </c:pt>
                <c:pt idx="251">
                  <c:v>-388.7</c:v>
                </c:pt>
                <c:pt idx="252">
                  <c:v>-401.6</c:v>
                </c:pt>
                <c:pt idx="253">
                  <c:v>-365.6</c:v>
                </c:pt>
                <c:pt idx="254">
                  <c:v>-345.2</c:v>
                </c:pt>
                <c:pt idx="255">
                  <c:v>-383.5</c:v>
                </c:pt>
                <c:pt idx="256">
                  <c:v>-376.1</c:v>
                </c:pt>
                <c:pt idx="257">
                  <c:v>-402.90000000000003</c:v>
                </c:pt>
                <c:pt idx="258">
                  <c:v>-423.1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98-4A09-8567-08DE9738C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140.85603112840468</c:v>
                </c:pt>
                <c:pt idx="1">
                  <c:v>822.4</c:v>
                </c:pt>
                <c:pt idx="2">
                  <c:v>-1071.6738197424893</c:v>
                </c:pt>
                <c:pt idx="3">
                  <c:v>-203.24074074074073</c:v>
                </c:pt>
                <c:pt idx="4">
                  <c:v>-1709.1836734693877</c:v>
                </c:pt>
                <c:pt idx="5">
                  <c:v>-124.69135802469135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67-4923-BED5-2474818D7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40</c:v>
                </c:pt>
                <c:pt idx="1">
                  <c:v>88</c:v>
                </c:pt>
                <c:pt idx="2">
                  <c:v>107</c:v>
                </c:pt>
                <c:pt idx="3">
                  <c:v>93</c:v>
                </c:pt>
                <c:pt idx="4">
                  <c:v>96</c:v>
                </c:pt>
                <c:pt idx="5">
                  <c:v>57</c:v>
                </c:pt>
                <c:pt idx="6">
                  <c:v>33</c:v>
                </c:pt>
                <c:pt idx="7">
                  <c:v>16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E-403C-8CC3-5DE514293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ぱぱ!$L$2:$L$99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A-41DA-861C-EAB2FBAAC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-2812.5</c:v>
                </c:pt>
                <c:pt idx="1">
                  <c:v>389.58333333333331</c:v>
                </c:pt>
                <c:pt idx="2">
                  <c:v>-1573.9130434782608</c:v>
                </c:pt>
                <c:pt idx="3">
                  <c:v>-3184.5238095238096</c:v>
                </c:pt>
                <c:pt idx="4">
                  <c:v>1229.3333333333333</c:v>
                </c:pt>
                <c:pt idx="5">
                  <c:v>84.848484848484844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58-4A7C-9B30-ACCEA25CC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26</c:v>
                </c:pt>
                <c:pt idx="1">
                  <c:v>44</c:v>
                </c:pt>
                <c:pt idx="2">
                  <c:v>39</c:v>
                </c:pt>
                <c:pt idx="3">
                  <c:v>38</c:v>
                </c:pt>
                <c:pt idx="4">
                  <c:v>34</c:v>
                </c:pt>
                <c:pt idx="5">
                  <c:v>22</c:v>
                </c:pt>
                <c:pt idx="6">
                  <c:v>9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68-4E32-9B6D-6DCC79DF0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AC-4C09-B2F6-4BD98A631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E-43B5-8646-CF7420E9B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FD7-B344-F0C1A2D1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CB-44C9-BE27-0EF367644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D8-4A50-B4F2-BA38A8522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B-4F8E-AD43-3386D63AE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のり!$L$2:$L$53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D-47E2-8892-1D38218C8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-2923.5294117647059</c:v>
                </c:pt>
                <c:pt idx="1">
                  <c:v>-817.64705882352939</c:v>
                </c:pt>
                <c:pt idx="2">
                  <c:v>-1384</c:v>
                </c:pt>
                <c:pt idx="3">
                  <c:v>-2036.9565217391305</c:v>
                </c:pt>
                <c:pt idx="4">
                  <c:v>-1572.0930232558139</c:v>
                </c:pt>
                <c:pt idx="5">
                  <c:v>-3800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B-4862-99B7-99F2A86F2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23</c:v>
                </c:pt>
                <c:pt idx="3">
                  <c:v>15</c:v>
                </c:pt>
                <c:pt idx="4">
                  <c:v>14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C-4671-8303-1F130D294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B-48BD-86E8-977569C01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2-4622-B189-FDE60FCD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3-4E82-A2DA-7B51E8EA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A156CB-1FAD-4189-9250-4078AB3EEA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24CD4F-AABF-4251-919C-F53ACDEEFF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FBEB9D-8E8A-4FD5-B424-EE9080D9C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758B13-EA19-4D37-BCE6-1EC39D43C0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D78B73-F21B-4BDC-A441-2943D46E1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9CD191-1E25-4CF8-B9CD-F5A2996435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E67E4D-BCBB-4CEA-B2A4-C3CC958D6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F3EB04-100B-4C3F-8809-A69D57D08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854A7F-8E5F-4B51-AA50-61464299F2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2A9DA9-83F8-4586-8A1B-1F42CC3A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00180F-E6C8-46E9-8AE5-E0F89B7E4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28156C-CBBA-4F5E-B5E9-7AF2CEAA6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CF347C-5B87-4917-B633-C6A3E21E6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F1855D6-69F8-4F00-89B7-DD48F1C799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FF9558-CCAF-4A2D-A744-32AAE4B3A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CE9A25-C921-4CA1-B96B-7FBAA687C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B49B82-9F6F-43D6-BA0E-717842731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CF332A6-7A65-4CE9-B37D-D5D82C67C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10E9A2-F55F-4B8D-BD8A-AF93A8A507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359A69-4E38-464F-97B8-03158E7AD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569BEA-DAD2-4AB7-BB9A-B0BFBA6712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74D587-5F51-43E2-B7EC-BD4220214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CCA59B-3A3E-4EA7-AED3-DD2F3A9007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9EB87DA-03EA-4742-BDD0-087EBDF10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023DFC-F06D-4B88-B55D-AFF001C3B2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EC6EBB-896E-4E43-8629-19CDB7C469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FAFDC6-11A5-4F90-8323-DEF0706D6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E584C0-11D5-465C-881F-A160D96459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6A7BD4-5EE6-4532-8919-ADF1FE4CB8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FDFFAB3-013C-4462-AB71-30DC4B63D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7F812D5-F533-4BF0-8D40-08539BCF0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C626D3-4F31-42EC-99CF-98FE026B6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75A33E-1733-4351-AB43-272E9FD37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057CDD-B0D6-40BA-8B10-0CF27A466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7152C3-0D06-4263-A28C-AAF2BA31F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EF6282-0B33-41F5-A36D-8377AB8B8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17F861-161C-420D-BA58-269EA665B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6D04E8-D36D-42B0-A774-EFFC26FCE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27D4F73-23E4-4BEF-98AC-96328EB91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5B0573-978F-4883-90E3-5CE99FCE8D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B0CE5F-AA6D-4306-A4BE-7BBD115C9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5E8C604-0408-450B-A067-E98A00B1B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E05DA5-4CEB-43A1-8A94-27782397D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1CC14C2-3058-42CF-90B4-B63225F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82C7C2-A30B-4E65-88BB-00F86D56E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FB8278-40D2-470F-9AD1-83EAFA48C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1A4BBC-8498-452B-9F71-747C736833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D1D333-9347-4A7A-AA21-8DEF27142A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8203AB-EF72-4052-B780-F77E6DE22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E4E510-D21B-4981-998F-82E49DFBC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884E83-C715-4F62-8859-3582DD4AA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D73779-125A-4A74-AC64-2A5F0996F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F389195-B910-4EB9-83B8-CFF4ED7D6C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67C7044-1B59-4FCA-9A95-41F9A4010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35"/>
      <c r="C1" s="13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37">
        <v>0</v>
      </c>
      <c r="C3" s="138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">
      <c r="A4" s="20" t="s">
        <v>6</v>
      </c>
      <c r="B4" s="139">
        <v>0</v>
      </c>
      <c r="C4" s="140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">
      <c r="A5" s="20" t="s">
        <v>7</v>
      </c>
      <c r="B5" s="141">
        <f>IF(B$2=0,0,B$4/B$2)</f>
        <v>0</v>
      </c>
      <c r="C5" s="142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">
      <c r="A6" s="20" t="s">
        <v>1</v>
      </c>
      <c r="B6" s="133">
        <f>IF(B$2=0,0,(B$7*1+B$8*2+B$9*3)/B$2)</f>
        <v>0</v>
      </c>
      <c r="C6" s="134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">
      <c r="A28" s="64" t="s">
        <v>134</v>
      </c>
      <c r="B28" s="131">
        <v>0</v>
      </c>
      <c r="C28" s="132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">
      <c r="A29" s="40" t="s">
        <v>177</v>
      </c>
      <c r="B29" s="129">
        <v>-1000000</v>
      </c>
      <c r="C29" s="130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">
      <c r="A47" s="39" t="s">
        <v>182</v>
      </c>
      <c r="B47" s="125">
        <v>0</v>
      </c>
      <c r="C47" s="12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0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60" customWidth="1"/>
    <col min="8" max="8" width="10.75" style="59" customWidth="1"/>
    <col min="9" max="9" width="10.75" style="61" customWidth="1"/>
    <col min="10" max="10" width="10.75" style="59" customWidth="1"/>
    <col min="11" max="11" width="10.75" style="61" customWidth="1"/>
    <col min="12" max="12" width="10.75" style="59" customWidth="1"/>
    <col min="13" max="13" width="10.75" style="62" customWidth="1"/>
    <col min="14" max="14" width="10.75" style="59" customWidth="1"/>
    <col min="15" max="15" width="10.75" style="62" customWidth="1"/>
    <col min="16" max="16" width="10.75" style="59" customWidth="1"/>
    <col min="17" max="17" width="10.75" style="63" customWidth="1"/>
    <col min="18" max="18" width="10.75" style="59" customWidth="1"/>
    <col min="19" max="19" width="10.75" style="63" customWidth="1"/>
    <col min="20" max="20" width="10.75" style="59" customWidth="1"/>
    <col min="21" max="21" width="10.75" style="61" customWidth="1"/>
    <col min="22" max="22" width="10.75" style="59" customWidth="1"/>
    <col min="23" max="23" width="10.75" style="62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6" customWidth="1"/>
    <col min="34" max="16384" width="9" style="47"/>
  </cols>
  <sheetData>
    <row r="1" spans="1:33" x14ac:dyDescent="0.4">
      <c r="A1" s="46"/>
      <c r="B1" s="143" t="s">
        <v>6</v>
      </c>
      <c r="C1" s="144"/>
      <c r="D1" s="143" t="s">
        <v>7</v>
      </c>
      <c r="E1" s="144"/>
      <c r="F1" s="143" t="s">
        <v>15</v>
      </c>
      <c r="G1" s="144"/>
      <c r="H1" s="143" t="s">
        <v>14</v>
      </c>
      <c r="I1" s="144"/>
      <c r="J1" s="143" t="s">
        <v>147</v>
      </c>
      <c r="K1" s="144"/>
      <c r="L1" s="143" t="s">
        <v>137</v>
      </c>
      <c r="M1" s="144"/>
      <c r="N1" s="143" t="s">
        <v>138</v>
      </c>
      <c r="O1" s="144"/>
      <c r="P1" s="143" t="s">
        <v>5</v>
      </c>
      <c r="Q1" s="144"/>
      <c r="R1" s="143" t="s">
        <v>16</v>
      </c>
      <c r="S1" s="144"/>
      <c r="T1" s="143" t="s">
        <v>17</v>
      </c>
      <c r="U1" s="144"/>
      <c r="V1" s="143" t="s">
        <v>122</v>
      </c>
      <c r="W1" s="144"/>
      <c r="X1" s="143" t="s">
        <v>119</v>
      </c>
      <c r="Y1" s="144"/>
      <c r="Z1" s="143" t="s">
        <v>125</v>
      </c>
      <c r="AA1" s="144"/>
      <c r="AB1" s="143" t="s">
        <v>139</v>
      </c>
      <c r="AC1" s="144"/>
      <c r="AD1" s="143" t="s">
        <v>136</v>
      </c>
      <c r="AE1" s="144"/>
      <c r="AF1" s="143" t="s">
        <v>177</v>
      </c>
      <c r="AG1" s="144"/>
    </row>
    <row r="2" spans="1:33" x14ac:dyDescent="0.4">
      <c r="A2" s="46" t="s">
        <v>146</v>
      </c>
      <c r="B2" s="145"/>
      <c r="C2" s="146"/>
      <c r="D2" s="145"/>
      <c r="E2" s="146"/>
      <c r="F2" s="147">
        <v>0.95948339026069518</v>
      </c>
      <c r="G2" s="148"/>
      <c r="H2" s="147">
        <v>0.95572232159055681</v>
      </c>
      <c r="I2" s="148"/>
      <c r="J2" s="147">
        <v>0.9200514556835645</v>
      </c>
      <c r="K2" s="148"/>
      <c r="L2" s="147">
        <v>0.77481846680082367</v>
      </c>
      <c r="M2" s="148"/>
      <c r="N2" s="147">
        <v>0.76962087796875589</v>
      </c>
      <c r="O2" s="148"/>
      <c r="P2" s="147">
        <v>0.56727429041800592</v>
      </c>
      <c r="Q2" s="148"/>
      <c r="R2" s="147">
        <v>-0.49499860160434217</v>
      </c>
      <c r="S2" s="148"/>
      <c r="T2" s="147">
        <v>0.43831110869491274</v>
      </c>
      <c r="U2" s="148"/>
      <c r="V2" s="147">
        <v>0.70254434187995518</v>
      </c>
      <c r="W2" s="148"/>
      <c r="X2" s="147">
        <v>4.6913107360121137E-2</v>
      </c>
      <c r="Y2" s="148"/>
      <c r="Z2" s="147">
        <v>0.3382256123850273</v>
      </c>
      <c r="AA2" s="148"/>
      <c r="AB2" s="147">
        <v>0.49528762374343521</v>
      </c>
      <c r="AC2" s="148"/>
      <c r="AD2" s="147">
        <v>-0.34132873235056643</v>
      </c>
      <c r="AE2" s="148"/>
      <c r="AF2" s="147">
        <v>0.83850118028336729</v>
      </c>
      <c r="AG2" s="148"/>
    </row>
    <row r="3" spans="1:33" x14ac:dyDescent="0.4">
      <c r="A3" s="48">
        <v>1</v>
      </c>
      <c r="B3" s="49" t="s">
        <v>195</v>
      </c>
      <c r="C3" s="50">
        <v>5845.3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-7575.1592356687897</v>
      </c>
      <c r="T3" s="51" t="s">
        <v>189</v>
      </c>
      <c r="U3" s="53">
        <v>0</v>
      </c>
      <c r="V3" s="51" t="s">
        <v>189</v>
      </c>
      <c r="W3" s="54">
        <v>0.42105263157894735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1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">
      <c r="A4" s="56">
        <v>2</v>
      </c>
      <c r="B4" s="57" t="s">
        <v>196</v>
      </c>
      <c r="C4" s="58">
        <v>109</v>
      </c>
      <c r="D4" s="59" t="s">
        <v>196</v>
      </c>
      <c r="E4" s="71">
        <v>12.111111111111111</v>
      </c>
      <c r="F4" s="59" t="s">
        <v>195</v>
      </c>
      <c r="G4" s="60">
        <v>1.7557377049180327</v>
      </c>
      <c r="H4" s="59" t="s">
        <v>195</v>
      </c>
      <c r="I4" s="61">
        <v>0.46721311475409838</v>
      </c>
      <c r="J4" s="59" t="s">
        <v>196</v>
      </c>
      <c r="K4" s="61">
        <v>0.22222222222222221</v>
      </c>
      <c r="L4" s="59" t="s">
        <v>195</v>
      </c>
      <c r="M4" s="62">
        <v>0.34700642220841105</v>
      </c>
      <c r="N4" s="59" t="s">
        <v>196</v>
      </c>
      <c r="O4" s="62">
        <v>8.6956521739130432E-2</v>
      </c>
      <c r="P4" s="59" t="s">
        <v>189</v>
      </c>
      <c r="Q4" s="63">
        <v>12333.333333333334</v>
      </c>
      <c r="R4" s="59" t="s">
        <v>197</v>
      </c>
      <c r="S4" s="63">
        <v>-7947.0588235294117</v>
      </c>
      <c r="T4" s="59" t="s">
        <v>200</v>
      </c>
      <c r="U4" s="61">
        <v>0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196</v>
      </c>
      <c r="AA4" s="62">
        <v>0.61538461538461542</v>
      </c>
      <c r="AB4" s="59" t="s">
        <v>196</v>
      </c>
      <c r="AC4" s="62">
        <v>0.5</v>
      </c>
      <c r="AD4" s="59" t="s">
        <v>186</v>
      </c>
      <c r="AE4" s="62">
        <v>0.51327433628318586</v>
      </c>
      <c r="AF4" s="59" t="s">
        <v>183</v>
      </c>
      <c r="AG4" s="66">
        <v>149100</v>
      </c>
    </row>
    <row r="5" spans="1:33" x14ac:dyDescent="0.4">
      <c r="A5" s="56">
        <v>3</v>
      </c>
      <c r="B5" s="57" t="s">
        <v>192</v>
      </c>
      <c r="C5" s="58">
        <v>91.000000000000014</v>
      </c>
      <c r="D5" s="59" t="s">
        <v>195</v>
      </c>
      <c r="E5" s="71">
        <v>9.5824590163934431</v>
      </c>
      <c r="F5" s="59" t="s">
        <v>199</v>
      </c>
      <c r="G5" s="60">
        <v>1.9285714285714286</v>
      </c>
      <c r="H5" s="59" t="s">
        <v>192</v>
      </c>
      <c r="I5" s="61">
        <v>0.35897435897435898</v>
      </c>
      <c r="J5" s="59" t="s">
        <v>195</v>
      </c>
      <c r="K5" s="61">
        <v>0.22295081967213115</v>
      </c>
      <c r="L5" s="59" t="s">
        <v>194</v>
      </c>
      <c r="M5" s="62">
        <v>0.32835820895522388</v>
      </c>
      <c r="N5" s="59" t="s">
        <v>195</v>
      </c>
      <c r="O5" s="62">
        <v>0.14128858504246944</v>
      </c>
      <c r="P5" s="59" t="s">
        <v>192</v>
      </c>
      <c r="Q5" s="63">
        <v>11250.561797752809</v>
      </c>
      <c r="R5" s="59" t="s">
        <v>186</v>
      </c>
      <c r="S5" s="63">
        <v>-7985.2760736196315</v>
      </c>
      <c r="T5" s="59" t="s">
        <v>195</v>
      </c>
      <c r="U5" s="61">
        <v>8.0327868852459017E-2</v>
      </c>
      <c r="V5" s="59" t="s">
        <v>191</v>
      </c>
      <c r="W5" s="62">
        <v>0.29905437352245862</v>
      </c>
      <c r="X5" s="59" t="s">
        <v>194</v>
      </c>
      <c r="Y5" s="62">
        <v>0.27777777777777779</v>
      </c>
      <c r="Z5" s="59" t="s">
        <v>194</v>
      </c>
      <c r="AA5" s="62">
        <v>0.61386138613861385</v>
      </c>
      <c r="AB5" s="59" t="s">
        <v>195</v>
      </c>
      <c r="AC5" s="62">
        <v>0.49206349206349204</v>
      </c>
      <c r="AD5" s="59" t="s">
        <v>199</v>
      </c>
      <c r="AE5" s="62">
        <v>0.51249999999999996</v>
      </c>
      <c r="AF5" s="59" t="s">
        <v>191</v>
      </c>
      <c r="AG5" s="66">
        <v>124700</v>
      </c>
    </row>
    <row r="6" spans="1:33" x14ac:dyDescent="0.4">
      <c r="A6" s="56">
        <v>4</v>
      </c>
      <c r="B6" s="57" t="s">
        <v>200</v>
      </c>
      <c r="C6" s="58">
        <v>13.3</v>
      </c>
      <c r="D6" s="59" t="s">
        <v>192</v>
      </c>
      <c r="E6" s="71">
        <v>2.3333333333333335</v>
      </c>
      <c r="F6" s="59" t="s">
        <v>194</v>
      </c>
      <c r="G6" s="60">
        <v>1.9890109890109891</v>
      </c>
      <c r="H6" s="59" t="s">
        <v>199</v>
      </c>
      <c r="I6" s="61">
        <v>0.35714285714285715</v>
      </c>
      <c r="J6" s="59" t="s">
        <v>189</v>
      </c>
      <c r="K6" s="61">
        <v>0.25</v>
      </c>
      <c r="L6" s="59" t="s">
        <v>199</v>
      </c>
      <c r="M6" s="62">
        <v>0.31620553359683795</v>
      </c>
      <c r="N6" s="59" t="s">
        <v>187</v>
      </c>
      <c r="O6" s="62">
        <v>0.15045519885002395</v>
      </c>
      <c r="P6" s="59" t="s">
        <v>191</v>
      </c>
      <c r="Q6" s="63">
        <v>10441.200545702592</v>
      </c>
      <c r="R6" s="59" t="s">
        <v>184</v>
      </c>
      <c r="S6" s="63">
        <v>-8240</v>
      </c>
      <c r="T6" s="59" t="s">
        <v>188</v>
      </c>
      <c r="U6" s="61">
        <v>9.7560975609756101E-2</v>
      </c>
      <c r="V6" s="59" t="s">
        <v>195</v>
      </c>
      <c r="W6" s="62">
        <v>0.29512697323266984</v>
      </c>
      <c r="X6" s="59" t="s">
        <v>188</v>
      </c>
      <c r="Y6" s="62">
        <v>0.27301927194860814</v>
      </c>
      <c r="Z6" s="59" t="s">
        <v>195</v>
      </c>
      <c r="AA6" s="62">
        <v>0.61317829457364337</v>
      </c>
      <c r="AB6" s="59" t="s">
        <v>194</v>
      </c>
      <c r="AC6" s="62">
        <v>0.43333333333333335</v>
      </c>
      <c r="AD6" s="59" t="s">
        <v>200</v>
      </c>
      <c r="AE6" s="62">
        <v>0.5</v>
      </c>
      <c r="AF6" s="59" t="s">
        <v>194</v>
      </c>
      <c r="AG6" s="66">
        <v>118000</v>
      </c>
    </row>
    <row r="7" spans="1:33" x14ac:dyDescent="0.4">
      <c r="A7" s="56">
        <v>5</v>
      </c>
      <c r="B7" s="57" t="s">
        <v>183</v>
      </c>
      <c r="C7" s="58">
        <v>5.8619775700208265E-14</v>
      </c>
      <c r="D7" s="59" t="s">
        <v>183</v>
      </c>
      <c r="E7" s="71">
        <v>2.280037950222025E-17</v>
      </c>
      <c r="F7" s="59" t="s">
        <v>183</v>
      </c>
      <c r="G7" s="60">
        <v>1.9988331388564762</v>
      </c>
      <c r="H7" s="59" t="s">
        <v>194</v>
      </c>
      <c r="I7" s="61">
        <v>0.34065934065934067</v>
      </c>
      <c r="J7" s="59" t="s">
        <v>199</v>
      </c>
      <c r="K7" s="61">
        <v>0.2857142857142857</v>
      </c>
      <c r="L7" s="59" t="s">
        <v>198</v>
      </c>
      <c r="M7" s="62">
        <v>0.3125</v>
      </c>
      <c r="N7" s="59" t="s">
        <v>198</v>
      </c>
      <c r="O7" s="62">
        <v>0.15625</v>
      </c>
      <c r="P7" s="59" t="s">
        <v>190</v>
      </c>
      <c r="Q7" s="63">
        <v>9389.8916967509031</v>
      </c>
      <c r="R7" s="59" t="s">
        <v>190</v>
      </c>
      <c r="S7" s="63">
        <v>-8341.3080895008607</v>
      </c>
      <c r="T7" s="59" t="s">
        <v>196</v>
      </c>
      <c r="U7" s="61">
        <v>0.1111111111111111</v>
      </c>
      <c r="V7" s="59" t="s">
        <v>190</v>
      </c>
      <c r="W7" s="62">
        <v>0.29183018194791294</v>
      </c>
      <c r="X7" s="59" t="s">
        <v>193</v>
      </c>
      <c r="Y7" s="62">
        <v>0.23944926668662078</v>
      </c>
      <c r="Z7" s="59" t="s">
        <v>199</v>
      </c>
      <c r="AA7" s="62">
        <v>0.58730158730158732</v>
      </c>
      <c r="AB7" s="59" t="s">
        <v>183</v>
      </c>
      <c r="AC7" s="62">
        <v>0.40290806754221387</v>
      </c>
      <c r="AD7" s="59" t="s">
        <v>192</v>
      </c>
      <c r="AE7" s="62">
        <v>0.48314606741573035</v>
      </c>
      <c r="AF7" s="59" t="s">
        <v>186</v>
      </c>
      <c r="AG7" s="66">
        <v>113300</v>
      </c>
    </row>
    <row r="8" spans="1:33" x14ac:dyDescent="0.4">
      <c r="A8" s="56">
        <v>6</v>
      </c>
      <c r="B8" s="57" t="s">
        <v>194</v>
      </c>
      <c r="C8" s="58">
        <v>-3.4999999999999893</v>
      </c>
      <c r="D8" s="59" t="s">
        <v>194</v>
      </c>
      <c r="E8" s="71">
        <v>-3.8461538461538346E-2</v>
      </c>
      <c r="F8" s="59" t="s">
        <v>189</v>
      </c>
      <c r="G8" s="60">
        <v>2</v>
      </c>
      <c r="H8" s="59" t="s">
        <v>193</v>
      </c>
      <c r="I8" s="61">
        <v>0.33490566037735847</v>
      </c>
      <c r="J8" s="59" t="s">
        <v>194</v>
      </c>
      <c r="K8" s="61">
        <v>0.32967032967032966</v>
      </c>
      <c r="L8" s="59" t="s">
        <v>188</v>
      </c>
      <c r="M8" s="62">
        <v>0.298828125</v>
      </c>
      <c r="N8" s="59" t="s">
        <v>188</v>
      </c>
      <c r="O8" s="62">
        <v>0.16162109375</v>
      </c>
      <c r="P8" s="59" t="s">
        <v>194</v>
      </c>
      <c r="Q8" s="63">
        <v>9344.0909090909099</v>
      </c>
      <c r="R8" s="59" t="s">
        <v>196</v>
      </c>
      <c r="S8" s="63">
        <v>-8400</v>
      </c>
      <c r="T8" s="59" t="s">
        <v>183</v>
      </c>
      <c r="U8" s="61">
        <v>0.12407623492804357</v>
      </c>
      <c r="V8" s="59" t="s">
        <v>192</v>
      </c>
      <c r="W8" s="62">
        <v>0.27777777777777779</v>
      </c>
      <c r="X8" s="59" t="s">
        <v>192</v>
      </c>
      <c r="Y8" s="62">
        <v>0.23931623931623933</v>
      </c>
      <c r="Z8" s="59" t="s">
        <v>187</v>
      </c>
      <c r="AA8" s="62">
        <v>0.58108108108108103</v>
      </c>
      <c r="AB8" s="59" t="s">
        <v>191</v>
      </c>
      <c r="AC8" s="62">
        <v>0.40126050420168069</v>
      </c>
      <c r="AD8" s="59" t="s">
        <v>197</v>
      </c>
      <c r="AE8" s="62">
        <v>0.46666666666666667</v>
      </c>
      <c r="AF8" s="59" t="s">
        <v>193</v>
      </c>
      <c r="AG8" s="66">
        <v>109300</v>
      </c>
    </row>
    <row r="9" spans="1:33" x14ac:dyDescent="0.4">
      <c r="A9" s="56">
        <v>7</v>
      </c>
      <c r="B9" s="57" t="s">
        <v>189</v>
      </c>
      <c r="C9" s="58">
        <v>-15.5</v>
      </c>
      <c r="D9" s="59" t="s">
        <v>191</v>
      </c>
      <c r="E9" s="71">
        <v>-0.24766355140186844</v>
      </c>
      <c r="F9" s="59" t="s">
        <v>200</v>
      </c>
      <c r="G9" s="60">
        <v>2</v>
      </c>
      <c r="H9" s="59" t="s">
        <v>183</v>
      </c>
      <c r="I9" s="61">
        <v>0.33411124076234927</v>
      </c>
      <c r="J9" s="59" t="s">
        <v>183</v>
      </c>
      <c r="K9" s="61">
        <v>0.33294437961882534</v>
      </c>
      <c r="L9" s="59" t="s">
        <v>183</v>
      </c>
      <c r="M9" s="62">
        <v>0.29820001925113099</v>
      </c>
      <c r="N9" s="59" t="s">
        <v>189</v>
      </c>
      <c r="O9" s="62">
        <v>0.16666666666666666</v>
      </c>
      <c r="P9" s="59" t="s">
        <v>195</v>
      </c>
      <c r="Q9" s="63">
        <v>9305.6119402985078</v>
      </c>
      <c r="R9" s="59" t="s">
        <v>183</v>
      </c>
      <c r="S9" s="63">
        <v>-8456.5880322209432</v>
      </c>
      <c r="T9" s="59" t="s">
        <v>187</v>
      </c>
      <c r="U9" s="61">
        <v>0.12790697674418605</v>
      </c>
      <c r="V9" s="59" t="s">
        <v>183</v>
      </c>
      <c r="W9" s="62">
        <v>0.2677925834108047</v>
      </c>
      <c r="X9" s="59" t="s">
        <v>197</v>
      </c>
      <c r="Y9" s="62">
        <v>0.23294117647058823</v>
      </c>
      <c r="Z9" s="59" t="s">
        <v>190</v>
      </c>
      <c r="AA9" s="62">
        <v>0.5806845965770171</v>
      </c>
      <c r="AB9" s="59" t="s">
        <v>188</v>
      </c>
      <c r="AC9" s="62">
        <v>0.4</v>
      </c>
      <c r="AD9" s="59" t="s">
        <v>190</v>
      </c>
      <c r="AE9" s="62">
        <v>0.45246690734055356</v>
      </c>
      <c r="AF9" s="59" t="s">
        <v>192</v>
      </c>
      <c r="AG9" s="66">
        <v>109300</v>
      </c>
    </row>
    <row r="10" spans="1:33" x14ac:dyDescent="0.4">
      <c r="A10" s="56">
        <v>8</v>
      </c>
      <c r="B10" s="57" t="s">
        <v>199</v>
      </c>
      <c r="C10" s="58">
        <v>-22.000000000000028</v>
      </c>
      <c r="D10" s="59" t="s">
        <v>199</v>
      </c>
      <c r="E10" s="71">
        <v>-0.7857142857142867</v>
      </c>
      <c r="F10" s="59" t="s">
        <v>193</v>
      </c>
      <c r="G10" s="60">
        <v>2.0070754716981134</v>
      </c>
      <c r="H10" s="59" t="s">
        <v>191</v>
      </c>
      <c r="I10" s="61">
        <v>0.30529595015576322</v>
      </c>
      <c r="J10" s="59" t="s">
        <v>187</v>
      </c>
      <c r="K10" s="61">
        <v>0.33720930232558138</v>
      </c>
      <c r="L10" s="59" t="s">
        <v>193</v>
      </c>
      <c r="M10" s="62">
        <v>0.29189501009518315</v>
      </c>
      <c r="N10" s="59" t="s">
        <v>183</v>
      </c>
      <c r="O10" s="62">
        <v>0.16729232842429492</v>
      </c>
      <c r="P10" s="59" t="s">
        <v>183</v>
      </c>
      <c r="Q10" s="63">
        <v>9058.2149774047775</v>
      </c>
      <c r="R10" s="59" t="s">
        <v>193</v>
      </c>
      <c r="S10" s="63">
        <v>-8480.8652246256243</v>
      </c>
      <c r="T10" s="59" t="s">
        <v>193</v>
      </c>
      <c r="U10" s="61">
        <v>0.12971698113207547</v>
      </c>
      <c r="V10" s="59" t="s">
        <v>185</v>
      </c>
      <c r="W10" s="62">
        <v>0.25806451612903225</v>
      </c>
      <c r="X10" s="59" t="s">
        <v>187</v>
      </c>
      <c r="Y10" s="62">
        <v>0.2252036415908002</v>
      </c>
      <c r="Z10" s="59" t="s">
        <v>183</v>
      </c>
      <c r="AA10" s="62">
        <v>0.57338476374156222</v>
      </c>
      <c r="AB10" s="59" t="s">
        <v>199</v>
      </c>
      <c r="AC10" s="62">
        <v>0.39285714285714285</v>
      </c>
      <c r="AD10" s="59" t="s">
        <v>191</v>
      </c>
      <c r="AE10" s="62">
        <v>0.43929058663028647</v>
      </c>
      <c r="AF10" s="59" t="s">
        <v>190</v>
      </c>
      <c r="AG10" s="66">
        <v>107600</v>
      </c>
    </row>
    <row r="11" spans="1:33" x14ac:dyDescent="0.4">
      <c r="A11" s="56">
        <v>9</v>
      </c>
      <c r="B11" s="57" t="s">
        <v>198</v>
      </c>
      <c r="C11" s="58">
        <v>-56.2</v>
      </c>
      <c r="D11" s="59" t="s">
        <v>187</v>
      </c>
      <c r="E11" s="71">
        <v>-1.6399224806201551</v>
      </c>
      <c r="F11" s="59" t="s">
        <v>192</v>
      </c>
      <c r="G11" s="60">
        <v>2.0256410256410255</v>
      </c>
      <c r="H11" s="59" t="s">
        <v>187</v>
      </c>
      <c r="I11" s="61">
        <v>0.27906976744186046</v>
      </c>
      <c r="J11" s="59" t="s">
        <v>193</v>
      </c>
      <c r="K11" s="61">
        <v>0.34198113207547171</v>
      </c>
      <c r="L11" s="59" t="s">
        <v>191</v>
      </c>
      <c r="M11" s="62">
        <v>0.2846601941747573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195</v>
      </c>
      <c r="S11" s="63">
        <v>-8550.4398826979468</v>
      </c>
      <c r="T11" s="59" t="s">
        <v>191</v>
      </c>
      <c r="U11" s="61">
        <v>0.13707165109034267</v>
      </c>
      <c r="V11" s="59" t="s">
        <v>193</v>
      </c>
      <c r="W11" s="62">
        <v>0.25261897635438491</v>
      </c>
      <c r="X11" s="59" t="s">
        <v>183</v>
      </c>
      <c r="Y11" s="62">
        <v>0.2202251833488276</v>
      </c>
      <c r="Z11" s="59" t="s">
        <v>186</v>
      </c>
      <c r="AA11" s="62">
        <v>0.5706806282722513</v>
      </c>
      <c r="AB11" s="59" t="s">
        <v>197</v>
      </c>
      <c r="AC11" s="62">
        <v>0.37373737373737376</v>
      </c>
      <c r="AD11" s="59" t="s">
        <v>187</v>
      </c>
      <c r="AE11" s="62">
        <v>0.43928571428571428</v>
      </c>
      <c r="AF11" s="59" t="s">
        <v>199</v>
      </c>
      <c r="AG11" s="66">
        <v>106300</v>
      </c>
    </row>
    <row r="12" spans="1:33" x14ac:dyDescent="0.4">
      <c r="A12" s="56">
        <v>10</v>
      </c>
      <c r="B12" s="57" t="s">
        <v>191</v>
      </c>
      <c r="C12" s="58">
        <v>-79.499999999999773</v>
      </c>
      <c r="D12" s="59" t="s">
        <v>193</v>
      </c>
      <c r="E12" s="71">
        <v>-2.0622641509433977</v>
      </c>
      <c r="F12" s="59" t="s">
        <v>187</v>
      </c>
      <c r="G12" s="60">
        <v>2.058139534883721</v>
      </c>
      <c r="H12" s="59" t="s">
        <v>186</v>
      </c>
      <c r="I12" s="61">
        <v>0.27835051546391754</v>
      </c>
      <c r="J12" s="59" t="s">
        <v>191</v>
      </c>
      <c r="K12" s="61">
        <v>0.3644859813084112</v>
      </c>
      <c r="L12" s="59" t="s">
        <v>192</v>
      </c>
      <c r="M12" s="62">
        <v>0.28164556962025317</v>
      </c>
      <c r="N12" s="59" t="s">
        <v>199</v>
      </c>
      <c r="O12" s="62">
        <v>0.16996047430830039</v>
      </c>
      <c r="P12" s="59" t="s">
        <v>193</v>
      </c>
      <c r="Q12" s="63">
        <v>8840.217391304348</v>
      </c>
      <c r="R12" s="59" t="s">
        <v>188</v>
      </c>
      <c r="S12" s="63">
        <v>-8596.3746223564958</v>
      </c>
      <c r="T12" s="59" t="s">
        <v>190</v>
      </c>
      <c r="U12" s="61">
        <v>0.14511873350923482</v>
      </c>
      <c r="V12" s="59" t="s">
        <v>199</v>
      </c>
      <c r="W12" s="62">
        <v>0.24901185770750989</v>
      </c>
      <c r="X12" s="59" t="s">
        <v>195</v>
      </c>
      <c r="Y12" s="62">
        <v>0.21619766643788607</v>
      </c>
      <c r="Z12" s="59" t="s">
        <v>191</v>
      </c>
      <c r="AA12" s="62">
        <v>0.56653491436100134</v>
      </c>
      <c r="AB12" s="59" t="s">
        <v>193</v>
      </c>
      <c r="AC12" s="62">
        <v>0.3725</v>
      </c>
      <c r="AD12" s="59" t="s">
        <v>194</v>
      </c>
      <c r="AE12" s="62">
        <v>0.43636363636363634</v>
      </c>
      <c r="AF12" s="59" t="s">
        <v>188</v>
      </c>
      <c r="AG12" s="66">
        <v>103200</v>
      </c>
    </row>
    <row r="13" spans="1:33" x14ac:dyDescent="0.4">
      <c r="A13" s="56">
        <v>11</v>
      </c>
      <c r="B13" s="57" t="s">
        <v>185</v>
      </c>
      <c r="C13" s="58">
        <v>-86.4</v>
      </c>
      <c r="D13" s="59" t="s">
        <v>189</v>
      </c>
      <c r="E13" s="71">
        <v>-3.875</v>
      </c>
      <c r="F13" s="59" t="s">
        <v>191</v>
      </c>
      <c r="G13" s="60">
        <v>2.0591900311526481</v>
      </c>
      <c r="H13" s="59" t="s">
        <v>190</v>
      </c>
      <c r="I13" s="61">
        <v>0.26912928759894461</v>
      </c>
      <c r="J13" s="59" t="s">
        <v>190</v>
      </c>
      <c r="K13" s="61">
        <v>0.37467018469656993</v>
      </c>
      <c r="L13" s="59" t="s">
        <v>190</v>
      </c>
      <c r="M13" s="62">
        <v>0.27121409921671019</v>
      </c>
      <c r="N13" s="59" t="s">
        <v>194</v>
      </c>
      <c r="O13" s="62">
        <v>0.17164179104477612</v>
      </c>
      <c r="P13" s="59" t="s">
        <v>187</v>
      </c>
      <c r="Q13" s="63">
        <v>8644.6428571428569</v>
      </c>
      <c r="R13" s="59" t="s">
        <v>191</v>
      </c>
      <c r="S13" s="63">
        <v>-8763.7130801687763</v>
      </c>
      <c r="T13" s="59" t="s">
        <v>194</v>
      </c>
      <c r="U13" s="61">
        <v>0.15384615384615385</v>
      </c>
      <c r="V13" s="59" t="s">
        <v>187</v>
      </c>
      <c r="W13" s="62">
        <v>0.24820316243411594</v>
      </c>
      <c r="X13" s="59" t="s">
        <v>186</v>
      </c>
      <c r="Y13" s="62">
        <v>0.2044917257683215</v>
      </c>
      <c r="Z13" s="59" t="s">
        <v>197</v>
      </c>
      <c r="AA13" s="62">
        <v>0.56321839080459768</v>
      </c>
      <c r="AB13" s="59" t="s">
        <v>187</v>
      </c>
      <c r="AC13" s="62">
        <v>0.36595744680851061</v>
      </c>
      <c r="AD13" s="59" t="s">
        <v>183</v>
      </c>
      <c r="AE13" s="62">
        <v>0.43076178179470626</v>
      </c>
      <c r="AF13" s="59" t="s">
        <v>187</v>
      </c>
      <c r="AG13" s="66">
        <v>103000</v>
      </c>
    </row>
    <row r="14" spans="1:33" x14ac:dyDescent="0.4">
      <c r="A14" s="56">
        <v>12</v>
      </c>
      <c r="B14" s="57" t="s">
        <v>184</v>
      </c>
      <c r="C14" s="58">
        <v>-132.1</v>
      </c>
      <c r="D14" s="59" t="s">
        <v>190</v>
      </c>
      <c r="E14" s="71">
        <v>-4.1767810026385215</v>
      </c>
      <c r="F14" s="59" t="s">
        <v>190</v>
      </c>
      <c r="G14" s="60">
        <v>2.1055408970976255</v>
      </c>
      <c r="H14" s="59" t="s">
        <v>188</v>
      </c>
      <c r="I14" s="61">
        <v>0.25609756097560976</v>
      </c>
      <c r="J14" s="59" t="s">
        <v>192</v>
      </c>
      <c r="K14" s="61">
        <v>0.38461538461538464</v>
      </c>
      <c r="L14" s="59" t="s">
        <v>185</v>
      </c>
      <c r="M14" s="62">
        <v>0.27027027027027029</v>
      </c>
      <c r="N14" s="59" t="s">
        <v>193</v>
      </c>
      <c r="O14" s="62">
        <v>0.17334871646957023</v>
      </c>
      <c r="P14" s="59" t="s">
        <v>186</v>
      </c>
      <c r="Q14" s="63">
        <v>7922.1238938053093</v>
      </c>
      <c r="R14" s="59" t="s">
        <v>199</v>
      </c>
      <c r="S14" s="63">
        <v>-8765.1162790697672</v>
      </c>
      <c r="T14" s="59" t="s">
        <v>192</v>
      </c>
      <c r="U14" s="61">
        <v>0.15384615384615385</v>
      </c>
      <c r="V14" s="59" t="s">
        <v>194</v>
      </c>
      <c r="W14" s="62">
        <v>0.23379629629629631</v>
      </c>
      <c r="X14" s="59" t="s">
        <v>191</v>
      </c>
      <c r="Y14" s="62">
        <v>0.18754925137903861</v>
      </c>
      <c r="Z14" s="59" t="s">
        <v>192</v>
      </c>
      <c r="AA14" s="62">
        <v>0.53846153846153844</v>
      </c>
      <c r="AB14" s="59" t="s">
        <v>190</v>
      </c>
      <c r="AC14" s="62">
        <v>0.35728542914171657</v>
      </c>
      <c r="AD14" s="59" t="s">
        <v>188</v>
      </c>
      <c r="AE14" s="62">
        <v>0.41993464052287582</v>
      </c>
      <c r="AF14" s="59" t="s">
        <v>197</v>
      </c>
      <c r="AG14" s="66">
        <v>85100</v>
      </c>
    </row>
    <row r="15" spans="1:33" x14ac:dyDescent="0.4">
      <c r="A15" s="56">
        <v>13</v>
      </c>
      <c r="B15" s="57" t="s">
        <v>187</v>
      </c>
      <c r="C15" s="58">
        <v>-423.1</v>
      </c>
      <c r="D15" s="59" t="s">
        <v>188</v>
      </c>
      <c r="E15" s="71">
        <v>-4.7642276422764231</v>
      </c>
      <c r="F15" s="59" t="s">
        <v>188</v>
      </c>
      <c r="G15" s="60">
        <v>2.1300813008130079</v>
      </c>
      <c r="H15" s="59" t="s">
        <v>189</v>
      </c>
      <c r="I15" s="61">
        <v>0.25</v>
      </c>
      <c r="J15" s="59" t="s">
        <v>188</v>
      </c>
      <c r="K15" s="61">
        <v>0.38617886178861788</v>
      </c>
      <c r="L15" s="59" t="s">
        <v>187</v>
      </c>
      <c r="M15" s="62">
        <v>0.26832774317201724</v>
      </c>
      <c r="N15" s="59" t="s">
        <v>191</v>
      </c>
      <c r="O15" s="62">
        <v>0.18407766990291263</v>
      </c>
      <c r="P15" s="59" t="s">
        <v>199</v>
      </c>
      <c r="Q15" s="63">
        <v>7901.25</v>
      </c>
      <c r="R15" s="59" t="s">
        <v>192</v>
      </c>
      <c r="S15" s="63">
        <v>-9054.7169811320746</v>
      </c>
      <c r="T15" s="59" t="s">
        <v>186</v>
      </c>
      <c r="U15" s="61">
        <v>0.16494845360824742</v>
      </c>
      <c r="V15" s="59" t="s">
        <v>200</v>
      </c>
      <c r="W15" s="62">
        <v>0.23076923076923078</v>
      </c>
      <c r="X15" s="59" t="s">
        <v>190</v>
      </c>
      <c r="Y15" s="62">
        <v>0.17873706742775597</v>
      </c>
      <c r="Z15" s="59" t="s">
        <v>193</v>
      </c>
      <c r="AA15" s="62">
        <v>0.53554502369668244</v>
      </c>
      <c r="AB15" s="59" t="s">
        <v>186</v>
      </c>
      <c r="AC15" s="62">
        <v>0.33526011560693642</v>
      </c>
      <c r="AD15" s="59" t="s">
        <v>193</v>
      </c>
      <c r="AE15" s="62">
        <v>0.4189723320158103</v>
      </c>
      <c r="AF15" s="59" t="s">
        <v>196</v>
      </c>
      <c r="AG15" s="66">
        <v>78000</v>
      </c>
    </row>
    <row r="16" spans="1:33" x14ac:dyDescent="0.4">
      <c r="A16" s="56">
        <v>14</v>
      </c>
      <c r="B16" s="57" t="s">
        <v>186</v>
      </c>
      <c r="C16" s="58">
        <v>-713.5</v>
      </c>
      <c r="D16" s="59" t="s">
        <v>186</v>
      </c>
      <c r="E16" s="71">
        <v>-7.3556701030927831</v>
      </c>
      <c r="F16" s="59" t="s">
        <v>186</v>
      </c>
      <c r="G16" s="60">
        <v>2.1443298969072164</v>
      </c>
      <c r="H16" s="59" t="s">
        <v>198</v>
      </c>
      <c r="I16" s="61">
        <v>0.25</v>
      </c>
      <c r="J16" s="59" t="s">
        <v>185</v>
      </c>
      <c r="K16" s="61">
        <v>0.4</v>
      </c>
      <c r="L16" s="59" t="s">
        <v>186</v>
      </c>
      <c r="M16" s="62">
        <v>0.26713947990543735</v>
      </c>
      <c r="N16" s="59" t="s">
        <v>190</v>
      </c>
      <c r="O16" s="62">
        <v>0.18962140992167101</v>
      </c>
      <c r="P16" s="59" t="s">
        <v>184</v>
      </c>
      <c r="Q16" s="63">
        <v>7800</v>
      </c>
      <c r="R16" s="59" t="s">
        <v>194</v>
      </c>
      <c r="S16" s="63">
        <v>-9212.173913043478</v>
      </c>
      <c r="T16" s="59" t="s">
        <v>197</v>
      </c>
      <c r="U16" s="61">
        <v>0.19607843137254902</v>
      </c>
      <c r="V16" s="59" t="s">
        <v>186</v>
      </c>
      <c r="W16" s="62">
        <v>0.22576832151300236</v>
      </c>
      <c r="X16" s="59" t="s">
        <v>185</v>
      </c>
      <c r="Y16" s="62">
        <v>0.16129032258064516</v>
      </c>
      <c r="Z16" s="59" t="s">
        <v>188</v>
      </c>
      <c r="AA16" s="62">
        <v>0.51385390428211586</v>
      </c>
      <c r="AB16" s="59" t="s">
        <v>192</v>
      </c>
      <c r="AC16" s="62">
        <v>0.32142857142857145</v>
      </c>
      <c r="AD16" s="59" t="s">
        <v>195</v>
      </c>
      <c r="AE16" s="62">
        <v>0.40716417910447761</v>
      </c>
      <c r="AF16" s="59" t="s">
        <v>185</v>
      </c>
      <c r="AG16" s="66">
        <v>57800</v>
      </c>
    </row>
    <row r="17" spans="1:33" x14ac:dyDescent="0.4">
      <c r="A17" s="56">
        <v>15</v>
      </c>
      <c r="B17" s="57" t="s">
        <v>193</v>
      </c>
      <c r="C17" s="58">
        <v>-874.40000000000055</v>
      </c>
      <c r="D17" s="59" t="s">
        <v>198</v>
      </c>
      <c r="E17" s="71">
        <v>-14.05</v>
      </c>
      <c r="F17" s="59" t="s">
        <v>185</v>
      </c>
      <c r="G17" s="60">
        <v>2.2000000000000002</v>
      </c>
      <c r="H17" s="59" t="s">
        <v>185</v>
      </c>
      <c r="I17" s="61">
        <v>0.2</v>
      </c>
      <c r="J17" s="59" t="s">
        <v>186</v>
      </c>
      <c r="K17" s="61">
        <v>0.42268041237113402</v>
      </c>
      <c r="L17" s="59" t="s">
        <v>189</v>
      </c>
      <c r="M17" s="62">
        <v>0.25</v>
      </c>
      <c r="N17" s="59" t="s">
        <v>186</v>
      </c>
      <c r="O17" s="62">
        <v>0.19267139479905437</v>
      </c>
      <c r="P17" s="59" t="s">
        <v>197</v>
      </c>
      <c r="Q17" s="63">
        <v>7646.666666666667</v>
      </c>
      <c r="R17" s="59" t="s">
        <v>198</v>
      </c>
      <c r="S17" s="63">
        <v>-11280</v>
      </c>
      <c r="T17" s="59" t="s">
        <v>199</v>
      </c>
      <c r="U17" s="61">
        <v>0.25</v>
      </c>
      <c r="V17" s="59" t="s">
        <v>198</v>
      </c>
      <c r="W17" s="62">
        <v>0.21875</v>
      </c>
      <c r="X17" s="59" t="s">
        <v>196</v>
      </c>
      <c r="Y17" s="62">
        <v>0.14492753623188406</v>
      </c>
      <c r="Z17" s="59" t="s">
        <v>198</v>
      </c>
      <c r="AA17" s="62">
        <v>0.42857142857142855</v>
      </c>
      <c r="AB17" s="59" t="s">
        <v>198</v>
      </c>
      <c r="AC17" s="62">
        <v>0.25</v>
      </c>
      <c r="AD17" s="59" t="s">
        <v>189</v>
      </c>
      <c r="AE17" s="62">
        <v>0.33333333333333331</v>
      </c>
      <c r="AF17" s="59" t="s">
        <v>198</v>
      </c>
      <c r="AG17" s="66">
        <v>55200</v>
      </c>
    </row>
    <row r="18" spans="1:33" x14ac:dyDescent="0.4">
      <c r="A18" s="56">
        <v>16</v>
      </c>
      <c r="B18" s="57" t="s">
        <v>197</v>
      </c>
      <c r="C18" s="58">
        <v>-897.40000000000009</v>
      </c>
      <c r="D18" s="59" t="s">
        <v>185</v>
      </c>
      <c r="E18" s="71">
        <v>-17.28</v>
      </c>
      <c r="F18" s="59" t="s">
        <v>198</v>
      </c>
      <c r="G18" s="60">
        <v>2.25</v>
      </c>
      <c r="H18" s="59" t="s">
        <v>197</v>
      </c>
      <c r="I18" s="61">
        <v>0.13725490196078433</v>
      </c>
      <c r="J18" s="59" t="s">
        <v>198</v>
      </c>
      <c r="K18" s="61">
        <v>0.5</v>
      </c>
      <c r="L18" s="59" t="s">
        <v>197</v>
      </c>
      <c r="M18" s="62">
        <v>0.24705882352941178</v>
      </c>
      <c r="N18" s="59" t="s">
        <v>197</v>
      </c>
      <c r="O18" s="62">
        <v>0.2</v>
      </c>
      <c r="P18" s="59" t="s">
        <v>188</v>
      </c>
      <c r="Q18" s="63">
        <v>7464.8692810457514</v>
      </c>
      <c r="R18" s="59" t="s">
        <v>189</v>
      </c>
      <c r="S18" s="63">
        <v>-12000</v>
      </c>
      <c r="T18" s="59" t="s">
        <v>198</v>
      </c>
      <c r="U18" s="61">
        <v>0.25</v>
      </c>
      <c r="V18" s="59" t="s">
        <v>188</v>
      </c>
      <c r="W18" s="62">
        <v>0.21252676659528907</v>
      </c>
      <c r="X18" s="59" t="s">
        <v>189</v>
      </c>
      <c r="Y18" s="62">
        <v>0.10526315789473684</v>
      </c>
      <c r="Z18" s="59" t="s">
        <v>200</v>
      </c>
      <c r="AA18" s="62">
        <v>0.33333333333333331</v>
      </c>
      <c r="AB18" s="59" t="s">
        <v>185</v>
      </c>
      <c r="AC18" s="62">
        <v>0.2</v>
      </c>
      <c r="AD18" s="59" t="s">
        <v>185</v>
      </c>
      <c r="AE18" s="62">
        <v>0.3</v>
      </c>
      <c r="AF18" s="59" t="s">
        <v>200</v>
      </c>
      <c r="AG18" s="66">
        <v>48300</v>
      </c>
    </row>
    <row r="19" spans="1:33" x14ac:dyDescent="0.4">
      <c r="A19" s="56">
        <v>17</v>
      </c>
      <c r="B19" s="57" t="s">
        <v>188</v>
      </c>
      <c r="C19" s="58">
        <v>-1172</v>
      </c>
      <c r="D19" s="59" t="s">
        <v>197</v>
      </c>
      <c r="E19" s="71">
        <v>-17.59607843137255</v>
      </c>
      <c r="F19" s="59" t="s">
        <v>197</v>
      </c>
      <c r="G19" s="60">
        <v>2.4313725490196076</v>
      </c>
      <c r="H19" s="59" t="s">
        <v>184</v>
      </c>
      <c r="I19" s="61">
        <v>0</v>
      </c>
      <c r="J19" s="59" t="s">
        <v>197</v>
      </c>
      <c r="K19" s="61">
        <v>0.56862745098039214</v>
      </c>
      <c r="L19" s="59" t="s">
        <v>200</v>
      </c>
      <c r="M19" s="62">
        <v>0.15384615384615385</v>
      </c>
      <c r="N19" s="59" t="s">
        <v>185</v>
      </c>
      <c r="O19" s="62">
        <v>0.21621621621621623</v>
      </c>
      <c r="P19" s="59" t="s">
        <v>185</v>
      </c>
      <c r="Q19" s="63">
        <v>7100</v>
      </c>
      <c r="R19" s="59" t="s">
        <v>200</v>
      </c>
      <c r="S19" s="63">
        <v>-12000</v>
      </c>
      <c r="T19" s="59" t="s">
        <v>185</v>
      </c>
      <c r="U19" s="61">
        <v>0.4</v>
      </c>
      <c r="V19" s="59" t="s">
        <v>197</v>
      </c>
      <c r="W19" s="62">
        <v>0.20470588235294118</v>
      </c>
      <c r="X19" s="59" t="s">
        <v>200</v>
      </c>
      <c r="Y19" s="62">
        <v>7.6923076923076927E-2</v>
      </c>
      <c r="Z19" s="59" t="s">
        <v>189</v>
      </c>
      <c r="AA19" s="62">
        <v>0.25</v>
      </c>
      <c r="AB19" s="59" t="s">
        <v>184</v>
      </c>
      <c r="AC19" s="62">
        <v>0</v>
      </c>
      <c r="AD19" s="59" t="s">
        <v>198</v>
      </c>
      <c r="AE19" s="62">
        <v>0.3</v>
      </c>
      <c r="AF19" s="59" t="s">
        <v>189</v>
      </c>
      <c r="AG19" s="66">
        <v>46000</v>
      </c>
    </row>
    <row r="20" spans="1:33" x14ac:dyDescent="0.4">
      <c r="A20" s="56">
        <v>18</v>
      </c>
      <c r="B20" s="57" t="s">
        <v>190</v>
      </c>
      <c r="C20" s="58">
        <v>-1582.9999999999998</v>
      </c>
      <c r="D20" s="59" t="s">
        <v>184</v>
      </c>
      <c r="E20" s="71">
        <v>-33.024999999999999</v>
      </c>
      <c r="F20" s="59" t="s">
        <v>184</v>
      </c>
      <c r="G20" s="60">
        <v>3</v>
      </c>
      <c r="H20" s="59" t="s">
        <v>200</v>
      </c>
      <c r="I20" s="61">
        <v>0</v>
      </c>
      <c r="J20" s="59" t="s">
        <v>184</v>
      </c>
      <c r="K20" s="61">
        <v>1</v>
      </c>
      <c r="L20" s="59" t="s">
        <v>184</v>
      </c>
      <c r="M20" s="62">
        <v>0.04</v>
      </c>
      <c r="N20" s="59" t="s">
        <v>184</v>
      </c>
      <c r="O20" s="62">
        <v>0.4</v>
      </c>
      <c r="P20" s="59" t="s">
        <v>198</v>
      </c>
      <c r="Q20" s="63">
        <v>4940</v>
      </c>
      <c r="R20" s="59" t="s">
        <v>185</v>
      </c>
      <c r="S20" s="63">
        <v>-12487.5</v>
      </c>
      <c r="T20" s="59" t="s">
        <v>184</v>
      </c>
      <c r="U20" s="61">
        <v>0.5</v>
      </c>
      <c r="V20" s="59" t="s">
        <v>184</v>
      </c>
      <c r="W20" s="62">
        <v>0</v>
      </c>
      <c r="X20" s="59" t="s">
        <v>184</v>
      </c>
      <c r="Y20" s="62">
        <v>0</v>
      </c>
      <c r="Z20" s="59" t="s">
        <v>184</v>
      </c>
      <c r="AA20" s="62">
        <v>0</v>
      </c>
      <c r="AB20" s="59" t="s">
        <v>200</v>
      </c>
      <c r="AC20" s="62">
        <v>0</v>
      </c>
      <c r="AD20" s="59" t="s">
        <v>196</v>
      </c>
      <c r="AE20" s="62">
        <v>0.29166666666666669</v>
      </c>
      <c r="AF20" s="59" t="s">
        <v>184</v>
      </c>
      <c r="AG20" s="66">
        <v>13000</v>
      </c>
    </row>
  </sheetData>
  <sortState xmlns:xlrd2="http://schemas.microsoft.com/office/spreadsheetml/2017/richdata2" ref="AF3:AG54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B954-44B6-4FDD-8BFB-300B262098A7}">
  <sheetPr codeName="Sheet3"/>
  <dimension ref="A1:Q257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2571</v>
      </c>
      <c r="C2" s="128"/>
      <c r="E2" s="43" t="s">
        <v>66</v>
      </c>
      <c r="F2" s="25" t="s">
        <v>22</v>
      </c>
      <c r="G2" s="13">
        <v>4225</v>
      </c>
      <c r="H2" s="106">
        <f>IF(B$47=0,0,G2/B$47)</f>
        <v>0.73325234293648034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-18.823529411764707</v>
      </c>
      <c r="P2" s="92">
        <v>2550</v>
      </c>
      <c r="Q2" s="76">
        <v>-48000</v>
      </c>
    </row>
    <row r="3" spans="1:17" x14ac:dyDescent="0.4">
      <c r="A3" s="37" t="s">
        <v>8</v>
      </c>
      <c r="B3" s="137">
        <v>20778</v>
      </c>
      <c r="C3" s="138"/>
      <c r="E3" s="44" t="s">
        <v>72</v>
      </c>
      <c r="F3" s="41" t="s">
        <v>27</v>
      </c>
      <c r="G3" s="34">
        <v>3084</v>
      </c>
      <c r="H3" s="107">
        <f>IF(B$47=0,0,G3/B$47)</f>
        <v>0.53523082263103094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-1.2077294685990339</v>
      </c>
      <c r="P3" s="93">
        <v>2484</v>
      </c>
      <c r="Q3" s="77">
        <v>-3000</v>
      </c>
    </row>
    <row r="4" spans="1:17" x14ac:dyDescent="0.4">
      <c r="A4" s="37" t="s">
        <v>6</v>
      </c>
      <c r="B4" s="139">
        <v>5.8619775700208265E-14</v>
      </c>
      <c r="C4" s="140"/>
      <c r="E4" s="44" t="s">
        <v>64</v>
      </c>
      <c r="F4" s="41" t="s">
        <v>20</v>
      </c>
      <c r="G4" s="34">
        <v>2864</v>
      </c>
      <c r="H4" s="107">
        <f>IF(B$47=0,0,G4/B$47)</f>
        <v>0.49704963554321419</v>
      </c>
      <c r="I4" s="68">
        <v>9</v>
      </c>
      <c r="K4" s="5">
        <v>2</v>
      </c>
      <c r="L4" s="73">
        <v>-7</v>
      </c>
      <c r="N4" s="89" t="s">
        <v>128</v>
      </c>
      <c r="O4" s="96">
        <f t="shared" si="0"/>
        <v>4.2900042900042896</v>
      </c>
      <c r="P4" s="93">
        <v>2331</v>
      </c>
      <c r="Q4" s="77">
        <v>10000</v>
      </c>
    </row>
    <row r="5" spans="1:17" x14ac:dyDescent="0.4">
      <c r="A5" s="37" t="s">
        <v>7</v>
      </c>
      <c r="B5" s="141">
        <f>IF(B$2=0,0,B$4/B$2)</f>
        <v>2.280037950222025E-17</v>
      </c>
      <c r="C5" s="142"/>
      <c r="E5" s="44" t="s">
        <v>68</v>
      </c>
      <c r="F5" s="41" t="s">
        <v>12</v>
      </c>
      <c r="G5" s="34">
        <v>1795</v>
      </c>
      <c r="H5" s="107">
        <f>IF(B$47=0,0,G5/B$47)</f>
        <v>0.3115237764665047</v>
      </c>
      <c r="I5" s="68">
        <v>9</v>
      </c>
      <c r="K5" s="5">
        <v>3</v>
      </c>
      <c r="L5" s="73">
        <v>0</v>
      </c>
      <c r="N5" s="89" t="s">
        <v>129</v>
      </c>
      <c r="O5" s="96">
        <f t="shared" si="0"/>
        <v>5.5944055944055942</v>
      </c>
      <c r="P5" s="93">
        <v>2145</v>
      </c>
      <c r="Q5" s="77">
        <v>12000</v>
      </c>
    </row>
    <row r="6" spans="1:17" x14ac:dyDescent="0.4">
      <c r="A6" s="37" t="s">
        <v>1</v>
      </c>
      <c r="B6" s="133">
        <f>IF(B$2=0,0,(B$7*1+B$8*2+B$9*3)/B$2)</f>
        <v>1.9988331388564762</v>
      </c>
      <c r="C6" s="134"/>
      <c r="E6" s="44" t="s">
        <v>67</v>
      </c>
      <c r="F6" s="41" t="s">
        <v>23</v>
      </c>
      <c r="G6" s="34">
        <v>1711</v>
      </c>
      <c r="H6" s="107">
        <f>IF(B$47=0,0,G6/B$47)</f>
        <v>0.29694550503297468</v>
      </c>
      <c r="I6" s="68">
        <v>9</v>
      </c>
      <c r="K6" s="5">
        <v>4</v>
      </c>
      <c r="L6" s="73">
        <v>-1</v>
      </c>
      <c r="N6" s="89" t="s">
        <v>130</v>
      </c>
      <c r="O6" s="96">
        <f t="shared" si="0"/>
        <v>2.0800832033281331</v>
      </c>
      <c r="P6" s="93">
        <v>1923</v>
      </c>
      <c r="Q6" s="77">
        <v>4000</v>
      </c>
    </row>
    <row r="7" spans="1:17" x14ac:dyDescent="0.4">
      <c r="A7" s="37" t="s">
        <v>2</v>
      </c>
      <c r="B7" s="34">
        <v>859</v>
      </c>
      <c r="C7" s="31">
        <f t="shared" ref="C7:C10" si="1">IF(B$2=0,0,B7/B$2)</f>
        <v>0.33411124076234927</v>
      </c>
      <c r="E7" s="44" t="s">
        <v>157</v>
      </c>
      <c r="F7" s="41" t="s">
        <v>158</v>
      </c>
      <c r="G7" s="34">
        <v>1655</v>
      </c>
      <c r="H7" s="107">
        <f>IF(B$47=0,0,G7/B$47)</f>
        <v>0.28722665741062131</v>
      </c>
      <c r="I7" s="68">
        <v>9</v>
      </c>
      <c r="K7" s="5">
        <v>5</v>
      </c>
      <c r="L7" s="73">
        <v>39.9</v>
      </c>
      <c r="N7" s="90" t="s">
        <v>131</v>
      </c>
      <c r="O7" s="97">
        <f t="shared" si="0"/>
        <v>15.460729746444033</v>
      </c>
      <c r="P7" s="94">
        <v>1617</v>
      </c>
      <c r="Q7" s="78">
        <v>25000</v>
      </c>
    </row>
    <row r="8" spans="1:17" x14ac:dyDescent="0.4">
      <c r="A8" s="37" t="s">
        <v>3</v>
      </c>
      <c r="B8" s="34">
        <v>856</v>
      </c>
      <c r="C8" s="31">
        <f t="shared" si="1"/>
        <v>0.33294437961882534</v>
      </c>
      <c r="E8" s="44" t="s">
        <v>69</v>
      </c>
      <c r="F8" s="41" t="s">
        <v>24</v>
      </c>
      <c r="G8" s="34">
        <v>889</v>
      </c>
      <c r="H8" s="107">
        <f>IF(B$47=0,0,G8/B$47)</f>
        <v>0.15428670600485941</v>
      </c>
      <c r="I8" s="68">
        <v>6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856</v>
      </c>
      <c r="C9" s="7">
        <f t="shared" si="1"/>
        <v>0.33294437961882534</v>
      </c>
      <c r="E9" s="44" t="s">
        <v>89</v>
      </c>
      <c r="F9" s="41" t="s">
        <v>44</v>
      </c>
      <c r="G9" s="34">
        <v>791</v>
      </c>
      <c r="H9" s="107">
        <f>IF(B$47=0,0,G9/B$47)</f>
        <v>0.13727872266574107</v>
      </c>
      <c r="I9" s="68">
        <v>7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319</v>
      </c>
      <c r="C10" s="32">
        <f t="shared" si="1"/>
        <v>0.12407623492804357</v>
      </c>
      <c r="E10" s="44" t="s">
        <v>65</v>
      </c>
      <c r="F10" s="41" t="s">
        <v>21</v>
      </c>
      <c r="G10" s="34">
        <v>649</v>
      </c>
      <c r="H10" s="107">
        <f>IF(B$47=0,0,G10/B$47)</f>
        <v>0.11263450190905935</v>
      </c>
      <c r="I10" s="68">
        <v>8</v>
      </c>
      <c r="K10" s="5">
        <v>8</v>
      </c>
      <c r="L10" s="73">
        <v>-26.699999999999996</v>
      </c>
      <c r="N10" s="88" t="s">
        <v>149</v>
      </c>
      <c r="O10" s="98">
        <f>IF(P10=0,0,Q10/P10)</f>
        <v>-1.9575615474794834</v>
      </c>
      <c r="P10" s="92">
        <v>853</v>
      </c>
      <c r="Q10" s="80">
        <v>-1669.7999999999993</v>
      </c>
    </row>
    <row r="11" spans="1:17" x14ac:dyDescent="0.4">
      <c r="A11" s="40" t="s">
        <v>121</v>
      </c>
      <c r="B11" s="16">
        <v>5185</v>
      </c>
      <c r="C11" s="11">
        <f>IF(B$46=0,0,B11/B$46)</f>
        <v>0.2677925834108047</v>
      </c>
      <c r="E11" s="44" t="s">
        <v>70</v>
      </c>
      <c r="F11" s="41" t="s">
        <v>25</v>
      </c>
      <c r="G11" s="34">
        <v>565</v>
      </c>
      <c r="H11" s="107">
        <f>IF(B$47=0,0,G11/B$47)</f>
        <v>9.8056230475529332E-2</v>
      </c>
      <c r="I11" s="68">
        <v>8</v>
      </c>
      <c r="K11" s="5">
        <v>9</v>
      </c>
      <c r="L11" s="73">
        <v>3.5527136788005009E-15</v>
      </c>
      <c r="N11" s="89" t="s">
        <v>150</v>
      </c>
      <c r="O11" s="99">
        <f>IF(P11=0,0,Q11/P11)</f>
        <v>0.78065650644783158</v>
      </c>
      <c r="P11" s="93">
        <v>853</v>
      </c>
      <c r="Q11" s="81">
        <v>665.90000000000032</v>
      </c>
    </row>
    <row r="12" spans="1:17" x14ac:dyDescent="0.4">
      <c r="A12" s="37" t="s">
        <v>118</v>
      </c>
      <c r="B12" s="34">
        <v>4264</v>
      </c>
      <c r="C12" s="31">
        <f>IF(B$46=0,0,B12/B$46)</f>
        <v>0.2202251833488276</v>
      </c>
      <c r="E12" s="44" t="s">
        <v>71</v>
      </c>
      <c r="F12" s="41" t="s">
        <v>26</v>
      </c>
      <c r="G12" s="34">
        <v>372</v>
      </c>
      <c r="H12" s="107">
        <f>IF(B$47=0,0,G12/B$47)</f>
        <v>6.4560916348490108E-2</v>
      </c>
      <c r="I12" s="68">
        <v>8</v>
      </c>
      <c r="K12" s="5">
        <v>10</v>
      </c>
      <c r="L12" s="73">
        <v>85.2</v>
      </c>
      <c r="N12" s="90" t="s">
        <v>151</v>
      </c>
      <c r="O12" s="100">
        <f>IF(P12=0,0,Q12/P12)</f>
        <v>1.1769050410316535</v>
      </c>
      <c r="P12" s="94">
        <v>853</v>
      </c>
      <c r="Q12" s="82">
        <v>1003.9000000000004</v>
      </c>
    </row>
    <row r="13" spans="1:17" x14ac:dyDescent="0.4">
      <c r="A13" s="19" t="s">
        <v>123</v>
      </c>
      <c r="B13" s="13">
        <v>2973</v>
      </c>
      <c r="C13" s="4">
        <f>IF(B$11=0,0,B13/B$11)</f>
        <v>0.57338476374156222</v>
      </c>
      <c r="E13" s="44" t="s">
        <v>86</v>
      </c>
      <c r="F13" s="41" t="s">
        <v>41</v>
      </c>
      <c r="G13" s="34">
        <v>347</v>
      </c>
      <c r="H13" s="107">
        <f>IF(B$47=0,0,G13/B$47)</f>
        <v>6.0222145088510932E-2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1718</v>
      </c>
      <c r="C14" s="4">
        <f>IF(B$12=0,0,B14/B$12)</f>
        <v>0.40290806754221387</v>
      </c>
      <c r="E14" s="44" t="s">
        <v>83</v>
      </c>
      <c r="F14" s="41" t="s">
        <v>38</v>
      </c>
      <c r="G14" s="34">
        <v>278</v>
      </c>
      <c r="H14" s="107">
        <f>IF(B$47=0,0,G14/B$47)</f>
        <v>4.8247136410968415E-2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6196</v>
      </c>
      <c r="C15" s="4">
        <f>IF(B$3=0,0,B15/B$3)</f>
        <v>0.29820001925113099</v>
      </c>
      <c r="E15" s="44" t="s">
        <v>78</v>
      </c>
      <c r="F15" s="41" t="s">
        <v>33</v>
      </c>
      <c r="G15" s="34">
        <v>155</v>
      </c>
      <c r="H15" s="107">
        <f>IF(B$47=0,0,G15/B$47)</f>
        <v>2.6900381811870877E-2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13</v>
      </c>
      <c r="B16" s="34">
        <v>3476</v>
      </c>
      <c r="C16" s="31">
        <f>IF(B$3=0,0,B16/B$3)</f>
        <v>0.16729232842429492</v>
      </c>
      <c r="E16" s="44" t="s">
        <v>81</v>
      </c>
      <c r="F16" s="41" t="s">
        <v>36</v>
      </c>
      <c r="G16" s="34">
        <v>140</v>
      </c>
      <c r="H16" s="107">
        <f>IF(B$47=0,0,G16/B$47)</f>
        <v>2.4297119055883373E-2</v>
      </c>
      <c r="I16" s="68">
        <v>8</v>
      </c>
      <c r="K16" s="5">
        <v>14</v>
      </c>
      <c r="L16" s="73">
        <v>-4</v>
      </c>
      <c r="N16" s="89" t="s">
        <v>197</v>
      </c>
      <c r="O16" s="99">
        <f>IF(P16=0,0,Q16/P16)</f>
        <v>26.39411764705881</v>
      </c>
      <c r="P16" s="93">
        <v>102</v>
      </c>
      <c r="Q16" s="81">
        <v>2692.1999999999985</v>
      </c>
    </row>
    <row r="17" spans="1:17" x14ac:dyDescent="0.4">
      <c r="A17" s="37" t="s">
        <v>12</v>
      </c>
      <c r="B17" s="34">
        <v>2669</v>
      </c>
      <c r="C17" s="31">
        <f>IF(B$15=0,0,B17/B$15)</f>
        <v>0.43076178179470626</v>
      </c>
      <c r="E17" s="44" t="s">
        <v>91</v>
      </c>
      <c r="F17" s="41" t="s">
        <v>46</v>
      </c>
      <c r="G17" s="34">
        <v>106</v>
      </c>
      <c r="H17" s="107">
        <f>IF(B$47=0,0,G17/B$47)</f>
        <v>1.8396390142311696E-2</v>
      </c>
      <c r="I17" s="68">
        <v>7</v>
      </c>
      <c r="K17" s="5">
        <v>15</v>
      </c>
      <c r="L17" s="73">
        <v>0</v>
      </c>
      <c r="N17" s="89" t="s">
        <v>185</v>
      </c>
      <c r="O17" s="99">
        <f>IF(P17=0,0,Q17/P17)</f>
        <v>25.919999999999998</v>
      </c>
      <c r="P17" s="93">
        <v>10</v>
      </c>
      <c r="Q17" s="81">
        <v>259.2</v>
      </c>
    </row>
    <row r="18" spans="1:17" x14ac:dyDescent="0.4">
      <c r="A18" s="37" t="s">
        <v>11</v>
      </c>
      <c r="B18" s="34">
        <v>3527</v>
      </c>
      <c r="C18" s="31">
        <f>IF(B$15=0,0,B18/B$15)</f>
        <v>0.56923821820529374</v>
      </c>
      <c r="E18" s="44" t="s">
        <v>153</v>
      </c>
      <c r="F18" s="41" t="s">
        <v>154</v>
      </c>
      <c r="G18" s="34">
        <v>86</v>
      </c>
      <c r="H18" s="107">
        <f>IF(B$47=0,0,G18/B$47)</f>
        <v>1.4925373134328358E-2</v>
      </c>
      <c r="I18" s="68">
        <v>5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">
      <c r="A19" s="37" t="s">
        <v>180</v>
      </c>
      <c r="B19" s="34">
        <v>2973</v>
      </c>
      <c r="C19" s="31">
        <f>IF(B$15=0,0,B19/B$15)</f>
        <v>0.47982569399612651</v>
      </c>
      <c r="E19" s="44" t="s">
        <v>79</v>
      </c>
      <c r="F19" s="41" t="s">
        <v>34</v>
      </c>
      <c r="G19" s="34">
        <v>85</v>
      </c>
      <c r="H19" s="107">
        <f>IF(B$47=0,0,G19/B$47)</f>
        <v>1.475182228392919E-2</v>
      </c>
      <c r="I19" s="68">
        <v>9</v>
      </c>
      <c r="K19" s="5">
        <v>17</v>
      </c>
      <c r="L19" s="73">
        <v>-8</v>
      </c>
      <c r="N19" s="89" t="s">
        <v>186</v>
      </c>
      <c r="O19" s="99">
        <f>IF(P19=0,0,Q19/P19)</f>
        <v>11.033505154639172</v>
      </c>
      <c r="P19" s="93">
        <v>194</v>
      </c>
      <c r="Q19" s="81">
        <v>2140.4999999999995</v>
      </c>
    </row>
    <row r="20" spans="1:17" x14ac:dyDescent="0.4">
      <c r="A20" s="37" t="s">
        <v>178</v>
      </c>
      <c r="B20" s="34">
        <v>1718</v>
      </c>
      <c r="C20" s="31">
        <f>IF(B$15=0,0,B20/B$15)</f>
        <v>0.27727566171723694</v>
      </c>
      <c r="E20" s="44" t="s">
        <v>75</v>
      </c>
      <c r="F20" s="41" t="s">
        <v>30</v>
      </c>
      <c r="G20" s="34">
        <v>37</v>
      </c>
      <c r="H20" s="107">
        <f>IF(B$47=0,0,G20/B$47)</f>
        <v>6.4213814647691774E-3</v>
      </c>
      <c r="I20" s="68">
        <v>4</v>
      </c>
      <c r="K20" s="5">
        <v>18</v>
      </c>
      <c r="L20" s="73">
        <v>0</v>
      </c>
      <c r="N20" s="89" t="s">
        <v>188</v>
      </c>
      <c r="O20" s="99">
        <f>IF(P20=0,0,Q20/P20)</f>
        <v>7.1463414634146325</v>
      </c>
      <c r="P20" s="93">
        <v>492</v>
      </c>
      <c r="Q20" s="81">
        <v>3515.9999999999991</v>
      </c>
    </row>
    <row r="21" spans="1:17" x14ac:dyDescent="0.4">
      <c r="A21" s="37" t="s">
        <v>179</v>
      </c>
      <c r="B21" s="34">
        <v>1505</v>
      </c>
      <c r="C21" s="31">
        <f>IF(B$15=0,0,B21/B$15)</f>
        <v>0.24289864428663654</v>
      </c>
      <c r="E21" s="44" t="s">
        <v>73</v>
      </c>
      <c r="F21" s="41" t="s">
        <v>28</v>
      </c>
      <c r="G21" s="34">
        <v>35</v>
      </c>
      <c r="H21" s="107">
        <f>IF(B$47=0,0,G21/B$47)</f>
        <v>6.0742797639708433E-3</v>
      </c>
      <c r="I21" s="68">
        <v>7</v>
      </c>
      <c r="K21" s="5">
        <v>19</v>
      </c>
      <c r="L21" s="73">
        <v>-6.1</v>
      </c>
      <c r="N21" s="89" t="s">
        <v>190</v>
      </c>
      <c r="O21" s="99">
        <f>IF(P21=0,0,Q21/P21)</f>
        <v>6.2651715039577835</v>
      </c>
      <c r="P21" s="93">
        <v>758</v>
      </c>
      <c r="Q21" s="81">
        <v>4749</v>
      </c>
    </row>
    <row r="22" spans="1:17" x14ac:dyDescent="0.4">
      <c r="A22" s="37" t="s">
        <v>5</v>
      </c>
      <c r="B22" s="17">
        <f>IF(B$15=0,0,C22/B$15)</f>
        <v>9058.2149774047775</v>
      </c>
      <c r="C22" s="8">
        <v>56124700</v>
      </c>
      <c r="E22" s="44" t="s">
        <v>77</v>
      </c>
      <c r="F22" s="41" t="s">
        <v>32</v>
      </c>
      <c r="G22" s="34">
        <v>34</v>
      </c>
      <c r="H22" s="107">
        <f>IF(B$47=0,0,G22/B$47)</f>
        <v>5.9007289135716767E-3</v>
      </c>
      <c r="I22" s="68">
        <v>4</v>
      </c>
      <c r="K22" s="5">
        <v>20</v>
      </c>
      <c r="L22" s="73">
        <v>4.9000000000000004</v>
      </c>
      <c r="N22" s="89" t="s">
        <v>189</v>
      </c>
      <c r="O22" s="99">
        <f>IF(P22=0,0,Q22/P22)</f>
        <v>5.8125</v>
      </c>
      <c r="P22" s="93">
        <v>8</v>
      </c>
      <c r="Q22" s="81">
        <v>46.5</v>
      </c>
    </row>
    <row r="23" spans="1:17" x14ac:dyDescent="0.4">
      <c r="A23" s="38" t="s">
        <v>162</v>
      </c>
      <c r="B23" s="114">
        <f>IF($B$15-B$14=0,0,C23/($B$15-B$14))</f>
        <v>9618.3564091112112</v>
      </c>
      <c r="C23" s="115">
        <v>43071000</v>
      </c>
      <c r="E23" s="44" t="s">
        <v>92</v>
      </c>
      <c r="F23" s="41" t="s">
        <v>47</v>
      </c>
      <c r="G23" s="34">
        <v>28</v>
      </c>
      <c r="H23" s="107">
        <f>IF(B$47=0,0,G23/B$47)</f>
        <v>4.8594238111766752E-3</v>
      </c>
      <c r="I23" s="68">
        <v>4</v>
      </c>
      <c r="K23" s="5">
        <v>21</v>
      </c>
      <c r="L23" s="73">
        <v>0</v>
      </c>
      <c r="N23" s="89" t="s">
        <v>193</v>
      </c>
      <c r="O23" s="99">
        <f>IF(P23=0,0,Q23/P23)</f>
        <v>3.0933962264151034</v>
      </c>
      <c r="P23" s="93">
        <v>848</v>
      </c>
      <c r="Q23" s="81">
        <v>2623.2000000000075</v>
      </c>
    </row>
    <row r="24" spans="1:17" x14ac:dyDescent="0.4">
      <c r="A24" s="38" t="s">
        <v>163</v>
      </c>
      <c r="B24" s="114">
        <f>IF(B$14=0,0,C24/B$14)</f>
        <v>7598.1955762514553</v>
      </c>
      <c r="C24" s="115">
        <v>13053700</v>
      </c>
      <c r="E24" s="44" t="s">
        <v>85</v>
      </c>
      <c r="F24" s="41" t="s">
        <v>40</v>
      </c>
      <c r="G24" s="34">
        <v>24</v>
      </c>
      <c r="H24" s="107">
        <f>IF(B$47=0,0,G24/B$47)</f>
        <v>4.1652204095800069E-3</v>
      </c>
      <c r="I24" s="68">
        <v>4</v>
      </c>
      <c r="K24" s="5">
        <v>22</v>
      </c>
      <c r="L24" s="73">
        <v>-36</v>
      </c>
      <c r="N24" s="89" t="s">
        <v>187</v>
      </c>
      <c r="O24" s="99">
        <f>IF(P24=0,0,Q24/P24)</f>
        <v>2.4598837209302324</v>
      </c>
      <c r="P24" s="93">
        <v>516</v>
      </c>
      <c r="Q24" s="81">
        <v>1269.3</v>
      </c>
    </row>
    <row r="25" spans="1:17" x14ac:dyDescent="0.4">
      <c r="A25" s="38" t="s">
        <v>161</v>
      </c>
      <c r="B25" s="114">
        <f>IF(B$16=0,0,C25/B$16)</f>
        <v>-8456.5880322209432</v>
      </c>
      <c r="C25" s="115">
        <v>-29395100</v>
      </c>
      <c r="E25" s="44" t="s">
        <v>74</v>
      </c>
      <c r="F25" s="41" t="s">
        <v>29</v>
      </c>
      <c r="G25" s="34">
        <v>21</v>
      </c>
      <c r="H25" s="107">
        <f>IF(B$47=0,0,G25/B$47)</f>
        <v>3.6445678583825062E-3</v>
      </c>
      <c r="I25" s="68">
        <v>7</v>
      </c>
      <c r="K25" s="5">
        <v>23</v>
      </c>
      <c r="L25" s="73">
        <v>-3</v>
      </c>
      <c r="N25" s="89" t="s">
        <v>199</v>
      </c>
      <c r="O25" s="99">
        <f>IF(P25=0,0,Q25/P25)</f>
        <v>1.1785714285714317</v>
      </c>
      <c r="P25" s="93">
        <v>56</v>
      </c>
      <c r="Q25" s="81">
        <v>66.000000000000171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16</v>
      </c>
      <c r="H26" s="107">
        <f>IF(B$47=0,0,G26/B$47)</f>
        <v>2.7768136063866713E-3</v>
      </c>
      <c r="I26" s="68">
        <v>5</v>
      </c>
      <c r="K26" s="5">
        <v>24</v>
      </c>
      <c r="L26" s="73">
        <v>0</v>
      </c>
      <c r="N26" s="89" t="s">
        <v>191</v>
      </c>
      <c r="O26" s="99">
        <f>IF(P26=0,0,Q26/P26)</f>
        <v>0.37149532710280464</v>
      </c>
      <c r="P26" s="93">
        <v>642</v>
      </c>
      <c r="Q26" s="81">
        <v>238.50000000000057</v>
      </c>
    </row>
    <row r="27" spans="1:17" x14ac:dyDescent="0.4">
      <c r="A27" s="37" t="s">
        <v>156</v>
      </c>
      <c r="B27" s="34">
        <v>35</v>
      </c>
      <c r="C27" s="109">
        <v>0</v>
      </c>
      <c r="E27" s="44" t="s">
        <v>84</v>
      </c>
      <c r="F27" s="41" t="s">
        <v>39</v>
      </c>
      <c r="G27" s="34">
        <v>14</v>
      </c>
      <c r="H27" s="107">
        <f>IF(B$47=0,0,G27/B$47)</f>
        <v>2.4297119055883376E-3</v>
      </c>
      <c r="I27" s="68">
        <v>5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13</v>
      </c>
      <c r="H28" s="107">
        <f>IF(B$47=0,0,G28/B$47)</f>
        <v>2.2561610551891705E-3</v>
      </c>
      <c r="I28" s="68">
        <v>4</v>
      </c>
      <c r="K28" s="5">
        <v>26</v>
      </c>
      <c r="L28" s="73">
        <v>11.5</v>
      </c>
      <c r="N28" s="89" t="s">
        <v>192</v>
      </c>
      <c r="O28" s="99">
        <f>IF(P28=0,0,Q28/P28)</f>
        <v>-3.4999999999999987</v>
      </c>
      <c r="P28" s="93">
        <v>78</v>
      </c>
      <c r="Q28" s="81">
        <v>-272.99999999999989</v>
      </c>
    </row>
    <row r="29" spans="1:17" x14ac:dyDescent="0.4">
      <c r="A29" s="40" t="s">
        <v>177</v>
      </c>
      <c r="B29" s="129">
        <v>149100</v>
      </c>
      <c r="C29" s="130"/>
      <c r="E29" s="44" t="s">
        <v>88</v>
      </c>
      <c r="F29" s="41" t="s">
        <v>43</v>
      </c>
      <c r="G29" s="34">
        <v>10</v>
      </c>
      <c r="H29" s="107">
        <f>IF(B$47=0,0,G29/B$47)</f>
        <v>1.7355085039916696E-3</v>
      </c>
      <c r="I29" s="68">
        <v>5</v>
      </c>
      <c r="K29" s="5">
        <v>27</v>
      </c>
      <c r="L29" s="73">
        <v>0</v>
      </c>
      <c r="N29" s="89" t="s">
        <v>195</v>
      </c>
      <c r="O29" s="99">
        <f>IF(P29=0,0,Q29/P29)</f>
        <v>-14.373688524590159</v>
      </c>
      <c r="P29" s="93">
        <v>1220</v>
      </c>
      <c r="Q29" s="81">
        <v>-17535.899999999994</v>
      </c>
    </row>
    <row r="30" spans="1:17" x14ac:dyDescent="0.4">
      <c r="A30" s="39" t="s">
        <v>135</v>
      </c>
      <c r="B30" s="27">
        <v>57</v>
      </c>
      <c r="C30" s="32">
        <f>IF(B$3=0,0,B30/B$3)</f>
        <v>2.7432861680623736E-3</v>
      </c>
      <c r="E30" s="44" t="s">
        <v>90</v>
      </c>
      <c r="F30" s="41" t="s">
        <v>45</v>
      </c>
      <c r="G30" s="34">
        <v>10</v>
      </c>
      <c r="H30" s="107">
        <f>IF(B$47=0,0,G30/B$47)</f>
        <v>1.7355085039916696E-3</v>
      </c>
      <c r="I30" s="68">
        <v>5</v>
      </c>
      <c r="K30" s="5">
        <v>28</v>
      </c>
      <c r="L30" s="73">
        <v>-31.5</v>
      </c>
      <c r="N30" s="89" t="s">
        <v>196</v>
      </c>
      <c r="O30" s="99">
        <f>IF(P30=0,0,Q30/P30)</f>
        <v>-18.166666666666668</v>
      </c>
      <c r="P30" s="93">
        <v>18</v>
      </c>
      <c r="Q30" s="81">
        <v>-327</v>
      </c>
    </row>
    <row r="31" spans="1:17" x14ac:dyDescent="0.4">
      <c r="E31" s="44" t="s">
        <v>95</v>
      </c>
      <c r="F31" s="41" t="s">
        <v>50</v>
      </c>
      <c r="G31" s="34">
        <v>6</v>
      </c>
      <c r="H31" s="107">
        <f>IF(B$47=0,0,G31/B$47)</f>
        <v>1.0413051023950017E-3</v>
      </c>
      <c r="I31" s="68">
        <v>4</v>
      </c>
      <c r="K31" s="5">
        <v>29</v>
      </c>
      <c r="L31" s="73">
        <v>36.700000000000003</v>
      </c>
      <c r="N31" s="89" t="s">
        <v>200</v>
      </c>
      <c r="O31" s="99">
        <f>IF(P31=0,0,Q31/P31)</f>
        <v>-19.950000000000003</v>
      </c>
      <c r="P31" s="93">
        <v>2</v>
      </c>
      <c r="Q31" s="81">
        <v>-39.900000000000006</v>
      </c>
    </row>
    <row r="32" spans="1:17" x14ac:dyDescent="0.4">
      <c r="A32" s="64" t="s">
        <v>168</v>
      </c>
      <c r="B32" s="122">
        <v>380</v>
      </c>
      <c r="C32" s="119">
        <f>IF(B$15=0,0,B32/B$15)</f>
        <v>6.1329890251775342E-2</v>
      </c>
      <c r="E32" s="44" t="s">
        <v>106</v>
      </c>
      <c r="F32" s="41" t="s">
        <v>113</v>
      </c>
      <c r="G32" s="34">
        <v>3</v>
      </c>
      <c r="H32" s="107">
        <f>IF(B$47=0,0,G32/B$47)</f>
        <v>5.2065255119750087E-4</v>
      </c>
      <c r="I32" s="68">
        <v>3</v>
      </c>
      <c r="K32" s="5">
        <v>30</v>
      </c>
      <c r="L32" s="73">
        <v>0</v>
      </c>
    </row>
    <row r="33" spans="1:12" x14ac:dyDescent="0.4">
      <c r="A33" s="37" t="s">
        <v>164</v>
      </c>
      <c r="B33" s="34">
        <v>851</v>
      </c>
      <c r="C33" s="31">
        <f t="shared" ref="C33:C44" si="2">IF(B$15=0,0,B33/B$15)</f>
        <v>0.13734667527437056</v>
      </c>
      <c r="E33" s="44" t="s">
        <v>97</v>
      </c>
      <c r="F33" s="41" t="s">
        <v>52</v>
      </c>
      <c r="G33" s="34">
        <v>2</v>
      </c>
      <c r="H33" s="107">
        <f>IF(B$47=0,0,G33/B$47)</f>
        <v>3.4710170079833391E-4</v>
      </c>
      <c r="I33" s="68">
        <v>3</v>
      </c>
      <c r="K33" s="5">
        <v>31</v>
      </c>
      <c r="L33" s="73">
        <v>18.3</v>
      </c>
    </row>
    <row r="34" spans="1:12" x14ac:dyDescent="0.4">
      <c r="A34" s="37" t="s">
        <v>165</v>
      </c>
      <c r="B34" s="123">
        <v>1104</v>
      </c>
      <c r="C34" s="31">
        <f>IF(B$15=0,0,B34/B$15)</f>
        <v>0.17817947062621045</v>
      </c>
      <c r="E34" s="44" t="s">
        <v>101</v>
      </c>
      <c r="F34" s="41" t="s">
        <v>56</v>
      </c>
      <c r="G34" s="34">
        <v>2</v>
      </c>
      <c r="H34" s="107">
        <f>IF(B$47=0,0,G34/B$47)</f>
        <v>3.4710170079833391E-4</v>
      </c>
      <c r="I34" s="68">
        <v>2</v>
      </c>
      <c r="K34" s="5">
        <v>32</v>
      </c>
      <c r="L34" s="73">
        <v>8.6000000000000014</v>
      </c>
    </row>
    <row r="35" spans="1:12" x14ac:dyDescent="0.4">
      <c r="A35" s="37" t="s">
        <v>166</v>
      </c>
      <c r="B35" s="123">
        <v>1083</v>
      </c>
      <c r="C35" s="31">
        <f t="shared" si="2"/>
        <v>0.17479018721755971</v>
      </c>
      <c r="E35" s="44" t="s">
        <v>80</v>
      </c>
      <c r="F35" s="41" t="s">
        <v>35</v>
      </c>
      <c r="G35" s="34">
        <v>1</v>
      </c>
      <c r="H35" s="107">
        <f>IF(B$47=0,0,G35/B$47)</f>
        <v>1.7355085039916696E-4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37" t="s">
        <v>167</v>
      </c>
      <c r="B36" s="123">
        <v>909</v>
      </c>
      <c r="C36" s="31">
        <f t="shared" si="2"/>
        <v>0.14670755326016785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">
      <c r="A37" s="37" t="s">
        <v>169</v>
      </c>
      <c r="B37" s="123">
        <v>588</v>
      </c>
      <c r="C37" s="31">
        <f t="shared" si="2"/>
        <v>9.4899935442220792E-2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170</v>
      </c>
      <c r="B38" s="123">
        <v>363</v>
      </c>
      <c r="C38" s="31">
        <f t="shared" si="2"/>
        <v>5.8586184635248548E-2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171</v>
      </c>
      <c r="B39" s="123">
        <v>198</v>
      </c>
      <c r="C39" s="31">
        <f t="shared" si="2"/>
        <v>3.195610071013557E-2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172</v>
      </c>
      <c r="B40" s="123">
        <v>114</v>
      </c>
      <c r="C40" s="31">
        <f t="shared" si="2"/>
        <v>1.8398967075532603E-2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173</v>
      </c>
      <c r="B41" s="123">
        <v>56</v>
      </c>
      <c r="C41" s="31">
        <f t="shared" si="2"/>
        <v>9.0380890897353138E-3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174</v>
      </c>
      <c r="B42" s="123">
        <v>30</v>
      </c>
      <c r="C42" s="31">
        <f t="shared" si="2"/>
        <v>4.8418334409296316E-3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175</v>
      </c>
      <c r="B43" s="123">
        <v>14</v>
      </c>
      <c r="C43" s="31">
        <f t="shared" si="2"/>
        <v>2.2595222724338285E-3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9" t="s">
        <v>176</v>
      </c>
      <c r="B44" s="124">
        <v>72</v>
      </c>
      <c r="C44" s="32">
        <f t="shared" si="2"/>
        <v>1.1620400258231117E-2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64" t="s">
        <v>181</v>
      </c>
      <c r="B46" s="127">
        <v>19362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9" t="s">
        <v>182</v>
      </c>
      <c r="B47" s="125">
        <v>5762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">
      <c r="K53" s="5">
        <v>51</v>
      </c>
      <c r="L53" s="73">
        <v>7.1054273576010019E-15</v>
      </c>
    </row>
    <row r="54" spans="5:12" x14ac:dyDescent="0.4">
      <c r="K54" s="5">
        <v>52</v>
      </c>
      <c r="L54" s="73">
        <v>14.900000000000007</v>
      </c>
    </row>
    <row r="55" spans="5:12" x14ac:dyDescent="0.4">
      <c r="K55" s="5">
        <v>53</v>
      </c>
      <c r="L55" s="73">
        <v>1.2000000000000082</v>
      </c>
    </row>
    <row r="56" spans="5:12" x14ac:dyDescent="0.4">
      <c r="K56" s="5">
        <v>54</v>
      </c>
      <c r="L56" s="73">
        <v>8.2156503822261584E-15</v>
      </c>
    </row>
    <row r="57" spans="5:12" x14ac:dyDescent="0.4">
      <c r="K57" s="5">
        <v>55</v>
      </c>
      <c r="L57" s="73">
        <v>57.20000000000001</v>
      </c>
    </row>
    <row r="58" spans="5:12" x14ac:dyDescent="0.4">
      <c r="K58" s="5">
        <v>56</v>
      </c>
      <c r="L58" s="73">
        <v>18.800000000000011</v>
      </c>
    </row>
    <row r="59" spans="5:12" x14ac:dyDescent="0.4">
      <c r="K59" s="5">
        <v>57</v>
      </c>
      <c r="L59" s="73">
        <v>1.0658141036401503E-14</v>
      </c>
    </row>
    <row r="60" spans="5:12" x14ac:dyDescent="0.4">
      <c r="K60" s="5">
        <v>58</v>
      </c>
      <c r="L60" s="73">
        <v>26.20000000000001</v>
      </c>
    </row>
    <row r="61" spans="5:12" x14ac:dyDescent="0.4">
      <c r="K61" s="5">
        <v>59</v>
      </c>
      <c r="L61" s="73">
        <v>1.0000000000000107</v>
      </c>
    </row>
    <row r="62" spans="5:12" x14ac:dyDescent="0.4">
      <c r="K62" s="5">
        <v>60</v>
      </c>
      <c r="L62" s="73">
        <v>1.0658141036401503E-14</v>
      </c>
    </row>
    <row r="63" spans="5:12" x14ac:dyDescent="0.4">
      <c r="K63" s="5">
        <v>61</v>
      </c>
      <c r="L63" s="73">
        <v>56.500000000000014</v>
      </c>
    </row>
    <row r="64" spans="5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8.7041485130612273E-14</v>
      </c>
    </row>
    <row r="2218" spans="11:12" x14ac:dyDescent="0.4">
      <c r="K2218" s="5">
        <v>2216</v>
      </c>
      <c r="L2218" s="73">
        <v>8.7041485130612273E-14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6.8000000000000869</v>
      </c>
    </row>
    <row r="2221" spans="11:12" x14ac:dyDescent="0.4">
      <c r="K2221" s="5">
        <v>2219</v>
      </c>
      <c r="L2221" s="73">
        <v>31.600000000000087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-16.099999999999916</v>
      </c>
    </row>
    <row r="2224" spans="11:12" x14ac:dyDescent="0.4">
      <c r="K2224" s="5">
        <v>2222</v>
      </c>
      <c r="L2224" s="73">
        <v>26.900000000000084</v>
      </c>
    </row>
    <row r="2225" spans="11:12" x14ac:dyDescent="0.4">
      <c r="K2225" s="5">
        <v>2223</v>
      </c>
      <c r="L2225" s="73">
        <v>8.7041485130612273E-14</v>
      </c>
    </row>
    <row r="2226" spans="11:12" x14ac:dyDescent="0.4">
      <c r="K2226" s="5">
        <v>2224</v>
      </c>
      <c r="L2226" s="73">
        <v>6.6000000000000867</v>
      </c>
    </row>
    <row r="2227" spans="11:12" x14ac:dyDescent="0.4">
      <c r="K2227" s="5">
        <v>2225</v>
      </c>
      <c r="L2227" s="73">
        <v>28.800000000000082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4.4000000000000838</v>
      </c>
    </row>
    <row r="2230" spans="11:12" x14ac:dyDescent="0.4">
      <c r="K2230" s="5">
        <v>2228</v>
      </c>
      <c r="L2230" s="73">
        <v>20.300000000000082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18.300000000000082</v>
      </c>
    </row>
    <row r="2233" spans="11:12" x14ac:dyDescent="0.4">
      <c r="K2233" s="5">
        <v>2231</v>
      </c>
      <c r="L2233" s="73">
        <v>16.700000000000081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19.200000000000081</v>
      </c>
    </row>
    <row r="2236" spans="11:12" x14ac:dyDescent="0.4">
      <c r="K2236" s="5">
        <v>2234</v>
      </c>
      <c r="L2236" s="73">
        <v>27.800000000000082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12.400000000000084</v>
      </c>
    </row>
    <row r="2239" spans="11:12" x14ac:dyDescent="0.4">
      <c r="K2239" s="5">
        <v>2237</v>
      </c>
      <c r="L2239" s="73">
        <v>13.000000000000083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61.500000000000085</v>
      </c>
    </row>
    <row r="2242" spans="11:12" x14ac:dyDescent="0.4">
      <c r="K2242" s="5">
        <v>2240</v>
      </c>
      <c r="L2242" s="73">
        <v>8.8000000000000842</v>
      </c>
    </row>
    <row r="2243" spans="11:12" x14ac:dyDescent="0.4">
      <c r="K2243" s="5">
        <v>2241</v>
      </c>
      <c r="L2243" s="73">
        <v>8.3488771451811772E-14</v>
      </c>
    </row>
    <row r="2244" spans="11:12" x14ac:dyDescent="0.4">
      <c r="K2244" s="5">
        <v>2242</v>
      </c>
      <c r="L2244" s="73">
        <v>-1.9999999999999165</v>
      </c>
    </row>
    <row r="2245" spans="11:12" x14ac:dyDescent="0.4">
      <c r="K2245" s="5">
        <v>2243</v>
      </c>
      <c r="L2245" s="73">
        <v>35.200000000000088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30.500000000000085</v>
      </c>
    </row>
    <row r="2248" spans="11:12" x14ac:dyDescent="0.4">
      <c r="K2248" s="5">
        <v>2246</v>
      </c>
      <c r="L2248" s="73">
        <v>34.900000000000084</v>
      </c>
    </row>
    <row r="2249" spans="11:12" x14ac:dyDescent="0.4">
      <c r="K2249" s="5">
        <v>2247</v>
      </c>
      <c r="L2249" s="73">
        <v>8.7041485130612273E-14</v>
      </c>
    </row>
    <row r="2250" spans="11:12" x14ac:dyDescent="0.4">
      <c r="K2250" s="5">
        <v>2248</v>
      </c>
      <c r="L2250" s="73">
        <v>12.200000000000086</v>
      </c>
    </row>
    <row r="2251" spans="11:12" x14ac:dyDescent="0.4">
      <c r="K2251" s="5">
        <v>2249</v>
      </c>
      <c r="L2251" s="73">
        <v>-40.599999999999909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32.400000000000091</v>
      </c>
    </row>
    <row r="2254" spans="11:12" x14ac:dyDescent="0.4">
      <c r="K2254" s="5">
        <v>2252</v>
      </c>
      <c r="L2254" s="73">
        <v>48.000000000000092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55.100000000000094</v>
      </c>
    </row>
    <row r="2257" spans="11:12" x14ac:dyDescent="0.4">
      <c r="K2257" s="5">
        <v>2255</v>
      </c>
      <c r="L2257" s="73">
        <v>35.100000000000094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40.900000000000091</v>
      </c>
    </row>
    <row r="2260" spans="11:12" x14ac:dyDescent="0.4">
      <c r="K2260" s="5">
        <v>2258</v>
      </c>
      <c r="L2260" s="73">
        <v>31.700000000000095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-1.3999999999999058</v>
      </c>
    </row>
    <row r="2263" spans="11:12" x14ac:dyDescent="0.4">
      <c r="K2263" s="5">
        <v>2261</v>
      </c>
      <c r="L2263" s="73">
        <v>-18.399999999999906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-8.6999999999999051</v>
      </c>
    </row>
    <row r="2266" spans="11:12" x14ac:dyDescent="0.4">
      <c r="K2266" s="5">
        <v>2264</v>
      </c>
      <c r="L2266" s="73">
        <v>-35.499999999999908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28.800000000000097</v>
      </c>
    </row>
    <row r="2269" spans="11:12" x14ac:dyDescent="0.4">
      <c r="K2269" s="5">
        <v>2267</v>
      </c>
      <c r="L2269" s="73">
        <v>41.400000000000091</v>
      </c>
    </row>
    <row r="2270" spans="11:12" x14ac:dyDescent="0.4">
      <c r="K2270" s="5">
        <v>2268</v>
      </c>
      <c r="L2270" s="73">
        <v>9.4146912488213275E-14</v>
      </c>
    </row>
    <row r="2271" spans="11:12" x14ac:dyDescent="0.4">
      <c r="K2271" s="5">
        <v>2269</v>
      </c>
      <c r="L2271" s="73">
        <v>12.600000000000094</v>
      </c>
    </row>
    <row r="2272" spans="11:12" x14ac:dyDescent="0.4">
      <c r="K2272" s="5">
        <v>2270</v>
      </c>
      <c r="L2272" s="73">
        <v>-28.699999999999903</v>
      </c>
    </row>
    <row r="2273" spans="11:12" x14ac:dyDescent="0.4">
      <c r="K2273" s="5">
        <v>2271</v>
      </c>
      <c r="L2273" s="73">
        <v>9.7699626167013776E-14</v>
      </c>
    </row>
    <row r="2274" spans="11:12" x14ac:dyDescent="0.4">
      <c r="K2274" s="5">
        <v>2272</v>
      </c>
      <c r="L2274" s="73">
        <v>14.900000000000098</v>
      </c>
    </row>
    <row r="2275" spans="11:12" x14ac:dyDescent="0.4">
      <c r="K2275" s="5">
        <v>2273</v>
      </c>
      <c r="L2275" s="73">
        <v>42.700000000000095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-23.999999999999908</v>
      </c>
    </row>
    <row r="2278" spans="11:12" x14ac:dyDescent="0.4">
      <c r="K2278" s="5">
        <v>2276</v>
      </c>
      <c r="L2278" s="73">
        <v>-25.599999999999909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4.0000000000000941</v>
      </c>
    </row>
    <row r="2281" spans="11:12" x14ac:dyDescent="0.4">
      <c r="K2281" s="5">
        <v>2279</v>
      </c>
      <c r="L2281" s="73">
        <v>-24.099999999999909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-4.4999999999999059</v>
      </c>
    </row>
    <row r="2284" spans="11:12" x14ac:dyDescent="0.4">
      <c r="K2284" s="5">
        <v>2282</v>
      </c>
      <c r="L2284" s="73">
        <v>-34.499999999999908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-30.499999999999908</v>
      </c>
    </row>
    <row r="2287" spans="11:12" x14ac:dyDescent="0.4">
      <c r="K2287" s="5">
        <v>2285</v>
      </c>
      <c r="L2287" s="73">
        <v>-33.799999999999905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-31.299999999999905</v>
      </c>
    </row>
    <row r="2290" spans="11:12" x14ac:dyDescent="0.4">
      <c r="K2290" s="5">
        <v>2288</v>
      </c>
      <c r="L2290" s="73">
        <v>-6.4999999999999059</v>
      </c>
    </row>
    <row r="2291" spans="11:12" x14ac:dyDescent="0.4">
      <c r="K2291" s="5">
        <v>2289</v>
      </c>
      <c r="L2291" s="73">
        <v>9.4146912488213275E-14</v>
      </c>
    </row>
    <row r="2292" spans="11:12" x14ac:dyDescent="0.4">
      <c r="K2292" s="5">
        <v>2290</v>
      </c>
      <c r="L2292" s="73">
        <v>-22.399999999999906</v>
      </c>
    </row>
    <row r="2293" spans="11:12" x14ac:dyDescent="0.4">
      <c r="K2293" s="5">
        <v>2291</v>
      </c>
      <c r="L2293" s="73">
        <v>3.1000000000000956</v>
      </c>
    </row>
    <row r="2294" spans="11:12" x14ac:dyDescent="0.4">
      <c r="K2294" s="5">
        <v>2292</v>
      </c>
      <c r="L2294" s="73">
        <v>9.5479180117763462E-14</v>
      </c>
    </row>
    <row r="2295" spans="11:12" x14ac:dyDescent="0.4">
      <c r="K2295" s="5">
        <v>2293</v>
      </c>
      <c r="L2295" s="73">
        <v>1.3000000000000955</v>
      </c>
    </row>
    <row r="2296" spans="11:12" x14ac:dyDescent="0.4">
      <c r="K2296" s="5">
        <v>2294</v>
      </c>
      <c r="L2296" s="73">
        <v>26.100000000000094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5.6000000000000938</v>
      </c>
    </row>
    <row r="2299" spans="11:12" x14ac:dyDescent="0.4">
      <c r="K2299" s="5">
        <v>2297</v>
      </c>
      <c r="L2299" s="73">
        <v>-19.399999999999906</v>
      </c>
    </row>
    <row r="2300" spans="11:12" x14ac:dyDescent="0.4">
      <c r="K2300" s="5">
        <v>2298</v>
      </c>
      <c r="L2300" s="73">
        <v>9.4146912488213275E-14</v>
      </c>
    </row>
    <row r="2301" spans="11:12" x14ac:dyDescent="0.4">
      <c r="K2301" s="5">
        <v>2299</v>
      </c>
      <c r="L2301" s="73">
        <v>14.800000000000095</v>
      </c>
    </row>
    <row r="2302" spans="11:12" x14ac:dyDescent="0.4">
      <c r="K2302" s="5">
        <v>2300</v>
      </c>
      <c r="L2302" s="73">
        <v>14.200000000000095</v>
      </c>
    </row>
    <row r="2303" spans="11:12" x14ac:dyDescent="0.4">
      <c r="K2303" s="5">
        <v>2301</v>
      </c>
      <c r="L2303" s="73">
        <v>9.5923269327613525E-14</v>
      </c>
    </row>
    <row r="2304" spans="11:12" x14ac:dyDescent="0.4">
      <c r="K2304" s="5">
        <v>2302</v>
      </c>
      <c r="L2304" s="73">
        <v>-42.299999999999905</v>
      </c>
    </row>
    <row r="2305" spans="11:12" x14ac:dyDescent="0.4">
      <c r="K2305" s="5">
        <v>2303</v>
      </c>
      <c r="L2305" s="73">
        <v>-49.099999999999902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11.400000000000102</v>
      </c>
    </row>
    <row r="2308" spans="11:12" x14ac:dyDescent="0.4">
      <c r="K2308" s="5">
        <v>2306</v>
      </c>
      <c r="L2308" s="73">
        <v>53.400000000000098</v>
      </c>
    </row>
    <row r="2309" spans="11:12" x14ac:dyDescent="0.4">
      <c r="K2309" s="5">
        <v>2307</v>
      </c>
      <c r="L2309" s="73">
        <v>1.0125233984581428E-13</v>
      </c>
    </row>
    <row r="2310" spans="11:12" x14ac:dyDescent="0.4">
      <c r="K2310" s="5">
        <v>2308</v>
      </c>
      <c r="L2310" s="73">
        <v>22.200000000000102</v>
      </c>
    </row>
    <row r="2311" spans="11:12" x14ac:dyDescent="0.4">
      <c r="K2311" s="5">
        <v>2309</v>
      </c>
      <c r="L2311" s="73">
        <v>-9.3999999999999009</v>
      </c>
    </row>
    <row r="2312" spans="11:12" x14ac:dyDescent="0.4">
      <c r="K2312" s="5">
        <v>2310</v>
      </c>
      <c r="L2312" s="73">
        <v>9.9475983006414026E-14</v>
      </c>
    </row>
    <row r="2313" spans="11:12" x14ac:dyDescent="0.4">
      <c r="K2313" s="5">
        <v>2311</v>
      </c>
      <c r="L2313" s="73">
        <v>9.1000000000000991</v>
      </c>
    </row>
    <row r="2314" spans="11:12" x14ac:dyDescent="0.4">
      <c r="K2314" s="5">
        <v>2312</v>
      </c>
      <c r="L2314" s="73">
        <v>-20.399999999999899</v>
      </c>
    </row>
    <row r="2315" spans="11:12" x14ac:dyDescent="0.4">
      <c r="K2315" s="5">
        <v>2313</v>
      </c>
      <c r="L2315" s="73">
        <v>9.7699626167013776E-14</v>
      </c>
    </row>
    <row r="2316" spans="11:12" x14ac:dyDescent="0.4">
      <c r="K2316" s="5">
        <v>2314</v>
      </c>
      <c r="L2316" s="73">
        <v>-36.099999999999909</v>
      </c>
    </row>
    <row r="2317" spans="11:12" x14ac:dyDescent="0.4">
      <c r="K2317" s="5">
        <v>2315</v>
      </c>
      <c r="L2317" s="73">
        <v>-7.2999999999999066</v>
      </c>
    </row>
    <row r="2318" spans="11:12" x14ac:dyDescent="0.4">
      <c r="K2318" s="5">
        <v>2316</v>
      </c>
      <c r="L2318" s="73">
        <v>9.3258734068513149E-14</v>
      </c>
    </row>
    <row r="2319" spans="11:12" x14ac:dyDescent="0.4">
      <c r="K2319" s="5">
        <v>2317</v>
      </c>
      <c r="L2319" s="73">
        <v>-2.9999999999999067</v>
      </c>
    </row>
    <row r="2320" spans="11:12" x14ac:dyDescent="0.4">
      <c r="K2320" s="5">
        <v>2318</v>
      </c>
      <c r="L2320" s="73">
        <v>-31.499999999999908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32.500000000000092</v>
      </c>
    </row>
    <row r="2323" spans="11:12" x14ac:dyDescent="0.4">
      <c r="K2323" s="5">
        <v>2321</v>
      </c>
      <c r="L2323" s="73">
        <v>21.300000000000097</v>
      </c>
    </row>
    <row r="2324" spans="11:12" x14ac:dyDescent="0.4">
      <c r="K2324" s="5">
        <v>2322</v>
      </c>
      <c r="L2324" s="73">
        <v>9.4146912488213275E-14</v>
      </c>
    </row>
    <row r="2325" spans="11:12" x14ac:dyDescent="0.4">
      <c r="K2325" s="5">
        <v>2323</v>
      </c>
      <c r="L2325" s="73">
        <v>-22.399999999999906</v>
      </c>
    </row>
    <row r="2326" spans="11:12" x14ac:dyDescent="0.4">
      <c r="K2326" s="5">
        <v>2324</v>
      </c>
      <c r="L2326" s="73">
        <v>-69.099999999999909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15.200000000000086</v>
      </c>
    </row>
    <row r="2329" spans="11:12" x14ac:dyDescent="0.4">
      <c r="K2329" s="5">
        <v>2327</v>
      </c>
      <c r="L2329" s="73">
        <v>18.30000000000009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1.6000000000000871</v>
      </c>
    </row>
    <row r="2332" spans="11:12" x14ac:dyDescent="0.4">
      <c r="K2332" s="5">
        <v>2330</v>
      </c>
      <c r="L2332" s="73">
        <v>-48.899999999999913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26.80000000000009</v>
      </c>
    </row>
    <row r="2335" spans="11:12" x14ac:dyDescent="0.4">
      <c r="K2335" s="5">
        <v>2333</v>
      </c>
      <c r="L2335" s="73">
        <v>40.100000000000087</v>
      </c>
    </row>
    <row r="2336" spans="11:12" x14ac:dyDescent="0.4">
      <c r="K2336" s="5">
        <v>2334</v>
      </c>
      <c r="L2336" s="73">
        <v>8.7041485130612273E-14</v>
      </c>
    </row>
    <row r="2337" spans="11:12" x14ac:dyDescent="0.4">
      <c r="K2337" s="5">
        <v>2335</v>
      </c>
      <c r="L2337" s="73">
        <v>-21.299999999999912</v>
      </c>
    </row>
    <row r="2338" spans="11:12" x14ac:dyDescent="0.4">
      <c r="K2338" s="5">
        <v>2336</v>
      </c>
      <c r="L2338" s="73">
        <v>-4.6999999999999122</v>
      </c>
    </row>
    <row r="2339" spans="11:12" x14ac:dyDescent="0.4">
      <c r="K2339" s="5">
        <v>2337</v>
      </c>
      <c r="L2339" s="73">
        <v>8.7929663550312398E-14</v>
      </c>
    </row>
    <row r="2340" spans="11:12" x14ac:dyDescent="0.4">
      <c r="K2340" s="5">
        <v>2338</v>
      </c>
      <c r="L2340" s="73">
        <v>-29.899999999999913</v>
      </c>
    </row>
    <row r="2341" spans="11:12" x14ac:dyDescent="0.4">
      <c r="K2341" s="5">
        <v>2339</v>
      </c>
      <c r="L2341" s="73">
        <v>-5.0999999999999108</v>
      </c>
    </row>
    <row r="2342" spans="11:12" x14ac:dyDescent="0.4">
      <c r="K2342" s="5">
        <v>2340</v>
      </c>
      <c r="L2342" s="73">
        <v>8.8817841970012523E-14</v>
      </c>
    </row>
    <row r="2343" spans="11:12" x14ac:dyDescent="0.4">
      <c r="K2343" s="5">
        <v>2341</v>
      </c>
      <c r="L2343" s="73">
        <v>-13.799999999999912</v>
      </c>
    </row>
    <row r="2344" spans="11:12" x14ac:dyDescent="0.4">
      <c r="K2344" s="5">
        <v>2342</v>
      </c>
      <c r="L2344" s="73">
        <v>-39.299999999999912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10.900000000000087</v>
      </c>
    </row>
    <row r="2347" spans="11:12" x14ac:dyDescent="0.4">
      <c r="K2347" s="5">
        <v>2345</v>
      </c>
      <c r="L2347" s="73">
        <v>55.900000000000084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6.000000000000087</v>
      </c>
    </row>
    <row r="2350" spans="11:12" x14ac:dyDescent="0.4">
      <c r="K2350" s="5">
        <v>2348</v>
      </c>
      <c r="L2350" s="73">
        <v>-23.599999999999916</v>
      </c>
    </row>
    <row r="2351" spans="11:12" x14ac:dyDescent="0.4">
      <c r="K2351" s="5">
        <v>2349</v>
      </c>
      <c r="L2351" s="73">
        <v>8.7041485130612273E-14</v>
      </c>
    </row>
    <row r="2352" spans="11:12" x14ac:dyDescent="0.4">
      <c r="K2352" s="5">
        <v>2350</v>
      </c>
      <c r="L2352" s="73">
        <v>-15.299999999999914</v>
      </c>
    </row>
    <row r="2353" spans="11:12" x14ac:dyDescent="0.4">
      <c r="K2353" s="5">
        <v>2351</v>
      </c>
      <c r="L2353" s="73">
        <v>1.8000000000000878</v>
      </c>
    </row>
    <row r="2354" spans="11:12" x14ac:dyDescent="0.4">
      <c r="K2354" s="5">
        <v>2352</v>
      </c>
      <c r="L2354" s="73">
        <v>8.7707618945387367E-14</v>
      </c>
    </row>
    <row r="2355" spans="11:12" x14ac:dyDescent="0.4">
      <c r="K2355" s="5">
        <v>2353</v>
      </c>
      <c r="L2355" s="73">
        <v>34.600000000000087</v>
      </c>
    </row>
    <row r="2356" spans="11:12" x14ac:dyDescent="0.4">
      <c r="K2356" s="5">
        <v>2354</v>
      </c>
      <c r="L2356" s="73">
        <v>-19.899999999999913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-6.499999999999913</v>
      </c>
    </row>
    <row r="2359" spans="11:12" x14ac:dyDescent="0.4">
      <c r="K2359" s="5">
        <v>2357</v>
      </c>
      <c r="L2359" s="73">
        <v>36.700000000000088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-25.299999999999912</v>
      </c>
    </row>
    <row r="2362" spans="11:12" x14ac:dyDescent="0.4">
      <c r="K2362" s="5">
        <v>2360</v>
      </c>
      <c r="L2362" s="73">
        <v>-20.599999999999916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-20.899999999999913</v>
      </c>
    </row>
    <row r="2365" spans="11:12" x14ac:dyDescent="0.4">
      <c r="K2365" s="5">
        <v>2363</v>
      </c>
      <c r="L2365" s="73">
        <v>-3.999999999999913</v>
      </c>
    </row>
    <row r="2366" spans="11:12" x14ac:dyDescent="0.4">
      <c r="K2366" s="5">
        <v>2364</v>
      </c>
      <c r="L2366" s="73">
        <v>8.7041485130612273E-14</v>
      </c>
    </row>
    <row r="2367" spans="11:12" x14ac:dyDescent="0.4">
      <c r="K2367" s="5">
        <v>2365</v>
      </c>
      <c r="L2367" s="73">
        <v>16.500000000000085</v>
      </c>
    </row>
    <row r="2368" spans="11:12" x14ac:dyDescent="0.4">
      <c r="K2368" s="5">
        <v>2366</v>
      </c>
      <c r="L2368" s="73">
        <v>0.60000000000008669</v>
      </c>
    </row>
    <row r="2369" spans="11:12" x14ac:dyDescent="0.4">
      <c r="K2369" s="5">
        <v>2367</v>
      </c>
      <c r="L2369" s="73">
        <v>8.6708418223224726E-14</v>
      </c>
    </row>
    <row r="2370" spans="11:12" x14ac:dyDescent="0.4">
      <c r="K2370" s="5">
        <v>2368</v>
      </c>
      <c r="L2370" s="73">
        <v>3.5000000000000866</v>
      </c>
    </row>
    <row r="2371" spans="11:12" x14ac:dyDescent="0.4">
      <c r="K2371" s="5">
        <v>2369</v>
      </c>
      <c r="L2371" s="73">
        <v>39.000000000000085</v>
      </c>
    </row>
    <row r="2372" spans="11:12" x14ac:dyDescent="0.4">
      <c r="K2372" s="5">
        <v>2370</v>
      </c>
      <c r="L2372" s="73">
        <v>8.7041485130612273E-14</v>
      </c>
    </row>
    <row r="2373" spans="11:12" x14ac:dyDescent="0.4">
      <c r="K2373" s="5">
        <v>2371</v>
      </c>
      <c r="L2373" s="73">
        <v>-32.999999999999915</v>
      </c>
    </row>
    <row r="2374" spans="11:12" x14ac:dyDescent="0.4">
      <c r="K2374" s="5">
        <v>2372</v>
      </c>
      <c r="L2374" s="73">
        <v>45.60000000000008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-24.099999999999923</v>
      </c>
    </row>
    <row r="2377" spans="11:12" x14ac:dyDescent="0.4">
      <c r="K2377" s="5">
        <v>2375</v>
      </c>
      <c r="L2377" s="73">
        <v>-23.799999999999919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10.300000000000081</v>
      </c>
    </row>
    <row r="2380" spans="11:12" x14ac:dyDescent="0.4">
      <c r="K2380" s="5">
        <v>2378</v>
      </c>
      <c r="L2380" s="73">
        <v>45.400000000000077</v>
      </c>
    </row>
    <row r="2381" spans="11:12" x14ac:dyDescent="0.4">
      <c r="K2381" s="5">
        <v>2379</v>
      </c>
      <c r="L2381" s="73">
        <v>7.9936057773011271E-14</v>
      </c>
    </row>
    <row r="2382" spans="11:12" x14ac:dyDescent="0.4">
      <c r="K2382" s="5">
        <v>2380</v>
      </c>
      <c r="L2382" s="73">
        <v>26.700000000000081</v>
      </c>
    </row>
    <row r="2383" spans="11:12" x14ac:dyDescent="0.4">
      <c r="K2383" s="5">
        <v>2381</v>
      </c>
      <c r="L2383" s="73">
        <v>22.300000000000075</v>
      </c>
    </row>
    <row r="2384" spans="11:12" x14ac:dyDescent="0.4">
      <c r="K2384" s="5">
        <v>2382</v>
      </c>
      <c r="L2384" s="73">
        <v>7.638334409421077E-14</v>
      </c>
    </row>
    <row r="2385" spans="11:12" x14ac:dyDescent="0.4">
      <c r="K2385" s="5">
        <v>2383</v>
      </c>
      <c r="L2385" s="73">
        <v>-28.89999999999992</v>
      </c>
    </row>
    <row r="2386" spans="11:12" x14ac:dyDescent="0.4">
      <c r="K2386" s="5">
        <v>2384</v>
      </c>
      <c r="L2386" s="73">
        <v>-43.099999999999923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21.500000000000078</v>
      </c>
    </row>
    <row r="2389" spans="11:12" x14ac:dyDescent="0.4">
      <c r="K2389" s="5">
        <v>2387</v>
      </c>
      <c r="L2389" s="73">
        <v>24.000000000000078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-25.099999999999923</v>
      </c>
    </row>
    <row r="2392" spans="11:12" x14ac:dyDescent="0.4">
      <c r="K2392" s="5">
        <v>2390</v>
      </c>
      <c r="L2392" s="73">
        <v>5.0000000000000799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3.0000000000000799</v>
      </c>
    </row>
    <row r="2395" spans="11:12" x14ac:dyDescent="0.4">
      <c r="K2395" s="5">
        <v>2393</v>
      </c>
      <c r="L2395" s="73">
        <v>37.10000000000008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-1.89999999999992</v>
      </c>
    </row>
    <row r="2398" spans="11:12" x14ac:dyDescent="0.4">
      <c r="K2398" s="5">
        <v>2396</v>
      </c>
      <c r="L2398" s="73">
        <v>-27.699999999999918</v>
      </c>
    </row>
    <row r="2399" spans="11:12" x14ac:dyDescent="0.4">
      <c r="K2399" s="5">
        <v>2397</v>
      </c>
      <c r="L2399" s="73">
        <v>7.9936057773011271E-14</v>
      </c>
    </row>
    <row r="2400" spans="11:12" x14ac:dyDescent="0.4">
      <c r="K2400" s="5">
        <v>2398</v>
      </c>
      <c r="L2400" s="73">
        <v>35.900000000000077</v>
      </c>
    </row>
    <row r="2401" spans="11:12" x14ac:dyDescent="0.4">
      <c r="K2401" s="5">
        <v>2399</v>
      </c>
      <c r="L2401" s="73">
        <v>45.200000000000074</v>
      </c>
    </row>
    <row r="2402" spans="11:12" x14ac:dyDescent="0.4">
      <c r="K2402" s="5">
        <v>2400</v>
      </c>
      <c r="L2402" s="73">
        <v>7.2830630415410269E-14</v>
      </c>
    </row>
    <row r="2403" spans="11:12" x14ac:dyDescent="0.4">
      <c r="K2403" s="5">
        <v>2401</v>
      </c>
      <c r="L2403" s="73">
        <v>37.40000000000007</v>
      </c>
    </row>
    <row r="2404" spans="11:12" x14ac:dyDescent="0.4">
      <c r="K2404" s="5">
        <v>2402</v>
      </c>
      <c r="L2404" s="73">
        <v>59.100000000000065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-3.4999999999999343</v>
      </c>
    </row>
    <row r="2407" spans="11:12" x14ac:dyDescent="0.4">
      <c r="K2407" s="5">
        <v>2405</v>
      </c>
      <c r="L2407" s="73">
        <v>16.000000000000064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28.100000000000065</v>
      </c>
    </row>
    <row r="2410" spans="11:12" x14ac:dyDescent="0.4">
      <c r="K2410" s="5">
        <v>2408</v>
      </c>
      <c r="L2410" s="73">
        <v>41.700000000000067</v>
      </c>
    </row>
    <row r="2411" spans="11:12" x14ac:dyDescent="0.4">
      <c r="K2411" s="5">
        <v>2409</v>
      </c>
      <c r="L2411" s="73">
        <v>6.5725203057809267E-14</v>
      </c>
    </row>
    <row r="2412" spans="11:12" x14ac:dyDescent="0.4">
      <c r="K2412" s="5">
        <v>2410</v>
      </c>
      <c r="L2412" s="73">
        <v>51.900000000000063</v>
      </c>
    </row>
    <row r="2413" spans="11:12" x14ac:dyDescent="0.4">
      <c r="K2413" s="5">
        <v>2411</v>
      </c>
      <c r="L2413" s="73">
        <v>2.4000000000000643</v>
      </c>
    </row>
    <row r="2414" spans="11:12" x14ac:dyDescent="0.4">
      <c r="K2414" s="5">
        <v>2412</v>
      </c>
      <c r="L2414" s="73">
        <v>6.4392935428259079E-14</v>
      </c>
    </row>
    <row r="2415" spans="11:12" x14ac:dyDescent="0.4">
      <c r="K2415" s="5">
        <v>2413</v>
      </c>
      <c r="L2415" s="73">
        <v>-17.099999999999937</v>
      </c>
    </row>
    <row r="2416" spans="11:12" x14ac:dyDescent="0.4">
      <c r="K2416" s="5">
        <v>2414</v>
      </c>
      <c r="L2416" s="73">
        <v>-21.899999999999935</v>
      </c>
    </row>
    <row r="2417" spans="11:12" x14ac:dyDescent="0.4">
      <c r="K2417" s="5">
        <v>2415</v>
      </c>
      <c r="L2417" s="73">
        <v>6.2172489379008766E-14</v>
      </c>
    </row>
    <row r="2418" spans="11:12" x14ac:dyDescent="0.4">
      <c r="K2418" s="5">
        <v>2416</v>
      </c>
      <c r="L2418" s="73">
        <v>-46.099999999999937</v>
      </c>
    </row>
    <row r="2419" spans="11:12" x14ac:dyDescent="0.4">
      <c r="K2419" s="5">
        <v>2417</v>
      </c>
      <c r="L2419" s="73">
        <v>-41.899999999999935</v>
      </c>
    </row>
    <row r="2420" spans="11:12" x14ac:dyDescent="0.4">
      <c r="K2420" s="5">
        <v>2418</v>
      </c>
      <c r="L2420" s="73">
        <v>6.5725203057809267E-14</v>
      </c>
    </row>
    <row r="2421" spans="11:12" x14ac:dyDescent="0.4">
      <c r="K2421" s="5">
        <v>2419</v>
      </c>
      <c r="L2421" s="73">
        <v>-30.299999999999933</v>
      </c>
    </row>
    <row r="2422" spans="11:12" x14ac:dyDescent="0.4">
      <c r="K2422" s="5">
        <v>2420</v>
      </c>
      <c r="L2422" s="73">
        <v>16.500000000000064</v>
      </c>
    </row>
    <row r="2423" spans="11:12" x14ac:dyDescent="0.4">
      <c r="K2423" s="5">
        <v>2421</v>
      </c>
      <c r="L2423" s="73">
        <v>6.2172489379008766E-14</v>
      </c>
    </row>
    <row r="2424" spans="11:12" x14ac:dyDescent="0.4">
      <c r="K2424" s="5">
        <v>2422</v>
      </c>
      <c r="L2424" s="73">
        <v>-36.599999999999937</v>
      </c>
    </row>
    <row r="2425" spans="11:12" x14ac:dyDescent="0.4">
      <c r="K2425" s="5">
        <v>2423</v>
      </c>
      <c r="L2425" s="73">
        <v>-48.999999999999936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-48.599999999999937</v>
      </c>
    </row>
    <row r="2428" spans="11:12" x14ac:dyDescent="0.4">
      <c r="K2428" s="5">
        <v>2426</v>
      </c>
      <c r="L2428" s="73">
        <v>-44.399999999999935</v>
      </c>
    </row>
    <row r="2429" spans="11:12" x14ac:dyDescent="0.4">
      <c r="K2429" s="5">
        <v>2427</v>
      </c>
      <c r="L2429" s="73">
        <v>6.5725203057809267E-14</v>
      </c>
    </row>
    <row r="2430" spans="11:12" x14ac:dyDescent="0.4">
      <c r="K2430" s="5">
        <v>2428</v>
      </c>
      <c r="L2430" s="73">
        <v>-9.5999999999999339</v>
      </c>
    </row>
    <row r="2431" spans="11:12" x14ac:dyDescent="0.4">
      <c r="K2431" s="5">
        <v>2429</v>
      </c>
      <c r="L2431" s="73">
        <v>40.20000000000006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-48.79999999999994</v>
      </c>
    </row>
    <row r="2434" spans="11:12" x14ac:dyDescent="0.4">
      <c r="K2434" s="5">
        <v>2432</v>
      </c>
      <c r="L2434" s="73">
        <v>-49.999999999999943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-11.399999999999942</v>
      </c>
    </row>
    <row r="2437" spans="11:12" x14ac:dyDescent="0.4">
      <c r="K2437" s="5">
        <v>2435</v>
      </c>
      <c r="L2437" s="73">
        <v>33.70000000000006</v>
      </c>
    </row>
    <row r="2438" spans="11:12" x14ac:dyDescent="0.4">
      <c r="K2438" s="5">
        <v>2436</v>
      </c>
      <c r="L2438" s="73">
        <v>5.8619775700208265E-14</v>
      </c>
    </row>
    <row r="2439" spans="11:12" x14ac:dyDescent="0.4">
      <c r="K2439" s="5">
        <v>2437</v>
      </c>
      <c r="L2439" s="73">
        <v>124.10000000000005</v>
      </c>
    </row>
    <row r="2440" spans="11:12" x14ac:dyDescent="0.4">
      <c r="K2440" s="5">
        <v>2438</v>
      </c>
      <c r="L2440" s="73">
        <v>132.90000000000006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22.400000000000041</v>
      </c>
    </row>
    <row r="2443" spans="11:12" x14ac:dyDescent="0.4">
      <c r="K2443" s="5">
        <v>2441</v>
      </c>
      <c r="L2443" s="73">
        <v>29.400000000000041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13.600000000000044</v>
      </c>
    </row>
    <row r="2446" spans="11:12" x14ac:dyDescent="0.4">
      <c r="K2446" s="5">
        <v>2444</v>
      </c>
      <c r="L2446" s="73">
        <v>-0.49999999999995559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-48.19999999999996</v>
      </c>
    </row>
    <row r="2449" spans="11:12" x14ac:dyDescent="0.4">
      <c r="K2449" s="5">
        <v>2447</v>
      </c>
      <c r="L2449" s="73">
        <v>-70.599999999999952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44.500000000000043</v>
      </c>
    </row>
    <row r="2452" spans="11:12" x14ac:dyDescent="0.4">
      <c r="K2452" s="5">
        <v>2450</v>
      </c>
      <c r="L2452" s="73">
        <v>31.000000000000043</v>
      </c>
    </row>
    <row r="2453" spans="11:12" x14ac:dyDescent="0.4">
      <c r="K2453" s="5">
        <v>2451</v>
      </c>
      <c r="L2453" s="73">
        <v>4.4408920985006262E-14</v>
      </c>
    </row>
    <row r="2454" spans="11:12" x14ac:dyDescent="0.4">
      <c r="K2454" s="5">
        <v>2452</v>
      </c>
      <c r="L2454" s="73">
        <v>17.000000000000043</v>
      </c>
    </row>
    <row r="2455" spans="11:12" x14ac:dyDescent="0.4">
      <c r="K2455" s="5">
        <v>2453</v>
      </c>
      <c r="L2455" s="73">
        <v>-6.599999999999957</v>
      </c>
    </row>
    <row r="2456" spans="11:12" x14ac:dyDescent="0.4">
      <c r="K2456" s="5">
        <v>2454</v>
      </c>
      <c r="L2456" s="73">
        <v>4.2632564145606011E-14</v>
      </c>
    </row>
    <row r="2457" spans="11:12" x14ac:dyDescent="0.4">
      <c r="K2457" s="5">
        <v>2455</v>
      </c>
      <c r="L2457" s="73">
        <v>3.2000000000000428</v>
      </c>
    </row>
    <row r="2458" spans="11:12" x14ac:dyDescent="0.4">
      <c r="K2458" s="5">
        <v>2456</v>
      </c>
      <c r="L2458" s="73">
        <v>-26.399999999999956</v>
      </c>
    </row>
    <row r="2459" spans="11:12" x14ac:dyDescent="0.4">
      <c r="K2459" s="5">
        <v>2457</v>
      </c>
      <c r="L2459" s="73">
        <v>4.0856207306205761E-14</v>
      </c>
    </row>
    <row r="2460" spans="11:12" x14ac:dyDescent="0.4">
      <c r="K2460" s="5">
        <v>2458</v>
      </c>
      <c r="L2460" s="73">
        <v>-52.299999999999955</v>
      </c>
    </row>
    <row r="2461" spans="11:12" x14ac:dyDescent="0.4">
      <c r="K2461" s="5">
        <v>2459</v>
      </c>
      <c r="L2461" s="73">
        <v>-11.499999999999956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-22.799999999999955</v>
      </c>
    </row>
    <row r="2464" spans="11:12" x14ac:dyDescent="0.4">
      <c r="K2464" s="5">
        <v>2462</v>
      </c>
      <c r="L2464" s="73">
        <v>-70.599999999999952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5.8000000000000442</v>
      </c>
    </row>
    <row r="2467" spans="11:12" x14ac:dyDescent="0.4">
      <c r="K2467" s="5">
        <v>2465</v>
      </c>
      <c r="L2467" s="73">
        <v>-16.299999999999955</v>
      </c>
    </row>
    <row r="2468" spans="11:12" x14ac:dyDescent="0.4">
      <c r="K2468" s="5">
        <v>2466</v>
      </c>
      <c r="L2468" s="73">
        <v>4.4408920985006262E-14</v>
      </c>
    </row>
    <row r="2469" spans="11:12" x14ac:dyDescent="0.4">
      <c r="K2469" s="5">
        <v>2467</v>
      </c>
      <c r="L2469" s="73">
        <v>-41.099999999999959</v>
      </c>
    </row>
    <row r="2470" spans="11:12" x14ac:dyDescent="0.4">
      <c r="K2470" s="5">
        <v>2468</v>
      </c>
      <c r="L2470" s="73">
        <v>5.8000000000000416</v>
      </c>
    </row>
    <row r="2471" spans="11:12" x14ac:dyDescent="0.4">
      <c r="K2471" s="5">
        <v>2469</v>
      </c>
      <c r="L2471" s="73">
        <v>4.1744385725905886E-14</v>
      </c>
    </row>
    <row r="2472" spans="11:12" x14ac:dyDescent="0.4">
      <c r="K2472" s="5">
        <v>2470</v>
      </c>
      <c r="L2472" s="73">
        <v>-56.399999999999956</v>
      </c>
    </row>
    <row r="2473" spans="11:12" x14ac:dyDescent="0.4">
      <c r="K2473" s="5">
        <v>2471</v>
      </c>
      <c r="L2473" s="73">
        <v>-7.3999999999999542</v>
      </c>
    </row>
    <row r="2474" spans="11:12" x14ac:dyDescent="0.4">
      <c r="K2474" s="5">
        <v>2472</v>
      </c>
      <c r="L2474" s="73">
        <v>4.6185277824406512E-14</v>
      </c>
    </row>
    <row r="2475" spans="11:12" x14ac:dyDescent="0.4">
      <c r="K2475" s="5">
        <v>2473</v>
      </c>
      <c r="L2475" s="73">
        <v>36.200000000000045</v>
      </c>
    </row>
    <row r="2476" spans="11:12" x14ac:dyDescent="0.4">
      <c r="K2476" s="5">
        <v>2474</v>
      </c>
      <c r="L2476" s="73">
        <v>43.300000000000047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-26.399999999999949</v>
      </c>
    </row>
    <row r="2479" spans="11:12" x14ac:dyDescent="0.4">
      <c r="K2479" s="5">
        <v>2477</v>
      </c>
      <c r="L2479" s="73">
        <v>-24.99999999999995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-13.099999999999948</v>
      </c>
    </row>
    <row r="2482" spans="11:12" x14ac:dyDescent="0.4">
      <c r="K2482" s="5">
        <v>2480</v>
      </c>
      <c r="L2482" s="73">
        <v>36.100000000000051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-3.8999999999999484</v>
      </c>
    </row>
    <row r="2485" spans="11:12" x14ac:dyDescent="0.4">
      <c r="K2485" s="5">
        <v>2483</v>
      </c>
      <c r="L2485" s="73">
        <v>-19.199999999999946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-48.99999999999995</v>
      </c>
    </row>
    <row r="2488" spans="11:12" x14ac:dyDescent="0.4">
      <c r="K2488" s="5">
        <v>2486</v>
      </c>
      <c r="L2488" s="73">
        <v>13.000000000000052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-19.49999999999995</v>
      </c>
    </row>
    <row r="2491" spans="11:12" x14ac:dyDescent="0.4">
      <c r="K2491" s="5">
        <v>2489</v>
      </c>
      <c r="L2491" s="73">
        <v>-16.799999999999947</v>
      </c>
    </row>
    <row r="2492" spans="11:12" x14ac:dyDescent="0.4">
      <c r="K2492" s="5">
        <v>2490</v>
      </c>
      <c r="L2492" s="73">
        <v>5.1514348342607263E-14</v>
      </c>
    </row>
    <row r="2493" spans="11:12" x14ac:dyDescent="0.4">
      <c r="K2493" s="5">
        <v>2491</v>
      </c>
      <c r="L2493" s="73">
        <v>37.800000000000047</v>
      </c>
    </row>
    <row r="2494" spans="11:12" x14ac:dyDescent="0.4">
      <c r="K2494" s="5">
        <v>2492</v>
      </c>
      <c r="L2494" s="73">
        <v>-7.6999999999999513</v>
      </c>
    </row>
    <row r="2495" spans="11:12" x14ac:dyDescent="0.4">
      <c r="K2495" s="5">
        <v>2493</v>
      </c>
      <c r="L2495" s="73">
        <v>4.8849813083506888E-14</v>
      </c>
    </row>
    <row r="2496" spans="11:12" x14ac:dyDescent="0.4">
      <c r="K2496" s="5">
        <v>2494</v>
      </c>
      <c r="L2496" s="73">
        <v>-18.399999999999949</v>
      </c>
    </row>
    <row r="2497" spans="11:12" x14ac:dyDescent="0.4">
      <c r="K2497" s="5">
        <v>2495</v>
      </c>
      <c r="L2497" s="73">
        <v>-59.199999999999946</v>
      </c>
    </row>
    <row r="2498" spans="11:12" x14ac:dyDescent="0.4">
      <c r="K2498" s="5">
        <v>2496</v>
      </c>
      <c r="L2498" s="73">
        <v>5.8619775700208265E-14</v>
      </c>
    </row>
    <row r="2499" spans="11:12" x14ac:dyDescent="0.4">
      <c r="K2499" s="5">
        <v>2497</v>
      </c>
      <c r="L2499" s="73">
        <v>1.1000000000000587</v>
      </c>
    </row>
    <row r="2500" spans="11:12" x14ac:dyDescent="0.4">
      <c r="K2500" s="5">
        <v>2498</v>
      </c>
      <c r="L2500" s="73">
        <v>44.800000000000061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1.1000000000000658</v>
      </c>
    </row>
    <row r="2503" spans="11:12" x14ac:dyDescent="0.4">
      <c r="K2503" s="5">
        <v>2501</v>
      </c>
      <c r="L2503" s="73">
        <v>25.100000000000065</v>
      </c>
    </row>
    <row r="2504" spans="11:12" x14ac:dyDescent="0.4">
      <c r="K2504" s="5">
        <v>2502</v>
      </c>
      <c r="L2504" s="73">
        <v>6.5725203057809267E-14</v>
      </c>
    </row>
    <row r="2505" spans="11:12" x14ac:dyDescent="0.4">
      <c r="K2505" s="5">
        <v>2503</v>
      </c>
      <c r="L2505" s="73">
        <v>-9.999999999993428E-2</v>
      </c>
    </row>
    <row r="2506" spans="11:12" x14ac:dyDescent="0.4">
      <c r="K2506" s="5">
        <v>2504</v>
      </c>
      <c r="L2506" s="73">
        <v>-35.79999999999994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-22.499999999999943</v>
      </c>
    </row>
    <row r="2509" spans="11:12" x14ac:dyDescent="0.4">
      <c r="K2509" s="5">
        <v>2507</v>
      </c>
      <c r="L2509" s="73">
        <v>-30.399999999999942</v>
      </c>
    </row>
    <row r="2510" spans="11:12" x14ac:dyDescent="0.4">
      <c r="K2510" s="5">
        <v>2508</v>
      </c>
      <c r="L2510" s="73">
        <v>5.8619775700208265E-14</v>
      </c>
    </row>
    <row r="2511" spans="11:12" x14ac:dyDescent="0.4">
      <c r="K2511" s="5">
        <v>2509</v>
      </c>
      <c r="L2511" s="73">
        <v>-87.399999999999949</v>
      </c>
    </row>
    <row r="2512" spans="11:12" x14ac:dyDescent="0.4">
      <c r="K2512" s="5">
        <v>2510</v>
      </c>
      <c r="L2512" s="73">
        <v>9.7000000000000473</v>
      </c>
    </row>
    <row r="2513" spans="11:12" x14ac:dyDescent="0.4">
      <c r="K2513" s="5">
        <v>2511</v>
      </c>
      <c r="L2513" s="73">
        <v>4.7961634663806763E-14</v>
      </c>
    </row>
    <row r="2514" spans="11:12" x14ac:dyDescent="0.4">
      <c r="K2514" s="5">
        <v>2512</v>
      </c>
      <c r="L2514" s="73">
        <v>25.900000000000048</v>
      </c>
    </row>
    <row r="2515" spans="11:12" x14ac:dyDescent="0.4">
      <c r="K2515" s="5">
        <v>2513</v>
      </c>
      <c r="L2515" s="73">
        <v>2.8000000000000451</v>
      </c>
    </row>
    <row r="2516" spans="11:12" x14ac:dyDescent="0.4">
      <c r="K2516" s="5">
        <v>2514</v>
      </c>
      <c r="L2516" s="73">
        <v>4.5297099404706387E-14</v>
      </c>
    </row>
    <row r="2517" spans="11:12" x14ac:dyDescent="0.4">
      <c r="K2517" s="5">
        <v>2515</v>
      </c>
      <c r="L2517" s="73">
        <v>-12.899999999999954</v>
      </c>
    </row>
    <row r="2518" spans="11:12" x14ac:dyDescent="0.4">
      <c r="K2518" s="5">
        <v>2516</v>
      </c>
      <c r="L2518" s="73">
        <v>32.300000000000047</v>
      </c>
    </row>
    <row r="2519" spans="11:12" x14ac:dyDescent="0.4">
      <c r="K2519" s="5">
        <v>2517</v>
      </c>
      <c r="L2519" s="73">
        <v>5.1514348342607263E-14</v>
      </c>
    </row>
    <row r="2520" spans="11:12" x14ac:dyDescent="0.4">
      <c r="K2520" s="5">
        <v>2518</v>
      </c>
      <c r="L2520" s="73">
        <v>36.00000000000005</v>
      </c>
    </row>
    <row r="2521" spans="11:12" x14ac:dyDescent="0.4">
      <c r="K2521" s="5">
        <v>2519</v>
      </c>
      <c r="L2521" s="73">
        <v>-12.799999999999946</v>
      </c>
    </row>
    <row r="2522" spans="11:12" x14ac:dyDescent="0.4">
      <c r="K2522" s="5">
        <v>2520</v>
      </c>
      <c r="L2522" s="73">
        <v>5.5067062021407764E-14</v>
      </c>
    </row>
    <row r="2523" spans="11:12" x14ac:dyDescent="0.4">
      <c r="K2523" s="5">
        <v>2521</v>
      </c>
      <c r="L2523" s="73">
        <v>20.400000000000055</v>
      </c>
    </row>
    <row r="2524" spans="11:12" x14ac:dyDescent="0.4">
      <c r="K2524" s="5">
        <v>2522</v>
      </c>
      <c r="L2524" s="73">
        <v>-30.699999999999946</v>
      </c>
    </row>
    <row r="2525" spans="11:12" x14ac:dyDescent="0.4">
      <c r="K2525" s="5">
        <v>2523</v>
      </c>
      <c r="L2525" s="73">
        <v>5.1514348342607263E-14</v>
      </c>
    </row>
    <row r="2526" spans="11:12" x14ac:dyDescent="0.4">
      <c r="K2526" s="5">
        <v>2524</v>
      </c>
      <c r="L2526" s="73">
        <v>-60.299999999999947</v>
      </c>
    </row>
    <row r="2527" spans="11:12" x14ac:dyDescent="0.4">
      <c r="K2527" s="5">
        <v>2525</v>
      </c>
      <c r="L2527" s="73">
        <v>-0.29999999999994564</v>
      </c>
    </row>
    <row r="2528" spans="11:12" x14ac:dyDescent="0.4">
      <c r="K2528" s="5">
        <v>2526</v>
      </c>
      <c r="L2528" s="73">
        <v>5.4345417055401413E-14</v>
      </c>
    </row>
    <row r="2529" spans="11:12" x14ac:dyDescent="0.4">
      <c r="K2529" s="5">
        <v>2527</v>
      </c>
      <c r="L2529" s="73">
        <v>-45.599999999999952</v>
      </c>
    </row>
    <row r="2530" spans="11:12" x14ac:dyDescent="0.4">
      <c r="K2530" s="5">
        <v>2528</v>
      </c>
      <c r="L2530" s="73">
        <v>9.6000000000000529</v>
      </c>
    </row>
    <row r="2531" spans="11:12" x14ac:dyDescent="0.4">
      <c r="K2531" s="5">
        <v>2529</v>
      </c>
      <c r="L2531" s="73">
        <v>5.3290705182007514E-14</v>
      </c>
    </row>
    <row r="2532" spans="11:12" x14ac:dyDescent="0.4">
      <c r="K2532" s="5">
        <v>2530</v>
      </c>
      <c r="L2532" s="73">
        <v>28.900000000000048</v>
      </c>
    </row>
    <row r="2533" spans="11:12" x14ac:dyDescent="0.4">
      <c r="K2533" s="5">
        <v>2531</v>
      </c>
      <c r="L2533" s="73">
        <v>27.900000000000048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-31.49999999999995</v>
      </c>
    </row>
    <row r="2536" spans="11:12" x14ac:dyDescent="0.4">
      <c r="K2536" s="5">
        <v>2534</v>
      </c>
      <c r="L2536" s="73">
        <v>-38.399999999999949</v>
      </c>
    </row>
    <row r="2537" spans="11:12" x14ac:dyDescent="0.4">
      <c r="K2537" s="5">
        <v>2535</v>
      </c>
      <c r="L2537" s="73">
        <v>5.1514348342607263E-14</v>
      </c>
    </row>
    <row r="2538" spans="11:12" x14ac:dyDescent="0.4">
      <c r="K2538" s="5">
        <v>2536</v>
      </c>
      <c r="L2538" s="73">
        <v>33.50000000000005</v>
      </c>
    </row>
    <row r="2539" spans="11:12" x14ac:dyDescent="0.4">
      <c r="K2539" s="5">
        <v>2537</v>
      </c>
      <c r="L2539" s="73">
        <v>0.70000000000005436</v>
      </c>
    </row>
    <row r="2540" spans="11:12" x14ac:dyDescent="0.4">
      <c r="K2540" s="5">
        <v>2538</v>
      </c>
      <c r="L2540" s="73">
        <v>5.440092820663267E-14</v>
      </c>
    </row>
    <row r="2541" spans="11:12" x14ac:dyDescent="0.4">
      <c r="K2541" s="5">
        <v>2539</v>
      </c>
      <c r="L2541" s="73">
        <v>12.000000000000055</v>
      </c>
    </row>
    <row r="2542" spans="11:12" x14ac:dyDescent="0.4">
      <c r="K2542" s="5">
        <v>2540</v>
      </c>
      <c r="L2542" s="73">
        <v>38.300000000000054</v>
      </c>
    </row>
    <row r="2543" spans="11:12" x14ac:dyDescent="0.4">
      <c r="K2543" s="5">
        <v>2541</v>
      </c>
      <c r="L2543" s="73">
        <v>5.8619775700208265E-14</v>
      </c>
    </row>
    <row r="2544" spans="11:12" x14ac:dyDescent="0.4">
      <c r="K2544" s="5">
        <v>2542</v>
      </c>
      <c r="L2544" s="73">
        <v>7.400000000000059</v>
      </c>
    </row>
    <row r="2545" spans="11:12" x14ac:dyDescent="0.4">
      <c r="K2545" s="5">
        <v>2543</v>
      </c>
      <c r="L2545" s="73">
        <v>26.800000000000054</v>
      </c>
    </row>
    <row r="2546" spans="11:12" x14ac:dyDescent="0.4">
      <c r="K2546" s="5">
        <v>2544</v>
      </c>
      <c r="L2546" s="73">
        <v>5.5067062021407764E-14</v>
      </c>
    </row>
    <row r="2547" spans="11:12" x14ac:dyDescent="0.4">
      <c r="K2547" s="5">
        <v>2545</v>
      </c>
      <c r="L2547" s="73">
        <v>-26.799999999999947</v>
      </c>
    </row>
    <row r="2548" spans="11:12" x14ac:dyDescent="0.4">
      <c r="K2548" s="5">
        <v>2546</v>
      </c>
      <c r="L2548" s="73">
        <v>-5.2999999999999456</v>
      </c>
    </row>
    <row r="2549" spans="11:12" x14ac:dyDescent="0.4">
      <c r="K2549" s="5">
        <v>2547</v>
      </c>
      <c r="L2549" s="73">
        <v>5.4178883601707639E-14</v>
      </c>
    </row>
    <row r="2550" spans="11:12" x14ac:dyDescent="0.4">
      <c r="K2550" s="5">
        <v>2548</v>
      </c>
      <c r="L2550" s="73">
        <v>-20.199999999999946</v>
      </c>
    </row>
    <row r="2551" spans="11:12" x14ac:dyDescent="0.4">
      <c r="K2551" s="5">
        <v>2549</v>
      </c>
      <c r="L2551" s="73">
        <v>-28.899999999999942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-22.599999999999945</v>
      </c>
    </row>
    <row r="2554" spans="11:12" x14ac:dyDescent="0.4">
      <c r="K2554" s="5">
        <v>2552</v>
      </c>
      <c r="L2554" s="73">
        <v>-19.999999999999943</v>
      </c>
    </row>
    <row r="2555" spans="11:12" x14ac:dyDescent="0.4">
      <c r="K2555" s="5">
        <v>2553</v>
      </c>
      <c r="L2555" s="73">
        <v>5.5067062021407764E-14</v>
      </c>
    </row>
    <row r="2556" spans="11:12" x14ac:dyDescent="0.4">
      <c r="K2556" s="5">
        <v>2554</v>
      </c>
      <c r="L2556" s="73">
        <v>42.300000000000054</v>
      </c>
    </row>
    <row r="2557" spans="11:12" x14ac:dyDescent="0.4">
      <c r="K2557" s="5">
        <v>2555</v>
      </c>
      <c r="L2557" s="73">
        <v>47.000000000000057</v>
      </c>
    </row>
    <row r="2558" spans="11:12" x14ac:dyDescent="0.4">
      <c r="K2558" s="5">
        <v>2556</v>
      </c>
      <c r="L2558" s="73">
        <v>5.8619775700208265E-14</v>
      </c>
    </row>
    <row r="2559" spans="11:12" x14ac:dyDescent="0.4">
      <c r="K2559" s="5">
        <v>2557</v>
      </c>
      <c r="L2559" s="73">
        <v>-21.599999999999945</v>
      </c>
    </row>
    <row r="2560" spans="11:12" x14ac:dyDescent="0.4">
      <c r="K2560" s="5">
        <v>2558</v>
      </c>
      <c r="L2560" s="73">
        <v>0.60000000000005649</v>
      </c>
    </row>
    <row r="2561" spans="11:12" x14ac:dyDescent="0.4">
      <c r="K2561" s="5">
        <v>2559</v>
      </c>
      <c r="L2561" s="73">
        <v>5.6510351953420468E-14</v>
      </c>
    </row>
    <row r="2562" spans="11:12" x14ac:dyDescent="0.4">
      <c r="K2562" s="5">
        <v>2560</v>
      </c>
      <c r="L2562" s="73">
        <v>1.1000000000000565</v>
      </c>
    </row>
    <row r="2563" spans="11:12" x14ac:dyDescent="0.4">
      <c r="K2563" s="5">
        <v>2561</v>
      </c>
      <c r="L2563" s="73">
        <v>-47.399999999999949</v>
      </c>
    </row>
    <row r="2564" spans="11:12" x14ac:dyDescent="0.4">
      <c r="K2564" s="5">
        <v>2562</v>
      </c>
      <c r="L2564" s="73">
        <v>5.1514348342607263E-14</v>
      </c>
    </row>
    <row r="2565" spans="11:12" x14ac:dyDescent="0.4">
      <c r="K2565" s="5">
        <v>2563</v>
      </c>
      <c r="L2565" s="73">
        <v>-55.49999999999995</v>
      </c>
    </row>
    <row r="2566" spans="11:12" x14ac:dyDescent="0.4">
      <c r="K2566" s="5">
        <v>2564</v>
      </c>
      <c r="L2566" s="73">
        <v>-66.199999999999946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54.20000000000006</v>
      </c>
    </row>
    <row r="2569" spans="11:12" x14ac:dyDescent="0.4">
      <c r="K2569" s="5">
        <v>2567</v>
      </c>
      <c r="L2569" s="73">
        <v>48.70000000000006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15.700000000000058</v>
      </c>
    </row>
    <row r="2572" spans="11:12" x14ac:dyDescent="0.4">
      <c r="K2572" s="5">
        <v>2570</v>
      </c>
      <c r="L2572" s="73">
        <v>18.300000000000061</v>
      </c>
    </row>
    <row r="2573" spans="11:12" x14ac:dyDescent="0.4">
      <c r="K2573" s="5">
        <v>2571</v>
      </c>
      <c r="L2573" s="73">
        <v>5.8619775700208265E-14</v>
      </c>
    </row>
  </sheetData>
  <sortState xmlns:xlrd2="http://schemas.microsoft.com/office/spreadsheetml/2017/richdata2" ref="N15:Q3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8BE65-2F4A-44CE-84E8-D1C08A6185CF}">
  <sheetPr codeName="Sheet4"/>
  <dimension ref="A1:Q61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610</v>
      </c>
      <c r="C2" s="128"/>
      <c r="E2" s="43" t="s">
        <v>66</v>
      </c>
      <c r="F2" s="25" t="s">
        <v>22</v>
      </c>
      <c r="G2" s="13">
        <v>1109</v>
      </c>
      <c r="H2" s="106">
        <f>IF(B$47=0,0,G2/B$47)</f>
        <v>0.73008558262014478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1308.955223880597</v>
      </c>
      <c r="P2" s="92">
        <v>603</v>
      </c>
      <c r="Q2" s="76">
        <v>789300</v>
      </c>
    </row>
    <row r="3" spans="1:17" x14ac:dyDescent="0.4">
      <c r="A3" s="37" t="s">
        <v>8</v>
      </c>
      <c r="B3" s="137">
        <v>4827</v>
      </c>
      <c r="C3" s="138"/>
      <c r="E3" s="44" t="s">
        <v>72</v>
      </c>
      <c r="F3" s="41" t="s">
        <v>27</v>
      </c>
      <c r="G3" s="34">
        <v>814</v>
      </c>
      <c r="H3" s="107">
        <f>IF(B$47=0,0,G3/B$47)</f>
        <v>0.53587886767610271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1098.8054607508532</v>
      </c>
      <c r="P3" s="93">
        <v>586</v>
      </c>
      <c r="Q3" s="77">
        <v>643900</v>
      </c>
    </row>
    <row r="4" spans="1:17" x14ac:dyDescent="0.4">
      <c r="A4" s="37" t="s">
        <v>6</v>
      </c>
      <c r="B4" s="139">
        <v>5845.3</v>
      </c>
      <c r="C4" s="140"/>
      <c r="E4" s="44" t="s">
        <v>64</v>
      </c>
      <c r="F4" s="41" t="s">
        <v>20</v>
      </c>
      <c r="G4" s="34">
        <v>749</v>
      </c>
      <c r="H4" s="107">
        <f>IF(B$47=0,0,G4/B$47)</f>
        <v>0.49308755760368661</v>
      </c>
      <c r="I4" s="68">
        <v>10</v>
      </c>
      <c r="K4" s="5">
        <v>2</v>
      </c>
      <c r="L4" s="73">
        <v>14</v>
      </c>
      <c r="N4" s="89" t="s">
        <v>128</v>
      </c>
      <c r="O4" s="96">
        <f t="shared" si="0"/>
        <v>1322.3423423423424</v>
      </c>
      <c r="P4" s="93">
        <v>555</v>
      </c>
      <c r="Q4" s="77">
        <v>733900</v>
      </c>
    </row>
    <row r="5" spans="1:17" x14ac:dyDescent="0.4">
      <c r="A5" s="37" t="s">
        <v>7</v>
      </c>
      <c r="B5" s="141">
        <f>IF(B$2=0,0,B$4/B$2)</f>
        <v>9.5824590163934431</v>
      </c>
      <c r="C5" s="142"/>
      <c r="E5" s="44" t="s">
        <v>67</v>
      </c>
      <c r="F5" s="41" t="s">
        <v>23</v>
      </c>
      <c r="G5" s="34">
        <v>450</v>
      </c>
      <c r="H5" s="107">
        <f>IF(B$47=0,0,G5/B$47)</f>
        <v>0.29624753127057274</v>
      </c>
      <c r="I5" s="68">
        <v>10</v>
      </c>
      <c r="K5" s="5">
        <v>3</v>
      </c>
      <c r="L5" s="73">
        <v>29.1</v>
      </c>
      <c r="N5" s="89" t="s">
        <v>129</v>
      </c>
      <c r="O5" s="96">
        <f t="shared" si="0"/>
        <v>1842.4063116370808</v>
      </c>
      <c r="P5" s="93">
        <v>507</v>
      </c>
      <c r="Q5" s="77">
        <v>934100</v>
      </c>
    </row>
    <row r="6" spans="1:17" x14ac:dyDescent="0.4">
      <c r="A6" s="37" t="s">
        <v>1</v>
      </c>
      <c r="B6" s="133">
        <f>IF(B$2=0,0,(B$7*1+B$8*2+B$9*3)/B$2)</f>
        <v>1.7557377049180327</v>
      </c>
      <c r="C6" s="134"/>
      <c r="E6" s="44" t="s">
        <v>68</v>
      </c>
      <c r="F6" s="41" t="s">
        <v>12</v>
      </c>
      <c r="G6" s="34">
        <v>441</v>
      </c>
      <c r="H6" s="107">
        <f>IF(B$47=0,0,G6/B$47)</f>
        <v>0.29032258064516131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1517.4392935982339</v>
      </c>
      <c r="P6" s="93">
        <v>453</v>
      </c>
      <c r="Q6" s="77">
        <v>687400</v>
      </c>
    </row>
    <row r="7" spans="1:17" x14ac:dyDescent="0.4">
      <c r="A7" s="37" t="s">
        <v>2</v>
      </c>
      <c r="B7" s="34">
        <v>285</v>
      </c>
      <c r="C7" s="31">
        <f t="shared" ref="C7:C10" si="1">IF(B$2=0,0,B7/B$2)</f>
        <v>0.46721311475409838</v>
      </c>
      <c r="E7" s="44" t="s">
        <v>157</v>
      </c>
      <c r="F7" s="41" t="s">
        <v>158</v>
      </c>
      <c r="G7" s="34">
        <v>383</v>
      </c>
      <c r="H7" s="107">
        <f>IF(B$47=0,0,G7/B$47)</f>
        <v>0.25213956550362082</v>
      </c>
      <c r="I7" s="68">
        <v>10</v>
      </c>
      <c r="K7" s="5">
        <v>5</v>
      </c>
      <c r="L7" s="73">
        <v>145.80000000000001</v>
      </c>
      <c r="N7" s="90" t="s">
        <v>131</v>
      </c>
      <c r="O7" s="97">
        <f t="shared" si="0"/>
        <v>1698.4042553191489</v>
      </c>
      <c r="P7" s="94">
        <v>376</v>
      </c>
      <c r="Q7" s="78">
        <v>638600</v>
      </c>
    </row>
    <row r="8" spans="1:17" x14ac:dyDescent="0.4">
      <c r="A8" s="37" t="s">
        <v>3</v>
      </c>
      <c r="B8" s="34">
        <v>189</v>
      </c>
      <c r="C8" s="31">
        <f t="shared" si="1"/>
        <v>0.30983606557377047</v>
      </c>
      <c r="E8" s="44" t="s">
        <v>89</v>
      </c>
      <c r="F8" s="41" t="s">
        <v>44</v>
      </c>
      <c r="G8" s="34">
        <v>254</v>
      </c>
      <c r="H8" s="107">
        <f>IF(B$47=0,0,G8/B$47)</f>
        <v>0.16721527320605661</v>
      </c>
      <c r="I8" s="68">
        <v>3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136</v>
      </c>
      <c r="C9" s="7">
        <f t="shared" si="1"/>
        <v>0.22295081967213115</v>
      </c>
      <c r="E9" s="44" t="s">
        <v>69</v>
      </c>
      <c r="F9" s="41" t="s">
        <v>24</v>
      </c>
      <c r="G9" s="34">
        <v>233</v>
      </c>
      <c r="H9" s="107">
        <f>IF(B$47=0,0,G9/B$47)</f>
        <v>0.15339038841342989</v>
      </c>
      <c r="I9" s="68">
        <v>7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49</v>
      </c>
      <c r="C10" s="32">
        <f t="shared" si="1"/>
        <v>8.0327868852459017E-2</v>
      </c>
      <c r="E10" s="44" t="s">
        <v>65</v>
      </c>
      <c r="F10" s="41" t="s">
        <v>21</v>
      </c>
      <c r="G10" s="34">
        <v>183</v>
      </c>
      <c r="H10" s="107">
        <f>IF(B$47=0,0,G10/B$47)</f>
        <v>0.12047399605003292</v>
      </c>
      <c r="I10" s="68">
        <v>6</v>
      </c>
      <c r="K10" s="5">
        <v>8</v>
      </c>
      <c r="L10" s="73">
        <v>55.700000000000017</v>
      </c>
      <c r="N10" s="88" t="s">
        <v>149</v>
      </c>
      <c r="O10" s="98">
        <f>IF(P10=0,0,Q10/P10)</f>
        <v>13.571165644171781</v>
      </c>
      <c r="P10" s="92">
        <v>163</v>
      </c>
      <c r="Q10" s="80">
        <v>2212.1000000000004</v>
      </c>
    </row>
    <row r="11" spans="1:17" x14ac:dyDescent="0.4">
      <c r="A11" s="40" t="s">
        <v>121</v>
      </c>
      <c r="B11" s="16">
        <v>1290</v>
      </c>
      <c r="C11" s="11">
        <f>IF(B$46=0,0,B11/B$46)</f>
        <v>0.29512697323266984</v>
      </c>
      <c r="E11" s="44" t="s">
        <v>70</v>
      </c>
      <c r="F11" s="41" t="s">
        <v>25</v>
      </c>
      <c r="G11" s="34">
        <v>111</v>
      </c>
      <c r="H11" s="107">
        <f>IF(B$47=0,0,G11/B$47)</f>
        <v>7.307439104674128E-2</v>
      </c>
      <c r="I11" s="68">
        <v>12</v>
      </c>
      <c r="K11" s="5">
        <v>9</v>
      </c>
      <c r="L11" s="73">
        <v>14.700000000000017</v>
      </c>
      <c r="N11" s="89" t="s">
        <v>150</v>
      </c>
      <c r="O11" s="99">
        <f>IF(P11=0,0,Q11/P11)</f>
        <v>6.9889473684210532</v>
      </c>
      <c r="P11" s="93">
        <v>190</v>
      </c>
      <c r="Q11" s="81">
        <v>1327.9</v>
      </c>
    </row>
    <row r="12" spans="1:17" x14ac:dyDescent="0.4">
      <c r="A12" s="37" t="s">
        <v>118</v>
      </c>
      <c r="B12" s="34">
        <v>945</v>
      </c>
      <c r="C12" s="31">
        <f>IF(B$46=0,0,B12/B$46)</f>
        <v>0.21619766643788607</v>
      </c>
      <c r="E12" s="44" t="s">
        <v>86</v>
      </c>
      <c r="F12" s="41" t="s">
        <v>41</v>
      </c>
      <c r="G12" s="34">
        <v>106</v>
      </c>
      <c r="H12" s="107">
        <f>IF(B$47=0,0,G12/B$47)</f>
        <v>6.9782751810401583E-2</v>
      </c>
      <c r="I12" s="68">
        <v>7</v>
      </c>
      <c r="K12" s="5">
        <v>10</v>
      </c>
      <c r="L12" s="73">
        <v>-16.799999999999983</v>
      </c>
      <c r="N12" s="90" t="s">
        <v>151</v>
      </c>
      <c r="O12" s="100">
        <f>IF(P12=0,0,Q12/P12)</f>
        <v>9.002766798418973</v>
      </c>
      <c r="P12" s="94">
        <v>253</v>
      </c>
      <c r="Q12" s="82">
        <v>2277.7000000000003</v>
      </c>
    </row>
    <row r="13" spans="1:17" x14ac:dyDescent="0.4">
      <c r="A13" s="19" t="s">
        <v>123</v>
      </c>
      <c r="B13" s="13">
        <v>791</v>
      </c>
      <c r="C13" s="4">
        <f>IF(B$11=0,0,B13/B$11)</f>
        <v>0.61317829457364337</v>
      </c>
      <c r="E13" s="44" t="s">
        <v>71</v>
      </c>
      <c r="F13" s="41" t="s">
        <v>26</v>
      </c>
      <c r="G13" s="34">
        <v>96</v>
      </c>
      <c r="H13" s="107">
        <f>IF(B$47=0,0,G13/B$47)</f>
        <v>6.319947333772219E-2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465</v>
      </c>
      <c r="C14" s="4">
        <f>IF(B$12=0,0,B14/B$12)</f>
        <v>0.49206349206349204</v>
      </c>
      <c r="E14" s="44" t="s">
        <v>83</v>
      </c>
      <c r="F14" s="41" t="s">
        <v>38</v>
      </c>
      <c r="G14" s="34">
        <v>64</v>
      </c>
      <c r="H14" s="107">
        <f>IF(B$47=0,0,G14/B$47)</f>
        <v>4.2132982225148122E-2</v>
      </c>
      <c r="I14" s="68">
        <v>11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1675</v>
      </c>
      <c r="C15" s="4">
        <f>IF(B$3=0,0,B15/B$3)</f>
        <v>0.34700642220841105</v>
      </c>
      <c r="E15" s="44" t="s">
        <v>153</v>
      </c>
      <c r="F15" s="41" t="s">
        <v>154</v>
      </c>
      <c r="G15" s="34">
        <v>38</v>
      </c>
      <c r="H15" s="107">
        <f>IF(B$47=0,0,G15/B$47)</f>
        <v>2.5016458196181698E-2</v>
      </c>
      <c r="I15" s="68">
        <v>3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13</v>
      </c>
      <c r="B16" s="34">
        <v>682</v>
      </c>
      <c r="C16" s="31">
        <f>IF(B$3=0,0,B16/B$3)</f>
        <v>0.14128858504246944</v>
      </c>
      <c r="E16" s="44" t="s">
        <v>78</v>
      </c>
      <c r="F16" s="41" t="s">
        <v>33</v>
      </c>
      <c r="G16" s="34">
        <v>36</v>
      </c>
      <c r="H16" s="107">
        <f>IF(B$47=0,0,G16/B$47)</f>
        <v>2.3699802501645821E-2</v>
      </c>
      <c r="I16" s="68">
        <v>10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37" t="s">
        <v>12</v>
      </c>
      <c r="B17" s="34">
        <v>682</v>
      </c>
      <c r="C17" s="31">
        <f>IF(B$15=0,0,B17/B$15)</f>
        <v>0.40716417910447761</v>
      </c>
      <c r="E17" s="44" t="s">
        <v>81</v>
      </c>
      <c r="F17" s="41" t="s">
        <v>36</v>
      </c>
      <c r="G17" s="34">
        <v>26</v>
      </c>
      <c r="H17" s="107">
        <f>IF(B$47=0,0,G17/B$47)</f>
        <v>1.7116524028966424E-2</v>
      </c>
      <c r="I17" s="68">
        <v>11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37" t="s">
        <v>11</v>
      </c>
      <c r="B18" s="34">
        <v>993</v>
      </c>
      <c r="C18" s="31">
        <f>IF(B$15=0,0,B18/B$15)</f>
        <v>0.59283582089552234</v>
      </c>
      <c r="E18" s="44" t="s">
        <v>91</v>
      </c>
      <c r="F18" s="41" t="s">
        <v>46</v>
      </c>
      <c r="G18" s="34">
        <v>25</v>
      </c>
      <c r="H18" s="107">
        <f>IF(B$47=0,0,G18/B$47)</f>
        <v>1.6458196181698487E-2</v>
      </c>
      <c r="I18" s="68">
        <v>8</v>
      </c>
      <c r="K18" s="5">
        <v>16</v>
      </c>
      <c r="L18" s="73">
        <v>-8.099999999999989</v>
      </c>
      <c r="N18" s="89" t="s">
        <v>186</v>
      </c>
      <c r="O18" s="99">
        <f>IF(P18=0,0,Q18/P18)</f>
        <v>29.822222222222223</v>
      </c>
      <c r="P18" s="93">
        <v>45</v>
      </c>
      <c r="Q18" s="81">
        <v>1342</v>
      </c>
    </row>
    <row r="19" spans="1:17" x14ac:dyDescent="0.4">
      <c r="A19" s="37" t="s">
        <v>180</v>
      </c>
      <c r="B19" s="34">
        <v>791</v>
      </c>
      <c r="C19" s="31">
        <f>IF(B$15=0,0,B19/B$15)</f>
        <v>0.47223880597014928</v>
      </c>
      <c r="E19" s="44" t="s">
        <v>79</v>
      </c>
      <c r="F19" s="41" t="s">
        <v>34</v>
      </c>
      <c r="G19" s="34">
        <v>16</v>
      </c>
      <c r="H19" s="107">
        <f>IF(B$47=0,0,G19/B$47)</f>
        <v>1.053324555628703E-2</v>
      </c>
      <c r="I19" s="68">
        <v>12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178</v>
      </c>
      <c r="B20" s="34">
        <v>465</v>
      </c>
      <c r="C20" s="31">
        <f>IF(B$15=0,0,B20/B$15)</f>
        <v>0.27761194029850744</v>
      </c>
      <c r="E20" s="44" t="s">
        <v>77</v>
      </c>
      <c r="F20" s="41" t="s">
        <v>32</v>
      </c>
      <c r="G20" s="34">
        <v>11</v>
      </c>
      <c r="H20" s="107">
        <f>IF(B$47=0,0,G20/B$47)</f>
        <v>7.2416063199473336E-3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22.021428571428569</v>
      </c>
      <c r="P20" s="93">
        <v>14</v>
      </c>
      <c r="Q20" s="81">
        <v>308.29999999999995</v>
      </c>
    </row>
    <row r="21" spans="1:17" x14ac:dyDescent="0.4">
      <c r="A21" s="37" t="s">
        <v>179</v>
      </c>
      <c r="B21" s="34">
        <v>419</v>
      </c>
      <c r="C21" s="31">
        <f>IF(B$15=0,0,B21/B$15)</f>
        <v>0.25014925373134328</v>
      </c>
      <c r="E21" s="44" t="s">
        <v>85</v>
      </c>
      <c r="F21" s="41" t="s">
        <v>40</v>
      </c>
      <c r="G21" s="34">
        <v>11</v>
      </c>
      <c r="H21" s="107">
        <f>IF(B$47=0,0,G21/B$47)</f>
        <v>7.2416063199473336E-3</v>
      </c>
      <c r="I21" s="68">
        <v>2</v>
      </c>
      <c r="K21" s="5">
        <v>19</v>
      </c>
      <c r="L21" s="73">
        <v>42.600000000000016</v>
      </c>
      <c r="N21" s="89" t="s">
        <v>187</v>
      </c>
      <c r="O21" s="99">
        <f>IF(P21=0,0,Q21/P21)</f>
        <v>21.461111111111116</v>
      </c>
      <c r="P21" s="93">
        <v>126</v>
      </c>
      <c r="Q21" s="81">
        <v>2704.1000000000004</v>
      </c>
    </row>
    <row r="22" spans="1:17" x14ac:dyDescent="0.4">
      <c r="A22" s="37" t="s">
        <v>5</v>
      </c>
      <c r="B22" s="17">
        <f>IF(B$15=0,0,C22/B$15)</f>
        <v>9305.6119402985078</v>
      </c>
      <c r="C22" s="8">
        <v>15586900</v>
      </c>
      <c r="E22" s="44" t="s">
        <v>92</v>
      </c>
      <c r="F22" s="41" t="s">
        <v>47</v>
      </c>
      <c r="G22" s="34">
        <v>10</v>
      </c>
      <c r="H22" s="107">
        <f>IF(B$47=0,0,G22/B$47)</f>
        <v>6.5832784726793945E-3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18.444078947368421</v>
      </c>
      <c r="P22" s="93">
        <v>152</v>
      </c>
      <c r="Q22" s="81">
        <v>2803.5</v>
      </c>
    </row>
    <row r="23" spans="1:17" x14ac:dyDescent="0.4">
      <c r="A23" s="38" t="s">
        <v>162</v>
      </c>
      <c r="B23" s="114">
        <f>IF($B$15-B$14=0,0,C23/($B$15-B$14))</f>
        <v>9607.1074380165282</v>
      </c>
      <c r="C23" s="115">
        <v>11624600</v>
      </c>
      <c r="E23" s="44" t="s">
        <v>75</v>
      </c>
      <c r="F23" s="41" t="s">
        <v>30</v>
      </c>
      <c r="G23" s="34">
        <v>9</v>
      </c>
      <c r="H23" s="107">
        <f>IF(B$47=0,0,G23/B$47)</f>
        <v>5.9249506254114553E-3</v>
      </c>
      <c r="I23" s="68">
        <v>6</v>
      </c>
      <c r="K23" s="5">
        <v>21</v>
      </c>
      <c r="L23" s="73">
        <v>125.30000000000001</v>
      </c>
      <c r="N23" s="89" t="s">
        <v>190</v>
      </c>
      <c r="O23" s="99">
        <f>IF(P23=0,0,Q23/P23)</f>
        <v>15.091756272401435</v>
      </c>
      <c r="P23" s="93">
        <v>279</v>
      </c>
      <c r="Q23" s="81">
        <v>4210.6000000000004</v>
      </c>
    </row>
    <row r="24" spans="1:17" x14ac:dyDescent="0.4">
      <c r="A24" s="38" t="s">
        <v>163</v>
      </c>
      <c r="B24" s="114">
        <f>IF(B$14=0,0,C24/B$14)</f>
        <v>8521.0752688172051</v>
      </c>
      <c r="C24" s="115">
        <v>3962300</v>
      </c>
      <c r="E24" s="44" t="s">
        <v>73</v>
      </c>
      <c r="F24" s="41" t="s">
        <v>28</v>
      </c>
      <c r="G24" s="34">
        <v>7</v>
      </c>
      <c r="H24" s="107">
        <f>IF(B$47=0,0,G24/B$47)</f>
        <v>4.608294930875576E-3</v>
      </c>
      <c r="I24" s="68">
        <v>9</v>
      </c>
      <c r="K24" s="5">
        <v>22</v>
      </c>
      <c r="L24" s="73">
        <v>99.800000000000011</v>
      </c>
      <c r="N24" s="89" t="s">
        <v>193</v>
      </c>
      <c r="O24" s="99">
        <f>IF(P24=0,0,Q24/P24)</f>
        <v>13.505119453924921</v>
      </c>
      <c r="P24" s="93">
        <v>293</v>
      </c>
      <c r="Q24" s="81">
        <v>3957.0000000000018</v>
      </c>
    </row>
    <row r="25" spans="1:17" x14ac:dyDescent="0.4">
      <c r="A25" s="38" t="s">
        <v>161</v>
      </c>
      <c r="B25" s="114">
        <f>IF(B$16=0,0,C25/B$16)</f>
        <v>-8550.4398826979468</v>
      </c>
      <c r="C25" s="115">
        <v>-5831400</v>
      </c>
      <c r="E25" s="44" t="s">
        <v>90</v>
      </c>
      <c r="F25" s="41" t="s">
        <v>45</v>
      </c>
      <c r="G25" s="34">
        <v>5</v>
      </c>
      <c r="H25" s="107">
        <f>IF(B$47=0,0,G25/B$47)</f>
        <v>3.2916392363396972E-3</v>
      </c>
      <c r="I25" s="68">
        <v>2</v>
      </c>
      <c r="K25" s="5">
        <v>23</v>
      </c>
      <c r="L25" s="73">
        <v>124.50000000000001</v>
      </c>
      <c r="N25" s="89" t="s">
        <v>189</v>
      </c>
      <c r="O25" s="99">
        <f>IF(P25=0,0,Q25/P25)</f>
        <v>8</v>
      </c>
      <c r="P25" s="93">
        <v>1</v>
      </c>
      <c r="Q25" s="81">
        <v>8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4</v>
      </c>
      <c r="H26" s="107">
        <f>IF(B$47=0,0,G26/B$47)</f>
        <v>2.6333113890717576E-3</v>
      </c>
      <c r="I26" s="68">
        <v>4</v>
      </c>
      <c r="K26" s="5">
        <v>24</v>
      </c>
      <c r="L26" s="73">
        <v>118.00000000000001</v>
      </c>
      <c r="N26" s="89" t="s">
        <v>191</v>
      </c>
      <c r="O26" s="99">
        <f>IF(P26=0,0,Q26/P26)</f>
        <v>5.7980099502487557</v>
      </c>
      <c r="P26" s="93">
        <v>201</v>
      </c>
      <c r="Q26" s="81">
        <v>1165.3999999999999</v>
      </c>
    </row>
    <row r="27" spans="1:17" x14ac:dyDescent="0.4">
      <c r="A27" s="37" t="s">
        <v>156</v>
      </c>
      <c r="B27" s="34">
        <v>43</v>
      </c>
      <c r="C27" s="109">
        <v>0</v>
      </c>
      <c r="E27" s="44" t="s">
        <v>88</v>
      </c>
      <c r="F27" s="41" t="s">
        <v>43</v>
      </c>
      <c r="G27" s="34">
        <v>4</v>
      </c>
      <c r="H27" s="107">
        <f>IF(B$47=0,0,G27/B$47)</f>
        <v>2.6333113890717576E-3</v>
      </c>
      <c r="I27" s="68">
        <v>2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">
      <c r="A28" s="64" t="s">
        <v>134</v>
      </c>
      <c r="B28" s="131">
        <v>10</v>
      </c>
      <c r="C28" s="132"/>
      <c r="E28" s="44" t="s">
        <v>74</v>
      </c>
      <c r="F28" s="41" t="s">
        <v>29</v>
      </c>
      <c r="G28" s="34">
        <v>3</v>
      </c>
      <c r="H28" s="107">
        <f>IF(B$47=0,0,G28/B$47)</f>
        <v>1.9749835418038184E-3</v>
      </c>
      <c r="I28" s="68">
        <v>8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">
      <c r="A29" s="40" t="s">
        <v>177</v>
      </c>
      <c r="B29" s="129">
        <v>149100</v>
      </c>
      <c r="C29" s="130"/>
      <c r="E29" s="44" t="s">
        <v>87</v>
      </c>
      <c r="F29" s="41" t="s">
        <v>42</v>
      </c>
      <c r="G29" s="34">
        <v>3</v>
      </c>
      <c r="H29" s="107">
        <f>IF(B$47=0,0,G29/B$47)</f>
        <v>1.9749835418038184E-3</v>
      </c>
      <c r="I29" s="68">
        <v>5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9" t="s">
        <v>135</v>
      </c>
      <c r="B30" s="27">
        <v>4</v>
      </c>
      <c r="C30" s="32">
        <f>IF(B$3=0,0,B30/B$3)</f>
        <v>8.2867205303501141E-4</v>
      </c>
      <c r="E30" s="44" t="s">
        <v>93</v>
      </c>
      <c r="F30" s="41" t="s">
        <v>48</v>
      </c>
      <c r="G30" s="34">
        <v>3</v>
      </c>
      <c r="H30" s="107">
        <f>IF(B$47=0,0,G30/B$47)</f>
        <v>1.9749835418038184E-3</v>
      </c>
      <c r="I30" s="68">
        <v>6</v>
      </c>
      <c r="K30" s="5">
        <v>28</v>
      </c>
      <c r="L30" s="73">
        <v>129.20000000000002</v>
      </c>
    </row>
    <row r="31" spans="1:17" x14ac:dyDescent="0.4">
      <c r="E31" s="44" t="s">
        <v>95</v>
      </c>
      <c r="F31" s="41" t="s">
        <v>50</v>
      </c>
      <c r="G31" s="34">
        <v>3</v>
      </c>
      <c r="H31" s="107">
        <f>IF(B$47=0,0,G31/B$47)</f>
        <v>1.9749835418038184E-3</v>
      </c>
      <c r="I31" s="68">
        <v>2</v>
      </c>
      <c r="K31" s="5">
        <v>29</v>
      </c>
      <c r="L31" s="73">
        <v>120.80000000000001</v>
      </c>
    </row>
    <row r="32" spans="1:17" x14ac:dyDescent="0.4">
      <c r="A32" s="64" t="s">
        <v>168</v>
      </c>
      <c r="B32" s="122">
        <v>95</v>
      </c>
      <c r="C32" s="119">
        <f>IF(B$15=0,0,B32/B$15)</f>
        <v>5.6716417910447764E-2</v>
      </c>
      <c r="E32" s="44" t="s">
        <v>106</v>
      </c>
      <c r="F32" s="41" t="s">
        <v>113</v>
      </c>
      <c r="G32" s="34">
        <v>2</v>
      </c>
      <c r="H32" s="107">
        <f>IF(B$47=0,0,G32/B$47)</f>
        <v>1.3166556945358788E-3</v>
      </c>
      <c r="I32" s="68">
        <v>2</v>
      </c>
      <c r="K32" s="5">
        <v>30</v>
      </c>
      <c r="L32" s="73">
        <v>174.10000000000002</v>
      </c>
    </row>
    <row r="33" spans="1:12" x14ac:dyDescent="0.4">
      <c r="A33" s="37" t="s">
        <v>164</v>
      </c>
      <c r="B33" s="34">
        <v>201</v>
      </c>
      <c r="C33" s="31">
        <f t="shared" ref="C33:C44" si="2">IF(B$15=0,0,B33/B$15)</f>
        <v>0.12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">
      <c r="A34" s="37" t="s">
        <v>165</v>
      </c>
      <c r="B34" s="123">
        <v>295</v>
      </c>
      <c r="C34" s="31">
        <f>IF(B$15=0,0,B34/B$15)</f>
        <v>0.17611940298507461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">
      <c r="A35" s="37" t="s">
        <v>166</v>
      </c>
      <c r="B35" s="123">
        <v>308</v>
      </c>
      <c r="C35" s="31">
        <f t="shared" si="2"/>
        <v>0.18388059701492537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37" t="s">
        <v>167</v>
      </c>
      <c r="B36" s="123">
        <v>223</v>
      </c>
      <c r="C36" s="31">
        <f t="shared" si="2"/>
        <v>0.13313432835820896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169</v>
      </c>
      <c r="B37" s="123">
        <v>167</v>
      </c>
      <c r="C37" s="31">
        <f t="shared" si="2"/>
        <v>9.9701492537313433E-2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170</v>
      </c>
      <c r="B38" s="123">
        <v>106</v>
      </c>
      <c r="C38" s="31">
        <f t="shared" si="2"/>
        <v>6.3283582089552246E-2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171</v>
      </c>
      <c r="B39" s="123">
        <v>48</v>
      </c>
      <c r="C39" s="31">
        <f t="shared" si="2"/>
        <v>2.8656716417910448E-2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172</v>
      </c>
      <c r="B40" s="123">
        <v>30</v>
      </c>
      <c r="C40" s="31">
        <f t="shared" si="2"/>
        <v>1.7910447761194031E-2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173</v>
      </c>
      <c r="B41" s="123">
        <v>12</v>
      </c>
      <c r="C41" s="31">
        <f t="shared" si="2"/>
        <v>7.164179104477612E-3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174</v>
      </c>
      <c r="B42" s="123">
        <v>8</v>
      </c>
      <c r="C42" s="31">
        <f t="shared" si="2"/>
        <v>4.7761194029850747E-3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175</v>
      </c>
      <c r="B43" s="123">
        <v>3</v>
      </c>
      <c r="C43" s="31">
        <f t="shared" si="2"/>
        <v>1.791044776119403E-3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9" t="s">
        <v>176</v>
      </c>
      <c r="B44" s="124">
        <v>23</v>
      </c>
      <c r="C44" s="32">
        <f t="shared" si="2"/>
        <v>1.373134328358209E-2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64" t="s">
        <v>181</v>
      </c>
      <c r="B46" s="127">
        <v>4371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9" t="s">
        <v>182</v>
      </c>
      <c r="B47" s="125">
        <v>1519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">
      <c r="K53" s="5">
        <v>51</v>
      </c>
      <c r="L53" s="73">
        <v>145.80000000000004</v>
      </c>
    </row>
    <row r="54" spans="5:12" x14ac:dyDescent="0.4">
      <c r="K54" s="5">
        <v>52</v>
      </c>
      <c r="L54" s="73">
        <v>139.10000000000005</v>
      </c>
    </row>
    <row r="55" spans="5:12" x14ac:dyDescent="0.4">
      <c r="K55" s="5">
        <v>53</v>
      </c>
      <c r="L55" s="73">
        <v>111.10000000000005</v>
      </c>
    </row>
    <row r="56" spans="5:12" x14ac:dyDescent="0.4">
      <c r="K56" s="5">
        <v>54</v>
      </c>
      <c r="L56" s="73">
        <v>127.80000000000005</v>
      </c>
    </row>
    <row r="57" spans="5:12" x14ac:dyDescent="0.4">
      <c r="K57" s="5">
        <v>55</v>
      </c>
      <c r="L57" s="73">
        <v>120.80000000000005</v>
      </c>
    </row>
    <row r="58" spans="5:12" x14ac:dyDescent="0.4">
      <c r="K58" s="5">
        <v>56</v>
      </c>
      <c r="L58" s="73">
        <v>152.40000000000006</v>
      </c>
    </row>
    <row r="59" spans="5:12" x14ac:dyDescent="0.4">
      <c r="K59" s="5">
        <v>57</v>
      </c>
      <c r="L59" s="73">
        <v>168.20000000000007</v>
      </c>
    </row>
    <row r="60" spans="5:12" x14ac:dyDescent="0.4">
      <c r="K60" s="5">
        <v>58</v>
      </c>
      <c r="L60" s="73">
        <v>225.20000000000007</v>
      </c>
    </row>
    <row r="61" spans="5:12" x14ac:dyDescent="0.4">
      <c r="K61" s="5">
        <v>59</v>
      </c>
      <c r="L61" s="73">
        <v>230.50000000000009</v>
      </c>
    </row>
    <row r="62" spans="5:12" x14ac:dyDescent="0.4">
      <c r="K62" s="5">
        <v>60</v>
      </c>
      <c r="L62" s="73">
        <v>184.40000000000009</v>
      </c>
    </row>
    <row r="63" spans="5:12" x14ac:dyDescent="0.4">
      <c r="K63" s="5">
        <v>61</v>
      </c>
      <c r="L63" s="73">
        <v>205.50000000000009</v>
      </c>
    </row>
    <row r="64" spans="5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5137.5</v>
      </c>
    </row>
    <row r="543" spans="11:12" x14ac:dyDescent="0.4">
      <c r="K543" s="5">
        <v>541</v>
      </c>
      <c r="L543" s="73">
        <v>5155.7999999999993</v>
      </c>
    </row>
    <row r="544" spans="11:12" x14ac:dyDescent="0.4">
      <c r="K544" s="5">
        <v>542</v>
      </c>
      <c r="L544" s="73">
        <v>5175</v>
      </c>
    </row>
    <row r="545" spans="11:12" x14ac:dyDescent="0.4">
      <c r="K545" s="5">
        <v>543</v>
      </c>
      <c r="L545" s="73">
        <v>5175.5999999999995</v>
      </c>
    </row>
    <row r="546" spans="11:12" x14ac:dyDescent="0.4">
      <c r="K546" s="5">
        <v>544</v>
      </c>
      <c r="L546" s="73">
        <v>5140.3999999999996</v>
      </c>
    </row>
    <row r="547" spans="11:12" x14ac:dyDescent="0.4">
      <c r="K547" s="5">
        <v>545</v>
      </c>
      <c r="L547" s="73">
        <v>5181</v>
      </c>
    </row>
    <row r="548" spans="11:12" x14ac:dyDescent="0.4">
      <c r="K548" s="5">
        <v>546</v>
      </c>
      <c r="L548" s="73">
        <v>5213.3999999999996</v>
      </c>
    </row>
    <row r="549" spans="11:12" x14ac:dyDescent="0.4">
      <c r="K549" s="5">
        <v>547</v>
      </c>
      <c r="L549" s="73">
        <v>5181.7</v>
      </c>
    </row>
    <row r="550" spans="11:12" x14ac:dyDescent="0.4">
      <c r="K550" s="5">
        <v>548</v>
      </c>
      <c r="L550" s="73">
        <v>5139</v>
      </c>
    </row>
    <row r="551" spans="11:12" x14ac:dyDescent="0.4">
      <c r="K551" s="5">
        <v>549</v>
      </c>
      <c r="L551" s="73">
        <v>5163.0999999999995</v>
      </c>
    </row>
    <row r="552" spans="11:12" x14ac:dyDescent="0.4">
      <c r="K552" s="5">
        <v>550</v>
      </c>
      <c r="L552" s="73">
        <v>5187.8999999999996</v>
      </c>
    </row>
    <row r="553" spans="11:12" x14ac:dyDescent="0.4">
      <c r="K553" s="5">
        <v>551</v>
      </c>
      <c r="L553" s="73">
        <v>5213.3999999999996</v>
      </c>
    </row>
    <row r="554" spans="11:12" x14ac:dyDescent="0.4">
      <c r="K554" s="5">
        <v>552</v>
      </c>
      <c r="L554" s="73">
        <v>5238.2</v>
      </c>
    </row>
    <row r="555" spans="11:12" x14ac:dyDescent="0.4">
      <c r="K555" s="5">
        <v>553</v>
      </c>
      <c r="L555" s="73">
        <v>5213.2</v>
      </c>
    </row>
    <row r="556" spans="11:12" x14ac:dyDescent="0.4">
      <c r="K556" s="5">
        <v>554</v>
      </c>
      <c r="L556" s="73">
        <v>5183.7</v>
      </c>
    </row>
    <row r="557" spans="11:12" x14ac:dyDescent="0.4">
      <c r="K557" s="5">
        <v>555</v>
      </c>
      <c r="L557" s="73">
        <v>5216.2</v>
      </c>
    </row>
    <row r="558" spans="11:12" x14ac:dyDescent="0.4">
      <c r="K558" s="5">
        <v>556</v>
      </c>
      <c r="L558" s="73">
        <v>5193.7999999999993</v>
      </c>
    </row>
    <row r="559" spans="11:12" x14ac:dyDescent="0.4">
      <c r="K559" s="5">
        <v>557</v>
      </c>
      <c r="L559" s="73">
        <v>5209</v>
      </c>
    </row>
    <row r="560" spans="11:12" x14ac:dyDescent="0.4">
      <c r="K560" s="5">
        <v>558</v>
      </c>
      <c r="L560" s="73">
        <v>5158.5</v>
      </c>
    </row>
    <row r="561" spans="11:12" x14ac:dyDescent="0.4">
      <c r="K561" s="5">
        <v>559</v>
      </c>
      <c r="L561" s="73">
        <v>5185.2999999999993</v>
      </c>
    </row>
    <row r="562" spans="11:12" x14ac:dyDescent="0.4">
      <c r="K562" s="5">
        <v>560</v>
      </c>
      <c r="L562" s="73">
        <v>5183.5</v>
      </c>
    </row>
    <row r="563" spans="11:12" x14ac:dyDescent="0.4">
      <c r="K563" s="5">
        <v>561</v>
      </c>
      <c r="L563" s="73">
        <v>5203.3999999999996</v>
      </c>
    </row>
    <row r="564" spans="11:12" x14ac:dyDescent="0.4">
      <c r="K564" s="5">
        <v>562</v>
      </c>
      <c r="L564" s="73">
        <v>5166.7</v>
      </c>
    </row>
    <row r="565" spans="11:12" x14ac:dyDescent="0.4">
      <c r="K565" s="5">
        <v>563</v>
      </c>
      <c r="L565" s="73">
        <v>5187.2999999999993</v>
      </c>
    </row>
    <row r="566" spans="11:12" x14ac:dyDescent="0.4">
      <c r="K566" s="5">
        <v>564</v>
      </c>
      <c r="L566" s="73">
        <v>5191.2999999999993</v>
      </c>
    </row>
    <row r="567" spans="11:12" x14ac:dyDescent="0.4">
      <c r="K567" s="5">
        <v>565</v>
      </c>
      <c r="L567" s="73">
        <v>5207.7999999999993</v>
      </c>
    </row>
    <row r="568" spans="11:12" x14ac:dyDescent="0.4">
      <c r="K568" s="5">
        <v>566</v>
      </c>
      <c r="L568" s="73">
        <v>5168.7999999999993</v>
      </c>
    </row>
    <row r="569" spans="11:12" x14ac:dyDescent="0.4">
      <c r="K569" s="5">
        <v>567</v>
      </c>
      <c r="L569" s="73">
        <v>5123.2</v>
      </c>
    </row>
    <row r="570" spans="11:12" x14ac:dyDescent="0.4">
      <c r="K570" s="5">
        <v>568</v>
      </c>
      <c r="L570" s="73">
        <v>5157.2999999999993</v>
      </c>
    </row>
    <row r="571" spans="11:12" x14ac:dyDescent="0.4">
      <c r="K571" s="5">
        <v>569</v>
      </c>
      <c r="L571" s="73">
        <v>5185</v>
      </c>
    </row>
    <row r="572" spans="11:12" x14ac:dyDescent="0.4">
      <c r="K572" s="5">
        <v>570</v>
      </c>
      <c r="L572" s="73">
        <v>5220.8999999999996</v>
      </c>
    </row>
    <row r="573" spans="11:12" x14ac:dyDescent="0.4">
      <c r="K573" s="5">
        <v>571</v>
      </c>
      <c r="L573" s="73">
        <v>5242.5999999999995</v>
      </c>
    </row>
    <row r="574" spans="11:12" x14ac:dyDescent="0.4">
      <c r="K574" s="5">
        <v>572</v>
      </c>
      <c r="L574" s="73">
        <v>5262.0999999999995</v>
      </c>
    </row>
    <row r="575" spans="11:12" x14ac:dyDescent="0.4">
      <c r="K575" s="5">
        <v>573</v>
      </c>
      <c r="L575" s="73">
        <v>5275.7</v>
      </c>
    </row>
    <row r="576" spans="11:12" x14ac:dyDescent="0.4">
      <c r="K576" s="5">
        <v>574</v>
      </c>
      <c r="L576" s="73">
        <v>5317.5999999999995</v>
      </c>
    </row>
    <row r="577" spans="11:12" x14ac:dyDescent="0.4">
      <c r="K577" s="5">
        <v>575</v>
      </c>
      <c r="L577" s="73">
        <v>5301.0999999999995</v>
      </c>
    </row>
    <row r="578" spans="11:12" x14ac:dyDescent="0.4">
      <c r="K578" s="5">
        <v>576</v>
      </c>
      <c r="L578" s="73">
        <v>5350.0999999999995</v>
      </c>
    </row>
    <row r="579" spans="11:12" x14ac:dyDescent="0.4">
      <c r="K579" s="5">
        <v>577</v>
      </c>
      <c r="L579" s="73">
        <v>5394.5</v>
      </c>
    </row>
    <row r="580" spans="11:12" x14ac:dyDescent="0.4">
      <c r="K580" s="5">
        <v>578</v>
      </c>
      <c r="L580" s="73">
        <v>5354.2999999999993</v>
      </c>
    </row>
    <row r="581" spans="11:12" x14ac:dyDescent="0.4">
      <c r="K581" s="5">
        <v>579</v>
      </c>
      <c r="L581" s="73">
        <v>5404.2999999999993</v>
      </c>
    </row>
    <row r="582" spans="11:12" x14ac:dyDescent="0.4">
      <c r="K582" s="5">
        <v>580</v>
      </c>
      <c r="L582" s="73">
        <v>5528.4</v>
      </c>
    </row>
    <row r="583" spans="11:12" x14ac:dyDescent="0.4">
      <c r="K583" s="5">
        <v>581</v>
      </c>
      <c r="L583" s="73">
        <v>5535.4</v>
      </c>
    </row>
    <row r="584" spans="11:12" x14ac:dyDescent="0.4">
      <c r="K584" s="5">
        <v>582</v>
      </c>
      <c r="L584" s="73">
        <v>5521.2999999999993</v>
      </c>
    </row>
    <row r="585" spans="11:12" x14ac:dyDescent="0.4">
      <c r="K585" s="5">
        <v>583</v>
      </c>
      <c r="L585" s="73">
        <v>5591.9</v>
      </c>
    </row>
    <row r="586" spans="11:12" x14ac:dyDescent="0.4">
      <c r="K586" s="5">
        <v>584</v>
      </c>
      <c r="L586" s="73">
        <v>5560.9</v>
      </c>
    </row>
    <row r="587" spans="11:12" x14ac:dyDescent="0.4">
      <c r="K587" s="5">
        <v>585</v>
      </c>
      <c r="L587" s="73">
        <v>5537.2999999999993</v>
      </c>
    </row>
    <row r="588" spans="11:12" x14ac:dyDescent="0.4">
      <c r="K588" s="5">
        <v>586</v>
      </c>
      <c r="L588" s="73">
        <v>5540.5</v>
      </c>
    </row>
    <row r="589" spans="11:12" x14ac:dyDescent="0.4">
      <c r="K589" s="5">
        <v>587</v>
      </c>
      <c r="L589" s="73">
        <v>5552</v>
      </c>
    </row>
    <row r="590" spans="11:12" x14ac:dyDescent="0.4">
      <c r="K590" s="5">
        <v>588</v>
      </c>
      <c r="L590" s="73">
        <v>5622.5999999999995</v>
      </c>
    </row>
    <row r="591" spans="11:12" x14ac:dyDescent="0.4">
      <c r="K591" s="5">
        <v>589</v>
      </c>
      <c r="L591" s="73">
        <v>5628.4</v>
      </c>
    </row>
    <row r="592" spans="11:12" x14ac:dyDescent="0.4">
      <c r="K592" s="5">
        <v>590</v>
      </c>
      <c r="L592" s="73">
        <v>5675.2999999999993</v>
      </c>
    </row>
    <row r="593" spans="11:12" x14ac:dyDescent="0.4">
      <c r="K593" s="5">
        <v>591</v>
      </c>
      <c r="L593" s="73">
        <v>5682.7</v>
      </c>
    </row>
    <row r="594" spans="11:12" x14ac:dyDescent="0.4">
      <c r="K594" s="5">
        <v>592</v>
      </c>
      <c r="L594" s="73">
        <v>5684.0999999999995</v>
      </c>
    </row>
    <row r="595" spans="11:12" x14ac:dyDescent="0.4">
      <c r="K595" s="5">
        <v>593</v>
      </c>
      <c r="L595" s="73">
        <v>5680.2</v>
      </c>
    </row>
    <row r="596" spans="11:12" x14ac:dyDescent="0.4">
      <c r="K596" s="5">
        <v>594</v>
      </c>
      <c r="L596" s="73">
        <v>5697</v>
      </c>
    </row>
    <row r="597" spans="11:12" x14ac:dyDescent="0.4">
      <c r="K597" s="5">
        <v>595</v>
      </c>
      <c r="L597" s="73">
        <v>5704.7</v>
      </c>
    </row>
    <row r="598" spans="11:12" x14ac:dyDescent="0.4">
      <c r="K598" s="5">
        <v>596</v>
      </c>
      <c r="L598" s="73">
        <v>5663.9</v>
      </c>
    </row>
    <row r="599" spans="11:12" x14ac:dyDescent="0.4">
      <c r="K599" s="5">
        <v>597</v>
      </c>
      <c r="L599" s="73">
        <v>5707.5999999999995</v>
      </c>
    </row>
    <row r="600" spans="11:12" x14ac:dyDescent="0.4">
      <c r="K600" s="5">
        <v>598</v>
      </c>
      <c r="L600" s="73">
        <v>5708.7</v>
      </c>
    </row>
    <row r="601" spans="11:12" x14ac:dyDescent="0.4">
      <c r="K601" s="5">
        <v>599</v>
      </c>
      <c r="L601" s="73">
        <v>5747.0999999999995</v>
      </c>
    </row>
    <row r="602" spans="11:12" x14ac:dyDescent="0.4">
      <c r="K602" s="5">
        <v>600</v>
      </c>
      <c r="L602" s="73">
        <v>5714.2999999999993</v>
      </c>
    </row>
    <row r="603" spans="11:12" x14ac:dyDescent="0.4">
      <c r="K603" s="5">
        <v>601</v>
      </c>
      <c r="L603" s="73">
        <v>5740.5999999999995</v>
      </c>
    </row>
    <row r="604" spans="11:12" x14ac:dyDescent="0.4">
      <c r="K604" s="5">
        <v>602</v>
      </c>
      <c r="L604" s="73">
        <v>5762.0999999999995</v>
      </c>
    </row>
    <row r="605" spans="11:12" x14ac:dyDescent="0.4">
      <c r="K605" s="5">
        <v>603</v>
      </c>
      <c r="L605" s="73">
        <v>5753.4</v>
      </c>
    </row>
    <row r="606" spans="11:12" x14ac:dyDescent="0.4">
      <c r="K606" s="5">
        <v>604</v>
      </c>
      <c r="L606" s="73">
        <v>5730.7999999999993</v>
      </c>
    </row>
    <row r="607" spans="11:12" x14ac:dyDescent="0.4">
      <c r="K607" s="5">
        <v>605</v>
      </c>
      <c r="L607" s="73">
        <v>5735.5</v>
      </c>
    </row>
    <row r="608" spans="11:12" x14ac:dyDescent="0.4">
      <c r="K608" s="5">
        <v>606</v>
      </c>
      <c r="L608" s="73">
        <v>5757.7</v>
      </c>
    </row>
    <row r="609" spans="11:12" x14ac:dyDescent="0.4">
      <c r="K609" s="5">
        <v>607</v>
      </c>
      <c r="L609" s="73">
        <v>5709.2</v>
      </c>
    </row>
    <row r="610" spans="11:12" x14ac:dyDescent="0.4">
      <c r="K610" s="5">
        <v>608</v>
      </c>
      <c r="L610" s="73">
        <v>5775.4</v>
      </c>
    </row>
    <row r="611" spans="11:12" x14ac:dyDescent="0.4">
      <c r="K611" s="5">
        <v>609</v>
      </c>
      <c r="L611" s="73">
        <v>5829.6</v>
      </c>
    </row>
    <row r="612" spans="11:12" x14ac:dyDescent="0.4">
      <c r="K612" s="5">
        <v>610</v>
      </c>
      <c r="L612" s="73">
        <v>5845.3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94F2A-8971-4707-B26C-47D56D9CBD85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18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37">
        <v>25</v>
      </c>
      <c r="C3" s="138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16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39">
        <v>-132.1</v>
      </c>
      <c r="C4" s="140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18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41">
        <f>IF(B$2=0,0,B$4/B$2)</f>
        <v>-33.024999999999999</v>
      </c>
      <c r="C5" s="142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18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33">
        <f>IF(B$2=0,0,(B$7*1+B$8*2+B$9*3)/B$2)</f>
        <v>3</v>
      </c>
      <c r="C6" s="134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18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17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14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17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11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13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13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14</v>
      </c>
    </row>
    <row r="20" spans="1:17" x14ac:dyDescent="0.4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6</v>
      </c>
    </row>
    <row r="23" spans="1:17" x14ac:dyDescent="0.4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8</v>
      </c>
    </row>
    <row r="24" spans="1:17" x14ac:dyDescent="0.4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1">
        <v>0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13000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0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C0281-1645-4C65-96B8-B7C020DABEA3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66</v>
      </c>
      <c r="F2" s="25" t="s">
        <v>22</v>
      </c>
      <c r="G2" s="13">
        <v>5</v>
      </c>
      <c r="H2" s="106">
        <f>IF(B$47=0,0,G2/B$47)</f>
        <v>1.25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-7250</v>
      </c>
      <c r="P2" s="92">
        <v>4</v>
      </c>
      <c r="Q2" s="76">
        <v>-29000</v>
      </c>
    </row>
    <row r="3" spans="1:17" x14ac:dyDescent="0.4">
      <c r="A3" s="37" t="s">
        <v>8</v>
      </c>
      <c r="B3" s="137">
        <v>24</v>
      </c>
      <c r="C3" s="138"/>
      <c r="E3" s="44" t="s">
        <v>72</v>
      </c>
      <c r="F3" s="41" t="s">
        <v>27</v>
      </c>
      <c r="G3" s="34">
        <v>3</v>
      </c>
      <c r="H3" s="107">
        <f>IF(B$47=0,0,G3/B$47)</f>
        <v>0.75</v>
      </c>
      <c r="I3" s="68">
        <v>1</v>
      </c>
      <c r="K3" s="5">
        <v>1</v>
      </c>
      <c r="L3" s="73">
        <v>7</v>
      </c>
      <c r="N3" s="89" t="s">
        <v>127</v>
      </c>
      <c r="O3" s="96">
        <f t="shared" si="0"/>
        <v>-3166.6666666666665</v>
      </c>
      <c r="P3" s="93">
        <v>3</v>
      </c>
      <c r="Q3" s="77">
        <v>-9500</v>
      </c>
    </row>
    <row r="4" spans="1:17" x14ac:dyDescent="0.4">
      <c r="A4" s="37" t="s">
        <v>6</v>
      </c>
      <c r="B4" s="139">
        <v>-15.5</v>
      </c>
      <c r="C4" s="140"/>
      <c r="E4" s="44" t="s">
        <v>64</v>
      </c>
      <c r="F4" s="41" t="s">
        <v>20</v>
      </c>
      <c r="G4" s="34">
        <v>2</v>
      </c>
      <c r="H4" s="107">
        <f>IF(B$47=0,0,G4/B$47)</f>
        <v>0.5</v>
      </c>
      <c r="I4" s="68">
        <v>7</v>
      </c>
      <c r="K4" s="5">
        <v>2</v>
      </c>
      <c r="L4" s="73">
        <v>-24.5</v>
      </c>
      <c r="N4" s="89" t="s">
        <v>128</v>
      </c>
      <c r="O4" s="96">
        <f t="shared" si="0"/>
        <v>-3666.6666666666665</v>
      </c>
      <c r="P4" s="93">
        <v>3</v>
      </c>
      <c r="Q4" s="77">
        <v>-11000</v>
      </c>
    </row>
    <row r="5" spans="1:17" x14ac:dyDescent="0.4">
      <c r="A5" s="37" t="s">
        <v>7</v>
      </c>
      <c r="B5" s="141">
        <f>IF(B$2=0,0,B$4/B$2)</f>
        <v>-3.875</v>
      </c>
      <c r="C5" s="142"/>
      <c r="E5" s="44" t="s">
        <v>67</v>
      </c>
      <c r="F5" s="41" t="s">
        <v>23</v>
      </c>
      <c r="G5" s="34">
        <v>2</v>
      </c>
      <c r="H5" s="107">
        <f>IF(B$47=0,0,G5/B$47)</f>
        <v>0.5</v>
      </c>
      <c r="I5" s="68">
        <v>1</v>
      </c>
      <c r="K5" s="5">
        <v>3</v>
      </c>
      <c r="L5" s="73">
        <v>-26.5</v>
      </c>
      <c r="N5" s="89" t="s">
        <v>129</v>
      </c>
      <c r="O5" s="96">
        <f t="shared" si="0"/>
        <v>4000</v>
      </c>
      <c r="P5" s="93">
        <v>2</v>
      </c>
      <c r="Q5" s="77">
        <v>8000</v>
      </c>
    </row>
    <row r="6" spans="1:17" x14ac:dyDescent="0.4">
      <c r="A6" s="37" t="s">
        <v>1</v>
      </c>
      <c r="B6" s="133">
        <f>IF(B$2=0,0,(B$7*1+B$8*2+B$9*3)/B$2)</f>
        <v>2</v>
      </c>
      <c r="C6" s="134"/>
      <c r="E6" s="44" t="s">
        <v>89</v>
      </c>
      <c r="F6" s="41" t="s">
        <v>44</v>
      </c>
      <c r="G6" s="34">
        <v>2</v>
      </c>
      <c r="H6" s="107">
        <f>IF(B$47=0,0,G6/B$47)</f>
        <v>0.5</v>
      </c>
      <c r="I6" s="68">
        <v>1</v>
      </c>
      <c r="K6" s="5">
        <v>4</v>
      </c>
      <c r="L6" s="73">
        <v>-15.5</v>
      </c>
      <c r="N6" s="89" t="s">
        <v>130</v>
      </c>
      <c r="O6" s="96">
        <f t="shared" si="0"/>
        <v>21500</v>
      </c>
      <c r="P6" s="93">
        <v>2</v>
      </c>
      <c r="Q6" s="77">
        <v>43000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68</v>
      </c>
      <c r="F7" s="41" t="s">
        <v>12</v>
      </c>
      <c r="G7" s="34">
        <v>1</v>
      </c>
      <c r="H7" s="107">
        <f>IF(B$47=0,0,G7/B$47)</f>
        <v>0.25</v>
      </c>
      <c r="I7" s="68">
        <v>15</v>
      </c>
      <c r="N7" s="90" t="s">
        <v>131</v>
      </c>
      <c r="O7" s="97">
        <f t="shared" si="0"/>
        <v>-8500</v>
      </c>
      <c r="P7" s="94">
        <v>2</v>
      </c>
      <c r="Q7" s="78">
        <v>-17000</v>
      </c>
    </row>
    <row r="8" spans="1:17" x14ac:dyDescent="0.4">
      <c r="A8" s="37" t="s">
        <v>3</v>
      </c>
      <c r="B8" s="34">
        <v>2</v>
      </c>
      <c r="C8" s="31">
        <f t="shared" si="1"/>
        <v>0.5</v>
      </c>
      <c r="E8" s="44" t="s">
        <v>69</v>
      </c>
      <c r="F8" s="41" t="s">
        <v>24</v>
      </c>
      <c r="G8" s="34">
        <v>1</v>
      </c>
      <c r="H8" s="107">
        <f>IF(B$47=0,0,G8/B$47)</f>
        <v>0.25</v>
      </c>
      <c r="I8" s="68">
        <v>1</v>
      </c>
      <c r="N8" s="33"/>
      <c r="O8" s="101"/>
      <c r="P8" s="85"/>
      <c r="Q8" s="83"/>
    </row>
    <row r="9" spans="1:17" x14ac:dyDescent="0.4">
      <c r="A9" s="38" t="s">
        <v>4</v>
      </c>
      <c r="B9" s="35">
        <v>1</v>
      </c>
      <c r="C9" s="7">
        <f t="shared" si="1"/>
        <v>0.25</v>
      </c>
      <c r="E9" s="44" t="s">
        <v>71</v>
      </c>
      <c r="F9" s="41" t="s">
        <v>26</v>
      </c>
      <c r="G9" s="34">
        <v>1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83</v>
      </c>
      <c r="F10" s="41" t="s">
        <v>38</v>
      </c>
      <c r="G10" s="34">
        <v>1</v>
      </c>
      <c r="H10" s="107">
        <f>IF(B$47=0,0,G10/B$47)</f>
        <v>0.25</v>
      </c>
      <c r="I10" s="68">
        <v>1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8</v>
      </c>
      <c r="C11" s="11">
        <f>IF(B$46=0,0,B11/B$46)</f>
        <v>0.42105263157894735</v>
      </c>
      <c r="E11" s="44" t="s">
        <v>86</v>
      </c>
      <c r="F11" s="41" t="s">
        <v>41</v>
      </c>
      <c r="G11" s="34">
        <v>1</v>
      </c>
      <c r="H11" s="107">
        <f>IF(B$47=0,0,G11/B$47)</f>
        <v>0.25</v>
      </c>
      <c r="I11" s="68">
        <v>1</v>
      </c>
      <c r="N11" s="89" t="s">
        <v>150</v>
      </c>
      <c r="O11" s="99">
        <f>IF(P11=0,0,Q11/P11)</f>
        <v>9</v>
      </c>
      <c r="P11" s="93">
        <v>2</v>
      </c>
      <c r="Q11" s="81">
        <v>18</v>
      </c>
    </row>
    <row r="12" spans="1:17" x14ac:dyDescent="0.4">
      <c r="A12" s="37" t="s">
        <v>118</v>
      </c>
      <c r="B12" s="34">
        <v>2</v>
      </c>
      <c r="C12" s="31">
        <f>IF(B$46=0,0,B12/B$46)</f>
        <v>0.10526315789473684</v>
      </c>
      <c r="E12" s="44" t="s">
        <v>65</v>
      </c>
      <c r="F12" s="41" t="s">
        <v>21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-16.75</v>
      </c>
      <c r="P12" s="94">
        <v>2</v>
      </c>
      <c r="Q12" s="82">
        <v>-33.5</v>
      </c>
    </row>
    <row r="13" spans="1:17" x14ac:dyDescent="0.4">
      <c r="A13" s="19" t="s">
        <v>123</v>
      </c>
      <c r="B13" s="13">
        <v>2</v>
      </c>
      <c r="C13" s="4">
        <f>IF(B$11=0,0,B13/B$11)</f>
        <v>0.25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</v>
      </c>
      <c r="C14" s="4">
        <f>IF(B$12=0,0,B14/B$12)</f>
        <v>1</v>
      </c>
      <c r="E14" s="44" t="s">
        <v>73</v>
      </c>
      <c r="F14" s="41" t="s">
        <v>28</v>
      </c>
      <c r="G14" s="34">
        <v>0</v>
      </c>
      <c r="H14" s="107">
        <f>IF(B$47=0,0,G14/B$47)</f>
        <v>0</v>
      </c>
      <c r="I14" s="68">
        <v>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</v>
      </c>
      <c r="C15" s="4">
        <f>IF(B$3=0,0,B15/B$3)</f>
        <v>0.25</v>
      </c>
      <c r="E15" s="44" t="s">
        <v>74</v>
      </c>
      <c r="F15" s="41" t="s">
        <v>29</v>
      </c>
      <c r="G15" s="34">
        <v>0</v>
      </c>
      <c r="H15" s="107">
        <f>IF(B$47=0,0,G15/B$47)</f>
        <v>0</v>
      </c>
      <c r="I15" s="68">
        <v>10</v>
      </c>
      <c r="N15" s="88" t="s">
        <v>184</v>
      </c>
      <c r="O15" s="98">
        <f>IF(P15=0,0,Q15/P15)</f>
        <v>29</v>
      </c>
      <c r="P15" s="92">
        <v>1</v>
      </c>
      <c r="Q15" s="80">
        <v>29</v>
      </c>
    </row>
    <row r="16" spans="1:17" x14ac:dyDescent="0.4">
      <c r="A16" s="37" t="s">
        <v>13</v>
      </c>
      <c r="B16" s="34">
        <v>4</v>
      </c>
      <c r="C16" s="31">
        <f>IF(B$3=0,0,B16/B$3)</f>
        <v>0.16666666666666666</v>
      </c>
      <c r="E16" s="44" t="s">
        <v>75</v>
      </c>
      <c r="F16" s="41" t="s">
        <v>30</v>
      </c>
      <c r="G16" s="34">
        <v>0</v>
      </c>
      <c r="H16" s="107">
        <f>IF(B$47=0,0,G16/B$47)</f>
        <v>0</v>
      </c>
      <c r="I16" s="68">
        <v>10</v>
      </c>
      <c r="N16" s="89" t="s">
        <v>191</v>
      </c>
      <c r="O16" s="99">
        <f>IF(P16=0,0,Q16/P16)</f>
        <v>3.9666666666666663</v>
      </c>
      <c r="P16" s="93">
        <v>3</v>
      </c>
      <c r="Q16" s="81">
        <v>11.899999999999999</v>
      </c>
    </row>
    <row r="17" spans="1:17" x14ac:dyDescent="0.4">
      <c r="A17" s="37" t="s">
        <v>12</v>
      </c>
      <c r="B17" s="34">
        <v>2</v>
      </c>
      <c r="C17" s="31">
        <f>IF(B$15=0,0,B17/B$15)</f>
        <v>0.33333333333333331</v>
      </c>
      <c r="E17" s="44" t="s">
        <v>76</v>
      </c>
      <c r="F17" s="41" t="s">
        <v>31</v>
      </c>
      <c r="G17" s="34">
        <v>0</v>
      </c>
      <c r="H17" s="107">
        <f>IF(B$47=0,0,G17/B$47)</f>
        <v>0</v>
      </c>
      <c r="I17" s="68">
        <v>1</v>
      </c>
      <c r="N17" s="89" t="s">
        <v>195</v>
      </c>
      <c r="O17" s="99">
        <f>IF(P17=0,0,Q17/P17)</f>
        <v>-8</v>
      </c>
      <c r="P17" s="93">
        <v>1</v>
      </c>
      <c r="Q17" s="81">
        <v>-8</v>
      </c>
    </row>
    <row r="18" spans="1:17" x14ac:dyDescent="0.4">
      <c r="A18" s="37" t="s">
        <v>11</v>
      </c>
      <c r="B18" s="34">
        <v>4</v>
      </c>
      <c r="C18" s="31">
        <f>IF(B$15=0,0,B18/B$15)</f>
        <v>0.66666666666666663</v>
      </c>
      <c r="E18" s="44" t="s">
        <v>77</v>
      </c>
      <c r="F18" s="41" t="s">
        <v>32</v>
      </c>
      <c r="G18" s="34">
        <v>0</v>
      </c>
      <c r="H18" s="107">
        <f>IF(B$47=0,0,G18/B$47)</f>
        <v>0</v>
      </c>
      <c r="I18" s="68">
        <v>9</v>
      </c>
      <c r="N18" s="89" t="s">
        <v>190</v>
      </c>
      <c r="O18" s="99">
        <f>IF(P18=0,0,Q18/P18)</f>
        <v>-26.466666666666669</v>
      </c>
      <c r="P18" s="93">
        <v>3</v>
      </c>
      <c r="Q18" s="81">
        <v>-79.400000000000006</v>
      </c>
    </row>
    <row r="19" spans="1:17" x14ac:dyDescent="0.4">
      <c r="A19" s="37" t="s">
        <v>180</v>
      </c>
      <c r="B19" s="34">
        <v>2</v>
      </c>
      <c r="C19" s="31">
        <f>IF(B$15=0,0,B19/B$15)</f>
        <v>0.33333333333333331</v>
      </c>
      <c r="E19" s="44" t="s">
        <v>78</v>
      </c>
      <c r="F19" s="41" t="s">
        <v>33</v>
      </c>
      <c r="G19" s="34">
        <v>0</v>
      </c>
      <c r="H19" s="107">
        <f>IF(B$47=0,0,G19/B$47)</f>
        <v>0</v>
      </c>
      <c r="I19" s="68">
        <v>13</v>
      </c>
    </row>
    <row r="20" spans="1:17" x14ac:dyDescent="0.4">
      <c r="A20" s="37" t="s">
        <v>178</v>
      </c>
      <c r="B20" s="34">
        <v>2</v>
      </c>
      <c r="C20" s="31">
        <f>IF(B$15=0,0,B20/B$15)</f>
        <v>0.33333333333333331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13</v>
      </c>
    </row>
    <row r="21" spans="1:17" x14ac:dyDescent="0.4">
      <c r="A21" s="37" t="s">
        <v>179</v>
      </c>
      <c r="B21" s="34">
        <v>2</v>
      </c>
      <c r="C21" s="31">
        <f>IF(B$15=0,0,B21/B$15)</f>
        <v>0.33333333333333331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">
      <c r="A22" s="37" t="s">
        <v>5</v>
      </c>
      <c r="B22" s="17">
        <f>IF(B$15=0,0,C22/B$15)</f>
        <v>12333.333333333334</v>
      </c>
      <c r="C22" s="8">
        <v>74000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14</v>
      </c>
    </row>
    <row r="23" spans="1:17" x14ac:dyDescent="0.4">
      <c r="A23" s="38" t="s">
        <v>162</v>
      </c>
      <c r="B23" s="114">
        <f>IF($B$15-B$14=0,0,C23/($B$15-B$14))</f>
        <v>12000</v>
      </c>
      <c r="C23" s="115">
        <v>48000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">
      <c r="A24" s="38" t="s">
        <v>163</v>
      </c>
      <c r="B24" s="114">
        <f>IF(B$14=0,0,C24/B$14)</f>
        <v>13000</v>
      </c>
      <c r="C24" s="115">
        <v>26000</v>
      </c>
      <c r="E24" s="44" t="s">
        <v>84</v>
      </c>
      <c r="F24" s="41" t="s">
        <v>39</v>
      </c>
      <c r="G24" s="34">
        <v>0</v>
      </c>
      <c r="H24" s="107">
        <f>IF(B$47=0,0,G24/B$47)</f>
        <v>0</v>
      </c>
      <c r="I24" s="68">
        <v>6</v>
      </c>
    </row>
    <row r="25" spans="1:17" x14ac:dyDescent="0.4">
      <c r="A25" s="38" t="s">
        <v>161</v>
      </c>
      <c r="B25" s="114">
        <f>IF(B$16=0,0,C25/B$16)</f>
        <v>-12000</v>
      </c>
      <c r="C25" s="115">
        <v>-48000</v>
      </c>
      <c r="E25" s="44" t="s">
        <v>85</v>
      </c>
      <c r="F25" s="41" t="s">
        <v>40</v>
      </c>
      <c r="G25" s="34">
        <v>0</v>
      </c>
      <c r="H25" s="107">
        <f>IF(B$47=0,0,G25/B$47)</f>
        <v>0</v>
      </c>
      <c r="I25" s="68">
        <v>8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17" x14ac:dyDescent="0.4">
      <c r="A27" s="37" t="s">
        <v>156</v>
      </c>
      <c r="B27" s="34">
        <v>11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17" x14ac:dyDescent="0.4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46000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2</v>
      </c>
      <c r="C36" s="31">
        <f t="shared" si="2"/>
        <v>0.33333333333333331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1</v>
      </c>
      <c r="C37" s="31">
        <f t="shared" si="2"/>
        <v>0.16666666666666666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1</v>
      </c>
      <c r="C41" s="31">
        <f t="shared" si="2"/>
        <v>0.16666666666666666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19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4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25F22-8F95-41C4-95A6-5120888985F4}">
  <sheetPr codeName="Sheet7"/>
  <dimension ref="A1:Q38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379</v>
      </c>
      <c r="C2" s="128"/>
      <c r="E2" s="43" t="s">
        <v>66</v>
      </c>
      <c r="F2" s="25" t="s">
        <v>22</v>
      </c>
      <c r="G2" s="13">
        <v>554</v>
      </c>
      <c r="H2" s="106">
        <f>IF(B$47=0,0,G2/B$47)</f>
        <v>0.7194805194805195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-146.93333333333334</v>
      </c>
      <c r="P2" s="92">
        <v>375</v>
      </c>
      <c r="Q2" s="76">
        <v>-55100</v>
      </c>
    </row>
    <row r="3" spans="1:17" x14ac:dyDescent="0.4">
      <c r="A3" s="37" t="s">
        <v>8</v>
      </c>
      <c r="B3" s="137">
        <v>3064</v>
      </c>
      <c r="C3" s="138"/>
      <c r="E3" s="44" t="s">
        <v>64</v>
      </c>
      <c r="F3" s="41" t="s">
        <v>20</v>
      </c>
      <c r="G3" s="34">
        <v>459</v>
      </c>
      <c r="H3" s="107">
        <f>IF(B$47=0,0,G3/B$47)</f>
        <v>0.59610389610389614</v>
      </c>
      <c r="I3" s="68">
        <v>3</v>
      </c>
      <c r="K3" s="5">
        <v>1</v>
      </c>
      <c r="L3" s="73">
        <v>40.9</v>
      </c>
      <c r="N3" s="89" t="s">
        <v>127</v>
      </c>
      <c r="O3" s="96">
        <f t="shared" si="0"/>
        <v>-1391.8032786885246</v>
      </c>
      <c r="P3" s="93">
        <v>366</v>
      </c>
      <c r="Q3" s="77">
        <v>-509400</v>
      </c>
    </row>
    <row r="4" spans="1:17" x14ac:dyDescent="0.4">
      <c r="A4" s="37" t="s">
        <v>6</v>
      </c>
      <c r="B4" s="139">
        <v>-1582.9999999999998</v>
      </c>
      <c r="C4" s="140"/>
      <c r="E4" s="44" t="s">
        <v>72</v>
      </c>
      <c r="F4" s="41" t="s">
        <v>27</v>
      </c>
      <c r="G4" s="34">
        <v>367</v>
      </c>
      <c r="H4" s="107">
        <f>IF(B$47=0,0,G4/B$47)</f>
        <v>0.47662337662337662</v>
      </c>
      <c r="I4" s="68">
        <v>14</v>
      </c>
      <c r="K4" s="5">
        <v>2</v>
      </c>
      <c r="L4" s="73">
        <v>-0.89999999999999858</v>
      </c>
      <c r="N4" s="89" t="s">
        <v>128</v>
      </c>
      <c r="O4" s="96">
        <f t="shared" si="0"/>
        <v>458.33333333333331</v>
      </c>
      <c r="P4" s="93">
        <v>348</v>
      </c>
      <c r="Q4" s="77">
        <v>159500</v>
      </c>
    </row>
    <row r="5" spans="1:17" x14ac:dyDescent="0.4">
      <c r="A5" s="37" t="s">
        <v>7</v>
      </c>
      <c r="B5" s="141">
        <f>IF(B$2=0,0,B$4/B$2)</f>
        <v>-4.1767810026385215</v>
      </c>
      <c r="C5" s="142"/>
      <c r="E5" s="44" t="s">
        <v>68</v>
      </c>
      <c r="F5" s="41" t="s">
        <v>12</v>
      </c>
      <c r="G5" s="34">
        <v>279</v>
      </c>
      <c r="H5" s="107">
        <f>IF(B$47=0,0,G5/B$47)</f>
        <v>0.36233766233766235</v>
      </c>
      <c r="I5" s="68">
        <v>3</v>
      </c>
      <c r="K5" s="5">
        <v>3</v>
      </c>
      <c r="L5" s="73">
        <v>-36.4</v>
      </c>
      <c r="N5" s="89" t="s">
        <v>129</v>
      </c>
      <c r="O5" s="96">
        <f t="shared" si="0"/>
        <v>-747.16981132075466</v>
      </c>
      <c r="P5" s="93">
        <v>318</v>
      </c>
      <c r="Q5" s="77">
        <v>-237600</v>
      </c>
    </row>
    <row r="6" spans="1:17" x14ac:dyDescent="0.4">
      <c r="A6" s="37" t="s">
        <v>1</v>
      </c>
      <c r="B6" s="133">
        <f>IF(B$2=0,0,(B$7*1+B$8*2+B$9*3)/B$2)</f>
        <v>2.1055408970976255</v>
      </c>
      <c r="C6" s="134"/>
      <c r="E6" s="44" t="s">
        <v>67</v>
      </c>
      <c r="F6" s="41" t="s">
        <v>23</v>
      </c>
      <c r="G6" s="34">
        <v>261</v>
      </c>
      <c r="H6" s="107">
        <f>IF(B$47=0,0,G6/B$47)</f>
        <v>0.33896103896103896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-1201.7730496453901</v>
      </c>
      <c r="P6" s="93">
        <v>282</v>
      </c>
      <c r="Q6" s="77">
        <v>-338900</v>
      </c>
    </row>
    <row r="7" spans="1:17" x14ac:dyDescent="0.4">
      <c r="A7" s="37" t="s">
        <v>2</v>
      </c>
      <c r="B7" s="34">
        <v>102</v>
      </c>
      <c r="C7" s="31">
        <f t="shared" ref="C7:C10" si="1">IF(B$2=0,0,B7/B$2)</f>
        <v>0.26912928759894461</v>
      </c>
      <c r="E7" s="44" t="s">
        <v>157</v>
      </c>
      <c r="F7" s="41" t="s">
        <v>158</v>
      </c>
      <c r="G7" s="34">
        <v>231</v>
      </c>
      <c r="H7" s="107">
        <f>IF(B$47=0,0,G7/B$47)</f>
        <v>0.3</v>
      </c>
      <c r="I7" s="68">
        <v>7</v>
      </c>
      <c r="K7" s="5">
        <v>5</v>
      </c>
      <c r="L7" s="73">
        <v>14.600000000000001</v>
      </c>
      <c r="N7" s="90" t="s">
        <v>131</v>
      </c>
      <c r="O7" s="97">
        <f t="shared" si="0"/>
        <v>-952.91666666666663</v>
      </c>
      <c r="P7" s="94">
        <v>240</v>
      </c>
      <c r="Q7" s="78">
        <v>-228700</v>
      </c>
    </row>
    <row r="8" spans="1:17" x14ac:dyDescent="0.4">
      <c r="A8" s="37" t="s">
        <v>3</v>
      </c>
      <c r="B8" s="34">
        <v>135</v>
      </c>
      <c r="C8" s="31">
        <f t="shared" si="1"/>
        <v>0.35620052770448551</v>
      </c>
      <c r="E8" s="44" t="s">
        <v>69</v>
      </c>
      <c r="F8" s="41" t="s">
        <v>24</v>
      </c>
      <c r="G8" s="34">
        <v>142</v>
      </c>
      <c r="H8" s="107">
        <f>IF(B$47=0,0,G8/B$47)</f>
        <v>0.18441558441558442</v>
      </c>
      <c r="I8" s="68">
        <v>2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142</v>
      </c>
      <c r="C9" s="7">
        <f t="shared" si="1"/>
        <v>0.37467018469656993</v>
      </c>
      <c r="E9" s="44" t="s">
        <v>65</v>
      </c>
      <c r="F9" s="41" t="s">
        <v>21</v>
      </c>
      <c r="G9" s="34">
        <v>107</v>
      </c>
      <c r="H9" s="107">
        <f>IF(B$47=0,0,G9/B$47)</f>
        <v>0.13896103896103895</v>
      </c>
      <c r="I9" s="68">
        <v>2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55</v>
      </c>
      <c r="C10" s="32">
        <f t="shared" si="1"/>
        <v>0.14511873350923482</v>
      </c>
      <c r="E10" s="44" t="s">
        <v>70</v>
      </c>
      <c r="F10" s="41" t="s">
        <v>25</v>
      </c>
      <c r="G10" s="34">
        <v>103</v>
      </c>
      <c r="H10" s="107">
        <f>IF(B$47=0,0,G10/B$47)</f>
        <v>0.13376623376623376</v>
      </c>
      <c r="I10" s="68">
        <v>2</v>
      </c>
      <c r="K10" s="5">
        <v>8</v>
      </c>
      <c r="L10" s="73">
        <v>60.199999999999996</v>
      </c>
      <c r="N10" s="88" t="s">
        <v>149</v>
      </c>
      <c r="O10" s="98">
        <f>IF(P10=0,0,Q10/P10)</f>
        <v>-6.4079470198675503</v>
      </c>
      <c r="P10" s="92">
        <v>151</v>
      </c>
      <c r="Q10" s="80">
        <v>-967.60000000000014</v>
      </c>
    </row>
    <row r="11" spans="1:17" x14ac:dyDescent="0.4">
      <c r="A11" s="40" t="s">
        <v>121</v>
      </c>
      <c r="B11" s="16">
        <v>818</v>
      </c>
      <c r="C11" s="11">
        <f>IF(B$46=0,0,B11/B$46)</f>
        <v>0.29183018194791294</v>
      </c>
      <c r="E11" s="44" t="s">
        <v>89</v>
      </c>
      <c r="F11" s="41" t="s">
        <v>44</v>
      </c>
      <c r="G11" s="34">
        <v>103</v>
      </c>
      <c r="H11" s="107">
        <f>IF(B$47=0,0,G11/B$47)</f>
        <v>0.13376623376623376</v>
      </c>
      <c r="I11" s="68">
        <v>8</v>
      </c>
      <c r="K11" s="5">
        <v>9</v>
      </c>
      <c r="L11" s="73">
        <v>24.4</v>
      </c>
      <c r="N11" s="89" t="s">
        <v>150</v>
      </c>
      <c r="O11" s="99">
        <f>IF(P11=0,0,Q11/P11)</f>
        <v>-4.9083333333333332</v>
      </c>
      <c r="P11" s="93">
        <v>120</v>
      </c>
      <c r="Q11" s="81">
        <v>-589</v>
      </c>
    </row>
    <row r="12" spans="1:17" x14ac:dyDescent="0.4">
      <c r="A12" s="37" t="s">
        <v>118</v>
      </c>
      <c r="B12" s="34">
        <v>501</v>
      </c>
      <c r="C12" s="31">
        <f>IF(B$46=0,0,B12/B$46)</f>
        <v>0.17873706742775597</v>
      </c>
      <c r="E12" s="44" t="s">
        <v>86</v>
      </c>
      <c r="F12" s="41" t="s">
        <v>41</v>
      </c>
      <c r="G12" s="34">
        <v>44</v>
      </c>
      <c r="H12" s="107">
        <f>IF(B$47=0,0,G12/B$47)</f>
        <v>5.7142857142857141E-2</v>
      </c>
      <c r="I12" s="68">
        <v>10</v>
      </c>
      <c r="K12" s="5">
        <v>10</v>
      </c>
      <c r="L12" s="73">
        <v>-20.100000000000001</v>
      </c>
      <c r="N12" s="90" t="s">
        <v>151</v>
      </c>
      <c r="O12" s="100">
        <f>IF(P12=0,0,Q12/P12)</f>
        <v>-0.72075471698113169</v>
      </c>
      <c r="P12" s="94">
        <v>106</v>
      </c>
      <c r="Q12" s="82">
        <v>-76.399999999999963</v>
      </c>
    </row>
    <row r="13" spans="1:17" x14ac:dyDescent="0.4">
      <c r="A13" s="19" t="s">
        <v>123</v>
      </c>
      <c r="B13" s="13">
        <v>475</v>
      </c>
      <c r="C13" s="4">
        <f>IF(B$11=0,0,B13/B$11)</f>
        <v>0.5806845965770171</v>
      </c>
      <c r="E13" s="44" t="s">
        <v>83</v>
      </c>
      <c r="F13" s="41" t="s">
        <v>38</v>
      </c>
      <c r="G13" s="34">
        <v>41</v>
      </c>
      <c r="H13" s="107">
        <f>IF(B$47=0,0,G13/B$47)</f>
        <v>5.3246753246753244E-2</v>
      </c>
      <c r="I13" s="68">
        <v>7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179</v>
      </c>
      <c r="C14" s="4">
        <f>IF(B$12=0,0,B14/B$12)</f>
        <v>0.35728542914171657</v>
      </c>
      <c r="E14" s="44" t="s">
        <v>71</v>
      </c>
      <c r="F14" s="41" t="s">
        <v>26</v>
      </c>
      <c r="G14" s="34">
        <v>32</v>
      </c>
      <c r="H14" s="107">
        <f>IF(B$47=0,0,G14/B$47)</f>
        <v>4.1558441558441558E-2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831</v>
      </c>
      <c r="C15" s="4">
        <f>IF(B$3=0,0,B15/B$3)</f>
        <v>0.27121409921671019</v>
      </c>
      <c r="E15" s="44" t="s">
        <v>81</v>
      </c>
      <c r="F15" s="41" t="s">
        <v>36</v>
      </c>
      <c r="G15" s="34">
        <v>24</v>
      </c>
      <c r="H15" s="107">
        <f>IF(B$47=0,0,G15/B$47)</f>
        <v>3.1168831168831169E-2</v>
      </c>
      <c r="I15" s="68">
        <v>4</v>
      </c>
      <c r="K15" s="5">
        <v>13</v>
      </c>
      <c r="L15" s="73">
        <v>49.5</v>
      </c>
      <c r="N15" s="88" t="s">
        <v>189</v>
      </c>
      <c r="O15" s="98">
        <f>IF(P15=0,0,Q15/P15)</f>
        <v>26.466666666666669</v>
      </c>
      <c r="P15" s="92">
        <v>3</v>
      </c>
      <c r="Q15" s="80">
        <v>79.400000000000006</v>
      </c>
    </row>
    <row r="16" spans="1:17" x14ac:dyDescent="0.4">
      <c r="A16" s="37" t="s">
        <v>13</v>
      </c>
      <c r="B16" s="34">
        <v>581</v>
      </c>
      <c r="C16" s="31">
        <f>IF(B$3=0,0,B16/B$3)</f>
        <v>0.18962140992167101</v>
      </c>
      <c r="E16" s="44" t="s">
        <v>78</v>
      </c>
      <c r="F16" s="41" t="s">
        <v>33</v>
      </c>
      <c r="G16" s="34">
        <v>19</v>
      </c>
      <c r="H16" s="107">
        <f>IF(B$47=0,0,G16/B$47)</f>
        <v>2.4675324675324677E-2</v>
      </c>
      <c r="I16" s="68">
        <v>9</v>
      </c>
      <c r="K16" s="5">
        <v>14</v>
      </c>
      <c r="L16" s="73">
        <v>33</v>
      </c>
      <c r="N16" s="89" t="s">
        <v>197</v>
      </c>
      <c r="O16" s="99">
        <f>IF(P16=0,0,Q16/P16)</f>
        <v>25.799999999999997</v>
      </c>
      <c r="P16" s="93">
        <v>1</v>
      </c>
      <c r="Q16" s="81">
        <v>25.799999999999997</v>
      </c>
    </row>
    <row r="17" spans="1:17" x14ac:dyDescent="0.4">
      <c r="A17" s="37" t="s">
        <v>12</v>
      </c>
      <c r="B17" s="34">
        <v>376</v>
      </c>
      <c r="C17" s="31">
        <f>IF(B$15=0,0,B17/B$15)</f>
        <v>0.45246690734055356</v>
      </c>
      <c r="E17" s="44" t="s">
        <v>91</v>
      </c>
      <c r="F17" s="41" t="s">
        <v>46</v>
      </c>
      <c r="G17" s="34">
        <v>15</v>
      </c>
      <c r="H17" s="107">
        <f>IF(B$47=0,0,G17/B$47)</f>
        <v>1.948051948051948E-2</v>
      </c>
      <c r="I17" s="68">
        <v>5</v>
      </c>
      <c r="K17" s="5">
        <v>15</v>
      </c>
      <c r="L17" s="73">
        <v>38.5</v>
      </c>
      <c r="N17" s="89" t="s">
        <v>186</v>
      </c>
      <c r="O17" s="99">
        <f>IF(P17=0,0,Q17/P17)</f>
        <v>9.1657894736842103</v>
      </c>
      <c r="P17" s="93">
        <v>38</v>
      </c>
      <c r="Q17" s="81">
        <v>348.3</v>
      </c>
    </row>
    <row r="18" spans="1:17" x14ac:dyDescent="0.4">
      <c r="A18" s="37" t="s">
        <v>11</v>
      </c>
      <c r="B18" s="34">
        <v>455</v>
      </c>
      <c r="C18" s="31">
        <f>IF(B$15=0,0,B18/B$15)</f>
        <v>0.5475330926594465</v>
      </c>
      <c r="E18" s="44" t="s">
        <v>79</v>
      </c>
      <c r="F18" s="41" t="s">
        <v>34</v>
      </c>
      <c r="G18" s="34">
        <v>12</v>
      </c>
      <c r="H18" s="107">
        <f>IF(B$47=0,0,G18/B$47)</f>
        <v>1.5584415584415584E-2</v>
      </c>
      <c r="I18" s="68">
        <v>7</v>
      </c>
      <c r="K18" s="5">
        <v>16</v>
      </c>
      <c r="L18" s="73">
        <v>14.600000000000001</v>
      </c>
      <c r="N18" s="89" t="s">
        <v>188</v>
      </c>
      <c r="O18" s="99">
        <f>IF(P18=0,0,Q18/P18)</f>
        <v>8.8780821917808233</v>
      </c>
      <c r="P18" s="93">
        <v>73</v>
      </c>
      <c r="Q18" s="81">
        <v>648.10000000000014</v>
      </c>
    </row>
    <row r="19" spans="1:17" x14ac:dyDescent="0.4">
      <c r="A19" s="37" t="s">
        <v>180</v>
      </c>
      <c r="B19" s="34">
        <v>475</v>
      </c>
      <c r="C19" s="31">
        <f>IF(B$15=0,0,B19/B$15)</f>
        <v>0.57160048134777375</v>
      </c>
      <c r="E19" s="44" t="s">
        <v>153</v>
      </c>
      <c r="F19" s="41" t="s">
        <v>154</v>
      </c>
      <c r="G19" s="34">
        <v>11</v>
      </c>
      <c r="H19" s="107">
        <f>IF(B$47=0,0,G19/B$47)</f>
        <v>1.4285714285714285E-2</v>
      </c>
      <c r="I19" s="68">
        <v>6</v>
      </c>
      <c r="K19" s="5">
        <v>17</v>
      </c>
      <c r="L19" s="73">
        <v>13.900000000000002</v>
      </c>
      <c r="N19" s="89" t="s">
        <v>191</v>
      </c>
      <c r="O19" s="99">
        <f>IF(P19=0,0,Q19/P19)</f>
        <v>1.9130000000000009</v>
      </c>
      <c r="P19" s="93">
        <v>100</v>
      </c>
      <c r="Q19" s="81">
        <v>191.3000000000001</v>
      </c>
    </row>
    <row r="20" spans="1:17" x14ac:dyDescent="0.4">
      <c r="A20" s="37" t="s">
        <v>178</v>
      </c>
      <c r="B20" s="34">
        <v>179</v>
      </c>
      <c r="C20" s="31">
        <f>IF(B$15=0,0,B20/B$15)</f>
        <v>0.21540312876052947</v>
      </c>
      <c r="E20" s="44" t="s">
        <v>75</v>
      </c>
      <c r="F20" s="41" t="s">
        <v>30</v>
      </c>
      <c r="G20" s="34">
        <v>7</v>
      </c>
      <c r="H20" s="107">
        <f>IF(B$47=0,0,G20/B$47)</f>
        <v>9.0909090909090905E-3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179</v>
      </c>
      <c r="B21" s="34">
        <v>177</v>
      </c>
      <c r="C21" s="31">
        <f>IF(B$15=0,0,B21/B$15)</f>
        <v>0.21299638989169675</v>
      </c>
      <c r="E21" s="44" t="s">
        <v>73</v>
      </c>
      <c r="F21" s="41" t="s">
        <v>28</v>
      </c>
      <c r="G21" s="34">
        <v>4</v>
      </c>
      <c r="H21" s="107">
        <f>IF(B$47=0,0,G21/B$47)</f>
        <v>5.1948051948051948E-3</v>
      </c>
      <c r="I21" s="68">
        <v>8</v>
      </c>
      <c r="K21" s="5">
        <v>19</v>
      </c>
      <c r="L21" s="73">
        <v>-26.699999999999996</v>
      </c>
      <c r="N21" s="89" t="s">
        <v>187</v>
      </c>
      <c r="O21" s="99">
        <f>IF(P21=0,0,Q21/P21)</f>
        <v>-5.1508771929824562</v>
      </c>
      <c r="P21" s="93">
        <v>57</v>
      </c>
      <c r="Q21" s="81">
        <v>-293.60000000000002</v>
      </c>
    </row>
    <row r="22" spans="1:17" x14ac:dyDescent="0.4">
      <c r="A22" s="37" t="s">
        <v>5</v>
      </c>
      <c r="B22" s="17">
        <f>IF(B$15=0,0,C22/B$15)</f>
        <v>9389.8916967509031</v>
      </c>
      <c r="C22" s="8">
        <v>7803000</v>
      </c>
      <c r="E22" s="44" t="s">
        <v>74</v>
      </c>
      <c r="F22" s="41" t="s">
        <v>29</v>
      </c>
      <c r="G22" s="34">
        <v>3</v>
      </c>
      <c r="H22" s="107">
        <f>IF(B$47=0,0,G22/B$47)</f>
        <v>3.8961038961038961E-3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-6.7699300699300684</v>
      </c>
      <c r="P22" s="93">
        <v>143</v>
      </c>
      <c r="Q22" s="81">
        <v>-968.0999999999998</v>
      </c>
    </row>
    <row r="23" spans="1:17" x14ac:dyDescent="0.4">
      <c r="A23" s="38" t="s">
        <v>162</v>
      </c>
      <c r="B23" s="114">
        <f>IF($B$15-B$14=0,0,C23/($B$15-B$14))</f>
        <v>9739.7239263803676</v>
      </c>
      <c r="C23" s="115">
        <v>6350300</v>
      </c>
      <c r="E23" s="44" t="s">
        <v>84</v>
      </c>
      <c r="F23" s="41" t="s">
        <v>39</v>
      </c>
      <c r="G23" s="34">
        <v>3</v>
      </c>
      <c r="H23" s="107">
        <f>IF(B$47=0,0,G23/B$47)</f>
        <v>3.8961038961038961E-3</v>
      </c>
      <c r="I23" s="68">
        <v>3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8" t="s">
        <v>163</v>
      </c>
      <c r="B24" s="114">
        <f>IF(B$14=0,0,C24/B$14)</f>
        <v>8115.6424581005585</v>
      </c>
      <c r="C24" s="115">
        <v>1452700</v>
      </c>
      <c r="E24" s="44" t="s">
        <v>92</v>
      </c>
      <c r="F24" s="41" t="s">
        <v>47</v>
      </c>
      <c r="G24" s="34">
        <v>3</v>
      </c>
      <c r="H24" s="107">
        <f>IF(B$47=0,0,G24/B$47)</f>
        <v>3.8961038961038961E-3</v>
      </c>
      <c r="I24" s="68">
        <v>6</v>
      </c>
      <c r="K24" s="5">
        <v>22</v>
      </c>
      <c r="L24" s="73">
        <v>-94.6</v>
      </c>
      <c r="N24" s="89" t="s">
        <v>195</v>
      </c>
      <c r="O24" s="99">
        <f>IF(P24=0,0,Q24/P24)</f>
        <v>-15.091756272401435</v>
      </c>
      <c r="P24" s="93">
        <v>279</v>
      </c>
      <c r="Q24" s="81">
        <v>-4210.6000000000004</v>
      </c>
    </row>
    <row r="25" spans="1:17" x14ac:dyDescent="0.4">
      <c r="A25" s="38" t="s">
        <v>161</v>
      </c>
      <c r="B25" s="114">
        <f>IF(B$16=0,0,C25/B$16)</f>
        <v>-8341.3080895008607</v>
      </c>
      <c r="C25" s="115">
        <v>-4846300</v>
      </c>
      <c r="E25" s="44" t="s">
        <v>85</v>
      </c>
      <c r="F25" s="41" t="s">
        <v>40</v>
      </c>
      <c r="G25" s="34">
        <v>2</v>
      </c>
      <c r="H25" s="107">
        <f>IF(B$47=0,0,G25/B$47)</f>
        <v>2.5974025974025974E-3</v>
      </c>
      <c r="I25" s="68">
        <v>6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2.5974025974025974E-3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1.2987012987012987E-3</v>
      </c>
      <c r="I27" s="68">
        <v>8</v>
      </c>
      <c r="K27" s="5">
        <v>25</v>
      </c>
      <c r="L27" s="73">
        <v>-70.899999999999991</v>
      </c>
    </row>
    <row r="28" spans="1:17" x14ac:dyDescent="0.4">
      <c r="A28" s="64" t="s">
        <v>134</v>
      </c>
      <c r="B28" s="131">
        <v>10</v>
      </c>
      <c r="C28" s="132"/>
      <c r="E28" s="44" t="s">
        <v>80</v>
      </c>
      <c r="F28" s="41" t="s">
        <v>35</v>
      </c>
      <c r="G28" s="34">
        <v>1</v>
      </c>
      <c r="H28" s="107">
        <f>IF(B$47=0,0,G28/B$47)</f>
        <v>1.2987012987012987E-3</v>
      </c>
      <c r="I28" s="68">
        <v>1</v>
      </c>
      <c r="K28" s="5">
        <v>26</v>
      </c>
      <c r="L28" s="73">
        <v>-125.89999999999999</v>
      </c>
    </row>
    <row r="29" spans="1:17" x14ac:dyDescent="0.4">
      <c r="A29" s="40" t="s">
        <v>177</v>
      </c>
      <c r="B29" s="129">
        <v>107600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1.2987012987012987E-3</v>
      </c>
      <c r="I29" s="68">
        <v>8</v>
      </c>
      <c r="K29" s="5">
        <v>27</v>
      </c>
      <c r="L29" s="73">
        <v>-163.6</v>
      </c>
    </row>
    <row r="30" spans="1:17" x14ac:dyDescent="0.4">
      <c r="A30" s="39" t="s">
        <v>135</v>
      </c>
      <c r="B30" s="27">
        <v>13</v>
      </c>
      <c r="C30" s="32">
        <f>IF(B$3=0,0,B30/B$3)</f>
        <v>4.2428198433420369E-3</v>
      </c>
      <c r="E30" s="44" t="s">
        <v>93</v>
      </c>
      <c r="F30" s="41" t="s">
        <v>48</v>
      </c>
      <c r="G30" s="34">
        <v>1</v>
      </c>
      <c r="H30" s="107">
        <f>IF(B$47=0,0,G30/B$47)</f>
        <v>1.2987012987012987E-3</v>
      </c>
      <c r="I30" s="68">
        <v>8</v>
      </c>
      <c r="K30" s="5">
        <v>28</v>
      </c>
      <c r="L30" s="73">
        <v>-169.5</v>
      </c>
    </row>
    <row r="31" spans="1:17" x14ac:dyDescent="0.4">
      <c r="E31" s="44" t="s">
        <v>95</v>
      </c>
      <c r="F31" s="41" t="s">
        <v>50</v>
      </c>
      <c r="G31" s="34">
        <v>1</v>
      </c>
      <c r="H31" s="107">
        <f>IF(B$47=0,0,G31/B$47)</f>
        <v>1.2987012987012987E-3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168</v>
      </c>
      <c r="B32" s="122">
        <v>41</v>
      </c>
      <c r="C32" s="119">
        <f>IF(B$15=0,0,B32/B$15)</f>
        <v>4.9338146811071001E-2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">
      <c r="A33" s="37" t="s">
        <v>164</v>
      </c>
      <c r="B33" s="34">
        <v>97</v>
      </c>
      <c r="C33" s="31">
        <f t="shared" ref="C33:C44" si="2">IF(B$15=0,0,B33/B$15)</f>
        <v>0.11672683513838748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7" t="s">
        <v>165</v>
      </c>
      <c r="B34" s="123">
        <v>151</v>
      </c>
      <c r="C34" s="31">
        <f>IF(B$15=0,0,B34/B$15)</f>
        <v>0.18170878459687123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-253.59999999999997</v>
      </c>
    </row>
    <row r="35" spans="1:12" x14ac:dyDescent="0.4">
      <c r="A35" s="37" t="s">
        <v>166</v>
      </c>
      <c r="B35" s="123">
        <v>142</v>
      </c>
      <c r="C35" s="31">
        <f t="shared" si="2"/>
        <v>0.17087845968712395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37" t="s">
        <v>167</v>
      </c>
      <c r="B36" s="123">
        <v>128</v>
      </c>
      <c r="C36" s="31">
        <f t="shared" si="2"/>
        <v>0.15403128760529483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169</v>
      </c>
      <c r="B37" s="123">
        <v>92</v>
      </c>
      <c r="C37" s="31">
        <f t="shared" si="2"/>
        <v>0.11070998796630566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170</v>
      </c>
      <c r="B38" s="123">
        <v>57</v>
      </c>
      <c r="C38" s="31">
        <f t="shared" si="2"/>
        <v>6.8592057761732855E-2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171</v>
      </c>
      <c r="B39" s="123">
        <v>27</v>
      </c>
      <c r="C39" s="31">
        <f t="shared" si="2"/>
        <v>3.2490974729241874E-2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172</v>
      </c>
      <c r="B40" s="123">
        <v>13</v>
      </c>
      <c r="C40" s="31">
        <f t="shared" si="2"/>
        <v>1.5643802647412757E-2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173</v>
      </c>
      <c r="B41" s="123">
        <v>6</v>
      </c>
      <c r="C41" s="31">
        <f t="shared" si="2"/>
        <v>7.2202166064981952E-3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174</v>
      </c>
      <c r="B42" s="123">
        <v>3</v>
      </c>
      <c r="C42" s="31">
        <f t="shared" si="2"/>
        <v>3.6101083032490976E-3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175</v>
      </c>
      <c r="B43" s="123">
        <v>5</v>
      </c>
      <c r="C43" s="31">
        <f t="shared" si="2"/>
        <v>6.0168471720818293E-3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9" t="s">
        <v>176</v>
      </c>
      <c r="B44" s="124">
        <v>8</v>
      </c>
      <c r="C44" s="32">
        <f t="shared" si="2"/>
        <v>9.6269554753309269E-3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64" t="s">
        <v>181</v>
      </c>
      <c r="B46" s="127">
        <v>2803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9" t="s">
        <v>182</v>
      </c>
      <c r="B47" s="125">
        <v>770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">
      <c r="K53" s="5">
        <v>51</v>
      </c>
      <c r="L53" s="73">
        <v>-269.59999999999997</v>
      </c>
    </row>
    <row r="54" spans="5:12" x14ac:dyDescent="0.4">
      <c r="K54" s="5">
        <v>52</v>
      </c>
      <c r="L54" s="73">
        <v>-308.09999999999997</v>
      </c>
    </row>
    <row r="55" spans="5:12" x14ac:dyDescent="0.4">
      <c r="K55" s="5">
        <v>53</v>
      </c>
      <c r="L55" s="73">
        <v>-336.49999999999994</v>
      </c>
    </row>
    <row r="56" spans="5:12" x14ac:dyDescent="0.4">
      <c r="K56" s="5">
        <v>54</v>
      </c>
      <c r="L56" s="73">
        <v>-378.89999999999992</v>
      </c>
    </row>
    <row r="57" spans="5:12" x14ac:dyDescent="0.4">
      <c r="K57" s="5">
        <v>55</v>
      </c>
      <c r="L57" s="73">
        <v>-364.2999999999999</v>
      </c>
    </row>
    <row r="58" spans="5:12" x14ac:dyDescent="0.4">
      <c r="K58" s="5">
        <v>56</v>
      </c>
      <c r="L58" s="73">
        <v>-316.2999999999999</v>
      </c>
    </row>
    <row r="59" spans="5:12" x14ac:dyDescent="0.4">
      <c r="K59" s="5">
        <v>57</v>
      </c>
      <c r="L59" s="73">
        <v>-312.49999999999989</v>
      </c>
    </row>
    <row r="60" spans="5:12" x14ac:dyDescent="0.4">
      <c r="K60" s="5">
        <v>58</v>
      </c>
      <c r="L60" s="73">
        <v>-254.59999999999988</v>
      </c>
    </row>
    <row r="61" spans="5:12" x14ac:dyDescent="0.4">
      <c r="K61" s="5">
        <v>59</v>
      </c>
      <c r="L61" s="73">
        <v>-205.09999999999988</v>
      </c>
    </row>
    <row r="62" spans="5:12" x14ac:dyDescent="0.4">
      <c r="K62" s="5">
        <v>60</v>
      </c>
      <c r="L62" s="73">
        <v>-214.59999999999988</v>
      </c>
    </row>
    <row r="63" spans="5:12" x14ac:dyDescent="0.4">
      <c r="K63" s="5">
        <v>61</v>
      </c>
      <c r="L63" s="73">
        <v>-211.89999999999989</v>
      </c>
    </row>
    <row r="64" spans="5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-1314.4999999999998</v>
      </c>
    </row>
    <row r="343" spans="11:12" x14ac:dyDescent="0.4">
      <c r="K343" s="5">
        <v>341</v>
      </c>
      <c r="L343" s="73">
        <v>-1342.2999999999997</v>
      </c>
    </row>
    <row r="344" spans="11:12" x14ac:dyDescent="0.4">
      <c r="K344" s="5">
        <v>342</v>
      </c>
      <c r="L344" s="73">
        <v>-1329.8999999999999</v>
      </c>
    </row>
    <row r="345" spans="11:12" x14ac:dyDescent="0.4">
      <c r="K345" s="5">
        <v>343</v>
      </c>
      <c r="L345" s="73">
        <v>-1338.6999999999998</v>
      </c>
    </row>
    <row r="346" spans="11:12" x14ac:dyDescent="0.4">
      <c r="K346" s="5">
        <v>344</v>
      </c>
      <c r="L346" s="73">
        <v>-1323.1</v>
      </c>
    </row>
    <row r="347" spans="11:12" x14ac:dyDescent="0.4">
      <c r="K347" s="5">
        <v>345</v>
      </c>
      <c r="L347" s="73">
        <v>-1304.6999999999998</v>
      </c>
    </row>
    <row r="348" spans="11:12" x14ac:dyDescent="0.4">
      <c r="K348" s="5">
        <v>346</v>
      </c>
      <c r="L348" s="73">
        <v>-1346.1</v>
      </c>
    </row>
    <row r="349" spans="11:12" x14ac:dyDescent="0.4">
      <c r="K349" s="5">
        <v>347</v>
      </c>
      <c r="L349" s="73">
        <v>-1342.1</v>
      </c>
    </row>
    <row r="350" spans="11:12" x14ac:dyDescent="0.4">
      <c r="K350" s="5">
        <v>348</v>
      </c>
      <c r="L350" s="73">
        <v>-1346.6</v>
      </c>
    </row>
    <row r="351" spans="11:12" x14ac:dyDescent="0.4">
      <c r="K351" s="5">
        <v>349</v>
      </c>
      <c r="L351" s="73">
        <v>-1377.1</v>
      </c>
    </row>
    <row r="352" spans="11:12" x14ac:dyDescent="0.4">
      <c r="K352" s="5">
        <v>350</v>
      </c>
      <c r="L352" s="73">
        <v>-1408.3999999999999</v>
      </c>
    </row>
    <row r="353" spans="11:12" x14ac:dyDescent="0.4">
      <c r="K353" s="5">
        <v>351</v>
      </c>
      <c r="L353" s="73">
        <v>-1430.7999999999997</v>
      </c>
    </row>
    <row r="354" spans="11:12" x14ac:dyDescent="0.4">
      <c r="K354" s="5">
        <v>352</v>
      </c>
      <c r="L354" s="73">
        <v>-1429.4999999999998</v>
      </c>
    </row>
    <row r="355" spans="11:12" x14ac:dyDescent="0.4">
      <c r="K355" s="5">
        <v>353</v>
      </c>
      <c r="L355" s="73">
        <v>-1423.8999999999996</v>
      </c>
    </row>
    <row r="356" spans="11:12" x14ac:dyDescent="0.4">
      <c r="K356" s="5">
        <v>354</v>
      </c>
      <c r="L356" s="73">
        <v>-1435.0999999999997</v>
      </c>
    </row>
    <row r="357" spans="11:12" x14ac:dyDescent="0.4">
      <c r="K357" s="5">
        <v>355</v>
      </c>
      <c r="L357" s="73">
        <v>-1481.7999999999997</v>
      </c>
    </row>
    <row r="358" spans="11:12" x14ac:dyDescent="0.4">
      <c r="K358" s="5">
        <v>356</v>
      </c>
      <c r="L358" s="73">
        <v>-1478.6999999999998</v>
      </c>
    </row>
    <row r="359" spans="11:12" x14ac:dyDescent="0.4">
      <c r="K359" s="5">
        <v>357</v>
      </c>
      <c r="L359" s="73">
        <v>-1492.4999999999998</v>
      </c>
    </row>
    <row r="360" spans="11:12" x14ac:dyDescent="0.4">
      <c r="K360" s="5">
        <v>358</v>
      </c>
      <c r="L360" s="73">
        <v>-1481.5999999999997</v>
      </c>
    </row>
    <row r="361" spans="11:12" x14ac:dyDescent="0.4">
      <c r="K361" s="5">
        <v>359</v>
      </c>
      <c r="L361" s="73">
        <v>-1464.4999999999998</v>
      </c>
    </row>
    <row r="362" spans="11:12" x14ac:dyDescent="0.4">
      <c r="K362" s="5">
        <v>360</v>
      </c>
      <c r="L362" s="73">
        <v>-1518.9999999999998</v>
      </c>
    </row>
    <row r="363" spans="11:12" x14ac:dyDescent="0.4">
      <c r="K363" s="5">
        <v>361</v>
      </c>
      <c r="L363" s="73">
        <v>-1475.7999999999997</v>
      </c>
    </row>
    <row r="364" spans="11:12" x14ac:dyDescent="0.4">
      <c r="K364" s="5">
        <v>362</v>
      </c>
      <c r="L364" s="73">
        <v>-1471.0999999999997</v>
      </c>
    </row>
    <row r="365" spans="11:12" x14ac:dyDescent="0.4">
      <c r="K365" s="5">
        <v>363</v>
      </c>
      <c r="L365" s="73">
        <v>-1454.1999999999998</v>
      </c>
    </row>
    <row r="366" spans="11:12" x14ac:dyDescent="0.4">
      <c r="K366" s="5">
        <v>364</v>
      </c>
      <c r="L366" s="73">
        <v>-1451.1999999999998</v>
      </c>
    </row>
    <row r="367" spans="11:12" x14ac:dyDescent="0.4">
      <c r="K367" s="5">
        <v>365</v>
      </c>
      <c r="L367" s="73">
        <v>-1476.9999999999998</v>
      </c>
    </row>
    <row r="368" spans="11:12" x14ac:dyDescent="0.4">
      <c r="K368" s="5">
        <v>366</v>
      </c>
      <c r="L368" s="73">
        <v>-1526.4999999999998</v>
      </c>
    </row>
    <row r="369" spans="11:12" x14ac:dyDescent="0.4">
      <c r="K369" s="5">
        <v>367</v>
      </c>
      <c r="L369" s="73">
        <v>-1531.2999999999997</v>
      </c>
    </row>
    <row r="370" spans="11:12" x14ac:dyDescent="0.4">
      <c r="K370" s="5">
        <v>368</v>
      </c>
      <c r="L370" s="73">
        <v>-1579.4999999999998</v>
      </c>
    </row>
    <row r="371" spans="11:12" x14ac:dyDescent="0.4">
      <c r="K371" s="5">
        <v>369</v>
      </c>
      <c r="L371" s="73">
        <v>-1534.9999999999998</v>
      </c>
    </row>
    <row r="372" spans="11:12" x14ac:dyDescent="0.4">
      <c r="K372" s="5">
        <v>370</v>
      </c>
      <c r="L372" s="73">
        <v>-1498.7999999999997</v>
      </c>
    </row>
    <row r="373" spans="11:12" x14ac:dyDescent="0.4">
      <c r="K373" s="5">
        <v>371</v>
      </c>
      <c r="L373" s="73">
        <v>-1543.6</v>
      </c>
    </row>
    <row r="374" spans="11:12" x14ac:dyDescent="0.4">
      <c r="K374" s="5">
        <v>372</v>
      </c>
      <c r="L374" s="73">
        <v>-1519.6</v>
      </c>
    </row>
    <row r="375" spans="11:12" x14ac:dyDescent="0.4">
      <c r="K375" s="5">
        <v>373</v>
      </c>
      <c r="L375" s="73">
        <v>-1555.2999999999997</v>
      </c>
    </row>
    <row r="376" spans="11:12" x14ac:dyDescent="0.4">
      <c r="K376" s="5">
        <v>374</v>
      </c>
      <c r="L376" s="73">
        <v>-1554.9999999999998</v>
      </c>
    </row>
    <row r="377" spans="11:12" x14ac:dyDescent="0.4">
      <c r="K377" s="5">
        <v>375</v>
      </c>
      <c r="L377" s="73">
        <v>-1564.6</v>
      </c>
    </row>
    <row r="378" spans="11:12" x14ac:dyDescent="0.4">
      <c r="K378" s="5">
        <v>376</v>
      </c>
      <c r="L378" s="73">
        <v>-1535.6999999999998</v>
      </c>
    </row>
    <row r="379" spans="11:12" x14ac:dyDescent="0.4">
      <c r="K379" s="5">
        <v>377</v>
      </c>
      <c r="L379" s="73">
        <v>-1562.4999999999998</v>
      </c>
    </row>
    <row r="380" spans="11:12" x14ac:dyDescent="0.4">
      <c r="K380" s="5">
        <v>378</v>
      </c>
      <c r="L380" s="73">
        <v>-1584.1</v>
      </c>
    </row>
    <row r="381" spans="11:12" x14ac:dyDescent="0.4">
      <c r="K381" s="5">
        <v>379</v>
      </c>
      <c r="L381" s="73">
        <v>-1582.9999999999998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4A0C5-6B07-492E-BB19-AFF9614E5BF6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37">
        <v>670</v>
      </c>
      <c r="C3" s="138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4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39">
        <v>-3.4999999999999893</v>
      </c>
      <c r="C4" s="140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41">
        <f>IF(B$2=0,0,B$4/B$2)</f>
        <v>-3.8461538461538346E-2</v>
      </c>
      <c r="C5" s="142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13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33">
        <f>IF(B$2=0,0,(B$7*1+B$8*2+B$9*3)/B$2)</f>
        <v>1.9890109890109891</v>
      </c>
      <c r="C6" s="134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13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12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2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6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15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3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4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10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2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3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12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143.79999999999998</v>
      </c>
    </row>
    <row r="29" spans="1:17" x14ac:dyDescent="0.4">
      <c r="A29" s="40" t="s">
        <v>177</v>
      </c>
      <c r="B29" s="129">
        <v>118000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164.79999999999998</v>
      </c>
    </row>
    <row r="30" spans="1:17" x14ac:dyDescent="0.4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177.7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208</v>
      </c>
    </row>
    <row r="32" spans="1:17" x14ac:dyDescent="0.4">
      <c r="A32" s="64" t="s">
        <v>168</v>
      </c>
      <c r="B32" s="122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201.5</v>
      </c>
    </row>
    <row r="33" spans="1:12" x14ac:dyDescent="0.4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189.9</v>
      </c>
    </row>
    <row r="34" spans="1:12" x14ac:dyDescent="0.4">
      <c r="A34" s="37" t="s">
        <v>165</v>
      </c>
      <c r="B34" s="123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">
      <c r="A35" s="37" t="s">
        <v>166</v>
      </c>
      <c r="B35" s="123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248.4</v>
      </c>
    </row>
    <row r="36" spans="1:12" x14ac:dyDescent="0.4">
      <c r="A36" s="37" t="s">
        <v>167</v>
      </c>
      <c r="B36" s="123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169</v>
      </c>
      <c r="B37" s="123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170</v>
      </c>
      <c r="B38" s="123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171</v>
      </c>
      <c r="B39" s="123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172</v>
      </c>
      <c r="B40" s="123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173</v>
      </c>
      <c r="B41" s="123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9" t="s">
        <v>176</v>
      </c>
      <c r="B44" s="124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9" t="s">
        <v>182</v>
      </c>
      <c r="B47" s="125">
        <v>133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213.90000000000003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">
      <c r="K53" s="5">
        <v>51</v>
      </c>
      <c r="L53" s="73">
        <v>292.60000000000002</v>
      </c>
    </row>
    <row r="54" spans="5:12" x14ac:dyDescent="0.4">
      <c r="K54" s="5">
        <v>52</v>
      </c>
      <c r="L54" s="73">
        <v>319.10000000000002</v>
      </c>
    </row>
    <row r="55" spans="5:12" x14ac:dyDescent="0.4">
      <c r="K55" s="5">
        <v>53</v>
      </c>
      <c r="L55" s="73">
        <v>268.60000000000002</v>
      </c>
    </row>
    <row r="56" spans="5:12" x14ac:dyDescent="0.4">
      <c r="K56" s="5">
        <v>54</v>
      </c>
      <c r="L56" s="73">
        <v>253.50000000000003</v>
      </c>
    </row>
    <row r="57" spans="5:12" x14ac:dyDescent="0.4">
      <c r="K57" s="5">
        <v>55</v>
      </c>
      <c r="L57" s="73">
        <v>269.40000000000003</v>
      </c>
    </row>
    <row r="58" spans="5:12" x14ac:dyDescent="0.4">
      <c r="K58" s="5">
        <v>56</v>
      </c>
      <c r="L58" s="73">
        <v>273.8</v>
      </c>
    </row>
    <row r="59" spans="5:12" x14ac:dyDescent="0.4">
      <c r="K59" s="5">
        <v>57</v>
      </c>
      <c r="L59" s="73">
        <v>260.3</v>
      </c>
    </row>
    <row r="60" spans="5:12" x14ac:dyDescent="0.4">
      <c r="K60" s="5">
        <v>58</v>
      </c>
      <c r="L60" s="73">
        <v>293.3</v>
      </c>
    </row>
    <row r="61" spans="5:12" x14ac:dyDescent="0.4">
      <c r="K61" s="5">
        <v>59</v>
      </c>
      <c r="L61" s="73">
        <v>283.3</v>
      </c>
    </row>
    <row r="62" spans="5:12" x14ac:dyDescent="0.4">
      <c r="K62" s="5">
        <v>60</v>
      </c>
      <c r="L62" s="73">
        <v>272.60000000000002</v>
      </c>
    </row>
    <row r="63" spans="5:12" x14ac:dyDescent="0.4">
      <c r="K63" s="5">
        <v>61</v>
      </c>
      <c r="L63" s="73">
        <v>259.20000000000005</v>
      </c>
    </row>
    <row r="64" spans="5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B8EF5-5439-495F-8C3A-5747A1E2903E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37">
        <v>37</v>
      </c>
      <c r="C3" s="138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39">
        <v>-86.4</v>
      </c>
      <c r="C4" s="140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41">
        <f>IF(B$2=0,0,B$4/B$2)</f>
        <v>-17.28</v>
      </c>
      <c r="C5" s="142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5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33">
        <f>IF(B$2=0,0,(B$7*1+B$8*2+B$9*3)/B$2)</f>
        <v>2.2000000000000002</v>
      </c>
      <c r="C6" s="134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3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14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15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14</v>
      </c>
    </row>
    <row r="21" spans="1:17" x14ac:dyDescent="0.4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17" x14ac:dyDescent="0.4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17" x14ac:dyDescent="0.4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9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7</v>
      </c>
    </row>
    <row r="27" spans="1:17" x14ac:dyDescent="0.4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16</v>
      </c>
    </row>
    <row r="28" spans="1:17" x14ac:dyDescent="0.4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6</v>
      </c>
    </row>
    <row r="29" spans="1:17" x14ac:dyDescent="0.4">
      <c r="A29" s="40" t="s">
        <v>177</v>
      </c>
      <c r="B29" s="129">
        <v>57800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13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8</v>
      </c>
    </row>
    <row r="31" spans="1:17" x14ac:dyDescent="0.4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6</v>
      </c>
    </row>
    <row r="34" spans="1:9" x14ac:dyDescent="0.4">
      <c r="A34" s="37" t="s">
        <v>165</v>
      </c>
      <c r="B34" s="123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">
      <c r="A36" s="37" t="s">
        <v>167</v>
      </c>
      <c r="B36" s="123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">
      <c r="A37" s="37" t="s">
        <v>169</v>
      </c>
      <c r="B37" s="123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9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9</v>
      </c>
    </row>
    <row r="51" spans="5:9" x14ac:dyDescent="0.4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16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F6DC3-196E-4D29-BE16-989AE82286F9}">
  <sheetPr codeName="Sheet10"/>
  <dimension ref="A1:Q24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246</v>
      </c>
      <c r="C2" s="128"/>
      <c r="E2" s="43" t="s">
        <v>66</v>
      </c>
      <c r="F2" s="25" t="s">
        <v>22</v>
      </c>
      <c r="G2" s="13">
        <v>379</v>
      </c>
      <c r="H2" s="106">
        <f>IF(B$47=0,0,G2/B$47)</f>
        <v>0.67557932263814613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-17.073170731707318</v>
      </c>
      <c r="P2" s="92">
        <v>246</v>
      </c>
      <c r="Q2" s="76">
        <v>-4200</v>
      </c>
    </row>
    <row r="3" spans="1:17" x14ac:dyDescent="0.4">
      <c r="A3" s="37" t="s">
        <v>8</v>
      </c>
      <c r="B3" s="137">
        <v>2048</v>
      </c>
      <c r="C3" s="138"/>
      <c r="E3" s="44" t="s">
        <v>72</v>
      </c>
      <c r="F3" s="41" t="s">
        <v>27</v>
      </c>
      <c r="G3" s="34">
        <v>318</v>
      </c>
      <c r="H3" s="107">
        <f>IF(B$47=0,0,G3/B$47)</f>
        <v>0.5668449197860963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-1648.3333333333333</v>
      </c>
      <c r="P3" s="93">
        <v>240</v>
      </c>
      <c r="Q3" s="77">
        <v>-395600</v>
      </c>
    </row>
    <row r="4" spans="1:17" x14ac:dyDescent="0.4">
      <c r="A4" s="37" t="s">
        <v>6</v>
      </c>
      <c r="B4" s="139">
        <v>-1172</v>
      </c>
      <c r="C4" s="140"/>
      <c r="E4" s="44" t="s">
        <v>64</v>
      </c>
      <c r="F4" s="41" t="s">
        <v>20</v>
      </c>
      <c r="G4" s="34">
        <v>203</v>
      </c>
      <c r="H4" s="107">
        <f>IF(B$47=0,0,G4/B$47)</f>
        <v>0.36185383244206776</v>
      </c>
      <c r="I4" s="68">
        <v>17</v>
      </c>
      <c r="K4" s="5">
        <v>2</v>
      </c>
      <c r="L4" s="73">
        <v>58.5</v>
      </c>
      <c r="N4" s="89" t="s">
        <v>128</v>
      </c>
      <c r="O4" s="96">
        <f t="shared" si="0"/>
        <v>-1230.909090909091</v>
      </c>
      <c r="P4" s="93">
        <v>220</v>
      </c>
      <c r="Q4" s="77">
        <v>-270800</v>
      </c>
    </row>
    <row r="5" spans="1:17" x14ac:dyDescent="0.4">
      <c r="A5" s="37" t="s">
        <v>7</v>
      </c>
      <c r="B5" s="141">
        <f>IF(B$2=0,0,B$4/B$2)</f>
        <v>-4.7642276422764231</v>
      </c>
      <c r="C5" s="142"/>
      <c r="E5" s="44" t="s">
        <v>157</v>
      </c>
      <c r="F5" s="41" t="s">
        <v>158</v>
      </c>
      <c r="G5" s="34">
        <v>177</v>
      </c>
      <c r="H5" s="107">
        <f>IF(B$47=0,0,G5/B$47)</f>
        <v>0.31550802139037432</v>
      </c>
      <c r="I5" s="68">
        <v>6</v>
      </c>
      <c r="K5" s="5">
        <v>3</v>
      </c>
      <c r="L5" s="73">
        <v>82.1</v>
      </c>
      <c r="N5" s="89" t="s">
        <v>129</v>
      </c>
      <c r="O5" s="96">
        <f t="shared" si="0"/>
        <v>-110.90047393364929</v>
      </c>
      <c r="P5" s="93">
        <v>211</v>
      </c>
      <c r="Q5" s="77">
        <v>-23400</v>
      </c>
    </row>
    <row r="6" spans="1:17" x14ac:dyDescent="0.4">
      <c r="A6" s="37" t="s">
        <v>1</v>
      </c>
      <c r="B6" s="133">
        <f>IF(B$2=0,0,(B$7*1+B$8*2+B$9*3)/B$2)</f>
        <v>2.1300813008130079</v>
      </c>
      <c r="C6" s="134"/>
      <c r="E6" s="44" t="s">
        <v>68</v>
      </c>
      <c r="F6" s="41" t="s">
        <v>12</v>
      </c>
      <c r="G6" s="34">
        <v>150</v>
      </c>
      <c r="H6" s="107">
        <f>IF(B$47=0,0,G6/B$47)</f>
        <v>0.26737967914438504</v>
      </c>
      <c r="I6" s="68">
        <v>14</v>
      </c>
      <c r="K6" s="5">
        <v>4</v>
      </c>
      <c r="L6" s="73">
        <v>57.699999999999996</v>
      </c>
      <c r="N6" s="89" t="s">
        <v>130</v>
      </c>
      <c r="O6" s="96">
        <f t="shared" si="0"/>
        <v>-537.3056994818653</v>
      </c>
      <c r="P6" s="93">
        <v>193</v>
      </c>
      <c r="Q6" s="77">
        <v>-103700</v>
      </c>
    </row>
    <row r="7" spans="1:17" x14ac:dyDescent="0.4">
      <c r="A7" s="37" t="s">
        <v>2</v>
      </c>
      <c r="B7" s="34">
        <v>63</v>
      </c>
      <c r="C7" s="31">
        <f t="shared" ref="C7:C10" si="1">IF(B$2=0,0,B7/B$2)</f>
        <v>0.25609756097560976</v>
      </c>
      <c r="E7" s="44" t="s">
        <v>67</v>
      </c>
      <c r="F7" s="41" t="s">
        <v>23</v>
      </c>
      <c r="G7" s="34">
        <v>91</v>
      </c>
      <c r="H7" s="107">
        <f>IF(B$47=0,0,G7/B$47)</f>
        <v>0.16221033868092691</v>
      </c>
      <c r="I7" s="68">
        <v>16</v>
      </c>
      <c r="K7" s="5">
        <v>5</v>
      </c>
      <c r="L7" s="73">
        <v>123.69999999999999</v>
      </c>
      <c r="N7" s="90" t="s">
        <v>131</v>
      </c>
      <c r="O7" s="97">
        <f t="shared" si="0"/>
        <v>-1009.2592592592592</v>
      </c>
      <c r="P7" s="94">
        <v>162</v>
      </c>
      <c r="Q7" s="78">
        <v>-163500</v>
      </c>
    </row>
    <row r="8" spans="1:17" x14ac:dyDescent="0.4">
      <c r="A8" s="37" t="s">
        <v>3</v>
      </c>
      <c r="B8" s="34">
        <v>88</v>
      </c>
      <c r="C8" s="31">
        <f t="shared" si="1"/>
        <v>0.35772357723577236</v>
      </c>
      <c r="E8" s="44" t="s">
        <v>69</v>
      </c>
      <c r="F8" s="41" t="s">
        <v>24</v>
      </c>
      <c r="G8" s="34">
        <v>89</v>
      </c>
      <c r="H8" s="107">
        <f>IF(B$47=0,0,G8/B$47)</f>
        <v>0.1586452762923351</v>
      </c>
      <c r="I8" s="68">
        <v>5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95</v>
      </c>
      <c r="C9" s="7">
        <f t="shared" si="1"/>
        <v>0.38617886178861788</v>
      </c>
      <c r="E9" s="44" t="s">
        <v>65</v>
      </c>
      <c r="F9" s="41" t="s">
        <v>21</v>
      </c>
      <c r="G9" s="34">
        <v>60</v>
      </c>
      <c r="H9" s="107">
        <f>IF(B$47=0,0,G9/B$47)</f>
        <v>0.10695187165775401</v>
      </c>
      <c r="I9" s="68">
        <v>9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24</v>
      </c>
      <c r="C10" s="32">
        <f t="shared" si="1"/>
        <v>9.7560975609756101E-2</v>
      </c>
      <c r="E10" s="44" t="s">
        <v>70</v>
      </c>
      <c r="F10" s="41" t="s">
        <v>25</v>
      </c>
      <c r="G10" s="34">
        <v>49</v>
      </c>
      <c r="H10" s="107">
        <f>IF(B$47=0,0,G10/B$47)</f>
        <v>8.7344028520499106E-2</v>
      </c>
      <c r="I10" s="68">
        <v>9</v>
      </c>
      <c r="K10" s="5">
        <v>8</v>
      </c>
      <c r="L10" s="73">
        <v>96.5</v>
      </c>
      <c r="N10" s="88" t="s">
        <v>149</v>
      </c>
      <c r="O10" s="98">
        <f>IF(P10=0,0,Q10/P10)</f>
        <v>-7.7510869565217408</v>
      </c>
      <c r="P10" s="92">
        <v>92</v>
      </c>
      <c r="Q10" s="80">
        <v>-713.10000000000014</v>
      </c>
    </row>
    <row r="11" spans="1:17" x14ac:dyDescent="0.4">
      <c r="A11" s="40" t="s">
        <v>121</v>
      </c>
      <c r="B11" s="16">
        <v>397</v>
      </c>
      <c r="C11" s="11">
        <f>IF(B$46=0,0,B11/B$46)</f>
        <v>0.21252676659528907</v>
      </c>
      <c r="E11" s="44" t="s">
        <v>89</v>
      </c>
      <c r="F11" s="41" t="s">
        <v>44</v>
      </c>
      <c r="G11" s="34">
        <v>44</v>
      </c>
      <c r="H11" s="107">
        <f>IF(B$47=0,0,G11/B$47)</f>
        <v>7.8431372549019607E-2</v>
      </c>
      <c r="I11" s="68">
        <v>15</v>
      </c>
      <c r="K11" s="5">
        <v>9</v>
      </c>
      <c r="L11" s="73">
        <v>82.8</v>
      </c>
      <c r="N11" s="89" t="s">
        <v>150</v>
      </c>
      <c r="O11" s="99">
        <f>IF(P11=0,0,Q11/P11)</f>
        <v>-1.5771428571428565</v>
      </c>
      <c r="P11" s="93">
        <v>70</v>
      </c>
      <c r="Q11" s="81">
        <v>-110.39999999999995</v>
      </c>
    </row>
    <row r="12" spans="1:17" x14ac:dyDescent="0.4">
      <c r="A12" s="37" t="s">
        <v>118</v>
      </c>
      <c r="B12" s="34">
        <v>510</v>
      </c>
      <c r="C12" s="31">
        <f>IF(B$46=0,0,B12/B$46)</f>
        <v>0.27301927194860814</v>
      </c>
      <c r="E12" s="44" t="s">
        <v>71</v>
      </c>
      <c r="F12" s="41" t="s">
        <v>26</v>
      </c>
      <c r="G12" s="34">
        <v>43</v>
      </c>
      <c r="H12" s="107">
        <f>IF(B$47=0,0,G12/B$47)</f>
        <v>7.6648841354723704E-2</v>
      </c>
      <c r="I12" s="68">
        <v>5</v>
      </c>
      <c r="K12" s="5">
        <v>10</v>
      </c>
      <c r="L12" s="73">
        <v>110.5</v>
      </c>
      <c r="N12" s="90" t="s">
        <v>151</v>
      </c>
      <c r="O12" s="100">
        <f>IF(P12=0,0,Q12/P12)</f>
        <v>-4.1488095238095237</v>
      </c>
      <c r="P12" s="94">
        <v>84</v>
      </c>
      <c r="Q12" s="82">
        <v>-348.5</v>
      </c>
    </row>
    <row r="13" spans="1:17" x14ac:dyDescent="0.4">
      <c r="A13" s="19" t="s">
        <v>123</v>
      </c>
      <c r="B13" s="13">
        <v>204</v>
      </c>
      <c r="C13" s="4">
        <f>IF(B$11=0,0,B13/B$11)</f>
        <v>0.51385390428211586</v>
      </c>
      <c r="E13" s="44" t="s">
        <v>83</v>
      </c>
      <c r="F13" s="41" t="s">
        <v>38</v>
      </c>
      <c r="G13" s="34">
        <v>35</v>
      </c>
      <c r="H13" s="107">
        <f>IF(B$47=0,0,G13/B$47)</f>
        <v>6.2388591800356503E-2</v>
      </c>
      <c r="I13" s="68">
        <v>4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204</v>
      </c>
      <c r="C14" s="4">
        <f>IF(B$12=0,0,B14/B$12)</f>
        <v>0.4</v>
      </c>
      <c r="E14" s="44" t="s">
        <v>86</v>
      </c>
      <c r="F14" s="41" t="s">
        <v>41</v>
      </c>
      <c r="G14" s="34">
        <v>22</v>
      </c>
      <c r="H14" s="107">
        <f>IF(B$47=0,0,G14/B$47)</f>
        <v>3.9215686274509803E-2</v>
      </c>
      <c r="I14" s="68">
        <v>14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612</v>
      </c>
      <c r="C15" s="4">
        <f>IF(B$3=0,0,B15/B$3)</f>
        <v>0.298828125</v>
      </c>
      <c r="E15" s="44" t="s">
        <v>81</v>
      </c>
      <c r="F15" s="41" t="s">
        <v>36</v>
      </c>
      <c r="G15" s="34">
        <v>17</v>
      </c>
      <c r="H15" s="107">
        <f>IF(B$47=0,0,G15/B$47)</f>
        <v>3.0303030303030304E-2</v>
      </c>
      <c r="I15" s="68">
        <v>5</v>
      </c>
      <c r="K15" s="5">
        <v>13</v>
      </c>
      <c r="L15" s="73">
        <v>13.299999999999994</v>
      </c>
      <c r="N15" s="88" t="s">
        <v>194</v>
      </c>
      <c r="O15" s="98">
        <f>IF(P15=0,0,Q15/P15)</f>
        <v>18.385714285714283</v>
      </c>
      <c r="P15" s="92">
        <v>7</v>
      </c>
      <c r="Q15" s="80">
        <v>128.69999999999999</v>
      </c>
    </row>
    <row r="16" spans="1:17" x14ac:dyDescent="0.4">
      <c r="A16" s="37" t="s">
        <v>13</v>
      </c>
      <c r="B16" s="34">
        <v>331</v>
      </c>
      <c r="C16" s="31">
        <f>IF(B$3=0,0,B16/B$3)</f>
        <v>0.16162109375</v>
      </c>
      <c r="E16" s="44" t="s">
        <v>78</v>
      </c>
      <c r="F16" s="41" t="s">
        <v>33</v>
      </c>
      <c r="G16" s="34">
        <v>9</v>
      </c>
      <c r="H16" s="107">
        <f>IF(B$47=0,0,G16/B$47)</f>
        <v>1.6042780748663103E-2</v>
      </c>
      <c r="I16" s="68">
        <v>11</v>
      </c>
      <c r="K16" s="5">
        <v>14</v>
      </c>
      <c r="L16" s="73">
        <v>4.7999999999999936</v>
      </c>
      <c r="N16" s="89" t="s">
        <v>193</v>
      </c>
      <c r="O16" s="99">
        <f>IF(P16=0,0,Q16/P16)</f>
        <v>9.1339999999999968</v>
      </c>
      <c r="P16" s="93">
        <v>100</v>
      </c>
      <c r="Q16" s="81">
        <v>913.39999999999964</v>
      </c>
    </row>
    <row r="17" spans="1:17" x14ac:dyDescent="0.4">
      <c r="A17" s="37" t="s">
        <v>12</v>
      </c>
      <c r="B17" s="34">
        <v>257</v>
      </c>
      <c r="C17" s="31">
        <f>IF(B$15=0,0,B17/B$15)</f>
        <v>0.41993464052287582</v>
      </c>
      <c r="E17" s="44" t="s">
        <v>79</v>
      </c>
      <c r="F17" s="41" t="s">
        <v>34</v>
      </c>
      <c r="G17" s="34">
        <v>7</v>
      </c>
      <c r="H17" s="107">
        <f>IF(B$47=0,0,G17/B$47)</f>
        <v>1.2477718360071301E-2</v>
      </c>
      <c r="I17" s="68">
        <v>11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">
      <c r="A18" s="37" t="s">
        <v>11</v>
      </c>
      <c r="B18" s="34">
        <v>355</v>
      </c>
      <c r="C18" s="31">
        <f>IF(B$15=0,0,B18/B$15)</f>
        <v>0.58006535947712423</v>
      </c>
      <c r="E18" s="44" t="s">
        <v>91</v>
      </c>
      <c r="F18" s="41" t="s">
        <v>46</v>
      </c>
      <c r="G18" s="34">
        <v>7</v>
      </c>
      <c r="H18" s="107">
        <f>IF(B$47=0,0,G18/B$47)</f>
        <v>1.2477718360071301E-2</v>
      </c>
      <c r="I18" s="68">
        <v>11</v>
      </c>
      <c r="K18" s="5">
        <v>16</v>
      </c>
      <c r="L18" s="73">
        <v>-45.300000000000004</v>
      </c>
      <c r="N18" s="89" t="s">
        <v>187</v>
      </c>
      <c r="O18" s="99">
        <f>IF(P18=0,0,Q18/P18)</f>
        <v>3.252631578947367</v>
      </c>
      <c r="P18" s="93">
        <v>57</v>
      </c>
      <c r="Q18" s="81">
        <v>185.39999999999992</v>
      </c>
    </row>
    <row r="19" spans="1:17" x14ac:dyDescent="0.4">
      <c r="A19" s="37" t="s">
        <v>180</v>
      </c>
      <c r="B19" s="34">
        <v>204</v>
      </c>
      <c r="C19" s="31">
        <f>IF(B$15=0,0,B19/B$15)</f>
        <v>0.33333333333333331</v>
      </c>
      <c r="E19" s="44" t="s">
        <v>74</v>
      </c>
      <c r="F19" s="41" t="s">
        <v>29</v>
      </c>
      <c r="G19" s="34">
        <v>3</v>
      </c>
      <c r="H19" s="107">
        <f>IF(B$47=0,0,G19/B$47)</f>
        <v>5.3475935828877002E-3</v>
      </c>
      <c r="I19" s="68">
        <v>5</v>
      </c>
      <c r="K19" s="5">
        <v>17</v>
      </c>
      <c r="L19" s="73">
        <v>-45.000000000000007</v>
      </c>
      <c r="N19" s="89" t="s">
        <v>190</v>
      </c>
      <c r="O19" s="99">
        <f>IF(P19=0,0,Q19/P19)</f>
        <v>-8.8780821917808233</v>
      </c>
      <c r="P19" s="93">
        <v>73</v>
      </c>
      <c r="Q19" s="81">
        <v>-648.10000000000014</v>
      </c>
    </row>
    <row r="20" spans="1:17" x14ac:dyDescent="0.4">
      <c r="A20" s="37" t="s">
        <v>178</v>
      </c>
      <c r="B20" s="34">
        <v>204</v>
      </c>
      <c r="C20" s="31">
        <f>IF(B$15=0,0,B20/B$15)</f>
        <v>0.33333333333333331</v>
      </c>
      <c r="E20" s="44" t="s">
        <v>75</v>
      </c>
      <c r="F20" s="41" t="s">
        <v>30</v>
      </c>
      <c r="G20" s="34">
        <v>3</v>
      </c>
      <c r="H20" s="107">
        <f>IF(B$47=0,0,G20/B$47)</f>
        <v>5.3475935828877002E-3</v>
      </c>
      <c r="I20" s="68">
        <v>8</v>
      </c>
      <c r="K20" s="5">
        <v>18</v>
      </c>
      <c r="L20" s="73">
        <v>-30.300000000000008</v>
      </c>
      <c r="N20" s="89" t="s">
        <v>191</v>
      </c>
      <c r="O20" s="99">
        <f>IF(P20=0,0,Q20/P20)</f>
        <v>-11.866037735849057</v>
      </c>
      <c r="P20" s="93">
        <v>53</v>
      </c>
      <c r="Q20" s="81">
        <v>-628.9</v>
      </c>
    </row>
    <row r="21" spans="1:17" x14ac:dyDescent="0.4">
      <c r="A21" s="37" t="s">
        <v>179</v>
      </c>
      <c r="B21" s="34">
        <v>204</v>
      </c>
      <c r="C21" s="31">
        <f>IF(B$15=0,0,B21/B$15)</f>
        <v>0.33333333333333331</v>
      </c>
      <c r="E21" s="44" t="s">
        <v>77</v>
      </c>
      <c r="F21" s="41" t="s">
        <v>32</v>
      </c>
      <c r="G21" s="34">
        <v>3</v>
      </c>
      <c r="H21" s="107">
        <f>IF(B$47=0,0,G21/B$47)</f>
        <v>5.3475935828877002E-3</v>
      </c>
      <c r="I21" s="68">
        <v>7</v>
      </c>
      <c r="K21" s="5">
        <v>19</v>
      </c>
      <c r="L21" s="73">
        <v>17.699999999999992</v>
      </c>
      <c r="N21" s="89" t="s">
        <v>199</v>
      </c>
      <c r="O21" s="99">
        <f>IF(P21=0,0,Q21/P21)</f>
        <v>-16.62857142857143</v>
      </c>
      <c r="P21" s="93">
        <v>7</v>
      </c>
      <c r="Q21" s="81">
        <v>-116.40000000000002</v>
      </c>
    </row>
    <row r="22" spans="1:17" x14ac:dyDescent="0.4">
      <c r="A22" s="37" t="s">
        <v>5</v>
      </c>
      <c r="B22" s="17">
        <f>IF(B$15=0,0,C22/B$15)</f>
        <v>7464.8692810457514</v>
      </c>
      <c r="C22" s="8">
        <v>4568500</v>
      </c>
      <c r="E22" s="44" t="s">
        <v>88</v>
      </c>
      <c r="F22" s="41" t="s">
        <v>43</v>
      </c>
      <c r="G22" s="34">
        <v>2</v>
      </c>
      <c r="H22" s="107">
        <f>IF(B$47=0,0,G22/B$47)</f>
        <v>3.5650623885918001E-3</v>
      </c>
      <c r="I22" s="68">
        <v>1</v>
      </c>
      <c r="K22" s="5">
        <v>20</v>
      </c>
      <c r="L22" s="73">
        <v>-24.100000000000005</v>
      </c>
      <c r="N22" s="89" t="s">
        <v>195</v>
      </c>
      <c r="O22" s="99">
        <f>IF(P22=0,0,Q22/P22)</f>
        <v>-18.444078947368421</v>
      </c>
      <c r="P22" s="93">
        <v>152</v>
      </c>
      <c r="Q22" s="81">
        <v>-2803.5</v>
      </c>
    </row>
    <row r="23" spans="1:17" x14ac:dyDescent="0.4">
      <c r="A23" s="38" t="s">
        <v>162</v>
      </c>
      <c r="B23" s="114">
        <f>IF($B$15-B$14=0,0,C23/($B$15-B$14))</f>
        <v>8075.2450980392159</v>
      </c>
      <c r="C23" s="115">
        <v>3294700</v>
      </c>
      <c r="E23" s="44" t="s">
        <v>73</v>
      </c>
      <c r="F23" s="41" t="s">
        <v>28</v>
      </c>
      <c r="G23" s="34">
        <v>1</v>
      </c>
      <c r="H23" s="107">
        <f>IF(B$47=0,0,G23/B$47)</f>
        <v>1.7825311942959001E-3</v>
      </c>
      <c r="I23" s="68">
        <v>10</v>
      </c>
      <c r="K23" s="5">
        <v>21</v>
      </c>
      <c r="L23" s="73">
        <v>-29.600000000000005</v>
      </c>
      <c r="N23" s="89" t="s">
        <v>192</v>
      </c>
      <c r="O23" s="99">
        <f>IF(P23=0,0,Q23/P23)</f>
        <v>-26.638888888888889</v>
      </c>
      <c r="P23" s="93">
        <v>18</v>
      </c>
      <c r="Q23" s="81">
        <v>-479.5</v>
      </c>
    </row>
    <row r="24" spans="1:17" x14ac:dyDescent="0.4">
      <c r="A24" s="38" t="s">
        <v>163</v>
      </c>
      <c r="B24" s="114">
        <f>IF(B$14=0,0,C24/B$14)</f>
        <v>6244.1176470588234</v>
      </c>
      <c r="C24" s="115">
        <v>1273800</v>
      </c>
      <c r="E24" s="44" t="s">
        <v>87</v>
      </c>
      <c r="F24" s="41" t="s">
        <v>42</v>
      </c>
      <c r="G24" s="34">
        <v>1</v>
      </c>
      <c r="H24" s="107">
        <f>IF(B$47=0,0,G24/B$47)</f>
        <v>1.7825311942959001E-3</v>
      </c>
      <c r="I24" s="68">
        <v>7</v>
      </c>
      <c r="K24" s="5">
        <v>22</v>
      </c>
      <c r="L24" s="73">
        <v>-4.7000000000000064</v>
      </c>
      <c r="N24" s="89" t="s">
        <v>197</v>
      </c>
      <c r="O24" s="99">
        <f>IF(P24=0,0,Q24/P24)</f>
        <v>-27.433333333333326</v>
      </c>
      <c r="P24" s="93">
        <v>6</v>
      </c>
      <c r="Q24" s="81">
        <v>-164.59999999999997</v>
      </c>
    </row>
    <row r="25" spans="1:17" x14ac:dyDescent="0.4">
      <c r="A25" s="38" t="s">
        <v>161</v>
      </c>
      <c r="B25" s="114">
        <f>IF(B$16=0,0,C25/B$16)</f>
        <v>-8596.3746223564958</v>
      </c>
      <c r="C25" s="115">
        <v>-2845400</v>
      </c>
      <c r="E25" s="44" t="s">
        <v>90</v>
      </c>
      <c r="F25" s="41" t="s">
        <v>45</v>
      </c>
      <c r="G25" s="34">
        <v>1</v>
      </c>
      <c r="H25" s="107">
        <f>IF(B$47=0,0,G25/B$47)</f>
        <v>1.7825311942959001E-3</v>
      </c>
      <c r="I25" s="68">
        <v>4</v>
      </c>
      <c r="K25" s="5">
        <v>23</v>
      </c>
      <c r="L25" s="73">
        <v>-18.600000000000009</v>
      </c>
    </row>
    <row r="26" spans="1:17" x14ac:dyDescent="0.4">
      <c r="A26" s="37" t="s">
        <v>155</v>
      </c>
      <c r="B26" s="34">
        <v>10</v>
      </c>
      <c r="C26" s="109">
        <v>0</v>
      </c>
      <c r="E26" s="44" t="s">
        <v>93</v>
      </c>
      <c r="F26" s="41" t="s">
        <v>48</v>
      </c>
      <c r="G26" s="34">
        <v>1</v>
      </c>
      <c r="H26" s="107">
        <f>IF(B$47=0,0,G26/B$47)</f>
        <v>1.7825311942959001E-3</v>
      </c>
      <c r="I26" s="68">
        <v>7</v>
      </c>
      <c r="K26" s="5">
        <v>24</v>
      </c>
      <c r="L26" s="73">
        <v>-26.900000000000009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76</v>
      </c>
      <c r="F27" s="41" t="s">
        <v>31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-37.900000000000006</v>
      </c>
    </row>
    <row r="28" spans="1:17" x14ac:dyDescent="0.4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-59.800000000000004</v>
      </c>
    </row>
    <row r="29" spans="1:17" x14ac:dyDescent="0.4">
      <c r="A29" s="40" t="s">
        <v>177</v>
      </c>
      <c r="B29" s="129">
        <v>103200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-53.7</v>
      </c>
    </row>
    <row r="30" spans="1:17" x14ac:dyDescent="0.4">
      <c r="A30" s="39" t="s">
        <v>135</v>
      </c>
      <c r="B30" s="27">
        <v>5</v>
      </c>
      <c r="C30" s="32">
        <f>IF(B$3=0,0,B30/B$3)</f>
        <v>2.44140625E-3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-53.1</v>
      </c>
    </row>
    <row r="31" spans="1:17" x14ac:dyDescent="0.4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-12.899999999999999</v>
      </c>
    </row>
    <row r="32" spans="1:17" x14ac:dyDescent="0.4">
      <c r="A32" s="64" t="s">
        <v>168</v>
      </c>
      <c r="B32" s="122">
        <v>59</v>
      </c>
      <c r="C32" s="119">
        <f>IF(B$15=0,0,B32/B$15)</f>
        <v>9.6405228758169939E-2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-48.6</v>
      </c>
    </row>
    <row r="33" spans="1:12" x14ac:dyDescent="0.4">
      <c r="A33" s="37" t="s">
        <v>164</v>
      </c>
      <c r="B33" s="34">
        <v>120</v>
      </c>
      <c r="C33" s="31">
        <f t="shared" ref="C33:C44" si="2">IF(B$15=0,0,B33/B$15)</f>
        <v>0.19607843137254902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7" t="s">
        <v>165</v>
      </c>
      <c r="B34" s="123">
        <v>113</v>
      </c>
      <c r="C34" s="31">
        <f>IF(B$15=0,0,B34/B$15)</f>
        <v>0.184640522875817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-70.399999999999991</v>
      </c>
    </row>
    <row r="35" spans="1:12" x14ac:dyDescent="0.4">
      <c r="A35" s="37" t="s">
        <v>166</v>
      </c>
      <c r="B35" s="123">
        <v>107</v>
      </c>
      <c r="C35" s="31">
        <f t="shared" si="2"/>
        <v>0.17483660130718953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37" t="s">
        <v>167</v>
      </c>
      <c r="B36" s="123">
        <v>83</v>
      </c>
      <c r="C36" s="31">
        <f t="shared" si="2"/>
        <v>0.13562091503267973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169</v>
      </c>
      <c r="B37" s="123">
        <v>36</v>
      </c>
      <c r="C37" s="31">
        <f t="shared" si="2"/>
        <v>5.8823529411764705E-2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170</v>
      </c>
      <c r="B38" s="123">
        <v>21</v>
      </c>
      <c r="C38" s="31">
        <f t="shared" si="2"/>
        <v>3.4313725490196081E-2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171</v>
      </c>
      <c r="B39" s="123">
        <v>15</v>
      </c>
      <c r="C39" s="31">
        <f t="shared" si="2"/>
        <v>2.4509803921568627E-2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172</v>
      </c>
      <c r="B40" s="123">
        <v>4</v>
      </c>
      <c r="C40" s="31">
        <f t="shared" si="2"/>
        <v>6.5359477124183009E-3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173</v>
      </c>
      <c r="B41" s="123">
        <v>1</v>
      </c>
      <c r="C41" s="31">
        <f t="shared" si="2"/>
        <v>1.6339869281045752E-3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174</v>
      </c>
      <c r="B42" s="123">
        <v>1</v>
      </c>
      <c r="C42" s="31">
        <f t="shared" si="2"/>
        <v>1.6339869281045752E-3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9" t="s">
        <v>176</v>
      </c>
      <c r="B44" s="124">
        <v>1</v>
      </c>
      <c r="C44" s="32">
        <f t="shared" si="2"/>
        <v>1.6339869281045752E-3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64" t="s">
        <v>181</v>
      </c>
      <c r="B46" s="127">
        <v>1868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9" t="s">
        <v>182</v>
      </c>
      <c r="B47" s="125">
        <v>561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-402.29999999999995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">
      <c r="K53" s="5">
        <v>51</v>
      </c>
      <c r="L53" s="73">
        <v>-417.29999999999995</v>
      </c>
    </row>
    <row r="54" spans="5:12" x14ac:dyDescent="0.4">
      <c r="K54" s="5">
        <v>52</v>
      </c>
      <c r="L54" s="73">
        <v>-421.29999999999995</v>
      </c>
    </row>
    <row r="55" spans="5:12" x14ac:dyDescent="0.4">
      <c r="K55" s="5">
        <v>53</v>
      </c>
      <c r="L55" s="73">
        <v>-451.69999999999993</v>
      </c>
    </row>
    <row r="56" spans="5:12" x14ac:dyDescent="0.4">
      <c r="K56" s="5">
        <v>54</v>
      </c>
      <c r="L56" s="73">
        <v>-445.09999999999991</v>
      </c>
    </row>
    <row r="57" spans="5:12" x14ac:dyDescent="0.4">
      <c r="K57" s="5">
        <v>55</v>
      </c>
      <c r="L57" s="73">
        <v>-465.59999999999991</v>
      </c>
    </row>
    <row r="58" spans="5:12" x14ac:dyDescent="0.4">
      <c r="K58" s="5">
        <v>56</v>
      </c>
      <c r="L58" s="73">
        <v>-502.59999999999991</v>
      </c>
    </row>
    <row r="59" spans="5:12" x14ac:dyDescent="0.4">
      <c r="K59" s="5">
        <v>57</v>
      </c>
      <c r="L59" s="73">
        <v>-533.29999999999995</v>
      </c>
    </row>
    <row r="60" spans="5:12" x14ac:dyDescent="0.4">
      <c r="K60" s="5">
        <v>58</v>
      </c>
      <c r="L60" s="73">
        <v>-573.29999999999995</v>
      </c>
    </row>
    <row r="61" spans="5:12" x14ac:dyDescent="0.4">
      <c r="K61" s="5">
        <v>59</v>
      </c>
      <c r="L61" s="73">
        <v>-550.79999999999995</v>
      </c>
    </row>
    <row r="62" spans="5:12" x14ac:dyDescent="0.4">
      <c r="K62" s="5">
        <v>60</v>
      </c>
      <c r="L62" s="73">
        <v>-535.29999999999995</v>
      </c>
    </row>
    <row r="63" spans="5:12" x14ac:dyDescent="0.4">
      <c r="K63" s="5">
        <v>61</v>
      </c>
      <c r="L63" s="73">
        <v>-492.29999999999995</v>
      </c>
    </row>
    <row r="64" spans="5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</sheetData>
  <sortState xmlns:xlrd2="http://schemas.microsoft.com/office/spreadsheetml/2017/richdata2" ref="N15:Q24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D08C9-BC11-48C5-AAE5-6DDE90C073A4}">
  <sheetPr codeName="Sheet11"/>
  <dimension ref="A1:Q42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424</v>
      </c>
      <c r="C2" s="128"/>
      <c r="E2" s="43" t="s">
        <v>66</v>
      </c>
      <c r="F2" s="25" t="s">
        <v>22</v>
      </c>
      <c r="G2" s="13">
        <v>781</v>
      </c>
      <c r="H2" s="106">
        <f>IF(B$47=0,0,G2/B$47)</f>
        <v>0.801025641025641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-809.04761904761904</v>
      </c>
      <c r="P2" s="92">
        <v>420</v>
      </c>
      <c r="Q2" s="76">
        <v>-339800</v>
      </c>
    </row>
    <row r="3" spans="1:17" x14ac:dyDescent="0.4">
      <c r="A3" s="37" t="s">
        <v>8</v>
      </c>
      <c r="B3" s="137">
        <v>3467</v>
      </c>
      <c r="C3" s="138"/>
      <c r="E3" s="44" t="s">
        <v>72</v>
      </c>
      <c r="F3" s="41" t="s">
        <v>27</v>
      </c>
      <c r="G3" s="34">
        <v>512</v>
      </c>
      <c r="H3" s="107">
        <f>IF(B$47=0,0,G3/B$47)</f>
        <v>0.52512820512820513</v>
      </c>
      <c r="I3" s="68">
        <v>13</v>
      </c>
      <c r="K3" s="5">
        <v>1</v>
      </c>
      <c r="L3" s="73">
        <v>-36.700000000000003</v>
      </c>
      <c r="N3" s="89" t="s">
        <v>127</v>
      </c>
      <c r="O3" s="96">
        <f t="shared" si="0"/>
        <v>-28.255528255528255</v>
      </c>
      <c r="P3" s="93">
        <v>407</v>
      </c>
      <c r="Q3" s="77">
        <v>-11500</v>
      </c>
    </row>
    <row r="4" spans="1:17" x14ac:dyDescent="0.4">
      <c r="A4" s="37" t="s">
        <v>6</v>
      </c>
      <c r="B4" s="139">
        <v>-874.40000000000055</v>
      </c>
      <c r="C4" s="140"/>
      <c r="E4" s="44" t="s">
        <v>64</v>
      </c>
      <c r="F4" s="41" t="s">
        <v>20</v>
      </c>
      <c r="G4" s="34">
        <v>442</v>
      </c>
      <c r="H4" s="107">
        <f>IF(B$47=0,0,G4/B$47)</f>
        <v>0.45333333333333331</v>
      </c>
      <c r="I4" s="68">
        <v>14</v>
      </c>
      <c r="K4" s="5">
        <v>2</v>
      </c>
      <c r="L4" s="73">
        <v>-45.300000000000004</v>
      </c>
      <c r="N4" s="89" t="s">
        <v>128</v>
      </c>
      <c r="O4" s="96">
        <f t="shared" si="0"/>
        <v>406.82414698162728</v>
      </c>
      <c r="P4" s="93">
        <v>381</v>
      </c>
      <c r="Q4" s="77">
        <v>155000</v>
      </c>
    </row>
    <row r="5" spans="1:17" x14ac:dyDescent="0.4">
      <c r="A5" s="37" t="s">
        <v>7</v>
      </c>
      <c r="B5" s="141">
        <f>IF(B$2=0,0,B$4/B$2)</f>
        <v>-2.0622641509433977</v>
      </c>
      <c r="C5" s="142"/>
      <c r="E5" s="44" t="s">
        <v>68</v>
      </c>
      <c r="F5" s="41" t="s">
        <v>12</v>
      </c>
      <c r="G5" s="34">
        <v>298</v>
      </c>
      <c r="H5" s="107">
        <f>IF(B$47=0,0,G5/B$47)</f>
        <v>0.30564102564102563</v>
      </c>
      <c r="I5" s="68">
        <v>10</v>
      </c>
      <c r="K5" s="5">
        <v>3</v>
      </c>
      <c r="L5" s="73">
        <v>-81.7</v>
      </c>
      <c r="N5" s="89" t="s">
        <v>129</v>
      </c>
      <c r="O5" s="96">
        <f t="shared" si="0"/>
        <v>-1097.7401129943503</v>
      </c>
      <c r="P5" s="93">
        <v>354</v>
      </c>
      <c r="Q5" s="77">
        <v>-388600</v>
      </c>
    </row>
    <row r="6" spans="1:17" x14ac:dyDescent="0.4">
      <c r="A6" s="37" t="s">
        <v>1</v>
      </c>
      <c r="B6" s="133">
        <f>IF(B$2=0,0,(B$7*1+B$8*2+B$9*3)/B$2)</f>
        <v>2.0070754716981134</v>
      </c>
      <c r="C6" s="134"/>
      <c r="E6" s="44" t="s">
        <v>157</v>
      </c>
      <c r="F6" s="41" t="s">
        <v>158</v>
      </c>
      <c r="G6" s="34">
        <v>285</v>
      </c>
      <c r="H6" s="107">
        <f>IF(B$47=0,0,G6/B$47)</f>
        <v>0.29230769230769232</v>
      </c>
      <c r="I6" s="68">
        <v>8</v>
      </c>
      <c r="K6" s="5">
        <v>4</v>
      </c>
      <c r="L6" s="73">
        <v>-114.30000000000001</v>
      </c>
      <c r="N6" s="89" t="s">
        <v>130</v>
      </c>
      <c r="O6" s="96">
        <f t="shared" si="0"/>
        <v>16.403785488958992</v>
      </c>
      <c r="P6" s="93">
        <v>317</v>
      </c>
      <c r="Q6" s="77">
        <v>5200</v>
      </c>
    </row>
    <row r="7" spans="1:17" x14ac:dyDescent="0.4">
      <c r="A7" s="37" t="s">
        <v>2</v>
      </c>
      <c r="B7" s="34">
        <v>142</v>
      </c>
      <c r="C7" s="31">
        <f t="shared" ref="C7:C10" si="1">IF(B$2=0,0,B7/B$2)</f>
        <v>0.33490566037735847</v>
      </c>
      <c r="E7" s="44" t="s">
        <v>67</v>
      </c>
      <c r="F7" s="41" t="s">
        <v>23</v>
      </c>
      <c r="G7" s="34">
        <v>258</v>
      </c>
      <c r="H7" s="107">
        <f>IF(B$47=0,0,G7/B$47)</f>
        <v>0.26461538461538464</v>
      </c>
      <c r="I7" s="68">
        <v>11</v>
      </c>
      <c r="K7" s="5">
        <v>5</v>
      </c>
      <c r="L7" s="73">
        <v>-136.30000000000001</v>
      </c>
      <c r="N7" s="90" t="s">
        <v>131</v>
      </c>
      <c r="O7" s="97">
        <f t="shared" si="0"/>
        <v>72.527472527472526</v>
      </c>
      <c r="P7" s="94">
        <v>273</v>
      </c>
      <c r="Q7" s="78">
        <v>19800</v>
      </c>
    </row>
    <row r="8" spans="1:17" x14ac:dyDescent="0.4">
      <c r="A8" s="37" t="s">
        <v>3</v>
      </c>
      <c r="B8" s="34">
        <v>137</v>
      </c>
      <c r="C8" s="31">
        <f t="shared" si="1"/>
        <v>0.32311320754716982</v>
      </c>
      <c r="E8" s="44" t="s">
        <v>69</v>
      </c>
      <c r="F8" s="41" t="s">
        <v>24</v>
      </c>
      <c r="G8" s="34">
        <v>141</v>
      </c>
      <c r="H8" s="107">
        <f>IF(B$47=0,0,G8/B$47)</f>
        <v>0.14461538461538462</v>
      </c>
      <c r="I8" s="68">
        <v>8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145</v>
      </c>
      <c r="C9" s="7">
        <f t="shared" si="1"/>
        <v>0.34198113207547171</v>
      </c>
      <c r="E9" s="44" t="s">
        <v>89</v>
      </c>
      <c r="F9" s="41" t="s">
        <v>44</v>
      </c>
      <c r="G9" s="34">
        <v>125</v>
      </c>
      <c r="H9" s="107">
        <f>IF(B$47=0,0,G9/B$47)</f>
        <v>0.12820512820512819</v>
      </c>
      <c r="I9" s="68">
        <v>9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55</v>
      </c>
      <c r="C10" s="32">
        <f t="shared" si="1"/>
        <v>0.12971698113207547</v>
      </c>
      <c r="E10" s="44" t="s">
        <v>70</v>
      </c>
      <c r="F10" s="41" t="s">
        <v>25</v>
      </c>
      <c r="G10" s="34">
        <v>109</v>
      </c>
      <c r="H10" s="107">
        <f>IF(B$47=0,0,G10/B$47)</f>
        <v>0.1117948717948718</v>
      </c>
      <c r="I10" s="68">
        <v>5</v>
      </c>
      <c r="K10" s="5">
        <v>8</v>
      </c>
      <c r="L10" s="73">
        <v>-52.300000000000018</v>
      </c>
      <c r="N10" s="88" t="s">
        <v>149</v>
      </c>
      <c r="O10" s="98">
        <f>IF(P10=0,0,Q10/P10)</f>
        <v>-2.4985401459854</v>
      </c>
      <c r="P10" s="92">
        <v>137</v>
      </c>
      <c r="Q10" s="80">
        <v>-342.29999999999978</v>
      </c>
    </row>
    <row r="11" spans="1:17" x14ac:dyDescent="0.4">
      <c r="A11" s="40" t="s">
        <v>121</v>
      </c>
      <c r="B11" s="16">
        <v>844</v>
      </c>
      <c r="C11" s="11">
        <f>IF(B$46=0,0,B11/B$46)</f>
        <v>0.25261897635438491</v>
      </c>
      <c r="E11" s="44" t="s">
        <v>65</v>
      </c>
      <c r="F11" s="41" t="s">
        <v>21</v>
      </c>
      <c r="G11" s="34">
        <v>92</v>
      </c>
      <c r="H11" s="107">
        <f>IF(B$47=0,0,G11/B$47)</f>
        <v>9.4358974358974362E-2</v>
      </c>
      <c r="I11" s="68">
        <v>13</v>
      </c>
      <c r="K11" s="5">
        <v>9</v>
      </c>
      <c r="L11" s="73">
        <v>-53.500000000000021</v>
      </c>
      <c r="N11" s="89" t="s">
        <v>150</v>
      </c>
      <c r="O11" s="99">
        <f>IF(P11=0,0,Q11/P11)</f>
        <v>-1.3197080291970809</v>
      </c>
      <c r="P11" s="93">
        <v>137</v>
      </c>
      <c r="Q11" s="81">
        <v>-180.80000000000007</v>
      </c>
    </row>
    <row r="12" spans="1:17" x14ac:dyDescent="0.4">
      <c r="A12" s="37" t="s">
        <v>118</v>
      </c>
      <c r="B12" s="34">
        <v>800</v>
      </c>
      <c r="C12" s="31">
        <f>IF(B$46=0,0,B12/B$46)</f>
        <v>0.23944926668662078</v>
      </c>
      <c r="E12" s="44" t="s">
        <v>71</v>
      </c>
      <c r="F12" s="41" t="s">
        <v>26</v>
      </c>
      <c r="G12" s="34">
        <v>87</v>
      </c>
      <c r="H12" s="107">
        <f>IF(B$47=0,0,G12/B$47)</f>
        <v>8.9230769230769225E-2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-2.608108108108107</v>
      </c>
      <c r="P12" s="94">
        <v>148</v>
      </c>
      <c r="Q12" s="82">
        <v>-385.99999999999983</v>
      </c>
    </row>
    <row r="13" spans="1:17" x14ac:dyDescent="0.4">
      <c r="A13" s="19" t="s">
        <v>123</v>
      </c>
      <c r="B13" s="13">
        <v>452</v>
      </c>
      <c r="C13" s="4">
        <f>IF(B$11=0,0,B13/B$11)</f>
        <v>0.53554502369668244</v>
      </c>
      <c r="E13" s="44" t="s">
        <v>86</v>
      </c>
      <c r="F13" s="41" t="s">
        <v>41</v>
      </c>
      <c r="G13" s="34">
        <v>53</v>
      </c>
      <c r="H13" s="107">
        <f>IF(B$47=0,0,G13/B$47)</f>
        <v>5.4358974358974362E-2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298</v>
      </c>
      <c r="C14" s="4">
        <f>IF(B$12=0,0,B14/B$12)</f>
        <v>0.3725</v>
      </c>
      <c r="E14" s="44" t="s">
        <v>83</v>
      </c>
      <c r="F14" s="41" t="s">
        <v>38</v>
      </c>
      <c r="G14" s="34">
        <v>43</v>
      </c>
      <c r="H14" s="107">
        <f>IF(B$47=0,0,G14/B$47)</f>
        <v>4.41025641025641E-2</v>
      </c>
      <c r="I14" s="68">
        <v>10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1012</v>
      </c>
      <c r="C15" s="4">
        <f>IF(B$3=0,0,B15/B$3)</f>
        <v>0.29189501009518315</v>
      </c>
      <c r="E15" s="44" t="s">
        <v>78</v>
      </c>
      <c r="F15" s="41" t="s">
        <v>33</v>
      </c>
      <c r="G15" s="34">
        <v>35</v>
      </c>
      <c r="H15" s="107">
        <f>IF(B$47=0,0,G15/B$47)</f>
        <v>3.5897435897435895E-2</v>
      </c>
      <c r="I15" s="68">
        <v>3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13</v>
      </c>
      <c r="B16" s="34">
        <v>601</v>
      </c>
      <c r="C16" s="31">
        <f>IF(B$3=0,0,B16/B$3)</f>
        <v>0.17334871646957023</v>
      </c>
      <c r="E16" s="44" t="s">
        <v>81</v>
      </c>
      <c r="F16" s="41" t="s">
        <v>36</v>
      </c>
      <c r="G16" s="34">
        <v>29</v>
      </c>
      <c r="H16" s="107">
        <f>IF(B$47=0,0,G16/B$47)</f>
        <v>2.9743589743589743E-2</v>
      </c>
      <c r="I16" s="68">
        <v>6</v>
      </c>
      <c r="K16" s="5">
        <v>14</v>
      </c>
      <c r="L16" s="73">
        <v>-50.400000000000027</v>
      </c>
      <c r="N16" s="89" t="s">
        <v>197</v>
      </c>
      <c r="O16" s="99">
        <f>IF(P16=0,0,Q16/P16)</f>
        <v>27.289473684210527</v>
      </c>
      <c r="P16" s="93">
        <v>19</v>
      </c>
      <c r="Q16" s="81">
        <v>518.5</v>
      </c>
    </row>
    <row r="17" spans="1:17" x14ac:dyDescent="0.4">
      <c r="A17" s="37" t="s">
        <v>12</v>
      </c>
      <c r="B17" s="34">
        <v>424</v>
      </c>
      <c r="C17" s="31">
        <f>IF(B$15=0,0,B17/B$15)</f>
        <v>0.4189723320158103</v>
      </c>
      <c r="E17" s="44" t="s">
        <v>91</v>
      </c>
      <c r="F17" s="41" t="s">
        <v>46</v>
      </c>
      <c r="G17" s="34">
        <v>20</v>
      </c>
      <c r="H17" s="107">
        <f>IF(B$47=0,0,G17/B$47)</f>
        <v>2.0512820512820513E-2</v>
      </c>
      <c r="I17" s="68">
        <v>4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">
      <c r="A18" s="37" t="s">
        <v>11</v>
      </c>
      <c r="B18" s="34">
        <v>588</v>
      </c>
      <c r="C18" s="31">
        <f>IF(B$15=0,0,B18/B$15)</f>
        <v>0.5810276679841897</v>
      </c>
      <c r="E18" s="44" t="s">
        <v>79</v>
      </c>
      <c r="F18" s="41" t="s">
        <v>34</v>
      </c>
      <c r="G18" s="34">
        <v>14</v>
      </c>
      <c r="H18" s="107">
        <f>IF(B$47=0,0,G18/B$47)</f>
        <v>1.4358974358974359E-2</v>
      </c>
      <c r="I18" s="68">
        <v>10</v>
      </c>
      <c r="K18" s="5">
        <v>16</v>
      </c>
      <c r="L18" s="73">
        <v>58.89999999999997</v>
      </c>
      <c r="N18" s="89" t="s">
        <v>190</v>
      </c>
      <c r="O18" s="99">
        <f>IF(P18=0,0,Q18/P18)</f>
        <v>6.7699300699300684</v>
      </c>
      <c r="P18" s="93">
        <v>143</v>
      </c>
      <c r="Q18" s="81">
        <v>968.0999999999998</v>
      </c>
    </row>
    <row r="19" spans="1:17" x14ac:dyDescent="0.4">
      <c r="A19" s="37" t="s">
        <v>180</v>
      </c>
      <c r="B19" s="34">
        <v>452</v>
      </c>
      <c r="C19" s="31">
        <f>IF(B$15=0,0,B19/B$15)</f>
        <v>0.44664031620553357</v>
      </c>
      <c r="E19" s="44" t="s">
        <v>77</v>
      </c>
      <c r="F19" s="41" t="s">
        <v>32</v>
      </c>
      <c r="G19" s="34">
        <v>9</v>
      </c>
      <c r="H19" s="107">
        <f>IF(B$47=0,0,G19/B$47)</f>
        <v>9.2307692307692316E-3</v>
      </c>
      <c r="I19" s="68">
        <v>2</v>
      </c>
      <c r="K19" s="5">
        <v>17</v>
      </c>
      <c r="L19" s="73">
        <v>58.599999999999973</v>
      </c>
      <c r="N19" s="89" t="s">
        <v>198</v>
      </c>
      <c r="O19" s="99">
        <f>IF(P19=0,0,Q19/P19)</f>
        <v>5.75</v>
      </c>
      <c r="P19" s="93">
        <v>4</v>
      </c>
      <c r="Q19" s="81">
        <v>23</v>
      </c>
    </row>
    <row r="20" spans="1:17" x14ac:dyDescent="0.4">
      <c r="A20" s="37" t="s">
        <v>178</v>
      </c>
      <c r="B20" s="34">
        <v>298</v>
      </c>
      <c r="C20" s="31">
        <f>IF(B$15=0,0,B20/B$15)</f>
        <v>0.29446640316205536</v>
      </c>
      <c r="E20" s="44" t="s">
        <v>73</v>
      </c>
      <c r="F20" s="41" t="s">
        <v>28</v>
      </c>
      <c r="G20" s="34">
        <v>6</v>
      </c>
      <c r="H20" s="107">
        <f>IF(B$47=0,0,G20/B$47)</f>
        <v>6.1538461538461538E-3</v>
      </c>
      <c r="I20" s="68">
        <v>6</v>
      </c>
      <c r="K20" s="5">
        <v>18</v>
      </c>
      <c r="L20" s="73">
        <v>122.59999999999997</v>
      </c>
      <c r="N20" s="89" t="s">
        <v>186</v>
      </c>
      <c r="O20" s="99">
        <f>IF(P20=0,0,Q20/P20)</f>
        <v>3.5652173913043526</v>
      </c>
      <c r="P20" s="93">
        <v>23</v>
      </c>
      <c r="Q20" s="81">
        <v>82.000000000000114</v>
      </c>
    </row>
    <row r="21" spans="1:17" x14ac:dyDescent="0.4">
      <c r="A21" s="37" t="s">
        <v>179</v>
      </c>
      <c r="B21" s="34">
        <v>262</v>
      </c>
      <c r="C21" s="31">
        <f>IF(B$15=0,0,B21/B$15)</f>
        <v>0.25889328063241107</v>
      </c>
      <c r="E21" s="44" t="s">
        <v>74</v>
      </c>
      <c r="F21" s="41" t="s">
        <v>29</v>
      </c>
      <c r="G21" s="34">
        <v>6</v>
      </c>
      <c r="H21" s="107">
        <f>IF(B$47=0,0,G21/B$47)</f>
        <v>6.1538461538461538E-3</v>
      </c>
      <c r="I21" s="68">
        <v>3</v>
      </c>
      <c r="K21" s="5">
        <v>19</v>
      </c>
      <c r="L21" s="73">
        <v>125.69999999999996</v>
      </c>
      <c r="N21" s="89" t="s">
        <v>187</v>
      </c>
      <c r="O21" s="99">
        <f>IF(P21=0,0,Q21/P21)</f>
        <v>1.5705357142857159</v>
      </c>
      <c r="P21" s="93">
        <v>112</v>
      </c>
      <c r="Q21" s="81">
        <v>175.90000000000018</v>
      </c>
    </row>
    <row r="22" spans="1:17" x14ac:dyDescent="0.4">
      <c r="A22" s="37" t="s">
        <v>5</v>
      </c>
      <c r="B22" s="17">
        <f>IF(B$15=0,0,C22/B$15)</f>
        <v>8840.217391304348</v>
      </c>
      <c r="C22" s="8">
        <v>8946300</v>
      </c>
      <c r="E22" s="44" t="s">
        <v>75</v>
      </c>
      <c r="F22" s="41" t="s">
        <v>30</v>
      </c>
      <c r="G22" s="34">
        <v>6</v>
      </c>
      <c r="H22" s="107">
        <f>IF(B$47=0,0,G22/B$47)</f>
        <v>6.1538461538461538E-3</v>
      </c>
      <c r="I22" s="68">
        <v>5</v>
      </c>
      <c r="K22" s="5">
        <v>20</v>
      </c>
      <c r="L22" s="73">
        <v>126.89999999999996</v>
      </c>
      <c r="N22" s="89" t="s">
        <v>191</v>
      </c>
      <c r="O22" s="99">
        <f>IF(P22=0,0,Q22/P22)</f>
        <v>1.5655462184873978</v>
      </c>
      <c r="P22" s="93">
        <v>119</v>
      </c>
      <c r="Q22" s="81">
        <v>186.30000000000035</v>
      </c>
    </row>
    <row r="23" spans="1:17" x14ac:dyDescent="0.4">
      <c r="A23" s="38" t="s">
        <v>162</v>
      </c>
      <c r="B23" s="114">
        <f>IF($B$15-B$14=0,0,C23/($B$15-B$14))</f>
        <v>9517.226890756303</v>
      </c>
      <c r="C23" s="115">
        <v>6795300</v>
      </c>
      <c r="E23" s="44" t="s">
        <v>153</v>
      </c>
      <c r="F23" s="41" t="s">
        <v>154</v>
      </c>
      <c r="G23" s="34">
        <v>5</v>
      </c>
      <c r="H23" s="107">
        <f>IF(B$47=0,0,G23/B$47)</f>
        <v>5.1282051282051282E-3</v>
      </c>
      <c r="I23" s="68">
        <v>8</v>
      </c>
      <c r="K23" s="5">
        <v>21</v>
      </c>
      <c r="L23" s="73">
        <v>129.69999999999996</v>
      </c>
      <c r="N23" s="89" t="s">
        <v>196</v>
      </c>
      <c r="O23" s="99">
        <f>IF(P23=0,0,Q23/P23)</f>
        <v>-6.2</v>
      </c>
      <c r="P23" s="93">
        <v>3</v>
      </c>
      <c r="Q23" s="81">
        <v>-18.600000000000001</v>
      </c>
    </row>
    <row r="24" spans="1:17" x14ac:dyDescent="0.4">
      <c r="A24" s="38" t="s">
        <v>163</v>
      </c>
      <c r="B24" s="114">
        <f>IF(B$14=0,0,C24/B$14)</f>
        <v>7218.1208053691271</v>
      </c>
      <c r="C24" s="115">
        <v>2151000</v>
      </c>
      <c r="E24" s="44" t="s">
        <v>84</v>
      </c>
      <c r="F24" s="41" t="s">
        <v>39</v>
      </c>
      <c r="G24" s="34">
        <v>4</v>
      </c>
      <c r="H24" s="107">
        <f>IF(B$47=0,0,G24/B$47)</f>
        <v>4.1025641025641026E-3</v>
      </c>
      <c r="I24" s="68">
        <v>2</v>
      </c>
      <c r="K24" s="5">
        <v>22</v>
      </c>
      <c r="L24" s="73">
        <v>174.29999999999995</v>
      </c>
      <c r="N24" s="89" t="s">
        <v>188</v>
      </c>
      <c r="O24" s="99">
        <f>IF(P24=0,0,Q24/P24)</f>
        <v>-9.1340000000000003</v>
      </c>
      <c r="P24" s="93">
        <v>100</v>
      </c>
      <c r="Q24" s="81">
        <v>-913.4</v>
      </c>
    </row>
    <row r="25" spans="1:17" x14ac:dyDescent="0.4">
      <c r="A25" s="38" t="s">
        <v>161</v>
      </c>
      <c r="B25" s="114">
        <f>IF(B$16=0,0,C25/B$16)</f>
        <v>-8480.8652246256243</v>
      </c>
      <c r="C25" s="115">
        <v>-5097000</v>
      </c>
      <c r="E25" s="44" t="s">
        <v>92</v>
      </c>
      <c r="F25" s="41" t="s">
        <v>47</v>
      </c>
      <c r="G25" s="34">
        <v>4</v>
      </c>
      <c r="H25" s="107">
        <f>IF(B$47=0,0,G25/B$47)</f>
        <v>4.1025641025641026E-3</v>
      </c>
      <c r="I25" s="68">
        <v>5</v>
      </c>
      <c r="K25" s="5">
        <v>23</v>
      </c>
      <c r="L25" s="73">
        <v>172.89999999999995</v>
      </c>
      <c r="N25" s="89" t="s">
        <v>195</v>
      </c>
      <c r="O25" s="99">
        <f>IF(P25=0,0,Q25/P25)</f>
        <v>-13.505119453924921</v>
      </c>
      <c r="P25" s="93">
        <v>293</v>
      </c>
      <c r="Q25" s="81">
        <v>-3957.0000000000018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4.1025641025641026E-3</v>
      </c>
      <c r="I26" s="68">
        <v>3</v>
      </c>
      <c r="K26" s="5">
        <v>24</v>
      </c>
      <c r="L26" s="73">
        <v>133.19999999999993</v>
      </c>
      <c r="N26" s="89" t="s">
        <v>194</v>
      </c>
      <c r="O26" s="99">
        <f>IF(P26=0,0,Q26/P26)</f>
        <v>-18.00714285714286</v>
      </c>
      <c r="P26" s="93">
        <v>14</v>
      </c>
      <c r="Q26" s="81">
        <v>-252.10000000000002</v>
      </c>
    </row>
    <row r="27" spans="1:17" x14ac:dyDescent="0.4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3.0769230769230769E-3</v>
      </c>
      <c r="I27" s="68">
        <v>2</v>
      </c>
      <c r="K27" s="5">
        <v>25</v>
      </c>
      <c r="L27" s="73">
        <v>117.39999999999993</v>
      </c>
    </row>
    <row r="28" spans="1:17" x14ac:dyDescent="0.4">
      <c r="A28" s="64" t="s">
        <v>134</v>
      </c>
      <c r="B28" s="131">
        <v>9</v>
      </c>
      <c r="C28" s="132"/>
      <c r="E28" s="44" t="s">
        <v>85</v>
      </c>
      <c r="F28" s="41" t="s">
        <v>40</v>
      </c>
      <c r="G28" s="34">
        <v>1</v>
      </c>
      <c r="H28" s="107">
        <f>IF(B$47=0,0,G28/B$47)</f>
        <v>1.0256410256410256E-3</v>
      </c>
      <c r="I28" s="68">
        <v>7</v>
      </c>
      <c r="K28" s="5">
        <v>26</v>
      </c>
      <c r="L28" s="73">
        <v>128.69999999999993</v>
      </c>
    </row>
    <row r="29" spans="1:17" x14ac:dyDescent="0.4">
      <c r="A29" s="40" t="s">
        <v>177</v>
      </c>
      <c r="B29" s="129">
        <v>109300</v>
      </c>
      <c r="C29" s="130"/>
      <c r="E29" s="44" t="s">
        <v>88</v>
      </c>
      <c r="F29" s="41" t="s">
        <v>43</v>
      </c>
      <c r="G29" s="34">
        <v>1</v>
      </c>
      <c r="H29" s="107">
        <f>IF(B$47=0,0,G29/B$47)</f>
        <v>1.0256410256410256E-3</v>
      </c>
      <c r="I29" s="68">
        <v>6</v>
      </c>
      <c r="K29" s="5">
        <v>27</v>
      </c>
      <c r="L29" s="73">
        <v>84.699999999999932</v>
      </c>
    </row>
    <row r="30" spans="1:17" x14ac:dyDescent="0.4">
      <c r="A30" s="39" t="s">
        <v>135</v>
      </c>
      <c r="B30" s="27">
        <v>10</v>
      </c>
      <c r="C30" s="32">
        <f>IF(B$3=0,0,B30/B$3)</f>
        <v>2.8843380444188061E-3</v>
      </c>
      <c r="E30" s="44" t="s">
        <v>95</v>
      </c>
      <c r="F30" s="41" t="s">
        <v>50</v>
      </c>
      <c r="G30" s="34">
        <v>1</v>
      </c>
      <c r="H30" s="107">
        <f>IF(B$47=0,0,G30/B$47)</f>
        <v>1.0256410256410256E-3</v>
      </c>
      <c r="I30" s="68">
        <v>5</v>
      </c>
      <c r="K30" s="5">
        <v>28</v>
      </c>
      <c r="L30" s="73">
        <v>43.699999999999932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32.899999999999935</v>
      </c>
    </row>
    <row r="32" spans="1:17" x14ac:dyDescent="0.4">
      <c r="A32" s="64" t="s">
        <v>168</v>
      </c>
      <c r="B32" s="122">
        <v>54</v>
      </c>
      <c r="C32" s="119">
        <f>IF(B$15=0,0,B32/B$15)</f>
        <v>5.33596837944664E-2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48.499999999999936</v>
      </c>
    </row>
    <row r="33" spans="1:12" x14ac:dyDescent="0.4">
      <c r="A33" s="37" t="s">
        <v>164</v>
      </c>
      <c r="B33" s="34">
        <v>155</v>
      </c>
      <c r="C33" s="31">
        <f t="shared" ref="C33:C44" si="2">IF(B$15=0,0,B33/B$15)</f>
        <v>0.15316205533596838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5.0999999999999375</v>
      </c>
    </row>
    <row r="34" spans="1:12" x14ac:dyDescent="0.4">
      <c r="A34" s="37" t="s">
        <v>165</v>
      </c>
      <c r="B34" s="123">
        <v>211</v>
      </c>
      <c r="C34" s="31">
        <f>IF(B$15=0,0,B34/B$15)</f>
        <v>0.20849802371541501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5.7999999999999376</v>
      </c>
    </row>
    <row r="35" spans="1:12" x14ac:dyDescent="0.4">
      <c r="A35" s="37" t="s">
        <v>166</v>
      </c>
      <c r="B35" s="123">
        <v>190</v>
      </c>
      <c r="C35" s="31">
        <f t="shared" si="2"/>
        <v>0.18774703557312253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37" t="s">
        <v>167</v>
      </c>
      <c r="B36" s="123">
        <v>138</v>
      </c>
      <c r="C36" s="31">
        <f t="shared" si="2"/>
        <v>0.13636363636363635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169</v>
      </c>
      <c r="B37" s="123">
        <v>95</v>
      </c>
      <c r="C37" s="31">
        <f t="shared" si="2"/>
        <v>9.3873517786561264E-2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170</v>
      </c>
      <c r="B38" s="123">
        <v>46</v>
      </c>
      <c r="C38" s="31">
        <f t="shared" si="2"/>
        <v>4.5454545454545456E-2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171</v>
      </c>
      <c r="B39" s="123">
        <v>35</v>
      </c>
      <c r="C39" s="31">
        <f t="shared" si="2"/>
        <v>3.4584980237154152E-2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172</v>
      </c>
      <c r="B40" s="123">
        <v>17</v>
      </c>
      <c r="C40" s="31">
        <f t="shared" si="2"/>
        <v>1.6798418972332016E-2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173</v>
      </c>
      <c r="B41" s="123">
        <v>12</v>
      </c>
      <c r="C41" s="31">
        <f t="shared" si="2"/>
        <v>1.1857707509881422E-2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174</v>
      </c>
      <c r="B42" s="123">
        <v>8</v>
      </c>
      <c r="C42" s="31">
        <f t="shared" si="2"/>
        <v>7.9051383399209481E-3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175</v>
      </c>
      <c r="B43" s="123">
        <v>2</v>
      </c>
      <c r="C43" s="31">
        <f t="shared" si="2"/>
        <v>1.976284584980237E-3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9" t="s">
        <v>176</v>
      </c>
      <c r="B44" s="124">
        <v>12</v>
      </c>
      <c r="C44" s="32">
        <f t="shared" si="2"/>
        <v>1.1857707509881422E-2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64" t="s">
        <v>181</v>
      </c>
      <c r="B46" s="127">
        <v>3341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9" t="s">
        <v>182</v>
      </c>
      <c r="B47" s="125">
        <v>975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">
      <c r="K53" s="5">
        <v>51</v>
      </c>
      <c r="L53" s="73">
        <v>196.99999999999994</v>
      </c>
    </row>
    <row r="54" spans="5:12" x14ac:dyDescent="0.4">
      <c r="K54" s="5">
        <v>52</v>
      </c>
      <c r="L54" s="73">
        <v>196.59999999999994</v>
      </c>
    </row>
    <row r="55" spans="5:12" x14ac:dyDescent="0.4">
      <c r="K55" s="5">
        <v>53</v>
      </c>
      <c r="L55" s="73">
        <v>214.69999999999993</v>
      </c>
    </row>
    <row r="56" spans="5:12" x14ac:dyDescent="0.4">
      <c r="K56" s="5">
        <v>54</v>
      </c>
      <c r="L56" s="73">
        <v>237.49999999999994</v>
      </c>
    </row>
    <row r="57" spans="5:12" x14ac:dyDescent="0.4">
      <c r="K57" s="5">
        <v>55</v>
      </c>
      <c r="L57" s="73">
        <v>224.69999999999993</v>
      </c>
    </row>
    <row r="58" spans="5:12" x14ac:dyDescent="0.4">
      <c r="K58" s="5">
        <v>56</v>
      </c>
      <c r="L58" s="73">
        <v>260.69999999999993</v>
      </c>
    </row>
    <row r="59" spans="5:12" x14ac:dyDescent="0.4">
      <c r="K59" s="5">
        <v>57</v>
      </c>
      <c r="L59" s="73">
        <v>211.59999999999994</v>
      </c>
    </row>
    <row r="60" spans="5:12" x14ac:dyDescent="0.4">
      <c r="K60" s="5">
        <v>58</v>
      </c>
      <c r="L60" s="73">
        <v>208.99999999999994</v>
      </c>
    </row>
    <row r="61" spans="5:12" x14ac:dyDescent="0.4">
      <c r="K61" s="5">
        <v>59</v>
      </c>
      <c r="L61" s="73">
        <v>221.49999999999994</v>
      </c>
    </row>
    <row r="62" spans="5:12" x14ac:dyDescent="0.4">
      <c r="K62" s="5">
        <v>60</v>
      </c>
      <c r="L62" s="73">
        <v>233.79999999999995</v>
      </c>
    </row>
    <row r="63" spans="5:12" x14ac:dyDescent="0.4">
      <c r="K63" s="5">
        <v>61</v>
      </c>
      <c r="L63" s="73">
        <v>234.69999999999996</v>
      </c>
    </row>
    <row r="64" spans="5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1B256-42BC-413D-9200-038836EE7A35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37">
        <v>316</v>
      </c>
      <c r="C3" s="138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39">
        <v>91.000000000000014</v>
      </c>
      <c r="C4" s="140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5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41">
        <f>IF(B$2=0,0,B$4/B$2)</f>
        <v>2.3333333333333335</v>
      </c>
      <c r="C5" s="142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3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33">
        <f>IF(B$2=0,0,(B$7*1+B$8*2+B$9*3)/B$2)</f>
        <v>2.0256410256410255</v>
      </c>
      <c r="C6" s="134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3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13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14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7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2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2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10</v>
      </c>
      <c r="K22" s="5">
        <v>20</v>
      </c>
      <c r="L22" s="73">
        <v>152.50000000000003</v>
      </c>
    </row>
    <row r="23" spans="1:17" x14ac:dyDescent="0.4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14</v>
      </c>
      <c r="K26" s="5">
        <v>24</v>
      </c>
      <c r="L26" s="73">
        <v>81.500000000000028</v>
      </c>
    </row>
    <row r="27" spans="1:17" x14ac:dyDescent="0.4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6</v>
      </c>
      <c r="K28" s="5">
        <v>26</v>
      </c>
      <c r="L28" s="73">
        <v>51.10000000000003</v>
      </c>
    </row>
    <row r="29" spans="1:17" x14ac:dyDescent="0.4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8</v>
      </c>
      <c r="K29" s="5">
        <v>27</v>
      </c>
      <c r="L29" s="73">
        <v>64.700000000000031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49.60000000000003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15.400000000000027</v>
      </c>
    </row>
    <row r="32" spans="1:17" x14ac:dyDescent="0.4">
      <c r="A32" s="64" t="s">
        <v>168</v>
      </c>
      <c r="B32" s="122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-30.799999999999976</v>
      </c>
    </row>
    <row r="33" spans="1:12" x14ac:dyDescent="0.4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7" t="s">
        <v>165</v>
      </c>
      <c r="B34" s="123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A35" s="37" t="s">
        <v>166</v>
      </c>
      <c r="B35" s="123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6</v>
      </c>
      <c r="K35" s="5">
        <v>33</v>
      </c>
      <c r="L35" s="73">
        <v>-9.3999999999999773</v>
      </c>
    </row>
    <row r="36" spans="1:12" x14ac:dyDescent="0.4">
      <c r="A36" s="37" t="s">
        <v>167</v>
      </c>
      <c r="B36" s="123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169</v>
      </c>
      <c r="B37" s="123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170</v>
      </c>
      <c r="B38" s="123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171</v>
      </c>
      <c r="B39" s="123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172</v>
      </c>
      <c r="B40" s="123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173</v>
      </c>
      <c r="B41" s="123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174</v>
      </c>
      <c r="B42" s="123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">
      <c r="A44" s="39" t="s">
        <v>176</v>
      </c>
      <c r="B44" s="124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">
      <c r="A47" s="39" t="s">
        <v>182</v>
      </c>
      <c r="B47" s="125">
        <v>61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7FDCA-003A-479D-B33A-64E84F641998}">
  <sheetPr codeName="Sheet13"/>
  <dimension ref="A1:Q32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321</v>
      </c>
      <c r="C2" s="128"/>
      <c r="E2" s="43" t="s">
        <v>66</v>
      </c>
      <c r="F2" s="25" t="s">
        <v>22</v>
      </c>
      <c r="G2" s="13">
        <v>572</v>
      </c>
      <c r="H2" s="106">
        <f>IF(B$47=0,0,G2/B$47)</f>
        <v>0.79114799446749651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100.63091482649843</v>
      </c>
      <c r="P2" s="92">
        <v>317</v>
      </c>
      <c r="Q2" s="76">
        <v>31900</v>
      </c>
    </row>
    <row r="3" spans="1:17" x14ac:dyDescent="0.4">
      <c r="A3" s="37" t="s">
        <v>8</v>
      </c>
      <c r="B3" s="137">
        <v>2575</v>
      </c>
      <c r="C3" s="138"/>
      <c r="E3" s="44" t="s">
        <v>72</v>
      </c>
      <c r="F3" s="41" t="s">
        <v>27</v>
      </c>
      <c r="G3" s="34">
        <v>411</v>
      </c>
      <c r="H3" s="107">
        <f>IF(B$47=0,0,G3/B$47)</f>
        <v>0.56846473029045641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-165.16129032258064</v>
      </c>
      <c r="P3" s="93">
        <v>310</v>
      </c>
      <c r="Q3" s="77">
        <v>-51200</v>
      </c>
    </row>
    <row r="4" spans="1:17" x14ac:dyDescent="0.4">
      <c r="A4" s="37" t="s">
        <v>6</v>
      </c>
      <c r="B4" s="139">
        <v>-79.499999999999773</v>
      </c>
      <c r="C4" s="140"/>
      <c r="E4" s="44" t="s">
        <v>64</v>
      </c>
      <c r="F4" s="41" t="s">
        <v>20</v>
      </c>
      <c r="G4" s="34">
        <v>404</v>
      </c>
      <c r="H4" s="107">
        <f>IF(B$47=0,0,G4/B$47)</f>
        <v>0.55878284923928079</v>
      </c>
      <c r="I4" s="68">
        <v>4</v>
      </c>
      <c r="K4" s="5">
        <v>2</v>
      </c>
      <c r="L4" s="73">
        <v>-33.9</v>
      </c>
      <c r="N4" s="89" t="s">
        <v>128</v>
      </c>
      <c r="O4" s="96">
        <f t="shared" si="0"/>
        <v>488.15331010452962</v>
      </c>
      <c r="P4" s="93">
        <v>287</v>
      </c>
      <c r="Q4" s="77">
        <v>140100</v>
      </c>
    </row>
    <row r="5" spans="1:17" x14ac:dyDescent="0.4">
      <c r="A5" s="37" t="s">
        <v>7</v>
      </c>
      <c r="B5" s="141">
        <f>IF(B$2=0,0,B$4/B$2)</f>
        <v>-0.24766355140186844</v>
      </c>
      <c r="C5" s="142"/>
      <c r="E5" s="44" t="s">
        <v>67</v>
      </c>
      <c r="F5" s="41" t="s">
        <v>23</v>
      </c>
      <c r="G5" s="34">
        <v>266</v>
      </c>
      <c r="H5" s="107">
        <f>IF(B$47=0,0,G5/B$47)</f>
        <v>0.36791147994467499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683.14176245210729</v>
      </c>
      <c r="P5" s="93">
        <v>261</v>
      </c>
      <c r="Q5" s="77">
        <v>178300</v>
      </c>
    </row>
    <row r="6" spans="1:17" x14ac:dyDescent="0.4">
      <c r="A6" s="37" t="s">
        <v>1</v>
      </c>
      <c r="B6" s="133">
        <f>IF(B$2=0,0,(B$7*1+B$8*2+B$9*3)/B$2)</f>
        <v>2.0591900311526481</v>
      </c>
      <c r="C6" s="134"/>
      <c r="E6" s="44" t="s">
        <v>68</v>
      </c>
      <c r="F6" s="41" t="s">
        <v>12</v>
      </c>
      <c r="G6" s="34">
        <v>234</v>
      </c>
      <c r="H6" s="107">
        <f>IF(B$47=0,0,G6/B$47)</f>
        <v>0.32365145228215769</v>
      </c>
      <c r="I6" s="68">
        <v>7</v>
      </c>
      <c r="K6" s="5">
        <v>4</v>
      </c>
      <c r="L6" s="73">
        <v>-35.099999999999994</v>
      </c>
      <c r="N6" s="89" t="s">
        <v>130</v>
      </c>
      <c r="O6" s="96">
        <f t="shared" si="0"/>
        <v>-1618.1434599156119</v>
      </c>
      <c r="P6" s="93">
        <v>237</v>
      </c>
      <c r="Q6" s="77">
        <v>-383500</v>
      </c>
    </row>
    <row r="7" spans="1:17" x14ac:dyDescent="0.4">
      <c r="A7" s="37" t="s">
        <v>2</v>
      </c>
      <c r="B7" s="34">
        <v>98</v>
      </c>
      <c r="C7" s="31">
        <f t="shared" ref="C7:C10" si="1">IF(B$2=0,0,B7/B$2)</f>
        <v>0.30529595015576322</v>
      </c>
      <c r="E7" s="44" t="s">
        <v>157</v>
      </c>
      <c r="F7" s="41" t="s">
        <v>158</v>
      </c>
      <c r="G7" s="34">
        <v>179</v>
      </c>
      <c r="H7" s="107">
        <f>IF(B$47=0,0,G7/B$47)</f>
        <v>0.24757952973720609</v>
      </c>
      <c r="I7" s="68">
        <v>11</v>
      </c>
      <c r="K7" s="5">
        <v>5</v>
      </c>
      <c r="L7" s="73">
        <v>-80.099999999999994</v>
      </c>
      <c r="N7" s="90" t="s">
        <v>131</v>
      </c>
      <c r="O7" s="97">
        <f t="shared" si="0"/>
        <v>131.65829145728642</v>
      </c>
      <c r="P7" s="94">
        <v>199</v>
      </c>
      <c r="Q7" s="78">
        <v>26200</v>
      </c>
    </row>
    <row r="8" spans="1:17" x14ac:dyDescent="0.4">
      <c r="A8" s="37" t="s">
        <v>3</v>
      </c>
      <c r="B8" s="34">
        <v>106</v>
      </c>
      <c r="C8" s="31">
        <f t="shared" si="1"/>
        <v>0.33021806853582553</v>
      </c>
      <c r="E8" s="44" t="s">
        <v>69</v>
      </c>
      <c r="F8" s="41" t="s">
        <v>24</v>
      </c>
      <c r="G8" s="34">
        <v>128</v>
      </c>
      <c r="H8" s="107">
        <f>IF(B$47=0,0,G8/B$47)</f>
        <v>0.17704011065006917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117</v>
      </c>
      <c r="C9" s="7">
        <f t="shared" si="1"/>
        <v>0.3644859813084112</v>
      </c>
      <c r="E9" s="44" t="s">
        <v>89</v>
      </c>
      <c r="F9" s="41" t="s">
        <v>44</v>
      </c>
      <c r="G9" s="34">
        <v>119</v>
      </c>
      <c r="H9" s="107">
        <f>IF(B$47=0,0,G9/B$47)</f>
        <v>0.16459197786998617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44</v>
      </c>
      <c r="C10" s="32">
        <f t="shared" si="1"/>
        <v>0.13707165109034267</v>
      </c>
      <c r="E10" s="44" t="s">
        <v>65</v>
      </c>
      <c r="F10" s="41" t="s">
        <v>21</v>
      </c>
      <c r="G10" s="34">
        <v>89</v>
      </c>
      <c r="H10" s="107">
        <f>IF(B$47=0,0,G10/B$47)</f>
        <v>0.12309820193637622</v>
      </c>
      <c r="I10" s="68">
        <v>5</v>
      </c>
      <c r="K10" s="5">
        <v>8</v>
      </c>
      <c r="L10" s="73">
        <v>-146</v>
      </c>
      <c r="N10" s="88" t="s">
        <v>149</v>
      </c>
      <c r="O10" s="98">
        <f>IF(P10=0,0,Q10/P10)</f>
        <v>-2.7693877551020418</v>
      </c>
      <c r="P10" s="92">
        <v>98</v>
      </c>
      <c r="Q10" s="80">
        <v>-271.40000000000009</v>
      </c>
    </row>
    <row r="11" spans="1:17" x14ac:dyDescent="0.4">
      <c r="A11" s="40" t="s">
        <v>121</v>
      </c>
      <c r="B11" s="16">
        <v>759</v>
      </c>
      <c r="C11" s="11">
        <f>IF(B$46=0,0,B11/B$46)</f>
        <v>0.29905437352245862</v>
      </c>
      <c r="E11" s="44" t="s">
        <v>70</v>
      </c>
      <c r="F11" s="41" t="s">
        <v>25</v>
      </c>
      <c r="G11" s="34">
        <v>82</v>
      </c>
      <c r="H11" s="107">
        <f>IF(B$47=0,0,G11/B$47)</f>
        <v>0.11341632088520055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1.9928000000000001</v>
      </c>
      <c r="P11" s="93">
        <v>125</v>
      </c>
      <c r="Q11" s="81">
        <v>249.10000000000002</v>
      </c>
    </row>
    <row r="12" spans="1:17" x14ac:dyDescent="0.4">
      <c r="A12" s="37" t="s">
        <v>118</v>
      </c>
      <c r="B12" s="34">
        <v>476</v>
      </c>
      <c r="C12" s="31">
        <f>IF(B$46=0,0,B12/B$46)</f>
        <v>0.18754925137903861</v>
      </c>
      <c r="E12" s="44" t="s">
        <v>86</v>
      </c>
      <c r="F12" s="41" t="s">
        <v>41</v>
      </c>
      <c r="G12" s="34">
        <v>49</v>
      </c>
      <c r="H12" s="107">
        <f>IF(B$47=0,0,G12/B$47)</f>
        <v>6.7773167358229594E-2</v>
      </c>
      <c r="I12" s="68">
        <v>8</v>
      </c>
      <c r="K12" s="5">
        <v>10</v>
      </c>
      <c r="L12" s="73">
        <v>-206.1</v>
      </c>
      <c r="N12" s="90" t="s">
        <v>151</v>
      </c>
      <c r="O12" s="100">
        <f>IF(P12=0,0,Q12/P12)</f>
        <v>0.58000000000000029</v>
      </c>
      <c r="P12" s="94">
        <v>95</v>
      </c>
      <c r="Q12" s="82">
        <v>55.100000000000023</v>
      </c>
    </row>
    <row r="13" spans="1:17" x14ac:dyDescent="0.4">
      <c r="A13" s="19" t="s">
        <v>123</v>
      </c>
      <c r="B13" s="13">
        <v>430</v>
      </c>
      <c r="C13" s="4">
        <f>IF(B$11=0,0,B13/B$11)</f>
        <v>0.56653491436100134</v>
      </c>
      <c r="E13" s="44" t="s">
        <v>71</v>
      </c>
      <c r="F13" s="41" t="s">
        <v>26</v>
      </c>
      <c r="G13" s="34">
        <v>33</v>
      </c>
      <c r="H13" s="107">
        <f>IF(B$47=0,0,G13/B$47)</f>
        <v>4.5643153526970952E-2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191</v>
      </c>
      <c r="C14" s="4">
        <f>IF(B$12=0,0,B14/B$12)</f>
        <v>0.40126050420168069</v>
      </c>
      <c r="E14" s="44" t="s">
        <v>83</v>
      </c>
      <c r="F14" s="41" t="s">
        <v>38</v>
      </c>
      <c r="G14" s="34">
        <v>26</v>
      </c>
      <c r="H14" s="107">
        <f>IF(B$47=0,0,G14/B$47)</f>
        <v>3.5961272475795295E-2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733</v>
      </c>
      <c r="C15" s="4">
        <f>IF(B$3=0,0,B15/B$3)</f>
        <v>0.2846601941747573</v>
      </c>
      <c r="E15" s="44" t="s">
        <v>78</v>
      </c>
      <c r="F15" s="41" t="s">
        <v>33</v>
      </c>
      <c r="G15" s="34">
        <v>23</v>
      </c>
      <c r="H15" s="107">
        <f>IF(B$47=0,0,G15/B$47)</f>
        <v>3.18118948824343E-2</v>
      </c>
      <c r="I15" s="68">
        <v>4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13</v>
      </c>
      <c r="B16" s="34">
        <v>474</v>
      </c>
      <c r="C16" s="31">
        <f>IF(B$3=0,0,B16/B$3)</f>
        <v>0.18407766990291263</v>
      </c>
      <c r="E16" s="44" t="s">
        <v>153</v>
      </c>
      <c r="F16" s="41" t="s">
        <v>154</v>
      </c>
      <c r="G16" s="34">
        <v>20</v>
      </c>
      <c r="H16" s="107">
        <f>IF(B$47=0,0,G16/B$47)</f>
        <v>2.7662517289073305E-2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37" t="s">
        <v>12</v>
      </c>
      <c r="B17" s="34">
        <v>322</v>
      </c>
      <c r="C17" s="31">
        <f>IF(B$15=0,0,B17/B$15)</f>
        <v>0.43929058663028647</v>
      </c>
      <c r="E17" s="44" t="s">
        <v>91</v>
      </c>
      <c r="F17" s="41" t="s">
        <v>46</v>
      </c>
      <c r="G17" s="34">
        <v>19</v>
      </c>
      <c r="H17" s="107">
        <f>IF(B$47=0,0,G17/B$47)</f>
        <v>2.6279391424619641E-2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17.12777777777778</v>
      </c>
      <c r="P17" s="93">
        <v>18</v>
      </c>
      <c r="Q17" s="81">
        <v>308.3</v>
      </c>
    </row>
    <row r="18" spans="1:17" x14ac:dyDescent="0.4">
      <c r="A18" s="37" t="s">
        <v>11</v>
      </c>
      <c r="B18" s="34">
        <v>411</v>
      </c>
      <c r="C18" s="31">
        <f>IF(B$15=0,0,B18/B$15)</f>
        <v>0.56070941336971347</v>
      </c>
      <c r="E18" s="44" t="s">
        <v>81</v>
      </c>
      <c r="F18" s="41" t="s">
        <v>36</v>
      </c>
      <c r="G18" s="34">
        <v>18</v>
      </c>
      <c r="H18" s="107">
        <f>IF(B$47=0,0,G18/B$47)</f>
        <v>2.4896265560165973E-2</v>
      </c>
      <c r="I18" s="68">
        <v>7</v>
      </c>
      <c r="K18" s="5">
        <v>16</v>
      </c>
      <c r="L18" s="73">
        <v>-233.2</v>
      </c>
      <c r="N18" s="89" t="s">
        <v>188</v>
      </c>
      <c r="O18" s="99">
        <f>IF(P18=0,0,Q18/P18)</f>
        <v>11.866037735849053</v>
      </c>
      <c r="P18" s="93">
        <v>53</v>
      </c>
      <c r="Q18" s="81">
        <v>628.89999999999986</v>
      </c>
    </row>
    <row r="19" spans="1:17" x14ac:dyDescent="0.4">
      <c r="A19" s="37" t="s">
        <v>180</v>
      </c>
      <c r="B19" s="34">
        <v>430</v>
      </c>
      <c r="C19" s="31">
        <f>IF(B$15=0,0,B19/B$15)</f>
        <v>0.58663028649386084</v>
      </c>
      <c r="E19" s="44" t="s">
        <v>79</v>
      </c>
      <c r="F19" s="41" t="s">
        <v>34</v>
      </c>
      <c r="G19" s="34">
        <v>11</v>
      </c>
      <c r="H19" s="107">
        <f>IF(B$47=0,0,G19/B$47)</f>
        <v>1.5214384508990318E-2</v>
      </c>
      <c r="I19" s="68">
        <v>8</v>
      </c>
      <c r="K19" s="5">
        <v>17</v>
      </c>
      <c r="L19" s="73">
        <v>-268.7</v>
      </c>
      <c r="N19" s="89" t="s">
        <v>194</v>
      </c>
      <c r="O19" s="99">
        <f>IF(P19=0,0,Q19/P19)</f>
        <v>11.2125</v>
      </c>
      <c r="P19" s="93">
        <v>16</v>
      </c>
      <c r="Q19" s="81">
        <v>179.4</v>
      </c>
    </row>
    <row r="20" spans="1:17" x14ac:dyDescent="0.4">
      <c r="A20" s="37" t="s">
        <v>178</v>
      </c>
      <c r="B20" s="34">
        <v>191</v>
      </c>
      <c r="C20" s="31">
        <f>IF(B$15=0,0,B20/B$15)</f>
        <v>0.26057298772169168</v>
      </c>
      <c r="E20" s="44" t="s">
        <v>73</v>
      </c>
      <c r="F20" s="41" t="s">
        <v>28</v>
      </c>
      <c r="G20" s="34">
        <v>8</v>
      </c>
      <c r="H20" s="107">
        <f>IF(B$47=0,0,G20/B$47)</f>
        <v>1.1065006915629323E-2</v>
      </c>
      <c r="I20" s="68">
        <v>3</v>
      </c>
      <c r="K20" s="5">
        <v>18</v>
      </c>
      <c r="L20" s="73">
        <v>-295.8</v>
      </c>
      <c r="N20" s="89" t="s">
        <v>186</v>
      </c>
      <c r="O20" s="99">
        <f>IF(P20=0,0,Q20/P20)</f>
        <v>6.6903225806451596</v>
      </c>
      <c r="P20" s="93">
        <v>31</v>
      </c>
      <c r="Q20" s="81">
        <v>207.39999999999995</v>
      </c>
    </row>
    <row r="21" spans="1:17" x14ac:dyDescent="0.4">
      <c r="A21" s="37" t="s">
        <v>179</v>
      </c>
      <c r="B21" s="34">
        <v>112</v>
      </c>
      <c r="C21" s="31">
        <f>IF(B$15=0,0,B21/B$15)</f>
        <v>0.15279672578444747</v>
      </c>
      <c r="E21" s="44" t="s">
        <v>92</v>
      </c>
      <c r="F21" s="41" t="s">
        <v>47</v>
      </c>
      <c r="G21" s="34">
        <v>8</v>
      </c>
      <c r="H21" s="107">
        <f>IF(B$47=0,0,G21/B$47)</f>
        <v>1.1065006915629323E-2</v>
      </c>
      <c r="I21" s="68">
        <v>2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5</v>
      </c>
      <c r="B22" s="17">
        <f>IF(B$15=0,0,C22/B$15)</f>
        <v>10441.200545702592</v>
      </c>
      <c r="C22" s="8">
        <v>7653400</v>
      </c>
      <c r="E22" s="44" t="s">
        <v>75</v>
      </c>
      <c r="F22" s="41" t="s">
        <v>30</v>
      </c>
      <c r="G22" s="34">
        <v>7</v>
      </c>
      <c r="H22" s="107">
        <f>IF(B$47=0,0,G22/B$47)</f>
        <v>9.6818810511756573E-3</v>
      </c>
      <c r="I22" s="68">
        <v>1</v>
      </c>
      <c r="K22" s="5">
        <v>20</v>
      </c>
      <c r="L22" s="73">
        <v>-270</v>
      </c>
      <c r="N22" s="89" t="s">
        <v>187</v>
      </c>
      <c r="O22" s="99">
        <f>IF(P22=0,0,Q22/P22)</f>
        <v>-0.93809523809523887</v>
      </c>
      <c r="P22" s="93">
        <v>84</v>
      </c>
      <c r="Q22" s="81">
        <v>-78.800000000000068</v>
      </c>
    </row>
    <row r="23" spans="1:17" x14ac:dyDescent="0.4">
      <c r="A23" s="38" t="s">
        <v>162</v>
      </c>
      <c r="B23" s="114">
        <f>IF($B$15-B$14=0,0,C23/($B$15-B$14))</f>
        <v>11245.20295202952</v>
      </c>
      <c r="C23" s="115">
        <v>6094900</v>
      </c>
      <c r="E23" s="44" t="s">
        <v>77</v>
      </c>
      <c r="F23" s="41" t="s">
        <v>32</v>
      </c>
      <c r="G23" s="34">
        <v>4</v>
      </c>
      <c r="H23" s="107">
        <f>IF(B$47=0,0,G23/B$47)</f>
        <v>5.5325034578146614E-3</v>
      </c>
      <c r="I23" s="68">
        <v>5</v>
      </c>
      <c r="K23" s="5">
        <v>21</v>
      </c>
      <c r="L23" s="73">
        <v>-242</v>
      </c>
      <c r="N23" s="89" t="s">
        <v>193</v>
      </c>
      <c r="O23" s="99">
        <f>IF(P23=0,0,Q23/P23)</f>
        <v>-1.5655462184873989</v>
      </c>
      <c r="P23" s="93">
        <v>119</v>
      </c>
      <c r="Q23" s="81">
        <v>-186.30000000000047</v>
      </c>
    </row>
    <row r="24" spans="1:17" x14ac:dyDescent="0.4">
      <c r="A24" s="38" t="s">
        <v>163</v>
      </c>
      <c r="B24" s="114">
        <f>IF(B$14=0,0,C24/B$14)</f>
        <v>8159.6858638743452</v>
      </c>
      <c r="C24" s="115">
        <v>1558500</v>
      </c>
      <c r="E24" s="44" t="s">
        <v>93</v>
      </c>
      <c r="F24" s="41" t="s">
        <v>48</v>
      </c>
      <c r="G24" s="34">
        <v>4</v>
      </c>
      <c r="H24" s="107">
        <f>IF(B$47=0,0,G24/B$47)</f>
        <v>5.5325034578146614E-3</v>
      </c>
      <c r="I24" s="68">
        <v>2</v>
      </c>
      <c r="K24" s="5">
        <v>22</v>
      </c>
      <c r="L24" s="73">
        <v>-202.9</v>
      </c>
      <c r="N24" s="89" t="s">
        <v>190</v>
      </c>
      <c r="O24" s="99">
        <f>IF(P24=0,0,Q24/P24)</f>
        <v>-1.9130000000000005</v>
      </c>
      <c r="P24" s="93">
        <v>100</v>
      </c>
      <c r="Q24" s="81">
        <v>-191.30000000000004</v>
      </c>
    </row>
    <row r="25" spans="1:17" x14ac:dyDescent="0.4">
      <c r="A25" s="38" t="s">
        <v>161</v>
      </c>
      <c r="B25" s="114">
        <f>IF(B$16=0,0,C25/B$16)</f>
        <v>-8763.7130801687763</v>
      </c>
      <c r="C25" s="115">
        <v>-4154000</v>
      </c>
      <c r="E25" s="44" t="s">
        <v>84</v>
      </c>
      <c r="F25" s="41" t="s">
        <v>39</v>
      </c>
      <c r="G25" s="34">
        <v>3</v>
      </c>
      <c r="H25" s="107">
        <f>IF(B$47=0,0,G25/B$47)</f>
        <v>4.1493775933609959E-3</v>
      </c>
      <c r="I25" s="68">
        <v>1</v>
      </c>
      <c r="K25" s="5">
        <v>23</v>
      </c>
      <c r="L25" s="73">
        <v>-200.9</v>
      </c>
      <c r="N25" s="89" t="s">
        <v>189</v>
      </c>
      <c r="O25" s="99">
        <f>IF(P25=0,0,Q25/P25)</f>
        <v>-3.9666666666666663</v>
      </c>
      <c r="P25" s="93">
        <v>3</v>
      </c>
      <c r="Q25" s="81">
        <v>-11.899999999999999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2</v>
      </c>
      <c r="H26" s="107">
        <f>IF(B$47=0,0,G26/B$47)</f>
        <v>2.7662517289073307E-3</v>
      </c>
      <c r="I26" s="68">
        <v>5</v>
      </c>
      <c r="K26" s="5">
        <v>24</v>
      </c>
      <c r="L26" s="73">
        <v>-168.2</v>
      </c>
      <c r="N26" s="89" t="s">
        <v>195</v>
      </c>
      <c r="O26" s="99">
        <f>IF(P26=0,0,Q26/P26)</f>
        <v>-5.7980099502487557</v>
      </c>
      <c r="P26" s="93">
        <v>201</v>
      </c>
      <c r="Q26" s="81">
        <v>-1165.3999999999999</v>
      </c>
    </row>
    <row r="27" spans="1:17" x14ac:dyDescent="0.4">
      <c r="A27" s="37" t="s">
        <v>156</v>
      </c>
      <c r="B27" s="34">
        <v>32</v>
      </c>
      <c r="C27" s="109">
        <v>0</v>
      </c>
      <c r="E27" s="44" t="s">
        <v>87</v>
      </c>
      <c r="F27" s="41" t="s">
        <v>42</v>
      </c>
      <c r="G27" s="34">
        <v>2</v>
      </c>
      <c r="H27" s="107">
        <f>IF(B$47=0,0,G27/B$47)</f>
        <v>2.7662517289073307E-3</v>
      </c>
      <c r="I27" s="68">
        <v>3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64" t="s">
        <v>134</v>
      </c>
      <c r="B28" s="131">
        <v>8</v>
      </c>
      <c r="C28" s="132"/>
      <c r="E28" s="44" t="s">
        <v>90</v>
      </c>
      <c r="F28" s="41" t="s">
        <v>45</v>
      </c>
      <c r="G28" s="34">
        <v>2</v>
      </c>
      <c r="H28" s="107">
        <f>IF(B$47=0,0,G28/B$47)</f>
        <v>2.7662517289073307E-3</v>
      </c>
      <c r="I28" s="68">
        <v>3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40" t="s">
        <v>177</v>
      </c>
      <c r="B29" s="129">
        <v>124700</v>
      </c>
      <c r="C29" s="130"/>
      <c r="E29" s="44" t="s">
        <v>74</v>
      </c>
      <c r="F29" s="41" t="s">
        <v>29</v>
      </c>
      <c r="G29" s="34">
        <v>1</v>
      </c>
      <c r="H29" s="107">
        <f>IF(B$47=0,0,G29/B$47)</f>
        <v>1.3831258644536654E-3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9" t="s">
        <v>135</v>
      </c>
      <c r="B30" s="27">
        <v>9</v>
      </c>
      <c r="C30" s="32">
        <f>IF(B$3=0,0,B30/B$3)</f>
        <v>3.4951456310679612E-3</v>
      </c>
      <c r="E30" s="44" t="s">
        <v>97</v>
      </c>
      <c r="F30" s="41" t="s">
        <v>52</v>
      </c>
      <c r="G30" s="34">
        <v>1</v>
      </c>
      <c r="H30" s="107">
        <f>IF(B$47=0,0,G30/B$47)</f>
        <v>1.3831258644536654E-3</v>
      </c>
      <c r="I30" s="68">
        <v>2</v>
      </c>
      <c r="K30" s="5">
        <v>28</v>
      </c>
      <c r="L30" s="73">
        <v>-290.19999999999993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-239.19999999999993</v>
      </c>
    </row>
    <row r="32" spans="1:17" x14ac:dyDescent="0.4">
      <c r="A32" s="64" t="s">
        <v>168</v>
      </c>
      <c r="B32" s="122">
        <v>24</v>
      </c>
      <c r="C32" s="119">
        <f>IF(B$15=0,0,B32/B$15)</f>
        <v>3.2742155525238743E-2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-257.29999999999995</v>
      </c>
    </row>
    <row r="33" spans="1:12" x14ac:dyDescent="0.4">
      <c r="A33" s="37" t="s">
        <v>164</v>
      </c>
      <c r="B33" s="34">
        <v>76</v>
      </c>
      <c r="C33" s="31">
        <f t="shared" ref="C33:C44" si="2">IF(B$15=0,0,B33/B$15)</f>
        <v>0.10368349249658936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">
      <c r="A34" s="37" t="s">
        <v>165</v>
      </c>
      <c r="B34" s="123">
        <v>108</v>
      </c>
      <c r="C34" s="31">
        <f>IF(B$15=0,0,B34/B$15)</f>
        <v>0.14733969986357434</v>
      </c>
      <c r="E34" s="44" t="s">
        <v>88</v>
      </c>
      <c r="F34" s="41" t="s">
        <v>43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-283.89999999999998</v>
      </c>
    </row>
    <row r="35" spans="1:12" x14ac:dyDescent="0.4">
      <c r="A35" s="37" t="s">
        <v>166</v>
      </c>
      <c r="B35" s="123">
        <v>144</v>
      </c>
      <c r="C35" s="31">
        <f t="shared" si="2"/>
        <v>0.19645293315143247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37" t="s">
        <v>167</v>
      </c>
      <c r="B36" s="123">
        <v>140</v>
      </c>
      <c r="C36" s="31">
        <f t="shared" si="2"/>
        <v>0.19099590723055934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-301.69999999999993</v>
      </c>
    </row>
    <row r="37" spans="1:12" x14ac:dyDescent="0.4">
      <c r="A37" s="37" t="s">
        <v>169</v>
      </c>
      <c r="B37" s="123">
        <v>80</v>
      </c>
      <c r="C37" s="31">
        <f t="shared" si="2"/>
        <v>0.10914051841746249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170</v>
      </c>
      <c r="B38" s="123">
        <v>61</v>
      </c>
      <c r="C38" s="31">
        <f t="shared" si="2"/>
        <v>8.3219645293315145E-2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171</v>
      </c>
      <c r="B39" s="123">
        <v>32</v>
      </c>
      <c r="C39" s="31">
        <f t="shared" si="2"/>
        <v>4.3656207366984993E-2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172</v>
      </c>
      <c r="B40" s="123">
        <v>23</v>
      </c>
      <c r="C40" s="31">
        <f t="shared" si="2"/>
        <v>3.1377899045020467E-2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173</v>
      </c>
      <c r="B41" s="123">
        <v>11</v>
      </c>
      <c r="C41" s="31">
        <f t="shared" si="2"/>
        <v>1.5006821282401092E-2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174</v>
      </c>
      <c r="B42" s="123">
        <v>6</v>
      </c>
      <c r="C42" s="31">
        <f t="shared" si="2"/>
        <v>8.1855388813096858E-3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175</v>
      </c>
      <c r="B43" s="123">
        <v>3</v>
      </c>
      <c r="C43" s="31">
        <f t="shared" si="2"/>
        <v>4.0927694406548429E-3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9" t="s">
        <v>176</v>
      </c>
      <c r="B44" s="124">
        <v>15</v>
      </c>
      <c r="C44" s="32">
        <f t="shared" si="2"/>
        <v>2.0463847203274217E-2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64" t="s">
        <v>181</v>
      </c>
      <c r="B46" s="127">
        <v>2538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9" t="s">
        <v>182</v>
      </c>
      <c r="B47" s="125">
        <v>723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">
      <c r="K53" s="5">
        <v>51</v>
      </c>
      <c r="L53" s="73">
        <v>-409.99999999999994</v>
      </c>
    </row>
    <row r="54" spans="5:12" x14ac:dyDescent="0.4">
      <c r="K54" s="5">
        <v>52</v>
      </c>
      <c r="L54" s="73">
        <v>-426.39999999999992</v>
      </c>
    </row>
    <row r="55" spans="5:12" x14ac:dyDescent="0.4">
      <c r="K55" s="5">
        <v>53</v>
      </c>
      <c r="L55" s="73">
        <v>-399.89999999999992</v>
      </c>
    </row>
    <row r="56" spans="5:12" x14ac:dyDescent="0.4">
      <c r="K56" s="5">
        <v>54</v>
      </c>
      <c r="L56" s="73">
        <v>-411.19999999999993</v>
      </c>
    </row>
    <row r="57" spans="5:12" x14ac:dyDescent="0.4">
      <c r="K57" s="5">
        <v>55</v>
      </c>
      <c r="L57" s="73">
        <v>-420.49999999999994</v>
      </c>
    </row>
    <row r="58" spans="5:12" x14ac:dyDescent="0.4">
      <c r="K58" s="5">
        <v>56</v>
      </c>
      <c r="L58" s="73">
        <v>-395.39999999999992</v>
      </c>
    </row>
    <row r="59" spans="5:12" x14ac:dyDescent="0.4">
      <c r="K59" s="5">
        <v>57</v>
      </c>
      <c r="L59" s="73">
        <v>-428.89999999999992</v>
      </c>
    </row>
    <row r="60" spans="5:12" x14ac:dyDescent="0.4">
      <c r="K60" s="5">
        <v>58</v>
      </c>
      <c r="L60" s="73">
        <v>-466.39999999999992</v>
      </c>
    </row>
    <row r="61" spans="5:12" x14ac:dyDescent="0.4">
      <c r="K61" s="5">
        <v>59</v>
      </c>
      <c r="L61" s="73">
        <v>-475.7999999999999</v>
      </c>
    </row>
    <row r="62" spans="5:12" x14ac:dyDescent="0.4">
      <c r="K62" s="5">
        <v>60</v>
      </c>
      <c r="L62" s="73">
        <v>-475.2999999999999</v>
      </c>
    </row>
    <row r="63" spans="5:12" x14ac:dyDescent="0.4">
      <c r="K63" s="5">
        <v>61</v>
      </c>
      <c r="L63" s="73">
        <v>-487.39999999999992</v>
      </c>
    </row>
    <row r="64" spans="5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80B3A-B8C7-449B-B06F-746DFC6EFBB5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37">
        <v>69</v>
      </c>
      <c r="C3" s="138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12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39">
        <v>109</v>
      </c>
      <c r="C4" s="140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41">
        <f>IF(B$2=0,0,B$4/B$2)</f>
        <v>12.111111111111111</v>
      </c>
      <c r="C5" s="142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4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33">
        <f>IF(B$2=0,0,(B$7*1+B$8*2+B$9*3)/B$2)</f>
        <v>1.6666666666666667</v>
      </c>
      <c r="C6" s="134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16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4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2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4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3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11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10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13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13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14</v>
      </c>
    </row>
    <row r="24" spans="1:17" x14ac:dyDescent="0.4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6</v>
      </c>
    </row>
    <row r="27" spans="1:17" x14ac:dyDescent="0.4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8</v>
      </c>
    </row>
    <row r="28" spans="1:17" x14ac:dyDescent="0.4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9</v>
      </c>
    </row>
    <row r="29" spans="1:17" x14ac:dyDescent="0.4">
      <c r="A29" s="40" t="s">
        <v>177</v>
      </c>
      <c r="B29" s="129">
        <v>78000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7</v>
      </c>
    </row>
    <row r="30" spans="1:17" x14ac:dyDescent="0.4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6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24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3AC3C-6DED-4CE7-B5E9-E1568044F827}">
  <sheetPr codeName="Sheet15"/>
  <dimension ref="A1:Q260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258</v>
      </c>
      <c r="C2" s="128"/>
      <c r="E2" s="43" t="s">
        <v>66</v>
      </c>
      <c r="F2" s="25" t="s">
        <v>22</v>
      </c>
      <c r="G2" s="13">
        <v>375</v>
      </c>
      <c r="H2" s="106">
        <f>IF(B$47=0,0,G2/B$47)</f>
        <v>0.6696428571428571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140.85603112840468</v>
      </c>
      <c r="P2" s="92">
        <v>257</v>
      </c>
      <c r="Q2" s="76">
        <v>36200</v>
      </c>
    </row>
    <row r="3" spans="1:17" x14ac:dyDescent="0.4">
      <c r="A3" s="37" t="s">
        <v>8</v>
      </c>
      <c r="B3" s="137">
        <v>2087</v>
      </c>
      <c r="C3" s="138"/>
      <c r="E3" s="44" t="s">
        <v>72</v>
      </c>
      <c r="F3" s="41" t="s">
        <v>27</v>
      </c>
      <c r="G3" s="34">
        <v>296</v>
      </c>
      <c r="H3" s="107">
        <f>IF(B$47=0,0,G3/B$47)</f>
        <v>0.52857142857142858</v>
      </c>
      <c r="I3" s="68">
        <v>12</v>
      </c>
      <c r="K3" s="5">
        <v>1</v>
      </c>
      <c r="L3" s="73">
        <v>15</v>
      </c>
      <c r="N3" s="89" t="s">
        <v>127</v>
      </c>
      <c r="O3" s="96">
        <f t="shared" si="0"/>
        <v>822.4</v>
      </c>
      <c r="P3" s="93">
        <v>250</v>
      </c>
      <c r="Q3" s="77">
        <v>205600</v>
      </c>
    </row>
    <row r="4" spans="1:17" x14ac:dyDescent="0.4">
      <c r="A4" s="37" t="s">
        <v>6</v>
      </c>
      <c r="B4" s="139">
        <v>-423.1</v>
      </c>
      <c r="C4" s="140"/>
      <c r="E4" s="44" t="s">
        <v>64</v>
      </c>
      <c r="F4" s="41" t="s">
        <v>20</v>
      </c>
      <c r="G4" s="34">
        <v>294</v>
      </c>
      <c r="H4" s="107">
        <f>IF(B$47=0,0,G4/B$47)</f>
        <v>0.52500000000000002</v>
      </c>
      <c r="I4" s="68">
        <v>6</v>
      </c>
      <c r="K4" s="5">
        <v>2</v>
      </c>
      <c r="L4" s="73">
        <v>-24.299999999999997</v>
      </c>
      <c r="N4" s="89" t="s">
        <v>128</v>
      </c>
      <c r="O4" s="96">
        <f t="shared" si="0"/>
        <v>-1071.6738197424893</v>
      </c>
      <c r="P4" s="93">
        <v>233</v>
      </c>
      <c r="Q4" s="77">
        <v>-249700</v>
      </c>
    </row>
    <row r="5" spans="1:17" x14ac:dyDescent="0.4">
      <c r="A5" s="37" t="s">
        <v>7</v>
      </c>
      <c r="B5" s="141">
        <f>IF(B$2=0,0,B$4/B$2)</f>
        <v>-1.6399224806201551</v>
      </c>
      <c r="C5" s="142"/>
      <c r="E5" s="44" t="s">
        <v>157</v>
      </c>
      <c r="F5" s="41" t="s">
        <v>158</v>
      </c>
      <c r="G5" s="34">
        <v>227</v>
      </c>
      <c r="H5" s="107">
        <f>IF(B$47=0,0,G5/B$47)</f>
        <v>0.40535714285714286</v>
      </c>
      <c r="I5" s="68">
        <v>2</v>
      </c>
      <c r="K5" s="5">
        <v>3</v>
      </c>
      <c r="L5" s="73">
        <v>-15.599999999999998</v>
      </c>
      <c r="N5" s="89" t="s">
        <v>129</v>
      </c>
      <c r="O5" s="96">
        <f t="shared" si="0"/>
        <v>-203.24074074074073</v>
      </c>
      <c r="P5" s="93">
        <v>216</v>
      </c>
      <c r="Q5" s="77">
        <v>-43900</v>
      </c>
    </row>
    <row r="6" spans="1:17" x14ac:dyDescent="0.4">
      <c r="A6" s="37" t="s">
        <v>1</v>
      </c>
      <c r="B6" s="133">
        <f>IF(B$2=0,0,(B$7*1+B$8*2+B$9*3)/B$2)</f>
        <v>2.058139534883721</v>
      </c>
      <c r="C6" s="134"/>
      <c r="E6" s="44" t="s">
        <v>67</v>
      </c>
      <c r="F6" s="41" t="s">
        <v>23</v>
      </c>
      <c r="G6" s="34">
        <v>207</v>
      </c>
      <c r="H6" s="107">
        <f>IF(B$47=0,0,G6/B$47)</f>
        <v>0.36964285714285716</v>
      </c>
      <c r="I6" s="68">
        <v>5</v>
      </c>
      <c r="K6" s="5">
        <v>4</v>
      </c>
      <c r="L6" s="73">
        <v>5.1000000000000014</v>
      </c>
      <c r="N6" s="89" t="s">
        <v>130</v>
      </c>
      <c r="O6" s="96">
        <f t="shared" si="0"/>
        <v>-1709.1836734693877</v>
      </c>
      <c r="P6" s="93">
        <v>196</v>
      </c>
      <c r="Q6" s="77">
        <v>-335000</v>
      </c>
    </row>
    <row r="7" spans="1:17" x14ac:dyDescent="0.4">
      <c r="A7" s="37" t="s">
        <v>2</v>
      </c>
      <c r="B7" s="34">
        <v>72</v>
      </c>
      <c r="C7" s="31">
        <f t="shared" ref="C7:C10" si="1">IF(B$2=0,0,B7/B$2)</f>
        <v>0.27906976744186046</v>
      </c>
      <c r="E7" s="44" t="s">
        <v>68</v>
      </c>
      <c r="F7" s="41" t="s">
        <v>12</v>
      </c>
      <c r="G7" s="34">
        <v>179</v>
      </c>
      <c r="H7" s="107">
        <f>IF(B$47=0,0,G7/B$47)</f>
        <v>0.31964285714285712</v>
      </c>
      <c r="I7" s="68">
        <v>8</v>
      </c>
      <c r="K7" s="5">
        <v>5</v>
      </c>
      <c r="L7" s="73">
        <v>9.6000000000000014</v>
      </c>
      <c r="N7" s="90" t="s">
        <v>131</v>
      </c>
      <c r="O7" s="97">
        <f t="shared" si="0"/>
        <v>-124.69135802469135</v>
      </c>
      <c r="P7" s="94">
        <v>162</v>
      </c>
      <c r="Q7" s="78">
        <v>-20200</v>
      </c>
    </row>
    <row r="8" spans="1:17" x14ac:dyDescent="0.4">
      <c r="A8" s="37" t="s">
        <v>3</v>
      </c>
      <c r="B8" s="34">
        <v>99</v>
      </c>
      <c r="C8" s="31">
        <f t="shared" si="1"/>
        <v>0.38372093023255816</v>
      </c>
      <c r="E8" s="44" t="s">
        <v>69</v>
      </c>
      <c r="F8" s="41" t="s">
        <v>24</v>
      </c>
      <c r="G8" s="34">
        <v>75</v>
      </c>
      <c r="H8" s="107">
        <f>IF(B$47=0,0,G8/B$47)</f>
        <v>0.13392857142857142</v>
      </c>
      <c r="I8" s="68">
        <v>11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87</v>
      </c>
      <c r="C9" s="7">
        <f t="shared" si="1"/>
        <v>0.33720930232558138</v>
      </c>
      <c r="E9" s="44" t="s">
        <v>89</v>
      </c>
      <c r="F9" s="41" t="s">
        <v>44</v>
      </c>
      <c r="G9" s="34">
        <v>63</v>
      </c>
      <c r="H9" s="107">
        <f>IF(B$47=0,0,G9/B$47)</f>
        <v>0.1125</v>
      </c>
      <c r="I9" s="68">
        <v>12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33</v>
      </c>
      <c r="C10" s="32">
        <f t="shared" si="1"/>
        <v>0.12790697674418605</v>
      </c>
      <c r="E10" s="44" t="s">
        <v>65</v>
      </c>
      <c r="F10" s="41" t="s">
        <v>21</v>
      </c>
      <c r="G10" s="34">
        <v>53</v>
      </c>
      <c r="H10" s="107">
        <f>IF(B$47=0,0,G10/B$47)</f>
        <v>9.464285714285714E-2</v>
      </c>
      <c r="I10" s="68">
        <v>12</v>
      </c>
      <c r="K10" s="5">
        <v>8</v>
      </c>
      <c r="L10" s="73">
        <v>-4.4999999999999964</v>
      </c>
      <c r="N10" s="88" t="s">
        <v>149</v>
      </c>
      <c r="O10" s="98">
        <f>IF(P10=0,0,Q10/P10)</f>
        <v>-3.6693877551020417</v>
      </c>
      <c r="P10" s="92">
        <v>98</v>
      </c>
      <c r="Q10" s="80">
        <v>-359.60000000000008</v>
      </c>
    </row>
    <row r="11" spans="1:17" x14ac:dyDescent="0.4">
      <c r="A11" s="40" t="s">
        <v>121</v>
      </c>
      <c r="B11" s="16">
        <v>518</v>
      </c>
      <c r="C11" s="11">
        <f>IF(B$46=0,0,B11/B$46)</f>
        <v>0.24820316243411594</v>
      </c>
      <c r="E11" s="44" t="s">
        <v>70</v>
      </c>
      <c r="F11" s="41" t="s">
        <v>25</v>
      </c>
      <c r="G11" s="34">
        <v>47</v>
      </c>
      <c r="H11" s="107">
        <f>IF(B$47=0,0,G11/B$47)</f>
        <v>8.3928571428571422E-2</v>
      </c>
      <c r="I11" s="68">
        <v>10</v>
      </c>
      <c r="K11" s="5">
        <v>9</v>
      </c>
      <c r="L11" s="73">
        <v>-9.3999999999999968</v>
      </c>
      <c r="N11" s="89" t="s">
        <v>150</v>
      </c>
      <c r="O11" s="99">
        <f>IF(P11=0,0,Q11/P11)</f>
        <v>0.38902439024390217</v>
      </c>
      <c r="P11" s="93">
        <v>82</v>
      </c>
      <c r="Q11" s="81">
        <v>31.899999999999977</v>
      </c>
    </row>
    <row r="12" spans="1:17" x14ac:dyDescent="0.4">
      <c r="A12" s="37" t="s">
        <v>118</v>
      </c>
      <c r="B12" s="34">
        <v>470</v>
      </c>
      <c r="C12" s="31">
        <f>IF(B$46=0,0,B12/B$46)</f>
        <v>0.2252036415908002</v>
      </c>
      <c r="E12" s="44" t="s">
        <v>71</v>
      </c>
      <c r="F12" s="41" t="s">
        <v>26</v>
      </c>
      <c r="G12" s="34">
        <v>45</v>
      </c>
      <c r="H12" s="107">
        <f>IF(B$47=0,0,G12/B$47)</f>
        <v>8.0357142857142863E-2</v>
      </c>
      <c r="I12" s="68">
        <v>4</v>
      </c>
      <c r="K12" s="5">
        <v>10</v>
      </c>
      <c r="L12" s="73">
        <v>-24.299999999999997</v>
      </c>
      <c r="N12" s="90" t="s">
        <v>151</v>
      </c>
      <c r="O12" s="100">
        <f>IF(P12=0,0,Q12/P12)</f>
        <v>-1.2389610389610395</v>
      </c>
      <c r="P12" s="94">
        <v>77</v>
      </c>
      <c r="Q12" s="82">
        <v>-95.400000000000034</v>
      </c>
    </row>
    <row r="13" spans="1:17" x14ac:dyDescent="0.4">
      <c r="A13" s="19" t="s">
        <v>123</v>
      </c>
      <c r="B13" s="13">
        <v>301</v>
      </c>
      <c r="C13" s="4">
        <f>IF(B$11=0,0,B13/B$11)</f>
        <v>0.58108108108108103</v>
      </c>
      <c r="E13" s="44" t="s">
        <v>83</v>
      </c>
      <c r="F13" s="41" t="s">
        <v>38</v>
      </c>
      <c r="G13" s="34">
        <v>32</v>
      </c>
      <c r="H13" s="107">
        <f>IF(B$47=0,0,G13/B$47)</f>
        <v>5.7142857142857141E-2</v>
      </c>
      <c r="I13" s="68">
        <v>5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172</v>
      </c>
      <c r="C14" s="4">
        <f>IF(B$12=0,0,B14/B$12)</f>
        <v>0.36595744680851061</v>
      </c>
      <c r="E14" s="44" t="s">
        <v>86</v>
      </c>
      <c r="F14" s="41" t="s">
        <v>41</v>
      </c>
      <c r="G14" s="34">
        <v>32</v>
      </c>
      <c r="H14" s="107">
        <f>IF(B$47=0,0,G14/B$47)</f>
        <v>5.7142857142857141E-2</v>
      </c>
      <c r="I14" s="68">
        <v>10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560</v>
      </c>
      <c r="C15" s="4">
        <f>IF(B$3=0,0,B15/B$3)</f>
        <v>0.26832774317201724</v>
      </c>
      <c r="E15" s="44" t="s">
        <v>78</v>
      </c>
      <c r="F15" s="41" t="s">
        <v>33</v>
      </c>
      <c r="G15" s="34">
        <v>15</v>
      </c>
      <c r="H15" s="107">
        <f>IF(B$47=0,0,G15/B$47)</f>
        <v>2.6785714285714284E-2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13</v>
      </c>
      <c r="B16" s="34">
        <v>314</v>
      </c>
      <c r="C16" s="31">
        <f>IF(B$3=0,0,B16/B$3)</f>
        <v>0.15045519885002395</v>
      </c>
      <c r="E16" s="44" t="s">
        <v>81</v>
      </c>
      <c r="F16" s="41" t="s">
        <v>36</v>
      </c>
      <c r="G16" s="34">
        <v>13</v>
      </c>
      <c r="H16" s="107">
        <f>IF(B$47=0,0,G16/B$47)</f>
        <v>2.3214285714285715E-2</v>
      </c>
      <c r="I16" s="68">
        <v>9</v>
      </c>
      <c r="K16" s="5">
        <v>14</v>
      </c>
      <c r="L16" s="73">
        <v>-5.7999999999999945</v>
      </c>
      <c r="N16" s="89" t="s">
        <v>197</v>
      </c>
      <c r="O16" s="99">
        <f>IF(P16=0,0,Q16/P16)</f>
        <v>32.171428571428571</v>
      </c>
      <c r="P16" s="93">
        <v>28</v>
      </c>
      <c r="Q16" s="81">
        <v>900.8</v>
      </c>
    </row>
    <row r="17" spans="1:17" x14ac:dyDescent="0.4">
      <c r="A17" s="37" t="s">
        <v>12</v>
      </c>
      <c r="B17" s="34">
        <v>246</v>
      </c>
      <c r="C17" s="31">
        <f>IF(B$15=0,0,B17/B$15)</f>
        <v>0.43928571428571428</v>
      </c>
      <c r="E17" s="44" t="s">
        <v>79</v>
      </c>
      <c r="F17" s="41" t="s">
        <v>34</v>
      </c>
      <c r="G17" s="34">
        <v>12</v>
      </c>
      <c r="H17" s="107">
        <f>IF(B$47=0,0,G17/B$47)</f>
        <v>2.1428571428571429E-2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37" t="s">
        <v>11</v>
      </c>
      <c r="B18" s="34">
        <v>314</v>
      </c>
      <c r="C18" s="31">
        <f>IF(B$15=0,0,B18/B$15)</f>
        <v>0.56071428571428572</v>
      </c>
      <c r="E18" s="44" t="s">
        <v>91</v>
      </c>
      <c r="F18" s="41" t="s">
        <v>46</v>
      </c>
      <c r="G18" s="34">
        <v>12</v>
      </c>
      <c r="H18" s="107">
        <f>IF(B$47=0,0,G18/B$47)</f>
        <v>2.1428571428571429E-2</v>
      </c>
      <c r="I18" s="68">
        <v>3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37" t="s">
        <v>180</v>
      </c>
      <c r="B19" s="34">
        <v>301</v>
      </c>
      <c r="C19" s="31">
        <f>IF(B$15=0,0,B19/B$15)</f>
        <v>0.53749999999999998</v>
      </c>
      <c r="E19" s="44" t="s">
        <v>85</v>
      </c>
      <c r="F19" s="41" t="s">
        <v>40</v>
      </c>
      <c r="G19" s="34">
        <v>7</v>
      </c>
      <c r="H19" s="107">
        <f>IF(B$47=0,0,G19/B$47)</f>
        <v>1.2500000000000001E-2</v>
      </c>
      <c r="I19" s="68">
        <v>1</v>
      </c>
      <c r="K19" s="5">
        <v>17</v>
      </c>
      <c r="L19" s="73">
        <v>-39.799999999999997</v>
      </c>
      <c r="N19" s="89" t="s">
        <v>186</v>
      </c>
      <c r="O19" s="99">
        <f>IF(P19=0,0,Q19/P19)</f>
        <v>6.2222222222222241</v>
      </c>
      <c r="P19" s="93">
        <v>18</v>
      </c>
      <c r="Q19" s="81">
        <v>112.00000000000003</v>
      </c>
    </row>
    <row r="20" spans="1:17" x14ac:dyDescent="0.4">
      <c r="A20" s="37" t="s">
        <v>178</v>
      </c>
      <c r="B20" s="34">
        <v>172</v>
      </c>
      <c r="C20" s="31">
        <f>IF(B$15=0,0,B20/B$15)</f>
        <v>0.30714285714285716</v>
      </c>
      <c r="E20" s="44" t="s">
        <v>153</v>
      </c>
      <c r="F20" s="41" t="s">
        <v>154</v>
      </c>
      <c r="G20" s="34">
        <v>6</v>
      </c>
      <c r="H20" s="107">
        <f>IF(B$47=0,0,G20/B$47)</f>
        <v>1.0714285714285714E-2</v>
      </c>
      <c r="I20" s="68">
        <v>7</v>
      </c>
      <c r="K20" s="5">
        <v>18</v>
      </c>
      <c r="L20" s="73">
        <v>-60.4</v>
      </c>
      <c r="N20" s="89" t="s">
        <v>190</v>
      </c>
      <c r="O20" s="99">
        <f>IF(P20=0,0,Q20/P20)</f>
        <v>5.1508771929824579</v>
      </c>
      <c r="P20" s="93">
        <v>57</v>
      </c>
      <c r="Q20" s="81">
        <v>293.60000000000008</v>
      </c>
    </row>
    <row r="21" spans="1:17" x14ac:dyDescent="0.4">
      <c r="A21" s="37" t="s">
        <v>179</v>
      </c>
      <c r="B21" s="34">
        <v>87</v>
      </c>
      <c r="C21" s="31">
        <f>IF(B$15=0,0,B21/B$15)</f>
        <v>0.15535714285714286</v>
      </c>
      <c r="E21" s="44" t="s">
        <v>73</v>
      </c>
      <c r="F21" s="41" t="s">
        <v>28</v>
      </c>
      <c r="G21" s="34">
        <v>4</v>
      </c>
      <c r="H21" s="107">
        <f>IF(B$47=0,0,G21/B$47)</f>
        <v>7.1428571428571426E-3</v>
      </c>
      <c r="I21" s="68">
        <v>5</v>
      </c>
      <c r="K21" s="5">
        <v>19</v>
      </c>
      <c r="L21" s="73">
        <v>-60</v>
      </c>
      <c r="N21" s="89" t="s">
        <v>191</v>
      </c>
      <c r="O21" s="99">
        <f>IF(P21=0,0,Q21/P21)</f>
        <v>0.93809523809523954</v>
      </c>
      <c r="P21" s="93">
        <v>84</v>
      </c>
      <c r="Q21" s="81">
        <v>78.800000000000125</v>
      </c>
    </row>
    <row r="22" spans="1:17" x14ac:dyDescent="0.4">
      <c r="A22" s="37" t="s">
        <v>5</v>
      </c>
      <c r="B22" s="17">
        <f>IF(B$15=0,0,C22/B$15)</f>
        <v>8644.6428571428569</v>
      </c>
      <c r="C22" s="8">
        <v>4841000</v>
      </c>
      <c r="E22" s="44" t="s">
        <v>74</v>
      </c>
      <c r="F22" s="41" t="s">
        <v>29</v>
      </c>
      <c r="G22" s="34">
        <v>3</v>
      </c>
      <c r="H22" s="107">
        <f>IF(B$47=0,0,G22/B$47)</f>
        <v>5.3571428571428572E-3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8" t="s">
        <v>162</v>
      </c>
      <c r="B23" s="114">
        <f>IF($B$15-B$14=0,0,C23/($B$15-B$14))</f>
        <v>9430.6701030927834</v>
      </c>
      <c r="C23" s="115">
        <v>3659100</v>
      </c>
      <c r="E23" s="44" t="s">
        <v>75</v>
      </c>
      <c r="F23" s="41" t="s">
        <v>30</v>
      </c>
      <c r="G23" s="34">
        <v>3</v>
      </c>
      <c r="H23" s="107">
        <f>IF(B$47=0,0,G23/B$47)</f>
        <v>5.3571428571428572E-3</v>
      </c>
      <c r="I23" s="68">
        <v>7</v>
      </c>
      <c r="K23" s="5">
        <v>21</v>
      </c>
      <c r="L23" s="73">
        <v>-125.80000000000001</v>
      </c>
      <c r="N23" s="89" t="s">
        <v>193</v>
      </c>
      <c r="O23" s="99">
        <f>IF(P23=0,0,Q23/P23)</f>
        <v>-1.5705357142857146</v>
      </c>
      <c r="P23" s="93">
        <v>112</v>
      </c>
      <c r="Q23" s="81">
        <v>-175.90000000000003</v>
      </c>
    </row>
    <row r="24" spans="1:17" x14ac:dyDescent="0.4">
      <c r="A24" s="38" t="s">
        <v>163</v>
      </c>
      <c r="B24" s="114">
        <f>IF(B$14=0,0,C24/B$14)</f>
        <v>6871.5116279069771</v>
      </c>
      <c r="C24" s="115">
        <v>1181900</v>
      </c>
      <c r="E24" s="44" t="s">
        <v>77</v>
      </c>
      <c r="F24" s="41" t="s">
        <v>32</v>
      </c>
      <c r="G24" s="34">
        <v>3</v>
      </c>
      <c r="H24" s="107">
        <f>IF(B$47=0,0,G24/B$47)</f>
        <v>5.3571428571428572E-3</v>
      </c>
      <c r="I24" s="68">
        <v>6</v>
      </c>
      <c r="K24" s="5">
        <v>22</v>
      </c>
      <c r="L24" s="73">
        <v>-149.30000000000001</v>
      </c>
      <c r="N24" s="89" t="s">
        <v>188</v>
      </c>
      <c r="O24" s="99">
        <f>IF(P24=0,0,Q24/P24)</f>
        <v>-3.2526315789473692</v>
      </c>
      <c r="P24" s="93">
        <v>57</v>
      </c>
      <c r="Q24" s="81">
        <v>-185.40000000000003</v>
      </c>
    </row>
    <row r="25" spans="1:17" x14ac:dyDescent="0.4">
      <c r="A25" s="38" t="s">
        <v>161</v>
      </c>
      <c r="B25" s="114">
        <f>IF(B$16=0,0,C25/B$16)</f>
        <v>-7575.1592356687897</v>
      </c>
      <c r="C25" s="115">
        <v>-2378600</v>
      </c>
      <c r="E25" s="44" t="s">
        <v>90</v>
      </c>
      <c r="F25" s="41" t="s">
        <v>45</v>
      </c>
      <c r="G25" s="34">
        <v>2</v>
      </c>
      <c r="H25" s="107">
        <f>IF(B$47=0,0,G25/B$47)</f>
        <v>3.5714285714285713E-3</v>
      </c>
      <c r="I25" s="68">
        <v>1</v>
      </c>
      <c r="K25" s="5">
        <v>23</v>
      </c>
      <c r="L25" s="73">
        <v>-150.30000000000001</v>
      </c>
      <c r="N25" s="89" t="s">
        <v>195</v>
      </c>
      <c r="O25" s="99">
        <f>IF(P25=0,0,Q25/P25)</f>
        <v>-21.461111111111116</v>
      </c>
      <c r="P25" s="93">
        <v>126</v>
      </c>
      <c r="Q25" s="81">
        <v>-2704.1000000000004</v>
      </c>
    </row>
    <row r="26" spans="1:17" x14ac:dyDescent="0.4">
      <c r="A26" s="37" t="s">
        <v>155</v>
      </c>
      <c r="B26" s="34">
        <v>6</v>
      </c>
      <c r="C26" s="109">
        <v>0</v>
      </c>
      <c r="E26" s="44" t="s">
        <v>92</v>
      </c>
      <c r="F26" s="41" t="s">
        <v>47</v>
      </c>
      <c r="G26" s="34">
        <v>2</v>
      </c>
      <c r="H26" s="107">
        <f>IF(B$47=0,0,G26/B$47)</f>
        <v>3.5714285714285713E-3</v>
      </c>
      <c r="I26" s="68">
        <v>7</v>
      </c>
      <c r="K26" s="5">
        <v>24</v>
      </c>
      <c r="L26" s="73">
        <v>-196.10000000000002</v>
      </c>
      <c r="N26" s="89" t="s">
        <v>196</v>
      </c>
      <c r="O26" s="99">
        <f>IF(P26=0,0,Q26/P26)</f>
        <v>-45.699999999999996</v>
      </c>
      <c r="P26" s="93">
        <v>3</v>
      </c>
      <c r="Q26" s="81">
        <v>-137.1</v>
      </c>
    </row>
    <row r="27" spans="1:17" x14ac:dyDescent="0.4">
      <c r="A27" s="37" t="s">
        <v>156</v>
      </c>
      <c r="B27" s="34">
        <v>45</v>
      </c>
      <c r="C27" s="109">
        <v>0</v>
      </c>
      <c r="E27" s="44" t="s">
        <v>93</v>
      </c>
      <c r="F27" s="41" t="s">
        <v>48</v>
      </c>
      <c r="G27" s="34">
        <v>2</v>
      </c>
      <c r="H27" s="107">
        <f>IF(B$47=0,0,G27/B$47)</f>
        <v>3.5714285714285713E-3</v>
      </c>
      <c r="I27" s="68">
        <v>4</v>
      </c>
      <c r="K27" s="5">
        <v>25</v>
      </c>
      <c r="L27" s="73">
        <v>-240.00000000000003</v>
      </c>
    </row>
    <row r="28" spans="1:17" x14ac:dyDescent="0.4">
      <c r="A28" s="64" t="s">
        <v>134</v>
      </c>
      <c r="B28" s="131">
        <v>8</v>
      </c>
      <c r="C28" s="132"/>
      <c r="E28" s="44" t="s">
        <v>101</v>
      </c>
      <c r="F28" s="41" t="s">
        <v>56</v>
      </c>
      <c r="G28" s="34">
        <v>2</v>
      </c>
      <c r="H28" s="107">
        <f>IF(B$47=0,0,G28/B$47)</f>
        <v>3.5714285714285713E-3</v>
      </c>
      <c r="I28" s="68">
        <v>1</v>
      </c>
      <c r="K28" s="5">
        <v>26</v>
      </c>
      <c r="L28" s="73">
        <v>-277</v>
      </c>
    </row>
    <row r="29" spans="1:17" x14ac:dyDescent="0.4">
      <c r="A29" s="40" t="s">
        <v>177</v>
      </c>
      <c r="B29" s="129">
        <v>103000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1.7857142857142857E-3</v>
      </c>
      <c r="I29" s="68">
        <v>6</v>
      </c>
      <c r="K29" s="5">
        <v>27</v>
      </c>
      <c r="L29" s="73">
        <v>-266.7</v>
      </c>
    </row>
    <row r="30" spans="1:17" x14ac:dyDescent="0.4">
      <c r="A30" s="39" t="s">
        <v>135</v>
      </c>
      <c r="B30" s="27">
        <v>7</v>
      </c>
      <c r="C30" s="32">
        <f>IF(B$3=0,0,B30/B$3)</f>
        <v>3.3540967896502154E-3</v>
      </c>
      <c r="E30" s="44" t="s">
        <v>88</v>
      </c>
      <c r="F30" s="41" t="s">
        <v>43</v>
      </c>
      <c r="G30" s="34">
        <v>1</v>
      </c>
      <c r="H30" s="107">
        <f>IF(B$47=0,0,G30/B$47)</f>
        <v>1.7857142857142857E-3</v>
      </c>
      <c r="I30" s="68">
        <v>4</v>
      </c>
      <c r="K30" s="5">
        <v>28</v>
      </c>
      <c r="L30" s="73">
        <v>-283.7</v>
      </c>
    </row>
    <row r="31" spans="1:17" x14ac:dyDescent="0.4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">
      <c r="A32" s="64" t="s">
        <v>168</v>
      </c>
      <c r="B32" s="122">
        <v>40</v>
      </c>
      <c r="C32" s="119">
        <f>IF(B$15=0,0,B32/B$15)</f>
        <v>7.1428571428571425E-2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37" t="s">
        <v>164</v>
      </c>
      <c r="B33" s="34">
        <v>88</v>
      </c>
      <c r="C33" s="31">
        <f t="shared" ref="C33:C44" si="2">IF(B$15=0,0,B33/B$15)</f>
        <v>0.15714285714285714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7" t="s">
        <v>165</v>
      </c>
      <c r="B34" s="123">
        <v>107</v>
      </c>
      <c r="C34" s="31">
        <f>IF(B$15=0,0,B34/B$15)</f>
        <v>0.19107142857142856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6</v>
      </c>
      <c r="K34" s="5">
        <v>32</v>
      </c>
      <c r="L34" s="73">
        <v>-360.79999999999995</v>
      </c>
    </row>
    <row r="35" spans="1:12" x14ac:dyDescent="0.4">
      <c r="A35" s="37" t="s">
        <v>166</v>
      </c>
      <c r="B35" s="123">
        <v>93</v>
      </c>
      <c r="C35" s="31">
        <f t="shared" si="2"/>
        <v>0.16607142857142856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37" t="s">
        <v>167</v>
      </c>
      <c r="B36" s="123">
        <v>96</v>
      </c>
      <c r="C36" s="31">
        <f t="shared" si="2"/>
        <v>0.17142857142857143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-412.99999999999994</v>
      </c>
    </row>
    <row r="37" spans="1:12" x14ac:dyDescent="0.4">
      <c r="A37" s="37" t="s">
        <v>169</v>
      </c>
      <c r="B37" s="123">
        <v>57</v>
      </c>
      <c r="C37" s="31">
        <f t="shared" si="2"/>
        <v>0.10178571428571428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170</v>
      </c>
      <c r="B38" s="123">
        <v>33</v>
      </c>
      <c r="C38" s="31">
        <f t="shared" si="2"/>
        <v>5.8928571428571427E-2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171</v>
      </c>
      <c r="B39" s="123">
        <v>16</v>
      </c>
      <c r="C39" s="31">
        <f t="shared" si="2"/>
        <v>2.8571428571428571E-2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172</v>
      </c>
      <c r="B40" s="123">
        <v>13</v>
      </c>
      <c r="C40" s="31">
        <f t="shared" si="2"/>
        <v>2.3214285714285715E-2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173</v>
      </c>
      <c r="B41" s="123">
        <v>8</v>
      </c>
      <c r="C41" s="31">
        <f t="shared" si="2"/>
        <v>1.4285714285714285E-2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174</v>
      </c>
      <c r="B42" s="123">
        <v>2</v>
      </c>
      <c r="C42" s="31">
        <f t="shared" si="2"/>
        <v>3.5714285714285713E-3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175</v>
      </c>
      <c r="B43" s="123">
        <v>1</v>
      </c>
      <c r="C43" s="31">
        <f t="shared" si="2"/>
        <v>1.7857142857142857E-3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9" t="s">
        <v>176</v>
      </c>
      <c r="B44" s="124">
        <v>6</v>
      </c>
      <c r="C44" s="32">
        <f t="shared" si="2"/>
        <v>1.0714285714285714E-2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64" t="s">
        <v>181</v>
      </c>
      <c r="B46" s="127">
        <v>2087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9" t="s">
        <v>182</v>
      </c>
      <c r="B47" s="125">
        <v>560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">
      <c r="K53" s="5">
        <v>51</v>
      </c>
      <c r="L53" s="73">
        <v>-601.09999999999991</v>
      </c>
    </row>
    <row r="54" spans="5:12" x14ac:dyDescent="0.4">
      <c r="K54" s="5">
        <v>52</v>
      </c>
      <c r="L54" s="73">
        <v>-608.19999999999993</v>
      </c>
    </row>
    <row r="55" spans="5:12" x14ac:dyDescent="0.4">
      <c r="K55" s="5">
        <v>53</v>
      </c>
      <c r="L55" s="73">
        <v>-616.09999999999991</v>
      </c>
    </row>
    <row r="56" spans="5:12" x14ac:dyDescent="0.4">
      <c r="K56" s="5">
        <v>54</v>
      </c>
      <c r="L56" s="73">
        <v>-613.89999999999986</v>
      </c>
    </row>
    <row r="57" spans="5:12" x14ac:dyDescent="0.4">
      <c r="K57" s="5">
        <v>55</v>
      </c>
      <c r="L57" s="73">
        <v>-690.49999999999989</v>
      </c>
    </row>
    <row r="58" spans="5:12" x14ac:dyDescent="0.4">
      <c r="K58" s="5">
        <v>56</v>
      </c>
      <c r="L58" s="73">
        <v>-655.69999999999993</v>
      </c>
    </row>
    <row r="59" spans="5:12" x14ac:dyDescent="0.4">
      <c r="K59" s="5">
        <v>57</v>
      </c>
      <c r="L59" s="73">
        <v>-643.5</v>
      </c>
    </row>
    <row r="60" spans="5:12" x14ac:dyDescent="0.4">
      <c r="K60" s="5">
        <v>58</v>
      </c>
      <c r="L60" s="73">
        <v>-597.5</v>
      </c>
    </row>
    <row r="61" spans="5:12" x14ac:dyDescent="0.4">
      <c r="K61" s="5">
        <v>59</v>
      </c>
      <c r="L61" s="73">
        <v>-600.69999999999993</v>
      </c>
    </row>
    <row r="62" spans="5:12" x14ac:dyDescent="0.4">
      <c r="K62" s="5">
        <v>60</v>
      </c>
      <c r="L62" s="73">
        <v>-658.89999999999986</v>
      </c>
    </row>
    <row r="63" spans="5:12" x14ac:dyDescent="0.4">
      <c r="K63" s="5">
        <v>61</v>
      </c>
      <c r="L63" s="73">
        <v>-606.39999999999986</v>
      </c>
    </row>
    <row r="64" spans="5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-456.09999999999997</v>
      </c>
    </row>
    <row r="198" spans="11:12" x14ac:dyDescent="0.4">
      <c r="K198" s="5">
        <v>196</v>
      </c>
      <c r="L198" s="73">
        <v>-449.29999999999995</v>
      </c>
    </row>
    <row r="199" spans="11:12" x14ac:dyDescent="0.4">
      <c r="K199" s="5">
        <v>197</v>
      </c>
      <c r="L199" s="73">
        <v>-465.4</v>
      </c>
    </row>
    <row r="200" spans="11:12" x14ac:dyDescent="0.4">
      <c r="K200" s="5">
        <v>198</v>
      </c>
      <c r="L200" s="73">
        <v>-458.79999999999995</v>
      </c>
    </row>
    <row r="201" spans="11:12" x14ac:dyDescent="0.4">
      <c r="K201" s="5">
        <v>199</v>
      </c>
      <c r="L201" s="73">
        <v>-454.4</v>
      </c>
    </row>
    <row r="202" spans="11:12" x14ac:dyDescent="0.4">
      <c r="K202" s="5">
        <v>200</v>
      </c>
      <c r="L202" s="73">
        <v>-456</v>
      </c>
    </row>
    <row r="203" spans="11:12" x14ac:dyDescent="0.4">
      <c r="K203" s="5">
        <v>201</v>
      </c>
      <c r="L203" s="73">
        <v>-447.4</v>
      </c>
    </row>
    <row r="204" spans="11:12" x14ac:dyDescent="0.4">
      <c r="K204" s="5">
        <v>202</v>
      </c>
      <c r="L204" s="73">
        <v>-385.9</v>
      </c>
    </row>
    <row r="205" spans="11:12" x14ac:dyDescent="0.4">
      <c r="K205" s="5">
        <v>203</v>
      </c>
      <c r="L205" s="73">
        <v>-420.79999999999995</v>
      </c>
    </row>
    <row r="206" spans="11:12" x14ac:dyDescent="0.4">
      <c r="K206" s="5">
        <v>204</v>
      </c>
      <c r="L206" s="73">
        <v>-408.59999999999997</v>
      </c>
    </row>
    <row r="207" spans="11:12" x14ac:dyDescent="0.4">
      <c r="K207" s="5">
        <v>205</v>
      </c>
      <c r="L207" s="73">
        <v>-428.59999999999997</v>
      </c>
    </row>
    <row r="208" spans="11:12" x14ac:dyDescent="0.4">
      <c r="K208" s="5">
        <v>206</v>
      </c>
      <c r="L208" s="73">
        <v>-416</v>
      </c>
    </row>
    <row r="209" spans="11:12" x14ac:dyDescent="0.4">
      <c r="K209" s="5">
        <v>207</v>
      </c>
      <c r="L209" s="73">
        <v>-390.4</v>
      </c>
    </row>
    <row r="210" spans="11:12" x14ac:dyDescent="0.4">
      <c r="K210" s="5">
        <v>208</v>
      </c>
      <c r="L210" s="73">
        <v>-391</v>
      </c>
    </row>
    <row r="211" spans="11:12" x14ac:dyDescent="0.4">
      <c r="K211" s="5">
        <v>209</v>
      </c>
      <c r="L211" s="73">
        <v>-397.79999999999995</v>
      </c>
    </row>
    <row r="212" spans="11:12" x14ac:dyDescent="0.4">
      <c r="K212" s="5">
        <v>210</v>
      </c>
      <c r="L212" s="73">
        <v>-388.7</v>
      </c>
    </row>
    <row r="213" spans="11:12" x14ac:dyDescent="0.4">
      <c r="K213" s="5">
        <v>211</v>
      </c>
      <c r="L213" s="73">
        <v>-391.7</v>
      </c>
    </row>
    <row r="214" spans="11:12" x14ac:dyDescent="0.4">
      <c r="K214" s="5">
        <v>212</v>
      </c>
      <c r="L214" s="73">
        <v>-410</v>
      </c>
    </row>
    <row r="215" spans="11:12" x14ac:dyDescent="0.4">
      <c r="K215" s="5">
        <v>213</v>
      </c>
      <c r="L215" s="73">
        <v>-361.09999999999997</v>
      </c>
    </row>
    <row r="216" spans="11:12" x14ac:dyDescent="0.4">
      <c r="K216" s="5">
        <v>214</v>
      </c>
      <c r="L216" s="73">
        <v>-401.2</v>
      </c>
    </row>
    <row r="217" spans="11:12" x14ac:dyDescent="0.4">
      <c r="K217" s="5">
        <v>215</v>
      </c>
      <c r="L217" s="73">
        <v>-384.59999999999997</v>
      </c>
    </row>
    <row r="218" spans="11:12" x14ac:dyDescent="0.4">
      <c r="K218" s="5">
        <v>216</v>
      </c>
      <c r="L218" s="73">
        <v>-359.79999999999995</v>
      </c>
    </row>
    <row r="219" spans="11:12" x14ac:dyDescent="0.4">
      <c r="K219" s="5">
        <v>217</v>
      </c>
      <c r="L219" s="73">
        <v>-320.5</v>
      </c>
    </row>
    <row r="220" spans="11:12" x14ac:dyDescent="0.4">
      <c r="K220" s="5">
        <v>218</v>
      </c>
      <c r="L220" s="73">
        <v>-376.4</v>
      </c>
    </row>
    <row r="221" spans="11:12" x14ac:dyDescent="0.4">
      <c r="K221" s="5">
        <v>219</v>
      </c>
      <c r="L221" s="73">
        <v>-370.4</v>
      </c>
    </row>
    <row r="222" spans="11:12" x14ac:dyDescent="0.4">
      <c r="K222" s="5">
        <v>220</v>
      </c>
      <c r="L222" s="73">
        <v>-385.7</v>
      </c>
    </row>
    <row r="223" spans="11:12" x14ac:dyDescent="0.4">
      <c r="K223" s="5">
        <v>221</v>
      </c>
      <c r="L223" s="73">
        <v>-351.09999999999997</v>
      </c>
    </row>
    <row r="224" spans="11:12" x14ac:dyDescent="0.4">
      <c r="K224" s="5">
        <v>222</v>
      </c>
      <c r="L224" s="73">
        <v>-357.59999999999997</v>
      </c>
    </row>
    <row r="225" spans="11:12" x14ac:dyDescent="0.4">
      <c r="K225" s="5">
        <v>223</v>
      </c>
      <c r="L225" s="73">
        <v>-382.9</v>
      </c>
    </row>
    <row r="226" spans="11:12" x14ac:dyDescent="0.4">
      <c r="K226" s="5">
        <v>224</v>
      </c>
      <c r="L226" s="73">
        <v>-403.79999999999995</v>
      </c>
    </row>
    <row r="227" spans="11:12" x14ac:dyDescent="0.4">
      <c r="K227" s="5">
        <v>225</v>
      </c>
      <c r="L227" s="73">
        <v>-400.29999999999995</v>
      </c>
    </row>
    <row r="228" spans="11:12" x14ac:dyDescent="0.4">
      <c r="K228" s="5">
        <v>226</v>
      </c>
      <c r="L228" s="73">
        <v>-433.29999999999995</v>
      </c>
    </row>
    <row r="229" spans="11:12" x14ac:dyDescent="0.4">
      <c r="K229" s="5">
        <v>227</v>
      </c>
      <c r="L229" s="73">
        <v>-457.4</v>
      </c>
    </row>
    <row r="230" spans="11:12" x14ac:dyDescent="0.4">
      <c r="K230" s="5">
        <v>228</v>
      </c>
      <c r="L230" s="73">
        <v>-447.09999999999997</v>
      </c>
    </row>
    <row r="231" spans="11:12" x14ac:dyDescent="0.4">
      <c r="K231" s="5">
        <v>229</v>
      </c>
      <c r="L231" s="73">
        <v>-451.5</v>
      </c>
    </row>
    <row r="232" spans="11:12" x14ac:dyDescent="0.4">
      <c r="K232" s="5">
        <v>230</v>
      </c>
      <c r="L232" s="73">
        <v>-465.7</v>
      </c>
    </row>
    <row r="233" spans="11:12" x14ac:dyDescent="0.4">
      <c r="K233" s="5">
        <v>231</v>
      </c>
      <c r="L233" s="73">
        <v>-463.2</v>
      </c>
    </row>
    <row r="234" spans="11:12" x14ac:dyDescent="0.4">
      <c r="K234" s="5">
        <v>232</v>
      </c>
      <c r="L234" s="73">
        <v>-433.09999999999997</v>
      </c>
    </row>
    <row r="235" spans="11:12" x14ac:dyDescent="0.4">
      <c r="K235" s="5">
        <v>233</v>
      </c>
      <c r="L235" s="73">
        <v>-435</v>
      </c>
    </row>
    <row r="236" spans="11:12" x14ac:dyDescent="0.4">
      <c r="K236" s="5">
        <v>234</v>
      </c>
      <c r="L236" s="73">
        <v>-425.7</v>
      </c>
    </row>
    <row r="237" spans="11:12" x14ac:dyDescent="0.4">
      <c r="K237" s="5">
        <v>235</v>
      </c>
      <c r="L237" s="73">
        <v>-484.79999999999995</v>
      </c>
    </row>
    <row r="238" spans="11:12" x14ac:dyDescent="0.4">
      <c r="K238" s="5">
        <v>236</v>
      </c>
      <c r="L238" s="73">
        <v>-530.9</v>
      </c>
    </row>
    <row r="239" spans="11:12" x14ac:dyDescent="0.4">
      <c r="K239" s="5">
        <v>237</v>
      </c>
      <c r="L239" s="73">
        <v>-567.5</v>
      </c>
    </row>
    <row r="240" spans="11:12" x14ac:dyDescent="0.4">
      <c r="K240" s="5">
        <v>238</v>
      </c>
      <c r="L240" s="73">
        <v>-563.29999999999995</v>
      </c>
    </row>
    <row r="241" spans="11:12" x14ac:dyDescent="0.4">
      <c r="K241" s="5">
        <v>239</v>
      </c>
      <c r="L241" s="73">
        <v>-513.5</v>
      </c>
    </row>
    <row r="242" spans="11:12" x14ac:dyDescent="0.4">
      <c r="K242" s="5">
        <v>240</v>
      </c>
      <c r="L242" s="73">
        <v>-514.70000000000005</v>
      </c>
    </row>
    <row r="243" spans="11:12" x14ac:dyDescent="0.4">
      <c r="K243" s="5">
        <v>241</v>
      </c>
      <c r="L243" s="73">
        <v>-526.1</v>
      </c>
    </row>
    <row r="244" spans="11:12" x14ac:dyDescent="0.4">
      <c r="K244" s="5">
        <v>242</v>
      </c>
      <c r="L244" s="73">
        <v>-517.29999999999995</v>
      </c>
    </row>
    <row r="245" spans="11:12" x14ac:dyDescent="0.4">
      <c r="K245" s="5">
        <v>243</v>
      </c>
      <c r="L245" s="73">
        <v>-494.9</v>
      </c>
    </row>
    <row r="246" spans="11:12" x14ac:dyDescent="0.4">
      <c r="K246" s="5">
        <v>244</v>
      </c>
      <c r="L246" s="73">
        <v>-481.3</v>
      </c>
    </row>
    <row r="247" spans="11:12" x14ac:dyDescent="0.4">
      <c r="K247" s="5">
        <v>245</v>
      </c>
      <c r="L247" s="73">
        <v>-454.90000000000003</v>
      </c>
    </row>
    <row r="248" spans="11:12" x14ac:dyDescent="0.4">
      <c r="K248" s="5">
        <v>246</v>
      </c>
      <c r="L248" s="73">
        <v>-460.7</v>
      </c>
    </row>
    <row r="249" spans="11:12" x14ac:dyDescent="0.4">
      <c r="K249" s="5">
        <v>247</v>
      </c>
      <c r="L249" s="73">
        <v>-517.1</v>
      </c>
    </row>
    <row r="250" spans="11:12" x14ac:dyDescent="0.4">
      <c r="K250" s="5">
        <v>248</v>
      </c>
      <c r="L250" s="73">
        <v>-455.1</v>
      </c>
    </row>
    <row r="251" spans="11:12" x14ac:dyDescent="0.4">
      <c r="K251" s="5">
        <v>249</v>
      </c>
      <c r="L251" s="73">
        <v>-452.4</v>
      </c>
    </row>
    <row r="252" spans="11:12" x14ac:dyDescent="0.4">
      <c r="K252" s="5">
        <v>250</v>
      </c>
      <c r="L252" s="73">
        <v>-414.6</v>
      </c>
    </row>
    <row r="253" spans="11:12" x14ac:dyDescent="0.4">
      <c r="K253" s="5">
        <v>251</v>
      </c>
      <c r="L253" s="73">
        <v>-388.7</v>
      </c>
    </row>
    <row r="254" spans="11:12" x14ac:dyDescent="0.4">
      <c r="K254" s="5">
        <v>252</v>
      </c>
      <c r="L254" s="73">
        <v>-401.6</v>
      </c>
    </row>
    <row r="255" spans="11:12" x14ac:dyDescent="0.4">
      <c r="K255" s="5">
        <v>253</v>
      </c>
      <c r="L255" s="73">
        <v>-365.6</v>
      </c>
    </row>
    <row r="256" spans="11:12" x14ac:dyDescent="0.4">
      <c r="K256" s="5">
        <v>254</v>
      </c>
      <c r="L256" s="73">
        <v>-345.2</v>
      </c>
    </row>
    <row r="257" spans="11:12" x14ac:dyDescent="0.4">
      <c r="K257" s="5">
        <v>255</v>
      </c>
      <c r="L257" s="73">
        <v>-383.5</v>
      </c>
    </row>
    <row r="258" spans="11:12" x14ac:dyDescent="0.4">
      <c r="K258" s="5">
        <v>256</v>
      </c>
      <c r="L258" s="73">
        <v>-376.1</v>
      </c>
    </row>
    <row r="259" spans="11:12" x14ac:dyDescent="0.4">
      <c r="K259" s="5">
        <v>257</v>
      </c>
      <c r="L259" s="73">
        <v>-402.90000000000003</v>
      </c>
    </row>
    <row r="260" spans="11:12" x14ac:dyDescent="0.4">
      <c r="K260" s="5">
        <v>258</v>
      </c>
      <c r="L260" s="73">
        <v>-423.1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8708C-74DE-4965-8B74-89E1282D81FF}">
  <sheetPr codeName="Sheet16"/>
  <dimension ref="A1:Q9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186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97</v>
      </c>
      <c r="C2" s="128"/>
      <c r="E2" s="43" t="s">
        <v>66</v>
      </c>
      <c r="F2" s="25" t="s">
        <v>22</v>
      </c>
      <c r="G2" s="13">
        <v>170</v>
      </c>
      <c r="H2" s="106">
        <f>IF(B$47=0,0,G2/B$47)</f>
        <v>0.75221238938053092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-2812.5</v>
      </c>
      <c r="P2" s="92">
        <v>96</v>
      </c>
      <c r="Q2" s="76">
        <v>-270000</v>
      </c>
    </row>
    <row r="3" spans="1:17" x14ac:dyDescent="0.4">
      <c r="A3" s="37" t="s">
        <v>8</v>
      </c>
      <c r="B3" s="137">
        <v>846</v>
      </c>
      <c r="C3" s="138"/>
      <c r="E3" s="44" t="s">
        <v>64</v>
      </c>
      <c r="F3" s="41" t="s">
        <v>20</v>
      </c>
      <c r="G3" s="34">
        <v>106</v>
      </c>
      <c r="H3" s="107">
        <f>IF(B$47=0,0,G3/B$47)</f>
        <v>0.46902654867256638</v>
      </c>
      <c r="I3" s="68">
        <v>11</v>
      </c>
      <c r="K3" s="5">
        <v>1</v>
      </c>
      <c r="L3" s="73">
        <v>4</v>
      </c>
      <c r="N3" s="89" t="s">
        <v>127</v>
      </c>
      <c r="O3" s="96">
        <f t="shared" si="0"/>
        <v>389.58333333333331</v>
      </c>
      <c r="P3" s="93">
        <v>96</v>
      </c>
      <c r="Q3" s="77">
        <v>37400</v>
      </c>
    </row>
    <row r="4" spans="1:17" x14ac:dyDescent="0.4">
      <c r="A4" s="37" t="s">
        <v>6</v>
      </c>
      <c r="B4" s="139">
        <v>-713.5</v>
      </c>
      <c r="C4" s="140"/>
      <c r="E4" s="44" t="s">
        <v>72</v>
      </c>
      <c r="F4" s="41" t="s">
        <v>27</v>
      </c>
      <c r="G4" s="34">
        <v>105</v>
      </c>
      <c r="H4" s="107">
        <f>IF(B$47=0,0,G4/B$47)</f>
        <v>0.46460176991150443</v>
      </c>
      <c r="I4" s="68">
        <v>15</v>
      </c>
      <c r="K4" s="5">
        <v>2</v>
      </c>
      <c r="L4" s="73">
        <v>3.7</v>
      </c>
      <c r="N4" s="89" t="s">
        <v>128</v>
      </c>
      <c r="O4" s="96">
        <f t="shared" si="0"/>
        <v>-1573.9130434782608</v>
      </c>
      <c r="P4" s="93">
        <v>92</v>
      </c>
      <c r="Q4" s="77">
        <v>-144800</v>
      </c>
    </row>
    <row r="5" spans="1:17" x14ac:dyDescent="0.4">
      <c r="A5" s="37" t="s">
        <v>7</v>
      </c>
      <c r="B5" s="141">
        <f>IF(B$2=0,0,B$4/B$2)</f>
        <v>-7.3556701030927831</v>
      </c>
      <c r="C5" s="142"/>
      <c r="E5" s="44" t="s">
        <v>68</v>
      </c>
      <c r="F5" s="41" t="s">
        <v>12</v>
      </c>
      <c r="G5" s="34">
        <v>88</v>
      </c>
      <c r="H5" s="107">
        <f>IF(B$47=0,0,G5/B$47)</f>
        <v>0.38938053097345132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-3184.5238095238096</v>
      </c>
      <c r="P5" s="93">
        <v>84</v>
      </c>
      <c r="Q5" s="77">
        <v>-267500</v>
      </c>
    </row>
    <row r="6" spans="1:17" x14ac:dyDescent="0.4">
      <c r="A6" s="37" t="s">
        <v>1</v>
      </c>
      <c r="B6" s="133">
        <f>IF(B$2=0,0,(B$7*1+B$8*2+B$9*3)/B$2)</f>
        <v>2.1443298969072164</v>
      </c>
      <c r="C6" s="134"/>
      <c r="E6" s="44" t="s">
        <v>157</v>
      </c>
      <c r="F6" s="41" t="s">
        <v>158</v>
      </c>
      <c r="G6" s="34">
        <v>79</v>
      </c>
      <c r="H6" s="107">
        <f>IF(B$47=0,0,G6/B$47)</f>
        <v>0.34955752212389379</v>
      </c>
      <c r="I6" s="68">
        <v>4</v>
      </c>
      <c r="K6" s="5">
        <v>4</v>
      </c>
      <c r="L6" s="73">
        <v>52.3</v>
      </c>
      <c r="N6" s="89" t="s">
        <v>130</v>
      </c>
      <c r="O6" s="96">
        <f t="shared" si="0"/>
        <v>1229.3333333333333</v>
      </c>
      <c r="P6" s="93">
        <v>75</v>
      </c>
      <c r="Q6" s="77">
        <v>92200</v>
      </c>
    </row>
    <row r="7" spans="1:17" x14ac:dyDescent="0.4">
      <c r="A7" s="37" t="s">
        <v>2</v>
      </c>
      <c r="B7" s="34">
        <v>27</v>
      </c>
      <c r="C7" s="31">
        <f t="shared" ref="C7:C10" si="1">IF(B$2=0,0,B7/B$2)</f>
        <v>0.27835051546391754</v>
      </c>
      <c r="E7" s="44" t="s">
        <v>67</v>
      </c>
      <c r="F7" s="41" t="s">
        <v>23</v>
      </c>
      <c r="G7" s="34">
        <v>50</v>
      </c>
      <c r="H7" s="107">
        <f>IF(B$47=0,0,G7/B$47)</f>
        <v>0.22123893805309736</v>
      </c>
      <c r="I7" s="68">
        <v>15</v>
      </c>
      <c r="K7" s="5">
        <v>5</v>
      </c>
      <c r="L7" s="73">
        <v>15</v>
      </c>
      <c r="N7" s="90" t="s">
        <v>131</v>
      </c>
      <c r="O7" s="97">
        <f t="shared" si="0"/>
        <v>84.848484848484844</v>
      </c>
      <c r="P7" s="94">
        <v>66</v>
      </c>
      <c r="Q7" s="78">
        <v>5600</v>
      </c>
    </row>
    <row r="8" spans="1:17" x14ac:dyDescent="0.4">
      <c r="A8" s="37" t="s">
        <v>3</v>
      </c>
      <c r="B8" s="34">
        <v>29</v>
      </c>
      <c r="C8" s="31">
        <f t="shared" si="1"/>
        <v>0.29896907216494845</v>
      </c>
      <c r="E8" s="44" t="s">
        <v>69</v>
      </c>
      <c r="F8" s="41" t="s">
        <v>24</v>
      </c>
      <c r="G8" s="34">
        <v>32</v>
      </c>
      <c r="H8" s="107">
        <f>IF(B$47=0,0,G8/B$47)</f>
        <v>0.1415929203539823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41</v>
      </c>
      <c r="C9" s="7">
        <f t="shared" si="1"/>
        <v>0.42268041237113402</v>
      </c>
      <c r="E9" s="44" t="s">
        <v>70</v>
      </c>
      <c r="F9" s="41" t="s">
        <v>25</v>
      </c>
      <c r="G9" s="34">
        <v>26</v>
      </c>
      <c r="H9" s="107">
        <f>IF(B$47=0,0,G9/B$47)</f>
        <v>0.11504424778761062</v>
      </c>
      <c r="I9" s="68">
        <v>3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16</v>
      </c>
      <c r="C10" s="32">
        <f t="shared" si="1"/>
        <v>0.16494845360824742</v>
      </c>
      <c r="E10" s="44" t="s">
        <v>89</v>
      </c>
      <c r="F10" s="41" t="s">
        <v>44</v>
      </c>
      <c r="G10" s="34">
        <v>26</v>
      </c>
      <c r="H10" s="107">
        <f>IF(B$47=0,0,G10/B$47)</f>
        <v>0.11504424778761062</v>
      </c>
      <c r="I10" s="68">
        <v>11</v>
      </c>
      <c r="K10" s="5">
        <v>8</v>
      </c>
      <c r="L10" s="73">
        <v>-31.1</v>
      </c>
      <c r="N10" s="88" t="s">
        <v>149</v>
      </c>
      <c r="O10" s="98">
        <f>IF(P10=0,0,Q10/P10)</f>
        <v>-12.358823529411765</v>
      </c>
      <c r="P10" s="92">
        <v>34</v>
      </c>
      <c r="Q10" s="80">
        <v>-420.2</v>
      </c>
    </row>
    <row r="11" spans="1:17" x14ac:dyDescent="0.4">
      <c r="A11" s="40" t="s">
        <v>121</v>
      </c>
      <c r="B11" s="16">
        <v>191</v>
      </c>
      <c r="C11" s="11">
        <f>IF(B$46=0,0,B11/B$46)</f>
        <v>0.22576832151300236</v>
      </c>
      <c r="E11" s="44" t="s">
        <v>65</v>
      </c>
      <c r="F11" s="41" t="s">
        <v>21</v>
      </c>
      <c r="G11" s="34">
        <v>20</v>
      </c>
      <c r="H11" s="107">
        <f>IF(B$47=0,0,G11/B$47)</f>
        <v>8.8495575221238937E-2</v>
      </c>
      <c r="I11" s="68">
        <v>14</v>
      </c>
      <c r="K11" s="5">
        <v>9</v>
      </c>
      <c r="L11" s="73">
        <v>-70.599999999999994</v>
      </c>
      <c r="N11" s="89" t="s">
        <v>150</v>
      </c>
      <c r="O11" s="99">
        <f>IF(P11=0,0,Q11/P11)</f>
        <v>-5.2052631578947368</v>
      </c>
      <c r="P11" s="93">
        <v>38</v>
      </c>
      <c r="Q11" s="81">
        <v>-197.8</v>
      </c>
    </row>
    <row r="12" spans="1:17" x14ac:dyDescent="0.4">
      <c r="A12" s="37" t="s">
        <v>118</v>
      </c>
      <c r="B12" s="34">
        <v>173</v>
      </c>
      <c r="C12" s="31">
        <f>IF(B$46=0,0,B12/B$46)</f>
        <v>0.2044917257683215</v>
      </c>
      <c r="E12" s="44" t="s">
        <v>71</v>
      </c>
      <c r="F12" s="41" t="s">
        <v>26</v>
      </c>
      <c r="G12" s="34">
        <v>13</v>
      </c>
      <c r="H12" s="107">
        <f>IF(B$47=0,0,G12/B$47)</f>
        <v>5.7522123893805309E-2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-3.82</v>
      </c>
      <c r="P12" s="94">
        <v>25</v>
      </c>
      <c r="Q12" s="82">
        <v>-95.5</v>
      </c>
    </row>
    <row r="13" spans="1:17" x14ac:dyDescent="0.4">
      <c r="A13" s="19" t="s">
        <v>123</v>
      </c>
      <c r="B13" s="13">
        <v>109</v>
      </c>
      <c r="C13" s="4">
        <f>IF(B$11=0,0,B13/B$11)</f>
        <v>0.5706806282722513</v>
      </c>
      <c r="E13" s="44" t="s">
        <v>86</v>
      </c>
      <c r="F13" s="41" t="s">
        <v>41</v>
      </c>
      <c r="G13" s="34">
        <v>12</v>
      </c>
      <c r="H13" s="107">
        <f>IF(B$47=0,0,G13/B$47)</f>
        <v>5.3097345132743362E-2</v>
      </c>
      <c r="I13" s="68">
        <v>13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58</v>
      </c>
      <c r="C14" s="4">
        <f>IF(B$12=0,0,B14/B$12)</f>
        <v>0.33526011560693642</v>
      </c>
      <c r="E14" s="44" t="s">
        <v>78</v>
      </c>
      <c r="F14" s="41" t="s">
        <v>33</v>
      </c>
      <c r="G14" s="34">
        <v>7</v>
      </c>
      <c r="H14" s="107">
        <f>IF(B$47=0,0,G14/B$47)</f>
        <v>3.0973451327433628E-2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226</v>
      </c>
      <c r="C15" s="4">
        <f>IF(B$3=0,0,B15/B$3)</f>
        <v>0.26713947990543735</v>
      </c>
      <c r="E15" s="44" t="s">
        <v>83</v>
      </c>
      <c r="F15" s="41" t="s">
        <v>38</v>
      </c>
      <c r="G15" s="34">
        <v>7</v>
      </c>
      <c r="H15" s="107">
        <f>IF(B$47=0,0,G15/B$47)</f>
        <v>3.0973451327433628E-2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">
      <c r="A16" s="37" t="s">
        <v>13</v>
      </c>
      <c r="B16" s="34">
        <v>163</v>
      </c>
      <c r="C16" s="31">
        <f>IF(B$3=0,0,B16/B$3)</f>
        <v>0.19267139479905437</v>
      </c>
      <c r="E16" s="44" t="s">
        <v>79</v>
      </c>
      <c r="F16" s="41" t="s">
        <v>34</v>
      </c>
      <c r="G16" s="34">
        <v>4</v>
      </c>
      <c r="H16" s="107">
        <f>IF(B$47=0,0,G16/B$47)</f>
        <v>1.7699115044247787E-2</v>
      </c>
      <c r="I16" s="68">
        <v>6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37" t="s">
        <v>12</v>
      </c>
      <c r="B17" s="34">
        <v>116</v>
      </c>
      <c r="C17" s="31">
        <f>IF(B$15=0,0,B17/B$15)</f>
        <v>0.51327433628318586</v>
      </c>
      <c r="E17" s="44" t="s">
        <v>153</v>
      </c>
      <c r="F17" s="41" t="s">
        <v>154</v>
      </c>
      <c r="G17" s="34">
        <v>4</v>
      </c>
      <c r="H17" s="107">
        <f>IF(B$47=0,0,G17/B$47)</f>
        <v>1.7699115044247787E-2</v>
      </c>
      <c r="I17" s="68">
        <v>4</v>
      </c>
      <c r="K17" s="5">
        <v>15</v>
      </c>
      <c r="L17" s="73">
        <v>-304.10000000000002</v>
      </c>
      <c r="N17" s="89" t="s">
        <v>193</v>
      </c>
      <c r="O17" s="99">
        <f>IF(P17=0,0,Q17/P17)</f>
        <v>-3.5652173913043477</v>
      </c>
      <c r="P17" s="93">
        <v>23</v>
      </c>
      <c r="Q17" s="81">
        <v>-82</v>
      </c>
    </row>
    <row r="18" spans="1:17" x14ac:dyDescent="0.4">
      <c r="A18" s="37" t="s">
        <v>11</v>
      </c>
      <c r="B18" s="34">
        <v>110</v>
      </c>
      <c r="C18" s="31">
        <f>IF(B$15=0,0,B18/B$15)</f>
        <v>0.48672566371681414</v>
      </c>
      <c r="E18" s="44" t="s">
        <v>73</v>
      </c>
      <c r="F18" s="41" t="s">
        <v>28</v>
      </c>
      <c r="G18" s="34">
        <v>3</v>
      </c>
      <c r="H18" s="107">
        <f>IF(B$47=0,0,G18/B$47)</f>
        <v>1.3274336283185841E-2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37" t="s">
        <v>180</v>
      </c>
      <c r="B19" s="34">
        <v>109</v>
      </c>
      <c r="C19" s="31">
        <f>IF(B$15=0,0,B19/B$15)</f>
        <v>0.48230088495575218</v>
      </c>
      <c r="E19" s="44" t="s">
        <v>81</v>
      </c>
      <c r="F19" s="41" t="s">
        <v>36</v>
      </c>
      <c r="G19" s="34">
        <v>3</v>
      </c>
      <c r="H19" s="107">
        <f>IF(B$47=0,0,G19/B$47)</f>
        <v>1.3274336283185841E-2</v>
      </c>
      <c r="I19" s="68">
        <v>12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">
      <c r="A20" s="37" t="s">
        <v>178</v>
      </c>
      <c r="B20" s="34">
        <v>58</v>
      </c>
      <c r="C20" s="31">
        <f>IF(B$15=0,0,B20/B$15)</f>
        <v>0.25663716814159293</v>
      </c>
      <c r="E20" s="44" t="s">
        <v>87</v>
      </c>
      <c r="F20" s="41" t="s">
        <v>42</v>
      </c>
      <c r="G20" s="34">
        <v>2</v>
      </c>
      <c r="H20" s="107">
        <f>IF(B$47=0,0,G20/B$47)</f>
        <v>8.8495575221238937E-3</v>
      </c>
      <c r="I20" s="68">
        <v>1</v>
      </c>
      <c r="K20" s="5">
        <v>18</v>
      </c>
      <c r="L20" s="73">
        <v>-342.69999999999993</v>
      </c>
      <c r="N20" s="89" t="s">
        <v>191</v>
      </c>
      <c r="O20" s="99">
        <f>IF(P20=0,0,Q20/P20)</f>
        <v>-6.6903225806451596</v>
      </c>
      <c r="P20" s="93">
        <v>31</v>
      </c>
      <c r="Q20" s="81">
        <v>-207.39999999999995</v>
      </c>
    </row>
    <row r="21" spans="1:17" x14ac:dyDescent="0.4">
      <c r="A21" s="37" t="s">
        <v>179</v>
      </c>
      <c r="B21" s="34">
        <v>59</v>
      </c>
      <c r="C21" s="31">
        <f>IF(B$15=0,0,B21/B$15)</f>
        <v>0.26106194690265488</v>
      </c>
      <c r="E21" s="44" t="s">
        <v>91</v>
      </c>
      <c r="F21" s="41" t="s">
        <v>46</v>
      </c>
      <c r="G21" s="34">
        <v>2</v>
      </c>
      <c r="H21" s="107">
        <f>IF(B$47=0,0,G21/B$47)</f>
        <v>8.8495575221238937E-3</v>
      </c>
      <c r="I21" s="68">
        <v>12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">
      <c r="A22" s="37" t="s">
        <v>5</v>
      </c>
      <c r="B22" s="17">
        <f>IF(B$15=0,0,C22/B$15)</f>
        <v>7922.1238938053093</v>
      </c>
      <c r="C22" s="8">
        <v>1790400</v>
      </c>
      <c r="E22" s="44" t="s">
        <v>75</v>
      </c>
      <c r="F22" s="41" t="s">
        <v>30</v>
      </c>
      <c r="G22" s="34">
        <v>1</v>
      </c>
      <c r="H22" s="107">
        <f>IF(B$47=0,0,G22/B$47)</f>
        <v>4.4247787610619468E-3</v>
      </c>
      <c r="I22" s="68">
        <v>9</v>
      </c>
      <c r="K22" s="5">
        <v>20</v>
      </c>
      <c r="L22" s="73">
        <v>-374.69999999999993</v>
      </c>
      <c r="N22" s="89" t="s">
        <v>195</v>
      </c>
      <c r="O22" s="99">
        <f>IF(P22=0,0,Q22/P22)</f>
        <v>-29.822222222222223</v>
      </c>
      <c r="P22" s="93">
        <v>45</v>
      </c>
      <c r="Q22" s="81">
        <v>-1342</v>
      </c>
    </row>
    <row r="23" spans="1:17" x14ac:dyDescent="0.4">
      <c r="A23" s="38" t="s">
        <v>162</v>
      </c>
      <c r="B23" s="114">
        <f>IF($B$15-B$14=0,0,C23/($B$15-B$14))</f>
        <v>8687.5</v>
      </c>
      <c r="C23" s="115">
        <v>1459500</v>
      </c>
      <c r="E23" s="44" t="s">
        <v>85</v>
      </c>
      <c r="F23" s="41" t="s">
        <v>40</v>
      </c>
      <c r="G23" s="34">
        <v>1</v>
      </c>
      <c r="H23" s="107">
        <f>IF(B$47=0,0,G23/B$47)</f>
        <v>4.4247787610619468E-3</v>
      </c>
      <c r="I23" s="68">
        <v>3</v>
      </c>
      <c r="K23" s="5">
        <v>21</v>
      </c>
      <c r="L23" s="73">
        <v>-415.69999999999993</v>
      </c>
      <c r="N23" s="89" t="s">
        <v>199</v>
      </c>
      <c r="O23" s="99">
        <f>IF(P23=0,0,Q23/P23)</f>
        <v>-42.96</v>
      </c>
      <c r="P23" s="93">
        <v>5</v>
      </c>
      <c r="Q23" s="81">
        <v>-214.8</v>
      </c>
    </row>
    <row r="24" spans="1:17" x14ac:dyDescent="0.4">
      <c r="A24" s="38" t="s">
        <v>163</v>
      </c>
      <c r="B24" s="114">
        <f>IF(B$14=0,0,C24/B$14)</f>
        <v>5705.1724137931033</v>
      </c>
      <c r="C24" s="115">
        <v>330900</v>
      </c>
      <c r="E24" s="44" t="s">
        <v>106</v>
      </c>
      <c r="F24" s="41" t="s">
        <v>113</v>
      </c>
      <c r="G24" s="34">
        <v>1</v>
      </c>
      <c r="H24" s="107">
        <f>IF(B$47=0,0,G24/B$47)</f>
        <v>4.4247787610619468E-3</v>
      </c>
      <c r="I24" s="68">
        <v>1</v>
      </c>
      <c r="K24" s="5">
        <v>22</v>
      </c>
      <c r="L24" s="73">
        <v>-473.5</v>
      </c>
      <c r="N24" s="89" t="s">
        <v>196</v>
      </c>
      <c r="O24" s="99">
        <f>IF(P24=0,0,Q24/P24)</f>
        <v>-45.5</v>
      </c>
      <c r="P24" s="93">
        <v>1</v>
      </c>
      <c r="Q24" s="81">
        <v>-45.5</v>
      </c>
    </row>
    <row r="25" spans="1:17" x14ac:dyDescent="0.4">
      <c r="A25" s="38" t="s">
        <v>161</v>
      </c>
      <c r="B25" s="114">
        <f>IF(B$16=0,0,C25/B$16)</f>
        <v>-7985.2760736196315</v>
      </c>
      <c r="C25" s="115">
        <v>-1301600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194</v>
      </c>
      <c r="O25" s="99">
        <f>IF(P25=0,0,Q25/P25)</f>
        <v>-59.433333333333337</v>
      </c>
      <c r="P25" s="93">
        <v>3</v>
      </c>
      <c r="Q25" s="81">
        <v>-178.3</v>
      </c>
    </row>
    <row r="26" spans="1:17" x14ac:dyDescent="0.4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</row>
    <row r="27" spans="1:17" x14ac:dyDescent="0.4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40" t="s">
        <v>177</v>
      </c>
      <c r="B29" s="129">
        <v>113300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9" t="s">
        <v>135</v>
      </c>
      <c r="B30" s="27">
        <v>3</v>
      </c>
      <c r="C30" s="32">
        <f>IF(B$3=0,0,B30/B$3)</f>
        <v>3.5460992907801418E-3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6</v>
      </c>
      <c r="K30" s="5">
        <v>28</v>
      </c>
      <c r="L30" s="73">
        <v>-447.9</v>
      </c>
    </row>
    <row r="31" spans="1:17" x14ac:dyDescent="0.4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7</v>
      </c>
      <c r="K31" s="5">
        <v>29</v>
      </c>
      <c r="L31" s="73">
        <v>-403.99999999999994</v>
      </c>
    </row>
    <row r="32" spans="1:17" x14ac:dyDescent="0.4">
      <c r="A32" s="64" t="s">
        <v>168</v>
      </c>
      <c r="B32" s="122">
        <v>26</v>
      </c>
      <c r="C32" s="119">
        <f>IF(B$15=0,0,B32/B$15)</f>
        <v>0.11504424778761062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6</v>
      </c>
      <c r="K32" s="5">
        <v>30</v>
      </c>
      <c r="L32" s="73">
        <v>-374.09999999999991</v>
      </c>
    </row>
    <row r="33" spans="1:12" x14ac:dyDescent="0.4">
      <c r="A33" s="37" t="s">
        <v>164</v>
      </c>
      <c r="B33" s="34">
        <v>44</v>
      </c>
      <c r="C33" s="31">
        <f t="shared" ref="C33:C44" si="2">IF(B$15=0,0,B33/B$15)</f>
        <v>0.19469026548672566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8</v>
      </c>
      <c r="K33" s="5">
        <v>31</v>
      </c>
      <c r="L33" s="73">
        <v>-343.69999999999993</v>
      </c>
    </row>
    <row r="34" spans="1:12" x14ac:dyDescent="0.4">
      <c r="A34" s="37" t="s">
        <v>165</v>
      </c>
      <c r="B34" s="123">
        <v>39</v>
      </c>
      <c r="C34" s="31">
        <f>IF(B$15=0,0,B34/B$15)</f>
        <v>0.17256637168141592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A35" s="37" t="s">
        <v>166</v>
      </c>
      <c r="B35" s="123">
        <v>38</v>
      </c>
      <c r="C35" s="31">
        <f t="shared" si="2"/>
        <v>0.16814159292035399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37" t="s">
        <v>167</v>
      </c>
      <c r="B36" s="123">
        <v>34</v>
      </c>
      <c r="C36" s="31">
        <f t="shared" si="2"/>
        <v>0.15044247787610621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6</v>
      </c>
      <c r="K36" s="5">
        <v>34</v>
      </c>
      <c r="L36" s="73">
        <v>-417.59999999999991</v>
      </c>
    </row>
    <row r="37" spans="1:12" x14ac:dyDescent="0.4">
      <c r="A37" s="37" t="s">
        <v>169</v>
      </c>
      <c r="B37" s="123">
        <v>22</v>
      </c>
      <c r="C37" s="31">
        <f t="shared" si="2"/>
        <v>9.7345132743362831E-2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170</v>
      </c>
      <c r="B38" s="123">
        <v>9</v>
      </c>
      <c r="C38" s="31">
        <f t="shared" si="2"/>
        <v>3.9823008849557522E-2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171</v>
      </c>
      <c r="B39" s="123">
        <v>7</v>
      </c>
      <c r="C39" s="31">
        <f t="shared" si="2"/>
        <v>3.0973451327433628E-2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172</v>
      </c>
      <c r="B40" s="123">
        <v>3</v>
      </c>
      <c r="C40" s="31">
        <f t="shared" si="2"/>
        <v>1.3274336283185841E-2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173</v>
      </c>
      <c r="B41" s="123">
        <v>2</v>
      </c>
      <c r="C41" s="31">
        <f t="shared" si="2"/>
        <v>8.8495575221238937E-3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174</v>
      </c>
      <c r="B42" s="123">
        <v>1</v>
      </c>
      <c r="C42" s="31">
        <f t="shared" si="2"/>
        <v>4.4247787610619468E-3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9" t="s">
        <v>176</v>
      </c>
      <c r="B44" s="124">
        <v>1</v>
      </c>
      <c r="C44" s="32">
        <f t="shared" si="2"/>
        <v>4.4247787610619468E-3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64" t="s">
        <v>181</v>
      </c>
      <c r="B46" s="127">
        <v>846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9" t="s">
        <v>182</v>
      </c>
      <c r="B47" s="125">
        <v>226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">
      <c r="K53" s="5">
        <v>51</v>
      </c>
      <c r="L53" s="73">
        <v>-379</v>
      </c>
    </row>
    <row r="54" spans="5:12" x14ac:dyDescent="0.4">
      <c r="K54" s="5">
        <v>52</v>
      </c>
      <c r="L54" s="73">
        <v>-435</v>
      </c>
    </row>
    <row r="55" spans="5:12" x14ac:dyDescent="0.4">
      <c r="K55" s="5">
        <v>53</v>
      </c>
      <c r="L55" s="73">
        <v>-458.69999999999993</v>
      </c>
    </row>
    <row r="56" spans="5:12" x14ac:dyDescent="0.4">
      <c r="K56" s="5">
        <v>54</v>
      </c>
      <c r="L56" s="73">
        <v>-493.79999999999995</v>
      </c>
    </row>
    <row r="57" spans="5:12" x14ac:dyDescent="0.4">
      <c r="K57" s="5">
        <v>55</v>
      </c>
      <c r="L57" s="73">
        <v>-444.79999999999995</v>
      </c>
    </row>
    <row r="58" spans="5:12" x14ac:dyDescent="0.4">
      <c r="K58" s="5">
        <v>56</v>
      </c>
      <c r="L58" s="73">
        <v>-417.69999999999993</v>
      </c>
    </row>
    <row r="59" spans="5:12" x14ac:dyDescent="0.4">
      <c r="K59" s="5">
        <v>57</v>
      </c>
      <c r="L59" s="73">
        <v>-450.5</v>
      </c>
    </row>
    <row r="60" spans="5:12" x14ac:dyDescent="0.4">
      <c r="K60" s="5">
        <v>58</v>
      </c>
      <c r="L60" s="73">
        <v>-532.5</v>
      </c>
    </row>
    <row r="61" spans="5:12" x14ac:dyDescent="0.4">
      <c r="K61" s="5">
        <v>59</v>
      </c>
      <c r="L61" s="73">
        <v>-594.79999999999995</v>
      </c>
    </row>
    <row r="62" spans="5:12" x14ac:dyDescent="0.4">
      <c r="K62" s="5">
        <v>60</v>
      </c>
      <c r="L62" s="73">
        <v>-542.79999999999995</v>
      </c>
    </row>
    <row r="63" spans="5:12" x14ac:dyDescent="0.4">
      <c r="K63" s="5">
        <v>61</v>
      </c>
      <c r="L63" s="73">
        <v>-588.1</v>
      </c>
    </row>
    <row r="64" spans="5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D0F51-97A3-429C-A327-B1E3E983890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37">
        <v>253</v>
      </c>
      <c r="C3" s="138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15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39">
        <v>-22.000000000000028</v>
      </c>
      <c r="C4" s="140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12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41">
        <f>IF(B$2=0,0,B$4/B$2)</f>
        <v>-0.7857142857142867</v>
      </c>
      <c r="C5" s="142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33">
        <f>IF(B$2=0,0,(B$7*1+B$8*2+B$9*3)/B$2)</f>
        <v>1.9285714285714286</v>
      </c>
      <c r="C6" s="134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6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5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10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4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13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1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14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3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11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  <c r="K25" s="5">
        <v>23</v>
      </c>
      <c r="L25" s="73">
        <v>57.399999999999984</v>
      </c>
    </row>
    <row r="26" spans="1:17" x14ac:dyDescent="0.4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  <c r="K26" s="5">
        <v>24</v>
      </c>
      <c r="L26" s="73">
        <v>10.899999999999977</v>
      </c>
    </row>
    <row r="27" spans="1:17" x14ac:dyDescent="0.4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45.399999999999977</v>
      </c>
    </row>
    <row r="28" spans="1:17" x14ac:dyDescent="0.4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70.699999999999974</v>
      </c>
    </row>
    <row r="29" spans="1:17" x14ac:dyDescent="0.4">
      <c r="A29" s="40" t="s">
        <v>177</v>
      </c>
      <c r="B29" s="129">
        <v>106300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  <c r="K29" s="5">
        <v>27</v>
      </c>
      <c r="L29" s="73">
        <v>23.499999999999972</v>
      </c>
    </row>
    <row r="30" spans="1:17" x14ac:dyDescent="0.4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  <c r="K30" s="5">
        <v>28</v>
      </c>
      <c r="L30" s="73">
        <v>-22.000000000000028</v>
      </c>
    </row>
    <row r="31" spans="1:17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17" x14ac:dyDescent="0.4">
      <c r="A32" s="64" t="s">
        <v>168</v>
      </c>
      <c r="B32" s="122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80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C5761-2780-4E38-8B80-09F72D8EE1FC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200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37">
        <v>13</v>
      </c>
      <c r="C3" s="138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7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39">
        <v>13.3</v>
      </c>
      <c r="C4" s="140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1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41">
        <f>IF(B$2=0,0,B$4/B$2)</f>
        <v>13.3</v>
      </c>
      <c r="C5" s="142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33">
        <f>IF(B$2=0,0,(B$7*1+B$8*2+B$9*3)/B$2)</f>
        <v>2</v>
      </c>
      <c r="C6" s="134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14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15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17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10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13</v>
      </c>
    </row>
    <row r="19" spans="1:9" x14ac:dyDescent="0.4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13</v>
      </c>
    </row>
    <row r="20" spans="1:9" x14ac:dyDescent="0.4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6</v>
      </c>
    </row>
    <row r="24" spans="1:9" x14ac:dyDescent="0.4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8</v>
      </c>
    </row>
    <row r="25" spans="1:9" x14ac:dyDescent="0.4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9</v>
      </c>
    </row>
    <row r="27" spans="1:9" x14ac:dyDescent="0.4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7</v>
      </c>
    </row>
    <row r="28" spans="1:9" x14ac:dyDescent="0.4">
      <c r="A28" s="64" t="s">
        <v>134</v>
      </c>
      <c r="B28" s="131">
        <v>5</v>
      </c>
      <c r="C28" s="132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16</v>
      </c>
    </row>
    <row r="29" spans="1:9" x14ac:dyDescent="0.4">
      <c r="A29" s="40" t="s">
        <v>177</v>
      </c>
      <c r="B29" s="129">
        <v>48300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B1BF-A99A-45FB-BAD7-1C1E5339A45C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51</v>
      </c>
      <c r="C2" s="128"/>
      <c r="E2" s="43" t="s">
        <v>66</v>
      </c>
      <c r="F2" s="25" t="s">
        <v>22</v>
      </c>
      <c r="G2" s="13">
        <v>65</v>
      </c>
      <c r="H2" s="106">
        <f>IF(B$47=0,0,G2/B$47)</f>
        <v>0.61904761904761907</v>
      </c>
      <c r="I2" s="67">
        <v>14</v>
      </c>
      <c r="K2" s="3">
        <v>0</v>
      </c>
      <c r="L2" s="72">
        <v>0</v>
      </c>
      <c r="N2" s="88" t="s">
        <v>126</v>
      </c>
      <c r="O2" s="95">
        <f t="shared" ref="O2:O7" si="0">IF(P2=0,0,Q2/P2)</f>
        <v>-2923.5294117647059</v>
      </c>
      <c r="P2" s="92">
        <v>51</v>
      </c>
      <c r="Q2" s="76">
        <v>-149100</v>
      </c>
    </row>
    <row r="3" spans="1:17" x14ac:dyDescent="0.4">
      <c r="A3" s="37" t="s">
        <v>8</v>
      </c>
      <c r="B3" s="137">
        <v>425</v>
      </c>
      <c r="C3" s="138"/>
      <c r="E3" s="44" t="s">
        <v>72</v>
      </c>
      <c r="F3" s="41" t="s">
        <v>27</v>
      </c>
      <c r="G3" s="34">
        <v>58</v>
      </c>
      <c r="H3" s="107">
        <f>IF(B$47=0,0,G3/B$47)</f>
        <v>0.55238095238095242</v>
      </c>
      <c r="I3" s="68">
        <v>8</v>
      </c>
      <c r="K3" s="5">
        <v>1</v>
      </c>
      <c r="L3" s="73">
        <v>-43.2</v>
      </c>
      <c r="N3" s="89" t="s">
        <v>127</v>
      </c>
      <c r="O3" s="96">
        <f t="shared" si="0"/>
        <v>-817.64705882352939</v>
      </c>
      <c r="P3" s="93">
        <v>51</v>
      </c>
      <c r="Q3" s="77">
        <v>-41700</v>
      </c>
    </row>
    <row r="4" spans="1:17" x14ac:dyDescent="0.4">
      <c r="A4" s="37" t="s">
        <v>6</v>
      </c>
      <c r="B4" s="139">
        <v>-897.40000000000009</v>
      </c>
      <c r="C4" s="140"/>
      <c r="E4" s="44" t="s">
        <v>64</v>
      </c>
      <c r="F4" s="41" t="s">
        <v>20</v>
      </c>
      <c r="G4" s="34">
        <v>48</v>
      </c>
      <c r="H4" s="107">
        <f>IF(B$47=0,0,G4/B$47)</f>
        <v>0.45714285714285713</v>
      </c>
      <c r="I4" s="68">
        <v>13</v>
      </c>
      <c r="K4" s="5">
        <v>2</v>
      </c>
      <c r="L4" s="73">
        <v>-96.5</v>
      </c>
      <c r="N4" s="89" t="s">
        <v>128</v>
      </c>
      <c r="O4" s="96">
        <f t="shared" si="0"/>
        <v>-1384</v>
      </c>
      <c r="P4" s="93">
        <v>50</v>
      </c>
      <c r="Q4" s="77">
        <v>-69200</v>
      </c>
    </row>
    <row r="5" spans="1:17" x14ac:dyDescent="0.4">
      <c r="A5" s="37" t="s">
        <v>7</v>
      </c>
      <c r="B5" s="141">
        <f>IF(B$2=0,0,B$4/B$2)</f>
        <v>-17.59607843137255</v>
      </c>
      <c r="C5" s="142"/>
      <c r="E5" s="44" t="s">
        <v>157</v>
      </c>
      <c r="F5" s="41" t="s">
        <v>158</v>
      </c>
      <c r="G5" s="34">
        <v>40</v>
      </c>
      <c r="H5" s="107">
        <f>IF(B$47=0,0,G5/B$47)</f>
        <v>0.38095238095238093</v>
      </c>
      <c r="I5" s="68">
        <v>3</v>
      </c>
      <c r="K5" s="5">
        <v>3</v>
      </c>
      <c r="L5" s="73">
        <v>-151.9</v>
      </c>
      <c r="N5" s="89" t="s">
        <v>129</v>
      </c>
      <c r="O5" s="96">
        <f t="shared" si="0"/>
        <v>-2036.9565217391305</v>
      </c>
      <c r="P5" s="93">
        <v>46</v>
      </c>
      <c r="Q5" s="77">
        <v>-93700</v>
      </c>
    </row>
    <row r="6" spans="1:17" x14ac:dyDescent="0.4">
      <c r="A6" s="37" t="s">
        <v>1</v>
      </c>
      <c r="B6" s="133">
        <f>IF(B$2=0,0,(B$7*1+B$8*2+B$9*3)/B$2)</f>
        <v>2.4313725490196076</v>
      </c>
      <c r="C6" s="134"/>
      <c r="E6" s="44" t="s">
        <v>68</v>
      </c>
      <c r="F6" s="41" t="s">
        <v>12</v>
      </c>
      <c r="G6" s="34">
        <v>30</v>
      </c>
      <c r="H6" s="107">
        <f>IF(B$47=0,0,G6/B$47)</f>
        <v>0.2857142857142857</v>
      </c>
      <c r="I6" s="68">
        <v>12</v>
      </c>
      <c r="K6" s="5">
        <v>4</v>
      </c>
      <c r="L6" s="73">
        <v>-134.1</v>
      </c>
      <c r="N6" s="89" t="s">
        <v>130</v>
      </c>
      <c r="O6" s="96">
        <f t="shared" si="0"/>
        <v>-1572.0930232558139</v>
      </c>
      <c r="P6" s="93">
        <v>43</v>
      </c>
      <c r="Q6" s="77">
        <v>-67600</v>
      </c>
    </row>
    <row r="7" spans="1:17" x14ac:dyDescent="0.4">
      <c r="A7" s="37" t="s">
        <v>2</v>
      </c>
      <c r="B7" s="34">
        <v>7</v>
      </c>
      <c r="C7" s="31">
        <f t="shared" ref="C7:C10" si="1">IF(B$2=0,0,B7/B$2)</f>
        <v>0.13725490196078433</v>
      </c>
      <c r="E7" s="44" t="s">
        <v>67</v>
      </c>
      <c r="F7" s="41" t="s">
        <v>23</v>
      </c>
      <c r="G7" s="34">
        <v>24</v>
      </c>
      <c r="H7" s="107">
        <f>IF(B$47=0,0,G7/B$47)</f>
        <v>0.22857142857142856</v>
      </c>
      <c r="I7" s="68">
        <v>13</v>
      </c>
      <c r="K7" s="5">
        <v>5</v>
      </c>
      <c r="L7" s="73">
        <v>-152</v>
      </c>
      <c r="N7" s="90" t="s">
        <v>131</v>
      </c>
      <c r="O7" s="97">
        <f t="shared" si="0"/>
        <v>-3800</v>
      </c>
      <c r="P7" s="94">
        <v>37</v>
      </c>
      <c r="Q7" s="78">
        <v>-140600</v>
      </c>
    </row>
    <row r="8" spans="1:17" x14ac:dyDescent="0.4">
      <c r="A8" s="37" t="s">
        <v>3</v>
      </c>
      <c r="B8" s="34">
        <v>15</v>
      </c>
      <c r="C8" s="31">
        <f t="shared" si="1"/>
        <v>0.29411764705882354</v>
      </c>
      <c r="E8" s="44" t="s">
        <v>89</v>
      </c>
      <c r="F8" s="41" t="s">
        <v>44</v>
      </c>
      <c r="G8" s="34">
        <v>13</v>
      </c>
      <c r="H8" s="107">
        <f>IF(B$47=0,0,G8/B$47)</f>
        <v>0.12380952380952381</v>
      </c>
      <c r="I8" s="68">
        <v>10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29</v>
      </c>
      <c r="C9" s="7">
        <f t="shared" si="1"/>
        <v>0.56862745098039214</v>
      </c>
      <c r="E9" s="44" t="s">
        <v>65</v>
      </c>
      <c r="F9" s="41" t="s">
        <v>21</v>
      </c>
      <c r="G9" s="34">
        <v>12</v>
      </c>
      <c r="H9" s="107">
        <f>IF(B$47=0,0,G9/B$47)</f>
        <v>0.11428571428571428</v>
      </c>
      <c r="I9" s="68">
        <v>7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10</v>
      </c>
      <c r="C10" s="32">
        <f t="shared" si="1"/>
        <v>0.19607843137254902</v>
      </c>
      <c r="E10" s="44" t="s">
        <v>70</v>
      </c>
      <c r="F10" s="41" t="s">
        <v>25</v>
      </c>
      <c r="G10" s="34">
        <v>11</v>
      </c>
      <c r="H10" s="107">
        <f>IF(B$47=0,0,G10/B$47)</f>
        <v>0.10476190476190476</v>
      </c>
      <c r="I10" s="68">
        <v>7</v>
      </c>
      <c r="K10" s="5">
        <v>8</v>
      </c>
      <c r="L10" s="73">
        <v>-289.8</v>
      </c>
      <c r="N10" s="88" t="s">
        <v>149</v>
      </c>
      <c r="O10" s="98">
        <f>IF(P10=0,0,Q10/P10)</f>
        <v>-25.162499999999998</v>
      </c>
      <c r="P10" s="92">
        <v>24</v>
      </c>
      <c r="Q10" s="80">
        <v>-603.9</v>
      </c>
    </row>
    <row r="11" spans="1:17" x14ac:dyDescent="0.4">
      <c r="A11" s="40" t="s">
        <v>121</v>
      </c>
      <c r="B11" s="16">
        <v>87</v>
      </c>
      <c r="C11" s="11">
        <f>IF(B$46=0,0,B11/B$46)</f>
        <v>0.20470588235294118</v>
      </c>
      <c r="E11" s="44" t="s">
        <v>86</v>
      </c>
      <c r="F11" s="41" t="s">
        <v>41</v>
      </c>
      <c r="G11" s="34">
        <v>10</v>
      </c>
      <c r="H11" s="107">
        <f>IF(B$47=0,0,G11/B$47)</f>
        <v>9.5238095238095233E-2</v>
      </c>
      <c r="I11" s="68">
        <v>6</v>
      </c>
      <c r="K11" s="5">
        <v>9</v>
      </c>
      <c r="L11" s="73">
        <v>-292.60000000000002</v>
      </c>
      <c r="N11" s="89" t="s">
        <v>150</v>
      </c>
      <c r="O11" s="99">
        <f>IF(P11=0,0,Q11/P11)</f>
        <v>-14.492857142857142</v>
      </c>
      <c r="P11" s="93">
        <v>14</v>
      </c>
      <c r="Q11" s="81">
        <v>-202.89999999999998</v>
      </c>
    </row>
    <row r="12" spans="1:17" x14ac:dyDescent="0.4">
      <c r="A12" s="37" t="s">
        <v>118</v>
      </c>
      <c r="B12" s="34">
        <v>99</v>
      </c>
      <c r="C12" s="31">
        <f>IF(B$46=0,0,B12/B$46)</f>
        <v>0.23294117647058823</v>
      </c>
      <c r="E12" s="44" t="s">
        <v>69</v>
      </c>
      <c r="F12" s="41" t="s">
        <v>24</v>
      </c>
      <c r="G12" s="34">
        <v>8</v>
      </c>
      <c r="H12" s="107">
        <f>IF(B$47=0,0,G12/B$47)</f>
        <v>7.6190476190476197E-2</v>
      </c>
      <c r="I12" s="68">
        <v>16</v>
      </c>
      <c r="K12" s="5">
        <v>10</v>
      </c>
      <c r="L12" s="73">
        <v>-304.60000000000002</v>
      </c>
      <c r="N12" s="90" t="s">
        <v>151</v>
      </c>
      <c r="O12" s="100">
        <f>IF(P12=0,0,Q12/P12)</f>
        <v>-6.9692307692307685</v>
      </c>
      <c r="P12" s="94">
        <v>13</v>
      </c>
      <c r="Q12" s="82">
        <v>-90.6</v>
      </c>
    </row>
    <row r="13" spans="1:17" x14ac:dyDescent="0.4">
      <c r="A13" s="19" t="s">
        <v>123</v>
      </c>
      <c r="B13" s="13">
        <v>49</v>
      </c>
      <c r="C13" s="4">
        <f>IF(B$11=0,0,B13/B$11)</f>
        <v>0.56321839080459768</v>
      </c>
      <c r="E13" s="44" t="s">
        <v>71</v>
      </c>
      <c r="F13" s="41" t="s">
        <v>26</v>
      </c>
      <c r="G13" s="34">
        <v>8</v>
      </c>
      <c r="H13" s="107">
        <f>IF(B$47=0,0,G13/B$47)</f>
        <v>7.6190476190476197E-2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37</v>
      </c>
      <c r="C14" s="4">
        <f>IF(B$12=0,0,B14/B$12)</f>
        <v>0.37373737373737376</v>
      </c>
      <c r="E14" s="44" t="s">
        <v>83</v>
      </c>
      <c r="F14" s="41" t="s">
        <v>38</v>
      </c>
      <c r="G14" s="34">
        <v>6</v>
      </c>
      <c r="H14" s="107">
        <f>IF(B$47=0,0,G14/B$47)</f>
        <v>5.7142857142857141E-2</v>
      </c>
      <c r="I14" s="68">
        <v>5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105</v>
      </c>
      <c r="C15" s="4">
        <f>IF(B$3=0,0,B15/B$3)</f>
        <v>0.24705882352941178</v>
      </c>
      <c r="E15" s="44" t="s">
        <v>78</v>
      </c>
      <c r="F15" s="41" t="s">
        <v>33</v>
      </c>
      <c r="G15" s="34">
        <v>3</v>
      </c>
      <c r="H15" s="107">
        <f>IF(B$47=0,0,G15/B$47)</f>
        <v>2.8571428571428571E-2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27.433333333333334</v>
      </c>
      <c r="P15" s="92">
        <v>6</v>
      </c>
      <c r="Q15" s="80">
        <v>164.6</v>
      </c>
    </row>
    <row r="16" spans="1:17" x14ac:dyDescent="0.4">
      <c r="A16" s="37" t="s">
        <v>13</v>
      </c>
      <c r="B16" s="34">
        <v>85</v>
      </c>
      <c r="C16" s="31">
        <f>IF(B$3=0,0,B16/B$3)</f>
        <v>0.2</v>
      </c>
      <c r="E16" s="44" t="s">
        <v>81</v>
      </c>
      <c r="F16" s="41" t="s">
        <v>36</v>
      </c>
      <c r="G16" s="34">
        <v>2</v>
      </c>
      <c r="H16" s="107">
        <f>IF(B$47=0,0,G16/B$47)</f>
        <v>1.9047619047619049E-2</v>
      </c>
      <c r="I16" s="68">
        <v>10</v>
      </c>
      <c r="K16" s="5">
        <v>14</v>
      </c>
      <c r="L16" s="73">
        <v>-416.90000000000003</v>
      </c>
      <c r="N16" s="89" t="s">
        <v>191</v>
      </c>
      <c r="O16" s="99">
        <f>IF(P16=0,0,Q16/P16)</f>
        <v>-17.12777777777778</v>
      </c>
      <c r="P16" s="93">
        <v>18</v>
      </c>
      <c r="Q16" s="81">
        <v>-308.3</v>
      </c>
    </row>
    <row r="17" spans="1:17" x14ac:dyDescent="0.4">
      <c r="A17" s="37" t="s">
        <v>12</v>
      </c>
      <c r="B17" s="34">
        <v>49</v>
      </c>
      <c r="C17" s="31">
        <f>IF(B$15=0,0,B17/B$15)</f>
        <v>0.46666666666666667</v>
      </c>
      <c r="E17" s="44" t="s">
        <v>91</v>
      </c>
      <c r="F17" s="41" t="s">
        <v>46</v>
      </c>
      <c r="G17" s="34">
        <v>2</v>
      </c>
      <c r="H17" s="107">
        <f>IF(B$47=0,0,G17/B$47)</f>
        <v>1.9047619047619049E-2</v>
      </c>
      <c r="I17" s="68">
        <v>6</v>
      </c>
      <c r="K17" s="5">
        <v>15</v>
      </c>
      <c r="L17" s="73">
        <v>-452.20000000000005</v>
      </c>
      <c r="N17" s="89" t="s">
        <v>194</v>
      </c>
      <c r="O17" s="99">
        <f>IF(P17=0,0,Q17/P17)</f>
        <v>-17.649999999999999</v>
      </c>
      <c r="P17" s="93">
        <v>2</v>
      </c>
      <c r="Q17" s="81">
        <v>-35.299999999999997</v>
      </c>
    </row>
    <row r="18" spans="1:17" x14ac:dyDescent="0.4">
      <c r="A18" s="37" t="s">
        <v>11</v>
      </c>
      <c r="B18" s="34">
        <v>56</v>
      </c>
      <c r="C18" s="31">
        <f>IF(B$15=0,0,B18/B$15)</f>
        <v>0.53333333333333333</v>
      </c>
      <c r="E18" s="44" t="s">
        <v>74</v>
      </c>
      <c r="F18" s="41" t="s">
        <v>29</v>
      </c>
      <c r="G18" s="34">
        <v>1</v>
      </c>
      <c r="H18" s="107">
        <f>IF(B$47=0,0,G18/B$47)</f>
        <v>9.5238095238095247E-3</v>
      </c>
      <c r="I18" s="68">
        <v>1</v>
      </c>
      <c r="K18" s="5">
        <v>16</v>
      </c>
      <c r="L18" s="73">
        <v>-392.1</v>
      </c>
      <c r="N18" s="89" t="s">
        <v>195</v>
      </c>
      <c r="O18" s="99">
        <f>IF(P18=0,0,Q18/P18)</f>
        <v>-22.021428571428572</v>
      </c>
      <c r="P18" s="93">
        <v>14</v>
      </c>
      <c r="Q18" s="81">
        <v>-308.3</v>
      </c>
    </row>
    <row r="19" spans="1:17" x14ac:dyDescent="0.4">
      <c r="A19" s="37" t="s">
        <v>180</v>
      </c>
      <c r="B19" s="34">
        <v>49</v>
      </c>
      <c r="C19" s="31">
        <f>IF(B$15=0,0,B19/B$15)</f>
        <v>0.46666666666666667</v>
      </c>
      <c r="E19" s="44" t="s">
        <v>95</v>
      </c>
      <c r="F19" s="41" t="s">
        <v>50</v>
      </c>
      <c r="G19" s="34">
        <v>1</v>
      </c>
      <c r="H19" s="107">
        <f>IF(B$47=0,0,G19/B$47)</f>
        <v>9.5238095238095247E-3</v>
      </c>
      <c r="I19" s="68">
        <v>1</v>
      </c>
      <c r="K19" s="5">
        <v>17</v>
      </c>
      <c r="L19" s="73">
        <v>-445.20000000000005</v>
      </c>
      <c r="N19" s="89" t="s">
        <v>190</v>
      </c>
      <c r="O19" s="99">
        <f>IF(P19=0,0,Q19/P19)</f>
        <v>-25.799999999999997</v>
      </c>
      <c r="P19" s="93">
        <v>1</v>
      </c>
      <c r="Q19" s="81">
        <v>-25.799999999999997</v>
      </c>
    </row>
    <row r="20" spans="1:17" x14ac:dyDescent="0.4">
      <c r="A20" s="37" t="s">
        <v>178</v>
      </c>
      <c r="B20" s="34">
        <v>37</v>
      </c>
      <c r="C20" s="31">
        <f>IF(B$15=0,0,B20/B$15)</f>
        <v>0.35238095238095241</v>
      </c>
      <c r="E20" s="44" t="s">
        <v>73</v>
      </c>
      <c r="F20" s="41" t="s">
        <v>28</v>
      </c>
      <c r="G20" s="34">
        <v>0</v>
      </c>
      <c r="H20" s="107">
        <f>IF(B$47=0,0,G20/B$47)</f>
        <v>0</v>
      </c>
      <c r="I20" s="68">
        <v>11</v>
      </c>
      <c r="K20" s="5">
        <v>18</v>
      </c>
      <c r="L20" s="73">
        <v>-443.20000000000005</v>
      </c>
      <c r="N20" s="89" t="s">
        <v>193</v>
      </c>
      <c r="O20" s="99">
        <f>IF(P20=0,0,Q20/P20)</f>
        <v>-27.289473684210527</v>
      </c>
      <c r="P20" s="93">
        <v>19</v>
      </c>
      <c r="Q20" s="81">
        <v>-518.5</v>
      </c>
    </row>
    <row r="21" spans="1:17" x14ac:dyDescent="0.4">
      <c r="A21" s="37" t="s">
        <v>179</v>
      </c>
      <c r="B21" s="34">
        <v>19</v>
      </c>
      <c r="C21" s="31">
        <f>IF(B$15=0,0,B21/B$15)</f>
        <v>0.18095238095238095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-443.70000000000005</v>
      </c>
      <c r="N21" s="89" t="s">
        <v>187</v>
      </c>
      <c r="O21" s="99">
        <f>IF(P21=0,0,Q21/P21)</f>
        <v>-32.171428571428571</v>
      </c>
      <c r="P21" s="93">
        <v>28</v>
      </c>
      <c r="Q21" s="81">
        <v>-900.8</v>
      </c>
    </row>
    <row r="22" spans="1:17" x14ac:dyDescent="0.4">
      <c r="A22" s="37" t="s">
        <v>5</v>
      </c>
      <c r="B22" s="17">
        <f>IF(B$15=0,0,C22/B$15)</f>
        <v>7646.666666666667</v>
      </c>
      <c r="C22" s="8">
        <v>802900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-467.6</v>
      </c>
      <c r="N22" s="89" t="s">
        <v>199</v>
      </c>
      <c r="O22" s="99">
        <f>IF(P22=0,0,Q22/P22)</f>
        <v>-41.385714285714293</v>
      </c>
      <c r="P22" s="93">
        <v>7</v>
      </c>
      <c r="Q22" s="81">
        <v>-289.70000000000005</v>
      </c>
    </row>
    <row r="23" spans="1:17" x14ac:dyDescent="0.4">
      <c r="A23" s="38" t="s">
        <v>162</v>
      </c>
      <c r="B23" s="114">
        <f>IF($B$15-B$14=0,0,C23/($B$15-B$14))</f>
        <v>8269.1176470588234</v>
      </c>
      <c r="C23" s="115">
        <v>562300</v>
      </c>
      <c r="E23" s="44" t="s">
        <v>77</v>
      </c>
      <c r="F23" s="41" t="s">
        <v>32</v>
      </c>
      <c r="G23" s="34">
        <v>0</v>
      </c>
      <c r="H23" s="107">
        <f>IF(B$47=0,0,G23/B$47)</f>
        <v>0</v>
      </c>
      <c r="I23" s="68">
        <v>9</v>
      </c>
      <c r="K23" s="5">
        <v>21</v>
      </c>
      <c r="L23" s="73">
        <v>-469.5</v>
      </c>
      <c r="N23" s="89" t="s">
        <v>186</v>
      </c>
      <c r="O23" s="99">
        <f>IF(P23=0,0,Q23/P23)</f>
        <v>-67.157142857142858</v>
      </c>
      <c r="P23" s="93">
        <v>7</v>
      </c>
      <c r="Q23" s="81">
        <v>-470.1</v>
      </c>
    </row>
    <row r="24" spans="1:17" x14ac:dyDescent="0.4">
      <c r="A24" s="38" t="s">
        <v>163</v>
      </c>
      <c r="B24" s="114">
        <f>IF(B$14=0,0,C24/B$14)</f>
        <v>6502.7027027027025</v>
      </c>
      <c r="C24" s="115">
        <v>240600</v>
      </c>
      <c r="E24" s="44" t="s">
        <v>79</v>
      </c>
      <c r="F24" s="41" t="s">
        <v>34</v>
      </c>
      <c r="G24" s="34">
        <v>0</v>
      </c>
      <c r="H24" s="107">
        <f>IF(B$47=0,0,G24/B$47)</f>
        <v>0</v>
      </c>
      <c r="I24" s="68">
        <v>13</v>
      </c>
      <c r="K24" s="5">
        <v>22</v>
      </c>
      <c r="L24" s="73">
        <v>-510.20000000000005</v>
      </c>
    </row>
    <row r="25" spans="1:17" x14ac:dyDescent="0.4">
      <c r="A25" s="38" t="s">
        <v>161</v>
      </c>
      <c r="B25" s="114">
        <f>IF(B$16=0,0,C25/B$16)</f>
        <v>-7947.0588235294117</v>
      </c>
      <c r="C25" s="115">
        <v>-675500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-559.5</v>
      </c>
    </row>
    <row r="26" spans="1:17" x14ac:dyDescent="0.4">
      <c r="A26" s="37" t="s">
        <v>155</v>
      </c>
      <c r="B26" s="34">
        <v>5</v>
      </c>
      <c r="C26" s="109">
        <v>0</v>
      </c>
      <c r="E26" s="44" t="s">
        <v>82</v>
      </c>
      <c r="F26" s="41" t="s">
        <v>37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-565.10000000000014</v>
      </c>
    </row>
    <row r="27" spans="1:17" x14ac:dyDescent="0.4">
      <c r="A27" s="37" t="s">
        <v>156</v>
      </c>
      <c r="B27" s="34">
        <v>19</v>
      </c>
      <c r="C27" s="109">
        <v>0</v>
      </c>
      <c r="E27" s="44" t="s">
        <v>84</v>
      </c>
      <c r="F27" s="41" t="s">
        <v>39</v>
      </c>
      <c r="G27" s="34">
        <v>0</v>
      </c>
      <c r="H27" s="107">
        <f>IF(B$47=0,0,G27/B$47)</f>
        <v>0</v>
      </c>
      <c r="I27" s="68">
        <v>6</v>
      </c>
      <c r="K27" s="5">
        <v>25</v>
      </c>
      <c r="L27" s="73">
        <v>-612.90000000000009</v>
      </c>
    </row>
    <row r="28" spans="1:17" x14ac:dyDescent="0.4">
      <c r="A28" s="64" t="s">
        <v>134</v>
      </c>
      <c r="B28" s="131">
        <v>6</v>
      </c>
      <c r="C28" s="132"/>
      <c r="E28" s="44" t="s">
        <v>85</v>
      </c>
      <c r="F28" s="41" t="s">
        <v>40</v>
      </c>
      <c r="G28" s="34">
        <v>0</v>
      </c>
      <c r="H28" s="107">
        <f>IF(B$47=0,0,G28/B$47)</f>
        <v>0</v>
      </c>
      <c r="I28" s="68">
        <v>8</v>
      </c>
      <c r="K28" s="5">
        <v>26</v>
      </c>
      <c r="L28" s="73">
        <v>-645.20000000000005</v>
      </c>
    </row>
    <row r="29" spans="1:17" x14ac:dyDescent="0.4">
      <c r="A29" s="40" t="s">
        <v>177</v>
      </c>
      <c r="B29" s="129">
        <v>85100</v>
      </c>
      <c r="C29" s="130"/>
      <c r="E29" s="44" t="s">
        <v>87</v>
      </c>
      <c r="F29" s="41" t="s">
        <v>42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-648.10000000000014</v>
      </c>
    </row>
    <row r="30" spans="1:17" x14ac:dyDescent="0.4">
      <c r="A30" s="39" t="s">
        <v>135</v>
      </c>
      <c r="B30" s="27">
        <v>2</v>
      </c>
      <c r="C30" s="32">
        <f>IF(B$3=0,0,B30/B$3)</f>
        <v>4.7058823529411761E-3</v>
      </c>
      <c r="E30" s="44" t="s">
        <v>88</v>
      </c>
      <c r="F30" s="41" t="s">
        <v>43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-693.2</v>
      </c>
    </row>
    <row r="31" spans="1:17" x14ac:dyDescent="0.4">
      <c r="E31" s="44" t="s">
        <v>90</v>
      </c>
      <c r="F31" s="41" t="s">
        <v>45</v>
      </c>
      <c r="G31" s="34">
        <v>0</v>
      </c>
      <c r="H31" s="107">
        <f>IF(B$47=0,0,G31/B$47)</f>
        <v>0</v>
      </c>
      <c r="I31" s="68">
        <v>6</v>
      </c>
      <c r="K31" s="5">
        <v>29</v>
      </c>
      <c r="L31" s="73">
        <v>-720.7</v>
      </c>
    </row>
    <row r="32" spans="1:17" x14ac:dyDescent="0.4">
      <c r="A32" s="64" t="s">
        <v>168</v>
      </c>
      <c r="B32" s="122">
        <v>10</v>
      </c>
      <c r="C32" s="119">
        <f>IF(B$15=0,0,B32/B$15)</f>
        <v>9.5238095238095233E-2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37" t="s">
        <v>164</v>
      </c>
      <c r="B33" s="34">
        <v>23</v>
      </c>
      <c r="C33" s="31">
        <f t="shared" ref="C33:C44" si="2">IF(B$15=0,0,B33/B$15)</f>
        <v>0.21904761904761905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-757.60000000000014</v>
      </c>
    </row>
    <row r="34" spans="1:12" x14ac:dyDescent="0.4">
      <c r="A34" s="37" t="s">
        <v>165</v>
      </c>
      <c r="B34" s="123">
        <v>23</v>
      </c>
      <c r="C34" s="31">
        <f>IF(B$15=0,0,B34/B$15)</f>
        <v>0.21904761904761905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-742.70000000000016</v>
      </c>
    </row>
    <row r="35" spans="1:12" x14ac:dyDescent="0.4">
      <c r="A35" s="37" t="s">
        <v>166</v>
      </c>
      <c r="B35" s="123">
        <v>15</v>
      </c>
      <c r="C35" s="31">
        <f t="shared" si="2"/>
        <v>0.14285714285714285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37" t="s">
        <v>167</v>
      </c>
      <c r="B36" s="123">
        <v>14</v>
      </c>
      <c r="C36" s="31">
        <f t="shared" si="2"/>
        <v>0.13333333333333333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-780.90000000000009</v>
      </c>
    </row>
    <row r="37" spans="1:12" x14ac:dyDescent="0.4">
      <c r="A37" s="37" t="s">
        <v>169</v>
      </c>
      <c r="B37" s="123">
        <v>6</v>
      </c>
      <c r="C37" s="31">
        <f t="shared" si="2"/>
        <v>5.7142857142857141E-2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-731.80000000000018</v>
      </c>
    </row>
    <row r="38" spans="1:12" x14ac:dyDescent="0.4">
      <c r="A38" s="37" t="s">
        <v>170</v>
      </c>
      <c r="B38" s="123">
        <v>6</v>
      </c>
      <c r="C38" s="31">
        <f t="shared" si="2"/>
        <v>5.7142857142857141E-2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171</v>
      </c>
      <c r="B39" s="123">
        <v>6</v>
      </c>
      <c r="C39" s="31">
        <f t="shared" si="2"/>
        <v>5.7142857142857141E-2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-735.20000000000016</v>
      </c>
    </row>
    <row r="41" spans="1:12" x14ac:dyDescent="0.4">
      <c r="A41" s="37" t="s">
        <v>173</v>
      </c>
      <c r="B41" s="123">
        <v>1</v>
      </c>
      <c r="C41" s="31">
        <f t="shared" si="2"/>
        <v>9.5238095238095247E-3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-765.10000000000014</v>
      </c>
    </row>
    <row r="42" spans="1:12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9" t="s">
        <v>176</v>
      </c>
      <c r="B44" s="124">
        <v>1</v>
      </c>
      <c r="C44" s="32">
        <f t="shared" si="2"/>
        <v>9.5238095238095247E-3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-824.50000000000011</v>
      </c>
    </row>
    <row r="46" spans="1:12" x14ac:dyDescent="0.4">
      <c r="A46" s="64" t="s">
        <v>181</v>
      </c>
      <c r="B46" s="127">
        <v>425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-775.30000000000018</v>
      </c>
    </row>
    <row r="47" spans="1:12" x14ac:dyDescent="0.4">
      <c r="A47" s="39" t="s">
        <v>182</v>
      </c>
      <c r="B47" s="125">
        <v>105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  <c r="K51" s="5">
        <v>49</v>
      </c>
      <c r="L51" s="73">
        <v>-866.30000000000007</v>
      </c>
    </row>
    <row r="52" spans="5:12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">
      <c r="K53" s="5">
        <v>51</v>
      </c>
      <c r="L53" s="73">
        <v>-897.40000000000009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3E53A-2BEA-48E5-B69A-8E7905962EF5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5" t="s">
        <v>198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37">
        <v>32</v>
      </c>
      <c r="C3" s="138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16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39">
        <v>-56.2</v>
      </c>
      <c r="C4" s="140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16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41">
        <f>IF(B$2=0,0,B$4/B$2)</f>
        <v>-14.05</v>
      </c>
      <c r="C5" s="142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12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33">
        <f>IF(B$2=0,0,(B$7*1+B$8*2+B$9*3)/B$2)</f>
        <v>2.25</v>
      </c>
      <c r="C6" s="134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10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17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3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4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15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11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10</v>
      </c>
    </row>
    <row r="19" spans="1:9" x14ac:dyDescent="0.4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13</v>
      </c>
    </row>
    <row r="22" spans="1:9" x14ac:dyDescent="0.4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13</v>
      </c>
    </row>
    <row r="23" spans="1:9" x14ac:dyDescent="0.4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6</v>
      </c>
    </row>
    <row r="26" spans="1:9" x14ac:dyDescent="0.4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8</v>
      </c>
    </row>
    <row r="27" spans="1:9" x14ac:dyDescent="0.4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9</v>
      </c>
    </row>
    <row r="28" spans="1:9" x14ac:dyDescent="0.4">
      <c r="A28" s="64" t="s">
        <v>134</v>
      </c>
      <c r="B28" s="131">
        <v>2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7</v>
      </c>
    </row>
    <row r="29" spans="1:9" x14ac:dyDescent="0.4">
      <c r="A29" s="40" t="s">
        <v>177</v>
      </c>
      <c r="B29" s="129">
        <v>55200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6</v>
      </c>
    </row>
    <row r="30" spans="1:9" x14ac:dyDescent="0.4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13</v>
      </c>
    </row>
    <row r="31" spans="1:9" x14ac:dyDescent="0.4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8</v>
      </c>
    </row>
    <row r="32" spans="1:9" x14ac:dyDescent="0.4">
      <c r="A32" s="64" t="s">
        <v>168</v>
      </c>
      <c r="B32" s="122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">
      <c r="A34" s="37" t="s">
        <v>165</v>
      </c>
      <c r="B34" s="123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6</v>
      </c>
    </row>
    <row r="35" spans="1:9" x14ac:dyDescent="0.4">
      <c r="A35" s="37" t="s">
        <v>166</v>
      </c>
      <c r="B35" s="123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">
      <c r="A37" s="37" t="s">
        <v>169</v>
      </c>
      <c r="B37" s="123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">
      <c r="A47" s="39" t="s">
        <v>182</v>
      </c>
      <c r="B47" s="125">
        <v>10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9</v>
      </c>
    </row>
    <row r="52" spans="5:9" x14ac:dyDescent="0.4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1064</vt:i4>
      </vt:variant>
    </vt:vector>
  </HeadingPairs>
  <TitlesOfParts>
    <vt:vector size="1085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2019-11-24T13:20:57Z</dcterms:modified>
</cp:coreProperties>
</file>