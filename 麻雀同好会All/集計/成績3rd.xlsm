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8_{DC39B0AC-27CF-4CE1-A231-4322394CBAFB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91" r:id="rId6"/>
    <sheet name="たかの" sheetId="5693" r:id="rId7"/>
    <sheet name="だいち" sheetId="5695" r:id="rId8"/>
    <sheet name="ただ" sheetId="5697" r:id="rId9"/>
    <sheet name="りくと" sheetId="5699" r:id="rId10"/>
    <sheet name="れんたろう" sheetId="5701" r:id="rId11"/>
    <sheet name="まっつん" sheetId="5703" r:id="rId12"/>
    <sheet name="のり" sheetId="5705" r:id="rId13"/>
    <sheet name="ぱぱ" sheetId="5707" r:id="rId14"/>
    <sheet name="ほたに" sheetId="5709" r:id="rId15"/>
    <sheet name="ほたに2" sheetId="5710" state="hidden" r:id="rId16"/>
    <sheet name="ぱぱ2" sheetId="5708" state="hidden" r:id="rId17"/>
    <sheet name="のり2" sheetId="5706" state="hidden" r:id="rId18"/>
    <sheet name="まっつん2" sheetId="5704" state="hidden" r:id="rId19"/>
    <sheet name="れんたろう2" sheetId="5702" state="hidden" r:id="rId20"/>
    <sheet name="りくと2" sheetId="5700" state="hidden" r:id="rId21"/>
    <sheet name="ただ2" sheetId="5698" state="hidden" r:id="rId22"/>
    <sheet name="だいち2" sheetId="5696" state="hidden" r:id="rId23"/>
    <sheet name="たかの2" sheetId="5694" state="hidden" r:id="rId24"/>
    <sheet name="全体2" sheetId="56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01" l="1"/>
  <c r="O19" i="5709"/>
  <c r="O15" i="5699" l="1"/>
  <c r="O18" i="5705"/>
  <c r="O16" i="5709" l="1"/>
  <c r="O22" i="5699"/>
  <c r="O20" i="5693" l="1"/>
  <c r="O16" i="5695"/>
  <c r="O15" i="5705"/>
  <c r="O19" i="5705"/>
  <c r="O20" i="5703" l="1"/>
  <c r="O18" i="5707"/>
  <c r="O16" i="5697" l="1"/>
  <c r="O17" i="5703"/>
  <c r="O20" i="5705"/>
  <c r="O17" i="5705"/>
  <c r="O18" i="5693" l="1"/>
  <c r="O19" i="5707"/>
  <c r="O20" i="5707"/>
  <c r="O18" i="5699"/>
  <c r="O18" i="5697" l="1"/>
  <c r="O20" i="5701"/>
  <c r="O19" i="5701" l="1"/>
  <c r="O21" i="5695"/>
  <c r="O22" i="5705"/>
  <c r="O17" i="5709"/>
  <c r="O15" i="5709"/>
  <c r="O21" i="5707"/>
  <c r="O15" i="5697" l="1"/>
  <c r="O17" i="5697"/>
  <c r="O18" i="5709"/>
  <c r="O20" i="5709"/>
  <c r="C27" i="5709"/>
  <c r="B24" i="5709"/>
  <c r="C20" i="5709"/>
  <c r="B17" i="5709"/>
  <c r="H50" i="5709" s="1"/>
  <c r="C16" i="5709"/>
  <c r="C15" i="5709"/>
  <c r="C14" i="5709"/>
  <c r="C13" i="5709"/>
  <c r="O12" i="5709"/>
  <c r="C12" i="5709"/>
  <c r="O11" i="5709"/>
  <c r="C11" i="5709"/>
  <c r="O10" i="5709"/>
  <c r="C10" i="5709"/>
  <c r="C9" i="5709"/>
  <c r="C8" i="5709"/>
  <c r="O7" i="5709"/>
  <c r="C7" i="5709"/>
  <c r="O6" i="5709"/>
  <c r="B6" i="5709"/>
  <c r="O5" i="5709"/>
  <c r="B5" i="5709"/>
  <c r="O4" i="5709"/>
  <c r="O3" i="5709"/>
  <c r="O2" i="5709"/>
  <c r="O21" i="5703"/>
  <c r="O15" i="5703"/>
  <c r="O16" i="5691"/>
  <c r="H4" i="5709" l="1"/>
  <c r="H9" i="5709"/>
  <c r="H2" i="5709"/>
  <c r="H16" i="5709"/>
  <c r="H48" i="5709"/>
  <c r="H17" i="5709"/>
  <c r="H8" i="5709"/>
  <c r="H10" i="5709"/>
  <c r="H5" i="5709"/>
  <c r="C18" i="5709"/>
  <c r="H31" i="5709"/>
  <c r="B23" i="5709"/>
  <c r="H32" i="5709"/>
  <c r="H25" i="5709"/>
  <c r="H39" i="5709"/>
  <c r="H22" i="5709"/>
  <c r="H40" i="5709"/>
  <c r="H47" i="5709"/>
  <c r="H19" i="5709"/>
  <c r="H27" i="5709"/>
  <c r="H35" i="5709"/>
  <c r="H43" i="5709"/>
  <c r="H51" i="5709"/>
  <c r="H12" i="5709"/>
  <c r="H14" i="5709"/>
  <c r="H3" i="5709"/>
  <c r="H6" i="5709"/>
  <c r="H11" i="5709"/>
  <c r="C17" i="5709"/>
  <c r="H24" i="5709"/>
  <c r="H28" i="5709"/>
  <c r="H36" i="5709"/>
  <c r="H44" i="5709"/>
  <c r="H52" i="5709"/>
  <c r="H18" i="5709"/>
  <c r="H20" i="5709"/>
  <c r="H23" i="5709"/>
  <c r="H26" i="5709"/>
  <c r="H29" i="5709"/>
  <c r="H33" i="5709"/>
  <c r="H37" i="5709"/>
  <c r="H41" i="5709"/>
  <c r="H45" i="5709"/>
  <c r="H49" i="5709"/>
  <c r="H7" i="5709"/>
  <c r="H13" i="5709"/>
  <c r="H15" i="5709"/>
  <c r="C19" i="5709"/>
  <c r="H21" i="5709"/>
  <c r="H30" i="5709"/>
  <c r="H34" i="5709"/>
  <c r="H38" i="5709"/>
  <c r="H42" i="5709"/>
  <c r="H46" i="5709"/>
  <c r="O18" i="5695" l="1"/>
  <c r="O19" i="5699"/>
  <c r="O17" i="5695" l="1"/>
  <c r="O18" i="5703"/>
  <c r="O22" i="5703"/>
  <c r="O15" i="5693"/>
  <c r="O19" i="5697"/>
  <c r="O16" i="5699"/>
  <c r="O17" i="5699"/>
  <c r="O19" i="5693"/>
  <c r="O22" i="5697"/>
  <c r="O15" i="5695"/>
  <c r="O17" i="5707"/>
  <c r="O22" i="5707"/>
  <c r="O21" i="5701" l="1"/>
  <c r="O18" i="5701"/>
  <c r="O16" i="5707"/>
  <c r="O15" i="5707"/>
  <c r="C27" i="5707"/>
  <c r="B24" i="5707"/>
  <c r="C20" i="5707"/>
  <c r="B17" i="5707"/>
  <c r="H50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5" i="5691"/>
  <c r="O16" i="5705"/>
  <c r="O21" i="5705"/>
  <c r="C27" i="5705"/>
  <c r="B24" i="5705"/>
  <c r="C20" i="5705"/>
  <c r="B17" i="5705"/>
  <c r="H50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O23" i="5691"/>
  <c r="H14" i="5705" l="1"/>
  <c r="H4" i="5705"/>
  <c r="H12" i="5705"/>
  <c r="H2" i="5705"/>
  <c r="H9" i="5707"/>
  <c r="H12" i="5707"/>
  <c r="H14" i="5707"/>
  <c r="H19" i="5707"/>
  <c r="H27" i="5707"/>
  <c r="H35" i="5707"/>
  <c r="H43" i="5707"/>
  <c r="H51" i="5707"/>
  <c r="H3" i="5707"/>
  <c r="H6" i="5707"/>
  <c r="H11" i="5707"/>
  <c r="C17" i="5707"/>
  <c r="H24" i="5707"/>
  <c r="H28" i="5707"/>
  <c r="H36" i="5707"/>
  <c r="H44" i="5707"/>
  <c r="H52" i="5707"/>
  <c r="H5" i="5707"/>
  <c r="H8" i="5707"/>
  <c r="H10" i="5707"/>
  <c r="H17" i="5707"/>
  <c r="H22" i="5707"/>
  <c r="H25" i="5707"/>
  <c r="H31" i="5707"/>
  <c r="H39" i="5707"/>
  <c r="H47" i="5707"/>
  <c r="H2" i="5707"/>
  <c r="H4" i="5707"/>
  <c r="H16" i="5707"/>
  <c r="C18" i="5707"/>
  <c r="B23" i="5707"/>
  <c r="H32" i="5707"/>
  <c r="H40" i="5707"/>
  <c r="H48" i="5707"/>
  <c r="H18" i="5707"/>
  <c r="H20" i="5707"/>
  <c r="H23" i="5707"/>
  <c r="H26" i="5707"/>
  <c r="H29" i="5707"/>
  <c r="H33" i="5707"/>
  <c r="H37" i="5707"/>
  <c r="H41" i="5707"/>
  <c r="H45" i="5707"/>
  <c r="H49" i="5707"/>
  <c r="H7" i="5707"/>
  <c r="H13" i="5707"/>
  <c r="H15" i="5707"/>
  <c r="C19" i="5707"/>
  <c r="H21" i="5707"/>
  <c r="H30" i="5707"/>
  <c r="H34" i="5707"/>
  <c r="H38" i="5707"/>
  <c r="H42" i="5707"/>
  <c r="H46" i="5707"/>
  <c r="H32" i="5705"/>
  <c r="C18" i="5705"/>
  <c r="H9" i="5705"/>
  <c r="H16" i="5705"/>
  <c r="B23" i="5705"/>
  <c r="H40" i="5705"/>
  <c r="H48" i="5705"/>
  <c r="H5" i="5705"/>
  <c r="H8" i="5705"/>
  <c r="H10" i="5705"/>
  <c r="H17" i="5705"/>
  <c r="H22" i="5705"/>
  <c r="H25" i="5705"/>
  <c r="H31" i="5705"/>
  <c r="H39" i="5705"/>
  <c r="H47" i="5705"/>
  <c r="H19" i="5705"/>
  <c r="H27" i="5705"/>
  <c r="H35" i="5705"/>
  <c r="H43" i="5705"/>
  <c r="H51" i="5705"/>
  <c r="H3" i="5705"/>
  <c r="H6" i="5705"/>
  <c r="H11" i="5705"/>
  <c r="C17" i="5705"/>
  <c r="H24" i="5705"/>
  <c r="H28" i="5705"/>
  <c r="H36" i="5705"/>
  <c r="H44" i="5705"/>
  <c r="H52" i="5705"/>
  <c r="H18" i="5705"/>
  <c r="H20" i="5705"/>
  <c r="H23" i="5705"/>
  <c r="H26" i="5705"/>
  <c r="H29" i="5705"/>
  <c r="H33" i="5705"/>
  <c r="H37" i="5705"/>
  <c r="H41" i="5705"/>
  <c r="H45" i="5705"/>
  <c r="H49" i="5705"/>
  <c r="H7" i="5705"/>
  <c r="H13" i="5705"/>
  <c r="H15" i="5705"/>
  <c r="C19" i="5705"/>
  <c r="H21" i="5705"/>
  <c r="H30" i="5705"/>
  <c r="H34" i="5705"/>
  <c r="H38" i="5705"/>
  <c r="H42" i="5705"/>
  <c r="H46" i="5705"/>
  <c r="O19" i="5703" l="1"/>
  <c r="O16" i="5703"/>
  <c r="C27" i="5703"/>
  <c r="B24" i="5703"/>
  <c r="C20" i="5703"/>
  <c r="B17" i="5703"/>
  <c r="H19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6" i="5701"/>
  <c r="O17" i="5701"/>
  <c r="C27" i="5701"/>
  <c r="B24" i="5701"/>
  <c r="C20" i="5701"/>
  <c r="B17" i="5701"/>
  <c r="H50" i="5701" s="1"/>
  <c r="C16" i="5701"/>
  <c r="C15" i="5701"/>
  <c r="C14" i="5701"/>
  <c r="C13" i="5701"/>
  <c r="O12" i="5701"/>
  <c r="C12" i="5701"/>
  <c r="O11" i="5701"/>
  <c r="C11" i="5701"/>
  <c r="O10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O17" i="5691"/>
  <c r="O21" i="5699"/>
  <c r="O20" i="5699"/>
  <c r="C27" i="5699"/>
  <c r="B24" i="5699"/>
  <c r="C20" i="5699"/>
  <c r="B17" i="5699"/>
  <c r="H20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19" i="5691"/>
  <c r="O20" i="5691"/>
  <c r="H13" i="5699" l="1"/>
  <c r="H3" i="5699"/>
  <c r="H2" i="5699"/>
  <c r="H9" i="5699"/>
  <c r="H4" i="5699"/>
  <c r="H14" i="5699"/>
  <c r="H29" i="5699"/>
  <c r="H41" i="5699"/>
  <c r="H27" i="5699"/>
  <c r="H42" i="5699"/>
  <c r="H18" i="5699"/>
  <c r="B23" i="5699"/>
  <c r="H33" i="5699"/>
  <c r="H50" i="5699"/>
  <c r="H6" i="5699"/>
  <c r="C18" i="5699"/>
  <c r="H34" i="5699"/>
  <c r="H3" i="5703"/>
  <c r="H2" i="5703"/>
  <c r="H8" i="5703"/>
  <c r="H4" i="5703"/>
  <c r="H13" i="5703"/>
  <c r="C19" i="5703"/>
  <c r="H28" i="5703"/>
  <c r="H29" i="5703"/>
  <c r="H34" i="5703"/>
  <c r="H18" i="5703"/>
  <c r="H49" i="5703"/>
  <c r="H22" i="5703"/>
  <c r="C17" i="5703"/>
  <c r="H26" i="5703"/>
  <c r="B23" i="5703"/>
  <c r="H35" i="5703"/>
  <c r="H42" i="5703"/>
  <c r="H50" i="5703"/>
  <c r="H10" i="5703"/>
  <c r="H7" i="5703"/>
  <c r="H14" i="5703"/>
  <c r="H21" i="5703"/>
  <c r="H11" i="5703"/>
  <c r="H9" i="5703"/>
  <c r="H38" i="5703"/>
  <c r="H45" i="5703"/>
  <c r="H5" i="5703"/>
  <c r="H24" i="5703"/>
  <c r="H6" i="5703"/>
  <c r="H20" i="5703"/>
  <c r="H23" i="5703"/>
  <c r="H16" i="5703"/>
  <c r="C18" i="5703"/>
  <c r="H12" i="5703"/>
  <c r="H15" i="5703"/>
  <c r="H31" i="5703"/>
  <c r="H39" i="5703"/>
  <c r="H46" i="5703"/>
  <c r="H52" i="5703"/>
  <c r="H25" i="5703"/>
  <c r="H27" i="5703"/>
  <c r="H17" i="5703"/>
  <c r="H30" i="5703"/>
  <c r="H32" i="5703"/>
  <c r="H36" i="5703"/>
  <c r="H40" i="5703"/>
  <c r="H43" i="5703"/>
  <c r="H47" i="5703"/>
  <c r="H51" i="5703"/>
  <c r="H33" i="5703"/>
  <c r="H37" i="5703"/>
  <c r="H41" i="5703"/>
  <c r="H44" i="5703"/>
  <c r="H48" i="5703"/>
  <c r="H4" i="5701"/>
  <c r="C18" i="5701"/>
  <c r="H12" i="5701"/>
  <c r="H32" i="5701"/>
  <c r="H14" i="5701"/>
  <c r="H2" i="5701"/>
  <c r="H9" i="5701"/>
  <c r="H16" i="5701"/>
  <c r="B23" i="5701"/>
  <c r="H40" i="5701"/>
  <c r="H48" i="5701"/>
  <c r="H19" i="5701"/>
  <c r="H27" i="5701"/>
  <c r="H35" i="5701"/>
  <c r="H43" i="5701"/>
  <c r="H51" i="5701"/>
  <c r="H3" i="5701"/>
  <c r="H6" i="5701"/>
  <c r="H11" i="5701"/>
  <c r="C17" i="5701"/>
  <c r="H24" i="5701"/>
  <c r="H28" i="5701"/>
  <c r="H36" i="5701"/>
  <c r="H44" i="5701"/>
  <c r="H52" i="5701"/>
  <c r="H5" i="5701"/>
  <c r="H8" i="5701"/>
  <c r="H10" i="5701"/>
  <c r="H17" i="5701"/>
  <c r="H22" i="5701"/>
  <c r="H25" i="5701"/>
  <c r="H31" i="5701"/>
  <c r="H39" i="5701"/>
  <c r="H47" i="5701"/>
  <c r="H18" i="5701"/>
  <c r="H20" i="5701"/>
  <c r="H23" i="5701"/>
  <c r="H26" i="5701"/>
  <c r="H29" i="5701"/>
  <c r="H33" i="5701"/>
  <c r="H37" i="5701"/>
  <c r="H41" i="5701"/>
  <c r="H45" i="5701"/>
  <c r="H49" i="5701"/>
  <c r="H7" i="5701"/>
  <c r="H13" i="5701"/>
  <c r="H15" i="5701"/>
  <c r="C19" i="5701"/>
  <c r="H21" i="5701"/>
  <c r="H30" i="5701"/>
  <c r="H34" i="5701"/>
  <c r="H38" i="5701"/>
  <c r="H42" i="5701"/>
  <c r="H46" i="5701"/>
  <c r="H49" i="5699"/>
  <c r="H22" i="5699"/>
  <c r="H23" i="5699"/>
  <c r="H15" i="5699"/>
  <c r="H11" i="5699"/>
  <c r="H37" i="5699"/>
  <c r="H45" i="5699"/>
  <c r="H5" i="5699"/>
  <c r="H10" i="5699"/>
  <c r="H7" i="5699"/>
  <c r="H21" i="5699"/>
  <c r="C17" i="5699"/>
  <c r="H16" i="5699"/>
  <c r="H31" i="5699"/>
  <c r="H38" i="5699"/>
  <c r="H46" i="5699"/>
  <c r="H52" i="5699"/>
  <c r="H25" i="5699"/>
  <c r="H26" i="5699"/>
  <c r="H28" i="5699"/>
  <c r="H30" i="5699"/>
  <c r="H19" i="5699"/>
  <c r="H35" i="5699"/>
  <c r="H39" i="5699"/>
  <c r="H43" i="5699"/>
  <c r="H47" i="5699"/>
  <c r="H51" i="5699"/>
  <c r="H8" i="5699"/>
  <c r="H17" i="5699"/>
  <c r="H24" i="5699"/>
  <c r="C19" i="5699"/>
  <c r="H12" i="5699"/>
  <c r="H32" i="5699"/>
  <c r="H36" i="5699"/>
  <c r="H40" i="5699"/>
  <c r="H44" i="5699"/>
  <c r="H48" i="5699"/>
  <c r="O21" i="5697" l="1"/>
  <c r="O20" i="5697"/>
  <c r="C27" i="5697"/>
  <c r="B24" i="5697"/>
  <c r="C20" i="5697"/>
  <c r="B17" i="5697"/>
  <c r="H4" i="5697" s="1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20" i="5695"/>
  <c r="O19" i="5695"/>
  <c r="C27" i="5695"/>
  <c r="B24" i="5695"/>
  <c r="C20" i="5695"/>
  <c r="B17" i="5695"/>
  <c r="H5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O3" i="5695"/>
  <c r="O2" i="5695"/>
  <c r="O18" i="5691"/>
  <c r="O16" i="5693"/>
  <c r="O17" i="5693"/>
  <c r="C27" i="5693"/>
  <c r="B24" i="5693"/>
  <c r="C20" i="5693"/>
  <c r="B17" i="5693"/>
  <c r="H4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1" i="5691"/>
  <c r="O22" i="5691"/>
  <c r="C27" i="5691"/>
  <c r="B24" i="5691"/>
  <c r="C20" i="5691"/>
  <c r="B17" i="5691"/>
  <c r="H51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H3" i="5693" l="1"/>
  <c r="H8" i="5693"/>
  <c r="H23" i="5697"/>
  <c r="C19" i="5697"/>
  <c r="H19" i="5697"/>
  <c r="H6" i="5697"/>
  <c r="H7" i="5697"/>
  <c r="H31" i="5697"/>
  <c r="H11" i="5697"/>
  <c r="H14" i="5697"/>
  <c r="H5" i="5693"/>
  <c r="C17" i="5693"/>
  <c r="H31" i="5693"/>
  <c r="H7" i="5693"/>
  <c r="H15" i="5693"/>
  <c r="H2" i="5693"/>
  <c r="H22" i="5693"/>
  <c r="H12" i="5693"/>
  <c r="B23" i="5697"/>
  <c r="H32" i="5697"/>
  <c r="H5" i="5697"/>
  <c r="H2" i="5697"/>
  <c r="H10" i="5697"/>
  <c r="H21" i="5697"/>
  <c r="C18" i="5697"/>
  <c r="H46" i="5697"/>
  <c r="H42" i="5697"/>
  <c r="H29" i="5697"/>
  <c r="H34" i="5697"/>
  <c r="H50" i="5697"/>
  <c r="H13" i="5697"/>
  <c r="H3" i="5697"/>
  <c r="H9" i="5697"/>
  <c r="H22" i="5697"/>
  <c r="H24" i="5697"/>
  <c r="C17" i="5697"/>
  <c r="H15" i="5697"/>
  <c r="H38" i="5697"/>
  <c r="H52" i="5697"/>
  <c r="H25" i="5697"/>
  <c r="H26" i="5697"/>
  <c r="H28" i="5697"/>
  <c r="H30" i="5697"/>
  <c r="H16" i="5697"/>
  <c r="H35" i="5697"/>
  <c r="H39" i="5697"/>
  <c r="H43" i="5697"/>
  <c r="H47" i="5697"/>
  <c r="H51" i="5697"/>
  <c r="H36" i="5697"/>
  <c r="H40" i="5697"/>
  <c r="H44" i="5697"/>
  <c r="H48" i="5697"/>
  <c r="H20" i="5697"/>
  <c r="H17" i="5697"/>
  <c r="H18" i="5697"/>
  <c r="H27" i="5697"/>
  <c r="H12" i="5697"/>
  <c r="H8" i="5697"/>
  <c r="H33" i="5697"/>
  <c r="H37" i="5697"/>
  <c r="H41" i="5697"/>
  <c r="H45" i="5697"/>
  <c r="H49" i="5697"/>
  <c r="H3" i="5695"/>
  <c r="H2" i="5695"/>
  <c r="H4" i="5695"/>
  <c r="H11" i="5695"/>
  <c r="H33" i="5695"/>
  <c r="H35" i="5695"/>
  <c r="H42" i="5695"/>
  <c r="H50" i="5695"/>
  <c r="H9" i="5695"/>
  <c r="H28" i="5695"/>
  <c r="H17" i="5695"/>
  <c r="C17" i="5695"/>
  <c r="H13" i="5695"/>
  <c r="H36" i="5695"/>
  <c r="H44" i="5695"/>
  <c r="H16" i="5695"/>
  <c r="H10" i="5695"/>
  <c r="H7" i="5695"/>
  <c r="H12" i="5695"/>
  <c r="H20" i="5695"/>
  <c r="C18" i="5695"/>
  <c r="B23" i="5695"/>
  <c r="H24" i="5695"/>
  <c r="H38" i="5695"/>
  <c r="H46" i="5695"/>
  <c r="H52" i="5695"/>
  <c r="H6" i="5695"/>
  <c r="H27" i="5695"/>
  <c r="H29" i="5695"/>
  <c r="H14" i="5695"/>
  <c r="C19" i="5695"/>
  <c r="H19" i="5695"/>
  <c r="H40" i="5695"/>
  <c r="H48" i="5695"/>
  <c r="H31" i="5695"/>
  <c r="H32" i="5695"/>
  <c r="H22" i="5695"/>
  <c r="H23" i="5695"/>
  <c r="H25" i="5695"/>
  <c r="H26" i="5695"/>
  <c r="H39" i="5695"/>
  <c r="H43" i="5695"/>
  <c r="H47" i="5695"/>
  <c r="H51" i="5695"/>
  <c r="H30" i="5695"/>
  <c r="H21" i="5695"/>
  <c r="H18" i="5695"/>
  <c r="H15" i="5695"/>
  <c r="H8" i="5695"/>
  <c r="H34" i="5695"/>
  <c r="H37" i="5695"/>
  <c r="H41" i="5695"/>
  <c r="H45" i="5695"/>
  <c r="H49" i="5695"/>
  <c r="H7" i="5691"/>
  <c r="H10" i="5693"/>
  <c r="C18" i="5693"/>
  <c r="H33" i="5693"/>
  <c r="H11" i="5693"/>
  <c r="H6" i="5693"/>
  <c r="H21" i="5693"/>
  <c r="B23" i="5693"/>
  <c r="H9" i="5693"/>
  <c r="H20" i="5693"/>
  <c r="H23" i="5693"/>
  <c r="H24" i="5693"/>
  <c r="C19" i="5693"/>
  <c r="H41" i="5693"/>
  <c r="H45" i="5693"/>
  <c r="H49" i="5693"/>
  <c r="H30" i="5693"/>
  <c r="H37" i="5693"/>
  <c r="H52" i="5693"/>
  <c r="H26" i="5693"/>
  <c r="H27" i="5693"/>
  <c r="H29" i="5693"/>
  <c r="H17" i="5693"/>
  <c r="H18" i="5693"/>
  <c r="H34" i="5693"/>
  <c r="H38" i="5693"/>
  <c r="H42" i="5693"/>
  <c r="H46" i="5693"/>
  <c r="H50" i="5693"/>
  <c r="H32" i="5693"/>
  <c r="H35" i="5693"/>
  <c r="H39" i="5693"/>
  <c r="H43" i="5693"/>
  <c r="H47" i="5693"/>
  <c r="H51" i="5693"/>
  <c r="H25" i="5693"/>
  <c r="H13" i="5693"/>
  <c r="H28" i="5693"/>
  <c r="H16" i="5693"/>
  <c r="H14" i="5693"/>
  <c r="H19" i="5693"/>
  <c r="H36" i="5693"/>
  <c r="H40" i="5693"/>
  <c r="H44" i="5693"/>
  <c r="H48" i="5693"/>
  <c r="H22" i="5691"/>
  <c r="H36" i="5691"/>
  <c r="H37" i="5691"/>
  <c r="H33" i="5691"/>
  <c r="H2" i="5691"/>
  <c r="H32" i="5691"/>
  <c r="C18" i="5691"/>
  <c r="H31" i="5691"/>
  <c r="H4" i="5691"/>
  <c r="H12" i="5691"/>
  <c r="H17" i="5691"/>
  <c r="H14" i="5691"/>
  <c r="H10" i="5691"/>
  <c r="H6" i="5691"/>
  <c r="H15" i="5691"/>
  <c r="H28" i="5691"/>
  <c r="H45" i="5691"/>
  <c r="H46" i="5691"/>
  <c r="H13" i="5691"/>
  <c r="H8" i="5691"/>
  <c r="H41" i="5691"/>
  <c r="H19" i="5691"/>
  <c r="H50" i="5691"/>
  <c r="H24" i="5691"/>
  <c r="H27" i="5691"/>
  <c r="H20" i="5691"/>
  <c r="H38" i="5691"/>
  <c r="H42" i="5691"/>
  <c r="H48" i="5691"/>
  <c r="H5" i="5691"/>
  <c r="H11" i="5691"/>
  <c r="H3" i="5691"/>
  <c r="C19" i="5691"/>
  <c r="H9" i="5691"/>
  <c r="H23" i="5691"/>
  <c r="H21" i="5691"/>
  <c r="C17" i="5691"/>
  <c r="H16" i="5691"/>
  <c r="B23" i="5691"/>
  <c r="H29" i="5691"/>
  <c r="H39" i="5691"/>
  <c r="H44" i="5691"/>
  <c r="H49" i="5691"/>
  <c r="H52" i="5691"/>
  <c r="H34" i="5691"/>
  <c r="H35" i="5691"/>
  <c r="H25" i="5691"/>
  <c r="H26" i="5691"/>
  <c r="H18" i="5691"/>
  <c r="H30" i="5691"/>
  <c r="H40" i="5691"/>
  <c r="H43" i="5691"/>
  <c r="H47" i="569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<sst xmlns="http://schemas.openxmlformats.org/spreadsheetml/2006/main" count="2473" uniqueCount="215">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</sst>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全体!$K$2:$K$245</c:f>
              <c:numCache>
                <c:formatCode>General</c:formatCode>
                <c:ptCount val="2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</c:numCache>
            </c:numRef>
          </c:xVal>
          <c:yVal>
            <c:numRef>
              <c:f>全体!$L$2:$L$245</c:f>
              <c:numCache>
                <c:formatCode>\+0.0;\-0.0;\±0</c:formatCode>
                <c:ptCount val="24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C39-8604-6BDCF7C8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</c:v>
                </c:pt>
                <c:pt idx="1">
                  <c:v>21.92982456140351</c:v>
                </c:pt>
                <c:pt idx="2">
                  <c:v>-27.027027027027028</c:v>
                </c:pt>
                <c:pt idx="3">
                  <c:v>19.047619047619047</c:v>
                </c:pt>
                <c:pt idx="4">
                  <c:v>15.625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0E2-8172-7E3CEE7A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たかの!$L$2:$L$26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A35-951A-61070883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20.833333333333332</c:v>
                </c:pt>
                <c:pt idx="1">
                  <c:v>-404.3478260869565</c:v>
                </c:pt>
                <c:pt idx="2">
                  <c:v>1204.5454545454545</c:v>
                </c:pt>
                <c:pt idx="3">
                  <c:v>-440.90909090909093</c:v>
                </c:pt>
                <c:pt idx="4">
                  <c:v>-1659.090909090909</c:v>
                </c:pt>
                <c:pt idx="5">
                  <c:v>-3052.6315789473683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595-B3F3-5F5CA9D41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だいち!$L$2:$L$53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CEC-9821-7DAF65C9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558</c:v>
                </c:pt>
                <c:pt idx="1">
                  <c:v>-329.78723404255317</c:v>
                </c:pt>
                <c:pt idx="2">
                  <c:v>-748.936170212766</c:v>
                </c:pt>
                <c:pt idx="3">
                  <c:v>125.58139534883721</c:v>
                </c:pt>
                <c:pt idx="4">
                  <c:v>4695.1219512195121</c:v>
                </c:pt>
                <c:pt idx="5">
                  <c:v>4836.363636363636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2-4253-A36F-B4BA7808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A-4304-9896-9494C5F0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-277.08333333333331</c:v>
                </c:pt>
                <c:pt idx="1">
                  <c:v>1269.5652173913043</c:v>
                </c:pt>
                <c:pt idx="2">
                  <c:v>2200</c:v>
                </c:pt>
                <c:pt idx="3">
                  <c:v>2521.4285714285716</c:v>
                </c:pt>
                <c:pt idx="4">
                  <c:v>-1748.7179487179487</c:v>
                </c:pt>
                <c:pt idx="5">
                  <c:v>1038.7096774193549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750-9FCC-C3A86540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F-436C-B9FA-E4C96771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-1593.3333333333333</c:v>
                </c:pt>
                <c:pt idx="2">
                  <c:v>2189.655172413793</c:v>
                </c:pt>
                <c:pt idx="3">
                  <c:v>-1600</c:v>
                </c:pt>
                <c:pt idx="4">
                  <c:v>-3833.3333333333335</c:v>
                </c:pt>
                <c:pt idx="5">
                  <c:v>-1828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F25-8B3F-72FA925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4-4264-B640-F87F91E0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387.5</c:v>
                </c:pt>
                <c:pt idx="1">
                  <c:v>-2890.909090909091</c:v>
                </c:pt>
                <c:pt idx="2">
                  <c:v>1528.5714285714287</c:v>
                </c:pt>
                <c:pt idx="3">
                  <c:v>3925</c:v>
                </c:pt>
                <c:pt idx="4">
                  <c:v>-2335.294117647059</c:v>
                </c:pt>
                <c:pt idx="5">
                  <c:v>-5230.7692307692305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A-49EA-A160-2E31BA48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C-4193-BBED-8FECF09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1277.4193548387098</c:v>
                </c:pt>
                <c:pt idx="1">
                  <c:v>1332.1428571428571</c:v>
                </c:pt>
                <c:pt idx="2">
                  <c:v>-4569.2307692307695</c:v>
                </c:pt>
                <c:pt idx="3">
                  <c:v>-325</c:v>
                </c:pt>
                <c:pt idx="4">
                  <c:v>-1210.5263157894738</c:v>
                </c:pt>
                <c:pt idx="5">
                  <c:v>1523.5294117647059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15E-BBC7-636F6B3BD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C-4A37-8945-C4100746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-4563.636363636364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D-4D53-BE9E-03E1F845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E-418A-B74D-C89F9C5A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B8C-A7AF-54FC79C56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C-4FB6-913B-6E95B6BB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A-47AE-B939-D011220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まっつん2!$B$3:$B$34</c:f>
              <c:numCache>
                <c:formatCode>\+0.0;\-0.0;\±0</c:formatCode>
                <c:ptCount val="3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まっつん2!$C$3:$C$34</c:f>
              <c:numCache>
                <c:formatCode>\+0.0;\-0.0;\±0</c:formatCode>
                <c:ptCount val="32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62022090041358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まっつん2!$D$3:$D$34</c:f>
              <c:numCache>
                <c:formatCode>0.00\ "位"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まっつん2!$E$3:$E$34</c:f>
              <c:numCache>
                <c:formatCode>0.0%</c:formatCode>
                <c:ptCount val="3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まっつん2!$F$3:$F$34</c:f>
              <c:numCache>
                <c:formatCode>0.0%</c:formatCode>
                <c:ptCount val="3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まっつん2!$G$3:$G$34</c:f>
              <c:numCache>
                <c:formatCode>0.0%</c:formatCode>
                <c:ptCount val="32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80185456320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まっつん2!$H$3:$H$34</c:f>
              <c:numCache>
                <c:formatCode>0.0%</c:formatCode>
                <c:ptCount val="32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791117618350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まっつん2!$I$3:$I$34</c:f>
              <c:numCache>
                <c:formatCode>0</c:formatCode>
                <c:ptCount val="32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91.52823920265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まっつん2!$J$3:$J$34</c:f>
              <c:numCache>
                <c:formatCode>0</c:formatCode>
                <c:ptCount val="32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01.4204545454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まっつん2!$K$3:$K$34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まっつん2!$L$3:$L$34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まっつん2!$M$3:$M$34</c:f>
              <c:numCache>
                <c:formatCode>0.0%</c:formatCode>
                <c:ptCount val="32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43777452415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まっつん2!$N$3:$N$34</c:f>
              <c:numCache>
                <c:formatCode>0.0%</c:formatCode>
                <c:ptCount val="32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73645680819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まっつん2!$O$3:$O$34</c:f>
              <c:numCache>
                <c:formatCode>0.0%</c:formatCode>
                <c:ptCount val="32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3234714003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まっつん2!$P$3:$P$34</c:f>
              <c:numCache>
                <c:formatCode>0.0%</c:formatCode>
                <c:ptCount val="32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619047619047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まっつん2!$Q$3:$Q$34</c:f>
              <c:numCache>
                <c:formatCode>0.0%</c:formatCode>
                <c:ptCount val="32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96013289036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43742.036736111113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43742.036944444444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43745.536574074074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43745.374525462961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43745.536574074074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43745.536574074074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43745.374525462961</v>
      </c>
      <c r="C18" s="30" t="s">
        <v>129</v>
      </c>
    </row>
    <row r="19" spans="1:12" x14ac:dyDescent="0.4">
      <c r="A19" s="30" t="s">
        <v>207</v>
      </c>
      <c r="B19" s="31">
        <v>43750.963090277779</v>
      </c>
      <c r="C19" s="30" t="s">
        <v>129</v>
      </c>
    </row>
    <row r="20" spans="1:12" x14ac:dyDescent="0.4">
      <c r="A20" s="30" t="s">
        <v>208</v>
      </c>
      <c r="B20" s="31">
        <v>43750.963090277779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43750.963090277779</v>
      </c>
      <c r="C21" s="30" t="s">
        <v>129</v>
      </c>
    </row>
    <row r="22" spans="1:12" x14ac:dyDescent="0.4">
      <c r="A22" s="30" t="s">
        <v>210</v>
      </c>
      <c r="B22" s="31">
        <v>43750.963090277779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43750.963090277779</v>
      </c>
      <c r="C23" s="30" t="s">
        <v>129</v>
      </c>
    </row>
    <row r="24" spans="1:12" x14ac:dyDescent="0.4">
      <c r="A24" s="30" t="s">
        <v>212</v>
      </c>
      <c r="B24" s="31">
        <v>43750.963993055557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43751.106828703705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  <row r="26" spans="1:12" x14ac:dyDescent="0.4">
      <c r="A26" s="30" t="s">
        <v>214</v>
      </c>
      <c r="B26" s="31">
        <v>43752.098182870373</v>
      </c>
      <c r="C26" s="30" t="s">
        <v>129</v>
      </c>
      <c r="D26" s="30" t="s">
        <v>130</v>
      </c>
      <c r="E26" s="30" t="s">
        <v>185</v>
      </c>
      <c r="F26" s="30" t="s">
        <v>186</v>
      </c>
      <c r="G26" s="30" t="s">
        <v>187</v>
      </c>
      <c r="H26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243</v>
      </c>
    </row>
    <row r="2" spans="1:2" x14ac:dyDescent="0.4">
      <c r="A2" t="s">
        <v>167</v>
      </c>
      <c r="B2">
        <v>24</v>
      </c>
    </row>
    <row r="3" spans="1:2" x14ac:dyDescent="0.4">
      <c r="A3" t="s">
        <v>127</v>
      </c>
      <c r="B3">
        <v>51</v>
      </c>
    </row>
    <row r="4" spans="1:2" x14ac:dyDescent="0.4">
      <c r="A4" t="s">
        <v>128</v>
      </c>
      <c r="B4">
        <v>49</v>
      </c>
    </row>
    <row r="5" spans="1:2" x14ac:dyDescent="0.4">
      <c r="A5" t="s">
        <v>180</v>
      </c>
      <c r="B5">
        <v>31</v>
      </c>
    </row>
    <row r="6" spans="1:2" x14ac:dyDescent="0.4">
      <c r="A6" t="s">
        <v>178</v>
      </c>
      <c r="B6">
        <v>24</v>
      </c>
    </row>
    <row r="7" spans="1:2" x14ac:dyDescent="0.4">
      <c r="A7" t="s">
        <v>179</v>
      </c>
      <c r="B7">
        <v>31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0.9868180070185183</v>
      </c>
      <c r="G2" s="163"/>
      <c r="H2" s="162">
        <v>0.96946215377727796</v>
      </c>
      <c r="I2" s="163"/>
      <c r="J2" s="162">
        <v>0.98804786101530262</v>
      </c>
      <c r="K2" s="163"/>
      <c r="L2" s="162">
        <v>0.91487534191703368</v>
      </c>
      <c r="M2" s="163"/>
      <c r="N2" s="162">
        <v>0.71657565502185139</v>
      </c>
      <c r="O2" s="163"/>
      <c r="P2" s="162">
        <v>1.2063571601174891E-3</v>
      </c>
      <c r="Q2" s="163"/>
      <c r="R2" s="162">
        <v>0.63939930313073967</v>
      </c>
      <c r="S2" s="163"/>
      <c r="T2" s="162">
        <v>0.53775893663595031</v>
      </c>
      <c r="U2" s="163"/>
      <c r="V2" s="162">
        <v>0.53555401395964752</v>
      </c>
      <c r="W2" s="163"/>
      <c r="X2" s="162">
        <v>0.17441703203099157</v>
      </c>
      <c r="Y2" s="163"/>
      <c r="Z2" s="162">
        <v>-0.10830376011454652</v>
      </c>
      <c r="AA2" s="163"/>
      <c r="AB2" s="162">
        <v>0.47757336882722912</v>
      </c>
      <c r="AC2" s="163"/>
      <c r="AD2" s="162">
        <v>0.29577807389248373</v>
      </c>
      <c r="AE2" s="163"/>
      <c r="AF2" s="162">
        <v>-5.7086510791248816E-2</v>
      </c>
      <c r="AG2" s="163"/>
      <c r="AH2" s="162">
        <v>0.5189991482602998</v>
      </c>
      <c r="AI2" s="163"/>
    </row>
    <row r="3" spans="1:35" x14ac:dyDescent="0.4">
      <c r="A3" s="74">
        <v>1</v>
      </c>
      <c r="B3" s="75" t="s">
        <v>127</v>
      </c>
      <c r="C3" s="76">
        <v>500.7999999999999</v>
      </c>
      <c r="D3" s="77" t="s">
        <v>182</v>
      </c>
      <c r="E3" s="96">
        <v>11.463636363636365</v>
      </c>
      <c r="F3" s="77" t="s">
        <v>127</v>
      </c>
      <c r="G3" s="78">
        <v>1.7254901960784315</v>
      </c>
      <c r="H3" s="77" t="s">
        <v>127</v>
      </c>
      <c r="I3" s="79">
        <v>0.49019607843137253</v>
      </c>
      <c r="J3" s="77" t="s">
        <v>182</v>
      </c>
      <c r="K3" s="79">
        <v>0.18181818181818182</v>
      </c>
      <c r="L3" s="77" t="s">
        <v>127</v>
      </c>
      <c r="M3" s="80">
        <v>0.34523809523809523</v>
      </c>
      <c r="N3" s="77" t="s">
        <v>182</v>
      </c>
      <c r="O3" s="80">
        <v>0.11650485436893204</v>
      </c>
      <c r="P3" s="77" t="s">
        <v>178</v>
      </c>
      <c r="Q3" s="81">
        <v>10858.333333333334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0.20833333333333334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0.55789473684210522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222.79999999999984</v>
      </c>
      <c r="D4" s="85" t="s">
        <v>127</v>
      </c>
      <c r="E4" s="97">
        <v>9.8196078431372538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0.21568627450980393</v>
      </c>
      <c r="L4" s="85" t="s">
        <v>182</v>
      </c>
      <c r="M4" s="88">
        <v>0.3300970873786408</v>
      </c>
      <c r="N4" s="85" t="s">
        <v>127</v>
      </c>
      <c r="O4" s="88">
        <v>0.13333333333333333</v>
      </c>
      <c r="P4" s="85" t="s">
        <v>128</v>
      </c>
      <c r="Q4" s="89">
        <v>8746.6666666666661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0.2808988764044944</v>
      </c>
      <c r="Z4" s="85" t="s">
        <v>128</v>
      </c>
      <c r="AA4" s="88">
        <v>0.31904761904761902</v>
      </c>
      <c r="AB4" s="85" t="s">
        <v>127</v>
      </c>
      <c r="AC4" s="88">
        <v>0.61538461538461542</v>
      </c>
      <c r="AD4" s="85" t="s">
        <v>178</v>
      </c>
      <c r="AE4" s="88">
        <v>0.48888888888888887</v>
      </c>
      <c r="AF4" s="85" t="s">
        <v>167</v>
      </c>
      <c r="AG4" s="88">
        <v>0.49056603773584906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4.5469387755102009</v>
      </c>
      <c r="F5" s="85" t="s">
        <v>128</v>
      </c>
      <c r="G5" s="86">
        <v>1.8775510204081634</v>
      </c>
      <c r="H5" s="85" t="s">
        <v>196</v>
      </c>
      <c r="I5" s="87">
        <v>0.42857142857142855</v>
      </c>
      <c r="J5" s="85" t="s">
        <v>128</v>
      </c>
      <c r="K5" s="87">
        <v>0.26530612244897961</v>
      </c>
      <c r="L5" s="85" t="s">
        <v>128</v>
      </c>
      <c r="M5" s="88">
        <v>0.32142857142857145</v>
      </c>
      <c r="N5" s="85" t="s">
        <v>179</v>
      </c>
      <c r="O5" s="88">
        <v>0.15116279069767441</v>
      </c>
      <c r="P5" s="85" t="s">
        <v>179</v>
      </c>
      <c r="Q5" s="89">
        <v>8295.652173913044</v>
      </c>
      <c r="R5" s="85" t="s">
        <v>179</v>
      </c>
      <c r="S5" s="89">
        <v>-7305.1282051282051</v>
      </c>
      <c r="T5" s="85" t="s">
        <v>127</v>
      </c>
      <c r="U5" s="87">
        <v>5.8823529411764705E-2</v>
      </c>
      <c r="V5" s="85" t="s">
        <v>128</v>
      </c>
      <c r="W5" s="87">
        <v>0.16326530612244897</v>
      </c>
      <c r="X5" s="85" t="s">
        <v>178</v>
      </c>
      <c r="Y5" s="88">
        <v>0.26178010471204188</v>
      </c>
      <c r="Z5" s="85" t="s">
        <v>179</v>
      </c>
      <c r="AA5" s="88">
        <v>0.27131782945736432</v>
      </c>
      <c r="AB5" s="85" t="s">
        <v>180</v>
      </c>
      <c r="AC5" s="88">
        <v>0.58666666666666667</v>
      </c>
      <c r="AD5" s="85" t="s">
        <v>180</v>
      </c>
      <c r="AE5" s="88">
        <v>0.4375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-1.4620220900413584E-16</v>
      </c>
      <c r="F6" s="85" t="s">
        <v>178</v>
      </c>
      <c r="G6" s="86">
        <v>2</v>
      </c>
      <c r="H6" s="85" t="s">
        <v>128</v>
      </c>
      <c r="I6" s="87">
        <v>0.38775510204081631</v>
      </c>
      <c r="J6" s="85" t="s">
        <v>178</v>
      </c>
      <c r="K6" s="87">
        <v>0.33333333333333331</v>
      </c>
      <c r="L6" s="85" t="s">
        <v>144</v>
      </c>
      <c r="M6" s="88">
        <v>0.29380185456320157</v>
      </c>
      <c r="N6" s="85" t="s">
        <v>144</v>
      </c>
      <c r="O6" s="88">
        <v>0.17179111761835042</v>
      </c>
      <c r="P6" s="85" t="s">
        <v>144</v>
      </c>
      <c r="Q6" s="89">
        <v>8291.5282392026584</v>
      </c>
      <c r="R6" s="85" t="s">
        <v>127</v>
      </c>
      <c r="S6" s="89">
        <v>-7310.7142857142853</v>
      </c>
      <c r="T6" s="85" t="s">
        <v>180</v>
      </c>
      <c r="U6" s="87">
        <v>6.4516129032258063E-2</v>
      </c>
      <c r="V6" s="85" t="s">
        <v>196</v>
      </c>
      <c r="W6" s="87">
        <v>0.14285714285714285</v>
      </c>
      <c r="X6" s="85" t="s">
        <v>183</v>
      </c>
      <c r="Y6" s="88">
        <v>0.25409836065573771</v>
      </c>
      <c r="Z6" s="85" t="s">
        <v>144</v>
      </c>
      <c r="AA6" s="88">
        <v>0.24597364568081992</v>
      </c>
      <c r="AB6" s="85" t="s">
        <v>128</v>
      </c>
      <c r="AC6" s="88">
        <v>0.55555555555555558</v>
      </c>
      <c r="AD6" s="85" t="s">
        <v>144</v>
      </c>
      <c r="AE6" s="88">
        <v>0.42261904761904762</v>
      </c>
      <c r="AF6" s="85" t="s">
        <v>178</v>
      </c>
      <c r="AG6" s="88">
        <v>0.4375</v>
      </c>
      <c r="AH6" s="85" t="s">
        <v>167</v>
      </c>
      <c r="AI6" s="92">
        <v>86900</v>
      </c>
    </row>
    <row r="7" spans="1:35" x14ac:dyDescent="0.4">
      <c r="A7" s="82">
        <v>5</v>
      </c>
      <c r="B7" s="83" t="s">
        <v>178</v>
      </c>
      <c r="C7" s="84">
        <v>-51.39999999999997</v>
      </c>
      <c r="D7" s="85" t="s">
        <v>178</v>
      </c>
      <c r="E7" s="97">
        <v>-2.1416666666666653</v>
      </c>
      <c r="F7" s="85" t="s">
        <v>144</v>
      </c>
      <c r="G7" s="86">
        <v>2</v>
      </c>
      <c r="H7" s="85" t="s">
        <v>178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0.28464419475655428</v>
      </c>
      <c r="N7" s="85" t="s">
        <v>178</v>
      </c>
      <c r="O7" s="88">
        <v>0.17277486910994763</v>
      </c>
      <c r="P7" s="85" t="s">
        <v>183</v>
      </c>
      <c r="Q7" s="89">
        <v>8133.333333333333</v>
      </c>
      <c r="R7" s="85" t="s">
        <v>180</v>
      </c>
      <c r="S7" s="89">
        <v>-7345.2830188679245</v>
      </c>
      <c r="T7" s="85" t="s">
        <v>144</v>
      </c>
      <c r="U7" s="87">
        <v>0.1111111111111111</v>
      </c>
      <c r="V7" s="85" t="s">
        <v>144</v>
      </c>
      <c r="W7" s="87">
        <v>0.1111111111111111</v>
      </c>
      <c r="X7" s="85" t="s">
        <v>179</v>
      </c>
      <c r="Y7" s="88">
        <v>0.25193798449612403</v>
      </c>
      <c r="Z7" s="85" t="s">
        <v>178</v>
      </c>
      <c r="AA7" s="88">
        <v>0.2356020942408377</v>
      </c>
      <c r="AB7" s="85" t="s">
        <v>144</v>
      </c>
      <c r="AC7" s="88">
        <v>0.5483234714003945</v>
      </c>
      <c r="AD7" s="85" t="s">
        <v>128</v>
      </c>
      <c r="AE7" s="88">
        <v>0.40298507462686567</v>
      </c>
      <c r="AF7" s="85" t="s">
        <v>144</v>
      </c>
      <c r="AG7" s="88">
        <v>0.41196013289036543</v>
      </c>
      <c r="AH7" s="85" t="s">
        <v>127</v>
      </c>
      <c r="AI7" s="92">
        <v>86200</v>
      </c>
    </row>
    <row r="8" spans="1:35" x14ac:dyDescent="0.4">
      <c r="A8" s="82">
        <v>6</v>
      </c>
      <c r="B8" s="83" t="s">
        <v>179</v>
      </c>
      <c r="C8" s="84">
        <v>-96.799999999999983</v>
      </c>
      <c r="D8" s="85" t="s">
        <v>179</v>
      </c>
      <c r="E8" s="97">
        <v>-3.1225806451612899</v>
      </c>
      <c r="F8" s="85" t="s">
        <v>167</v>
      </c>
      <c r="G8" s="86">
        <v>2.125</v>
      </c>
      <c r="H8" s="85" t="s">
        <v>144</v>
      </c>
      <c r="I8" s="87">
        <v>0.33333333333333331</v>
      </c>
      <c r="J8" s="85" t="s">
        <v>179</v>
      </c>
      <c r="K8" s="87">
        <v>0.38709677419354838</v>
      </c>
      <c r="L8" s="85" t="s">
        <v>179</v>
      </c>
      <c r="M8" s="88">
        <v>0.26744186046511625</v>
      </c>
      <c r="N8" s="85" t="s">
        <v>167</v>
      </c>
      <c r="O8" s="88">
        <v>0.17475728155339806</v>
      </c>
      <c r="P8" s="85" t="s">
        <v>127</v>
      </c>
      <c r="Q8" s="89">
        <v>7962.7586206896549</v>
      </c>
      <c r="R8" s="85" t="s">
        <v>128</v>
      </c>
      <c r="S8" s="89">
        <v>-7620.9302325581393</v>
      </c>
      <c r="T8" s="85" t="s">
        <v>179</v>
      </c>
      <c r="U8" s="87">
        <v>0.12903225806451613</v>
      </c>
      <c r="V8" s="85" t="s">
        <v>127</v>
      </c>
      <c r="W8" s="87">
        <v>9.8039215686274508E-2</v>
      </c>
      <c r="X8" s="85" t="s">
        <v>127</v>
      </c>
      <c r="Y8" s="88">
        <v>0.24761904761904763</v>
      </c>
      <c r="Z8" s="85" t="s">
        <v>183</v>
      </c>
      <c r="AA8" s="88">
        <v>0.22950819672131148</v>
      </c>
      <c r="AB8" s="85" t="s">
        <v>196</v>
      </c>
      <c r="AC8" s="88">
        <v>0.53333333333333333</v>
      </c>
      <c r="AD8" s="85" t="s">
        <v>179</v>
      </c>
      <c r="AE8" s="88">
        <v>0.4</v>
      </c>
      <c r="AF8" s="85" t="s">
        <v>179</v>
      </c>
      <c r="AG8" s="88">
        <v>0.40579710144927539</v>
      </c>
      <c r="AH8" s="85" t="s">
        <v>183</v>
      </c>
      <c r="AI8" s="92">
        <v>85100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167</v>
      </c>
      <c r="E9" s="97">
        <v>-4.6500000000000004</v>
      </c>
      <c r="F9" s="85" t="s">
        <v>196</v>
      </c>
      <c r="G9" s="86">
        <v>2.1428571428571428</v>
      </c>
      <c r="H9" s="85" t="s">
        <v>167</v>
      </c>
      <c r="I9" s="87">
        <v>0.29166666666666669</v>
      </c>
      <c r="J9" s="85" t="s">
        <v>167</v>
      </c>
      <c r="K9" s="87">
        <v>0.41666666666666669</v>
      </c>
      <c r="L9" s="85" t="s">
        <v>167</v>
      </c>
      <c r="M9" s="88">
        <v>0.25728155339805825</v>
      </c>
      <c r="N9" s="85" t="s">
        <v>196</v>
      </c>
      <c r="O9" s="88">
        <v>0.19354838709677419</v>
      </c>
      <c r="P9" s="85" t="s">
        <v>182</v>
      </c>
      <c r="Q9" s="89">
        <v>7779.411764705882</v>
      </c>
      <c r="R9" s="85" t="s">
        <v>144</v>
      </c>
      <c r="S9" s="89">
        <v>-7701.420454545455</v>
      </c>
      <c r="T9" s="85" t="s">
        <v>128</v>
      </c>
      <c r="U9" s="87">
        <v>0.14285714285714285</v>
      </c>
      <c r="V9" s="85" t="s">
        <v>183</v>
      </c>
      <c r="W9" s="87">
        <v>6.6666666666666666E-2</v>
      </c>
      <c r="X9" s="85" t="s">
        <v>144</v>
      </c>
      <c r="Y9" s="88">
        <v>0.24743777452415813</v>
      </c>
      <c r="Z9" s="85" t="s">
        <v>167</v>
      </c>
      <c r="AA9" s="88">
        <v>0.22815533980582525</v>
      </c>
      <c r="AB9" s="85" t="s">
        <v>167</v>
      </c>
      <c r="AC9" s="88">
        <v>0.52631578947368418</v>
      </c>
      <c r="AD9" s="85" t="s">
        <v>183</v>
      </c>
      <c r="AE9" s="88">
        <v>0.35714285714285715</v>
      </c>
      <c r="AF9" s="85" t="s">
        <v>127</v>
      </c>
      <c r="AG9" s="88">
        <v>0.39310344827586208</v>
      </c>
      <c r="AH9" s="85" t="s">
        <v>178</v>
      </c>
      <c r="AI9" s="92">
        <v>83000</v>
      </c>
    </row>
    <row r="10" spans="1:35" x14ac:dyDescent="0.4">
      <c r="A10" s="82">
        <v>8</v>
      </c>
      <c r="B10" s="83" t="s">
        <v>167</v>
      </c>
      <c r="C10" s="84">
        <v>-111.60000000000001</v>
      </c>
      <c r="D10" s="85" t="s">
        <v>180</v>
      </c>
      <c r="E10" s="97">
        <v>-6.8580645161290317</v>
      </c>
      <c r="F10" s="85" t="s">
        <v>179</v>
      </c>
      <c r="G10" s="86">
        <v>2.161290322580645</v>
      </c>
      <c r="H10" s="85" t="s">
        <v>179</v>
      </c>
      <c r="I10" s="87">
        <v>0.22580645161290322</v>
      </c>
      <c r="J10" s="85" t="s">
        <v>180</v>
      </c>
      <c r="K10" s="87">
        <v>0.41935483870967744</v>
      </c>
      <c r="L10" s="85" t="s">
        <v>178</v>
      </c>
      <c r="M10" s="88">
        <v>0.2513089005235602</v>
      </c>
      <c r="N10" s="85" t="s">
        <v>180</v>
      </c>
      <c r="O10" s="88">
        <v>0.19850187265917604</v>
      </c>
      <c r="P10" s="85" t="s">
        <v>167</v>
      </c>
      <c r="Q10" s="89">
        <v>7605.6603773584902</v>
      </c>
      <c r="R10" s="85" t="s">
        <v>196</v>
      </c>
      <c r="S10" s="89">
        <v>-9075</v>
      </c>
      <c r="T10" s="85" t="s">
        <v>178</v>
      </c>
      <c r="U10" s="87">
        <v>0.16666666666666666</v>
      </c>
      <c r="V10" s="85" t="s">
        <v>180</v>
      </c>
      <c r="W10" s="87">
        <v>6.4516129032258063E-2</v>
      </c>
      <c r="X10" s="85" t="s">
        <v>196</v>
      </c>
      <c r="Y10" s="88">
        <v>0.24193548387096775</v>
      </c>
      <c r="Z10" s="85" t="s">
        <v>127</v>
      </c>
      <c r="AA10" s="88">
        <v>0.22619047619047619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180</v>
      </c>
      <c r="AG10" s="88">
        <v>0.38157894736842107</v>
      </c>
      <c r="AH10" s="85" t="s">
        <v>179</v>
      </c>
      <c r="AI10" s="92">
        <v>81700</v>
      </c>
    </row>
    <row r="11" spans="1:35" x14ac:dyDescent="0.4">
      <c r="A11" s="82">
        <v>9</v>
      </c>
      <c r="B11" s="83" t="s">
        <v>180</v>
      </c>
      <c r="C11" s="84">
        <v>-212.6</v>
      </c>
      <c r="D11" s="85" t="s">
        <v>196</v>
      </c>
      <c r="E11" s="97">
        <v>-14.971428571428573</v>
      </c>
      <c r="F11" s="85" t="s">
        <v>180</v>
      </c>
      <c r="G11" s="86">
        <v>2.225806451612903</v>
      </c>
      <c r="H11" s="85" t="s">
        <v>180</v>
      </c>
      <c r="I11" s="87">
        <v>0.19354838709677419</v>
      </c>
      <c r="J11" s="85" t="s">
        <v>183</v>
      </c>
      <c r="K11" s="87">
        <v>0.53333333333333333</v>
      </c>
      <c r="L11" s="85" t="s">
        <v>196</v>
      </c>
      <c r="M11" s="88">
        <v>0.24193548387096775</v>
      </c>
      <c r="N11" s="85" t="s">
        <v>128</v>
      </c>
      <c r="O11" s="88">
        <v>0.20476190476190476</v>
      </c>
      <c r="P11" s="85" t="s">
        <v>196</v>
      </c>
      <c r="Q11" s="89">
        <v>7473.333333333333</v>
      </c>
      <c r="R11" s="85" t="s">
        <v>178</v>
      </c>
      <c r="S11" s="89">
        <v>-9403.0303030303039</v>
      </c>
      <c r="T11" s="85" t="s">
        <v>183</v>
      </c>
      <c r="U11" s="87">
        <v>0.2</v>
      </c>
      <c r="V11" s="85" t="s">
        <v>179</v>
      </c>
      <c r="W11" s="87">
        <v>6.4516129032258063E-2</v>
      </c>
      <c r="X11" s="85" t="s">
        <v>128</v>
      </c>
      <c r="Y11" s="88">
        <v>0.23571428571428571</v>
      </c>
      <c r="Z11" s="85" t="s">
        <v>180</v>
      </c>
      <c r="AA11" s="88">
        <v>0.1797752808988764</v>
      </c>
      <c r="AB11" s="85" t="s">
        <v>179</v>
      </c>
      <c r="AC11" s="88">
        <v>0.50769230769230766</v>
      </c>
      <c r="AD11" s="85" t="s">
        <v>167</v>
      </c>
      <c r="AE11" s="88">
        <v>0.2978723404255319</v>
      </c>
      <c r="AF11" s="85" t="s">
        <v>128</v>
      </c>
      <c r="AG11" s="88">
        <v>0.37777777777777777</v>
      </c>
      <c r="AH11" s="85" t="s">
        <v>180</v>
      </c>
      <c r="AI11" s="92">
        <v>69300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180</v>
      </c>
      <c r="Q12" s="89">
        <v>7410.5263157894733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4.1666666666666664E-2</v>
      </c>
      <c r="X12" s="85" t="s">
        <v>167</v>
      </c>
      <c r="Y12" s="88">
        <v>0.18446601941747573</v>
      </c>
      <c r="Z12" s="85" t="s">
        <v>182</v>
      </c>
      <c r="AA12" s="88">
        <v>0.14563106796116504</v>
      </c>
      <c r="AB12" s="85" t="s">
        <v>178</v>
      </c>
      <c r="AC12" s="88">
        <v>0.36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196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B7C8-6443-4DEA-B6B9-2852B4EEC462}">
  <sheetPr codeName="Sheet4"/>
  <dimension ref="A1:Q24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243</v>
      </c>
      <c r="C2" s="151"/>
      <c r="E2" s="62" t="s">
        <v>67</v>
      </c>
      <c r="F2" s="59" t="s">
        <v>23</v>
      </c>
      <c r="G2" s="46">
        <v>456</v>
      </c>
      <c r="H2" s="132">
        <f>IF(B$17=0,0,G2/B$17)</f>
        <v>0.75747508305647837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</v>
      </c>
      <c r="P2" s="118">
        <v>240</v>
      </c>
      <c r="Q2" s="102">
        <v>-6000</v>
      </c>
    </row>
    <row r="3" spans="1:17" x14ac:dyDescent="0.4">
      <c r="A3" s="55" t="s">
        <v>8</v>
      </c>
      <c r="B3" s="152">
        <v>2049</v>
      </c>
      <c r="C3" s="153"/>
      <c r="E3" s="63" t="s">
        <v>73</v>
      </c>
      <c r="F3" s="60" t="s">
        <v>28</v>
      </c>
      <c r="G3" s="47">
        <v>355</v>
      </c>
      <c r="H3" s="133">
        <f>IF(B$17=0,0,G3/B$17)</f>
        <v>0.5897009966777409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21.92982456140351</v>
      </c>
      <c r="P3" s="119">
        <v>228</v>
      </c>
      <c r="Q3" s="103">
        <v>5000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270</v>
      </c>
      <c r="H4" s="133">
        <f>IF(B$17=0,0,G4/B$17)</f>
        <v>0.44850498338870431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-27.027027027027028</v>
      </c>
      <c r="P4" s="119">
        <v>222</v>
      </c>
      <c r="Q4" s="103">
        <v>-6000</v>
      </c>
    </row>
    <row r="5" spans="1:17" x14ac:dyDescent="0.4">
      <c r="A5" s="55" t="s">
        <v>7</v>
      </c>
      <c r="B5" s="156">
        <f>IF(B$2=0,0,B$4/B$2)</f>
        <v>-1.4620220900413584E-16</v>
      </c>
      <c r="C5" s="157"/>
      <c r="E5" s="63" t="s">
        <v>172</v>
      </c>
      <c r="F5" s="60" t="s">
        <v>173</v>
      </c>
      <c r="G5" s="47">
        <v>216</v>
      </c>
      <c r="H5" s="133">
        <f>IF(B$17=0,0,G5/B$17)</f>
        <v>0.35880398671096347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19.047619047619047</v>
      </c>
      <c r="P5" s="119">
        <v>210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174</v>
      </c>
      <c r="H6" s="133">
        <f>IF(B$17=0,0,G6/B$17)</f>
        <v>0.28903654485049834</v>
      </c>
      <c r="I6" s="94">
        <v>7</v>
      </c>
      <c r="K6" s="38">
        <v>4</v>
      </c>
      <c r="L6" s="99">
        <v>24.5</v>
      </c>
      <c r="N6" s="115" t="s">
        <v>135</v>
      </c>
      <c r="O6" s="122">
        <f t="shared" si="0"/>
        <v>15.625</v>
      </c>
      <c r="P6" s="119">
        <v>192</v>
      </c>
      <c r="Q6" s="103">
        <v>3000</v>
      </c>
    </row>
    <row r="7" spans="1:17" x14ac:dyDescent="0.4">
      <c r="A7" s="55" t="s">
        <v>2</v>
      </c>
      <c r="B7" s="47">
        <v>81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172</v>
      </c>
      <c r="H7" s="133">
        <f>IF(B$17=0,0,G7/B$17)</f>
        <v>0.2857142857142857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159</v>
      </c>
      <c r="Q7" s="104">
        <v>0</v>
      </c>
    </row>
    <row r="8" spans="1:17" x14ac:dyDescent="0.4">
      <c r="A8" s="55" t="s">
        <v>3</v>
      </c>
      <c r="B8" s="47">
        <v>81</v>
      </c>
      <c r="C8" s="39">
        <f t="shared" si="1"/>
        <v>0.33333333333333331</v>
      </c>
      <c r="E8" s="63" t="s">
        <v>90</v>
      </c>
      <c r="F8" s="60" t="s">
        <v>45</v>
      </c>
      <c r="G8" s="47">
        <v>82</v>
      </c>
      <c r="H8" s="133">
        <f>IF(B$17=0,0,G8/B$17)</f>
        <v>0.13621262458471761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81</v>
      </c>
      <c r="C9" s="40">
        <f t="shared" si="1"/>
        <v>0.33333333333333331</v>
      </c>
      <c r="E9" s="63" t="s">
        <v>70</v>
      </c>
      <c r="F9" s="60" t="s">
        <v>25</v>
      </c>
      <c r="G9" s="47">
        <v>77</v>
      </c>
      <c r="H9" s="133">
        <f>IF(B$17=0,0,G9/B$17)</f>
        <v>0.12790697674418605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27</v>
      </c>
      <c r="C10" s="40">
        <f t="shared" si="1"/>
        <v>0.1111111111111111</v>
      </c>
      <c r="E10" s="63" t="s">
        <v>66</v>
      </c>
      <c r="F10" s="60" t="s">
        <v>22</v>
      </c>
      <c r="G10" s="47">
        <v>57</v>
      </c>
      <c r="H10" s="133">
        <f>IF(B$17=0,0,G10/B$17)</f>
        <v>9.4684385382059796E-2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2.3876543209876533</v>
      </c>
      <c r="P10" s="118">
        <v>81</v>
      </c>
      <c r="Q10" s="106">
        <v>193.39999999999992</v>
      </c>
    </row>
    <row r="11" spans="1:17" x14ac:dyDescent="0.4">
      <c r="A11" s="56" t="s">
        <v>139</v>
      </c>
      <c r="B11" s="48">
        <v>27</v>
      </c>
      <c r="C11" s="40">
        <f t="shared" si="1"/>
        <v>0.1111111111111111</v>
      </c>
      <c r="E11" s="63" t="s">
        <v>71</v>
      </c>
      <c r="F11" s="60" t="s">
        <v>26</v>
      </c>
      <c r="G11" s="47">
        <v>48</v>
      </c>
      <c r="H11" s="133">
        <f>IF(B$17=0,0,G11/B$17)</f>
        <v>7.9734219269102985E-2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-0.38271604938271581</v>
      </c>
      <c r="P11" s="119">
        <v>81</v>
      </c>
      <c r="Q11" s="107">
        <v>-30.999999999999982</v>
      </c>
    </row>
    <row r="12" spans="1:17" x14ac:dyDescent="0.4">
      <c r="A12" s="57" t="s">
        <v>159</v>
      </c>
      <c r="B12" s="49">
        <v>22</v>
      </c>
      <c r="C12" s="42">
        <f t="shared" si="1"/>
        <v>9.0534979423868317E-2</v>
      </c>
      <c r="E12" s="63" t="s">
        <v>72</v>
      </c>
      <c r="F12" s="60" t="s">
        <v>27</v>
      </c>
      <c r="G12" s="47">
        <v>45</v>
      </c>
      <c r="H12" s="133">
        <f>IF(B$17=0,0,G12/B$17)</f>
        <v>7.4750830564784057E-2</v>
      </c>
      <c r="I12" s="94">
        <v>4</v>
      </c>
      <c r="K12" s="38">
        <v>10</v>
      </c>
      <c r="L12" s="99">
        <v>-12</v>
      </c>
      <c r="N12" s="116" t="s">
        <v>165</v>
      </c>
      <c r="O12" s="126">
        <f>IF(P12=0,0,Q12/P12)</f>
        <v>-2.0049382716049382</v>
      </c>
      <c r="P12" s="120">
        <v>81</v>
      </c>
      <c r="Q12" s="108">
        <v>-162.39999999999998</v>
      </c>
    </row>
    <row r="13" spans="1:17" x14ac:dyDescent="0.4">
      <c r="A13" s="58" t="s">
        <v>122</v>
      </c>
      <c r="B13" s="50">
        <v>507</v>
      </c>
      <c r="C13" s="44">
        <f>IF(B$3=0,0,B13/B$3)</f>
        <v>0.24743777452415813</v>
      </c>
      <c r="E13" s="63" t="s">
        <v>84</v>
      </c>
      <c r="F13" s="60" t="s">
        <v>39</v>
      </c>
      <c r="G13" s="47">
        <v>34</v>
      </c>
      <c r="H13" s="133">
        <f>IF(B$17=0,0,G13/B$17)</f>
        <v>5.647840531561462E-2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504</v>
      </c>
      <c r="C14" s="39">
        <f>IF(B$3=0,0,B14/B$3)</f>
        <v>0.24597364568081992</v>
      </c>
      <c r="E14" s="63" t="s">
        <v>87</v>
      </c>
      <c r="F14" s="60" t="s">
        <v>42</v>
      </c>
      <c r="G14" s="47">
        <v>26</v>
      </c>
      <c r="H14" s="133">
        <f>IF(B$17=0,0,G14/B$17)</f>
        <v>4.3189368770764118E-2</v>
      </c>
      <c r="I14" s="94">
        <v>6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278</v>
      </c>
      <c r="C15" s="37">
        <f>IF(B$13=0,0,B15/B$13)</f>
        <v>0.5483234714003945</v>
      </c>
      <c r="E15" s="63" t="s">
        <v>79</v>
      </c>
      <c r="F15" s="60" t="s">
        <v>34</v>
      </c>
      <c r="G15" s="47">
        <v>15</v>
      </c>
      <c r="H15" s="133">
        <f>IF(B$17=0,0,G15/B$17)</f>
        <v>2.4916943521594685E-2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213</v>
      </c>
      <c r="C16" s="37">
        <f>IF(B$14=0,0,B16/B$14)</f>
        <v>0.42261904761904762</v>
      </c>
      <c r="E16" s="63" t="s">
        <v>82</v>
      </c>
      <c r="F16" s="60" t="s">
        <v>37</v>
      </c>
      <c r="G16" s="47">
        <v>12</v>
      </c>
      <c r="H16" s="133">
        <f>IF(B$17=0,0,G16/B$17)</f>
        <v>1.9933554817275746E-2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602</v>
      </c>
      <c r="C17" s="37">
        <f>IF(B$3=0,0,B17/B$3)</f>
        <v>0.29380185456320157</v>
      </c>
      <c r="E17" s="63" t="s">
        <v>80</v>
      </c>
      <c r="F17" s="60" t="s">
        <v>35</v>
      </c>
      <c r="G17" s="47">
        <v>10</v>
      </c>
      <c r="H17" s="133">
        <f>IF(B$17=0,0,G17/B$17)</f>
        <v>1.6611295681063124E-2</v>
      </c>
      <c r="I17" s="94">
        <v>4</v>
      </c>
      <c r="K17" s="38">
        <v>15</v>
      </c>
      <c r="L17" s="99">
        <v>0</v>
      </c>
      <c r="N17" s="115" t="s">
        <v>180</v>
      </c>
      <c r="O17" s="125">
        <f>IF(P17=0,0,Q17/P17)</f>
        <v>10.287096774193552</v>
      </c>
      <c r="P17" s="119">
        <v>62</v>
      </c>
      <c r="Q17" s="107">
        <v>637.80000000000018</v>
      </c>
    </row>
    <row r="18" spans="1:17" x14ac:dyDescent="0.4">
      <c r="A18" s="55" t="s">
        <v>12</v>
      </c>
      <c r="B18" s="47">
        <v>248</v>
      </c>
      <c r="C18" s="39">
        <f>IF(B$17=0,0,B18/B$17)</f>
        <v>0.41196013289036543</v>
      </c>
      <c r="E18" s="63" t="s">
        <v>92</v>
      </c>
      <c r="F18" s="60" t="s">
        <v>47</v>
      </c>
      <c r="G18" s="47">
        <v>9</v>
      </c>
      <c r="H18" s="133">
        <f>IF(B$17=0,0,G18/B$17)</f>
        <v>1.4950166112956811E-2</v>
      </c>
      <c r="I18" s="94">
        <v>4</v>
      </c>
      <c r="K18" s="38">
        <v>16</v>
      </c>
      <c r="L18" s="99">
        <v>-28.2</v>
      </c>
      <c r="N18" s="115" t="s">
        <v>167</v>
      </c>
      <c r="O18" s="125">
        <f>IF(P18=0,0,Q18/P18)</f>
        <v>6.9749999999999988</v>
      </c>
      <c r="P18" s="119">
        <v>48</v>
      </c>
      <c r="Q18" s="107">
        <v>334.79999999999995</v>
      </c>
    </row>
    <row r="19" spans="1:17" x14ac:dyDescent="0.4">
      <c r="A19" s="55" t="s">
        <v>11</v>
      </c>
      <c r="B19" s="47">
        <v>354</v>
      </c>
      <c r="C19" s="39">
        <f>IF(B$17=0,0,B19/B$17)</f>
        <v>0.58803986710963452</v>
      </c>
      <c r="E19" s="63" t="s">
        <v>168</v>
      </c>
      <c r="F19" s="60" t="s">
        <v>169</v>
      </c>
      <c r="G19" s="47">
        <v>8</v>
      </c>
      <c r="H19" s="133">
        <f>IF(B$17=0,0,G19/B$17)</f>
        <v>1.3289036544850499E-2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4.6838709677419361</v>
      </c>
      <c r="P19" s="119">
        <v>62</v>
      </c>
      <c r="Q19" s="107">
        <v>290.40000000000003</v>
      </c>
    </row>
    <row r="20" spans="1:17" x14ac:dyDescent="0.4">
      <c r="A20" s="55" t="s">
        <v>13</v>
      </c>
      <c r="B20" s="47">
        <v>352</v>
      </c>
      <c r="C20" s="39">
        <f>IF(B$3=0,0,B20/B$3)</f>
        <v>0.17179111761835042</v>
      </c>
      <c r="E20" s="63" t="s">
        <v>93</v>
      </c>
      <c r="F20" s="60" t="s">
        <v>48</v>
      </c>
      <c r="G20" s="47">
        <v>5</v>
      </c>
      <c r="H20" s="133">
        <f>IF(B$17=0,0,G20/B$17)</f>
        <v>8.3056478405315621E-3</v>
      </c>
      <c r="I20" s="94">
        <v>3</v>
      </c>
      <c r="K20" s="38">
        <v>18</v>
      </c>
      <c r="L20" s="99">
        <v>0</v>
      </c>
      <c r="N20" s="115" t="s">
        <v>178</v>
      </c>
      <c r="O20" s="125">
        <f>IF(P20=0,0,Q20/P20)</f>
        <v>3.212499999999999</v>
      </c>
      <c r="P20" s="119">
        <v>48</v>
      </c>
      <c r="Q20" s="107">
        <v>154.19999999999996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>IF(B$17=0,0,G21/B$17)</f>
        <v>6.6445182724252493E-3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-6.8204081632653093</v>
      </c>
      <c r="P21" s="119">
        <v>98</v>
      </c>
      <c r="Q21" s="107">
        <v>-668.40000000000032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75</v>
      </c>
      <c r="F22" s="60" t="s">
        <v>30</v>
      </c>
      <c r="G22" s="47">
        <v>3</v>
      </c>
      <c r="H22" s="133">
        <f>IF(B$17=0,0,G22/B$17)</f>
        <v>4.9833887043189366E-3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-14.729411764705885</v>
      </c>
      <c r="P22" s="119">
        <v>102</v>
      </c>
      <c r="Q22" s="107">
        <v>-1502.4000000000003</v>
      </c>
    </row>
    <row r="23" spans="1:17" x14ac:dyDescent="0.4">
      <c r="A23" s="55" t="s">
        <v>5</v>
      </c>
      <c r="B23" s="51">
        <f>IF(B$17=0,0,C23/B$17)</f>
        <v>8291.5282392026584</v>
      </c>
      <c r="C23" s="41">
        <v>4991500</v>
      </c>
      <c r="E23" s="63" t="s">
        <v>76</v>
      </c>
      <c r="F23" s="60" t="s">
        <v>31</v>
      </c>
      <c r="G23" s="47">
        <v>3</v>
      </c>
      <c r="H23" s="133">
        <f>IF(B$17=0,0,G23/B$17)</f>
        <v>4.9833887043189366E-3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-7701.420454545455</v>
      </c>
      <c r="C24" s="45">
        <v>-2710900</v>
      </c>
      <c r="E24" s="63" t="s">
        <v>85</v>
      </c>
      <c r="F24" s="60" t="s">
        <v>40</v>
      </c>
      <c r="G24" s="47">
        <v>3</v>
      </c>
      <c r="H24" s="133">
        <f>IF(B$17=0,0,G24/B$17)</f>
        <v>4.9833887043189366E-3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86</v>
      </c>
      <c r="F25" s="60" t="s">
        <v>41</v>
      </c>
      <c r="G25" s="47">
        <v>3</v>
      </c>
      <c r="H25" s="133">
        <f>IF(B$17=0,0,G25/B$17)</f>
        <v>4.9833887043189366E-3</v>
      </c>
      <c r="I25" s="94">
        <v>4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3.3222591362126247E-3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6</v>
      </c>
      <c r="C27" s="42">
        <f>IF(B$3=0,0,B27/B$3)</f>
        <v>2.9282576866764276E-3</v>
      </c>
      <c r="E27" s="63" t="s">
        <v>88</v>
      </c>
      <c r="F27" s="60" t="s">
        <v>43</v>
      </c>
      <c r="G27" s="47">
        <v>1</v>
      </c>
      <c r="H27" s="133">
        <f>IF(B$17=0,0,G27/B$17)</f>
        <v>1.6611295681063123E-3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1.6611295681063123E-3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94</v>
      </c>
      <c r="F29" s="60" t="s">
        <v>49</v>
      </c>
      <c r="G29" s="47">
        <v>1</v>
      </c>
      <c r="H29" s="133">
        <f>IF(B$17=0,0,G29/B$17)</f>
        <v>1.6611295681063123E-3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1.6611295681063123E-3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102</v>
      </c>
      <c r="F31" s="60" t="s">
        <v>57</v>
      </c>
      <c r="G31" s="47">
        <v>1</v>
      </c>
      <c r="H31" s="133">
        <f>IF(B$17=0,0,G31/B$17)</f>
        <v>1.6611295681063123E-3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74</v>
      </c>
      <c r="F32" s="60" t="s">
        <v>29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977-146F-4551-8EAB-E13E4B18648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32</v>
      </c>
      <c r="H2" s="132">
        <f>IF(B$17=0,0,G2/B$17)</f>
        <v>0.60377358490566035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20.833333333333332</v>
      </c>
      <c r="P2" s="118">
        <v>24</v>
      </c>
      <c r="Q2" s="102">
        <v>500</v>
      </c>
    </row>
    <row r="3" spans="1:17" x14ac:dyDescent="0.4">
      <c r="A3" s="55" t="s">
        <v>8</v>
      </c>
      <c r="B3" s="152">
        <v>206</v>
      </c>
      <c r="C3" s="153"/>
      <c r="E3" s="63" t="s">
        <v>73</v>
      </c>
      <c r="F3" s="60" t="s">
        <v>28</v>
      </c>
      <c r="G3" s="47">
        <v>26</v>
      </c>
      <c r="H3" s="133">
        <f>IF(B$17=0,0,G3/B$17)</f>
        <v>0.49056603773584906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0"/>
        <v>-404.3478260869565</v>
      </c>
      <c r="P3" s="119">
        <v>23</v>
      </c>
      <c r="Q3" s="103">
        <v>-9300</v>
      </c>
    </row>
    <row r="4" spans="1:17" x14ac:dyDescent="0.4">
      <c r="A4" s="55" t="s">
        <v>6</v>
      </c>
      <c r="B4" s="154">
        <v>-111.60000000000001</v>
      </c>
      <c r="C4" s="155"/>
      <c r="E4" s="63" t="s">
        <v>172</v>
      </c>
      <c r="F4" s="60" t="s">
        <v>173</v>
      </c>
      <c r="G4" s="47">
        <v>20</v>
      </c>
      <c r="H4" s="133">
        <f>IF(B$17=0,0,G4/B$17)</f>
        <v>0.37735849056603776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0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-4.6500000000000004</v>
      </c>
      <c r="C5" s="157"/>
      <c r="E5" s="63" t="s">
        <v>65</v>
      </c>
      <c r="F5" s="60" t="s">
        <v>21</v>
      </c>
      <c r="G5" s="47">
        <v>18</v>
      </c>
      <c r="H5" s="133">
        <f>IF(B$17=0,0,G5/B$17)</f>
        <v>0.33962264150943394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-440.90909090909093</v>
      </c>
      <c r="P5" s="119">
        <v>22</v>
      </c>
      <c r="Q5" s="103">
        <v>-9700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12</v>
      </c>
      <c r="G6" s="47">
        <v>18</v>
      </c>
      <c r="H6" s="133">
        <f>IF(B$17=0,0,G6/B$17)</f>
        <v>0.33962264150943394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-1659.090909090909</v>
      </c>
      <c r="P6" s="119">
        <v>22</v>
      </c>
      <c r="Q6" s="103">
        <v>-36500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0.29166666666666669</v>
      </c>
      <c r="E7" s="63" t="s">
        <v>70</v>
      </c>
      <c r="F7" s="60" t="s">
        <v>25</v>
      </c>
      <c r="G7" s="47">
        <v>14</v>
      </c>
      <c r="H7" s="133">
        <f>IF(B$17=0,0,G7/B$17)</f>
        <v>0.26415094339622641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-3052.6315789473683</v>
      </c>
      <c r="P7" s="120">
        <v>19</v>
      </c>
      <c r="Q7" s="104">
        <v>-58000</v>
      </c>
    </row>
    <row r="8" spans="1:17" x14ac:dyDescent="0.4">
      <c r="A8" s="55" t="s">
        <v>3</v>
      </c>
      <c r="B8" s="47">
        <v>7</v>
      </c>
      <c r="C8" s="39">
        <f t="shared" si="1"/>
        <v>0.29166666666666669</v>
      </c>
      <c r="E8" s="63" t="s">
        <v>71</v>
      </c>
      <c r="F8" s="60" t="s">
        <v>26</v>
      </c>
      <c r="G8" s="47">
        <v>9</v>
      </c>
      <c r="H8" s="133">
        <f>IF(B$17=0,0,G8/B$17)</f>
        <v>0.16981132075471697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0.41666666666666669</v>
      </c>
      <c r="E9" s="63" t="s">
        <v>68</v>
      </c>
      <c r="F9" s="60" t="s">
        <v>24</v>
      </c>
      <c r="G9" s="47">
        <v>8</v>
      </c>
      <c r="H9" s="133">
        <f>IF(B$17=0,0,G9/B$17)</f>
        <v>0.15094339622641509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7</v>
      </c>
      <c r="H10" s="133">
        <f>IF(B$17=0,0,G10/B$17)</f>
        <v>0.13207547169811321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-0.88749999999999973</v>
      </c>
      <c r="P10" s="118">
        <v>8</v>
      </c>
      <c r="Q10" s="106">
        <v>-7.0999999999999979</v>
      </c>
    </row>
    <row r="11" spans="1:17" x14ac:dyDescent="0.4">
      <c r="A11" s="56" t="s">
        <v>139</v>
      </c>
      <c r="B11" s="48">
        <v>1</v>
      </c>
      <c r="C11" s="40">
        <f t="shared" si="1"/>
        <v>4.1666666666666664E-2</v>
      </c>
      <c r="E11" s="63" t="s">
        <v>66</v>
      </c>
      <c r="F11" s="60" t="s">
        <v>22</v>
      </c>
      <c r="G11" s="47">
        <v>6</v>
      </c>
      <c r="H11" s="133">
        <f>IF(B$17=0,0,G11/B$17)</f>
        <v>0.11320754716981132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0.125</v>
      </c>
      <c r="E12" s="63" t="s">
        <v>84</v>
      </c>
      <c r="F12" s="60" t="s">
        <v>39</v>
      </c>
      <c r="G12" s="47">
        <v>4</v>
      </c>
      <c r="H12" s="133">
        <f>IF(B$17=0,0,G12/B$17)</f>
        <v>7.5471698113207544E-2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38</v>
      </c>
      <c r="C13" s="44">
        <f>IF(B$3=0,0,B13/B$3)</f>
        <v>0.18446601941747573</v>
      </c>
      <c r="E13" s="63" t="s">
        <v>82</v>
      </c>
      <c r="F13" s="60" t="s">
        <v>37</v>
      </c>
      <c r="G13" s="47">
        <v>2</v>
      </c>
      <c r="H13" s="133">
        <f>IF(B$17=0,0,G13/B$17)</f>
        <v>3.7735849056603772E-2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0.22815533980582525</v>
      </c>
      <c r="E14" s="63" t="s">
        <v>90</v>
      </c>
      <c r="F14" s="60" t="s">
        <v>45</v>
      </c>
      <c r="G14" s="47">
        <v>2</v>
      </c>
      <c r="H14" s="133">
        <f>IF(B$17=0,0,G14/B$17)</f>
        <v>3.7735849056603772E-2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0.52631578947368418</v>
      </c>
      <c r="E15" s="63" t="s">
        <v>78</v>
      </c>
      <c r="F15" s="60" t="s">
        <v>33</v>
      </c>
      <c r="G15" s="47">
        <v>1</v>
      </c>
      <c r="H15" s="133">
        <f>IF(B$17=0,0,G15/B$17)</f>
        <v>1.8867924528301886E-2</v>
      </c>
      <c r="I15" s="94">
        <v>2</v>
      </c>
      <c r="K15" s="38">
        <v>13</v>
      </c>
      <c r="L15" s="99">
        <v>-66.2</v>
      </c>
      <c r="N15" s="114" t="s">
        <v>179</v>
      </c>
      <c r="O15" s="124">
        <f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125</v>
      </c>
      <c r="B16" s="46">
        <v>14</v>
      </c>
      <c r="C16" s="37">
        <f>IF(B$14=0,0,B16/B$14)</f>
        <v>0.2978723404255319</v>
      </c>
      <c r="E16" s="63" t="s">
        <v>87</v>
      </c>
      <c r="F16" s="60" t="s">
        <v>42</v>
      </c>
      <c r="G16" s="47">
        <v>1</v>
      </c>
      <c r="H16" s="133">
        <f>IF(B$17=0,0,G16/B$17)</f>
        <v>1.8867924528301886E-2</v>
      </c>
      <c r="I16" s="94">
        <v>10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53</v>
      </c>
      <c r="C17" s="37">
        <f>IF(B$3=0,0,B17/B$3)</f>
        <v>0.25728155339805825</v>
      </c>
      <c r="E17" s="63" t="s">
        <v>89</v>
      </c>
      <c r="F17" s="60" t="s">
        <v>44</v>
      </c>
      <c r="G17" s="47">
        <v>1</v>
      </c>
      <c r="H17" s="133">
        <f>IF(B$17=0,0,G17/B$17)</f>
        <v>1.8867924528301886E-2</v>
      </c>
      <c r="I17" s="94">
        <v>1</v>
      </c>
      <c r="K17" s="38">
        <v>15</v>
      </c>
      <c r="L17" s="99">
        <v>-65.2</v>
      </c>
      <c r="N17" s="115" t="s">
        <v>127</v>
      </c>
      <c r="O17" s="125">
        <f>IF(P17=0,0,Q17/P17)</f>
        <v>-4.0833333333333339</v>
      </c>
      <c r="P17" s="119">
        <v>18</v>
      </c>
      <c r="Q17" s="107">
        <v>-73.500000000000014</v>
      </c>
    </row>
    <row r="18" spans="1:17" x14ac:dyDescent="0.4">
      <c r="A18" s="55" t="s">
        <v>12</v>
      </c>
      <c r="B18" s="47">
        <v>26</v>
      </c>
      <c r="C18" s="39">
        <f>IF(B$17=0,0,B18/B$17)</f>
        <v>0.49056603773584906</v>
      </c>
      <c r="E18" s="63" t="s">
        <v>92</v>
      </c>
      <c r="F18" s="60" t="s">
        <v>47</v>
      </c>
      <c r="G18" s="47">
        <v>1</v>
      </c>
      <c r="H18" s="133">
        <f>IF(B$17=0,0,G18/B$17)</f>
        <v>1.8867924528301886E-2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27</v>
      </c>
      <c r="C19" s="39">
        <f>IF(B$17=0,0,B19/B$17)</f>
        <v>0.50943396226415094</v>
      </c>
      <c r="E19" s="63" t="s">
        <v>94</v>
      </c>
      <c r="F19" s="60" t="s">
        <v>49</v>
      </c>
      <c r="G19" s="47">
        <v>1</v>
      </c>
      <c r="H19" s="133">
        <f>IF(B$17=0,0,G19/B$17)</f>
        <v>1.8867924528301886E-2</v>
      </c>
      <c r="I19" s="94">
        <v>1</v>
      </c>
      <c r="K19" s="38">
        <v>17</v>
      </c>
      <c r="L19" s="99">
        <v>-65.2</v>
      </c>
      <c r="N19" s="115" t="s">
        <v>180</v>
      </c>
      <c r="O19" s="125">
        <f>IF(P19=0,0,Q19/P19)</f>
        <v>-23.900000000000002</v>
      </c>
      <c r="P19" s="119">
        <v>9</v>
      </c>
      <c r="Q19" s="107">
        <v>-215.10000000000002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0.17475728155339806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10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7605.6603773584902</v>
      </c>
      <c r="C23" s="41">
        <v>403100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79</v>
      </c>
      <c r="F24" s="60" t="s">
        <v>34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-80.900000000000006</v>
      </c>
    </row>
    <row r="26" spans="1:17" x14ac:dyDescent="0.4">
      <c r="A26" s="58" t="s">
        <v>151</v>
      </c>
      <c r="B26" s="142">
        <v>86900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-111.60000000000001</v>
      </c>
    </row>
    <row r="27" spans="1:17" x14ac:dyDescent="0.4">
      <c r="A27" s="57" t="s">
        <v>142</v>
      </c>
      <c r="B27" s="65">
        <v>2</v>
      </c>
      <c r="C27" s="42">
        <f>IF(B$3=0,0,B27/B$3)</f>
        <v>9.7087378640776691E-3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A879-829C-4E85-91BF-F6ADBEA5CE5A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51</v>
      </c>
      <c r="C2" s="151"/>
      <c r="E2" s="62" t="s">
        <v>67</v>
      </c>
      <c r="F2" s="59" t="s">
        <v>23</v>
      </c>
      <c r="G2" s="46">
        <v>87</v>
      </c>
      <c r="H2" s="132">
        <f>IF(B$17=0,0,G2/B$17)</f>
        <v>0.6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558</v>
      </c>
      <c r="P2" s="118">
        <v>50</v>
      </c>
      <c r="Q2" s="102">
        <v>27900</v>
      </c>
    </row>
    <row r="3" spans="1:17" x14ac:dyDescent="0.4">
      <c r="A3" s="55" t="s">
        <v>8</v>
      </c>
      <c r="B3" s="152">
        <v>420</v>
      </c>
      <c r="C3" s="153"/>
      <c r="E3" s="63" t="s">
        <v>73</v>
      </c>
      <c r="F3" s="60" t="s">
        <v>28</v>
      </c>
      <c r="G3" s="47">
        <v>79</v>
      </c>
      <c r="H3" s="133">
        <f>IF(B$17=0,0,G3/B$17)</f>
        <v>0.54482758620689653</v>
      </c>
      <c r="I3" s="94">
        <v>5</v>
      </c>
      <c r="K3" s="38">
        <v>1</v>
      </c>
      <c r="L3" s="99">
        <v>50.2</v>
      </c>
      <c r="N3" s="115" t="s">
        <v>132</v>
      </c>
      <c r="O3" s="122">
        <f t="shared" si="0"/>
        <v>-329.78723404255317</v>
      </c>
      <c r="P3" s="119">
        <v>47</v>
      </c>
      <c r="Q3" s="103">
        <v>-15500</v>
      </c>
    </row>
    <row r="4" spans="1:17" x14ac:dyDescent="0.4">
      <c r="A4" s="55" t="s">
        <v>6</v>
      </c>
      <c r="B4" s="154">
        <v>500.7999999999999</v>
      </c>
      <c r="C4" s="155"/>
      <c r="E4" s="63" t="s">
        <v>65</v>
      </c>
      <c r="F4" s="60" t="s">
        <v>21</v>
      </c>
      <c r="G4" s="47">
        <v>57</v>
      </c>
      <c r="H4" s="133">
        <f>IF(B$17=0,0,G4/B$17)</f>
        <v>0.39310344827586208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-748.936170212766</v>
      </c>
      <c r="P4" s="119">
        <v>47</v>
      </c>
      <c r="Q4" s="103">
        <v>-35200</v>
      </c>
    </row>
    <row r="5" spans="1:17" x14ac:dyDescent="0.4">
      <c r="A5" s="55" t="s">
        <v>7</v>
      </c>
      <c r="B5" s="156">
        <f>IF(B$2=0,0,B$4/B$2)</f>
        <v>9.8196078431372538</v>
      </c>
      <c r="C5" s="157"/>
      <c r="E5" s="63" t="s">
        <v>172</v>
      </c>
      <c r="F5" s="60" t="s">
        <v>173</v>
      </c>
      <c r="G5" s="47">
        <v>47</v>
      </c>
      <c r="H5" s="133">
        <f>IF(B$17=0,0,G5/B$17)</f>
        <v>0.32413793103448274</v>
      </c>
      <c r="I5" s="94">
        <v>9</v>
      </c>
      <c r="K5" s="38">
        <v>3</v>
      </c>
      <c r="L5" s="99">
        <v>40.400000000000006</v>
      </c>
      <c r="N5" s="115" t="s">
        <v>134</v>
      </c>
      <c r="O5" s="122">
        <f t="shared" si="0"/>
        <v>125.58139534883721</v>
      </c>
      <c r="P5" s="119">
        <v>43</v>
      </c>
      <c r="Q5" s="103">
        <v>5400</v>
      </c>
    </row>
    <row r="6" spans="1:17" x14ac:dyDescent="0.4">
      <c r="A6" s="55" t="s">
        <v>1</v>
      </c>
      <c r="B6" s="146">
        <f>IF(B$2=0,0,(B$7*1+B$8*2+B$9*3)/B$2)</f>
        <v>1.7254901960784315</v>
      </c>
      <c r="C6" s="147"/>
      <c r="E6" s="63" t="s">
        <v>68</v>
      </c>
      <c r="F6" s="60" t="s">
        <v>24</v>
      </c>
      <c r="G6" s="47">
        <v>38</v>
      </c>
      <c r="H6" s="133">
        <f>IF(B$17=0,0,G6/B$17)</f>
        <v>0.2620689655172414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0"/>
        <v>4695.1219512195121</v>
      </c>
      <c r="P6" s="119">
        <v>41</v>
      </c>
      <c r="Q6" s="103">
        <v>192500</v>
      </c>
    </row>
    <row r="7" spans="1:17" x14ac:dyDescent="0.4">
      <c r="A7" s="55" t="s">
        <v>2</v>
      </c>
      <c r="B7" s="47">
        <v>25</v>
      </c>
      <c r="C7" s="39">
        <f t="shared" ref="C7:C12" si="1">IF(B$2=0,0,B7/B$2)</f>
        <v>0.49019607843137253</v>
      </c>
      <c r="E7" s="63" t="s">
        <v>69</v>
      </c>
      <c r="F7" s="60" t="s">
        <v>12</v>
      </c>
      <c r="G7" s="47">
        <v>36</v>
      </c>
      <c r="H7" s="133">
        <f>IF(B$17=0,0,G7/B$17)</f>
        <v>0.24827586206896551</v>
      </c>
      <c r="I7" s="94">
        <v>9</v>
      </c>
      <c r="K7" s="38">
        <v>5</v>
      </c>
      <c r="L7" s="99">
        <v>99.9</v>
      </c>
      <c r="N7" s="116" t="s">
        <v>136</v>
      </c>
      <c r="O7" s="123">
        <f t="shared" si="0"/>
        <v>4836.363636363636</v>
      </c>
      <c r="P7" s="120">
        <v>33</v>
      </c>
      <c r="Q7" s="104">
        <v>159600</v>
      </c>
    </row>
    <row r="8" spans="1:17" x14ac:dyDescent="0.4">
      <c r="A8" s="55" t="s">
        <v>3</v>
      </c>
      <c r="B8" s="47">
        <v>15</v>
      </c>
      <c r="C8" s="39">
        <f t="shared" si="1"/>
        <v>0.29411764705882354</v>
      </c>
      <c r="E8" s="63" t="s">
        <v>90</v>
      </c>
      <c r="F8" s="60" t="s">
        <v>45</v>
      </c>
      <c r="G8" s="47">
        <v>27</v>
      </c>
      <c r="H8" s="133">
        <f>IF(B$17=0,0,G8/B$17)</f>
        <v>0.18620689655172415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0.21568627450980393</v>
      </c>
      <c r="E9" s="63" t="s">
        <v>70</v>
      </c>
      <c r="F9" s="60" t="s">
        <v>25</v>
      </c>
      <c r="G9" s="47">
        <v>18</v>
      </c>
      <c r="H9" s="133">
        <f>IF(B$17=0,0,G9/B$17)</f>
        <v>0.12413793103448276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5.8823529411764705E-2</v>
      </c>
      <c r="E10" s="63" t="s">
        <v>66</v>
      </c>
      <c r="F10" s="60" t="s">
        <v>22</v>
      </c>
      <c r="G10" s="47">
        <v>14</v>
      </c>
      <c r="H10" s="133">
        <f>IF(B$17=0,0,G10/B$17)</f>
        <v>9.6551724137931033E-2</v>
      </c>
      <c r="I10" s="94">
        <v>5</v>
      </c>
      <c r="K10" s="38">
        <v>8</v>
      </c>
      <c r="L10" s="99">
        <v>148.1</v>
      </c>
      <c r="N10" s="114" t="s">
        <v>163</v>
      </c>
      <c r="O10" s="124">
        <f>IF(P10=0,0,Q10/P10)</f>
        <v>17.981818181818181</v>
      </c>
      <c r="P10" s="118">
        <v>11</v>
      </c>
      <c r="Q10" s="106">
        <v>197.79999999999998</v>
      </c>
    </row>
    <row r="11" spans="1:17" x14ac:dyDescent="0.4">
      <c r="A11" s="56" t="s">
        <v>139</v>
      </c>
      <c r="B11" s="48">
        <v>5</v>
      </c>
      <c r="C11" s="40">
        <f t="shared" si="1"/>
        <v>9.8039215686274508E-2</v>
      </c>
      <c r="E11" s="63" t="s">
        <v>71</v>
      </c>
      <c r="F11" s="60" t="s">
        <v>26</v>
      </c>
      <c r="G11" s="47">
        <v>10</v>
      </c>
      <c r="H11" s="133">
        <f>IF(B$17=0,0,G11/B$17)</f>
        <v>6.8965517241379309E-2</v>
      </c>
      <c r="I11" s="94">
        <v>5</v>
      </c>
      <c r="K11" s="38">
        <v>9</v>
      </c>
      <c r="L11" s="99">
        <v>180.89999999999998</v>
      </c>
      <c r="N11" s="115" t="s">
        <v>164</v>
      </c>
      <c r="O11" s="125">
        <f>IF(P11=0,0,Q11/P11)</f>
        <v>6.0086956521739152</v>
      </c>
      <c r="P11" s="119">
        <v>23</v>
      </c>
      <c r="Q11" s="107">
        <v>138.20000000000005</v>
      </c>
    </row>
    <row r="12" spans="1:17" x14ac:dyDescent="0.4">
      <c r="A12" s="57" t="s">
        <v>159</v>
      </c>
      <c r="B12" s="49">
        <v>6</v>
      </c>
      <c r="C12" s="42">
        <f t="shared" si="1"/>
        <v>0.11764705882352941</v>
      </c>
      <c r="E12" s="63" t="s">
        <v>72</v>
      </c>
      <c r="F12" s="60" t="s">
        <v>27</v>
      </c>
      <c r="G12" s="47">
        <v>10</v>
      </c>
      <c r="H12" s="133">
        <f>IF(B$17=0,0,G12/B$17)</f>
        <v>6.8965517241379309E-2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9.6941176470588228</v>
      </c>
      <c r="P12" s="120">
        <v>17</v>
      </c>
      <c r="Q12" s="108">
        <v>164.79999999999998</v>
      </c>
    </row>
    <row r="13" spans="1:17" x14ac:dyDescent="0.4">
      <c r="A13" s="58" t="s">
        <v>122</v>
      </c>
      <c r="B13" s="50">
        <v>104</v>
      </c>
      <c r="C13" s="44">
        <f>IF(B$3=0,0,B13/B$3)</f>
        <v>0.24761904761904763</v>
      </c>
      <c r="E13" s="63" t="s">
        <v>84</v>
      </c>
      <c r="F13" s="60" t="s">
        <v>39</v>
      </c>
      <c r="G13" s="47">
        <v>7</v>
      </c>
      <c r="H13" s="133">
        <f>IF(B$17=0,0,G13/B$17)</f>
        <v>4.8275862068965517E-2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0.22619047619047619</v>
      </c>
      <c r="E14" s="63" t="s">
        <v>79</v>
      </c>
      <c r="F14" s="60" t="s">
        <v>34</v>
      </c>
      <c r="G14" s="47">
        <v>5</v>
      </c>
      <c r="H14" s="133">
        <f>IF(B$17=0,0,G14/B$17)</f>
        <v>3.4482758620689655E-2</v>
      </c>
      <c r="I14" s="94">
        <v>3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64</v>
      </c>
      <c r="C15" s="37">
        <f>IF(B$13=0,0,B15/B$13)</f>
        <v>0.61538461538461542</v>
      </c>
      <c r="E15" s="63" t="s">
        <v>87</v>
      </c>
      <c r="F15" s="60" t="s">
        <v>42</v>
      </c>
      <c r="G15" s="47">
        <v>5</v>
      </c>
      <c r="H15" s="133">
        <f>IF(B$17=0,0,G15/B$17)</f>
        <v>3.4482758620689655E-2</v>
      </c>
      <c r="I15" s="94">
        <v>7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53</v>
      </c>
      <c r="C16" s="37">
        <f>IF(B$14=0,0,B16/B$14)</f>
        <v>0.55789473684210522</v>
      </c>
      <c r="E16" s="63" t="s">
        <v>168</v>
      </c>
      <c r="F16" s="60" t="s">
        <v>169</v>
      </c>
      <c r="G16" s="47">
        <v>5</v>
      </c>
      <c r="H16" s="133">
        <f>IF(B$17=0,0,G16/B$17)</f>
        <v>3.4482758620689655E-2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>IF(P16=0,0,Q16/P16)</f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0.34523809523809523</v>
      </c>
      <c r="E17" s="63" t="s">
        <v>78</v>
      </c>
      <c r="F17" s="60" t="s">
        <v>33</v>
      </c>
      <c r="G17" s="47">
        <v>3</v>
      </c>
      <c r="H17" s="133">
        <f>IF(B$17=0,0,G17/B$17)</f>
        <v>2.0689655172413793E-2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>IF(P17=0,0,Q17/P17)</f>
        <v>26.250000000000011</v>
      </c>
      <c r="P17" s="119">
        <v>12</v>
      </c>
      <c r="Q17" s="107">
        <v>315.00000000000011</v>
      </c>
    </row>
    <row r="18" spans="1:17" x14ac:dyDescent="0.4">
      <c r="A18" s="55" t="s">
        <v>12</v>
      </c>
      <c r="B18" s="47">
        <v>57</v>
      </c>
      <c r="C18" s="39">
        <f>IF(B$17=0,0,B18/B$17)</f>
        <v>0.39310344827586208</v>
      </c>
      <c r="E18" s="63" t="s">
        <v>85</v>
      </c>
      <c r="F18" s="60" t="s">
        <v>40</v>
      </c>
      <c r="G18" s="47">
        <v>3</v>
      </c>
      <c r="H18" s="133">
        <f>IF(B$17=0,0,G18/B$17)</f>
        <v>2.0689655172413793E-2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18.555</v>
      </c>
      <c r="P18" s="119">
        <v>20</v>
      </c>
      <c r="Q18" s="107">
        <v>371.1</v>
      </c>
    </row>
    <row r="19" spans="1:17" x14ac:dyDescent="0.4">
      <c r="A19" s="55" t="s">
        <v>11</v>
      </c>
      <c r="B19" s="47">
        <v>88</v>
      </c>
      <c r="C19" s="39">
        <f>IF(B$17=0,0,B19/B$17)</f>
        <v>0.60689655172413792</v>
      </c>
      <c r="E19" s="63" t="s">
        <v>93</v>
      </c>
      <c r="F19" s="60" t="s">
        <v>48</v>
      </c>
      <c r="G19" s="47">
        <v>2</v>
      </c>
      <c r="H19" s="133">
        <f>IF(B$17=0,0,G19/B$17)</f>
        <v>1.3793103448275862E-2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12.389189189189189</v>
      </c>
      <c r="P19" s="119">
        <v>37</v>
      </c>
      <c r="Q19" s="107">
        <v>458.4</v>
      </c>
    </row>
    <row r="20" spans="1:17" x14ac:dyDescent="0.4">
      <c r="A20" s="55" t="s">
        <v>13</v>
      </c>
      <c r="B20" s="47">
        <v>56</v>
      </c>
      <c r="C20" s="39">
        <f>IF(B$3=0,0,B20/B$3)</f>
        <v>0.13333333333333333</v>
      </c>
      <c r="E20" s="63" t="s">
        <v>75</v>
      </c>
      <c r="F20" s="60" t="s">
        <v>30</v>
      </c>
      <c r="G20" s="47">
        <v>1</v>
      </c>
      <c r="H20" s="133">
        <f>IF(B$17=0,0,G20/B$17)</f>
        <v>6.8965517241379309E-3</v>
      </c>
      <c r="I20" s="94">
        <v>3</v>
      </c>
      <c r="K20" s="38">
        <v>18</v>
      </c>
      <c r="L20" s="99">
        <v>352.39999999999992</v>
      </c>
      <c r="N20" s="115" t="s">
        <v>167</v>
      </c>
      <c r="O20" s="125">
        <f>IF(P20=0,0,Q20/P20)</f>
        <v>4.0833333333333321</v>
      </c>
      <c r="P20" s="119">
        <v>18</v>
      </c>
      <c r="Q20" s="107">
        <v>73.499999999999972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82</v>
      </c>
      <c r="F21" s="60" t="s">
        <v>37</v>
      </c>
      <c r="G21" s="47">
        <v>1</v>
      </c>
      <c r="H21" s="133">
        <f>IF(B$17=0,0,G21/B$17)</f>
        <v>6.8965517241379309E-3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>IF(P21=0,0,Q21/P21)</f>
        <v>1.5777777777777782</v>
      </c>
      <c r="P21" s="119">
        <v>9</v>
      </c>
      <c r="Q21" s="107">
        <v>14.200000000000003</v>
      </c>
    </row>
    <row r="22" spans="1:17" x14ac:dyDescent="0.4">
      <c r="A22" s="55" t="s">
        <v>171</v>
      </c>
      <c r="B22" s="47">
        <v>27</v>
      </c>
      <c r="C22" s="135">
        <v>6</v>
      </c>
      <c r="E22" s="63" t="s">
        <v>86</v>
      </c>
      <c r="F22" s="60" t="s">
        <v>41</v>
      </c>
      <c r="G22" s="47">
        <v>1</v>
      </c>
      <c r="H22" s="133">
        <f>IF(B$17=0,0,G22/B$17)</f>
        <v>6.8965517241379309E-3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7962.7586206896549</v>
      </c>
      <c r="C23" s="41">
        <v>1154600</v>
      </c>
      <c r="E23" s="63" t="s">
        <v>89</v>
      </c>
      <c r="F23" s="60" t="s">
        <v>44</v>
      </c>
      <c r="G23" s="47">
        <v>1</v>
      </c>
      <c r="H23" s="133">
        <f>IF(B$17=0,0,G23/B$17)</f>
        <v>6.8965517241379309E-3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-7310.7142857142853</v>
      </c>
      <c r="C24" s="45">
        <v>-409400</v>
      </c>
      <c r="E24" s="63" t="s">
        <v>91</v>
      </c>
      <c r="F24" s="60" t="s">
        <v>46</v>
      </c>
      <c r="G24" s="47">
        <v>1</v>
      </c>
      <c r="H24" s="133">
        <f>IF(B$17=0,0,G24/B$17)</f>
        <v>6.8965517241379309E-3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6.8965517241379309E-3</v>
      </c>
      <c r="I25" s="94">
        <v>6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6.8965517241379309E-3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427.39999999999992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DDE6-74DA-4EC1-97AF-3FFF4918A183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49</v>
      </c>
      <c r="C2" s="151"/>
      <c r="E2" s="62" t="s">
        <v>67</v>
      </c>
      <c r="F2" s="59" t="s">
        <v>23</v>
      </c>
      <c r="G2" s="46">
        <v>127</v>
      </c>
      <c r="H2" s="132">
        <f>IF(B$17=0,0,G2/B$17)</f>
        <v>0.94074074074074077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-277.08333333333331</v>
      </c>
      <c r="P2" s="118">
        <v>48</v>
      </c>
      <c r="Q2" s="102">
        <v>-13300</v>
      </c>
    </row>
    <row r="3" spans="1:17" x14ac:dyDescent="0.4">
      <c r="A3" s="55" t="s">
        <v>8</v>
      </c>
      <c r="B3" s="152">
        <v>420</v>
      </c>
      <c r="C3" s="153"/>
      <c r="E3" s="63" t="s">
        <v>73</v>
      </c>
      <c r="F3" s="60" t="s">
        <v>28</v>
      </c>
      <c r="G3" s="47">
        <v>83</v>
      </c>
      <c r="H3" s="133">
        <f>IF(B$17=0,0,G3/B$17)</f>
        <v>0.61481481481481481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1269.5652173913043</v>
      </c>
      <c r="P3" s="119">
        <v>46</v>
      </c>
      <c r="Q3" s="103">
        <v>58400</v>
      </c>
    </row>
    <row r="4" spans="1:17" x14ac:dyDescent="0.4">
      <c r="A4" s="55" t="s">
        <v>6</v>
      </c>
      <c r="B4" s="154">
        <v>222.79999999999984</v>
      </c>
      <c r="C4" s="155"/>
      <c r="E4" s="63" t="s">
        <v>172</v>
      </c>
      <c r="F4" s="60" t="s">
        <v>173</v>
      </c>
      <c r="G4" s="47">
        <v>57</v>
      </c>
      <c r="H4" s="133">
        <f>IF(B$17=0,0,G4/B$17)</f>
        <v>0.42222222222222222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2200</v>
      </c>
      <c r="P4" s="119">
        <v>45</v>
      </c>
      <c r="Q4" s="103">
        <v>99000</v>
      </c>
    </row>
    <row r="5" spans="1:17" x14ac:dyDescent="0.4">
      <c r="A5" s="55" t="s">
        <v>7</v>
      </c>
      <c r="B5" s="156">
        <f>IF(B$2=0,0,B$4/B$2)</f>
        <v>4.5469387755102009</v>
      </c>
      <c r="C5" s="157"/>
      <c r="E5" s="63" t="s">
        <v>65</v>
      </c>
      <c r="F5" s="60" t="s">
        <v>21</v>
      </c>
      <c r="G5" s="47">
        <v>56</v>
      </c>
      <c r="H5" s="133">
        <f>IF(B$17=0,0,G5/B$17)</f>
        <v>0.4148148148148148</v>
      </c>
      <c r="I5" s="94">
        <v>7</v>
      </c>
      <c r="K5" s="38">
        <v>3</v>
      </c>
      <c r="L5" s="99">
        <v>-58.599999999999994</v>
      </c>
      <c r="N5" s="115" t="s">
        <v>134</v>
      </c>
      <c r="O5" s="122">
        <f t="shared" si="0"/>
        <v>2521.4285714285716</v>
      </c>
      <c r="P5" s="119">
        <v>42</v>
      </c>
      <c r="Q5" s="103">
        <v>105900</v>
      </c>
    </row>
    <row r="6" spans="1:17" x14ac:dyDescent="0.4">
      <c r="A6" s="55" t="s">
        <v>1</v>
      </c>
      <c r="B6" s="146">
        <f>IF(B$2=0,0,(B$7*1+B$8*2+B$9*3)/B$2)</f>
        <v>1.8775510204081634</v>
      </c>
      <c r="C6" s="147"/>
      <c r="E6" s="63" t="s">
        <v>69</v>
      </c>
      <c r="F6" s="60" t="s">
        <v>12</v>
      </c>
      <c r="G6" s="47">
        <v>40</v>
      </c>
      <c r="H6" s="133">
        <f>IF(B$17=0,0,G6/B$17)</f>
        <v>0.29629629629629628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-1748.7179487179487</v>
      </c>
      <c r="P6" s="119">
        <v>39</v>
      </c>
      <c r="Q6" s="103">
        <v>-68200</v>
      </c>
    </row>
    <row r="7" spans="1:17" x14ac:dyDescent="0.4">
      <c r="A7" s="55" t="s">
        <v>2</v>
      </c>
      <c r="B7" s="47">
        <v>19</v>
      </c>
      <c r="C7" s="39">
        <f t="shared" ref="C7:C12" si="1">IF(B$2=0,0,B7/B$2)</f>
        <v>0.38775510204081631</v>
      </c>
      <c r="E7" s="63" t="s">
        <v>68</v>
      </c>
      <c r="F7" s="60" t="s">
        <v>24</v>
      </c>
      <c r="G7" s="47">
        <v>37</v>
      </c>
      <c r="H7" s="133">
        <f>IF(B$17=0,0,G7/B$17)</f>
        <v>0.27407407407407408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0"/>
        <v>1038.7096774193549</v>
      </c>
      <c r="P7" s="120">
        <v>31</v>
      </c>
      <c r="Q7" s="104">
        <v>32200</v>
      </c>
    </row>
    <row r="8" spans="1:17" x14ac:dyDescent="0.4">
      <c r="A8" s="55" t="s">
        <v>3</v>
      </c>
      <c r="B8" s="47">
        <v>17</v>
      </c>
      <c r="C8" s="39">
        <f t="shared" si="1"/>
        <v>0.34693877551020408</v>
      </c>
      <c r="E8" s="63" t="s">
        <v>90</v>
      </c>
      <c r="F8" s="60" t="s">
        <v>45</v>
      </c>
      <c r="G8" s="47">
        <v>18</v>
      </c>
      <c r="H8" s="133">
        <f>IF(B$17=0,0,G8/B$17)</f>
        <v>0.13333333333333333</v>
      </c>
      <c r="I8" s="94">
        <v>4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0.26530612244897961</v>
      </c>
      <c r="E9" s="63" t="s">
        <v>70</v>
      </c>
      <c r="F9" s="60" t="s">
        <v>25</v>
      </c>
      <c r="G9" s="47">
        <v>12</v>
      </c>
      <c r="H9" s="133">
        <f>IF(B$17=0,0,G9/B$17)</f>
        <v>8.8888888888888892E-2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7</v>
      </c>
      <c r="C10" s="40">
        <f t="shared" si="1"/>
        <v>0.14285714285714285</v>
      </c>
      <c r="E10" s="63" t="s">
        <v>72</v>
      </c>
      <c r="F10" s="60" t="s">
        <v>27</v>
      </c>
      <c r="G10" s="47">
        <v>12</v>
      </c>
      <c r="H10" s="133">
        <f>IF(B$17=0,0,G10/B$17)</f>
        <v>8.8888888888888892E-2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7.5785714285714301</v>
      </c>
      <c r="P10" s="118">
        <v>14</v>
      </c>
      <c r="Q10" s="106">
        <v>106.10000000000002</v>
      </c>
    </row>
    <row r="11" spans="1:17" x14ac:dyDescent="0.4">
      <c r="A11" s="56" t="s">
        <v>139</v>
      </c>
      <c r="B11" s="48">
        <v>8</v>
      </c>
      <c r="C11" s="40">
        <f t="shared" si="1"/>
        <v>0.16326530612244897</v>
      </c>
      <c r="E11" s="63" t="s">
        <v>66</v>
      </c>
      <c r="F11" s="60" t="s">
        <v>22</v>
      </c>
      <c r="G11" s="47">
        <v>11</v>
      </c>
      <c r="H11" s="133">
        <f>IF(B$17=0,0,G11/B$17)</f>
        <v>8.1481481481481488E-2</v>
      </c>
      <c r="I11" s="94">
        <v>9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11</v>
      </c>
      <c r="C12" s="42">
        <f t="shared" si="1"/>
        <v>0.22448979591836735</v>
      </c>
      <c r="E12" s="63" t="s">
        <v>87</v>
      </c>
      <c r="F12" s="60" t="s">
        <v>42</v>
      </c>
      <c r="G12" s="47">
        <v>9</v>
      </c>
      <c r="H12" s="133">
        <f>IF(B$17=0,0,G12/B$17)</f>
        <v>6.6666666666666666E-2</v>
      </c>
      <c r="I12" s="94">
        <v>2</v>
      </c>
      <c r="K12" s="38">
        <v>10</v>
      </c>
      <c r="L12" s="99">
        <v>-78.399999999999991</v>
      </c>
      <c r="N12" s="116" t="s">
        <v>165</v>
      </c>
      <c r="O12" s="126">
        <f>IF(P12=0,0,Q12/P12)</f>
        <v>1.5090909090909086</v>
      </c>
      <c r="P12" s="120">
        <v>22</v>
      </c>
      <c r="Q12" s="108">
        <v>33.199999999999989</v>
      </c>
    </row>
    <row r="13" spans="1:17" x14ac:dyDescent="0.4">
      <c r="A13" s="58" t="s">
        <v>122</v>
      </c>
      <c r="B13" s="50">
        <v>99</v>
      </c>
      <c r="C13" s="44">
        <f>IF(B$3=0,0,B13/B$3)</f>
        <v>0.23571428571428571</v>
      </c>
      <c r="E13" s="63" t="s">
        <v>71</v>
      </c>
      <c r="F13" s="60" t="s">
        <v>26</v>
      </c>
      <c r="G13" s="47">
        <v>8</v>
      </c>
      <c r="H13" s="133">
        <f>IF(B$17=0,0,G13/B$17)</f>
        <v>5.9259259259259262E-2</v>
      </c>
      <c r="I13" s="94">
        <v>7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0.31904761904761902</v>
      </c>
      <c r="E14" s="63" t="s">
        <v>79</v>
      </c>
      <c r="F14" s="60" t="s">
        <v>34</v>
      </c>
      <c r="G14" s="47">
        <v>5</v>
      </c>
      <c r="H14" s="133">
        <f>IF(B$17=0,0,G14/B$17)</f>
        <v>3.7037037037037035E-2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55</v>
      </c>
      <c r="C15" s="37">
        <f>IF(B$13=0,0,B15/B$13)</f>
        <v>0.55555555555555558</v>
      </c>
      <c r="E15" s="63" t="s">
        <v>84</v>
      </c>
      <c r="F15" s="60" t="s">
        <v>39</v>
      </c>
      <c r="G15" s="47">
        <v>5</v>
      </c>
      <c r="H15" s="133">
        <f>IF(B$17=0,0,G15/B$17)</f>
        <v>3.7037037037037035E-2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54</v>
      </c>
      <c r="C16" s="37">
        <f>IF(B$14=0,0,B16/B$14)</f>
        <v>0.40298507462686567</v>
      </c>
      <c r="E16" s="63" t="s">
        <v>92</v>
      </c>
      <c r="F16" s="60" t="s">
        <v>47</v>
      </c>
      <c r="G16" s="47">
        <v>5</v>
      </c>
      <c r="H16" s="133">
        <f>IF(B$17=0,0,G16/B$17)</f>
        <v>3.7037037037037035E-2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135</v>
      </c>
      <c r="C17" s="37">
        <f>IF(B$3=0,0,B17/B$3)</f>
        <v>0.32142857142857145</v>
      </c>
      <c r="E17" s="63" t="s">
        <v>80</v>
      </c>
      <c r="F17" s="60" t="s">
        <v>35</v>
      </c>
      <c r="G17" s="47">
        <v>4</v>
      </c>
      <c r="H17" s="133">
        <f>IF(B$17=0,0,G17/B$17)</f>
        <v>2.9629629629629631E-2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51</v>
      </c>
      <c r="C18" s="39">
        <f>IF(B$17=0,0,B18/B$17)</f>
        <v>0.37777777777777777</v>
      </c>
      <c r="E18" s="63" t="s">
        <v>82</v>
      </c>
      <c r="F18" s="60" t="s">
        <v>37</v>
      </c>
      <c r="G18" s="47">
        <v>2</v>
      </c>
      <c r="H18" s="133">
        <f>IF(B$17=0,0,G18/B$17)</f>
        <v>1.4814814814814815E-2</v>
      </c>
      <c r="I18" s="94">
        <v>7</v>
      </c>
      <c r="K18" s="38">
        <v>16</v>
      </c>
      <c r="L18" s="99">
        <v>-187.3</v>
      </c>
      <c r="N18" s="115" t="s">
        <v>178</v>
      </c>
      <c r="O18" s="125">
        <f>IF(P18=0,0,Q18/P18)</f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84</v>
      </c>
      <c r="C19" s="39">
        <f>IF(B$17=0,0,B19/B$17)</f>
        <v>0.62222222222222223</v>
      </c>
      <c r="E19" s="63" t="s">
        <v>75</v>
      </c>
      <c r="F19" s="60" t="s">
        <v>30</v>
      </c>
      <c r="G19" s="47">
        <v>1</v>
      </c>
      <c r="H19" s="133">
        <f>IF(B$17=0,0,G19/B$17)</f>
        <v>7.4074074074074077E-3</v>
      </c>
      <c r="I19" s="94">
        <v>2</v>
      </c>
      <c r="K19" s="38">
        <v>17</v>
      </c>
      <c r="L19" s="99">
        <v>-179.70000000000002</v>
      </c>
      <c r="N19" s="115" t="s">
        <v>180</v>
      </c>
      <c r="O19" s="125">
        <f>IF(P19=0,0,Q19/P19)</f>
        <v>6.223529411764706</v>
      </c>
      <c r="P19" s="119">
        <v>17</v>
      </c>
      <c r="Q19" s="107">
        <v>105.8</v>
      </c>
    </row>
    <row r="20" spans="1:17" x14ac:dyDescent="0.4">
      <c r="A20" s="55" t="s">
        <v>13</v>
      </c>
      <c r="B20" s="47">
        <v>86</v>
      </c>
      <c r="C20" s="39">
        <f>IF(B$3=0,0,B20/B$3)</f>
        <v>0.20476190476190476</v>
      </c>
      <c r="E20" s="63" t="s">
        <v>168</v>
      </c>
      <c r="F20" s="60" t="s">
        <v>169</v>
      </c>
      <c r="G20" s="47">
        <v>1</v>
      </c>
      <c r="H20" s="133">
        <f>IF(B$17=0,0,G20/B$17)</f>
        <v>7.4074074074074077E-3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-12.389189189189187</v>
      </c>
      <c r="P21" s="119">
        <v>37</v>
      </c>
      <c r="Q21" s="107">
        <v>-458.39999999999992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1180800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-7620.9302325581393</v>
      </c>
      <c r="C24" s="45">
        <v>-655400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2.3809523809523812E-3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272.09999999999985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CCEF-402D-41F3-91C1-9DA777A72EE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31</v>
      </c>
      <c r="C2" s="151"/>
      <c r="E2" s="62" t="s">
        <v>67</v>
      </c>
      <c r="F2" s="59" t="s">
        <v>23</v>
      </c>
      <c r="G2" s="46">
        <v>51</v>
      </c>
      <c r="H2" s="132">
        <f>IF(B$17=0,0,G2/B$17)</f>
        <v>0.67105263157894735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216.66666666666666</v>
      </c>
      <c r="P2" s="118">
        <v>30</v>
      </c>
      <c r="Q2" s="102">
        <v>6500</v>
      </c>
    </row>
    <row r="3" spans="1:17" x14ac:dyDescent="0.4">
      <c r="A3" s="55" t="s">
        <v>8</v>
      </c>
      <c r="B3" s="152">
        <v>267</v>
      </c>
      <c r="C3" s="153"/>
      <c r="E3" s="63" t="s">
        <v>65</v>
      </c>
      <c r="F3" s="60" t="s">
        <v>21</v>
      </c>
      <c r="G3" s="47">
        <v>44</v>
      </c>
      <c r="H3" s="133">
        <f>IF(B$17=0,0,G3/B$17)</f>
        <v>0.57894736842105265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-1593.3333333333333</v>
      </c>
      <c r="P3" s="119">
        <v>30</v>
      </c>
      <c r="Q3" s="103">
        <v>-47800</v>
      </c>
    </row>
    <row r="4" spans="1:17" x14ac:dyDescent="0.4">
      <c r="A4" s="55" t="s">
        <v>6</v>
      </c>
      <c r="B4" s="154">
        <v>-212.6</v>
      </c>
      <c r="C4" s="155"/>
      <c r="E4" s="63" t="s">
        <v>73</v>
      </c>
      <c r="F4" s="60" t="s">
        <v>28</v>
      </c>
      <c r="G4" s="47">
        <v>41</v>
      </c>
      <c r="H4" s="133">
        <f>IF(B$17=0,0,G4/B$17)</f>
        <v>0.53947368421052633</v>
      </c>
      <c r="I4" s="94">
        <v>6</v>
      </c>
      <c r="K4" s="38">
        <v>2</v>
      </c>
      <c r="L4" s="99">
        <v>-30.099999999999998</v>
      </c>
      <c r="N4" s="115" t="s">
        <v>133</v>
      </c>
      <c r="O4" s="122">
        <f t="shared" si="0"/>
        <v>2189.655172413793</v>
      </c>
      <c r="P4" s="119">
        <v>29</v>
      </c>
      <c r="Q4" s="103">
        <v>63500</v>
      </c>
    </row>
    <row r="5" spans="1:17" x14ac:dyDescent="0.4">
      <c r="A5" s="55" t="s">
        <v>7</v>
      </c>
      <c r="B5" s="156">
        <f>IF(B$2=0,0,B$4/B$2)</f>
        <v>-6.8580645161290317</v>
      </c>
      <c r="C5" s="157"/>
      <c r="E5" s="63" t="s">
        <v>172</v>
      </c>
      <c r="F5" s="60" t="s">
        <v>173</v>
      </c>
      <c r="G5" s="47">
        <v>25</v>
      </c>
      <c r="H5" s="133">
        <f>IF(B$17=0,0,G5/B$17)</f>
        <v>0.32894736842105265</v>
      </c>
      <c r="I5" s="94">
        <v>8</v>
      </c>
      <c r="K5" s="38">
        <v>3</v>
      </c>
      <c r="L5" s="99">
        <v>-17.599999999999998</v>
      </c>
      <c r="N5" s="115" t="s">
        <v>134</v>
      </c>
      <c r="O5" s="122">
        <f t="shared" si="0"/>
        <v>-1600</v>
      </c>
      <c r="P5" s="119">
        <v>28</v>
      </c>
      <c r="Q5" s="103">
        <v>-44800</v>
      </c>
    </row>
    <row r="6" spans="1:17" x14ac:dyDescent="0.4">
      <c r="A6" s="55" t="s">
        <v>1</v>
      </c>
      <c r="B6" s="146">
        <f>IF(B$2=0,0,(B$7*1+B$8*2+B$9*3)/B$2)</f>
        <v>2.225806451612903</v>
      </c>
      <c r="C6" s="147"/>
      <c r="E6" s="63" t="s">
        <v>68</v>
      </c>
      <c r="F6" s="60" t="s">
        <v>24</v>
      </c>
      <c r="G6" s="47">
        <v>22</v>
      </c>
      <c r="H6" s="133">
        <f>IF(B$17=0,0,G6/B$17)</f>
        <v>0.28947368421052633</v>
      </c>
      <c r="I6" s="94">
        <v>5</v>
      </c>
      <c r="K6" s="38">
        <v>4</v>
      </c>
      <c r="L6" s="99">
        <v>-54.899999999999991</v>
      </c>
      <c r="N6" s="115" t="s">
        <v>135</v>
      </c>
      <c r="O6" s="122">
        <f t="shared" si="0"/>
        <v>-3833.3333333333335</v>
      </c>
      <c r="P6" s="119">
        <v>27</v>
      </c>
      <c r="Q6" s="103">
        <v>-103500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0.19354838709677419</v>
      </c>
      <c r="E7" s="63" t="s">
        <v>69</v>
      </c>
      <c r="F7" s="60" t="s">
        <v>12</v>
      </c>
      <c r="G7" s="47">
        <v>19</v>
      </c>
      <c r="H7" s="133">
        <f>IF(B$17=0,0,G7/B$17)</f>
        <v>0.25</v>
      </c>
      <c r="I7" s="94">
        <v>8</v>
      </c>
      <c r="K7" s="38">
        <v>5</v>
      </c>
      <c r="L7" s="99">
        <v>-33.699999999999989</v>
      </c>
      <c r="N7" s="116" t="s">
        <v>136</v>
      </c>
      <c r="O7" s="123">
        <f t="shared" si="0"/>
        <v>-1828</v>
      </c>
      <c r="P7" s="120">
        <v>25</v>
      </c>
      <c r="Q7" s="104">
        <v>-45700</v>
      </c>
    </row>
    <row r="8" spans="1:17" x14ac:dyDescent="0.4">
      <c r="A8" s="55" t="s">
        <v>3</v>
      </c>
      <c r="B8" s="47">
        <v>12</v>
      </c>
      <c r="C8" s="39">
        <f t="shared" si="1"/>
        <v>0.38709677419354838</v>
      </c>
      <c r="E8" s="63" t="s">
        <v>70</v>
      </c>
      <c r="F8" s="60" t="s">
        <v>25</v>
      </c>
      <c r="G8" s="47">
        <v>11</v>
      </c>
      <c r="H8" s="133">
        <f>IF(B$17=0,0,G8/B$17)</f>
        <v>0.14473684210526316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0.41935483870967744</v>
      </c>
      <c r="E9" s="63" t="s">
        <v>71</v>
      </c>
      <c r="F9" s="60" t="s">
        <v>26</v>
      </c>
      <c r="G9" s="47">
        <v>9</v>
      </c>
      <c r="H9" s="133">
        <f>IF(B$17=0,0,G9/B$17)</f>
        <v>0.11842105263157894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6.4516129032258063E-2</v>
      </c>
      <c r="E10" s="63" t="s">
        <v>66</v>
      </c>
      <c r="F10" s="60" t="s">
        <v>22</v>
      </c>
      <c r="G10" s="47">
        <v>8</v>
      </c>
      <c r="H10" s="133">
        <f>IF(B$17=0,0,G10/B$17)</f>
        <v>0.10526315789473684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1"/>
        <v>6.4516129032258063E-2</v>
      </c>
      <c r="E11" s="63" t="s">
        <v>90</v>
      </c>
      <c r="F11" s="60" t="s">
        <v>45</v>
      </c>
      <c r="G11" s="47">
        <v>8</v>
      </c>
      <c r="H11" s="133">
        <f>IF(B$17=0,0,G11/B$17)</f>
        <v>0.10526315789473684</v>
      </c>
      <c r="I11" s="94">
        <v>6</v>
      </c>
      <c r="K11" s="38">
        <v>9</v>
      </c>
      <c r="L11" s="99">
        <v>-74.199999999999989</v>
      </c>
      <c r="N11" s="115" t="s">
        <v>164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159</v>
      </c>
      <c r="B12" s="49">
        <v>2</v>
      </c>
      <c r="C12" s="42">
        <f t="shared" si="1"/>
        <v>6.4516129032258063E-2</v>
      </c>
      <c r="E12" s="63" t="s">
        <v>84</v>
      </c>
      <c r="F12" s="60" t="s">
        <v>39</v>
      </c>
      <c r="G12" s="47">
        <v>7</v>
      </c>
      <c r="H12" s="133">
        <f>IF(B$17=0,0,G12/B$17)</f>
        <v>9.2105263157894732E-2</v>
      </c>
      <c r="I12" s="94">
        <v>2</v>
      </c>
      <c r="K12" s="38">
        <v>10</v>
      </c>
      <c r="L12" s="99">
        <v>-117.19999999999999</v>
      </c>
      <c r="N12" s="116" t="s">
        <v>165</v>
      </c>
      <c r="O12" s="126">
        <f>IF(P12=0,0,Q12/P12)</f>
        <v>-16.687499999999996</v>
      </c>
      <c r="P12" s="120">
        <v>8</v>
      </c>
      <c r="Q12" s="108">
        <v>-133.49999999999997</v>
      </c>
    </row>
    <row r="13" spans="1:17" x14ac:dyDescent="0.4">
      <c r="A13" s="58" t="s">
        <v>122</v>
      </c>
      <c r="B13" s="50">
        <v>75</v>
      </c>
      <c r="C13" s="44">
        <f>IF(B$3=0,0,B13/B$3)</f>
        <v>0.2808988764044944</v>
      </c>
      <c r="E13" s="63" t="s">
        <v>72</v>
      </c>
      <c r="F13" s="60" t="s">
        <v>27</v>
      </c>
      <c r="G13" s="47">
        <v>5</v>
      </c>
      <c r="H13" s="133">
        <f>IF(B$17=0,0,G13/B$17)</f>
        <v>6.5789473684210523E-2</v>
      </c>
      <c r="I13" s="94">
        <v>8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48</v>
      </c>
      <c r="C14" s="39">
        <f>IF(B$3=0,0,B14/B$3)</f>
        <v>0.1797752808988764</v>
      </c>
      <c r="E14" s="63" t="s">
        <v>79</v>
      </c>
      <c r="F14" s="60" t="s">
        <v>34</v>
      </c>
      <c r="G14" s="47">
        <v>2</v>
      </c>
      <c r="H14" s="133">
        <f>IF(B$17=0,0,G14/B$17)</f>
        <v>2.6315789473684209E-2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0.58666666666666667</v>
      </c>
      <c r="E15" s="63" t="s">
        <v>82</v>
      </c>
      <c r="F15" s="60" t="s">
        <v>37</v>
      </c>
      <c r="G15" s="47">
        <v>2</v>
      </c>
      <c r="H15" s="133">
        <f>IF(B$17=0,0,G15/B$17)</f>
        <v>2.6315789473684209E-2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21</v>
      </c>
      <c r="C16" s="37">
        <f>IF(B$14=0,0,B16/B$14)</f>
        <v>0.4375</v>
      </c>
      <c r="E16" s="63" t="s">
        <v>87</v>
      </c>
      <c r="F16" s="60" t="s">
        <v>42</v>
      </c>
      <c r="G16" s="47">
        <v>2</v>
      </c>
      <c r="H16" s="133">
        <f>IF(B$17=0,0,G16/B$17)</f>
        <v>2.6315789473684209E-2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>IF(P16=0,0,Q16/P16)</f>
        <v>23.9</v>
      </c>
      <c r="P16" s="119">
        <v>9</v>
      </c>
      <c r="Q16" s="107">
        <v>215.1</v>
      </c>
    </row>
    <row r="17" spans="1:17" x14ac:dyDescent="0.4">
      <c r="A17" s="54" t="s">
        <v>10</v>
      </c>
      <c r="B17" s="46">
        <f>B19+B18</f>
        <v>76</v>
      </c>
      <c r="C17" s="37">
        <f>IF(B$3=0,0,B17/B$3)</f>
        <v>0.28464419475655428</v>
      </c>
      <c r="E17" s="63" t="s">
        <v>76</v>
      </c>
      <c r="F17" s="60" t="s">
        <v>31</v>
      </c>
      <c r="G17" s="47">
        <v>1</v>
      </c>
      <c r="H17" s="133">
        <f>IF(B$17=0,0,G17/B$17)</f>
        <v>1.3157894736842105E-2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>IF(P17=0,0,Q17/P17)</f>
        <v>-6.2235294117647078</v>
      </c>
      <c r="P17" s="119">
        <v>17</v>
      </c>
      <c r="Q17" s="107">
        <v>-105.80000000000003</v>
      </c>
    </row>
    <row r="18" spans="1:17" x14ac:dyDescent="0.4">
      <c r="A18" s="55" t="s">
        <v>12</v>
      </c>
      <c r="B18" s="47">
        <v>29</v>
      </c>
      <c r="C18" s="39">
        <f>IF(B$17=0,0,B18/B$17)</f>
        <v>0.38157894736842107</v>
      </c>
      <c r="E18" s="63" t="s">
        <v>80</v>
      </c>
      <c r="F18" s="60" t="s">
        <v>35</v>
      </c>
      <c r="G18" s="47">
        <v>1</v>
      </c>
      <c r="H18" s="133">
        <f>IF(B$17=0,0,G18/B$17)</f>
        <v>1.3157894736842105E-2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0.61842105263157898</v>
      </c>
      <c r="E19" s="63" t="s">
        <v>92</v>
      </c>
      <c r="F19" s="60" t="s">
        <v>47</v>
      </c>
      <c r="G19" s="47">
        <v>1</v>
      </c>
      <c r="H19" s="133">
        <f>IF(B$17=0,0,G19/B$17)</f>
        <v>1.3157894736842105E-2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>IF(P19=0,0,Q19/P19)</f>
        <v>-18.555000000000003</v>
      </c>
      <c r="P19" s="119">
        <v>20</v>
      </c>
      <c r="Q19" s="107">
        <v>-371.10000000000008</v>
      </c>
    </row>
    <row r="20" spans="1:17" x14ac:dyDescent="0.4">
      <c r="A20" s="55" t="s">
        <v>13</v>
      </c>
      <c r="B20" s="47">
        <v>53</v>
      </c>
      <c r="C20" s="39">
        <f>IF(B$3=0,0,B20/B$3)</f>
        <v>0.19850187265917604</v>
      </c>
      <c r="E20" s="63" t="s">
        <v>168</v>
      </c>
      <c r="F20" s="60" t="s">
        <v>169</v>
      </c>
      <c r="G20" s="47">
        <v>1</v>
      </c>
      <c r="H20" s="133">
        <f>IF(B$17=0,0,G20/B$17)</f>
        <v>1.3157894736842105E-2</v>
      </c>
      <c r="I20" s="94">
        <v>4</v>
      </c>
      <c r="K20" s="38">
        <v>18</v>
      </c>
      <c r="L20" s="99">
        <v>-240</v>
      </c>
      <c r="N20" s="115" t="s">
        <v>178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>IF(P21=0,0,Q21/P21)</f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171</v>
      </c>
      <c r="B22" s="47">
        <v>21</v>
      </c>
      <c r="C22" s="135">
        <v>0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7410.5263157894733</v>
      </c>
      <c r="C23" s="41">
        <v>563200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-7345.2830188679245</v>
      </c>
      <c r="C24" s="45">
        <v>-389300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3.7453183520599251E-3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-175.6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5372-4F1A-46FA-A97A-FE56C8A5F32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0.375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387.5</v>
      </c>
      <c r="P2" s="118">
        <v>24</v>
      </c>
      <c r="Q2" s="102">
        <v>9300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8.3333333333333329E-2</v>
      </c>
      <c r="I3" s="94">
        <v>8</v>
      </c>
      <c r="K3" s="38">
        <v>1</v>
      </c>
      <c r="L3" s="99">
        <v>-9.1</v>
      </c>
      <c r="N3" s="115" t="s">
        <v>132</v>
      </c>
      <c r="O3" s="122">
        <f t="shared" si="0"/>
        <v>-2890.909090909091</v>
      </c>
      <c r="P3" s="119">
        <v>22</v>
      </c>
      <c r="Q3" s="103">
        <v>-63600</v>
      </c>
    </row>
    <row r="4" spans="1:17" x14ac:dyDescent="0.4">
      <c r="A4" s="55" t="s">
        <v>6</v>
      </c>
      <c r="B4" s="154">
        <v>-51.39999999999997</v>
      </c>
      <c r="C4" s="155"/>
      <c r="E4" s="63" t="s">
        <v>67</v>
      </c>
      <c r="F4" s="60" t="s">
        <v>23</v>
      </c>
      <c r="G4" s="47">
        <v>35</v>
      </c>
      <c r="H4" s="133">
        <f>IF(B$17=0,0,G4/B$17)</f>
        <v>0.72916666666666663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0"/>
        <v>1528.5714285714287</v>
      </c>
      <c r="P4" s="119">
        <v>21</v>
      </c>
      <c r="Q4" s="103">
        <v>32100</v>
      </c>
    </row>
    <row r="5" spans="1:17" x14ac:dyDescent="0.4">
      <c r="A5" s="55" t="s">
        <v>7</v>
      </c>
      <c r="B5" s="156">
        <f>IF(B$2=0,0,B$4/B$2)</f>
        <v>-2.1416666666666653</v>
      </c>
      <c r="C5" s="157"/>
      <c r="E5" s="63" t="s">
        <v>68</v>
      </c>
      <c r="F5" s="60" t="s">
        <v>24</v>
      </c>
      <c r="G5" s="47">
        <v>19</v>
      </c>
      <c r="H5" s="133">
        <f>IF(B$17=0,0,G5/B$17)</f>
        <v>0.39583333333333331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3925</v>
      </c>
      <c r="P5" s="119">
        <v>20</v>
      </c>
      <c r="Q5" s="103">
        <v>78500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0.3125</v>
      </c>
      <c r="I6" s="94">
        <v>3</v>
      </c>
      <c r="K6" s="38">
        <v>4</v>
      </c>
      <c r="L6" s="99">
        <v>-74.599999999999994</v>
      </c>
      <c r="N6" s="115" t="s">
        <v>135</v>
      </c>
      <c r="O6" s="122">
        <f t="shared" si="0"/>
        <v>-2335.294117647059</v>
      </c>
      <c r="P6" s="119">
        <v>17</v>
      </c>
      <c r="Q6" s="103">
        <v>-39700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6</v>
      </c>
      <c r="H7" s="133">
        <f>IF(B$17=0,0,G7/B$17)</f>
        <v>0.125</v>
      </c>
      <c r="I7" s="94">
        <v>5</v>
      </c>
      <c r="K7" s="38">
        <v>5</v>
      </c>
      <c r="L7" s="99">
        <v>-118.3</v>
      </c>
      <c r="N7" s="116" t="s">
        <v>136</v>
      </c>
      <c r="O7" s="123">
        <f t="shared" si="0"/>
        <v>-5230.7692307692305</v>
      </c>
      <c r="P7" s="120">
        <v>13</v>
      </c>
      <c r="Q7" s="104">
        <v>-68000</v>
      </c>
    </row>
    <row r="8" spans="1:17" x14ac:dyDescent="0.4">
      <c r="A8" s="55" t="s">
        <v>3</v>
      </c>
      <c r="B8" s="47">
        <v>8</v>
      </c>
      <c r="C8" s="39">
        <f t="shared" si="1"/>
        <v>0.33333333333333331</v>
      </c>
      <c r="E8" s="63" t="s">
        <v>71</v>
      </c>
      <c r="F8" s="60" t="s">
        <v>26</v>
      </c>
      <c r="G8" s="47">
        <v>2</v>
      </c>
      <c r="H8" s="133">
        <f>IF(B$17=0,0,G8/B$17)</f>
        <v>4.1666666666666664E-2</v>
      </c>
      <c r="I8" s="94">
        <v>9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0.33333333333333331</v>
      </c>
      <c r="E9" s="63" t="s">
        <v>72</v>
      </c>
      <c r="F9" s="60" t="s">
        <v>27</v>
      </c>
      <c r="G9" s="47">
        <v>1</v>
      </c>
      <c r="H9" s="133">
        <f>IF(B$17=0,0,G9/B$17)</f>
        <v>2.0833333333333332E-2</v>
      </c>
      <c r="I9" s="94">
        <v>10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0.16666666666666666</v>
      </c>
      <c r="E10" s="63" t="s">
        <v>73</v>
      </c>
      <c r="F10" s="60" t="s">
        <v>28</v>
      </c>
      <c r="G10" s="47">
        <v>39</v>
      </c>
      <c r="H10" s="133">
        <f>IF(B$17=0,0,G10/B$17)</f>
        <v>0.8125</v>
      </c>
      <c r="I10" s="94">
        <v>1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1"/>
        <v>0.20833333333333334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-4.3333333333333339</v>
      </c>
      <c r="P11" s="119">
        <v>9</v>
      </c>
      <c r="Q11" s="107">
        <v>-39.000000000000007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50</v>
      </c>
      <c r="C13" s="44">
        <f>IF(B$3=0,0,B13/B$3)</f>
        <v>0.26178010471204188</v>
      </c>
      <c r="E13" s="63" t="s">
        <v>76</v>
      </c>
      <c r="F13" s="60" t="s">
        <v>31</v>
      </c>
      <c r="G13" s="47">
        <v>1</v>
      </c>
      <c r="H13" s="133">
        <f>IF(B$17=0,0,G13/B$17)</f>
        <v>2.0833333333333332E-2</v>
      </c>
      <c r="I13" s="94">
        <v>2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0.2356020942408377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0.36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-132.39999999999998</v>
      </c>
      <c r="N15" s="114" t="s">
        <v>196</v>
      </c>
      <c r="O15" s="124">
        <f t="shared" ref="O15:O21" si="2"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0.48888888888888887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-86.499999999999972</v>
      </c>
      <c r="N16" s="115" t="s">
        <v>180</v>
      </c>
      <c r="O16" s="125">
        <f t="shared" si="2"/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0.2513089005235602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-101.79999999999997</v>
      </c>
      <c r="N17" s="115" t="s">
        <v>179</v>
      </c>
      <c r="O17" s="125">
        <f t="shared" si="2"/>
        <v>13.569230769230773</v>
      </c>
      <c r="P17" s="119">
        <v>13</v>
      </c>
      <c r="Q17" s="107">
        <v>176.40000000000003</v>
      </c>
    </row>
    <row r="18" spans="1:17" x14ac:dyDescent="0.4">
      <c r="A18" s="55" t="s">
        <v>12</v>
      </c>
      <c r="B18" s="47">
        <v>21</v>
      </c>
      <c r="C18" s="39">
        <f>IF(B$17=0,0,B18/B$17)</f>
        <v>0.4375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-63.099999999999966</v>
      </c>
      <c r="N18" s="115" t="s">
        <v>183</v>
      </c>
      <c r="O18" s="125">
        <f t="shared" si="2"/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0.5625</v>
      </c>
      <c r="E19" s="63" t="s">
        <v>82</v>
      </c>
      <c r="F19" s="60" t="s">
        <v>37</v>
      </c>
      <c r="G19" s="47">
        <v>2</v>
      </c>
      <c r="H19" s="133">
        <f>IF(B$17=0,0,G19/B$17)</f>
        <v>4.1666666666666664E-2</v>
      </c>
      <c r="I19" s="94">
        <v>2</v>
      </c>
      <c r="K19" s="38">
        <v>17</v>
      </c>
      <c r="L19" s="99">
        <v>-55.799999999999969</v>
      </c>
      <c r="N19" s="115" t="s">
        <v>127</v>
      </c>
      <c r="O19" s="125">
        <f t="shared" si="2"/>
        <v>-1.5777777777777797</v>
      </c>
      <c r="P19" s="119">
        <v>9</v>
      </c>
      <c r="Q19" s="107">
        <v>-14.200000000000017</v>
      </c>
    </row>
    <row r="20" spans="1:17" x14ac:dyDescent="0.4">
      <c r="A20" s="55" t="s">
        <v>13</v>
      </c>
      <c r="B20" s="47">
        <v>33</v>
      </c>
      <c r="C20" s="39">
        <f>IF(B$3=0,0,B20/B$3)</f>
        <v>0.17277486910994763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-24.999999999999968</v>
      </c>
      <c r="N20" s="115" t="s">
        <v>128</v>
      </c>
      <c r="O20" s="125">
        <f t="shared" si="2"/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6.25E-2</v>
      </c>
      <c r="I21" s="94">
        <v>5</v>
      </c>
      <c r="K21" s="38">
        <v>19</v>
      </c>
      <c r="L21" s="99">
        <v>-27.799999999999969</v>
      </c>
      <c r="N21" s="115" t="s">
        <v>182</v>
      </c>
      <c r="O21" s="125">
        <f t="shared" si="2"/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10858.333333333334</v>
      </c>
      <c r="C23" s="41">
        <v>521200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-9403.0303030303039</v>
      </c>
      <c r="C24" s="45">
        <v>-310300</v>
      </c>
      <c r="E24" s="63" t="s">
        <v>87</v>
      </c>
      <c r="F24" s="60" t="s">
        <v>42</v>
      </c>
      <c r="G24" s="47">
        <v>1</v>
      </c>
      <c r="H24" s="133">
        <f>IF(B$17=0,0,G24/B$17)</f>
        <v>2.0833333333333332E-2</v>
      </c>
      <c r="I24" s="94">
        <v>9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16</v>
      </c>
      <c r="H27" s="133">
        <f>IF(B$17=0,0,G27/B$17)</f>
        <v>0.33333333333333331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2.0833333333333332E-2</v>
      </c>
      <c r="I29" s="94">
        <v>2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6.25E-2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15</v>
      </c>
      <c r="H51" s="138">
        <f>IF(B$17=0,0,G51/B$17)</f>
        <v>0.3125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1A80-5589-4418-B056-13C01D49CBB1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31</v>
      </c>
      <c r="C2" s="151"/>
      <c r="E2" s="62" t="s">
        <v>73</v>
      </c>
      <c r="F2" s="59" t="s">
        <v>28</v>
      </c>
      <c r="G2" s="46">
        <v>56</v>
      </c>
      <c r="H2" s="132">
        <f>IF(B$17=0,0,G2/B$17)</f>
        <v>0.81159420289855078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1277.4193548387098</v>
      </c>
      <c r="P2" s="118">
        <v>31</v>
      </c>
      <c r="Q2" s="102">
        <v>39600</v>
      </c>
    </row>
    <row r="3" spans="1:17" x14ac:dyDescent="0.4">
      <c r="A3" s="55" t="s">
        <v>8</v>
      </c>
      <c r="B3" s="152">
        <v>258</v>
      </c>
      <c r="C3" s="153"/>
      <c r="E3" s="63" t="s">
        <v>67</v>
      </c>
      <c r="F3" s="60" t="s">
        <v>23</v>
      </c>
      <c r="G3" s="47">
        <v>54</v>
      </c>
      <c r="H3" s="133">
        <f>IF(B$17=0,0,G3/B$17)</f>
        <v>0.78260869565217395</v>
      </c>
      <c r="I3" s="94">
        <v>4</v>
      </c>
      <c r="K3" s="38">
        <v>1</v>
      </c>
      <c r="L3" s="99">
        <v>46.9</v>
      </c>
      <c r="N3" s="115" t="s">
        <v>132</v>
      </c>
      <c r="O3" s="122">
        <f t="shared" si="0"/>
        <v>1332.1428571428571</v>
      </c>
      <c r="P3" s="119">
        <v>28</v>
      </c>
      <c r="Q3" s="103">
        <v>37300</v>
      </c>
    </row>
    <row r="4" spans="1:17" x14ac:dyDescent="0.4">
      <c r="A4" s="55" t="s">
        <v>6</v>
      </c>
      <c r="B4" s="154">
        <v>-96.799999999999983</v>
      </c>
      <c r="C4" s="155"/>
      <c r="E4" s="63" t="s">
        <v>65</v>
      </c>
      <c r="F4" s="60" t="s">
        <v>21</v>
      </c>
      <c r="G4" s="47">
        <v>32</v>
      </c>
      <c r="H4" s="133">
        <f>IF(B$17=0,0,G4/B$17)</f>
        <v>0.46376811594202899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-4569.2307692307695</v>
      </c>
      <c r="P4" s="119">
        <v>26</v>
      </c>
      <c r="Q4" s="103">
        <v>-118800</v>
      </c>
    </row>
    <row r="5" spans="1:17" x14ac:dyDescent="0.4">
      <c r="A5" s="55" t="s">
        <v>7</v>
      </c>
      <c r="B5" s="156">
        <f>IF(B$2=0,0,B$4/B$2)</f>
        <v>-3.1225806451612899</v>
      </c>
      <c r="C5" s="157"/>
      <c r="E5" s="63" t="s">
        <v>172</v>
      </c>
      <c r="F5" s="60" t="s">
        <v>173</v>
      </c>
      <c r="G5" s="47">
        <v>24</v>
      </c>
      <c r="H5" s="133">
        <f>IF(B$17=0,0,G5/B$17)</f>
        <v>0.34782608695652173</v>
      </c>
      <c r="I5" s="94">
        <v>5</v>
      </c>
      <c r="K5" s="38">
        <v>3</v>
      </c>
      <c r="L5" s="99">
        <v>25.8</v>
      </c>
      <c r="N5" s="115" t="s">
        <v>134</v>
      </c>
      <c r="O5" s="122">
        <f t="shared" si="0"/>
        <v>-325</v>
      </c>
      <c r="P5" s="119">
        <v>24</v>
      </c>
      <c r="Q5" s="103">
        <v>-7800</v>
      </c>
    </row>
    <row r="6" spans="1:17" x14ac:dyDescent="0.4">
      <c r="A6" s="55" t="s">
        <v>1</v>
      </c>
      <c r="B6" s="146">
        <f>IF(B$2=0,0,(B$7*1+B$8*2+B$9*3)/B$2)</f>
        <v>2.161290322580645</v>
      </c>
      <c r="C6" s="147"/>
      <c r="E6" s="63" t="s">
        <v>68</v>
      </c>
      <c r="F6" s="60" t="s">
        <v>24</v>
      </c>
      <c r="G6" s="47">
        <v>22</v>
      </c>
      <c r="H6" s="133">
        <f>IF(B$17=0,0,G6/B$17)</f>
        <v>0.3188405797101449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-1210.5263157894738</v>
      </c>
      <c r="P6" s="119">
        <v>19</v>
      </c>
      <c r="Q6" s="103">
        <v>-23000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0.22580645161290322</v>
      </c>
      <c r="E7" s="63" t="s">
        <v>69</v>
      </c>
      <c r="F7" s="60" t="s">
        <v>12</v>
      </c>
      <c r="G7" s="47">
        <v>21</v>
      </c>
      <c r="H7" s="133">
        <f>IF(B$17=0,0,G7/B$17)</f>
        <v>0.30434782608695654</v>
      </c>
      <c r="I7" s="94">
        <v>4</v>
      </c>
      <c r="K7" s="38">
        <v>5</v>
      </c>
      <c r="L7" s="99">
        <v>-1.6000000000000014</v>
      </c>
      <c r="N7" s="116" t="s">
        <v>136</v>
      </c>
      <c r="O7" s="123">
        <f t="shared" si="0"/>
        <v>1523.5294117647059</v>
      </c>
      <c r="P7" s="120">
        <v>17</v>
      </c>
      <c r="Q7" s="104">
        <v>25900</v>
      </c>
    </row>
    <row r="8" spans="1:17" x14ac:dyDescent="0.4">
      <c r="A8" s="55" t="s">
        <v>3</v>
      </c>
      <c r="B8" s="47">
        <v>12</v>
      </c>
      <c r="C8" s="39">
        <f t="shared" si="1"/>
        <v>0.38709677419354838</v>
      </c>
      <c r="E8" s="63" t="s">
        <v>70</v>
      </c>
      <c r="F8" s="60" t="s">
        <v>25</v>
      </c>
      <c r="G8" s="47">
        <v>7</v>
      </c>
      <c r="H8" s="133">
        <f>IF(B$17=0,0,G8/B$17)</f>
        <v>0.10144927536231885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0.38709677419354838</v>
      </c>
      <c r="E9" s="63" t="s">
        <v>90</v>
      </c>
      <c r="F9" s="60" t="s">
        <v>45</v>
      </c>
      <c r="G9" s="47">
        <v>5</v>
      </c>
      <c r="H9" s="133">
        <f>IF(B$17=0,0,G9/B$17)</f>
        <v>7.2463768115942032E-2</v>
      </c>
      <c r="I9" s="94">
        <v>8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0.12903225806451613</v>
      </c>
      <c r="E10" s="63" t="s">
        <v>66</v>
      </c>
      <c r="F10" s="60" t="s">
        <v>22</v>
      </c>
      <c r="G10" s="47">
        <v>4</v>
      </c>
      <c r="H10" s="133">
        <f>IF(B$17=0,0,G10/B$17)</f>
        <v>5.7971014492753624E-2</v>
      </c>
      <c r="I10" s="94">
        <v>10</v>
      </c>
      <c r="K10" s="38">
        <v>8</v>
      </c>
      <c r="L10" s="99">
        <v>-46.7</v>
      </c>
      <c r="N10" s="114" t="s">
        <v>163</v>
      </c>
      <c r="O10" s="124">
        <f>IF(P10=0,0,Q10/P10)</f>
        <v>1.2545454545454546</v>
      </c>
      <c r="P10" s="118">
        <v>11</v>
      </c>
      <c r="Q10" s="106">
        <v>13.8</v>
      </c>
    </row>
    <row r="11" spans="1:17" x14ac:dyDescent="0.4">
      <c r="A11" s="56" t="s">
        <v>139</v>
      </c>
      <c r="B11" s="48">
        <v>2</v>
      </c>
      <c r="C11" s="40">
        <f t="shared" si="1"/>
        <v>6.4516129032258063E-2</v>
      </c>
      <c r="E11" s="63" t="s">
        <v>80</v>
      </c>
      <c r="F11" s="60" t="s">
        <v>35</v>
      </c>
      <c r="G11" s="47">
        <v>4</v>
      </c>
      <c r="H11" s="133">
        <f>IF(B$17=0,0,G11/B$17)</f>
        <v>5.7971014492753624E-2</v>
      </c>
      <c r="I11" s="94">
        <v>2</v>
      </c>
      <c r="K11" s="38">
        <v>9</v>
      </c>
      <c r="L11" s="99">
        <v>-90.9</v>
      </c>
      <c r="N11" s="115" t="s">
        <v>164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84</v>
      </c>
      <c r="F12" s="60" t="s">
        <v>39</v>
      </c>
      <c r="G12" s="47">
        <v>4</v>
      </c>
      <c r="H12" s="133">
        <f>IF(B$17=0,0,G12/B$17)</f>
        <v>5.7971014492753624E-2</v>
      </c>
      <c r="I12" s="94">
        <v>6</v>
      </c>
      <c r="K12" s="38">
        <v>10</v>
      </c>
      <c r="L12" s="99">
        <v>-146.69999999999999</v>
      </c>
      <c r="N12" s="116" t="s">
        <v>165</v>
      </c>
      <c r="O12" s="126">
        <f>IF(P12=0,0,Q12/P12)</f>
        <v>-7.6363636363636367</v>
      </c>
      <c r="P12" s="120">
        <v>11</v>
      </c>
      <c r="Q12" s="108">
        <v>-84</v>
      </c>
    </row>
    <row r="13" spans="1:17" x14ac:dyDescent="0.4">
      <c r="A13" s="58" t="s">
        <v>122</v>
      </c>
      <c r="B13" s="50">
        <v>65</v>
      </c>
      <c r="C13" s="44">
        <f>IF(B$3=0,0,B13/B$3)</f>
        <v>0.25193798449612403</v>
      </c>
      <c r="E13" s="63" t="s">
        <v>71</v>
      </c>
      <c r="F13" s="60" t="s">
        <v>26</v>
      </c>
      <c r="G13" s="47">
        <v>3</v>
      </c>
      <c r="H13" s="133">
        <f>IF(B$17=0,0,G13/B$17)</f>
        <v>4.3478260869565216E-2</v>
      </c>
      <c r="I13" s="94">
        <v>8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0.27131782945736432</v>
      </c>
      <c r="E14" s="63" t="s">
        <v>72</v>
      </c>
      <c r="F14" s="60" t="s">
        <v>27</v>
      </c>
      <c r="G14" s="47">
        <v>3</v>
      </c>
      <c r="H14" s="133">
        <f>IF(B$17=0,0,G14/B$17)</f>
        <v>4.3478260869565216E-2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33</v>
      </c>
      <c r="C15" s="37">
        <f>IF(B$13=0,0,B15/B$13)</f>
        <v>0.50769230769230766</v>
      </c>
      <c r="E15" s="63" t="s">
        <v>87</v>
      </c>
      <c r="F15" s="60" t="s">
        <v>42</v>
      </c>
      <c r="G15" s="47">
        <v>3</v>
      </c>
      <c r="H15" s="133">
        <f>IF(B$17=0,0,G15/B$17)</f>
        <v>4.3478260869565216E-2</v>
      </c>
      <c r="I15" s="94">
        <v>5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28</v>
      </c>
      <c r="C16" s="37">
        <f>IF(B$14=0,0,B16/B$14)</f>
        <v>0.4</v>
      </c>
      <c r="E16" s="63" t="s">
        <v>79</v>
      </c>
      <c r="F16" s="60" t="s">
        <v>34</v>
      </c>
      <c r="G16" s="47">
        <v>2</v>
      </c>
      <c r="H16" s="133">
        <f>IF(B$17=0,0,G16/B$17)</f>
        <v>2.8985507246376812E-2</v>
      </c>
      <c r="I16" s="94">
        <v>4</v>
      </c>
      <c r="K16" s="38">
        <v>14</v>
      </c>
      <c r="L16" s="99">
        <v>-25.79999999999999</v>
      </c>
      <c r="N16" s="115" t="s">
        <v>180</v>
      </c>
      <c r="O16" s="125">
        <f>IF(P16=0,0,Q16/P16)</f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0.26744186046511625</v>
      </c>
      <c r="E17" s="63" t="s">
        <v>86</v>
      </c>
      <c r="F17" s="60" t="s">
        <v>41</v>
      </c>
      <c r="G17" s="47">
        <v>1</v>
      </c>
      <c r="H17" s="133">
        <f>IF(B$17=0,0,G17/B$17)</f>
        <v>1.4492753623188406E-2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28</v>
      </c>
      <c r="C18" s="39">
        <f>IF(B$17=0,0,B18/B$17)</f>
        <v>0.40579710144927539</v>
      </c>
      <c r="E18" s="63" t="s">
        <v>102</v>
      </c>
      <c r="F18" s="60" t="s">
        <v>57</v>
      </c>
      <c r="G18" s="47">
        <v>1</v>
      </c>
      <c r="H18" s="133">
        <f>IF(B$17=0,0,G18/B$17)</f>
        <v>1.4492753623188406E-2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>IF(P18=0,0,Q18/P18)</f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41</v>
      </c>
      <c r="C19" s="39">
        <f>IF(B$17=0,0,B19/B$17)</f>
        <v>0.59420289855072461</v>
      </c>
      <c r="E19" s="63" t="s">
        <v>168</v>
      </c>
      <c r="F19" s="60" t="s">
        <v>169</v>
      </c>
      <c r="G19" s="47">
        <v>1</v>
      </c>
      <c r="H19" s="133">
        <f>IF(B$17=0,0,G19/B$17)</f>
        <v>1.4492753623188406E-2</v>
      </c>
      <c r="I19" s="94">
        <v>2</v>
      </c>
      <c r="K19" s="38">
        <v>17</v>
      </c>
      <c r="L19" s="99">
        <v>-29.799999999999986</v>
      </c>
      <c r="N19" s="115" t="s">
        <v>178</v>
      </c>
      <c r="O19" s="125">
        <f>IF(P19=0,0,Q19/P19)</f>
        <v>-13.569230769230773</v>
      </c>
      <c r="P19" s="119">
        <v>13</v>
      </c>
      <c r="Q19" s="107">
        <v>-176.40000000000003</v>
      </c>
    </row>
    <row r="20" spans="1:17" x14ac:dyDescent="0.4">
      <c r="A20" s="55" t="s">
        <v>13</v>
      </c>
      <c r="B20" s="47">
        <v>39</v>
      </c>
      <c r="C20" s="39">
        <f>IF(B$3=0,0,B20/B$3)</f>
        <v>0.15116279069767441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-56.399999999999991</v>
      </c>
      <c r="N21" s="115" t="s">
        <v>128</v>
      </c>
      <c r="O21" s="125">
        <f>IF(P21=0,0,Q21/P21)</f>
        <v>-26.150000000000002</v>
      </c>
      <c r="P21" s="119">
        <v>14</v>
      </c>
      <c r="Q21" s="107">
        <v>-366.1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>IF(P22=0,0,Q22/P22)</f>
        <v>-26.25</v>
      </c>
      <c r="P22" s="119">
        <v>12</v>
      </c>
      <c r="Q22" s="107">
        <v>-315</v>
      </c>
    </row>
    <row r="23" spans="1:17" x14ac:dyDescent="0.4">
      <c r="A23" s="55" t="s">
        <v>5</v>
      </c>
      <c r="B23" s="51">
        <f>IF(B$17=0,0,C23/B$17)</f>
        <v>8295.652173913044</v>
      </c>
      <c r="C23" s="41">
        <v>572400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-7305.1282051282051</v>
      </c>
      <c r="C24" s="45">
        <v>-284900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9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2</v>
      </c>
      <c r="C27" s="42">
        <f>IF(B$3=0,0,B27/B$3)</f>
        <v>7.7519379844961239E-3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-41.29999999999999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-70.199999999999989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-61.29999999999999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-109.69999999999999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-107.29999999999998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-96.799999999999983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3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3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A3C9-D91B-452A-BCDA-6708DA8444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0.59259259259259256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0.14814814814814814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67</v>
      </c>
      <c r="F4" s="60" t="s">
        <v>23</v>
      </c>
      <c r="G4" s="47">
        <v>22</v>
      </c>
      <c r="H4" s="133">
        <f>IF(B$17=0,0,G4/B$17)</f>
        <v>0.81481481481481477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0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69</v>
      </c>
      <c r="F6" s="60" t="s">
        <v>12</v>
      </c>
      <c r="G6" s="47">
        <v>8</v>
      </c>
      <c r="H6" s="133">
        <f>IF(B$17=0,0,G6/B$17)</f>
        <v>0.29629629629629628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0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6.6666666666666666E-2</v>
      </c>
      <c r="E7" s="63" t="s">
        <v>70</v>
      </c>
      <c r="F7" s="60" t="s">
        <v>25</v>
      </c>
      <c r="G7" s="47">
        <v>1</v>
      </c>
      <c r="H7" s="133">
        <f>IF(B$17=0,0,G7/B$17)</f>
        <v>3.7037037037037035E-2</v>
      </c>
      <c r="I7" s="94">
        <v>10</v>
      </c>
      <c r="K7" s="38">
        <v>5</v>
      </c>
      <c r="L7" s="99">
        <v>-124.3</v>
      </c>
      <c r="N7" s="116" t="s">
        <v>136</v>
      </c>
      <c r="O7" s="123">
        <f t="shared" si="0"/>
        <v>-4563.636363636364</v>
      </c>
      <c r="P7" s="120">
        <v>11</v>
      </c>
      <c r="Q7" s="104">
        <v>-50200</v>
      </c>
    </row>
    <row r="8" spans="1:17" x14ac:dyDescent="0.4">
      <c r="A8" s="55" t="s">
        <v>3</v>
      </c>
      <c r="B8" s="47">
        <v>6</v>
      </c>
      <c r="C8" s="39">
        <f t="shared" si="1"/>
        <v>0.4</v>
      </c>
      <c r="E8" s="63" t="s">
        <v>71</v>
      </c>
      <c r="F8" s="60" t="s">
        <v>26</v>
      </c>
      <c r="G8" s="47">
        <v>1</v>
      </c>
      <c r="H8" s="133">
        <f>IF(B$17=0,0,G8/B$17)</f>
        <v>3.7037037037037035E-2</v>
      </c>
      <c r="I8" s="94">
        <v>10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0.53333333333333333</v>
      </c>
      <c r="E9" s="63" t="s">
        <v>72</v>
      </c>
      <c r="F9" s="60" t="s">
        <v>27</v>
      </c>
      <c r="G9" s="47">
        <v>2</v>
      </c>
      <c r="H9" s="133">
        <f>IF(B$17=0,0,G9/B$17)</f>
        <v>7.407407407407407E-2</v>
      </c>
      <c r="I9" s="94">
        <v>5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0.2</v>
      </c>
      <c r="E10" s="63" t="s">
        <v>73</v>
      </c>
      <c r="F10" s="60" t="s">
        <v>28</v>
      </c>
      <c r="G10" s="47">
        <v>14</v>
      </c>
      <c r="H10" s="133">
        <f>IF(B$17=0,0,G10/B$17)</f>
        <v>0.51851851851851849</v>
      </c>
      <c r="I10" s="94">
        <v>7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1"/>
        <v>6.6666666666666666E-2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1</v>
      </c>
      <c r="H12" s="133">
        <f>IF(B$17=0,0,G12/B$17)</f>
        <v>3.7037037037037035E-2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-217.60000000000002</v>
      </c>
      <c r="N15" s="114" t="s">
        <v>167</v>
      </c>
      <c r="O15" s="124">
        <f t="shared" ref="O15:O22" si="2"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79</v>
      </c>
      <c r="F16" s="60" t="s">
        <v>34</v>
      </c>
      <c r="G16" s="47">
        <v>1</v>
      </c>
      <c r="H16" s="133">
        <f>IF(B$17=0,0,G16/B$17)</f>
        <v>3.7037037037037035E-2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 t="shared" si="2"/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-272.50000000000006</v>
      </c>
      <c r="N17" s="115" t="s">
        <v>179</v>
      </c>
      <c r="O17" s="125">
        <f t="shared" si="2"/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 t="shared" si="2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82</v>
      </c>
      <c r="F19" s="60" t="s">
        <v>37</v>
      </c>
      <c r="G19" s="47">
        <v>2</v>
      </c>
      <c r="H19" s="133">
        <f>IF(B$17=0,0,G19/B$17)</f>
        <v>7.407407407407407E-2</v>
      </c>
      <c r="I19" s="94">
        <v>1</v>
      </c>
      <c r="N19" s="115" t="s">
        <v>127</v>
      </c>
      <c r="O19" s="125">
        <f t="shared" si="2"/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 t="shared" si="2"/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0.1111111111111111</v>
      </c>
      <c r="I21" s="94">
        <v>1</v>
      </c>
      <c r="N21" s="115" t="s">
        <v>182</v>
      </c>
      <c r="O21" s="125">
        <f t="shared" si="2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196</v>
      </c>
      <c r="O22" s="125">
        <f t="shared" si="2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87</v>
      </c>
      <c r="F24" s="60" t="s">
        <v>42</v>
      </c>
      <c r="G24" s="47">
        <v>2</v>
      </c>
      <c r="H24" s="133">
        <f>IF(B$17=0,0,G24/B$17)</f>
        <v>7.407407407407407E-2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7.407407407407407E-2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9</v>
      </c>
      <c r="H51" s="138">
        <f>IF(B$17=0,0,G51/B$17)</f>
        <v>0.33333333333333331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F2EE-C611-4B07-9544-652CB4A0873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7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9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4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A2CE3-4CB8-4F7D-A4DE-BF448CE686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65</v>
      </c>
      <c r="F2" s="59" t="s">
        <v>21</v>
      </c>
      <c r="G2" s="46">
        <v>8</v>
      </c>
      <c r="H2" s="132">
        <f>IF(B$17=0,0,G2/B$17)</f>
        <v>0.53333333333333333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0.73333333333333328</v>
      </c>
      <c r="I4" s="94">
        <v>6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0.46666666666666667</v>
      </c>
      <c r="I5" s="94">
        <v>1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70</v>
      </c>
      <c r="F7" s="60" t="s">
        <v>25</v>
      </c>
      <c r="G7" s="47">
        <v>1</v>
      </c>
      <c r="H7" s="133">
        <f>IF(B$17=0,0,G7/B$17)</f>
        <v>6.6666666666666666E-2</v>
      </c>
      <c r="I7" s="94">
        <v>9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6.6666666666666666E-2</v>
      </c>
      <c r="I8" s="94">
        <v>6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72</v>
      </c>
      <c r="F9" s="60" t="s">
        <v>27</v>
      </c>
      <c r="G9" s="47">
        <v>1</v>
      </c>
      <c r="H9" s="133">
        <f>IF(B$17=0,0,G9/B$17)</f>
        <v>6.6666666666666666E-2</v>
      </c>
      <c r="I9" s="94">
        <v>7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73</v>
      </c>
      <c r="F10" s="60" t="s">
        <v>28</v>
      </c>
      <c r="G10" s="47">
        <v>7</v>
      </c>
      <c r="H10" s="133">
        <f>IF(B$17=0,0,G10/B$17)</f>
        <v>0.46666666666666667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 t="shared" ref="O15:O20" si="2"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180</v>
      </c>
      <c r="O16" s="125">
        <f t="shared" si="2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80</v>
      </c>
      <c r="F17" s="60" t="s">
        <v>35</v>
      </c>
      <c r="G17" s="47">
        <v>1</v>
      </c>
      <c r="H17" s="133">
        <f>IF(B$17=0,0,G17/B$17)</f>
        <v>6.6666666666666666E-2</v>
      </c>
      <c r="I17" s="94">
        <v>1</v>
      </c>
      <c r="N17" s="115" t="s">
        <v>182</v>
      </c>
      <c r="O17" s="125">
        <f t="shared" si="2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N19" s="115" t="s">
        <v>178</v>
      </c>
      <c r="O19" s="125">
        <f t="shared" si="2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 t="shared" si="2"/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6.6666666666666666E-2</v>
      </c>
      <c r="I21" s="94">
        <v>4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87</v>
      </c>
      <c r="F24" s="60" t="s">
        <v>42</v>
      </c>
      <c r="G24" s="47">
        <v>1</v>
      </c>
      <c r="H24" s="133">
        <f>IF(B$17=0,0,G24/B$17)</f>
        <v>6.6666666666666666E-2</v>
      </c>
      <c r="I24" s="94">
        <v>2</v>
      </c>
    </row>
    <row r="25" spans="1:17" x14ac:dyDescent="0.4">
      <c r="A25" s="90" t="s">
        <v>141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0.13333333333333333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>IF(B$17=0,0,G51/B$17)</f>
        <v>0.33333333333333331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F95A-733A-4337-B294-72EDC42F11FC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7EDA-B1F5-4FFF-999F-939958B5A5F9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8CFD6-3795-477B-B926-1A79577930E8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CD6F-0A4D-4F26-800F-04859B91DEBA}">
  <sheetPr codeName="Sheet18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-6711.4285714285716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-6711.4285714285716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-7159.4594594594591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-7159.4594594594591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-7305.1282051282051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4FFE-C5A7-4062-A0BE-5C49BBB697C4}">
  <sheetPr codeName="Sheet1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4958-5E8F-4F26-BD07-ADB9F1E102F8}">
  <sheetPr codeName="Sheet14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-7557.4468085106382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-7348.9795918367345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-7345.2830188679245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DFAF-9FF1-4207-9802-2BF3EA40042D}">
  <sheetPr codeName="Sheet12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-7452.4390243902435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-7555.4216867469877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-7620.9302325581393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2253-EF6D-44F6-A565-F7770A1F9B48}">
  <sheetPr codeName="Sheet1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-7611.5384615384619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-7611.5384615384619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-7509.2592592592591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-7509.2592592592591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-7310.7142857142853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4A78-8F62-44D0-9A29-F25FA6283283}">
  <sheetPr codeName="Sheet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-6530.5555555555557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-6530.5555555555557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58231-5E7B-4898-B2DE-74C995AE30F8}">
  <sheetPr codeName="Sheet6"/>
  <dimension ref="A1:Q8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-7695.4819277108436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-7678.3783783783783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-7734.8214285714284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-7711.1436950146626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-7726.1627906976746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-7701.420454545455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2019-10-13T17:22:01Z</dcterms:modified>
</cp:coreProperties>
</file>