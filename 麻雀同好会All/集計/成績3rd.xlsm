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chartsheets/sheet16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5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6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7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8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9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0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1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2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3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14.xml" ContentType="application/vnd.openxmlformats-officedocument.drawing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5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16.xml" ContentType="application/vnd.openxmlformats-officedocument.drawing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17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18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19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20.xml" ContentType="application/vnd.openxmlformats-officedocument.drawing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21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22.xml" ContentType="application/vnd.openxmlformats-officedocument.drawing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23.xml" ContentType="application/vnd.openxmlformats-officedocument.drawing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24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25.xml" ContentType="application/vnd.openxmlformats-officedocument.drawing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26.xml" ContentType="application/vnd.openxmlformats-officedocument.drawing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27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28.xml" ContentType="application/vnd.openxmlformats-officedocument.drawing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3rd\"/>
    </mc:Choice>
  </mc:AlternateContent>
  <xr:revisionPtr revIDLastSave="0" documentId="13_ncr:1_{D17279C5-689D-4ADF-98CB-5D36DD43F758}" xr6:coauthVersionLast="41" xr6:coauthVersionMax="41" xr10:uidLastSave="{00000000-0000-0000-0000-000000000000}"/>
  <bookViews>
    <workbookView xWindow="-120" yWindow="-120" windowWidth="29040" windowHeight="15990" tabRatio="663" firstSheet="4" activeTab="4" xr2:uid="{4FDB0271-42AC-4C1F-BA12-2E989A379038}"/>
  </bookViews>
  <sheets>
    <sheet name="Template1" sheetId="2228" state="hidden" r:id="rId1"/>
    <sheet name="Cache" sheetId="2227" state="hidden" r:id="rId2"/>
    <sheet name="Template2" sheetId="3002" state="hidden" r:id="rId3"/>
    <sheet name="Players" sheetId="3285" state="hidden" r:id="rId4"/>
    <sheet name="ランキング" sheetId="3332" r:id="rId5"/>
    <sheet name="全体" sheetId="5691" r:id="rId6"/>
    <sheet name="たかの" sheetId="5693" r:id="rId7"/>
    <sheet name="だいち" sheetId="5695" r:id="rId8"/>
    <sheet name="ただ" sheetId="5697" r:id="rId9"/>
    <sheet name="りくと" sheetId="5699" r:id="rId10"/>
    <sheet name="れんたろう" sheetId="5701" r:id="rId11"/>
    <sheet name="まっつん" sheetId="5703" r:id="rId12"/>
    <sheet name="のり" sheetId="5705" r:id="rId13"/>
    <sheet name="ぱぱ" sheetId="5707" r:id="rId14"/>
    <sheet name="ほたに" sheetId="5709" r:id="rId15"/>
    <sheet name="ほたに2" sheetId="5710" state="hidden" r:id="rId16"/>
    <sheet name="ぱぱ2" sheetId="5708" state="hidden" r:id="rId17"/>
    <sheet name="のり2" sheetId="5706" state="hidden" r:id="rId18"/>
    <sheet name="まっつん2" sheetId="5704" state="hidden" r:id="rId19"/>
    <sheet name="れんたろう2" sheetId="5702" state="hidden" r:id="rId20"/>
    <sheet name="りくと2" sheetId="5700" state="hidden" r:id="rId21"/>
    <sheet name="ただ2" sheetId="5698" state="hidden" r:id="rId22"/>
    <sheet name="だいち2" sheetId="5696" state="hidden" r:id="rId23"/>
    <sheet name="たかの2" sheetId="5694" state="hidden" r:id="rId24"/>
    <sheet name="全体2" sheetId="5692" state="hidden" r:id="rId25"/>
    <sheet name="通算スコア" sheetId="3331" state="hidden" r:id="rId26"/>
    <sheet name="平均スコア" sheetId="3493" state="hidden" r:id="rId27"/>
    <sheet name="平均順位" sheetId="3183" state="hidden" r:id="rId28"/>
    <sheet name="トップ率" sheetId="3185" state="hidden" r:id="rId29"/>
    <sheet name="ラス率" sheetId="4886" state="hidden" r:id="rId30"/>
    <sheet name="アガリ率" sheetId="3189" state="hidden" r:id="rId31"/>
    <sheet name="放銃率" sheetId="3190" state="hidden" r:id="rId32"/>
    <sheet name="平均アガリ点" sheetId="3520" state="hidden" r:id="rId33"/>
    <sheet name="平均放銃点" sheetId="3521" state="hidden" r:id="rId34"/>
    <sheet name="ふっとび率" sheetId="3522" state="hidden" r:id="rId35"/>
    <sheet name="ふっとばし率" sheetId="3523" state="hidden" r:id="rId36"/>
    <sheet name="リーチ率" sheetId="3524" state="hidden" r:id="rId37"/>
    <sheet name="副露率" sheetId="3525" state="hidden" r:id="rId38"/>
    <sheet name="リーチ成功率" sheetId="4841" state="hidden" r:id="rId39"/>
    <sheet name="副露成功率" sheetId="3527" state="hidden" r:id="rId40"/>
    <sheet name="ツモ率" sheetId="3528" state="hidden" r:id="rId41"/>
  </sheets>
  <definedNames>
    <definedName name="アガリ数" localSheetId="7">だいち!$B$17</definedName>
    <definedName name="アガリ数" localSheetId="6">たかの!$B$17</definedName>
    <definedName name="アガリ数" localSheetId="8">ただ!$B$17</definedName>
    <definedName name="アガリ数" localSheetId="12">のり!$B$17</definedName>
    <definedName name="アガリ数" localSheetId="13">ぱぱ!$B$17</definedName>
    <definedName name="アガリ数" localSheetId="14">ほたに!$B$17</definedName>
    <definedName name="アガリ数" localSheetId="11">まっつん!$B$17</definedName>
    <definedName name="アガリ数" localSheetId="9">りくと!$B$17</definedName>
    <definedName name="アガリ数" localSheetId="10">れんたろう!$B$17</definedName>
    <definedName name="アガリ数" localSheetId="5">全体!$B$17</definedName>
    <definedName name="アガリ数">Template1!$B$17</definedName>
    <definedName name="アガリ率" localSheetId="7">だいち!$C$17</definedName>
    <definedName name="アガリ率" localSheetId="6">たかの!$C$17</definedName>
    <definedName name="アガリ率" localSheetId="8">ただ!$C$17</definedName>
    <definedName name="アガリ率" localSheetId="12">のり!$C$17</definedName>
    <definedName name="アガリ率" localSheetId="13">ぱぱ!$C$17</definedName>
    <definedName name="アガリ率" localSheetId="14">ほたに!$C$17</definedName>
    <definedName name="アガリ率" localSheetId="11">まっつん!$C$17</definedName>
    <definedName name="アガリ率" localSheetId="9">りくと!$C$17</definedName>
    <definedName name="アガリ率" localSheetId="10">れんたろう!$C$17</definedName>
    <definedName name="アガリ率" localSheetId="5">全体!$C$17</definedName>
    <definedName name="アガリ率">Template1!$C$17</definedName>
    <definedName name="チョンボ数" localSheetId="7">だいち!$B$27</definedName>
    <definedName name="チョンボ数" localSheetId="6">たかの!$B$27</definedName>
    <definedName name="チョンボ数" localSheetId="8">ただ!$B$27</definedName>
    <definedName name="チョンボ数" localSheetId="12">のり!$B$27</definedName>
    <definedName name="チョンボ数" localSheetId="13">ぱぱ!$B$27</definedName>
    <definedName name="チョンボ数" localSheetId="14">ほたに!$B$27</definedName>
    <definedName name="チョンボ数" localSheetId="11">まっつん!$B$27</definedName>
    <definedName name="チョンボ数" localSheetId="9">りくと!$B$27</definedName>
    <definedName name="チョンボ数" localSheetId="10">れんたろう!$B$27</definedName>
    <definedName name="チョンボ数" localSheetId="5">全体!$B$27</definedName>
    <definedName name="チョンボ数">Template1!$B$27</definedName>
    <definedName name="チョンボ率" localSheetId="7">だいち!$C$27</definedName>
    <definedName name="チョンボ率" localSheetId="6">たかの!$C$27</definedName>
    <definedName name="チョンボ率" localSheetId="8">ただ!$C$27</definedName>
    <definedName name="チョンボ率" localSheetId="12">のり!$C$27</definedName>
    <definedName name="チョンボ率" localSheetId="13">ぱぱ!$C$27</definedName>
    <definedName name="チョンボ率" localSheetId="14">ほたに!$C$27</definedName>
    <definedName name="チョンボ率" localSheetId="11">まっつん!$C$27</definedName>
    <definedName name="チョンボ率" localSheetId="9">りくと!$C$27</definedName>
    <definedName name="チョンボ率" localSheetId="10">れんたろう!$C$27</definedName>
    <definedName name="チョンボ率" localSheetId="5">全体!$C$27</definedName>
    <definedName name="チョンボ率">Template1!$C$27</definedName>
    <definedName name="ツモ数" localSheetId="7">だいち!$B$18</definedName>
    <definedName name="ツモ数" localSheetId="6">たかの!$B$18</definedName>
    <definedName name="ツモ数" localSheetId="8">ただ!$B$18</definedName>
    <definedName name="ツモ数" localSheetId="12">のり!$B$18</definedName>
    <definedName name="ツモ数" localSheetId="13">ぱぱ!$B$18</definedName>
    <definedName name="ツモ数" localSheetId="14">ほたに!$B$18</definedName>
    <definedName name="ツモ数" localSheetId="11">まっつん!$B$18</definedName>
    <definedName name="ツモ数" localSheetId="9">りくと!$B$18</definedName>
    <definedName name="ツモ数" localSheetId="10">れんたろう!$B$18</definedName>
    <definedName name="ツモ数" localSheetId="5">全体!$B$18</definedName>
    <definedName name="ツモ数">Template1!$B$18</definedName>
    <definedName name="ツモ率" localSheetId="7">だいち!$C$18</definedName>
    <definedName name="ツモ率" localSheetId="6">たかの!$C$18</definedName>
    <definedName name="ツモ率" localSheetId="8">ただ!$C$18</definedName>
    <definedName name="ツモ率" localSheetId="12">のり!$C$18</definedName>
    <definedName name="ツモ率" localSheetId="13">ぱぱ!$C$18</definedName>
    <definedName name="ツモ率" localSheetId="14">ほたに!$C$18</definedName>
    <definedName name="ツモ率" localSheetId="11">まっつん!$C$18</definedName>
    <definedName name="ツモ率" localSheetId="9">りくと!$C$18</definedName>
    <definedName name="ツモ率" localSheetId="10">れんたろう!$C$18</definedName>
    <definedName name="ツモ率" localSheetId="5">全体!$C$18</definedName>
    <definedName name="ツモ率">Template1!$C$18</definedName>
    <definedName name="トップ数" localSheetId="7">だいち!$B$7</definedName>
    <definedName name="トップ数" localSheetId="6">たかの!$B$7</definedName>
    <definedName name="トップ数" localSheetId="8">ただ!$B$7</definedName>
    <definedName name="トップ数" localSheetId="12">のり!$B$7</definedName>
    <definedName name="トップ数" localSheetId="13">ぱぱ!$B$7</definedName>
    <definedName name="トップ数" localSheetId="14">ほたに!$B$7</definedName>
    <definedName name="トップ数" localSheetId="11">まっつん!$B$7</definedName>
    <definedName name="トップ数" localSheetId="9">りくと!$B$7</definedName>
    <definedName name="トップ数" localSheetId="10">れんたろう!$B$7</definedName>
    <definedName name="トップ数" localSheetId="5">全体!$B$7</definedName>
    <definedName name="トップ数">Template1!$B$7</definedName>
    <definedName name="トップ率" localSheetId="7">だいち!$C$7</definedName>
    <definedName name="トップ率" localSheetId="6">たかの!$C$7</definedName>
    <definedName name="トップ率" localSheetId="8">ただ!$C$7</definedName>
    <definedName name="トップ率" localSheetId="12">のり!$C$7</definedName>
    <definedName name="トップ率" localSheetId="13">ぱぱ!$C$7</definedName>
    <definedName name="トップ率" localSheetId="14">ほたに!$C$7</definedName>
    <definedName name="トップ率" localSheetId="11">まっつん!$C$7</definedName>
    <definedName name="トップ率" localSheetId="9">りくと!$C$7</definedName>
    <definedName name="トップ率" localSheetId="10">れんたろう!$C$7</definedName>
    <definedName name="トップ率" localSheetId="5">全体!$C$7</definedName>
    <definedName name="トップ率">Template1!$C$7</definedName>
    <definedName name="ふっとばし数" localSheetId="7">だいち!$B$11</definedName>
    <definedName name="ふっとばし数" localSheetId="6">たかの!$B$11</definedName>
    <definedName name="ふっとばし数" localSheetId="8">ただ!$B$11</definedName>
    <definedName name="ふっとばし数" localSheetId="12">のり!$B$11</definedName>
    <definedName name="ふっとばし数" localSheetId="13">ぱぱ!$B$11</definedName>
    <definedName name="ふっとばし数" localSheetId="14">ほたに!$B$11</definedName>
    <definedName name="ふっとばし数" localSheetId="11">まっつん!$B$11</definedName>
    <definedName name="ふっとばし数" localSheetId="9">りくと!$B$11</definedName>
    <definedName name="ふっとばし数" localSheetId="10">れんたろう!$B$11</definedName>
    <definedName name="ふっとばし数" localSheetId="5">全体!$B$11</definedName>
    <definedName name="ふっとばし数">Template1!$B$11</definedName>
    <definedName name="ふっとばし率" localSheetId="7">だいち!$C$11</definedName>
    <definedName name="ふっとばし率" localSheetId="6">たかの!$C$11</definedName>
    <definedName name="ふっとばし率" localSheetId="8">ただ!$C$11</definedName>
    <definedName name="ふっとばし率" localSheetId="12">のり!$C$11</definedName>
    <definedName name="ふっとばし率" localSheetId="13">ぱぱ!$C$11</definedName>
    <definedName name="ふっとばし率" localSheetId="14">ほたに!$C$11</definedName>
    <definedName name="ふっとばし率" localSheetId="11">まっつん!$C$11</definedName>
    <definedName name="ふっとばし率" localSheetId="9">りくと!$C$11</definedName>
    <definedName name="ふっとばし率" localSheetId="10">れんたろう!$C$11</definedName>
    <definedName name="ふっとばし率" localSheetId="5">全体!$C$11</definedName>
    <definedName name="ふっとばし率">Template1!$C$11</definedName>
    <definedName name="ふっとび数" localSheetId="7">だいち!$B$10</definedName>
    <definedName name="ふっとび数" localSheetId="6">たかの!$B$10</definedName>
    <definedName name="ふっとび数" localSheetId="8">ただ!$B$10</definedName>
    <definedName name="ふっとび数" localSheetId="12">のり!$B$10</definedName>
    <definedName name="ふっとび数" localSheetId="13">ぱぱ!$B$10</definedName>
    <definedName name="ふっとび数" localSheetId="14">ほたに!$B$10</definedName>
    <definedName name="ふっとび数" localSheetId="11">まっつん!$B$10</definedName>
    <definedName name="ふっとび数" localSheetId="9">りくと!$B$10</definedName>
    <definedName name="ふっとび数" localSheetId="10">れんたろう!$B$10</definedName>
    <definedName name="ふっとび数" localSheetId="5">全体!$B$10</definedName>
    <definedName name="ふっとび数">Template1!$B$10</definedName>
    <definedName name="ふっとび率" localSheetId="7">だいち!$C$10</definedName>
    <definedName name="ふっとび率" localSheetId="6">たかの!$C$10</definedName>
    <definedName name="ふっとび率" localSheetId="8">ただ!$C$10</definedName>
    <definedName name="ふっとび率" localSheetId="12">のり!$C$10</definedName>
    <definedName name="ふっとび率" localSheetId="13">ぱぱ!$C$10</definedName>
    <definedName name="ふっとび率" localSheetId="14">ほたに!$C$10</definedName>
    <definedName name="ふっとび率" localSheetId="11">まっつん!$C$10</definedName>
    <definedName name="ふっとび率" localSheetId="9">りくと!$C$10</definedName>
    <definedName name="ふっとび率" localSheetId="10">れんたろう!$C$10</definedName>
    <definedName name="ふっとび率" localSheetId="5">全体!$C$10</definedName>
    <definedName name="ふっとび率">Template1!$C$10</definedName>
    <definedName name="ラス数" localSheetId="7">だいち!$B$9</definedName>
    <definedName name="ラス数" localSheetId="6">たかの!$B$9</definedName>
    <definedName name="ラス数" localSheetId="8">ただ!$B$9</definedName>
    <definedName name="ラス数" localSheetId="12">のり!$B$9</definedName>
    <definedName name="ラス数" localSheetId="13">ぱぱ!$B$9</definedName>
    <definedName name="ラス数" localSheetId="14">ほたに!$B$9</definedName>
    <definedName name="ラス数" localSheetId="11">まっつん!$B$9</definedName>
    <definedName name="ラス数" localSheetId="9">りくと!$B$9</definedName>
    <definedName name="ラス数" localSheetId="10">れんたろう!$B$9</definedName>
    <definedName name="ラス数" localSheetId="5">全体!$B$9</definedName>
    <definedName name="ラス数">Template1!$B$9</definedName>
    <definedName name="ラス率" localSheetId="7">だいち!$C$9</definedName>
    <definedName name="ラス率" localSheetId="6">たかの!$C$9</definedName>
    <definedName name="ラス率" localSheetId="8">ただ!$C$9</definedName>
    <definedName name="ラス率" localSheetId="12">のり!$C$9</definedName>
    <definedName name="ラス率" localSheetId="13">ぱぱ!$C$9</definedName>
    <definedName name="ラス率" localSheetId="14">ほたに!$C$9</definedName>
    <definedName name="ラス率" localSheetId="11">まっつん!$C$9</definedName>
    <definedName name="ラス率" localSheetId="9">りくと!$C$9</definedName>
    <definedName name="ラス率" localSheetId="10">れんたろう!$C$9</definedName>
    <definedName name="ラス率" localSheetId="5">全体!$C$9</definedName>
    <definedName name="ラス率">Template1!$C$9</definedName>
    <definedName name="リーチ数" localSheetId="7">だいち!$B$13</definedName>
    <definedName name="リーチ数" localSheetId="6">たかの!$B$13</definedName>
    <definedName name="リーチ数" localSheetId="8">ただ!$B$13</definedName>
    <definedName name="リーチ数" localSheetId="12">のり!$B$13</definedName>
    <definedName name="リーチ数" localSheetId="13">ぱぱ!$B$13</definedName>
    <definedName name="リーチ数" localSheetId="14">ほたに!$B$13</definedName>
    <definedName name="リーチ数" localSheetId="11">まっつん!$B$13</definedName>
    <definedName name="リーチ数" localSheetId="9">りくと!$B$13</definedName>
    <definedName name="リーチ数" localSheetId="10">れんたろう!$B$13</definedName>
    <definedName name="リーチ数" localSheetId="5">全体!$B$13</definedName>
    <definedName name="リーチ数">Template1!$B$13</definedName>
    <definedName name="リーチ成功数" localSheetId="7">だいち!$B$15</definedName>
    <definedName name="リーチ成功数" localSheetId="6">たかの!$B$15</definedName>
    <definedName name="リーチ成功数" localSheetId="8">ただ!$B$15</definedName>
    <definedName name="リーチ成功数" localSheetId="12">のり!$B$15</definedName>
    <definedName name="リーチ成功数" localSheetId="13">ぱぱ!$B$15</definedName>
    <definedName name="リーチ成功数" localSheetId="14">ほたに!$B$15</definedName>
    <definedName name="リーチ成功数" localSheetId="11">まっつん!$B$15</definedName>
    <definedName name="リーチ成功数" localSheetId="9">りくと!$B$15</definedName>
    <definedName name="リーチ成功数" localSheetId="10">れんたろう!$B$15</definedName>
    <definedName name="リーチ成功数" localSheetId="5">全体!$B$15</definedName>
    <definedName name="リーチ成功数">Template1!$B$15</definedName>
    <definedName name="リーチ成功率" localSheetId="7">だいち!$C$15</definedName>
    <definedName name="リーチ成功率" localSheetId="6">たかの!$C$15</definedName>
    <definedName name="リーチ成功率" localSheetId="8">ただ!$C$15</definedName>
    <definedName name="リーチ成功率" localSheetId="12">のり!$C$15</definedName>
    <definedName name="リーチ成功率" localSheetId="13">ぱぱ!$C$15</definedName>
    <definedName name="リーチ成功率" localSheetId="14">ほたに!$C$15</definedName>
    <definedName name="リーチ成功率" localSheetId="11">まっつん!$C$15</definedName>
    <definedName name="リーチ成功率" localSheetId="9">りくと!$C$15</definedName>
    <definedName name="リーチ成功率" localSheetId="10">れんたろう!$C$15</definedName>
    <definedName name="リーチ成功率" localSheetId="5">全体!$C$15</definedName>
    <definedName name="リーチ成功率">Template1!$C$15</definedName>
    <definedName name="リーチ率" localSheetId="7">だいち!$C$13</definedName>
    <definedName name="リーチ率" localSheetId="6">たかの!$C$13</definedName>
    <definedName name="リーチ率" localSheetId="8">ただ!$C$13</definedName>
    <definedName name="リーチ率" localSheetId="12">のり!$C$13</definedName>
    <definedName name="リーチ率" localSheetId="13">ぱぱ!$C$13</definedName>
    <definedName name="リーチ率" localSheetId="14">ほたに!$C$13</definedName>
    <definedName name="リーチ率" localSheetId="11">まっつん!$C$13</definedName>
    <definedName name="リーチ率" localSheetId="9">りくと!$C$13</definedName>
    <definedName name="リーチ率" localSheetId="10">れんたろう!$C$13</definedName>
    <definedName name="リーチ率" localSheetId="5">全体!$C$13</definedName>
    <definedName name="リーチ率">Template1!$C$13</definedName>
    <definedName name="ロン数" localSheetId="7">だいち!$B$19</definedName>
    <definedName name="ロン数" localSheetId="6">たかの!$B$19</definedName>
    <definedName name="ロン数" localSheetId="8">ただ!$B$19</definedName>
    <definedName name="ロン数" localSheetId="12">のり!$B$19</definedName>
    <definedName name="ロン数" localSheetId="13">ぱぱ!$B$19</definedName>
    <definedName name="ロン数" localSheetId="14">ほたに!$B$19</definedName>
    <definedName name="ロン数" localSheetId="11">まっつん!$B$19</definedName>
    <definedName name="ロン数" localSheetId="9">りくと!$B$19</definedName>
    <definedName name="ロン数" localSheetId="10">れんたろう!$B$19</definedName>
    <definedName name="ロン数" localSheetId="5">全体!$B$19</definedName>
    <definedName name="ロン数">Template1!$B$19</definedName>
    <definedName name="ロン率" localSheetId="7">だいち!$C$19</definedName>
    <definedName name="ロン率" localSheetId="6">たかの!$C$19</definedName>
    <definedName name="ロン率" localSheetId="8">ただ!$C$19</definedName>
    <definedName name="ロン率" localSheetId="12">のり!$C$19</definedName>
    <definedName name="ロン率" localSheetId="13">ぱぱ!$C$19</definedName>
    <definedName name="ロン率" localSheetId="14">ほたに!$C$19</definedName>
    <definedName name="ロン率" localSheetId="11">まっつん!$C$19</definedName>
    <definedName name="ロン率" localSheetId="9">りくと!$C$19</definedName>
    <definedName name="ロン率" localSheetId="10">れんたろう!$C$19</definedName>
    <definedName name="ロン率" localSheetId="5">全体!$C$19</definedName>
    <definedName name="ロン率">Template1!$C$19</definedName>
    <definedName name="逆転数" localSheetId="7">だいち!$B$12</definedName>
    <definedName name="逆転数" localSheetId="6">たかの!$B$12</definedName>
    <definedName name="逆転数" localSheetId="8">ただ!$B$12</definedName>
    <definedName name="逆転数" localSheetId="12">のり!$B$12</definedName>
    <definedName name="逆転数" localSheetId="13">ぱぱ!$B$12</definedName>
    <definedName name="逆転数" localSheetId="14">ほたに!$B$12</definedName>
    <definedName name="逆転数" localSheetId="11">まっつん!$B$12</definedName>
    <definedName name="逆転数" localSheetId="9">りくと!$B$12</definedName>
    <definedName name="逆転数" localSheetId="10">れんたろう!$B$12</definedName>
    <definedName name="逆転数" localSheetId="5">全体!$B$12</definedName>
    <definedName name="逆転数">Template1!$B$12</definedName>
    <definedName name="逆転率" localSheetId="7">だいち!$C$12</definedName>
    <definedName name="逆転率" localSheetId="6">たかの!$C$12</definedName>
    <definedName name="逆転率" localSheetId="8">ただ!$C$12</definedName>
    <definedName name="逆転率" localSheetId="12">のり!$C$12</definedName>
    <definedName name="逆転率" localSheetId="13">ぱぱ!$C$12</definedName>
    <definedName name="逆転率" localSheetId="14">ほたに!$C$12</definedName>
    <definedName name="逆転率" localSheetId="11">まっつん!$C$12</definedName>
    <definedName name="逆転率" localSheetId="9">りくと!$C$12</definedName>
    <definedName name="逆転率" localSheetId="10">れんたろう!$C$12</definedName>
    <definedName name="逆転率" localSheetId="5">全体!$C$12</definedName>
    <definedName name="逆転率">Template1!$C$12</definedName>
    <definedName name="最大ドラ数" localSheetId="7">だいち!$B$25</definedName>
    <definedName name="最大ドラ数" localSheetId="6">たかの!$B$25</definedName>
    <definedName name="最大ドラ数" localSheetId="8">ただ!$B$25</definedName>
    <definedName name="最大ドラ数" localSheetId="12">のり!$B$25</definedName>
    <definedName name="最大ドラ数" localSheetId="13">ぱぱ!$B$25</definedName>
    <definedName name="最大ドラ数" localSheetId="14">ほたに!$B$25</definedName>
    <definedName name="最大ドラ数" localSheetId="11">まっつん!$B$25</definedName>
    <definedName name="最大ドラ数" localSheetId="9">りくと!$B$25</definedName>
    <definedName name="最大ドラ数" localSheetId="10">れんたろう!$B$25</definedName>
    <definedName name="最大ドラ数" localSheetId="5">全体!$B$25</definedName>
    <definedName name="最大ドラ数">Template1!$B$25</definedName>
    <definedName name="最大点数" localSheetId="7">だいち!$B$26</definedName>
    <definedName name="最大点数" localSheetId="6">たかの!$B$26</definedName>
    <definedName name="最大点数" localSheetId="8">ただ!$B$26</definedName>
    <definedName name="最大点数" localSheetId="12">のり!$B$26</definedName>
    <definedName name="最大点数" localSheetId="13">ぱぱ!$B$26</definedName>
    <definedName name="最大点数" localSheetId="14">ほたに!$B$26</definedName>
    <definedName name="最大点数" localSheetId="11">まっつん!$B$26</definedName>
    <definedName name="最大点数" localSheetId="9">りくと!$B$26</definedName>
    <definedName name="最大点数" localSheetId="10">れんたろう!$B$26</definedName>
    <definedName name="最大点数" localSheetId="5">全体!$B$26</definedName>
    <definedName name="最大点数">Template1!$B$26</definedName>
    <definedName name="総局数" localSheetId="7">だいち!$B$3</definedName>
    <definedName name="総局数" localSheetId="6">たかの!$B$3</definedName>
    <definedName name="総局数" localSheetId="8">ただ!$B$3</definedName>
    <definedName name="総局数" localSheetId="12">のり!$B$3</definedName>
    <definedName name="総局数" localSheetId="13">ぱぱ!$B$3</definedName>
    <definedName name="総局数" localSheetId="14">ほたに!$B$3</definedName>
    <definedName name="総局数" localSheetId="11">まっつん!$B$3</definedName>
    <definedName name="総局数" localSheetId="9">りくと!$B$3</definedName>
    <definedName name="総局数" localSheetId="10">れんたろう!$B$3</definedName>
    <definedName name="総局数" localSheetId="5">全体!$B$3</definedName>
    <definedName name="総局数">Template1!$B$3</definedName>
    <definedName name="対戦数" localSheetId="7">だいち!$B$2</definedName>
    <definedName name="対戦数" localSheetId="6">たかの!$B$2</definedName>
    <definedName name="対戦数" localSheetId="8">ただ!$B$2</definedName>
    <definedName name="対戦数" localSheetId="12">のり!$B$2</definedName>
    <definedName name="対戦数" localSheetId="13">ぱぱ!$B$2</definedName>
    <definedName name="対戦数" localSheetId="14">ほたに!$B$2</definedName>
    <definedName name="対戦数" localSheetId="11">まっつん!$B$2</definedName>
    <definedName name="対戦数" localSheetId="9">りくと!$B$2</definedName>
    <definedName name="対戦数" localSheetId="10">れんたろう!$B$2</definedName>
    <definedName name="対戦数" localSheetId="5">全体!$B$2</definedName>
    <definedName name="対戦数">Template1!$B$2</definedName>
    <definedName name="通算スコア" localSheetId="7">だいち!$B$4</definedName>
    <definedName name="通算スコア" localSheetId="6">たかの!$B$4</definedName>
    <definedName name="通算スコア" localSheetId="8">ただ!$B$4</definedName>
    <definedName name="通算スコア" localSheetId="12">のり!$B$4</definedName>
    <definedName name="通算スコア" localSheetId="13">ぱぱ!$B$4</definedName>
    <definedName name="通算スコア" localSheetId="14">ほたに!$B$4</definedName>
    <definedName name="通算スコア" localSheetId="11">まっつん!$B$4</definedName>
    <definedName name="通算スコア" localSheetId="9">りくと!$B$4</definedName>
    <definedName name="通算スコア" localSheetId="10">れんたろう!$B$4</definedName>
    <definedName name="通算スコア" localSheetId="5">全体!$B$4</definedName>
    <definedName name="通算スコア">Template1!$B$4</definedName>
    <definedName name="副露数" localSheetId="7">だいち!$B$14</definedName>
    <definedName name="副露数" localSheetId="6">たかの!$B$14</definedName>
    <definedName name="副露数" localSheetId="8">ただ!$B$14</definedName>
    <definedName name="副露数" localSheetId="12">のり!$B$14</definedName>
    <definedName name="副露数" localSheetId="13">ぱぱ!$B$14</definedName>
    <definedName name="副露数" localSheetId="14">ほたに!$B$14</definedName>
    <definedName name="副露数" localSheetId="11">まっつん!$B$14</definedName>
    <definedName name="副露数" localSheetId="9">りくと!$B$14</definedName>
    <definedName name="副露数" localSheetId="10">れんたろう!$B$14</definedName>
    <definedName name="副露数" localSheetId="5">全体!$B$14</definedName>
    <definedName name="副露数">Template1!$B$14</definedName>
    <definedName name="副露成功数" localSheetId="7">だいち!$B$16</definedName>
    <definedName name="副露成功数" localSheetId="6">たかの!$B$16</definedName>
    <definedName name="副露成功数" localSheetId="8">ただ!$B$16</definedName>
    <definedName name="副露成功数" localSheetId="12">のり!$B$16</definedName>
    <definedName name="副露成功数" localSheetId="13">ぱぱ!$B$16</definedName>
    <definedName name="副露成功数" localSheetId="14">ほたに!$B$16</definedName>
    <definedName name="副露成功数" localSheetId="11">まっつん!$B$16</definedName>
    <definedName name="副露成功数" localSheetId="9">りくと!$B$16</definedName>
    <definedName name="副露成功数" localSheetId="10">れんたろう!$B$16</definedName>
    <definedName name="副露成功数" localSheetId="5">全体!$B$16</definedName>
    <definedName name="副露成功数">Template1!$B$16</definedName>
    <definedName name="副露成功率" localSheetId="7">だいち!$C$16</definedName>
    <definedName name="副露成功率" localSheetId="6">たかの!$C$16</definedName>
    <definedName name="副露成功率" localSheetId="8">ただ!$C$16</definedName>
    <definedName name="副露成功率" localSheetId="12">のり!$C$16</definedName>
    <definedName name="副露成功率" localSheetId="13">ぱぱ!$C$16</definedName>
    <definedName name="副露成功率" localSheetId="14">ほたに!$C$16</definedName>
    <definedName name="副露成功率" localSheetId="11">まっつん!$C$16</definedName>
    <definedName name="副露成功率" localSheetId="9">りくと!$C$16</definedName>
    <definedName name="副露成功率" localSheetId="10">れんたろう!$C$16</definedName>
    <definedName name="副露成功率" localSheetId="5">全体!$C$16</definedName>
    <definedName name="副露成功率">Template1!$C$16</definedName>
    <definedName name="副露率" localSheetId="7">だいち!$C$14</definedName>
    <definedName name="副露率" localSheetId="6">たかの!$C$14</definedName>
    <definedName name="副露率" localSheetId="8">ただ!$C$14</definedName>
    <definedName name="副露率" localSheetId="12">のり!$C$14</definedName>
    <definedName name="副露率" localSheetId="13">ぱぱ!$C$14</definedName>
    <definedName name="副露率" localSheetId="14">ほたに!$C$14</definedName>
    <definedName name="副露率" localSheetId="11">まっつん!$C$14</definedName>
    <definedName name="副露率" localSheetId="9">りくと!$C$14</definedName>
    <definedName name="副露率" localSheetId="10">れんたろう!$C$14</definedName>
    <definedName name="副露率" localSheetId="5">全体!$C$14</definedName>
    <definedName name="副露率">Template1!$C$14</definedName>
    <definedName name="平均アガリ点" localSheetId="7">だいち!$B$23</definedName>
    <definedName name="平均アガリ点" localSheetId="6">たかの!$B$23</definedName>
    <definedName name="平均アガリ点" localSheetId="8">ただ!$B$23</definedName>
    <definedName name="平均アガリ点" localSheetId="12">のり!$B$23</definedName>
    <definedName name="平均アガリ点" localSheetId="13">ぱぱ!$B$23</definedName>
    <definedName name="平均アガリ点" localSheetId="14">ほたに!$B$23</definedName>
    <definedName name="平均アガリ点" localSheetId="11">まっつん!$B$23</definedName>
    <definedName name="平均アガリ点" localSheetId="9">りくと!$B$23</definedName>
    <definedName name="平均アガリ点" localSheetId="10">れんたろう!$B$23</definedName>
    <definedName name="平均アガリ点" localSheetId="5">全体!$B$23</definedName>
    <definedName name="平均アガリ点">Template1!$B$23</definedName>
    <definedName name="平均スコア" localSheetId="7">だいち!$B$5</definedName>
    <definedName name="平均スコア" localSheetId="6">たかの!$B$5</definedName>
    <definedName name="平均スコア" localSheetId="8">ただ!$B$5</definedName>
    <definedName name="平均スコア" localSheetId="12">のり!$B$5</definedName>
    <definedName name="平均スコア" localSheetId="13">ぱぱ!$B$5</definedName>
    <definedName name="平均スコア" localSheetId="14">ほたに!$B$5</definedName>
    <definedName name="平均スコア" localSheetId="11">まっつん!$B$5</definedName>
    <definedName name="平均スコア" localSheetId="9">りくと!$B$5</definedName>
    <definedName name="平均スコア" localSheetId="10">れんたろう!$B$5</definedName>
    <definedName name="平均スコア" localSheetId="5">全体!$B$5</definedName>
    <definedName name="平均スコア">Template1!$B$5</definedName>
    <definedName name="平均順位" localSheetId="7">だいち!$B$6</definedName>
    <definedName name="平均順位" localSheetId="6">たかの!$B$6</definedName>
    <definedName name="平均順位" localSheetId="8">ただ!$B$6</definedName>
    <definedName name="平均順位" localSheetId="12">のり!$B$6</definedName>
    <definedName name="平均順位" localSheetId="13">ぱぱ!$B$6</definedName>
    <definedName name="平均順位" localSheetId="14">ほたに!$B$6</definedName>
    <definedName name="平均順位" localSheetId="11">まっつん!$B$6</definedName>
    <definedName name="平均順位" localSheetId="9">りくと!$B$6</definedName>
    <definedName name="平均順位" localSheetId="10">れんたろう!$B$6</definedName>
    <definedName name="平均順位" localSheetId="5">全体!$B$6</definedName>
    <definedName name="平均順位">Template1!$B$6</definedName>
    <definedName name="平均放銃点" localSheetId="7">だいち!$B$24</definedName>
    <definedName name="平均放銃点" localSheetId="6">たかの!$B$24</definedName>
    <definedName name="平均放銃点" localSheetId="8">ただ!$B$24</definedName>
    <definedName name="平均放銃点" localSheetId="12">のり!$B$24</definedName>
    <definedName name="平均放銃点" localSheetId="13">ぱぱ!$B$24</definedName>
    <definedName name="平均放銃点" localSheetId="14">ほたに!$B$24</definedName>
    <definedName name="平均放銃点" localSheetId="11">まっつん!$B$24</definedName>
    <definedName name="平均放銃点" localSheetId="9">りくと!$B$24</definedName>
    <definedName name="平均放銃点" localSheetId="10">れんたろう!$B$24</definedName>
    <definedName name="平均放銃点" localSheetId="5">全体!$B$24</definedName>
    <definedName name="平均放銃点">Template1!$B$24</definedName>
    <definedName name="放銃数" localSheetId="7">だいち!$B$20</definedName>
    <definedName name="放銃数" localSheetId="6">たかの!$B$20</definedName>
    <definedName name="放銃数" localSheetId="8">ただ!$B$20</definedName>
    <definedName name="放銃数" localSheetId="12">のり!$B$20</definedName>
    <definedName name="放銃数" localSheetId="13">ぱぱ!$B$20</definedName>
    <definedName name="放銃数" localSheetId="14">ほたに!$B$20</definedName>
    <definedName name="放銃数" localSheetId="11">まっつん!$B$20</definedName>
    <definedName name="放銃数" localSheetId="9">りくと!$B$20</definedName>
    <definedName name="放銃数" localSheetId="10">れんたろう!$B$20</definedName>
    <definedName name="放銃数" localSheetId="5">全体!$B$20</definedName>
    <definedName name="放銃数">Template1!$B$20</definedName>
    <definedName name="放銃率" localSheetId="7">だいち!$C$20</definedName>
    <definedName name="放銃率" localSheetId="6">たかの!$C$20</definedName>
    <definedName name="放銃率" localSheetId="8">ただ!$C$20</definedName>
    <definedName name="放銃率" localSheetId="12">のり!$C$20</definedName>
    <definedName name="放銃率" localSheetId="13">ぱぱ!$C$20</definedName>
    <definedName name="放銃率" localSheetId="14">ほたに!$C$20</definedName>
    <definedName name="放銃率" localSheetId="11">まっつん!$C$20</definedName>
    <definedName name="放銃率" localSheetId="9">りくと!$C$20</definedName>
    <definedName name="放銃率" localSheetId="10">れんたろう!$C$20</definedName>
    <definedName name="放銃率" localSheetId="5">全体!$C$20</definedName>
    <definedName name="放銃率">Template1!$C$20</definedName>
    <definedName name="連続アガリ" localSheetId="7">だいち!$B$21</definedName>
    <definedName name="連続アガリ" localSheetId="6">たかの!$B$21</definedName>
    <definedName name="連続アガリ" localSheetId="8">ただ!$B$21</definedName>
    <definedName name="連続アガリ" localSheetId="12">のり!$B$21</definedName>
    <definedName name="連続アガリ" localSheetId="13">ぱぱ!$B$21</definedName>
    <definedName name="連続アガリ" localSheetId="14">ほたに!$B$21</definedName>
    <definedName name="連続アガリ" localSheetId="11">まっつん!$B$21</definedName>
    <definedName name="連続アガリ" localSheetId="9">りくと!$B$21</definedName>
    <definedName name="連続アガリ" localSheetId="10">れんたろう!$B$21</definedName>
    <definedName name="連続アガリ" localSheetId="5">全体!$B$21</definedName>
    <definedName name="連続アガリ">Template1!$B$21</definedName>
    <definedName name="連続無放銃" localSheetId="7">だいち!$B$22</definedName>
    <definedName name="連続無放銃" localSheetId="6">たかの!$B$22</definedName>
    <definedName name="連続無放銃" localSheetId="8">ただ!$B$22</definedName>
    <definedName name="連続無放銃" localSheetId="12">のり!$B$22</definedName>
    <definedName name="連続無放銃" localSheetId="13">ぱぱ!$B$22</definedName>
    <definedName name="連続無放銃" localSheetId="14">ほたに!$B$22</definedName>
    <definedName name="連続無放銃" localSheetId="11">まっつん!$B$22</definedName>
    <definedName name="連続無放銃" localSheetId="9">りくと!$B$22</definedName>
    <definedName name="連続無放銃" localSheetId="10">れんたろう!$B$22</definedName>
    <definedName name="連続無放銃" localSheetId="5">全体!$B$22</definedName>
    <definedName name="連続無放銃">Template1!$B$22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O15" i="5701" l="1"/>
  <c r="O19" i="5709"/>
  <c r="O15" i="5699" l="1"/>
  <c r="O18" i="5705"/>
  <c r="O16" i="5709" l="1"/>
  <c r="O22" i="5699"/>
  <c r="O20" i="5693" l="1"/>
  <c r="O16" i="5695"/>
  <c r="O15" i="5705"/>
  <c r="O19" i="5705"/>
  <c r="O20" i="5703" l="1"/>
  <c r="O18" i="5707"/>
  <c r="O16" i="5697" l="1"/>
  <c r="O17" i="5703"/>
  <c r="O20" i="5705"/>
  <c r="O17" i="5705"/>
  <c r="O18" i="5693" l="1"/>
  <c r="O19" i="5707"/>
  <c r="O20" i="5707"/>
  <c r="O18" i="5699"/>
  <c r="O18" i="5697" l="1"/>
  <c r="O20" i="5701"/>
  <c r="O19" i="5701" l="1"/>
  <c r="O21" i="5695"/>
  <c r="O22" i="5705"/>
  <c r="O17" i="5709"/>
  <c r="O15" i="5709"/>
  <c r="O21" i="5707"/>
  <c r="O15" i="5697" l="1"/>
  <c r="O17" i="5697"/>
  <c r="O18" i="5709"/>
  <c r="O20" i="5709"/>
  <c r="C27" i="5709"/>
  <c r="B24" i="5709"/>
  <c r="C20" i="5709"/>
  <c r="B17" i="5709"/>
  <c r="H51" i="5709" s="1"/>
  <c r="C16" i="5709"/>
  <c r="C15" i="5709"/>
  <c r="C14" i="5709"/>
  <c r="C13" i="5709"/>
  <c r="O12" i="5709"/>
  <c r="C12" i="5709"/>
  <c r="O11" i="5709"/>
  <c r="C11" i="5709"/>
  <c r="O10" i="5709"/>
  <c r="C10" i="5709"/>
  <c r="C9" i="5709"/>
  <c r="C8" i="5709"/>
  <c r="O7" i="5709"/>
  <c r="C7" i="5709"/>
  <c r="O6" i="5709"/>
  <c r="B6" i="5709"/>
  <c r="O5" i="5709"/>
  <c r="B5" i="5709"/>
  <c r="O4" i="5709"/>
  <c r="O3" i="5709"/>
  <c r="O2" i="5709"/>
  <c r="O21" i="5703"/>
  <c r="O15" i="5703"/>
  <c r="O16" i="5691"/>
  <c r="H2" i="5709" l="1"/>
  <c r="H12" i="5709"/>
  <c r="H3" i="5709"/>
  <c r="H21" i="5709"/>
  <c r="H49" i="5709"/>
  <c r="H13" i="5709"/>
  <c r="H11" i="5709"/>
  <c r="H5" i="5709"/>
  <c r="H4" i="5709"/>
  <c r="C18" i="5709"/>
  <c r="H32" i="5709"/>
  <c r="B23" i="5709"/>
  <c r="H33" i="5709"/>
  <c r="H27" i="5709"/>
  <c r="H40" i="5709"/>
  <c r="H25" i="5709"/>
  <c r="H41" i="5709"/>
  <c r="H48" i="5709"/>
  <c r="H23" i="5709"/>
  <c r="H9" i="5709"/>
  <c r="H36" i="5709"/>
  <c r="H44" i="5709"/>
  <c r="H6" i="5709"/>
  <c r="H17" i="5709"/>
  <c r="H19" i="5709"/>
  <c r="H7" i="5709"/>
  <c r="H8" i="5709"/>
  <c r="H16" i="5709"/>
  <c r="C17" i="5709"/>
  <c r="H15" i="5709"/>
  <c r="H29" i="5709"/>
  <c r="H37" i="5709"/>
  <c r="H45" i="5709"/>
  <c r="H52" i="5709"/>
  <c r="H22" i="5709"/>
  <c r="H24" i="5709"/>
  <c r="H26" i="5709"/>
  <c r="H28" i="5709"/>
  <c r="H30" i="5709"/>
  <c r="H34" i="5709"/>
  <c r="H38" i="5709"/>
  <c r="H42" i="5709"/>
  <c r="H46" i="5709"/>
  <c r="H50" i="5709"/>
  <c r="H10" i="5709"/>
  <c r="H18" i="5709"/>
  <c r="H20" i="5709"/>
  <c r="C19" i="5709"/>
  <c r="H14" i="5709"/>
  <c r="H31" i="5709"/>
  <c r="H35" i="5709"/>
  <c r="H39" i="5709"/>
  <c r="H43" i="5709"/>
  <c r="H47" i="5709"/>
  <c r="O18" i="5695" l="1"/>
  <c r="O19" i="5699"/>
  <c r="O17" i="5695" l="1"/>
  <c r="O18" i="5703"/>
  <c r="O22" i="5703"/>
  <c r="O16" i="5693"/>
  <c r="O19" i="5697"/>
  <c r="O16" i="5699"/>
  <c r="O17" i="5699"/>
  <c r="O19" i="5693"/>
  <c r="O22" i="5697"/>
  <c r="O15" i="5695"/>
  <c r="O17" i="5707"/>
  <c r="O22" i="5707"/>
  <c r="O21" i="5701" l="1"/>
  <c r="O18" i="5701"/>
  <c r="O16" i="5707"/>
  <c r="O15" i="5707"/>
  <c r="C27" i="5707"/>
  <c r="B24" i="5707"/>
  <c r="C20" i="5707"/>
  <c r="B17" i="5707"/>
  <c r="H51" i="5707" s="1"/>
  <c r="C16" i="5707"/>
  <c r="C15" i="5707"/>
  <c r="C14" i="5707"/>
  <c r="C13" i="5707"/>
  <c r="O12" i="5707"/>
  <c r="C12" i="5707"/>
  <c r="O11" i="5707"/>
  <c r="C11" i="5707"/>
  <c r="O10" i="5707"/>
  <c r="C10" i="5707"/>
  <c r="C9" i="5707"/>
  <c r="C8" i="5707"/>
  <c r="O7" i="5707"/>
  <c r="C7" i="5707"/>
  <c r="O6" i="5707"/>
  <c r="B6" i="5707"/>
  <c r="O5" i="5707"/>
  <c r="B5" i="5707"/>
  <c r="O4" i="5707"/>
  <c r="O3" i="5707"/>
  <c r="O2" i="5707"/>
  <c r="O15" i="5691"/>
  <c r="O16" i="5705"/>
  <c r="O21" i="5705"/>
  <c r="C27" i="5705"/>
  <c r="B24" i="5705"/>
  <c r="C20" i="5705"/>
  <c r="B17" i="5705"/>
  <c r="H51" i="5705" s="1"/>
  <c r="C16" i="5705"/>
  <c r="C15" i="5705"/>
  <c r="C14" i="5705"/>
  <c r="C13" i="5705"/>
  <c r="O12" i="5705"/>
  <c r="C12" i="5705"/>
  <c r="O11" i="5705"/>
  <c r="C11" i="5705"/>
  <c r="O10" i="5705"/>
  <c r="C10" i="5705"/>
  <c r="C9" i="5705"/>
  <c r="C8" i="5705"/>
  <c r="O7" i="5705"/>
  <c r="C7" i="5705"/>
  <c r="O6" i="5705"/>
  <c r="B6" i="5705"/>
  <c r="O5" i="5705"/>
  <c r="B5" i="5705"/>
  <c r="O4" i="5705"/>
  <c r="O3" i="5705"/>
  <c r="O2" i="5705"/>
  <c r="O23" i="5691"/>
  <c r="H20" i="5705" l="1"/>
  <c r="H2" i="5705"/>
  <c r="H16" i="5705"/>
  <c r="H3" i="5705"/>
  <c r="H10" i="5707"/>
  <c r="H19" i="5707"/>
  <c r="H20" i="5707"/>
  <c r="H15" i="5707"/>
  <c r="H13" i="5707"/>
  <c r="H36" i="5707"/>
  <c r="H44" i="5707"/>
  <c r="H5" i="5707"/>
  <c r="H11" i="5707"/>
  <c r="H4" i="5707"/>
  <c r="H18" i="5707"/>
  <c r="C17" i="5707"/>
  <c r="H12" i="5707"/>
  <c r="H29" i="5707"/>
  <c r="H37" i="5707"/>
  <c r="H45" i="5707"/>
  <c r="H52" i="5707"/>
  <c r="H7" i="5707"/>
  <c r="H9" i="5707"/>
  <c r="H6" i="5707"/>
  <c r="H23" i="5707"/>
  <c r="H27" i="5707"/>
  <c r="H17" i="5707"/>
  <c r="H32" i="5707"/>
  <c r="H40" i="5707"/>
  <c r="H48" i="5707"/>
  <c r="H3" i="5707"/>
  <c r="H2" i="5707"/>
  <c r="H22" i="5707"/>
  <c r="C18" i="5707"/>
  <c r="B23" i="5707"/>
  <c r="H33" i="5707"/>
  <c r="H41" i="5707"/>
  <c r="H49" i="5707"/>
  <c r="H24" i="5707"/>
  <c r="H25" i="5707"/>
  <c r="H16" i="5707"/>
  <c r="H28" i="5707"/>
  <c r="H30" i="5707"/>
  <c r="H34" i="5707"/>
  <c r="H38" i="5707"/>
  <c r="H42" i="5707"/>
  <c r="H46" i="5707"/>
  <c r="H50" i="5707"/>
  <c r="H8" i="5707"/>
  <c r="H14" i="5707"/>
  <c r="H21" i="5707"/>
  <c r="C19" i="5707"/>
  <c r="H26" i="5707"/>
  <c r="H31" i="5707"/>
  <c r="H35" i="5707"/>
  <c r="H39" i="5707"/>
  <c r="H43" i="5707"/>
  <c r="H47" i="5707"/>
  <c r="H33" i="5705"/>
  <c r="C18" i="5705"/>
  <c r="H10" i="5705"/>
  <c r="H17" i="5705"/>
  <c r="B23" i="5705"/>
  <c r="H41" i="5705"/>
  <c r="H49" i="5705"/>
  <c r="H5" i="5705"/>
  <c r="H15" i="5705"/>
  <c r="H4" i="5705"/>
  <c r="H22" i="5705"/>
  <c r="H25" i="5705"/>
  <c r="H27" i="5705"/>
  <c r="H32" i="5705"/>
  <c r="H40" i="5705"/>
  <c r="H48" i="5705"/>
  <c r="H11" i="5705"/>
  <c r="H13" i="5705"/>
  <c r="H36" i="5705"/>
  <c r="H44" i="5705"/>
  <c r="H6" i="5705"/>
  <c r="H8" i="5705"/>
  <c r="H7" i="5705"/>
  <c r="H18" i="5705"/>
  <c r="C17" i="5705"/>
  <c r="H12" i="5705"/>
  <c r="H29" i="5705"/>
  <c r="H37" i="5705"/>
  <c r="H45" i="5705"/>
  <c r="H52" i="5705"/>
  <c r="H23" i="5705"/>
  <c r="H24" i="5705"/>
  <c r="H26" i="5705"/>
  <c r="H28" i="5705"/>
  <c r="H30" i="5705"/>
  <c r="H34" i="5705"/>
  <c r="H38" i="5705"/>
  <c r="H42" i="5705"/>
  <c r="H46" i="5705"/>
  <c r="H50" i="5705"/>
  <c r="H14" i="5705"/>
  <c r="H19" i="5705"/>
  <c r="H21" i="5705"/>
  <c r="C19" i="5705"/>
  <c r="H9" i="5705"/>
  <c r="H31" i="5705"/>
  <c r="H35" i="5705"/>
  <c r="H39" i="5705"/>
  <c r="H43" i="5705"/>
  <c r="H47" i="5705"/>
  <c r="O19" i="5703" l="1"/>
  <c r="O16" i="5703"/>
  <c r="C27" i="5703"/>
  <c r="B24" i="5703"/>
  <c r="C20" i="5703"/>
  <c r="B17" i="5703"/>
  <c r="H19" i="5703" s="1"/>
  <c r="C16" i="5703"/>
  <c r="C15" i="5703"/>
  <c r="C14" i="5703"/>
  <c r="C13" i="5703"/>
  <c r="O12" i="5703"/>
  <c r="C12" i="5703"/>
  <c r="O11" i="5703"/>
  <c r="C11" i="5703"/>
  <c r="O10" i="5703"/>
  <c r="C10" i="5703"/>
  <c r="C9" i="5703"/>
  <c r="C8" i="5703"/>
  <c r="O7" i="5703"/>
  <c r="C7" i="5703"/>
  <c r="O6" i="5703"/>
  <c r="B6" i="5703"/>
  <c r="O5" i="5703"/>
  <c r="B5" i="5703"/>
  <c r="O4" i="5703"/>
  <c r="O3" i="5703"/>
  <c r="O2" i="5703"/>
  <c r="O16" i="5701"/>
  <c r="O17" i="5701"/>
  <c r="C27" i="5701"/>
  <c r="B24" i="5701"/>
  <c r="C20" i="5701"/>
  <c r="B17" i="5701"/>
  <c r="H51" i="5701" s="1"/>
  <c r="C16" i="5701"/>
  <c r="C15" i="5701"/>
  <c r="C14" i="5701"/>
  <c r="C13" i="5701"/>
  <c r="O12" i="5701"/>
  <c r="C12" i="5701"/>
  <c r="O11" i="5701"/>
  <c r="C11" i="5701"/>
  <c r="O10" i="5701"/>
  <c r="C10" i="5701"/>
  <c r="C9" i="5701"/>
  <c r="C8" i="5701"/>
  <c r="O7" i="5701"/>
  <c r="C7" i="5701"/>
  <c r="O6" i="5701"/>
  <c r="B6" i="5701"/>
  <c r="O5" i="5701"/>
  <c r="B5" i="5701"/>
  <c r="O4" i="5701"/>
  <c r="O3" i="5701"/>
  <c r="O2" i="5701"/>
  <c r="O18" i="5691"/>
  <c r="O21" i="5699"/>
  <c r="O20" i="5699"/>
  <c r="C27" i="5699"/>
  <c r="B24" i="5699"/>
  <c r="C20" i="5699"/>
  <c r="B17" i="5699"/>
  <c r="H20" i="5699" s="1"/>
  <c r="C16" i="5699"/>
  <c r="C15" i="5699"/>
  <c r="C14" i="5699"/>
  <c r="C13" i="5699"/>
  <c r="O12" i="5699"/>
  <c r="C12" i="5699"/>
  <c r="O11" i="5699"/>
  <c r="C11" i="5699"/>
  <c r="O10" i="5699"/>
  <c r="C10" i="5699"/>
  <c r="C9" i="5699"/>
  <c r="C8" i="5699"/>
  <c r="O7" i="5699"/>
  <c r="C7" i="5699"/>
  <c r="O6" i="5699"/>
  <c r="B6" i="5699"/>
  <c r="O5" i="5699"/>
  <c r="B5" i="5699"/>
  <c r="O4" i="5699"/>
  <c r="O3" i="5699"/>
  <c r="O2" i="5699"/>
  <c r="O20" i="5691"/>
  <c r="O19" i="5691"/>
  <c r="H13" i="5699" l="1"/>
  <c r="H3" i="5699"/>
  <c r="H2" i="5699"/>
  <c r="H9" i="5699"/>
  <c r="H4" i="5699"/>
  <c r="H14" i="5699"/>
  <c r="H29" i="5699"/>
  <c r="H41" i="5699"/>
  <c r="H27" i="5699"/>
  <c r="H42" i="5699"/>
  <c r="H18" i="5699"/>
  <c r="B23" i="5699"/>
  <c r="H33" i="5699"/>
  <c r="H50" i="5699"/>
  <c r="H7" i="5699"/>
  <c r="C18" i="5699"/>
  <c r="H34" i="5699"/>
  <c r="H3" i="5703"/>
  <c r="H2" i="5703"/>
  <c r="H8" i="5703"/>
  <c r="H4" i="5703"/>
  <c r="H13" i="5703"/>
  <c r="C19" i="5703"/>
  <c r="H28" i="5703"/>
  <c r="H29" i="5703"/>
  <c r="H34" i="5703"/>
  <c r="H18" i="5703"/>
  <c r="H49" i="5703"/>
  <c r="H22" i="5703"/>
  <c r="C17" i="5703"/>
  <c r="H26" i="5703"/>
  <c r="B23" i="5703"/>
  <c r="H35" i="5703"/>
  <c r="H42" i="5703"/>
  <c r="H50" i="5703"/>
  <c r="H12" i="5703"/>
  <c r="H6" i="5703"/>
  <c r="H14" i="5703"/>
  <c r="H21" i="5703"/>
  <c r="H10" i="5703"/>
  <c r="H9" i="5703"/>
  <c r="H38" i="5703"/>
  <c r="H45" i="5703"/>
  <c r="H5" i="5703"/>
  <c r="H24" i="5703"/>
  <c r="H7" i="5703"/>
  <c r="H20" i="5703"/>
  <c r="H23" i="5703"/>
  <c r="H15" i="5703"/>
  <c r="C18" i="5703"/>
  <c r="H11" i="5703"/>
  <c r="H16" i="5703"/>
  <c r="H31" i="5703"/>
  <c r="H39" i="5703"/>
  <c r="H46" i="5703"/>
  <c r="H52" i="5703"/>
  <c r="H25" i="5703"/>
  <c r="H27" i="5703"/>
  <c r="H17" i="5703"/>
  <c r="H30" i="5703"/>
  <c r="H32" i="5703"/>
  <c r="H36" i="5703"/>
  <c r="H40" i="5703"/>
  <c r="H43" i="5703"/>
  <c r="H47" i="5703"/>
  <c r="H51" i="5703"/>
  <c r="H33" i="5703"/>
  <c r="H37" i="5703"/>
  <c r="H41" i="5703"/>
  <c r="H44" i="5703"/>
  <c r="H48" i="5703"/>
  <c r="H3" i="5701"/>
  <c r="C18" i="5701"/>
  <c r="H20" i="5701"/>
  <c r="H33" i="5701"/>
  <c r="H21" i="5701"/>
  <c r="H5" i="5701"/>
  <c r="H15" i="5701"/>
  <c r="H23" i="5701"/>
  <c r="B23" i="5701"/>
  <c r="H41" i="5701"/>
  <c r="H49" i="5701"/>
  <c r="H14" i="5701"/>
  <c r="H6" i="5701"/>
  <c r="H36" i="5701"/>
  <c r="H44" i="5701"/>
  <c r="H8" i="5701"/>
  <c r="H10" i="5701"/>
  <c r="H7" i="5701"/>
  <c r="H19" i="5701"/>
  <c r="C17" i="5701"/>
  <c r="H17" i="5701"/>
  <c r="H31" i="5701"/>
  <c r="H37" i="5701"/>
  <c r="H45" i="5701"/>
  <c r="H52" i="5701"/>
  <c r="H4" i="5701"/>
  <c r="H13" i="5701"/>
  <c r="H2" i="5701"/>
  <c r="H24" i="5701"/>
  <c r="H27" i="5701"/>
  <c r="H29" i="5701"/>
  <c r="H32" i="5701"/>
  <c r="H40" i="5701"/>
  <c r="H48" i="5701"/>
  <c r="H25" i="5701"/>
  <c r="H26" i="5701"/>
  <c r="H28" i="5701"/>
  <c r="H30" i="5701"/>
  <c r="H18" i="5701"/>
  <c r="H34" i="5701"/>
  <c r="H38" i="5701"/>
  <c r="H42" i="5701"/>
  <c r="H46" i="5701"/>
  <c r="H50" i="5701"/>
  <c r="H9" i="5701"/>
  <c r="H16" i="5701"/>
  <c r="H22" i="5701"/>
  <c r="C19" i="5701"/>
  <c r="H11" i="5701"/>
  <c r="H12" i="5701"/>
  <c r="H35" i="5701"/>
  <c r="H39" i="5701"/>
  <c r="H43" i="5701"/>
  <c r="H47" i="5701"/>
  <c r="H49" i="5699"/>
  <c r="H22" i="5699"/>
  <c r="H23" i="5699"/>
  <c r="H15" i="5699"/>
  <c r="H12" i="5699"/>
  <c r="H37" i="5699"/>
  <c r="H45" i="5699"/>
  <c r="H5" i="5699"/>
  <c r="H10" i="5699"/>
  <c r="H6" i="5699"/>
  <c r="H21" i="5699"/>
  <c r="C17" i="5699"/>
  <c r="H16" i="5699"/>
  <c r="H31" i="5699"/>
  <c r="H38" i="5699"/>
  <c r="H46" i="5699"/>
  <c r="H52" i="5699"/>
  <c r="H25" i="5699"/>
  <c r="H26" i="5699"/>
  <c r="H28" i="5699"/>
  <c r="H30" i="5699"/>
  <c r="H19" i="5699"/>
  <c r="H35" i="5699"/>
  <c r="H39" i="5699"/>
  <c r="H43" i="5699"/>
  <c r="H47" i="5699"/>
  <c r="H51" i="5699"/>
  <c r="H8" i="5699"/>
  <c r="H17" i="5699"/>
  <c r="H24" i="5699"/>
  <c r="C19" i="5699"/>
  <c r="H11" i="5699"/>
  <c r="H32" i="5699"/>
  <c r="H36" i="5699"/>
  <c r="H40" i="5699"/>
  <c r="H44" i="5699"/>
  <c r="H48" i="5699"/>
  <c r="O21" i="5697" l="1"/>
  <c r="O20" i="5697"/>
  <c r="C27" i="5697"/>
  <c r="B24" i="5697"/>
  <c r="C20" i="5697"/>
  <c r="B17" i="5697"/>
  <c r="H5" i="5697" s="1"/>
  <c r="C16" i="5697"/>
  <c r="C15" i="5697"/>
  <c r="C14" i="5697"/>
  <c r="C13" i="5697"/>
  <c r="O12" i="5697"/>
  <c r="C12" i="5697"/>
  <c r="O11" i="5697"/>
  <c r="C11" i="5697"/>
  <c r="O10" i="5697"/>
  <c r="C10" i="5697"/>
  <c r="C9" i="5697"/>
  <c r="C8" i="5697"/>
  <c r="O7" i="5697"/>
  <c r="C7" i="5697"/>
  <c r="O6" i="5697"/>
  <c r="B6" i="5697"/>
  <c r="O5" i="5697"/>
  <c r="B5" i="5697"/>
  <c r="O4" i="5697"/>
  <c r="O3" i="5697"/>
  <c r="O2" i="5697"/>
  <c r="O20" i="5695"/>
  <c r="O19" i="5695"/>
  <c r="C27" i="5695"/>
  <c r="B24" i="5695"/>
  <c r="C20" i="5695"/>
  <c r="B17" i="5695"/>
  <c r="H5" i="5695" s="1"/>
  <c r="C16" i="5695"/>
  <c r="C15" i="5695"/>
  <c r="C14" i="5695"/>
  <c r="C13" i="5695"/>
  <c r="O12" i="5695"/>
  <c r="C12" i="5695"/>
  <c r="O11" i="5695"/>
  <c r="C11" i="5695"/>
  <c r="O10" i="5695"/>
  <c r="C10" i="5695"/>
  <c r="C9" i="5695"/>
  <c r="C8" i="5695"/>
  <c r="O7" i="5695"/>
  <c r="C7" i="5695"/>
  <c r="O6" i="5695"/>
  <c r="B6" i="5695"/>
  <c r="O5" i="5695"/>
  <c r="B5" i="5695"/>
  <c r="O4" i="5695"/>
  <c r="O3" i="5695"/>
  <c r="O2" i="5695"/>
  <c r="O17" i="5691"/>
  <c r="O15" i="5693"/>
  <c r="O17" i="5693"/>
  <c r="C27" i="5693"/>
  <c r="B24" i="5693"/>
  <c r="C20" i="5693"/>
  <c r="B17" i="5693"/>
  <c r="H4" i="5693" s="1"/>
  <c r="C16" i="5693"/>
  <c r="C15" i="5693"/>
  <c r="C14" i="5693"/>
  <c r="C13" i="5693"/>
  <c r="O12" i="5693"/>
  <c r="C12" i="5693"/>
  <c r="O11" i="5693"/>
  <c r="C11" i="5693"/>
  <c r="O10" i="5693"/>
  <c r="C10" i="5693"/>
  <c r="C9" i="5693"/>
  <c r="C8" i="5693"/>
  <c r="O7" i="5693"/>
  <c r="C7" i="5693"/>
  <c r="O6" i="5693"/>
  <c r="B6" i="5693"/>
  <c r="O5" i="5693"/>
  <c r="B5" i="5693"/>
  <c r="O4" i="5693"/>
  <c r="O3" i="5693"/>
  <c r="O2" i="5693"/>
  <c r="O21" i="5691"/>
  <c r="O22" i="5691"/>
  <c r="C27" i="5691"/>
  <c r="B24" i="5691"/>
  <c r="C20" i="5691"/>
  <c r="B17" i="5691"/>
  <c r="H51" i="5691" s="1"/>
  <c r="C16" i="5691"/>
  <c r="C15" i="5691"/>
  <c r="C14" i="5691"/>
  <c r="C13" i="5691"/>
  <c r="O12" i="5691"/>
  <c r="C12" i="5691"/>
  <c r="O11" i="5691"/>
  <c r="C11" i="5691"/>
  <c r="O10" i="5691"/>
  <c r="C10" i="5691"/>
  <c r="C9" i="5691"/>
  <c r="C8" i="5691"/>
  <c r="O7" i="5691"/>
  <c r="C7" i="5691"/>
  <c r="O6" i="5691"/>
  <c r="B6" i="5691"/>
  <c r="O5" i="5691"/>
  <c r="B5" i="5691"/>
  <c r="O4" i="5691"/>
  <c r="O3" i="5691"/>
  <c r="O2" i="5691"/>
  <c r="H3" i="5693" l="1"/>
  <c r="H8" i="5693"/>
  <c r="H23" i="5697"/>
  <c r="C19" i="5697"/>
  <c r="H18" i="5697"/>
  <c r="H6" i="5697"/>
  <c r="H7" i="5697"/>
  <c r="H31" i="5697"/>
  <c r="H10" i="5697"/>
  <c r="H14" i="5697"/>
  <c r="H6" i="5693"/>
  <c r="C17" i="5693"/>
  <c r="H30" i="5693"/>
  <c r="H7" i="5693"/>
  <c r="H15" i="5693"/>
  <c r="H2" i="5693"/>
  <c r="H21" i="5693"/>
  <c r="H12" i="5693"/>
  <c r="B23" i="5697"/>
  <c r="H32" i="5697"/>
  <c r="H4" i="5697"/>
  <c r="H2" i="5697"/>
  <c r="H11" i="5697"/>
  <c r="H21" i="5697"/>
  <c r="C18" i="5697"/>
  <c r="H46" i="5697"/>
  <c r="H42" i="5697"/>
  <c r="H29" i="5697"/>
  <c r="H34" i="5697"/>
  <c r="H50" i="5697"/>
  <c r="H13" i="5697"/>
  <c r="H3" i="5697"/>
  <c r="H9" i="5697"/>
  <c r="H22" i="5697"/>
  <c r="H24" i="5697"/>
  <c r="C17" i="5697"/>
  <c r="H15" i="5697"/>
  <c r="H38" i="5697"/>
  <c r="H52" i="5697"/>
  <c r="H25" i="5697"/>
  <c r="H26" i="5697"/>
  <c r="H28" i="5697"/>
  <c r="H30" i="5697"/>
  <c r="H16" i="5697"/>
  <c r="H35" i="5697"/>
  <c r="H39" i="5697"/>
  <c r="H43" i="5697"/>
  <c r="H47" i="5697"/>
  <c r="H51" i="5697"/>
  <c r="H36" i="5697"/>
  <c r="H40" i="5697"/>
  <c r="H44" i="5697"/>
  <c r="H48" i="5697"/>
  <c r="H20" i="5697"/>
  <c r="H17" i="5697"/>
  <c r="H19" i="5697"/>
  <c r="H27" i="5697"/>
  <c r="H12" i="5697"/>
  <c r="H8" i="5697"/>
  <c r="H33" i="5697"/>
  <c r="H37" i="5697"/>
  <c r="H41" i="5697"/>
  <c r="H45" i="5697"/>
  <c r="H49" i="5697"/>
  <c r="H3" i="5695"/>
  <c r="H2" i="5695"/>
  <c r="H4" i="5695"/>
  <c r="H11" i="5695"/>
  <c r="H33" i="5695"/>
  <c r="H35" i="5695"/>
  <c r="H42" i="5695"/>
  <c r="H50" i="5695"/>
  <c r="H9" i="5695"/>
  <c r="H28" i="5695"/>
  <c r="H17" i="5695"/>
  <c r="C17" i="5695"/>
  <c r="H13" i="5695"/>
  <c r="H36" i="5695"/>
  <c r="H44" i="5695"/>
  <c r="H16" i="5695"/>
  <c r="H10" i="5695"/>
  <c r="H6" i="5695"/>
  <c r="H12" i="5695"/>
  <c r="H20" i="5695"/>
  <c r="C18" i="5695"/>
  <c r="B23" i="5695"/>
  <c r="H24" i="5695"/>
  <c r="H38" i="5695"/>
  <c r="H46" i="5695"/>
  <c r="H52" i="5695"/>
  <c r="H7" i="5695"/>
  <c r="H27" i="5695"/>
  <c r="H29" i="5695"/>
  <c r="H14" i="5695"/>
  <c r="C19" i="5695"/>
  <c r="H19" i="5695"/>
  <c r="H40" i="5695"/>
  <c r="H48" i="5695"/>
  <c r="H31" i="5695"/>
  <c r="H32" i="5695"/>
  <c r="H22" i="5695"/>
  <c r="H23" i="5695"/>
  <c r="H25" i="5695"/>
  <c r="H26" i="5695"/>
  <c r="H39" i="5695"/>
  <c r="H43" i="5695"/>
  <c r="H47" i="5695"/>
  <c r="H51" i="5695"/>
  <c r="H30" i="5695"/>
  <c r="H21" i="5695"/>
  <c r="H18" i="5695"/>
  <c r="H15" i="5695"/>
  <c r="H8" i="5695"/>
  <c r="H34" i="5695"/>
  <c r="H37" i="5695"/>
  <c r="H41" i="5695"/>
  <c r="H45" i="5695"/>
  <c r="H49" i="5695"/>
  <c r="H7" i="5691"/>
  <c r="H10" i="5693"/>
  <c r="C18" i="5693"/>
  <c r="H33" i="5693"/>
  <c r="H11" i="5693"/>
  <c r="H5" i="5693"/>
  <c r="H20" i="5693"/>
  <c r="B23" i="5693"/>
  <c r="H9" i="5693"/>
  <c r="H19" i="5693"/>
  <c r="H22" i="5693"/>
  <c r="H23" i="5693"/>
  <c r="C19" i="5693"/>
  <c r="H41" i="5693"/>
  <c r="H45" i="5693"/>
  <c r="H49" i="5693"/>
  <c r="H29" i="5693"/>
  <c r="H37" i="5693"/>
  <c r="H52" i="5693"/>
  <c r="H25" i="5693"/>
  <c r="H26" i="5693"/>
  <c r="H28" i="5693"/>
  <c r="H17" i="5693"/>
  <c r="H18" i="5693"/>
  <c r="H34" i="5693"/>
  <c r="H38" i="5693"/>
  <c r="H42" i="5693"/>
  <c r="H46" i="5693"/>
  <c r="H50" i="5693"/>
  <c r="H31" i="5693"/>
  <c r="H35" i="5693"/>
  <c r="H39" i="5693"/>
  <c r="H43" i="5693"/>
  <c r="H47" i="5693"/>
  <c r="H51" i="5693"/>
  <c r="H24" i="5693"/>
  <c r="H13" i="5693"/>
  <c r="H27" i="5693"/>
  <c r="H16" i="5693"/>
  <c r="H14" i="5693"/>
  <c r="H32" i="5693"/>
  <c r="H36" i="5693"/>
  <c r="H40" i="5693"/>
  <c r="H44" i="5693"/>
  <c r="H48" i="5693"/>
  <c r="H22" i="5691"/>
  <c r="H36" i="5691"/>
  <c r="H37" i="5691"/>
  <c r="H32" i="5691"/>
  <c r="H2" i="5691"/>
  <c r="H31" i="5691"/>
  <c r="C18" i="5691"/>
  <c r="H30" i="5691"/>
  <c r="H4" i="5691"/>
  <c r="H12" i="5691"/>
  <c r="H17" i="5691"/>
  <c r="H14" i="5691"/>
  <c r="H10" i="5691"/>
  <c r="H6" i="5691"/>
  <c r="H15" i="5691"/>
  <c r="H28" i="5691"/>
  <c r="H45" i="5691"/>
  <c r="H46" i="5691"/>
  <c r="H13" i="5691"/>
  <c r="H8" i="5691"/>
  <c r="H41" i="5691"/>
  <c r="H19" i="5691"/>
  <c r="H50" i="5691"/>
  <c r="H25" i="5691"/>
  <c r="H27" i="5691"/>
  <c r="H20" i="5691"/>
  <c r="H38" i="5691"/>
  <c r="H42" i="5691"/>
  <c r="H48" i="5691"/>
  <c r="H5" i="5691"/>
  <c r="H11" i="5691"/>
  <c r="H3" i="5691"/>
  <c r="C19" i="5691"/>
  <c r="H9" i="5691"/>
  <c r="H23" i="5691"/>
  <c r="H21" i="5691"/>
  <c r="C17" i="5691"/>
  <c r="H16" i="5691"/>
  <c r="B23" i="5691"/>
  <c r="H35" i="5691"/>
  <c r="H39" i="5691"/>
  <c r="H44" i="5691"/>
  <c r="H49" i="5691"/>
  <c r="H52" i="5691"/>
  <c r="H33" i="5691"/>
  <c r="H34" i="5691"/>
  <c r="H24" i="5691"/>
  <c r="H26" i="5691"/>
  <c r="H18" i="5691"/>
  <c r="H29" i="5691"/>
  <c r="H40" i="5691"/>
  <c r="H43" i="5691"/>
  <c r="H47" i="5691"/>
  <c r="H52" i="2228" l="1"/>
  <c r="H51" i="2228"/>
  <c r="H50" i="2228"/>
  <c r="H49" i="2228"/>
  <c r="H48" i="2228"/>
  <c r="H47" i="2228"/>
  <c r="H46" i="2228"/>
  <c r="H45" i="2228"/>
  <c r="H44" i="2228"/>
  <c r="H43" i="2228"/>
  <c r="H42" i="2228"/>
  <c r="H41" i="2228"/>
  <c r="H40" i="2228"/>
  <c r="H39" i="2228"/>
  <c r="H38" i="2228"/>
  <c r="H37" i="2228"/>
  <c r="H36" i="2228"/>
  <c r="H35" i="2228"/>
  <c r="H34" i="2228"/>
  <c r="H33" i="2228"/>
  <c r="H32" i="2228"/>
  <c r="H31" i="2228"/>
  <c r="H30" i="2228"/>
  <c r="H29" i="2228"/>
  <c r="H28" i="2228"/>
  <c r="H27" i="2228"/>
  <c r="C27" i="2228"/>
  <c r="H26" i="2228"/>
  <c r="H25" i="2228"/>
  <c r="H24" i="2228"/>
  <c r="B24" i="2228"/>
  <c r="H23" i="2228"/>
  <c r="B23" i="2228"/>
  <c r="H22" i="2228"/>
  <c r="H21" i="2228"/>
  <c r="H20" i="2228"/>
  <c r="C20" i="2228"/>
  <c r="H19" i="2228"/>
  <c r="C19" i="2228"/>
  <c r="H18" i="2228"/>
  <c r="C18" i="2228"/>
  <c r="H17" i="2228"/>
  <c r="C17" i="2228"/>
  <c r="B17" i="2228"/>
  <c r="H16" i="2228"/>
  <c r="C16" i="2228"/>
  <c r="H15" i="2228"/>
  <c r="C15" i="2228"/>
  <c r="H14" i="2228"/>
  <c r="C14" i="2228"/>
  <c r="H13" i="2228"/>
  <c r="C13" i="2228"/>
  <c r="O12" i="2228"/>
  <c r="H12" i="2228"/>
  <c r="C12" i="2228"/>
  <c r="O11" i="2228"/>
  <c r="H11" i="2228"/>
  <c r="C11" i="2228"/>
  <c r="O10" i="2228"/>
  <c r="H10" i="2228"/>
  <c r="C10" i="2228"/>
  <c r="H9" i="2228"/>
  <c r="C9" i="2228"/>
  <c r="H8" i="2228"/>
  <c r="C8" i="2228"/>
  <c r="O7" i="2228"/>
  <c r="H7" i="2228"/>
  <c r="C7" i="2228"/>
  <c r="O6" i="2228"/>
  <c r="H6" i="2228"/>
  <c r="B6" i="2228"/>
  <c r="O5" i="2228"/>
  <c r="H5" i="2228"/>
  <c r="B5" i="2228"/>
  <c r="O4" i="2228"/>
  <c r="H4" i="2228"/>
  <c r="O3" i="2228"/>
  <c r="H3" i="2228"/>
  <c r="O2" i="2228"/>
  <c r="H2" i="2228"/>
</calcChain>
</file>

<file path=xl/sharedStrings.xml><?xml version="1.0" encoding="utf-8"?>
<sst xmlns="http://schemas.openxmlformats.org/spreadsheetml/2006/main" count="2466" uniqueCount="214">
  <si>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</si>
  <si>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</si>
  <si>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</si>
  <si>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</si>
  <si>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</si>
  <si>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</si>
  <si>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</si>
  <si>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</si>
  <si>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</si>
  <si>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</si>
  <si>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</si>
  <si>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</si>
  <si>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</si>
  <si>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</si>
  <si>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平均放銃点</t>
    <rPh sb="2" eb="4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</si>
  <si>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</si>
  <si>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</si>
  <si>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</si>
  <si>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</si>
  <si>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</si>
  <si>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</si>
  <si>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</si>
  <si>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</si>
  <si>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</si>
  <si>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</si>
  <si>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</si>
  <si>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</si>
  <si>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</si>
  <si>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</si>
  <si>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</si>
  <si>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</si>
  <si>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</si>
  <si>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</si>
  <si>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</si>
  <si>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</si>
  <si>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</si>
  <si>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</si>
  <si>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</si>
  <si>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</si>
  <si>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</si>
  <si>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</si>
  <si>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</si>
  <si>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</si>
  <si>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</si>
  <si>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</si>
  <si>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</si>
  <si>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</si>
  <si>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</si>
  <si>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</si>
  <si>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</si>
  <si>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</si>
  <si>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</si>
  <si>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</si>
  <si>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</si>
  <si>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</si>
  <si>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</si>
  <si>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</si>
  <si>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</si>
  <si>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</si>
  <si>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</si>
  <si>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</si>
  <si>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</si>
  <si>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</si>
  <si>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</si>
  <si>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</si>
  <si>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</si>
  <si>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</si>
  <si>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</si>
  <si>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</si>
  <si>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</si>
  <si>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</si>
  <si>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</si>
  <si>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</si>
  <si>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</si>
  <si>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</si>
  <si>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</si>
  <si>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</si>
  <si>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</si>
  <si>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</si>
  <si>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</si>
  <si>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</si>
  <si>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</si>
  <si>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</si>
  <si>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</si>
  <si>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</si>
  <si>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</si>
  <si>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</si>
  <si>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</si>
  <si>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</si>
  <si>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</si>
  <si>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</si>
  <si>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</si>
  <si>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</si>
  <si>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</si>
  <si>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</si>
  <si>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</si>
  <si>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</si>
  <si>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</si>
  <si>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</si>
  <si>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</si>
  <si>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</si>
  <si>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</si>
  <si>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</si>
  <si>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</si>
  <si>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</si>
  <si>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</si>
  <si>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</si>
  <si>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</si>
  <si>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</si>
  <si>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</si>
  <si>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</si>
  <si>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</si>
  <si>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</si>
  <si>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</si>
  <si>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</si>
  <si>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</si>
  <si>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</si>
  <si>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</si>
  <si>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</si>
  <si>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</si>
  <si>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</si>
  <si>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</si>
  <si>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</si>
  <si>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</si>
  <si>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</si>
  <si>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</si>
  <si>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</si>
  <si>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だいち</t>
  </si>
  <si>
    <t>ただ</t>
  </si>
  <si>
    <t>Sheet1</t>
  </si>
  <si>
    <t>Sheet2</t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</si>
  <si>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</si>
  <si>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</si>
  <si>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</si>
  <si>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</si>
  <si>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</si>
  <si>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</si>
  <si>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</si>
  <si>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</si>
  <si>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ふっとばし</t>
    <phoneticPr fontId="1"/>
  </si>
  <si>
    <t>ふっとばし率</t>
    <rPh sb="5" eb="6">
      <t>リツ</t>
    </rPh>
    <phoneticPr fontId="1"/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</si>
  <si>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</si>
  <si>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</si>
  <si>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</si>
  <si>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全体</t>
  </si>
  <si>
    <t>放銃率</t>
    <rPh sb="0" eb="2">
      <t>ホウジュウ</t>
    </rPh>
    <rPh sb="2" eb="3">
      <t>リツ</t>
    </rPh>
    <phoneticPr fontId="1"/>
  </si>
  <si>
    <t>アガリ率</t>
    <rPh sb="3" eb="4">
      <t>リツ</t>
    </rPh>
    <phoneticPr fontId="1"/>
  </si>
  <si>
    <t>副露成功率</t>
    <rPh sb="0" eb="2">
      <t>フーロ</t>
    </rPh>
    <rPh sb="2" eb="4">
      <t>セイコウ</t>
    </rPh>
    <rPh sb="4" eb="5">
      <t>リツ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</si>
  <si>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</si>
  <si>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</si>
  <si>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</si>
  <si>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最大点数</t>
    <rPh sb="0" eb="2">
      <t>サイダイ</t>
    </rPh>
    <rPh sb="2" eb="4">
      <t>テンスウ</t>
    </rPh>
    <phoneticPr fontId="1"/>
  </si>
  <si>
    <t>最大点数</t>
    <rPh sb="2" eb="3">
      <t>テン</t>
    </rPh>
    <phoneticPr fontId="1"/>
  </si>
  <si>
    <t>順位</t>
    <rPh sb="0" eb="2">
      <t>ジュンイ</t>
    </rPh>
    <phoneticPr fontId="1"/>
  </si>
  <si>
    <t>相手</t>
    <rPh sb="0" eb="2">
      <t>アイテ</t>
    </rPh>
    <phoneticPr fontId="1"/>
  </si>
  <si>
    <t>スコア</t>
    <phoneticPr fontId="1"/>
  </si>
  <si>
    <t>回数</t>
    <rPh sb="0" eb="2">
      <t>カイスウ</t>
    </rPh>
    <phoneticPr fontId="1"/>
  </si>
  <si>
    <t>合計</t>
    <rPh sb="0" eb="2">
      <t>ゴウケイ</t>
    </rPh>
    <phoneticPr fontId="1"/>
  </si>
  <si>
    <t>合計</t>
    <rPh sb="0" eb="2">
      <t>ゴウケイ</t>
    </rPh>
    <phoneticPr fontId="1"/>
  </si>
  <si>
    <t>逆転</t>
    <rPh sb="0" eb="2">
      <t>ギャクテン</t>
    </rPh>
    <phoneticPr fontId="1"/>
  </si>
  <si>
    <t>相関</t>
    <rPh sb="0" eb="2">
      <t>ソウカン</t>
    </rPh>
    <phoneticPr fontId="1"/>
  </si>
  <si>
    <t>ラス率</t>
    <rPh sb="2" eb="3">
      <t>リツ</t>
    </rPh>
    <phoneticPr fontId="1"/>
  </si>
  <si>
    <t>起家</t>
    <rPh sb="0" eb="2">
      <t>チーチャ</t>
    </rPh>
    <phoneticPr fontId="1"/>
  </si>
  <si>
    <t>東家</t>
    <rPh sb="0" eb="2">
      <t>トンチャ</t>
    </rPh>
    <phoneticPr fontId="1"/>
  </si>
  <si>
    <t>南家</t>
    <rPh sb="0" eb="2">
      <t>ナンチャ</t>
    </rPh>
    <phoneticPr fontId="1"/>
  </si>
  <si>
    <t>西家</t>
    <rPh sb="0" eb="2">
      <t>シャーチャ</t>
    </rPh>
    <phoneticPr fontId="1"/>
  </si>
  <si>
    <t>コード</t>
    <phoneticPr fontId="1"/>
  </si>
  <si>
    <t>たかの</t>
  </si>
  <si>
    <t>51</t>
    <phoneticPr fontId="1"/>
  </si>
  <si>
    <t>オープン立直</t>
    <rPh sb="4" eb="6">
      <t>リーチ</t>
    </rPh>
    <phoneticPr fontId="1"/>
  </si>
  <si>
    <t>連続アガリ</t>
    <rPh sb="0" eb="2">
      <t>レンゾク</t>
    </rPh>
    <phoneticPr fontId="1"/>
  </si>
  <si>
    <t>連続無放銃</t>
    <rPh sb="0" eb="2">
      <t>レンゾク</t>
    </rPh>
    <rPh sb="2" eb="5">
      <t>ムホウジュウ</t>
    </rPh>
    <phoneticPr fontId="1"/>
  </si>
  <si>
    <t>52</t>
  </si>
  <si>
    <t>赤ドラ</t>
  </si>
  <si>
    <t>53</t>
    <phoneticPr fontId="1"/>
  </si>
  <si>
    <t>十三不塔</t>
    <rPh sb="0" eb="4">
      <t>シー</t>
    </rPh>
    <phoneticPr fontId="1"/>
  </si>
  <si>
    <t>2019-09-23@2.xlsm</t>
  </si>
  <si>
    <t>2019-09-25@2.xlsm</t>
  </si>
  <si>
    <t>れんたろう</t>
  </si>
  <si>
    <t>まっつん</t>
  </si>
  <si>
    <t>りくと</t>
  </si>
  <si>
    <t>2019-09-26@3.xlsm</t>
  </si>
  <si>
    <t>ぱぱ</t>
  </si>
  <si>
    <t>のり</t>
  </si>
  <si>
    <t>2019-09-27@2.xlsm</t>
  </si>
  <si>
    <t>Sheet3</t>
  </si>
  <si>
    <t>Sheet4</t>
  </si>
  <si>
    <t>Sheet5</t>
  </si>
  <si>
    <t>Sheet6</t>
  </si>
  <si>
    <t>2019-09-28@2.xlsm</t>
  </si>
  <si>
    <t>2019-09-29@AllStar.xlsm</t>
  </si>
  <si>
    <t>Sheet7</t>
  </si>
  <si>
    <t>Sheet8</t>
  </si>
  <si>
    <t>Sheet9</t>
  </si>
  <si>
    <t>Sheet10</t>
  </si>
  <si>
    <t>2019-09-30@3.xlsm</t>
  </si>
  <si>
    <t>ほたに</t>
  </si>
  <si>
    <t>2019-10-01@2.xlsm</t>
  </si>
  <si>
    <t>2019-09-30@2.xlsm</t>
  </si>
  <si>
    <t>2019-10-02@2.xlsm</t>
  </si>
  <si>
    <t>2019-10-03@2.xlsm</t>
  </si>
  <si>
    <t>2019-10-04@2.xlsm</t>
  </si>
  <si>
    <t>2019-10-03@3.xlsm</t>
  </si>
  <si>
    <t>2019-10-04@3.xlsm</t>
  </si>
  <si>
    <t>2019-10-05@2.xlsm</t>
  </si>
  <si>
    <t>2019-10-06@2.xlsm</t>
  </si>
  <si>
    <t>2019-10-06@3.xlsm</t>
  </si>
  <si>
    <t>2019-10-07@3.xlsm</t>
  </si>
  <si>
    <t>2019-10-08@1.xlsm</t>
  </si>
  <si>
    <t>2019-10-08@2.xlsm</t>
  </si>
  <si>
    <t>2019-10-09@2.xlsm</t>
  </si>
  <si>
    <t>2019-10-09@3.xlsm</t>
  </si>
  <si>
    <t>2019-10-11@2.xlsm</t>
  </si>
  <si>
    <t>2019-10-12@2.xlsm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</si>
</sst>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\ hh:mm"/>
    <numFmt numFmtId="181" formatCode="0\ &quot;個&quot;"/>
    <numFmt numFmtId="182" formatCode="0&quot;位&quot;"/>
    <numFmt numFmtId="183" formatCode="0\ &quot;位&quot;"/>
    <numFmt numFmtId="184" formatCode="\+0.00;\-0.00;\±0"/>
    <numFmt numFmtId="185" formatCode="\+0;\-0;\±0"/>
    <numFmt numFmtId="186" formatCode="0.0000"/>
    <numFmt numFmtId="187" formatCode="0.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6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</borders>
  <cellStyleXfs count="1">
    <xf numFmtId="0" fontId="0" fillId="0" borderId="0">
      <alignment vertical="center"/>
    </xf>
  </cellStyleXfs>
  <cellXfs count="164">
    <xf numFmtId="0" fontId="0" fillId="0" borderId="0" xfId="0">
      <alignment vertical="center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" fontId="2" fillId="0" borderId="5" xfId="0" applyNumberFormat="1" applyFon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1" fontId="0" fillId="0" borderId="14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14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0" fontId="0" fillId="0" borderId="0" xfId="0" applyNumberFormat="1" applyBorder="1" applyAlignment="1">
      <alignment horizontal="left" vertical="center"/>
    </xf>
    <xf numFmtId="176" fontId="0" fillId="0" borderId="4" xfId="0" applyNumberFormat="1" applyBorder="1" applyAlignment="1">
      <alignment horizontal="center" vertical="center" shrinkToFit="1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1" xfId="0" applyNumberFormat="1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" fontId="2" fillId="0" borderId="5" xfId="0" applyNumberFormat="1" applyFon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1" fontId="0" fillId="0" borderId="14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77" fontId="0" fillId="0" borderId="0" xfId="0" applyNumberFormat="1" applyAlignment="1">
      <alignment horizontal="center" vertical="center" shrinkToFit="1"/>
    </xf>
    <xf numFmtId="179" fontId="0" fillId="0" borderId="0" xfId="0" applyNumberFormat="1" applyAlignment="1">
      <alignment horizontal="center" vertical="center" shrinkToFit="1"/>
    </xf>
    <xf numFmtId="1" fontId="0" fillId="0" borderId="0" xfId="0" applyNumberFormat="1" applyAlignment="1">
      <alignment horizontal="center" vertical="center" shrinkToFit="1"/>
    </xf>
    <xf numFmtId="176" fontId="0" fillId="0" borderId="0" xfId="0" applyNumberFormat="1" applyAlignment="1">
      <alignment horizontal="center" vertical="center" shrinkToFit="1"/>
    </xf>
    <xf numFmtId="0" fontId="0" fillId="0" borderId="0" xfId="0" applyNumberFormat="1" applyAlignment="1">
      <alignment horizontal="center" vertical="center" shrinkToFit="1"/>
    </xf>
    <xf numFmtId="178" fontId="0" fillId="0" borderId="0" xfId="0" applyNumberFormat="1" applyAlignment="1">
      <alignment horizontal="center" vertical="center" shrinkToFit="1"/>
    </xf>
    <xf numFmtId="182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2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2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3" fontId="0" fillId="0" borderId="6" xfId="0" applyNumberFormat="1" applyBorder="1" applyAlignment="1">
      <alignment horizontal="center" vertical="center" shrinkToFit="1"/>
    </xf>
    <xf numFmtId="183" fontId="0" fillId="0" borderId="3" xfId="0" applyNumberFormat="1" applyBorder="1" applyAlignment="1">
      <alignment horizontal="center" vertical="center" shrinkToFit="1"/>
    </xf>
    <xf numFmtId="183" fontId="0" fillId="0" borderId="5" xfId="0" applyNumberFormat="1" applyBorder="1" applyAlignment="1">
      <alignment horizontal="center" vertical="center" shrinkToFit="1"/>
    </xf>
    <xf numFmtId="184" fontId="0" fillId="0" borderId="32" xfId="0" applyNumberFormat="1" applyBorder="1" applyAlignment="1">
      <alignment horizontal="center" vertical="center" shrinkToFit="1"/>
    </xf>
    <xf numFmtId="184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2" fillId="0" borderId="48" xfId="0" applyFont="1" applyBorder="1" applyAlignment="1">
      <alignment horizontal="center" vertical="center" shrinkToFit="1"/>
    </xf>
    <xf numFmtId="1" fontId="2" fillId="0" borderId="49" xfId="0" applyNumberFormat="1" applyFont="1" applyBorder="1" applyAlignment="1">
      <alignment horizontal="center" vertical="center" shrinkToFit="1"/>
    </xf>
    <xf numFmtId="1" fontId="2" fillId="0" borderId="50" xfId="0" applyNumberFormat="1" applyFont="1" applyBorder="1" applyAlignment="1">
      <alignment horizontal="center" vertical="center" shrinkToFit="1"/>
    </xf>
    <xf numFmtId="1" fontId="2" fillId="0" borderId="51" xfId="0" applyNumberFormat="1" applyFon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0" fontId="3" fillId="0" borderId="49" xfId="0" applyFont="1" applyBorder="1" applyAlignment="1">
      <alignment horizontal="center" vertical="center" shrinkToFit="1"/>
    </xf>
    <xf numFmtId="0" fontId="3" fillId="0" borderId="50" xfId="0" applyFont="1" applyBorder="1" applyAlignment="1">
      <alignment horizontal="center" vertical="center" shrinkToFit="1"/>
    </xf>
    <xf numFmtId="0" fontId="3" fillId="0" borderId="51" xfId="0" applyFont="1" applyBorder="1" applyAlignment="1">
      <alignment horizontal="center" vertical="center" shrinkToFit="1"/>
    </xf>
    <xf numFmtId="1" fontId="2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176" fontId="4" fillId="0" borderId="0" xfId="0" applyNumberFormat="1" applyFont="1" applyBorder="1" applyAlignment="1">
      <alignment horizontal="center" vertical="center" shrinkToFit="1"/>
    </xf>
    <xf numFmtId="0" fontId="4" fillId="0" borderId="0" xfId="0" applyNumberFormat="1" applyFont="1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4" fillId="0" borderId="40" xfId="0" applyNumberFormat="1" applyFont="1" applyBorder="1" applyAlignment="1">
      <alignment horizontal="center" vertical="center" shrinkToFit="1"/>
    </xf>
    <xf numFmtId="176" fontId="4" fillId="0" borderId="41" xfId="0" applyNumberFormat="1" applyFont="1" applyBorder="1" applyAlignment="1">
      <alignment horizontal="center" vertical="center" shrinkToFit="1"/>
    </xf>
    <xf numFmtId="176" fontId="4" fillId="0" borderId="42" xfId="0" applyNumberFormat="1" applyFont="1" applyBorder="1" applyAlignment="1">
      <alignment horizontal="center" vertical="center" shrinkToFit="1"/>
    </xf>
    <xf numFmtId="176" fontId="4" fillId="0" borderId="43" xfId="0" applyNumberFormat="1" applyFon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4" fontId="0" fillId="0" borderId="1" xfId="0" applyNumberFormat="1" applyBorder="1" applyAlignment="1">
      <alignment horizontal="center" vertical="center" shrinkToFit="1"/>
    </xf>
    <xf numFmtId="184" fontId="0" fillId="0" borderId="2" xfId="0" applyNumberFormat="1" applyBorder="1" applyAlignment="1">
      <alignment horizontal="center" vertical="center" shrinkToFit="1"/>
    </xf>
    <xf numFmtId="184" fontId="0" fillId="0" borderId="4" xfId="0" applyNumberFormat="1" applyBorder="1" applyAlignment="1">
      <alignment horizontal="center" vertical="center" shrinkToFit="1"/>
    </xf>
    <xf numFmtId="185" fontId="0" fillId="0" borderId="40" xfId="0" applyNumberFormat="1" applyBorder="1" applyAlignment="1">
      <alignment horizontal="center" vertical="center" shrinkToFit="1"/>
    </xf>
    <xf numFmtId="49" fontId="4" fillId="0" borderId="0" xfId="0" applyNumberFormat="1" applyFont="1" applyBorder="1" applyAlignment="1">
      <alignment horizontal="center" vertical="center" shrinkToFit="1"/>
    </xf>
    <xf numFmtId="0" fontId="3" fillId="0" borderId="10" xfId="0" applyNumberFormat="1" applyFon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87" fontId="0" fillId="0" borderId="0" xfId="0" applyNumberFormat="1" applyBorder="1" applyAlignment="1">
      <alignment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2" fillId="0" borderId="3" xfId="0" applyNumberFormat="1" applyFont="1" applyBorder="1" applyAlignment="1">
      <alignment horizontal="center" vertical="center" shrinkToFit="1"/>
    </xf>
    <xf numFmtId="49" fontId="3" fillId="0" borderId="54" xfId="0" applyNumberFormat="1" applyFont="1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10" fontId="0" fillId="0" borderId="55" xfId="0" applyNumberFormat="1" applyBorder="1" applyAlignment="1">
      <alignment horizontal="center" vertical="center" shrinkToFit="1"/>
    </xf>
    <xf numFmtId="183" fontId="0" fillId="0" borderId="7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181" fontId="0" fillId="0" borderId="23" xfId="0" applyNumberFormat="1" applyBorder="1" applyAlignment="1">
      <alignment horizontal="center" vertical="center" shrinkToFit="1"/>
    </xf>
    <xf numFmtId="181" fontId="0" fillId="0" borderId="24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4" fontId="0" fillId="0" borderId="25" xfId="0" applyNumberFormat="1" applyBorder="1" applyAlignment="1">
      <alignment horizontal="center" vertical="center" shrinkToFit="1"/>
    </xf>
    <xf numFmtId="184" fontId="0" fillId="0" borderId="26" xfId="0" applyNumberForma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186" fontId="0" fillId="0" borderId="38" xfId="0" applyNumberFormat="1" applyBorder="1" applyAlignment="1">
      <alignment horizontal="center" vertical="center" shrinkToFit="1"/>
    </xf>
    <xf numFmtId="186" fontId="0" fillId="0" borderId="39" xfId="0" applyNumberFormat="1" applyBorder="1" applyAlignment="1">
      <alignment horizontal="center" vertical="center" shrinkToFit="1"/>
    </xf>
    <xf numFmtId="186" fontId="0" fillId="0" borderId="29" xfId="0" applyNumberFormat="1" applyBorder="1" applyAlignment="1">
      <alignment horizontal="center" vertical="center" shrinkToFit="1"/>
    </xf>
    <xf numFmtId="186" fontId="0" fillId="0" borderId="30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hartsheet" Target="chartsheets/sheet1.xml"/><Relationship Id="rId39" Type="http://schemas.openxmlformats.org/officeDocument/2006/relationships/chartsheet" Target="chartsheets/sheet14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hartsheet" Target="chartsheets/sheet9.xml"/><Relationship Id="rId42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hartsheet" Target="chartsheets/sheet8.xml"/><Relationship Id="rId38" Type="http://schemas.openxmlformats.org/officeDocument/2006/relationships/chartsheet" Target="chartsheets/sheet13.xml"/><Relationship Id="rId46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hartsheet" Target="chartsheets/sheet4.xml"/><Relationship Id="rId41" Type="http://schemas.openxmlformats.org/officeDocument/2006/relationships/chartsheet" Target="chartsheets/sheet1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hartsheet" Target="chartsheets/sheet7.xml"/><Relationship Id="rId37" Type="http://schemas.openxmlformats.org/officeDocument/2006/relationships/chartsheet" Target="chartsheets/sheet12.xml"/><Relationship Id="rId40" Type="http://schemas.openxmlformats.org/officeDocument/2006/relationships/chartsheet" Target="chartsheets/sheet15.xml"/><Relationship Id="rId45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hartsheet" Target="chartsheets/sheet3.xml"/><Relationship Id="rId36" Type="http://schemas.openxmlformats.org/officeDocument/2006/relationships/chartsheet" Target="chartsheets/sheet1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hartsheet" Target="chartsheets/sheet6.xml"/><Relationship Id="rId44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chartsheet" Target="chartsheets/sheet2.xml"/><Relationship Id="rId30" Type="http://schemas.openxmlformats.org/officeDocument/2006/relationships/chartsheet" Target="chartsheets/sheet5.xml"/><Relationship Id="rId35" Type="http://schemas.openxmlformats.org/officeDocument/2006/relationships/chartsheet" Target="chartsheets/sheet10.xml"/><Relationship Id="rId43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Template1!$L$2:$L$9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Template1!$O$1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Template1!$N$2:$N$7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Template1!$O$2:$O$7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全体!$K$2:$K$227</c:f>
              <c:numCache>
                <c:formatCode>General</c:formatCode>
                <c:ptCount val="2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</c:numCache>
            </c:numRef>
          </c:xVal>
          <c:yVal>
            <c:numRef>
              <c:f>全体!$L$2:$L$227</c:f>
              <c:numCache>
                <c:formatCode>\+0.0;\-0.0;\±0</c:formatCode>
                <c:ptCount val="226"/>
                <c:pt idx="0">
                  <c:v>0</c:v>
                </c:pt>
                <c:pt idx="1">
                  <c:v>-4.5999999999999996</c:v>
                </c:pt>
                <c:pt idx="2">
                  <c:v>45.6</c:v>
                </c:pt>
                <c:pt idx="3">
                  <c:v>0</c:v>
                </c:pt>
                <c:pt idx="4">
                  <c:v>24.5</c:v>
                </c:pt>
                <c:pt idx="5">
                  <c:v>-11.299999999999997</c:v>
                </c:pt>
                <c:pt idx="6">
                  <c:v>3.5527136788005009E-15</c:v>
                </c:pt>
                <c:pt idx="7">
                  <c:v>-37.799999999999997</c:v>
                </c:pt>
                <c:pt idx="8">
                  <c:v>-46.9</c:v>
                </c:pt>
                <c:pt idx="9">
                  <c:v>0</c:v>
                </c:pt>
                <c:pt idx="10">
                  <c:v>-12</c:v>
                </c:pt>
                <c:pt idx="11">
                  <c:v>58.2</c:v>
                </c:pt>
                <c:pt idx="12">
                  <c:v>0</c:v>
                </c:pt>
                <c:pt idx="13">
                  <c:v>-1.7</c:v>
                </c:pt>
                <c:pt idx="14">
                  <c:v>24.3</c:v>
                </c:pt>
                <c:pt idx="15">
                  <c:v>0</c:v>
                </c:pt>
                <c:pt idx="16">
                  <c:v>-28.2</c:v>
                </c:pt>
                <c:pt idx="17">
                  <c:v>-20.5</c:v>
                </c:pt>
                <c:pt idx="18">
                  <c:v>0</c:v>
                </c:pt>
                <c:pt idx="19">
                  <c:v>-22.4</c:v>
                </c:pt>
                <c:pt idx="20">
                  <c:v>-61.199999999999996</c:v>
                </c:pt>
                <c:pt idx="21">
                  <c:v>7.1054273576010019E-15</c:v>
                </c:pt>
                <c:pt idx="22">
                  <c:v>-25.099999999999994</c:v>
                </c:pt>
                <c:pt idx="23">
                  <c:v>-26.799999999999994</c:v>
                </c:pt>
                <c:pt idx="24">
                  <c:v>7.1054273576010019E-15</c:v>
                </c:pt>
                <c:pt idx="25">
                  <c:v>15.000000000000007</c:v>
                </c:pt>
                <c:pt idx="26">
                  <c:v>0.60000000000000675</c:v>
                </c:pt>
                <c:pt idx="27">
                  <c:v>6.7723604502134549E-15</c:v>
                </c:pt>
                <c:pt idx="28">
                  <c:v>-30.199999999999992</c:v>
                </c:pt>
                <c:pt idx="29">
                  <c:v>-2.3999999999999915</c:v>
                </c:pt>
                <c:pt idx="30">
                  <c:v>8.4376949871511897E-15</c:v>
                </c:pt>
                <c:pt idx="31">
                  <c:v>12.500000000000009</c:v>
                </c:pt>
                <c:pt idx="32">
                  <c:v>47.300000000000004</c:v>
                </c:pt>
                <c:pt idx="33">
                  <c:v>7.1054273576010019E-15</c:v>
                </c:pt>
                <c:pt idx="34">
                  <c:v>-5.8999999999999932</c:v>
                </c:pt>
                <c:pt idx="35">
                  <c:v>26.900000000000006</c:v>
                </c:pt>
                <c:pt idx="36">
                  <c:v>7.1054273576010019E-15</c:v>
                </c:pt>
                <c:pt idx="37">
                  <c:v>17.400000000000006</c:v>
                </c:pt>
                <c:pt idx="38">
                  <c:v>-5.2999999999999936</c:v>
                </c:pt>
                <c:pt idx="39">
                  <c:v>6.2172489379008766E-15</c:v>
                </c:pt>
                <c:pt idx="40">
                  <c:v>10.300000000000008</c:v>
                </c:pt>
                <c:pt idx="41">
                  <c:v>-26.999999999999989</c:v>
                </c:pt>
                <c:pt idx="42">
                  <c:v>1.0658141036401503E-14</c:v>
                </c:pt>
                <c:pt idx="43">
                  <c:v>-20.899999999999988</c:v>
                </c:pt>
                <c:pt idx="44">
                  <c:v>0.30000000000001137</c:v>
                </c:pt>
                <c:pt idx="45">
                  <c:v>1.1379786002407855E-14</c:v>
                </c:pt>
                <c:pt idx="46">
                  <c:v>2.2000000000000117</c:v>
                </c:pt>
                <c:pt idx="47">
                  <c:v>-21.499999999999986</c:v>
                </c:pt>
                <c:pt idx="48">
                  <c:v>1.4210854715202004E-14</c:v>
                </c:pt>
                <c:pt idx="49">
                  <c:v>-51.599999999999987</c:v>
                </c:pt>
                <c:pt idx="50">
                  <c:v>-33.699999999999989</c:v>
                </c:pt>
                <c:pt idx="51">
                  <c:v>1.4210854715202004E-14</c:v>
                </c:pt>
                <c:pt idx="52">
                  <c:v>-5.8999999999999861</c:v>
                </c:pt>
                <c:pt idx="53">
                  <c:v>-29.399999999999984</c:v>
                </c:pt>
                <c:pt idx="54">
                  <c:v>1.4210854715202004E-14</c:v>
                </c:pt>
                <c:pt idx="55">
                  <c:v>-42.999999999999986</c:v>
                </c:pt>
                <c:pt idx="56">
                  <c:v>-54.199999999999989</c:v>
                </c:pt>
                <c:pt idx="57">
                  <c:v>1.4210854715202004E-14</c:v>
                </c:pt>
                <c:pt idx="58">
                  <c:v>7.6000000000000139</c:v>
                </c:pt>
                <c:pt idx="59">
                  <c:v>-35.399999999999984</c:v>
                </c:pt>
                <c:pt idx="60">
                  <c:v>1.4210854715202004E-14</c:v>
                </c:pt>
                <c:pt idx="61">
                  <c:v>66.800000000000011</c:v>
                </c:pt>
                <c:pt idx="62">
                  <c:v>6.7000000000000099</c:v>
                </c:pt>
                <c:pt idx="63">
                  <c:v>9.7699626167013776E-15</c:v>
                </c:pt>
                <c:pt idx="64">
                  <c:v>-49.499999999999993</c:v>
                </c:pt>
                <c:pt idx="65">
                  <c:v>-30.799999999999994</c:v>
                </c:pt>
                <c:pt idx="66">
                  <c:v>7.1054273576010019E-15</c:v>
                </c:pt>
                <c:pt idx="67">
                  <c:v>66.400000000000006</c:v>
                </c:pt>
                <c:pt idx="68">
                  <c:v>17.700000000000003</c:v>
                </c:pt>
                <c:pt idx="69">
                  <c:v>3.5527136788005009E-15</c:v>
                </c:pt>
                <c:pt idx="70">
                  <c:v>17.700000000000003</c:v>
                </c:pt>
                <c:pt idx="71">
                  <c:v>-28.799999999999997</c:v>
                </c:pt>
                <c:pt idx="72">
                  <c:v>3.5527136788005009E-15</c:v>
                </c:pt>
                <c:pt idx="73">
                  <c:v>7.5000000000000036</c:v>
                </c:pt>
                <c:pt idx="74">
                  <c:v>28.600000000000005</c:v>
                </c:pt>
                <c:pt idx="75">
                  <c:v>3.5527136788005009E-15</c:v>
                </c:pt>
                <c:pt idx="76">
                  <c:v>39.5</c:v>
                </c:pt>
                <c:pt idx="77">
                  <c:v>-7</c:v>
                </c:pt>
                <c:pt idx="78">
                  <c:v>0</c:v>
                </c:pt>
                <c:pt idx="79">
                  <c:v>-45.1</c:v>
                </c:pt>
                <c:pt idx="80">
                  <c:v>-39.200000000000003</c:v>
                </c:pt>
                <c:pt idx="81">
                  <c:v>0</c:v>
                </c:pt>
                <c:pt idx="82">
                  <c:v>17.7</c:v>
                </c:pt>
                <c:pt idx="83">
                  <c:v>-28.8</c:v>
                </c:pt>
                <c:pt idx="84">
                  <c:v>0</c:v>
                </c:pt>
                <c:pt idx="85">
                  <c:v>42.9</c:v>
                </c:pt>
                <c:pt idx="86">
                  <c:v>-0.80000000000000426</c:v>
                </c:pt>
                <c:pt idx="87">
                  <c:v>-4.2188474935755949E-15</c:v>
                </c:pt>
                <c:pt idx="88">
                  <c:v>-58.000000000000007</c:v>
                </c:pt>
                <c:pt idx="89">
                  <c:v>-7.1054273576010019E-15</c:v>
                </c:pt>
                <c:pt idx="90">
                  <c:v>-7.1054273576010019E-15</c:v>
                </c:pt>
                <c:pt idx="91">
                  <c:v>-26.400000000000006</c:v>
                </c:pt>
                <c:pt idx="92">
                  <c:v>-26.900000000000006</c:v>
                </c:pt>
                <c:pt idx="93">
                  <c:v>-7.1054273576010019E-15</c:v>
                </c:pt>
                <c:pt idx="94">
                  <c:v>-34.900000000000006</c:v>
                </c:pt>
                <c:pt idx="95">
                  <c:v>-8.100000000000005</c:v>
                </c:pt>
                <c:pt idx="96">
                  <c:v>-5.3290705182007514E-15</c:v>
                </c:pt>
                <c:pt idx="97">
                  <c:v>34.29999999999999</c:v>
                </c:pt>
                <c:pt idx="98">
                  <c:v>31.499999999999989</c:v>
                </c:pt>
                <c:pt idx="99">
                  <c:v>-1.0658141036401503E-14</c:v>
                </c:pt>
                <c:pt idx="100">
                  <c:v>34.499999999999986</c:v>
                </c:pt>
                <c:pt idx="101">
                  <c:v>46.899999999999984</c:v>
                </c:pt>
                <c:pt idx="102">
                  <c:v>-1.4210854715202004E-14</c:v>
                </c:pt>
                <c:pt idx="103">
                  <c:v>-49.400000000000013</c:v>
                </c:pt>
                <c:pt idx="104">
                  <c:v>-18.000000000000014</c:v>
                </c:pt>
                <c:pt idx="105">
                  <c:v>-1.4210854715202004E-14</c:v>
                </c:pt>
                <c:pt idx="106">
                  <c:v>-10.800000000000015</c:v>
                </c:pt>
                <c:pt idx="107">
                  <c:v>-56.90000000000002</c:v>
                </c:pt>
                <c:pt idx="108">
                  <c:v>-2.1316282072803006E-14</c:v>
                </c:pt>
                <c:pt idx="109">
                  <c:v>7.6999999999999789</c:v>
                </c:pt>
                <c:pt idx="110">
                  <c:v>-22.700000000000021</c:v>
                </c:pt>
                <c:pt idx="111">
                  <c:v>-2.1316282072803006E-14</c:v>
                </c:pt>
                <c:pt idx="112">
                  <c:v>2.4999999999999787</c:v>
                </c:pt>
                <c:pt idx="113">
                  <c:v>23.999999999999979</c:v>
                </c:pt>
                <c:pt idx="114">
                  <c:v>-2.1316282072803006E-14</c:v>
                </c:pt>
                <c:pt idx="115">
                  <c:v>33.09999999999998</c:v>
                </c:pt>
                <c:pt idx="116">
                  <c:v>6.6999999999999815</c:v>
                </c:pt>
                <c:pt idx="117">
                  <c:v>-1.865174681370263E-14</c:v>
                </c:pt>
                <c:pt idx="118">
                  <c:v>-44.200000000000024</c:v>
                </c:pt>
                <c:pt idx="119">
                  <c:v>-30.800000000000026</c:v>
                </c:pt>
                <c:pt idx="120">
                  <c:v>-2.4868995751603507E-14</c:v>
                </c:pt>
                <c:pt idx="121">
                  <c:v>-55.800000000000026</c:v>
                </c:pt>
                <c:pt idx="122">
                  <c:v>-50.500000000000028</c:v>
                </c:pt>
                <c:pt idx="123">
                  <c:v>-2.8421709430404007E-14</c:v>
                </c:pt>
                <c:pt idx="124">
                  <c:v>31.699999999999971</c:v>
                </c:pt>
                <c:pt idx="125">
                  <c:v>-8.6000000000000263</c:v>
                </c:pt>
                <c:pt idx="126">
                  <c:v>-2.6645352591003757E-14</c:v>
                </c:pt>
                <c:pt idx="127">
                  <c:v>-3.4000000000000266</c:v>
                </c:pt>
                <c:pt idx="128">
                  <c:v>-24.700000000000028</c:v>
                </c:pt>
                <c:pt idx="129">
                  <c:v>-2.8421709430404007E-14</c:v>
                </c:pt>
                <c:pt idx="130">
                  <c:v>-16.700000000000028</c:v>
                </c:pt>
                <c:pt idx="131">
                  <c:v>-15.100000000000028</c:v>
                </c:pt>
                <c:pt idx="132">
                  <c:v>-2.8421709430404007E-14</c:v>
                </c:pt>
                <c:pt idx="133">
                  <c:v>-2.8000000000000282</c:v>
                </c:pt>
                <c:pt idx="134">
                  <c:v>14.099999999999969</c:v>
                </c:pt>
                <c:pt idx="135">
                  <c:v>-3.0198066269804258E-14</c:v>
                </c:pt>
                <c:pt idx="136">
                  <c:v>-43.800000000000026</c:v>
                </c:pt>
                <c:pt idx="137">
                  <c:v>6.1999999999999744</c:v>
                </c:pt>
                <c:pt idx="138">
                  <c:v>-2.5757174171303632E-14</c:v>
                </c:pt>
                <c:pt idx="139">
                  <c:v>-35.300000000000026</c:v>
                </c:pt>
                <c:pt idx="140">
                  <c:v>7.2999999999999758</c:v>
                </c:pt>
                <c:pt idx="141">
                  <c:v>-2.3980817331903381E-14</c:v>
                </c:pt>
                <c:pt idx="142">
                  <c:v>60.09999999999998</c:v>
                </c:pt>
                <c:pt idx="143">
                  <c:v>50.399999999999977</c:v>
                </c:pt>
                <c:pt idx="144">
                  <c:v>-2.1316282072803006E-14</c:v>
                </c:pt>
                <c:pt idx="145">
                  <c:v>-53.100000000000023</c:v>
                </c:pt>
                <c:pt idx="146">
                  <c:v>-53.200000000000024</c:v>
                </c:pt>
                <c:pt idx="147">
                  <c:v>-2.1316282072803006E-14</c:v>
                </c:pt>
                <c:pt idx="148">
                  <c:v>-21.90000000000002</c:v>
                </c:pt>
                <c:pt idx="149">
                  <c:v>7.9999999999999787</c:v>
                </c:pt>
                <c:pt idx="150">
                  <c:v>-2.1316282072803006E-14</c:v>
                </c:pt>
                <c:pt idx="151">
                  <c:v>45.899999999999977</c:v>
                </c:pt>
                <c:pt idx="152">
                  <c:v>45.699999999999974</c:v>
                </c:pt>
                <c:pt idx="153">
                  <c:v>-2.8421709430404007E-14</c:v>
                </c:pt>
                <c:pt idx="154">
                  <c:v>-27.10000000000003</c:v>
                </c:pt>
                <c:pt idx="155">
                  <c:v>-5.8000000000000291</c:v>
                </c:pt>
                <c:pt idx="156">
                  <c:v>-2.9309887850104133E-14</c:v>
                </c:pt>
                <c:pt idx="157">
                  <c:v>11.39999999999997</c:v>
                </c:pt>
                <c:pt idx="158">
                  <c:v>-25.300000000000033</c:v>
                </c:pt>
                <c:pt idx="159">
                  <c:v>-3.1974423109204508E-14</c:v>
                </c:pt>
                <c:pt idx="160">
                  <c:v>21.999999999999968</c:v>
                </c:pt>
                <c:pt idx="161">
                  <c:v>16.599999999999966</c:v>
                </c:pt>
                <c:pt idx="162">
                  <c:v>-3.5527136788005009E-14</c:v>
                </c:pt>
                <c:pt idx="163">
                  <c:v>40.399999999999963</c:v>
                </c:pt>
                <c:pt idx="164">
                  <c:v>45.799999999999962</c:v>
                </c:pt>
                <c:pt idx="165">
                  <c:v>-3.5527136788005009E-14</c:v>
                </c:pt>
                <c:pt idx="166">
                  <c:v>-32.600000000000037</c:v>
                </c:pt>
                <c:pt idx="167">
                  <c:v>-47.900000000000034</c:v>
                </c:pt>
                <c:pt idx="168">
                  <c:v>-3.5527136788005009E-14</c:v>
                </c:pt>
                <c:pt idx="169">
                  <c:v>1.9999999999999645</c:v>
                </c:pt>
                <c:pt idx="170">
                  <c:v>14.999999999999964</c:v>
                </c:pt>
                <c:pt idx="171">
                  <c:v>-3.5527136788005009E-14</c:v>
                </c:pt>
                <c:pt idx="172">
                  <c:v>-0.50000000000003553</c:v>
                </c:pt>
                <c:pt idx="173">
                  <c:v>34.899999999999963</c:v>
                </c:pt>
                <c:pt idx="174">
                  <c:v>-3.5527136788005009E-14</c:v>
                </c:pt>
                <c:pt idx="175">
                  <c:v>4.8999999999999648</c:v>
                </c:pt>
                <c:pt idx="176">
                  <c:v>49.19999999999996</c:v>
                </c:pt>
                <c:pt idx="177">
                  <c:v>-4.2632564145606011E-14</c:v>
                </c:pt>
                <c:pt idx="178">
                  <c:v>-31.300000000000043</c:v>
                </c:pt>
                <c:pt idx="179">
                  <c:v>-25.300000000000043</c:v>
                </c:pt>
                <c:pt idx="180">
                  <c:v>-4.2632564145606011E-14</c:v>
                </c:pt>
                <c:pt idx="181">
                  <c:v>-23.900000000000041</c:v>
                </c:pt>
                <c:pt idx="182">
                  <c:v>-22.000000000000043</c:v>
                </c:pt>
                <c:pt idx="183">
                  <c:v>-4.2632564145606011E-14</c:v>
                </c:pt>
                <c:pt idx="184">
                  <c:v>-1.9000000000000425</c:v>
                </c:pt>
                <c:pt idx="185">
                  <c:v>36.799999999999962</c:v>
                </c:pt>
                <c:pt idx="186">
                  <c:v>-3.5527136788005009E-14</c:v>
                </c:pt>
                <c:pt idx="187">
                  <c:v>-40.700000000000038</c:v>
                </c:pt>
                <c:pt idx="188">
                  <c:v>-33.400000000000041</c:v>
                </c:pt>
                <c:pt idx="189">
                  <c:v>-4.2632564145606011E-14</c:v>
                </c:pt>
                <c:pt idx="190">
                  <c:v>-30.500000000000043</c:v>
                </c:pt>
                <c:pt idx="191">
                  <c:v>0.29999999999995808</c:v>
                </c:pt>
                <c:pt idx="192">
                  <c:v>-4.1910919179599659E-14</c:v>
                </c:pt>
                <c:pt idx="193">
                  <c:v>52.099999999999959</c:v>
                </c:pt>
                <c:pt idx="194">
                  <c:v>49.299999999999962</c:v>
                </c:pt>
                <c:pt idx="195">
                  <c:v>-3.5527136788005009E-14</c:v>
                </c:pt>
                <c:pt idx="196">
                  <c:v>-5.6000000000000352</c:v>
                </c:pt>
                <c:pt idx="197">
                  <c:v>-28.200000000000038</c:v>
                </c:pt>
                <c:pt idx="198">
                  <c:v>-3.907985046680551E-14</c:v>
                </c:pt>
                <c:pt idx="199">
                  <c:v>-22.000000000000039</c:v>
                </c:pt>
                <c:pt idx="200">
                  <c:v>-20.900000000000038</c:v>
                </c:pt>
                <c:pt idx="201">
                  <c:v>-3.907985046680551E-14</c:v>
                </c:pt>
                <c:pt idx="202">
                  <c:v>-1.0000000000000391</c:v>
                </c:pt>
                <c:pt idx="203">
                  <c:v>18.399999999999959</c:v>
                </c:pt>
                <c:pt idx="204">
                  <c:v>-3.907985046680551E-14</c:v>
                </c:pt>
                <c:pt idx="205">
                  <c:v>-47.200000000000045</c:v>
                </c:pt>
                <c:pt idx="206">
                  <c:v>-56.700000000000045</c:v>
                </c:pt>
                <c:pt idx="207">
                  <c:v>-4.2632564145606011E-14</c:v>
                </c:pt>
                <c:pt idx="208">
                  <c:v>-45.500000000000043</c:v>
                </c:pt>
                <c:pt idx="209">
                  <c:v>-7.4000000000000412</c:v>
                </c:pt>
                <c:pt idx="210">
                  <c:v>-4.0856207306205761E-14</c:v>
                </c:pt>
                <c:pt idx="211">
                  <c:v>-31.80000000000004</c:v>
                </c:pt>
                <c:pt idx="212">
                  <c:v>-26.30000000000004</c:v>
                </c:pt>
                <c:pt idx="213">
                  <c:v>-3.907985046680551E-14</c:v>
                </c:pt>
                <c:pt idx="214">
                  <c:v>22.999999999999961</c:v>
                </c:pt>
                <c:pt idx="215">
                  <c:v>22.599999999999962</c:v>
                </c:pt>
                <c:pt idx="216">
                  <c:v>-3.907985046680551E-14</c:v>
                </c:pt>
                <c:pt idx="217">
                  <c:v>-18.700000000000038</c:v>
                </c:pt>
                <c:pt idx="218">
                  <c:v>31.399999999999963</c:v>
                </c:pt>
                <c:pt idx="219">
                  <c:v>-3.5527136788005009E-14</c:v>
                </c:pt>
                <c:pt idx="220">
                  <c:v>11.499999999999964</c:v>
                </c:pt>
                <c:pt idx="221">
                  <c:v>-1.3000000000000362</c:v>
                </c:pt>
                <c:pt idx="222">
                  <c:v>-3.6193270602780103E-14</c:v>
                </c:pt>
                <c:pt idx="223">
                  <c:v>-41.100000000000037</c:v>
                </c:pt>
                <c:pt idx="224">
                  <c:v>-1.0000000000000355</c:v>
                </c:pt>
                <c:pt idx="225">
                  <c:v>-3.5527136788005009E-14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8C2-4C39-8604-6BDCF7C83B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全体!$O$2:$O$7</c:f>
              <c:numCache>
                <c:formatCode>\+0;\-0;\±0</c:formatCode>
                <c:ptCount val="6"/>
                <c:pt idx="0">
                  <c:v>-22.522522522522522</c:v>
                </c:pt>
                <c:pt idx="1">
                  <c:v>18.518518518518519</c:v>
                </c:pt>
                <c:pt idx="2">
                  <c:v>-28.169014084507044</c:v>
                </c:pt>
                <c:pt idx="3">
                  <c:v>19.900497512437809</c:v>
                </c:pt>
                <c:pt idx="4">
                  <c:v>16.393442622950818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391-40E2-8172-7E3CEE7AA2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たかの!$K$2:$K$24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たかの!$L$2:$L$24</c:f>
              <c:numCache>
                <c:formatCode>\+0.0;\-0.0;\±0</c:formatCode>
                <c:ptCount val="23"/>
                <c:pt idx="0">
                  <c:v>0</c:v>
                </c:pt>
                <c:pt idx="1">
                  <c:v>-4.5999999999999996</c:v>
                </c:pt>
                <c:pt idx="2">
                  <c:v>19.899999999999999</c:v>
                </c:pt>
                <c:pt idx="3">
                  <c:v>-8.3000000000000007</c:v>
                </c:pt>
                <c:pt idx="4">
                  <c:v>-30.7</c:v>
                </c:pt>
                <c:pt idx="5">
                  <c:v>-55.8</c:v>
                </c:pt>
                <c:pt idx="6">
                  <c:v>-40.799999999999997</c:v>
                </c:pt>
                <c:pt idx="7">
                  <c:v>-71</c:v>
                </c:pt>
                <c:pt idx="8">
                  <c:v>-76.900000000000006</c:v>
                </c:pt>
                <c:pt idx="9">
                  <c:v>-59.500000000000007</c:v>
                </c:pt>
                <c:pt idx="10">
                  <c:v>-32.700000000000003</c:v>
                </c:pt>
                <c:pt idx="11">
                  <c:v>-35.5</c:v>
                </c:pt>
                <c:pt idx="12">
                  <c:v>-59.5</c:v>
                </c:pt>
                <c:pt idx="13">
                  <c:v>-66.2</c:v>
                </c:pt>
                <c:pt idx="14">
                  <c:v>-51.1</c:v>
                </c:pt>
                <c:pt idx="15">
                  <c:v>-65.2</c:v>
                </c:pt>
                <c:pt idx="16">
                  <c:v>-70.600000000000009</c:v>
                </c:pt>
                <c:pt idx="17">
                  <c:v>-65.2</c:v>
                </c:pt>
                <c:pt idx="18">
                  <c:v>-80.2</c:v>
                </c:pt>
                <c:pt idx="19">
                  <c:v>-115.1</c:v>
                </c:pt>
                <c:pt idx="20">
                  <c:v>-88.8</c:v>
                </c:pt>
                <c:pt idx="21">
                  <c:v>-111.4</c:v>
                </c:pt>
                <c:pt idx="22">
                  <c:v>-142.80000000000001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AE2-4A35-951A-6107088369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たかの!$O$2:$O$7</c:f>
              <c:numCache>
                <c:formatCode>\+0;\-0;\±0</c:formatCode>
                <c:ptCount val="6"/>
                <c:pt idx="0">
                  <c:v>-1995.4545454545455</c:v>
                </c:pt>
                <c:pt idx="1">
                  <c:v>-290.90909090909093</c:v>
                </c:pt>
                <c:pt idx="2">
                  <c:v>1204.5454545454545</c:v>
                </c:pt>
                <c:pt idx="3">
                  <c:v>-590.47619047619048</c:v>
                </c:pt>
                <c:pt idx="4">
                  <c:v>-1452.3809523809523</c:v>
                </c:pt>
                <c:pt idx="5">
                  <c:v>-2833.3333333333335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26E-4595-B3F3-5F5CA9D412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だいち!$K$2:$K$48</c:f>
              <c:numCache>
                <c:formatCode>General</c:formatCode>
                <c:ptCount val="4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</c:numCache>
            </c:numRef>
          </c:xVal>
          <c:yVal>
            <c:numRef>
              <c:f>だいち!$L$2:$L$48</c:f>
              <c:numCache>
                <c:formatCode>\+0.0;\-0.0;\±0</c:formatCode>
                <c:ptCount val="47"/>
                <c:pt idx="0">
                  <c:v>0</c:v>
                </c:pt>
                <c:pt idx="1">
                  <c:v>50.2</c:v>
                </c:pt>
                <c:pt idx="2">
                  <c:v>14.400000000000006</c:v>
                </c:pt>
                <c:pt idx="3">
                  <c:v>40.400000000000006</c:v>
                </c:pt>
                <c:pt idx="4">
                  <c:v>101.60000000000001</c:v>
                </c:pt>
                <c:pt idx="5">
                  <c:v>99.9</c:v>
                </c:pt>
                <c:pt idx="6">
                  <c:v>85.5</c:v>
                </c:pt>
                <c:pt idx="7">
                  <c:v>113.3</c:v>
                </c:pt>
                <c:pt idx="8">
                  <c:v>148.1</c:v>
                </c:pt>
                <c:pt idx="9">
                  <c:v>180.89999999999998</c:v>
                </c:pt>
                <c:pt idx="10">
                  <c:v>158.19999999999999</c:v>
                </c:pt>
                <c:pt idx="11">
                  <c:v>185.2</c:v>
                </c:pt>
                <c:pt idx="12">
                  <c:v>184.89999999999998</c:v>
                </c:pt>
                <c:pt idx="13">
                  <c:v>206.39999999999998</c:v>
                </c:pt>
                <c:pt idx="14">
                  <c:v>240.09999999999997</c:v>
                </c:pt>
                <c:pt idx="15">
                  <c:v>269.49999999999994</c:v>
                </c:pt>
                <c:pt idx="16">
                  <c:v>323.69999999999993</c:v>
                </c:pt>
                <c:pt idx="17">
                  <c:v>359.09999999999991</c:v>
                </c:pt>
                <c:pt idx="18">
                  <c:v>352.39999999999992</c:v>
                </c:pt>
                <c:pt idx="19">
                  <c:v>383.19999999999993</c:v>
                </c:pt>
                <c:pt idx="20">
                  <c:v>365.49999999999994</c:v>
                </c:pt>
                <c:pt idx="21">
                  <c:v>371.39999999999992</c:v>
                </c:pt>
                <c:pt idx="22">
                  <c:v>414.2999999999999</c:v>
                </c:pt>
                <c:pt idx="23">
                  <c:v>356.2999999999999</c:v>
                </c:pt>
                <c:pt idx="24">
                  <c:v>329.89999999999992</c:v>
                </c:pt>
                <c:pt idx="25">
                  <c:v>294.99999999999994</c:v>
                </c:pt>
                <c:pt idx="26">
                  <c:v>329.29999999999995</c:v>
                </c:pt>
                <c:pt idx="27">
                  <c:v>362.4</c:v>
                </c:pt>
                <c:pt idx="28">
                  <c:v>375.79999999999995</c:v>
                </c:pt>
                <c:pt idx="29">
                  <c:v>381.09999999999997</c:v>
                </c:pt>
                <c:pt idx="30">
                  <c:v>340.79999999999995</c:v>
                </c:pt>
                <c:pt idx="31">
                  <c:v>319.49999999999994</c:v>
                </c:pt>
                <c:pt idx="32">
                  <c:v>349.39999999999992</c:v>
                </c:pt>
                <c:pt idx="33">
                  <c:v>349.19999999999993</c:v>
                </c:pt>
                <c:pt idx="34">
                  <c:v>374.49999999999994</c:v>
                </c:pt>
                <c:pt idx="35">
                  <c:v>357.89999999999992</c:v>
                </c:pt>
                <c:pt idx="36">
                  <c:v>312.09999999999991</c:v>
                </c:pt>
                <c:pt idx="37">
                  <c:v>325.09999999999991</c:v>
                </c:pt>
                <c:pt idx="38">
                  <c:v>360.49999999999989</c:v>
                </c:pt>
                <c:pt idx="39">
                  <c:v>365.39999999999986</c:v>
                </c:pt>
                <c:pt idx="40">
                  <c:v>398.79999999999984</c:v>
                </c:pt>
                <c:pt idx="41">
                  <c:v>399.89999999999986</c:v>
                </c:pt>
                <c:pt idx="42">
                  <c:v>419.29999999999984</c:v>
                </c:pt>
                <c:pt idx="43">
                  <c:v>424.79999999999984</c:v>
                </c:pt>
                <c:pt idx="44">
                  <c:v>424.39999999999986</c:v>
                </c:pt>
                <c:pt idx="45">
                  <c:v>425.69999999999987</c:v>
                </c:pt>
                <c:pt idx="46">
                  <c:v>465.7999999999999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B5B-4CEC-9821-7DAF65C900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だいち!$O$2:$O$7</c:f>
              <c:numCache>
                <c:formatCode>\+0;\-0;\±0</c:formatCode>
                <c:ptCount val="6"/>
                <c:pt idx="0">
                  <c:v>206.66666666666666</c:v>
                </c:pt>
                <c:pt idx="1">
                  <c:v>-375</c:v>
                </c:pt>
                <c:pt idx="2">
                  <c:v>-663.63636363636363</c:v>
                </c:pt>
                <c:pt idx="3">
                  <c:v>-265.85365853658539</c:v>
                </c:pt>
                <c:pt idx="4">
                  <c:v>4948.7179487179483</c:v>
                </c:pt>
                <c:pt idx="5">
                  <c:v>5290.322580645161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AA2-4253-A36F-B4BA78082F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ただ!$K$2:$K$48</c:f>
              <c:numCache>
                <c:formatCode>General</c:formatCode>
                <c:ptCount val="4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</c:numCache>
            </c:numRef>
          </c:xVal>
          <c:yVal>
            <c:numRef>
              <c:f>ただ!$L$2:$L$48</c:f>
              <c:numCache>
                <c:formatCode>\+0.0;\-0.0;\±0</c:formatCode>
                <c:ptCount val="47"/>
                <c:pt idx="0">
                  <c:v>0</c:v>
                </c:pt>
                <c:pt idx="1">
                  <c:v>-45.6</c:v>
                </c:pt>
                <c:pt idx="2">
                  <c:v>-34.299999999999997</c:v>
                </c:pt>
                <c:pt idx="3">
                  <c:v>-58.599999999999994</c:v>
                </c:pt>
                <c:pt idx="4">
                  <c:v>-38.099999999999994</c:v>
                </c:pt>
                <c:pt idx="5">
                  <c:v>-11.299999999999994</c:v>
                </c:pt>
                <c:pt idx="6">
                  <c:v>-11.899999999999993</c:v>
                </c:pt>
                <c:pt idx="7">
                  <c:v>-9.4999999999999929</c:v>
                </c:pt>
                <c:pt idx="8">
                  <c:v>-56.79999999999999</c:v>
                </c:pt>
                <c:pt idx="9">
                  <c:v>-83.699999999999989</c:v>
                </c:pt>
                <c:pt idx="10">
                  <c:v>-78.399999999999991</c:v>
                </c:pt>
                <c:pt idx="11">
                  <c:v>-68.099999999999994</c:v>
                </c:pt>
                <c:pt idx="12">
                  <c:v>-89</c:v>
                </c:pt>
                <c:pt idx="13">
                  <c:v>-86.8</c:v>
                </c:pt>
                <c:pt idx="14">
                  <c:v>-138.4</c:v>
                </c:pt>
                <c:pt idx="15">
                  <c:v>-144.30000000000001</c:v>
                </c:pt>
                <c:pt idx="16">
                  <c:v>-187.3</c:v>
                </c:pt>
                <c:pt idx="17">
                  <c:v>-179.70000000000002</c:v>
                </c:pt>
                <c:pt idx="18">
                  <c:v>-112.90000000000002</c:v>
                </c:pt>
                <c:pt idx="19">
                  <c:v>-162.40000000000003</c:v>
                </c:pt>
                <c:pt idx="20">
                  <c:v>-96.000000000000028</c:v>
                </c:pt>
                <c:pt idx="21">
                  <c:v>-67.200000000000031</c:v>
                </c:pt>
                <c:pt idx="22">
                  <c:v>-38.400000000000034</c:v>
                </c:pt>
                <c:pt idx="23">
                  <c:v>-37.600000000000037</c:v>
                </c:pt>
                <c:pt idx="24">
                  <c:v>-37.600000000000037</c:v>
                </c:pt>
                <c:pt idx="25">
                  <c:v>-10.700000000000038</c:v>
                </c:pt>
                <c:pt idx="26">
                  <c:v>-2.6000000000000387</c:v>
                </c:pt>
                <c:pt idx="27">
                  <c:v>-34.100000000000037</c:v>
                </c:pt>
                <c:pt idx="28">
                  <c:v>-16.100000000000037</c:v>
                </c:pt>
                <c:pt idx="29">
                  <c:v>40.799999999999962</c:v>
                </c:pt>
                <c:pt idx="30">
                  <c:v>63.499999999999957</c:v>
                </c:pt>
                <c:pt idx="31">
                  <c:v>94.299999999999955</c:v>
                </c:pt>
                <c:pt idx="32">
                  <c:v>144.79999999999995</c:v>
                </c:pt>
                <c:pt idx="33">
                  <c:v>153.39999999999995</c:v>
                </c:pt>
                <c:pt idx="34">
                  <c:v>178.09999999999994</c:v>
                </c:pt>
                <c:pt idx="35">
                  <c:v>171.89999999999995</c:v>
                </c:pt>
                <c:pt idx="36">
                  <c:v>164.59999999999994</c:v>
                </c:pt>
                <c:pt idx="37">
                  <c:v>156.59999999999994</c:v>
                </c:pt>
                <c:pt idx="38">
                  <c:v>110.89999999999993</c:v>
                </c:pt>
                <c:pt idx="39">
                  <c:v>158.79999999999993</c:v>
                </c:pt>
                <c:pt idx="40">
                  <c:v>109.59999999999992</c:v>
                </c:pt>
                <c:pt idx="41">
                  <c:v>131.59999999999991</c:v>
                </c:pt>
                <c:pt idx="42">
                  <c:v>183.6999999999999</c:v>
                </c:pt>
                <c:pt idx="43">
                  <c:v>211.89999999999989</c:v>
                </c:pt>
                <c:pt idx="44">
                  <c:v>232.7999999999999</c:v>
                </c:pt>
                <c:pt idx="45">
                  <c:v>214.39999999999989</c:v>
                </c:pt>
                <c:pt idx="46">
                  <c:v>215.39999999999989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6BA-4304-9896-9494C5F0BF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ただ!$O$2:$O$7</c:f>
              <c:numCache>
                <c:formatCode>\+0;\-0;\±0</c:formatCode>
                <c:ptCount val="6"/>
                <c:pt idx="0">
                  <c:v>324.44444444444446</c:v>
                </c:pt>
                <c:pt idx="1">
                  <c:v>1190.909090909091</c:v>
                </c:pt>
                <c:pt idx="2">
                  <c:v>1481.3953488372092</c:v>
                </c:pt>
                <c:pt idx="3">
                  <c:v>2997.560975609756</c:v>
                </c:pt>
                <c:pt idx="4">
                  <c:v>-1794.7368421052631</c:v>
                </c:pt>
                <c:pt idx="5">
                  <c:v>1040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39E-4750-9FCC-C3A865409D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りくと!$K$2:$K$30</c:f>
              <c:numCache>
                <c:formatCode>General</c:formatCode>
                <c:ptCount val="2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</c:numCache>
            </c:numRef>
          </c:xVal>
          <c:yVal>
            <c:numRef>
              <c:f>りくと!$L$2:$L$30</c:f>
              <c:numCache>
                <c:formatCode>\+0.0;\-0.0;\±0</c:formatCode>
                <c:ptCount val="29"/>
                <c:pt idx="0">
                  <c:v>0</c:v>
                </c:pt>
                <c:pt idx="1">
                  <c:v>-37.799999999999997</c:v>
                </c:pt>
                <c:pt idx="2">
                  <c:v>-30.099999999999998</c:v>
                </c:pt>
                <c:pt idx="3">
                  <c:v>-17.599999999999998</c:v>
                </c:pt>
                <c:pt idx="4">
                  <c:v>-54.899999999999991</c:v>
                </c:pt>
                <c:pt idx="5">
                  <c:v>-33.699999999999989</c:v>
                </c:pt>
                <c:pt idx="6">
                  <c:v>-57.399999999999991</c:v>
                </c:pt>
                <c:pt idx="7">
                  <c:v>-39.499999999999993</c:v>
                </c:pt>
                <c:pt idx="8">
                  <c:v>-62.999999999999993</c:v>
                </c:pt>
                <c:pt idx="9">
                  <c:v>-74.199999999999989</c:v>
                </c:pt>
                <c:pt idx="10">
                  <c:v>-117.19999999999999</c:v>
                </c:pt>
                <c:pt idx="11">
                  <c:v>-177.29999999999998</c:v>
                </c:pt>
                <c:pt idx="12">
                  <c:v>-158.6</c:v>
                </c:pt>
                <c:pt idx="13">
                  <c:v>-207.3</c:v>
                </c:pt>
                <c:pt idx="14">
                  <c:v>-204.8</c:v>
                </c:pt>
                <c:pt idx="15">
                  <c:v>-221.5</c:v>
                </c:pt>
                <c:pt idx="16">
                  <c:v>-224.3</c:v>
                </c:pt>
                <c:pt idx="17">
                  <c:v>-251.4</c:v>
                </c:pt>
                <c:pt idx="18">
                  <c:v>-240</c:v>
                </c:pt>
                <c:pt idx="19">
                  <c:v>-218</c:v>
                </c:pt>
                <c:pt idx="20">
                  <c:v>-177.6</c:v>
                </c:pt>
                <c:pt idx="21">
                  <c:v>-133.30000000000001</c:v>
                </c:pt>
                <c:pt idx="22">
                  <c:v>-164.60000000000002</c:v>
                </c:pt>
                <c:pt idx="23">
                  <c:v>-162.70000000000002</c:v>
                </c:pt>
                <c:pt idx="24">
                  <c:v>-163.00000000000003</c:v>
                </c:pt>
                <c:pt idx="25">
                  <c:v>-185.00000000000003</c:v>
                </c:pt>
                <c:pt idx="26">
                  <c:v>-186.00000000000003</c:v>
                </c:pt>
                <c:pt idx="27">
                  <c:v>-163.00000000000003</c:v>
                </c:pt>
                <c:pt idx="28">
                  <c:v>-181.70000000000002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1EF-436C-B9FA-E4C96771FC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りくと!$O$2:$O$7</c:f>
              <c:numCache>
                <c:formatCode>\+0;\-0;\±0</c:formatCode>
                <c:ptCount val="6"/>
                <c:pt idx="0">
                  <c:v>1000</c:v>
                </c:pt>
                <c:pt idx="1">
                  <c:v>-1333.3333333333333</c:v>
                </c:pt>
                <c:pt idx="2">
                  <c:v>1900</c:v>
                </c:pt>
                <c:pt idx="3">
                  <c:v>-1744</c:v>
                </c:pt>
                <c:pt idx="4">
                  <c:v>-4354.166666666667</c:v>
                </c:pt>
                <c:pt idx="5">
                  <c:v>-2050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C5F-4F25-8B3F-72FA925143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れんたろう!$K$2:$K$26</c:f>
              <c:numCache>
                <c:formatCode>General</c:formatCode>
                <c:ptCount val="2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</c:numCache>
            </c:numRef>
          </c:xVal>
          <c:yVal>
            <c:numRef>
              <c:f>れんたろう!$L$2:$L$26</c:f>
              <c:numCache>
                <c:formatCode>\+0.0;\-0.0;\±0</c:formatCode>
                <c:ptCount val="25"/>
                <c:pt idx="0">
                  <c:v>0</c:v>
                </c:pt>
                <c:pt idx="1">
                  <c:v>-9.1</c:v>
                </c:pt>
                <c:pt idx="2">
                  <c:v>-67.3</c:v>
                </c:pt>
                <c:pt idx="3">
                  <c:v>-113.8</c:v>
                </c:pt>
                <c:pt idx="4">
                  <c:v>-74.599999999999994</c:v>
                </c:pt>
                <c:pt idx="5">
                  <c:v>-118.3</c:v>
                </c:pt>
                <c:pt idx="6">
                  <c:v>-60.3</c:v>
                </c:pt>
                <c:pt idx="7">
                  <c:v>-60.8</c:v>
                </c:pt>
                <c:pt idx="8">
                  <c:v>-110.19999999999999</c:v>
                </c:pt>
                <c:pt idx="9">
                  <c:v>-120.99999999999999</c:v>
                </c:pt>
                <c:pt idx="10">
                  <c:v>-113.29999999999998</c:v>
                </c:pt>
                <c:pt idx="11">
                  <c:v>-163.69999999999999</c:v>
                </c:pt>
                <c:pt idx="12">
                  <c:v>-110.49999999999999</c:v>
                </c:pt>
                <c:pt idx="13">
                  <c:v>-132.39999999999998</c:v>
                </c:pt>
                <c:pt idx="14">
                  <c:v>-86.499999999999972</c:v>
                </c:pt>
                <c:pt idx="15">
                  <c:v>-101.79999999999997</c:v>
                </c:pt>
                <c:pt idx="16">
                  <c:v>-63.099999999999966</c:v>
                </c:pt>
                <c:pt idx="17">
                  <c:v>-55.799999999999969</c:v>
                </c:pt>
                <c:pt idx="18">
                  <c:v>-24.999999999999968</c:v>
                </c:pt>
                <c:pt idx="19">
                  <c:v>-27.799999999999969</c:v>
                </c:pt>
                <c:pt idx="20">
                  <c:v>-50.39999999999997</c:v>
                </c:pt>
                <c:pt idx="21">
                  <c:v>-59.89999999999997</c:v>
                </c:pt>
                <c:pt idx="22">
                  <c:v>-21.799999999999969</c:v>
                </c:pt>
                <c:pt idx="23">
                  <c:v>-10.299999999999969</c:v>
                </c:pt>
                <c:pt idx="24">
                  <c:v>-51.39999999999997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D94-4264-B640-F87F91E0D8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れんたろう!$O$2:$O$7</c:f>
              <c:numCache>
                <c:formatCode>\+0;\-0;\±0</c:formatCode>
                <c:ptCount val="6"/>
                <c:pt idx="0">
                  <c:v>387.5</c:v>
                </c:pt>
                <c:pt idx="1">
                  <c:v>-2890.909090909091</c:v>
                </c:pt>
                <c:pt idx="2">
                  <c:v>1528.5714285714287</c:v>
                </c:pt>
                <c:pt idx="3">
                  <c:v>3925</c:v>
                </c:pt>
                <c:pt idx="4">
                  <c:v>-2335.294117647059</c:v>
                </c:pt>
                <c:pt idx="5">
                  <c:v>-5230.7692307692305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91A-49EA-A160-2E31BA4806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まっつん!$K$2:$K$28</c:f>
              <c:numCache>
                <c:formatCode>General</c:formatCode>
                <c:ptCount val="2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</c:numCache>
            </c:numRef>
          </c:xVal>
          <c:yVal>
            <c:numRef>
              <c:f>まっつん!$L$2:$L$28</c:f>
              <c:numCache>
                <c:formatCode>\+0.0;\-0.0;\±0</c:formatCode>
                <c:ptCount val="27"/>
                <c:pt idx="0">
                  <c:v>0</c:v>
                </c:pt>
                <c:pt idx="1">
                  <c:v>46.9</c:v>
                </c:pt>
                <c:pt idx="2">
                  <c:v>8.1000000000000014</c:v>
                </c:pt>
                <c:pt idx="3">
                  <c:v>25.8</c:v>
                </c:pt>
                <c:pt idx="4">
                  <c:v>-19.3</c:v>
                </c:pt>
                <c:pt idx="5">
                  <c:v>-1.6000000000000014</c:v>
                </c:pt>
                <c:pt idx="6">
                  <c:v>29.799999999999997</c:v>
                </c:pt>
                <c:pt idx="7">
                  <c:v>-16.300000000000004</c:v>
                </c:pt>
                <c:pt idx="8">
                  <c:v>-46.7</c:v>
                </c:pt>
                <c:pt idx="9">
                  <c:v>-90.9</c:v>
                </c:pt>
                <c:pt idx="10">
                  <c:v>-146.69999999999999</c:v>
                </c:pt>
                <c:pt idx="11">
                  <c:v>-114.99999999999999</c:v>
                </c:pt>
                <c:pt idx="12">
                  <c:v>-118.39999999999999</c:v>
                </c:pt>
                <c:pt idx="13">
                  <c:v>-68.399999999999991</c:v>
                </c:pt>
                <c:pt idx="14">
                  <c:v>-25.79999999999999</c:v>
                </c:pt>
                <c:pt idx="15">
                  <c:v>-35.499999999999986</c:v>
                </c:pt>
                <c:pt idx="16">
                  <c:v>-35.599999999999987</c:v>
                </c:pt>
                <c:pt idx="17">
                  <c:v>-29.799999999999986</c:v>
                </c:pt>
                <c:pt idx="18">
                  <c:v>-62.399999999999991</c:v>
                </c:pt>
                <c:pt idx="19">
                  <c:v>-56.399999999999991</c:v>
                </c:pt>
                <c:pt idx="20">
                  <c:v>-93.199999999999989</c:v>
                </c:pt>
                <c:pt idx="21">
                  <c:v>-123.69999999999999</c:v>
                </c:pt>
                <c:pt idx="22">
                  <c:v>-66.999999999999986</c:v>
                </c:pt>
                <c:pt idx="23">
                  <c:v>-59.599999999999987</c:v>
                </c:pt>
                <c:pt idx="24">
                  <c:v>-91.399999999999991</c:v>
                </c:pt>
                <c:pt idx="25">
                  <c:v>-41.29999999999999</c:v>
                </c:pt>
                <c:pt idx="26">
                  <c:v>-54.099999999999994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8C-4193-BBED-8FECF0935E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まっつん!$O$2:$O$7</c:f>
              <c:numCache>
                <c:formatCode>\+0;\-0;\±0</c:formatCode>
                <c:ptCount val="6"/>
                <c:pt idx="0">
                  <c:v>2123.0769230769229</c:v>
                </c:pt>
                <c:pt idx="1">
                  <c:v>1144</c:v>
                </c:pt>
                <c:pt idx="2">
                  <c:v>-3220.8333333333335</c:v>
                </c:pt>
                <c:pt idx="3">
                  <c:v>-318.18181818181819</c:v>
                </c:pt>
                <c:pt idx="4">
                  <c:v>-1676.4705882352941</c:v>
                </c:pt>
                <c:pt idx="5">
                  <c:v>993.33333333333337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257-415E-BBC7-636F6B3BDC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のり!$L$1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のり!$K$2:$K$17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のり!$L$2:$L$17</c:f>
              <c:numCache>
                <c:formatCode>\+0.0;\-0.0;\±0</c:formatCode>
                <c:ptCount val="16"/>
                <c:pt idx="0">
                  <c:v>0</c:v>
                </c:pt>
                <c:pt idx="1">
                  <c:v>-12</c:v>
                </c:pt>
                <c:pt idx="2">
                  <c:v>-40.6</c:v>
                </c:pt>
                <c:pt idx="3">
                  <c:v>-33.6</c:v>
                </c:pt>
                <c:pt idx="4">
                  <c:v>-80.5</c:v>
                </c:pt>
                <c:pt idx="5">
                  <c:v>-124.3</c:v>
                </c:pt>
                <c:pt idx="6">
                  <c:v>-159.6</c:v>
                </c:pt>
                <c:pt idx="7">
                  <c:v>-99.5</c:v>
                </c:pt>
                <c:pt idx="8">
                  <c:v>-152.6</c:v>
                </c:pt>
                <c:pt idx="9">
                  <c:v>-150.6</c:v>
                </c:pt>
                <c:pt idx="10">
                  <c:v>-151.1</c:v>
                </c:pt>
                <c:pt idx="11">
                  <c:v>-175</c:v>
                </c:pt>
                <c:pt idx="12">
                  <c:v>-176.9</c:v>
                </c:pt>
                <c:pt idx="13">
                  <c:v>-217.60000000000002</c:v>
                </c:pt>
                <c:pt idx="14">
                  <c:v>-266.90000000000003</c:v>
                </c:pt>
                <c:pt idx="15">
                  <c:v>-272.50000000000006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35C-4A37-8945-C4100746D9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のり!$O$1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のり!$N$2:$N$7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のり!$O$2:$O$7</c:f>
              <c:numCache>
                <c:formatCode>\+0;\-0;\±0</c:formatCode>
                <c:ptCount val="6"/>
                <c:pt idx="0">
                  <c:v>-2226.6666666666665</c:v>
                </c:pt>
                <c:pt idx="1">
                  <c:v>-546.66666666666663</c:v>
                </c:pt>
                <c:pt idx="2">
                  <c:v>-2753.3333333333335</c:v>
                </c:pt>
                <c:pt idx="3">
                  <c:v>-4764.2857142857147</c:v>
                </c:pt>
                <c:pt idx="4">
                  <c:v>-207.69230769230768</c:v>
                </c:pt>
                <c:pt idx="5">
                  <c:v>-4563.636363636364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4CD-4D53-BE9E-03E1F845D4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ぱぱ!$L$1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ぱぱ!$K$2:$K$13</c:f>
              <c:numCache>
                <c:formatCode>General</c:formatCod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numCache>
            </c:numRef>
          </c:xVal>
          <c:yVal>
            <c:numRef>
              <c:f>ぱぱ!$L$2:$L$13</c:f>
              <c:numCache>
                <c:formatCode>\+0.0;\-0.0;\±0</c:formatCode>
                <c:ptCount val="12"/>
                <c:pt idx="0">
                  <c:v>0</c:v>
                </c:pt>
                <c:pt idx="1">
                  <c:v>70.2</c:v>
                </c:pt>
                <c:pt idx="2">
                  <c:v>68.5</c:v>
                </c:pt>
                <c:pt idx="3">
                  <c:v>76</c:v>
                </c:pt>
                <c:pt idx="4">
                  <c:v>115.5</c:v>
                </c:pt>
                <c:pt idx="5">
                  <c:v>127.9</c:v>
                </c:pt>
                <c:pt idx="6">
                  <c:v>149.4</c:v>
                </c:pt>
                <c:pt idx="7">
                  <c:v>123</c:v>
                </c:pt>
                <c:pt idx="8">
                  <c:v>124.6</c:v>
                </c:pt>
                <c:pt idx="9">
                  <c:v>141.5</c:v>
                </c:pt>
                <c:pt idx="10">
                  <c:v>162.80000000000001</c:v>
                </c:pt>
                <c:pt idx="11">
                  <c:v>126.10000000000001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94E-418A-B74D-C89F9C5AE0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ぱぱ!$O$1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ぱぱ!$N$2:$N$7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ぱぱ!$O$2:$O$7</c:f>
              <c:numCache>
                <c:formatCode>\+0;\-0;\±0</c:formatCode>
                <c:ptCount val="6"/>
                <c:pt idx="0">
                  <c:v>-45.454545454545453</c:v>
                </c:pt>
                <c:pt idx="1">
                  <c:v>4790.909090909091</c:v>
                </c:pt>
                <c:pt idx="2">
                  <c:v>418.18181818181819</c:v>
                </c:pt>
                <c:pt idx="3">
                  <c:v>-3345.4545454545455</c:v>
                </c:pt>
                <c:pt idx="4">
                  <c:v>6400</c:v>
                </c:pt>
                <c:pt idx="5">
                  <c:v>1837.5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89F-4B8C-A7AF-54FC79C561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ほたに!$L$1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ほたに!$K$2:$K$9</c:f>
              <c:numCache>
                <c:formatCode>General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ほたに!$L$2:$L$9</c:f>
              <c:numCache>
                <c:formatCode>\+0.0;\-0.0;\±0</c:formatCode>
                <c:ptCount val="8"/>
                <c:pt idx="0">
                  <c:v>0</c:v>
                </c:pt>
                <c:pt idx="1">
                  <c:v>-46.5</c:v>
                </c:pt>
                <c:pt idx="2">
                  <c:v>-25.4</c:v>
                </c:pt>
                <c:pt idx="3">
                  <c:v>-71.900000000000006</c:v>
                </c:pt>
                <c:pt idx="4">
                  <c:v>-37.400000000000006</c:v>
                </c:pt>
                <c:pt idx="5">
                  <c:v>-12.100000000000005</c:v>
                </c:pt>
                <c:pt idx="6">
                  <c:v>-59.300000000000011</c:v>
                </c:pt>
                <c:pt idx="7">
                  <c:v>-104.80000000000001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3C-4FB6-913B-6E95B6BB99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ほたに!$O$1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ほたに!$N$2:$N$7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ほたに!$O$2:$O$7</c:f>
              <c:numCache>
                <c:formatCode>\+0;\-0;\±0</c:formatCode>
                <c:ptCount val="6"/>
                <c:pt idx="0">
                  <c:v>-6085.7142857142853</c:v>
                </c:pt>
                <c:pt idx="1">
                  <c:v>166.66666666666666</c:v>
                </c:pt>
                <c:pt idx="2">
                  <c:v>-6066.666666666667</c:v>
                </c:pt>
                <c:pt idx="3">
                  <c:v>-3333.3333333333335</c:v>
                </c:pt>
                <c:pt idx="4">
                  <c:v>4566.666666666667</c:v>
                </c:pt>
                <c:pt idx="5">
                  <c:v>-5250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44A-47AE-B939-D011220439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ほたに2!$B$1:$B$2</c:f>
              <c:strCache>
                <c:ptCount val="2"/>
                <c:pt idx="0">
                  <c:v>ほたに</c:v>
                </c:pt>
                <c:pt idx="1">
                  <c:v>通算スコア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ほたに2!$A$3:$A$10</c:f>
              <c:numCache>
                <c:formatCode>0\ "回"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ほたに2!$B$3:$B$10</c:f>
              <c:numCache>
                <c:formatCode>\+0.0;\-0.0;\±0</c:formatCode>
                <c:ptCount val="8"/>
                <c:pt idx="0">
                  <c:v>0</c:v>
                </c:pt>
                <c:pt idx="1">
                  <c:v>-46.5</c:v>
                </c:pt>
                <c:pt idx="2">
                  <c:v>-25.4</c:v>
                </c:pt>
                <c:pt idx="3">
                  <c:v>-71.900000000000006</c:v>
                </c:pt>
                <c:pt idx="4">
                  <c:v>-37.400000000000006</c:v>
                </c:pt>
                <c:pt idx="5">
                  <c:v>-12.100000000000005</c:v>
                </c:pt>
                <c:pt idx="6">
                  <c:v>-59.300000000000011</c:v>
                </c:pt>
                <c:pt idx="7">
                  <c:v>-104.80000000000001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48-4FE8-A8B2-4ECB92B9A4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3.5527136788005009E-1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ほたに2!$C$1:$C$2</c:f>
              <c:strCache>
                <c:ptCount val="2"/>
                <c:pt idx="0">
                  <c:v>ほたに</c:v>
                </c:pt>
                <c:pt idx="1">
                  <c:v>平均スコア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ほたに2!$A$3:$A$10</c:f>
              <c:numCache>
                <c:formatCode>0\ "回"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ほたに2!$C$3:$C$10</c:f>
              <c:numCache>
                <c:formatCode>\+0.0;\-0.0;\±0</c:formatCode>
                <c:ptCount val="8"/>
                <c:pt idx="1">
                  <c:v>-46.5</c:v>
                </c:pt>
                <c:pt idx="2">
                  <c:v>-12.7</c:v>
                </c:pt>
                <c:pt idx="3">
                  <c:v>-23.966666666666669</c:v>
                </c:pt>
                <c:pt idx="4">
                  <c:v>-9.3500000000000014</c:v>
                </c:pt>
                <c:pt idx="5">
                  <c:v>-2.4200000000000008</c:v>
                </c:pt>
                <c:pt idx="6">
                  <c:v>-9.8833333333333346</c:v>
                </c:pt>
                <c:pt idx="7">
                  <c:v>-14.971428571428573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C-43E6-BBBF-C5F3C62A5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1.5789838572446671E-1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5.0866323827072416E-2"/>
          <c:y val="9.5976502261529054E-2"/>
          <c:w val="0.92789967068874057"/>
          <c:h val="0.85767024934613867"/>
        </c:manualLayout>
      </c:layout>
      <c:scatterChart>
        <c:scatterStyle val="lineMarker"/>
        <c:varyColors val="0"/>
        <c:ser>
          <c:idx val="0"/>
          <c:order val="0"/>
          <c:tx>
            <c:strRef>
              <c:f>ほたに2!$D$1:$D$2</c:f>
              <c:strCache>
                <c:ptCount val="2"/>
                <c:pt idx="0">
                  <c:v>ほたに</c:v>
                </c:pt>
                <c:pt idx="1">
                  <c:v>平均順位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ほたに2!$A$3:$A$10</c:f>
              <c:numCache>
                <c:formatCode>0\ "回"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ほたに2!$D$3:$D$10</c:f>
              <c:numCache>
                <c:formatCode>0.00\ "位"</c:formatCode>
                <c:ptCount val="8"/>
                <c:pt idx="1">
                  <c:v>3</c:v>
                </c:pt>
                <c:pt idx="2">
                  <c:v>2</c:v>
                </c:pt>
                <c:pt idx="3">
                  <c:v>2.3333333333333335</c:v>
                </c:pt>
                <c:pt idx="4">
                  <c:v>2</c:v>
                </c:pt>
                <c:pt idx="5">
                  <c:v>1.8</c:v>
                </c:pt>
                <c:pt idx="6">
                  <c:v>2</c:v>
                </c:pt>
                <c:pt idx="7">
                  <c:v>2.1428571428571428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A-4B73-A478-5CECE427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t"/>
        <c:numFmt formatCode="0" sourceLinked="0"/>
        <c:majorTickMark val="none"/>
        <c:minorTickMark val="none"/>
        <c:tickLblPos val="high"/>
        <c:spPr>
          <a:noFill/>
          <a:ln w="19050">
            <a:solidFill>
              <a:schemeClr val="tx1">
                <a:lumMod val="65000"/>
                <a:lumOff val="3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2"/>
        <c:crossBetween val="midCat"/>
      </c:valAx>
      <c:valAx>
        <c:axId val="575703272"/>
        <c:scaling>
          <c:orientation val="maxMin"/>
          <c:max val="3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&quot;位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ほたに2!$E$1:$E$2</c:f>
              <c:strCache>
                <c:ptCount val="2"/>
                <c:pt idx="0">
                  <c:v>ほたに</c:v>
                </c:pt>
                <c:pt idx="1">
                  <c:v>トップ率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ほたに2!$A$3:$A$10</c:f>
              <c:numCache>
                <c:formatCode>0\ "回"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ほたに2!$E$3:$E$10</c:f>
              <c:numCache>
                <c:formatCode>0.0%</c:formatCode>
                <c:ptCount val="8"/>
                <c:pt idx="1">
                  <c:v>0</c:v>
                </c:pt>
                <c:pt idx="2">
                  <c:v>0.5</c:v>
                </c:pt>
                <c:pt idx="3">
                  <c:v>0.33333333333333331</c:v>
                </c:pt>
                <c:pt idx="4">
                  <c:v>0.5</c:v>
                </c:pt>
                <c:pt idx="5">
                  <c:v>0.6</c:v>
                </c:pt>
                <c:pt idx="6">
                  <c:v>0.5</c:v>
                </c:pt>
                <c:pt idx="7">
                  <c:v>0.42857142857142855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1A-49FC-A7F1-1C9BECE138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ほたに2!$F$1:$F$2</c:f>
              <c:strCache>
                <c:ptCount val="2"/>
                <c:pt idx="0">
                  <c:v>ほたに</c:v>
                </c:pt>
                <c:pt idx="1">
                  <c:v>ラス率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ほたに2!$A$3:$A$10</c:f>
              <c:numCache>
                <c:formatCode>0\ "回"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ほたに2!$F$3:$F$10</c:f>
              <c:numCache>
                <c:formatCode>0.0%</c:formatCode>
                <c:ptCount val="8"/>
                <c:pt idx="1">
                  <c:v>1</c:v>
                </c:pt>
                <c:pt idx="2">
                  <c:v>0.5</c:v>
                </c:pt>
                <c:pt idx="3">
                  <c:v>0.66666666666666663</c:v>
                </c:pt>
                <c:pt idx="4">
                  <c:v>0.5</c:v>
                </c:pt>
                <c:pt idx="5">
                  <c:v>0.4</c:v>
                </c:pt>
                <c:pt idx="6">
                  <c:v>0.5</c:v>
                </c:pt>
                <c:pt idx="7">
                  <c:v>0.5714285714285714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6E-41BF-A266-1116E0BBF4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ほたに2!$G$1:$G$2</c:f>
              <c:strCache>
                <c:ptCount val="2"/>
                <c:pt idx="0">
                  <c:v>ほたに</c:v>
                </c:pt>
                <c:pt idx="1">
                  <c:v>アガリ率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ほたに2!$A$3:$A$10</c:f>
              <c:numCache>
                <c:formatCode>0\ "回"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ほたに2!$G$3:$G$10</c:f>
              <c:numCache>
                <c:formatCode>0.0%</c:formatCode>
                <c:ptCount val="8"/>
                <c:pt idx="1">
                  <c:v>9.0909090909090912E-2</c:v>
                </c:pt>
                <c:pt idx="2">
                  <c:v>0.22222222222222221</c:v>
                </c:pt>
                <c:pt idx="3">
                  <c:v>0.17241379310344829</c:v>
                </c:pt>
                <c:pt idx="4">
                  <c:v>0.25</c:v>
                </c:pt>
                <c:pt idx="5">
                  <c:v>0.29166666666666669</c:v>
                </c:pt>
                <c:pt idx="6">
                  <c:v>0.25454545454545452</c:v>
                </c:pt>
                <c:pt idx="7">
                  <c:v>0.24193548387096775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CD-49E2-985A-5C6FC7504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93023255813953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ほたに2!$H$1:$H$2</c:f>
              <c:strCache>
                <c:ptCount val="2"/>
                <c:pt idx="0">
                  <c:v>ほたに</c:v>
                </c:pt>
                <c:pt idx="1">
                  <c:v>放銃率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ほたに2!$A$3:$A$10</c:f>
              <c:numCache>
                <c:formatCode>0\ "回"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ほたに2!$H$3:$H$10</c:f>
              <c:numCache>
                <c:formatCode>0.0%</c:formatCode>
                <c:ptCount val="8"/>
                <c:pt idx="1">
                  <c:v>0.27272727272727271</c:v>
                </c:pt>
                <c:pt idx="2">
                  <c:v>0.16666666666666666</c:v>
                </c:pt>
                <c:pt idx="3">
                  <c:v>0.20689655172413793</c:v>
                </c:pt>
                <c:pt idx="4">
                  <c:v>0.17499999999999999</c:v>
                </c:pt>
                <c:pt idx="5">
                  <c:v>0.16666666666666666</c:v>
                </c:pt>
                <c:pt idx="6">
                  <c:v>0.18181818181818182</c:v>
                </c:pt>
                <c:pt idx="7">
                  <c:v>0.19354838709677419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B4-4F77-82F7-F0F3CF1D6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7054263565891473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ほたに2!$I$1:$I$2</c:f>
              <c:strCache>
                <c:ptCount val="2"/>
                <c:pt idx="0">
                  <c:v>ほたに</c:v>
                </c:pt>
                <c:pt idx="1">
                  <c:v>平均アガリ点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ほたに2!$A$3:$A$10</c:f>
              <c:numCache>
                <c:formatCode>0\ "回"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ほたに2!$I$3:$I$10</c:f>
              <c:numCache>
                <c:formatCode>0</c:formatCode>
                <c:ptCount val="8"/>
                <c:pt idx="1">
                  <c:v>12000</c:v>
                </c:pt>
                <c:pt idx="2">
                  <c:v>9450</c:v>
                </c:pt>
                <c:pt idx="3">
                  <c:v>9960</c:v>
                </c:pt>
                <c:pt idx="4">
                  <c:v>7780</c:v>
                </c:pt>
                <c:pt idx="5">
                  <c:v>7914.2857142857147</c:v>
                </c:pt>
                <c:pt idx="6">
                  <c:v>7914.2857142857147</c:v>
                </c:pt>
                <c:pt idx="7">
                  <c:v>7473.333333333333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C9-4B64-9205-41354802BB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8202.469135802468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ほたに2!$J$1:$J$2</c:f>
              <c:strCache>
                <c:ptCount val="2"/>
                <c:pt idx="0">
                  <c:v>ほたに</c:v>
                </c:pt>
                <c:pt idx="1">
                  <c:v>平均放銃点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ほたに2!$A$3:$A$10</c:f>
              <c:numCache>
                <c:formatCode>0\ "回"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ほたに2!$J$3:$J$10</c:f>
              <c:numCache>
                <c:formatCode>0</c:formatCode>
                <c:ptCount val="8"/>
                <c:pt idx="1">
                  <c:v>-9333.3333333333339</c:v>
                </c:pt>
                <c:pt idx="2">
                  <c:v>-9333.3333333333339</c:v>
                </c:pt>
                <c:pt idx="3">
                  <c:v>-9333.3333333333339</c:v>
                </c:pt>
                <c:pt idx="4">
                  <c:v>-9142.8571428571431</c:v>
                </c:pt>
                <c:pt idx="5">
                  <c:v>-8962.5</c:v>
                </c:pt>
                <c:pt idx="6">
                  <c:v>-8140</c:v>
                </c:pt>
                <c:pt idx="7">
                  <c:v>-9075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0C-48CE-B085-A862FAE71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7713.93939393939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ほたに2!$K$1:$K$2</c:f>
              <c:strCache>
                <c:ptCount val="2"/>
                <c:pt idx="0">
                  <c:v>ほたに</c:v>
                </c:pt>
                <c:pt idx="1">
                  <c:v>ふっとび率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ほたに2!$A$3:$A$10</c:f>
              <c:numCache>
                <c:formatCode>0\ "回"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ほたに2!$K$3:$K$10</c:f>
              <c:numCache>
                <c:formatCode>0.0%</c:formatCode>
                <c:ptCount val="8"/>
                <c:pt idx="1">
                  <c:v>1</c:v>
                </c:pt>
                <c:pt idx="2">
                  <c:v>0.5</c:v>
                </c:pt>
                <c:pt idx="3">
                  <c:v>0.66666666666666663</c:v>
                </c:pt>
                <c:pt idx="4">
                  <c:v>0.5</c:v>
                </c:pt>
                <c:pt idx="5">
                  <c:v>0.4</c:v>
                </c:pt>
                <c:pt idx="6">
                  <c:v>0.5</c:v>
                </c:pt>
                <c:pt idx="7">
                  <c:v>0.5714285714285714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9F-483C-8BF9-3EEEDDBC1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066666666666666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ほたに2!$L$1:$L$2</c:f>
              <c:strCache>
                <c:ptCount val="2"/>
                <c:pt idx="0">
                  <c:v>ほたに</c:v>
                </c:pt>
                <c:pt idx="1">
                  <c:v>ふっとばし率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ほたに2!$A$3:$A$10</c:f>
              <c:numCache>
                <c:formatCode>0\ "回"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ほたに2!$L$3:$L$10</c:f>
              <c:numCache>
                <c:formatCode>0.0%</c:formatCode>
                <c:ptCount val="8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0.25</c:v>
                </c:pt>
                <c:pt idx="5">
                  <c:v>0.2</c:v>
                </c:pt>
                <c:pt idx="6">
                  <c:v>0.16666666666666666</c:v>
                </c:pt>
                <c:pt idx="7">
                  <c:v>0.14285714285714285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992-4F2D-9FFC-F117120418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066666666666666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ほたに2!$M$1:$M$2</c:f>
              <c:strCache>
                <c:ptCount val="2"/>
                <c:pt idx="0">
                  <c:v>ほたに</c:v>
                </c:pt>
                <c:pt idx="1">
                  <c:v>リーチ率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ほたに2!$A$3:$A$10</c:f>
              <c:numCache>
                <c:formatCode>0\ "回"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ほたに2!$M$3:$M$10</c:f>
              <c:numCache>
                <c:formatCode>0.0%</c:formatCode>
                <c:ptCount val="8"/>
                <c:pt idx="1">
                  <c:v>0.27272727272727271</c:v>
                </c:pt>
                <c:pt idx="2">
                  <c:v>0.27777777777777779</c:v>
                </c:pt>
                <c:pt idx="3">
                  <c:v>0.27586206896551724</c:v>
                </c:pt>
                <c:pt idx="4">
                  <c:v>0.27500000000000002</c:v>
                </c:pt>
                <c:pt idx="5">
                  <c:v>0.27083333333333331</c:v>
                </c:pt>
                <c:pt idx="6">
                  <c:v>0.23636363636363636</c:v>
                </c:pt>
                <c:pt idx="7">
                  <c:v>0.24193548387096775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8D-4737-A6AF-5494A4274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4754521963824289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ほたに2!$N$1:$N$2</c:f>
              <c:strCache>
                <c:ptCount val="2"/>
                <c:pt idx="0">
                  <c:v>ほたに</c:v>
                </c:pt>
                <c:pt idx="1">
                  <c:v>副露率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ほたに2!$A$3:$A$10</c:f>
              <c:numCache>
                <c:formatCode>0\ "回"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ほたに2!$N$3:$N$10</c:f>
              <c:numCache>
                <c:formatCode>0.0%</c:formatCode>
                <c:ptCount val="8"/>
                <c:pt idx="1">
                  <c:v>0.36363636363636365</c:v>
                </c:pt>
                <c:pt idx="2">
                  <c:v>0.33333333333333331</c:v>
                </c:pt>
                <c:pt idx="3">
                  <c:v>0.34482758620689657</c:v>
                </c:pt>
                <c:pt idx="4">
                  <c:v>0.35</c:v>
                </c:pt>
                <c:pt idx="5">
                  <c:v>0.375</c:v>
                </c:pt>
                <c:pt idx="6">
                  <c:v>0.38181818181818183</c:v>
                </c:pt>
                <c:pt idx="7">
                  <c:v>0.35483870967741937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AD-4CCE-BF2B-5C9AEAB8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470284237726098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ほたに2!$O$1:$O$2</c:f>
              <c:strCache>
                <c:ptCount val="2"/>
                <c:pt idx="0">
                  <c:v>ほたに</c:v>
                </c:pt>
                <c:pt idx="1">
                  <c:v>リーチ成功率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ほたに2!$A$3:$A$10</c:f>
              <c:numCache>
                <c:formatCode>0\ "回"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ほたに2!$O$3:$O$10</c:f>
              <c:numCache>
                <c:formatCode>0.0%</c:formatCode>
                <c:ptCount val="8"/>
                <c:pt idx="1">
                  <c:v>0.33333333333333331</c:v>
                </c:pt>
                <c:pt idx="2">
                  <c:v>0.4</c:v>
                </c:pt>
                <c:pt idx="3">
                  <c:v>0.375</c:v>
                </c:pt>
                <c:pt idx="4">
                  <c:v>0.45454545454545453</c:v>
                </c:pt>
                <c:pt idx="5">
                  <c:v>0.53846153846153844</c:v>
                </c:pt>
                <c:pt idx="6">
                  <c:v>0.53846153846153844</c:v>
                </c:pt>
                <c:pt idx="7">
                  <c:v>0.53333333333333333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B12-4F93-81A3-2013D91069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54279749478079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ほたに2!$P$1:$P$2</c:f>
              <c:strCache>
                <c:ptCount val="2"/>
                <c:pt idx="0">
                  <c:v>ほたに</c:v>
                </c:pt>
                <c:pt idx="1">
                  <c:v>副露成功率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ほたに2!$A$3:$A$10</c:f>
              <c:numCache>
                <c:formatCode>0\ "回"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ほたに2!$P$3:$P$10</c:f>
              <c:numCache>
                <c:formatCode>0.0%</c:formatCode>
                <c:ptCount val="8"/>
                <c:pt idx="1">
                  <c:v>0</c:v>
                </c:pt>
                <c:pt idx="2">
                  <c:v>0.33333333333333331</c:v>
                </c:pt>
                <c:pt idx="3">
                  <c:v>0.2</c:v>
                </c:pt>
                <c:pt idx="4">
                  <c:v>0.2857142857142857</c:v>
                </c:pt>
                <c:pt idx="5">
                  <c:v>0.33333333333333331</c:v>
                </c:pt>
                <c:pt idx="6">
                  <c:v>0.2857142857142857</c:v>
                </c:pt>
                <c:pt idx="7">
                  <c:v>0.27272727272727271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B5-4210-90DD-8BD1D614F2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246861924686192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ほたに2!$Q$1:$Q$2</c:f>
              <c:strCache>
                <c:ptCount val="2"/>
                <c:pt idx="0">
                  <c:v>ほたに</c:v>
                </c:pt>
                <c:pt idx="1">
                  <c:v>ツモ率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ほたに2!$A$3:$A$10</c:f>
              <c:numCache>
                <c:formatCode>0\ "回"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ほたに2!$Q$3:$Q$10</c:f>
              <c:numCache>
                <c:formatCode>0.0%</c:formatCode>
                <c:ptCount val="8"/>
                <c:pt idx="1">
                  <c:v>1</c:v>
                </c:pt>
                <c:pt idx="2">
                  <c:v>0.5</c:v>
                </c:pt>
                <c:pt idx="3">
                  <c:v>0.6</c:v>
                </c:pt>
                <c:pt idx="4">
                  <c:v>0.4</c:v>
                </c:pt>
                <c:pt idx="5">
                  <c:v>0.35714285714285715</c:v>
                </c:pt>
                <c:pt idx="6">
                  <c:v>0.35714285714285715</c:v>
                </c:pt>
                <c:pt idx="7">
                  <c:v>0.33333333333333331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D4-46D3-9A87-4D49E92CB3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144620811287477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chart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chart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chart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8DAB81F-B507-474C-8D8B-DB860531E829}">
  <sheetPr codeName="グラフ25"/>
  <sheetViews>
    <sheetView zoomScale="12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A0C9280-4942-49E0-8F9D-75380B045F17}">
  <sheetPr codeName="グラフ26"/>
  <sheetViews>
    <sheetView zoomScale="122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4723981-49EE-48B1-BCB7-B429207C980C}">
  <sheetPr codeName="グラフ11"/>
  <sheetViews>
    <sheetView zoomScale="122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8AF8B8E-18E6-4D45-8842-AD6B185B1DF1}">
  <sheetPr codeName="グラフ12"/>
  <sheetViews>
    <sheetView zoomScale="122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F4C223D-DB87-4162-9163-A21ED8DED6C0}">
  <sheetPr codeName="グラフ21"/>
  <sheetViews>
    <sheetView zoomScale="122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717A0A4-B5B2-4036-9115-D2707E42B987}">
  <sheetPr codeName="グラフ13"/>
  <sheetViews>
    <sheetView zoomScale="122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CA186E-FAC7-43D2-B5EC-98EE5D89B0F4}">
  <sheetPr codeName="グラフ14"/>
  <sheetViews>
    <sheetView zoomScale="122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9DEC94D-A0B4-4D52-ADFA-EBB7D1847F78}">
  <sheetPr codeName="グラフ15"/>
  <sheetViews>
    <sheetView zoomScale="122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1891DCD-354E-4AD2-BAEE-3F58C05B2E44}">
  <sheetPr codeName="グラフ16"/>
  <sheetViews>
    <sheetView zoomScale="122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486C32-CD1C-480C-B360-20B23A5B59B7}">
  <sheetPr codeName="グラフ17"/>
  <sheetViews>
    <sheetView zoomScale="122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C5968692-9151-4F00-BB2C-7A88127CC1FF}">
  <sheetPr codeName="グラフ18"/>
  <sheetViews>
    <sheetView zoomScale="122" workbookViewId="0" zoomToFit="1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F6232C9-A680-4D32-92D3-41314363256C}">
  <sheetPr codeName="グラフ19"/>
  <sheetViews>
    <sheetView zoomScale="122" workbookViewId="0" zoomToFit="1"/>
  </sheetViews>
  <pageMargins left="0.7" right="0.7" top="0.75" bottom="0.75" header="0.3" footer="0.3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4321832-619A-41F8-B4FC-63960B9825E7}">
  <sheetPr codeName="グラフ20"/>
  <sheetViews>
    <sheetView zoomScale="122" workbookViewId="0" zoomToFit="1"/>
  </sheetViews>
  <pageMargins left="0.7" right="0.7" top="0.75" bottom="0.75" header="0.3" footer="0.3"/>
  <drawing r:id="rId1"/>
</chartsheet>
</file>

<file path=xl/chartsheets/sheet1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B312A6CF-DA23-4E8E-8527-53CE5D2198AC}">
  <sheetPr codeName="グラフ27"/>
  <sheetViews>
    <sheetView zoomScale="122" workbookViewId="0" zoomToFit="1"/>
  </sheetViews>
  <pageMargins left="0.7" right="0.7" top="0.75" bottom="0.75" header="0.3" footer="0.3"/>
  <drawing r:id="rId1"/>
</chartsheet>
</file>

<file path=xl/chartsheets/sheet1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4CAB09A-FFF4-44E1-BDEB-CB1A99BD4045}">
  <sheetPr codeName="グラフ22"/>
  <sheetViews>
    <sheetView zoomScale="122" workbookViewId="0" zoomToFit="1"/>
  </sheetViews>
  <pageMargins left="0.7" right="0.7" top="0.75" bottom="0.75" header="0.3" footer="0.3"/>
  <drawing r:id="rId1"/>
</chartsheet>
</file>

<file path=xl/chartsheets/sheet1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2ECB117-108C-4447-B3EC-09099EA4D221}">
  <sheetPr codeName="グラフ23"/>
  <sheetViews>
    <sheetView zoomScale="122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8.xml"/><Relationship Id="rId1" Type="http://schemas.openxmlformats.org/officeDocument/2006/relationships/chart" Target="../charts/chart17.xm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19050</xdr:rowOff>
        </xdr:from>
        <xdr:to>
          <xdr:col>0</xdr:col>
          <xdr:colOff>428625</xdr:colOff>
          <xdr:row>0</xdr:row>
          <xdr:rowOff>219075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4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EAA60C37-ACE6-48D2-AEF5-8385479A581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CAEB00A2-1867-43A8-B631-1F312B05718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B3045235-34DB-4A5A-9A41-F8B4C4427A0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EAAC790A-7C85-4370-843C-2D9C7DEFB81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6CB52DDC-1E97-49E2-AFFC-FFF47CF5D85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5B079CD4-1DD7-4E04-9018-F12780CBDCA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CB2A5046-7BA8-4FF7-8D33-3855D98C618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3FDA7228-DBA7-48A8-8A72-6334F7CA240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CE3ABA32-7294-4E7A-BDAF-97D1914EDE6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ADB292A7-1CD2-4A57-A546-F96170A593F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C68693FE-1161-4787-97E0-3D399E3FD3B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94BE712B-9A8C-4645-BF9E-2185F2B38CA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3DCFA696-803E-45C9-9BB1-0C7F0B70A91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13688E79-3311-460D-8378-886512D4ACA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12CB90A8-1A6B-403E-AF6C-663C3D8E5F4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43943A7B-24A3-4E8F-A4E4-71FDBAE0FD4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BA4E8512-0770-4CA2-B53F-B5F02C52D01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81EB182F-1AD7-4D15-82AB-EC5CEC99D45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AB19CA88-C4D3-4D85-81C8-028EA2454EC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44E9023C-F67E-4F2B-9219-3A000721BBA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absoluteAnchor>
    <xdr:pos x="0" y="0"/>
    <xdr:ext cx="9294395" cy="6075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3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A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C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E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52"/>
  <sheetViews>
    <sheetView showGridLines="0" zoomScaleNormal="100" workbookViewId="0"/>
  </sheetViews>
  <sheetFormatPr defaultColWidth="9" defaultRowHeight="18.75" x14ac:dyDescent="0.4"/>
  <cols>
    <col min="1" max="1" width="13" style="1" customWidth="1"/>
    <col min="2" max="3" width="9" style="1" customWidth="1"/>
    <col min="4" max="4" width="3.625" style="1" customWidth="1"/>
    <col min="5" max="5" width="3.625" style="128" bestFit="1" customWidth="1"/>
    <col min="6" max="6" width="11" style="10" bestFit="1" customWidth="1"/>
    <col min="7" max="8" width="9" style="1" customWidth="1"/>
    <col min="9" max="9" width="9" style="33" customWidth="1"/>
    <col min="10" max="10" width="3.625" style="1" customWidth="1"/>
    <col min="11" max="11" width="3.5" style="5" customWidth="1"/>
    <col min="12" max="12" width="9" style="99" customWidth="1"/>
    <col min="13" max="13" width="3.625" style="1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1"/>
  </cols>
  <sheetData>
    <row r="1" spans="1:17" x14ac:dyDescent="0.4">
      <c r="A1" s="20" t="s">
        <v>0</v>
      </c>
      <c r="B1" s="148"/>
      <c r="C1" s="149"/>
      <c r="E1" s="129" t="s">
        <v>166</v>
      </c>
      <c r="F1" s="12" t="s">
        <v>116</v>
      </c>
      <c r="G1" s="26" t="s">
        <v>117</v>
      </c>
      <c r="H1" s="130" t="s">
        <v>118</v>
      </c>
      <c r="I1" s="100" t="s">
        <v>153</v>
      </c>
      <c r="K1" s="2" t="s">
        <v>20</v>
      </c>
      <c r="L1" s="35" t="s">
        <v>121</v>
      </c>
      <c r="M1" s="131"/>
      <c r="N1" s="113" t="s">
        <v>137</v>
      </c>
      <c r="O1" s="34" t="s">
        <v>138</v>
      </c>
      <c r="P1" s="117" t="s">
        <v>117</v>
      </c>
      <c r="Q1" s="101" t="s">
        <v>158</v>
      </c>
    </row>
    <row r="2" spans="1:17" x14ac:dyDescent="0.4">
      <c r="A2" s="21" t="s">
        <v>9</v>
      </c>
      <c r="B2" s="150">
        <v>0</v>
      </c>
      <c r="C2" s="151"/>
      <c r="E2" s="62" t="s">
        <v>65</v>
      </c>
      <c r="F2" s="27" t="s">
        <v>21</v>
      </c>
      <c r="G2" s="14">
        <v>0</v>
      </c>
      <c r="H2" s="132">
        <f>IF(B$17=0,0,G2/B$17)</f>
        <v>0</v>
      </c>
      <c r="I2" s="93"/>
      <c r="K2" s="3">
        <v>0</v>
      </c>
      <c r="L2" s="98">
        <v>0</v>
      </c>
      <c r="N2" s="114" t="s">
        <v>131</v>
      </c>
      <c r="O2" s="121">
        <f t="shared" ref="O2:O7" si="0">IF(P2=0,0,Q2/P2)</f>
        <v>0</v>
      </c>
      <c r="P2" s="118">
        <v>0</v>
      </c>
      <c r="Q2" s="102">
        <v>0</v>
      </c>
    </row>
    <row r="3" spans="1:17" x14ac:dyDescent="0.4">
      <c r="A3" s="22" t="s">
        <v>8</v>
      </c>
      <c r="B3" s="152">
        <v>0</v>
      </c>
      <c r="C3" s="153"/>
      <c r="E3" s="63" t="s">
        <v>66</v>
      </c>
      <c r="F3" s="28" t="s">
        <v>22</v>
      </c>
      <c r="G3" s="15">
        <v>0</v>
      </c>
      <c r="H3" s="133">
        <f t="shared" ref="H3:H50" si="1">IF(B$17=0,0,G3/B$17)</f>
        <v>0</v>
      </c>
      <c r="I3" s="94"/>
      <c r="N3" s="115" t="s">
        <v>132</v>
      </c>
      <c r="O3" s="122">
        <f t="shared" si="0"/>
        <v>0</v>
      </c>
      <c r="P3" s="119">
        <v>0</v>
      </c>
      <c r="Q3" s="103">
        <v>0</v>
      </c>
    </row>
    <row r="4" spans="1:17" x14ac:dyDescent="0.4">
      <c r="A4" s="22" t="s">
        <v>6</v>
      </c>
      <c r="B4" s="154">
        <v>0</v>
      </c>
      <c r="C4" s="155"/>
      <c r="E4" s="63" t="s">
        <v>67</v>
      </c>
      <c r="F4" s="28" t="s">
        <v>23</v>
      </c>
      <c r="G4" s="15">
        <v>0</v>
      </c>
      <c r="H4" s="133">
        <f t="shared" si="1"/>
        <v>0</v>
      </c>
      <c r="I4" s="94"/>
      <c r="N4" s="115" t="s">
        <v>133</v>
      </c>
      <c r="O4" s="122">
        <f t="shared" si="0"/>
        <v>0</v>
      </c>
      <c r="P4" s="119">
        <v>0</v>
      </c>
      <c r="Q4" s="103">
        <v>0</v>
      </c>
    </row>
    <row r="5" spans="1:17" x14ac:dyDescent="0.4">
      <c r="A5" s="22" t="s">
        <v>7</v>
      </c>
      <c r="B5" s="156">
        <f>IF(B$2=0,0,B$4/B$2)</f>
        <v>0</v>
      </c>
      <c r="C5" s="157"/>
      <c r="E5" s="63" t="s">
        <v>68</v>
      </c>
      <c r="F5" s="28" t="s">
        <v>24</v>
      </c>
      <c r="G5" s="15">
        <v>0</v>
      </c>
      <c r="H5" s="133">
        <f>IF(B$17=0,0,G5/B$17)</f>
        <v>0</v>
      </c>
      <c r="I5" s="94"/>
      <c r="N5" s="115" t="s">
        <v>134</v>
      </c>
      <c r="O5" s="122">
        <f t="shared" si="0"/>
        <v>0</v>
      </c>
      <c r="P5" s="119">
        <v>0</v>
      </c>
      <c r="Q5" s="103">
        <v>0</v>
      </c>
    </row>
    <row r="6" spans="1:17" x14ac:dyDescent="0.4">
      <c r="A6" s="22" t="s">
        <v>1</v>
      </c>
      <c r="B6" s="146">
        <f>IF(B$2=0,0,(B$7*1+B$8*2+B$9*3)/B$2)</f>
        <v>0</v>
      </c>
      <c r="C6" s="147"/>
      <c r="E6" s="63" t="s">
        <v>69</v>
      </c>
      <c r="F6" s="28" t="s">
        <v>12</v>
      </c>
      <c r="G6" s="15">
        <v>0</v>
      </c>
      <c r="H6" s="133">
        <f t="shared" si="1"/>
        <v>0</v>
      </c>
      <c r="I6" s="94"/>
      <c r="N6" s="115" t="s">
        <v>135</v>
      </c>
      <c r="O6" s="122">
        <f t="shared" si="0"/>
        <v>0</v>
      </c>
      <c r="P6" s="119">
        <v>0</v>
      </c>
      <c r="Q6" s="103">
        <v>0</v>
      </c>
    </row>
    <row r="7" spans="1:17" x14ac:dyDescent="0.4">
      <c r="A7" s="22" t="s">
        <v>2</v>
      </c>
      <c r="B7" s="15">
        <v>0</v>
      </c>
      <c r="C7" s="6">
        <f t="shared" ref="C7:C12" si="2">IF(B$2=0,0,B7/B$2)</f>
        <v>0</v>
      </c>
      <c r="E7" s="63" t="s">
        <v>70</v>
      </c>
      <c r="F7" s="28" t="s">
        <v>25</v>
      </c>
      <c r="G7" s="15">
        <v>0</v>
      </c>
      <c r="H7" s="133">
        <f t="shared" si="1"/>
        <v>0</v>
      </c>
      <c r="I7" s="94"/>
      <c r="N7" s="116" t="s">
        <v>136</v>
      </c>
      <c r="O7" s="123">
        <f t="shared" si="0"/>
        <v>0</v>
      </c>
      <c r="P7" s="120">
        <v>0</v>
      </c>
      <c r="Q7" s="104">
        <v>0</v>
      </c>
    </row>
    <row r="8" spans="1:17" x14ac:dyDescent="0.4">
      <c r="A8" s="22" t="s">
        <v>3</v>
      </c>
      <c r="B8" s="15">
        <v>0</v>
      </c>
      <c r="C8" s="6">
        <f t="shared" si="2"/>
        <v>0</v>
      </c>
      <c r="E8" s="63" t="s">
        <v>71</v>
      </c>
      <c r="F8" s="28" t="s">
        <v>26</v>
      </c>
      <c r="G8" s="15">
        <v>0</v>
      </c>
      <c r="H8" s="133">
        <f t="shared" si="1"/>
        <v>0</v>
      </c>
      <c r="I8" s="94"/>
      <c r="N8" s="43"/>
      <c r="O8" s="127"/>
      <c r="P8" s="111"/>
      <c r="Q8" s="109"/>
    </row>
    <row r="9" spans="1:17" x14ac:dyDescent="0.4">
      <c r="A9" s="23" t="s">
        <v>4</v>
      </c>
      <c r="B9" s="16">
        <v>0</v>
      </c>
      <c r="C9" s="7">
        <f t="shared" si="2"/>
        <v>0</v>
      </c>
      <c r="E9" s="63" t="s">
        <v>72</v>
      </c>
      <c r="F9" s="28" t="s">
        <v>27</v>
      </c>
      <c r="G9" s="15">
        <v>0</v>
      </c>
      <c r="H9" s="133">
        <f t="shared" si="1"/>
        <v>0</v>
      </c>
      <c r="I9" s="94"/>
      <c r="N9" s="113" t="s">
        <v>162</v>
      </c>
      <c r="O9" s="34" t="s">
        <v>121</v>
      </c>
      <c r="P9" s="117" t="s">
        <v>117</v>
      </c>
      <c r="Q9" s="105" t="s">
        <v>157</v>
      </c>
    </row>
    <row r="10" spans="1:17" x14ac:dyDescent="0.4">
      <c r="A10" s="23" t="s">
        <v>19</v>
      </c>
      <c r="B10" s="16">
        <v>0</v>
      </c>
      <c r="C10" s="7">
        <f t="shared" si="2"/>
        <v>0</v>
      </c>
      <c r="E10" s="63" t="s">
        <v>73</v>
      </c>
      <c r="F10" s="28" t="s">
        <v>28</v>
      </c>
      <c r="G10" s="15">
        <v>0</v>
      </c>
      <c r="H10" s="133">
        <f t="shared" si="1"/>
        <v>0</v>
      </c>
      <c r="I10" s="94"/>
      <c r="N10" s="114" t="s">
        <v>163</v>
      </c>
      <c r="O10" s="124">
        <f>IF(P10=0,0,Q10/P10)</f>
        <v>0</v>
      </c>
      <c r="P10" s="118">
        <v>0</v>
      </c>
      <c r="Q10" s="106">
        <v>0</v>
      </c>
    </row>
    <row r="11" spans="1:17" x14ac:dyDescent="0.4">
      <c r="A11" s="56" t="s">
        <v>139</v>
      </c>
      <c r="B11" s="48">
        <v>0</v>
      </c>
      <c r="C11" s="40">
        <f t="shared" si="2"/>
        <v>0</v>
      </c>
      <c r="E11" s="63" t="s">
        <v>74</v>
      </c>
      <c r="F11" s="28" t="s">
        <v>29</v>
      </c>
      <c r="G11" s="15">
        <v>0</v>
      </c>
      <c r="H11" s="133">
        <f t="shared" si="1"/>
        <v>0</v>
      </c>
      <c r="I11" s="94"/>
      <c r="N11" s="115" t="s">
        <v>164</v>
      </c>
      <c r="O11" s="125">
        <f>IF(P11=0,0,Q11/P11)</f>
        <v>0</v>
      </c>
      <c r="P11" s="119">
        <v>0</v>
      </c>
      <c r="Q11" s="107">
        <v>0</v>
      </c>
    </row>
    <row r="12" spans="1:17" x14ac:dyDescent="0.4">
      <c r="A12" s="57" t="s">
        <v>159</v>
      </c>
      <c r="B12" s="49">
        <v>0</v>
      </c>
      <c r="C12" s="42">
        <f t="shared" si="2"/>
        <v>0</v>
      </c>
      <c r="E12" s="63" t="s">
        <v>75</v>
      </c>
      <c r="F12" s="28" t="s">
        <v>30</v>
      </c>
      <c r="G12" s="15">
        <v>0</v>
      </c>
      <c r="H12" s="133">
        <f t="shared" si="1"/>
        <v>0</v>
      </c>
      <c r="I12" s="94"/>
      <c r="N12" s="116" t="s">
        <v>165</v>
      </c>
      <c r="O12" s="126">
        <f>IF(P12=0,0,Q12/P12)</f>
        <v>0</v>
      </c>
      <c r="P12" s="120">
        <v>0</v>
      </c>
      <c r="Q12" s="108">
        <v>0</v>
      </c>
    </row>
    <row r="13" spans="1:17" x14ac:dyDescent="0.4">
      <c r="A13" s="25" t="s">
        <v>122</v>
      </c>
      <c r="B13" s="17">
        <v>0</v>
      </c>
      <c r="C13" s="11">
        <f>IF(B$3=0,0,B13/B$3)</f>
        <v>0</v>
      </c>
      <c r="E13" s="63" t="s">
        <v>76</v>
      </c>
      <c r="F13" s="28" t="s">
        <v>31</v>
      </c>
      <c r="G13" s="15">
        <v>0</v>
      </c>
      <c r="H13" s="133">
        <f t="shared" si="1"/>
        <v>0</v>
      </c>
      <c r="I13" s="94"/>
      <c r="N13" s="33"/>
      <c r="O13" s="110"/>
      <c r="P13" s="112"/>
      <c r="Q13" s="110"/>
    </row>
    <row r="14" spans="1:17" x14ac:dyDescent="0.4">
      <c r="A14" s="22" t="s">
        <v>119</v>
      </c>
      <c r="B14" s="15">
        <v>0</v>
      </c>
      <c r="C14" s="6">
        <f>IF(B$3=0,0,B14/B$3)</f>
        <v>0</v>
      </c>
      <c r="E14" s="63" t="s">
        <v>77</v>
      </c>
      <c r="F14" s="28" t="s">
        <v>32</v>
      </c>
      <c r="G14" s="15">
        <v>0</v>
      </c>
      <c r="H14" s="133">
        <f t="shared" si="1"/>
        <v>0</v>
      </c>
      <c r="I14" s="94"/>
      <c r="N14" s="113" t="s">
        <v>154</v>
      </c>
      <c r="O14" s="34" t="s">
        <v>155</v>
      </c>
      <c r="P14" s="117" t="s">
        <v>156</v>
      </c>
      <c r="Q14" s="105" t="s">
        <v>157</v>
      </c>
    </row>
    <row r="15" spans="1:17" x14ac:dyDescent="0.4">
      <c r="A15" s="21" t="s">
        <v>124</v>
      </c>
      <c r="B15" s="14">
        <v>0</v>
      </c>
      <c r="C15" s="4">
        <f>IF(B$13=0,0,B15/B$13)</f>
        <v>0</v>
      </c>
      <c r="E15" s="63" t="s">
        <v>78</v>
      </c>
      <c r="F15" s="28" t="s">
        <v>33</v>
      </c>
      <c r="G15" s="15">
        <v>0</v>
      </c>
      <c r="H15" s="133">
        <f t="shared" si="1"/>
        <v>0</v>
      </c>
      <c r="I15" s="94"/>
      <c r="N15" s="114"/>
      <c r="O15" s="124"/>
      <c r="P15" s="118"/>
      <c r="Q15" s="106"/>
    </row>
    <row r="16" spans="1:17" x14ac:dyDescent="0.4">
      <c r="A16" s="21" t="s">
        <v>125</v>
      </c>
      <c r="B16" s="14">
        <v>0</v>
      </c>
      <c r="C16" s="4">
        <f>IF(B$14=0,0,B16/B$14)</f>
        <v>0</v>
      </c>
      <c r="E16" s="63" t="s">
        <v>79</v>
      </c>
      <c r="F16" s="28" t="s">
        <v>34</v>
      </c>
      <c r="G16" s="15">
        <v>0</v>
      </c>
      <c r="H16" s="133">
        <f t="shared" si="1"/>
        <v>0</v>
      </c>
      <c r="I16" s="94"/>
    </row>
    <row r="17" spans="1:9" x14ac:dyDescent="0.4">
      <c r="A17" s="21" t="s">
        <v>10</v>
      </c>
      <c r="B17" s="14">
        <f>B19+B18</f>
        <v>0</v>
      </c>
      <c r="C17" s="4">
        <f>IF(B$3=0,0,B17/B$3)</f>
        <v>0</v>
      </c>
      <c r="E17" s="63" t="s">
        <v>80</v>
      </c>
      <c r="F17" s="28" t="s">
        <v>35</v>
      </c>
      <c r="G17" s="15">
        <v>0</v>
      </c>
      <c r="H17" s="133">
        <f t="shared" si="1"/>
        <v>0</v>
      </c>
      <c r="I17" s="94"/>
    </row>
    <row r="18" spans="1:9" x14ac:dyDescent="0.4">
      <c r="A18" s="22" t="s">
        <v>12</v>
      </c>
      <c r="B18" s="15">
        <v>0</v>
      </c>
      <c r="C18" s="6">
        <f>IF(B$17=0,0,B18/B$17)</f>
        <v>0</v>
      </c>
      <c r="E18" s="63" t="s">
        <v>81</v>
      </c>
      <c r="F18" s="28" t="s">
        <v>36</v>
      </c>
      <c r="G18" s="15">
        <v>0</v>
      </c>
      <c r="H18" s="133">
        <f t="shared" si="1"/>
        <v>0</v>
      </c>
      <c r="I18" s="94"/>
    </row>
    <row r="19" spans="1:9" x14ac:dyDescent="0.4">
      <c r="A19" s="22" t="s">
        <v>11</v>
      </c>
      <c r="B19" s="15">
        <v>0</v>
      </c>
      <c r="C19" s="6">
        <f>IF(B$17=0,0,B19/B$17)</f>
        <v>0</v>
      </c>
      <c r="E19" s="63" t="s">
        <v>82</v>
      </c>
      <c r="F19" s="28" t="s">
        <v>37</v>
      </c>
      <c r="G19" s="15">
        <v>0</v>
      </c>
      <c r="H19" s="133">
        <f t="shared" si="1"/>
        <v>0</v>
      </c>
      <c r="I19" s="94"/>
    </row>
    <row r="20" spans="1:9" x14ac:dyDescent="0.4">
      <c r="A20" s="55" t="s">
        <v>13</v>
      </c>
      <c r="B20" s="47">
        <v>0</v>
      </c>
      <c r="C20" s="39">
        <f>IF(B$3=0,0,B20/B$3)</f>
        <v>0</v>
      </c>
      <c r="E20" s="63" t="s">
        <v>83</v>
      </c>
      <c r="F20" s="28" t="s">
        <v>38</v>
      </c>
      <c r="G20" s="15">
        <v>0</v>
      </c>
      <c r="H20" s="133">
        <f t="shared" si="1"/>
        <v>0</v>
      </c>
      <c r="I20" s="94"/>
    </row>
    <row r="21" spans="1:9" x14ac:dyDescent="0.4">
      <c r="A21" s="55" t="s">
        <v>170</v>
      </c>
      <c r="B21" s="47">
        <v>0</v>
      </c>
      <c r="C21" s="135">
        <v>0</v>
      </c>
      <c r="E21" s="63" t="s">
        <v>84</v>
      </c>
      <c r="F21" s="28" t="s">
        <v>39</v>
      </c>
      <c r="G21" s="15">
        <v>0</v>
      </c>
      <c r="H21" s="133">
        <f t="shared" si="1"/>
        <v>0</v>
      </c>
      <c r="I21" s="94"/>
    </row>
    <row r="22" spans="1:9" x14ac:dyDescent="0.4">
      <c r="A22" s="22" t="s">
        <v>171</v>
      </c>
      <c r="B22" s="15">
        <v>0</v>
      </c>
      <c r="C22" s="135">
        <v>0</v>
      </c>
      <c r="E22" s="63" t="s">
        <v>85</v>
      </c>
      <c r="F22" s="28" t="s">
        <v>40</v>
      </c>
      <c r="G22" s="15">
        <v>0</v>
      </c>
      <c r="H22" s="133">
        <f t="shared" si="1"/>
        <v>0</v>
      </c>
      <c r="I22" s="94"/>
    </row>
    <row r="23" spans="1:9" x14ac:dyDescent="0.4">
      <c r="A23" s="22" t="s">
        <v>5</v>
      </c>
      <c r="B23" s="18">
        <f>IF(B$17=0,0,C23/B$17)</f>
        <v>0</v>
      </c>
      <c r="C23" s="8">
        <v>0</v>
      </c>
      <c r="E23" s="63" t="s">
        <v>86</v>
      </c>
      <c r="F23" s="28" t="s">
        <v>41</v>
      </c>
      <c r="G23" s="15">
        <v>0</v>
      </c>
      <c r="H23" s="133">
        <f t="shared" si="1"/>
        <v>0</v>
      </c>
      <c r="I23" s="94"/>
    </row>
    <row r="24" spans="1:9" x14ac:dyDescent="0.4">
      <c r="A24" s="24" t="s">
        <v>14</v>
      </c>
      <c r="B24" s="19">
        <f>IF(B$20=0,0,C24/B$20)</f>
        <v>0</v>
      </c>
      <c r="C24" s="13">
        <v>0</v>
      </c>
      <c r="E24" s="63" t="s">
        <v>87</v>
      </c>
      <c r="F24" s="28" t="s">
        <v>42</v>
      </c>
      <c r="G24" s="15">
        <v>0</v>
      </c>
      <c r="H24" s="133">
        <f t="shared" si="1"/>
        <v>0</v>
      </c>
      <c r="I24" s="94"/>
    </row>
    <row r="25" spans="1:9" x14ac:dyDescent="0.4">
      <c r="A25" s="90" t="s">
        <v>141</v>
      </c>
      <c r="B25" s="144">
        <v>0</v>
      </c>
      <c r="C25" s="145"/>
      <c r="E25" s="63" t="s">
        <v>88</v>
      </c>
      <c r="F25" s="28" t="s">
        <v>43</v>
      </c>
      <c r="G25" s="15">
        <v>0</v>
      </c>
      <c r="H25" s="133">
        <f t="shared" si="1"/>
        <v>0</v>
      </c>
      <c r="I25" s="94"/>
    </row>
    <row r="26" spans="1:9" x14ac:dyDescent="0.4">
      <c r="A26" s="58" t="s">
        <v>151</v>
      </c>
      <c r="B26" s="142">
        <v>-1000000</v>
      </c>
      <c r="C26" s="143"/>
      <c r="E26" s="63" t="s">
        <v>89</v>
      </c>
      <c r="F26" s="28" t="s">
        <v>44</v>
      </c>
      <c r="G26" s="15">
        <v>0</v>
      </c>
      <c r="H26" s="133">
        <f t="shared" si="1"/>
        <v>0</v>
      </c>
      <c r="I26" s="94"/>
    </row>
    <row r="27" spans="1:9" x14ac:dyDescent="0.4">
      <c r="A27" s="24" t="s">
        <v>142</v>
      </c>
      <c r="B27" s="32">
        <v>0</v>
      </c>
      <c r="C27" s="9">
        <f>IF(B$3=0,0,B27/B$3)</f>
        <v>0</v>
      </c>
      <c r="E27" s="63" t="s">
        <v>90</v>
      </c>
      <c r="F27" s="28" t="s">
        <v>45</v>
      </c>
      <c r="G27" s="15">
        <v>0</v>
      </c>
      <c r="H27" s="133">
        <f t="shared" si="1"/>
        <v>0</v>
      </c>
      <c r="I27" s="94"/>
    </row>
    <row r="28" spans="1:9" x14ac:dyDescent="0.4">
      <c r="E28" s="63" t="s">
        <v>91</v>
      </c>
      <c r="F28" s="28" t="s">
        <v>46</v>
      </c>
      <c r="G28" s="15">
        <v>0</v>
      </c>
      <c r="H28" s="133">
        <f t="shared" si="1"/>
        <v>0</v>
      </c>
      <c r="I28" s="94"/>
    </row>
    <row r="29" spans="1:9" x14ac:dyDescent="0.4">
      <c r="E29" s="63" t="s">
        <v>92</v>
      </c>
      <c r="F29" s="28" t="s">
        <v>47</v>
      </c>
      <c r="G29" s="15">
        <v>0</v>
      </c>
      <c r="H29" s="133">
        <f t="shared" si="1"/>
        <v>0</v>
      </c>
      <c r="I29" s="94"/>
    </row>
    <row r="30" spans="1:9" x14ac:dyDescent="0.4">
      <c r="E30" s="63" t="s">
        <v>93</v>
      </c>
      <c r="F30" s="28" t="s">
        <v>48</v>
      </c>
      <c r="G30" s="15">
        <v>0</v>
      </c>
      <c r="H30" s="133">
        <f t="shared" si="1"/>
        <v>0</v>
      </c>
      <c r="I30" s="94"/>
    </row>
    <row r="31" spans="1:9" x14ac:dyDescent="0.4">
      <c r="E31" s="63" t="s">
        <v>94</v>
      </c>
      <c r="F31" s="28" t="s">
        <v>49</v>
      </c>
      <c r="G31" s="15">
        <v>0</v>
      </c>
      <c r="H31" s="133">
        <f t="shared" si="1"/>
        <v>0</v>
      </c>
      <c r="I31" s="94"/>
    </row>
    <row r="32" spans="1:9" x14ac:dyDescent="0.4">
      <c r="E32" s="63" t="s">
        <v>95</v>
      </c>
      <c r="F32" s="28" t="s">
        <v>50</v>
      </c>
      <c r="G32" s="15">
        <v>0</v>
      </c>
      <c r="H32" s="133">
        <f t="shared" si="1"/>
        <v>0</v>
      </c>
      <c r="I32" s="94"/>
    </row>
    <row r="33" spans="5:9" x14ac:dyDescent="0.4">
      <c r="E33" s="63" t="s">
        <v>96</v>
      </c>
      <c r="F33" s="28" t="s">
        <v>51</v>
      </c>
      <c r="G33" s="15">
        <v>0</v>
      </c>
      <c r="H33" s="133">
        <f t="shared" si="1"/>
        <v>0</v>
      </c>
      <c r="I33" s="94"/>
    </row>
    <row r="34" spans="5:9" x14ac:dyDescent="0.4">
      <c r="E34" s="63" t="s">
        <v>97</v>
      </c>
      <c r="F34" s="28" t="s">
        <v>52</v>
      </c>
      <c r="G34" s="15">
        <v>0</v>
      </c>
      <c r="H34" s="133">
        <f t="shared" si="1"/>
        <v>0</v>
      </c>
      <c r="I34" s="94"/>
    </row>
    <row r="35" spans="5:9" x14ac:dyDescent="0.4">
      <c r="E35" s="63" t="s">
        <v>98</v>
      </c>
      <c r="F35" s="28" t="s">
        <v>53</v>
      </c>
      <c r="G35" s="15">
        <v>0</v>
      </c>
      <c r="H35" s="133">
        <f t="shared" si="1"/>
        <v>0</v>
      </c>
      <c r="I35" s="94"/>
    </row>
    <row r="36" spans="5:9" x14ac:dyDescent="0.4">
      <c r="E36" s="63" t="s">
        <v>99</v>
      </c>
      <c r="F36" s="28" t="s">
        <v>54</v>
      </c>
      <c r="G36" s="15">
        <v>0</v>
      </c>
      <c r="H36" s="133">
        <f t="shared" si="1"/>
        <v>0</v>
      </c>
      <c r="I36" s="94"/>
    </row>
    <row r="37" spans="5:9" x14ac:dyDescent="0.4">
      <c r="E37" s="63" t="s">
        <v>100</v>
      </c>
      <c r="F37" s="28" t="s">
        <v>55</v>
      </c>
      <c r="G37" s="15">
        <v>0</v>
      </c>
      <c r="H37" s="133">
        <f t="shared" si="1"/>
        <v>0</v>
      </c>
      <c r="I37" s="94"/>
    </row>
    <row r="38" spans="5:9" x14ac:dyDescent="0.4">
      <c r="E38" s="63" t="s">
        <v>101</v>
      </c>
      <c r="F38" s="28" t="s">
        <v>56</v>
      </c>
      <c r="G38" s="15">
        <v>0</v>
      </c>
      <c r="H38" s="133">
        <f t="shared" si="1"/>
        <v>0</v>
      </c>
      <c r="I38" s="94"/>
    </row>
    <row r="39" spans="5:9" x14ac:dyDescent="0.4">
      <c r="E39" s="63" t="s">
        <v>102</v>
      </c>
      <c r="F39" s="28" t="s">
        <v>57</v>
      </c>
      <c r="G39" s="15">
        <v>0</v>
      </c>
      <c r="H39" s="133">
        <f t="shared" si="1"/>
        <v>0</v>
      </c>
      <c r="I39" s="94"/>
    </row>
    <row r="40" spans="5:9" x14ac:dyDescent="0.4">
      <c r="E40" s="63" t="s">
        <v>103</v>
      </c>
      <c r="F40" s="28" t="s">
        <v>58</v>
      </c>
      <c r="G40" s="15">
        <v>0</v>
      </c>
      <c r="H40" s="133">
        <f t="shared" si="1"/>
        <v>0</v>
      </c>
      <c r="I40" s="94"/>
    </row>
    <row r="41" spans="5:9" x14ac:dyDescent="0.4">
      <c r="E41" s="63" t="s">
        <v>104</v>
      </c>
      <c r="F41" s="28" t="s">
        <v>59</v>
      </c>
      <c r="G41" s="15">
        <v>0</v>
      </c>
      <c r="H41" s="133">
        <f t="shared" si="1"/>
        <v>0</v>
      </c>
      <c r="I41" s="94"/>
    </row>
    <row r="42" spans="5:9" x14ac:dyDescent="0.4">
      <c r="E42" s="63" t="s">
        <v>105</v>
      </c>
      <c r="F42" s="28" t="s">
        <v>60</v>
      </c>
      <c r="G42" s="15">
        <v>0</v>
      </c>
      <c r="H42" s="133">
        <f t="shared" si="1"/>
        <v>0</v>
      </c>
      <c r="I42" s="94"/>
    </row>
    <row r="43" spans="5:9" x14ac:dyDescent="0.4">
      <c r="E43" s="63" t="s">
        <v>106</v>
      </c>
      <c r="F43" s="28" t="s">
        <v>113</v>
      </c>
      <c r="G43" s="15">
        <v>0</v>
      </c>
      <c r="H43" s="133">
        <f t="shared" si="1"/>
        <v>0</v>
      </c>
      <c r="I43" s="94"/>
    </row>
    <row r="44" spans="5:9" x14ac:dyDescent="0.4">
      <c r="E44" s="63" t="s">
        <v>107</v>
      </c>
      <c r="F44" s="28" t="s">
        <v>114</v>
      </c>
      <c r="G44" s="15">
        <v>0</v>
      </c>
      <c r="H44" s="133">
        <f t="shared" si="1"/>
        <v>0</v>
      </c>
      <c r="I44" s="94"/>
    </row>
    <row r="45" spans="5:9" x14ac:dyDescent="0.4">
      <c r="E45" s="63" t="s">
        <v>108</v>
      </c>
      <c r="F45" s="28" t="s">
        <v>115</v>
      </c>
      <c r="G45" s="15">
        <v>0</v>
      </c>
      <c r="H45" s="133">
        <f t="shared" si="1"/>
        <v>0</v>
      </c>
      <c r="I45" s="94"/>
    </row>
    <row r="46" spans="5:9" x14ac:dyDescent="0.4">
      <c r="E46" s="63" t="s">
        <v>109</v>
      </c>
      <c r="F46" s="28" t="s">
        <v>61</v>
      </c>
      <c r="G46" s="15">
        <v>0</v>
      </c>
      <c r="H46" s="133">
        <f t="shared" si="1"/>
        <v>0</v>
      </c>
      <c r="I46" s="94"/>
    </row>
    <row r="47" spans="5:9" x14ac:dyDescent="0.4">
      <c r="E47" s="63" t="s">
        <v>110</v>
      </c>
      <c r="F47" s="28" t="s">
        <v>62</v>
      </c>
      <c r="G47" s="15">
        <v>0</v>
      </c>
      <c r="H47" s="133">
        <f t="shared" si="1"/>
        <v>0</v>
      </c>
      <c r="I47" s="94"/>
    </row>
    <row r="48" spans="5:9" x14ac:dyDescent="0.4">
      <c r="E48" s="63" t="s">
        <v>111</v>
      </c>
      <c r="F48" s="28" t="s">
        <v>63</v>
      </c>
      <c r="G48" s="15">
        <v>0</v>
      </c>
      <c r="H48" s="133">
        <f t="shared" si="1"/>
        <v>0</v>
      </c>
      <c r="I48" s="94"/>
    </row>
    <row r="49" spans="5:9" x14ac:dyDescent="0.4">
      <c r="E49" s="63" t="s">
        <v>112</v>
      </c>
      <c r="F49" s="60" t="s">
        <v>64</v>
      </c>
      <c r="G49" s="47">
        <v>0</v>
      </c>
      <c r="H49" s="133">
        <f t="shared" si="1"/>
        <v>0</v>
      </c>
      <c r="I49" s="94"/>
    </row>
    <row r="50" spans="5:9" x14ac:dyDescent="0.4">
      <c r="E50" s="63" t="s">
        <v>168</v>
      </c>
      <c r="F50" s="60" t="s">
        <v>169</v>
      </c>
      <c r="G50" s="47">
        <v>0</v>
      </c>
      <c r="H50" s="133">
        <f t="shared" si="1"/>
        <v>0</v>
      </c>
      <c r="I50" s="94"/>
    </row>
    <row r="51" spans="5:9" x14ac:dyDescent="0.4">
      <c r="E51" s="136" t="s">
        <v>172</v>
      </c>
      <c r="F51" s="137" t="s">
        <v>173</v>
      </c>
      <c r="G51" s="48">
        <v>0</v>
      </c>
      <c r="H51" s="138">
        <f>IF(B$17=0,0,G51/B$17)</f>
        <v>0</v>
      </c>
      <c r="I51" s="139"/>
    </row>
    <row r="52" spans="5:9" x14ac:dyDescent="0.4">
      <c r="E52" s="64" t="s">
        <v>174</v>
      </c>
      <c r="F52" s="61" t="s">
        <v>175</v>
      </c>
      <c r="G52" s="49">
        <v>0</v>
      </c>
      <c r="H52" s="134">
        <f>IF(B$17=0,0,G52/B$17)</f>
        <v>0</v>
      </c>
      <c r="I52" s="95"/>
    </row>
  </sheetData>
  <mergeCells count="8">
    <mergeCell ref="B26:C26"/>
    <mergeCell ref="B25:C25"/>
    <mergeCell ref="B6:C6"/>
    <mergeCell ref="B1:C1"/>
    <mergeCell ref="B2:C2"/>
    <mergeCell ref="B3:C3"/>
    <mergeCell ref="B4:C4"/>
    <mergeCell ref="B5:C5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L25"/>
  <sheetViews>
    <sheetView workbookViewId="0"/>
  </sheetViews>
  <sheetFormatPr defaultColWidth="9" defaultRowHeight="18.75" x14ac:dyDescent="0.4"/>
  <cols>
    <col min="1" max="1" width="19.25" style="30" customWidth="1"/>
    <col min="2" max="2" width="19.25" style="31" customWidth="1"/>
    <col min="3" max="16384" width="9" style="30"/>
  </cols>
  <sheetData>
    <row r="1" spans="1:12" x14ac:dyDescent="0.4">
      <c r="A1" s="29">
        <v>32874</v>
      </c>
      <c r="B1" s="29">
        <v>2958465</v>
      </c>
    </row>
    <row r="2" spans="1:12" x14ac:dyDescent="0.4">
      <c r="A2" s="30" t="s">
        <v>176</v>
      </c>
      <c r="B2" s="31">
        <v>43735.329375000001</v>
      </c>
      <c r="C2" s="30" t="s">
        <v>129</v>
      </c>
      <c r="D2" s="30" t="s">
        <v>130</v>
      </c>
    </row>
    <row r="3" spans="1:12" x14ac:dyDescent="0.4">
      <c r="A3" s="30" t="s">
        <v>177</v>
      </c>
      <c r="B3" s="31">
        <v>43735.329293981478</v>
      </c>
      <c r="C3" s="30" t="s">
        <v>129</v>
      </c>
    </row>
    <row r="4" spans="1:12" x14ac:dyDescent="0.4">
      <c r="A4" s="30" t="s">
        <v>181</v>
      </c>
      <c r="B4" s="31">
        <v>43735.329201388886</v>
      </c>
      <c r="C4" s="30" t="s">
        <v>129</v>
      </c>
    </row>
    <row r="5" spans="1:12" x14ac:dyDescent="0.4">
      <c r="A5" s="30" t="s">
        <v>184</v>
      </c>
      <c r="B5" s="31">
        <v>43737.872604166667</v>
      </c>
      <c r="C5" s="30" t="s">
        <v>129</v>
      </c>
      <c r="D5" s="30" t="s">
        <v>130</v>
      </c>
      <c r="E5" s="30" t="s">
        <v>185</v>
      </c>
      <c r="F5" s="30" t="s">
        <v>186</v>
      </c>
      <c r="G5" s="30" t="s">
        <v>187</v>
      </c>
      <c r="H5" s="30" t="s">
        <v>188</v>
      </c>
    </row>
    <row r="6" spans="1:12" x14ac:dyDescent="0.4">
      <c r="A6" s="30" t="s">
        <v>189</v>
      </c>
      <c r="B6" s="31">
        <v>43737.872604166667</v>
      </c>
      <c r="C6" s="30" t="s">
        <v>129</v>
      </c>
      <c r="D6" s="30" t="s">
        <v>130</v>
      </c>
      <c r="E6" s="30" t="s">
        <v>185</v>
      </c>
    </row>
    <row r="7" spans="1:12" x14ac:dyDescent="0.4">
      <c r="A7" s="30" t="s">
        <v>190</v>
      </c>
      <c r="B7" s="31">
        <v>43737.873645833337</v>
      </c>
      <c r="C7" s="30" t="s">
        <v>129</v>
      </c>
      <c r="D7" s="30" t="s">
        <v>130</v>
      </c>
      <c r="E7" s="30" t="s">
        <v>185</v>
      </c>
      <c r="F7" s="30" t="s">
        <v>186</v>
      </c>
      <c r="G7" s="30" t="s">
        <v>187</v>
      </c>
      <c r="H7" s="30" t="s">
        <v>188</v>
      </c>
      <c r="I7" s="30" t="s">
        <v>191</v>
      </c>
      <c r="J7" s="30" t="s">
        <v>192</v>
      </c>
      <c r="K7" s="30" t="s">
        <v>193</v>
      </c>
      <c r="L7" s="30" t="s">
        <v>194</v>
      </c>
    </row>
    <row r="8" spans="1:12" x14ac:dyDescent="0.4">
      <c r="A8" s="30" t="s">
        <v>198</v>
      </c>
      <c r="B8" s="31">
        <v>43739.760312500002</v>
      </c>
      <c r="C8" s="30" t="s">
        <v>129</v>
      </c>
    </row>
    <row r="9" spans="1:12" x14ac:dyDescent="0.4">
      <c r="A9" s="30" t="s">
        <v>195</v>
      </c>
      <c r="B9" s="31">
        <v>43739.760069444441</v>
      </c>
      <c r="C9" s="30" t="s">
        <v>130</v>
      </c>
      <c r="D9" s="30" t="s">
        <v>185</v>
      </c>
      <c r="E9" s="30" t="s">
        <v>129</v>
      </c>
    </row>
    <row r="10" spans="1:12" x14ac:dyDescent="0.4">
      <c r="A10" s="30" t="s">
        <v>197</v>
      </c>
      <c r="B10" s="31">
        <v>43742.090381944443</v>
      </c>
      <c r="C10" s="30" t="s">
        <v>129</v>
      </c>
      <c r="D10" s="30" t="s">
        <v>130</v>
      </c>
      <c r="E10" s="30" t="s">
        <v>185</v>
      </c>
      <c r="F10" s="30" t="s">
        <v>186</v>
      </c>
      <c r="G10" s="30" t="s">
        <v>187</v>
      </c>
      <c r="H10" s="30" t="s">
        <v>188</v>
      </c>
    </row>
    <row r="11" spans="1:12" x14ac:dyDescent="0.4">
      <c r="A11" s="30" t="s">
        <v>199</v>
      </c>
      <c r="B11" s="31">
        <v>43742.090381944443</v>
      </c>
      <c r="C11" s="30" t="s">
        <v>129</v>
      </c>
    </row>
    <row r="12" spans="1:12" x14ac:dyDescent="0.4">
      <c r="A12" s="30" t="s">
        <v>200</v>
      </c>
      <c r="B12" s="31">
        <v>43742.090381944443</v>
      </c>
      <c r="C12" s="30" t="s">
        <v>129</v>
      </c>
      <c r="D12" s="30" t="s">
        <v>130</v>
      </c>
      <c r="E12" s="30" t="s">
        <v>185</v>
      </c>
    </row>
    <row r="13" spans="1:12" x14ac:dyDescent="0.4">
      <c r="A13" s="30" t="s">
        <v>202</v>
      </c>
      <c r="B13" s="31">
        <v>43742.090381944443</v>
      </c>
      <c r="C13" s="30" t="s">
        <v>129</v>
      </c>
      <c r="D13" s="30" t="s">
        <v>130</v>
      </c>
    </row>
    <row r="14" spans="1:12" x14ac:dyDescent="0.4">
      <c r="A14" s="30" t="s">
        <v>201</v>
      </c>
      <c r="B14" s="31">
        <v>43745.602835648147</v>
      </c>
      <c r="C14" s="30" t="s">
        <v>129</v>
      </c>
      <c r="D14" s="30" t="s">
        <v>130</v>
      </c>
      <c r="E14" s="30" t="s">
        <v>185</v>
      </c>
      <c r="F14" s="30" t="s">
        <v>186</v>
      </c>
    </row>
    <row r="15" spans="1:12" x14ac:dyDescent="0.4">
      <c r="A15" s="30" t="s">
        <v>203</v>
      </c>
      <c r="B15" s="31">
        <v>43745.024594907409</v>
      </c>
      <c r="C15" s="30" t="s">
        <v>129</v>
      </c>
      <c r="D15" s="30" t="s">
        <v>130</v>
      </c>
    </row>
    <row r="16" spans="1:12" x14ac:dyDescent="0.4">
      <c r="A16" s="30" t="s">
        <v>204</v>
      </c>
      <c r="B16" s="31">
        <v>43745.602847222224</v>
      </c>
      <c r="C16" s="30" t="s">
        <v>129</v>
      </c>
      <c r="D16" s="30" t="s">
        <v>130</v>
      </c>
      <c r="E16" s="30" t="s">
        <v>185</v>
      </c>
      <c r="F16" s="30" t="s">
        <v>186</v>
      </c>
    </row>
    <row r="17" spans="1:12" x14ac:dyDescent="0.4">
      <c r="A17" s="30" t="s">
        <v>205</v>
      </c>
      <c r="B17" s="31">
        <v>43745.602847222224</v>
      </c>
      <c r="C17" s="30" t="s">
        <v>129</v>
      </c>
      <c r="D17" s="30" t="s">
        <v>130</v>
      </c>
    </row>
    <row r="18" spans="1:12" x14ac:dyDescent="0.4">
      <c r="A18" s="30" t="s">
        <v>206</v>
      </c>
      <c r="B18" s="31">
        <v>43745.024594907409</v>
      </c>
      <c r="C18" s="30" t="s">
        <v>129</v>
      </c>
    </row>
    <row r="19" spans="1:12" x14ac:dyDescent="0.4">
      <c r="A19" s="30" t="s">
        <v>207</v>
      </c>
      <c r="B19" s="31">
        <v>43748.026620370372</v>
      </c>
      <c r="C19" s="30" t="s">
        <v>129</v>
      </c>
    </row>
    <row r="20" spans="1:12" x14ac:dyDescent="0.4">
      <c r="A20" s="30" t="s">
        <v>208</v>
      </c>
      <c r="B20" s="31">
        <v>43748.026620370372</v>
      </c>
      <c r="C20" s="30" t="s">
        <v>129</v>
      </c>
      <c r="D20" s="30" t="s">
        <v>130</v>
      </c>
    </row>
    <row r="21" spans="1:12" x14ac:dyDescent="0.4">
      <c r="A21" s="30" t="s">
        <v>209</v>
      </c>
      <c r="B21" s="31">
        <v>43748.026620370372</v>
      </c>
      <c r="C21" s="30" t="s">
        <v>129</v>
      </c>
    </row>
    <row r="22" spans="1:12" x14ac:dyDescent="0.4">
      <c r="A22" s="30" t="s">
        <v>210</v>
      </c>
      <c r="B22" s="31">
        <v>43748.026620370372</v>
      </c>
      <c r="C22" s="30" t="s">
        <v>129</v>
      </c>
      <c r="D22" s="30" t="s">
        <v>130</v>
      </c>
      <c r="E22" s="30" t="s">
        <v>185</v>
      </c>
    </row>
    <row r="23" spans="1:12" x14ac:dyDescent="0.4">
      <c r="A23" s="30" t="s">
        <v>211</v>
      </c>
      <c r="B23" s="31">
        <v>43748.026620370372</v>
      </c>
      <c r="C23" s="30" t="s">
        <v>129</v>
      </c>
    </row>
    <row r="24" spans="1:12" x14ac:dyDescent="0.4">
      <c r="A24" s="30" t="s">
        <v>212</v>
      </c>
      <c r="B24" s="31">
        <v>43751.127928240741</v>
      </c>
      <c r="C24" s="30" t="s">
        <v>129</v>
      </c>
      <c r="D24" s="30" t="s">
        <v>130</v>
      </c>
      <c r="E24" s="30" t="s">
        <v>185</v>
      </c>
      <c r="F24" s="30" t="s">
        <v>186</v>
      </c>
      <c r="G24" s="30" t="s">
        <v>187</v>
      </c>
    </row>
    <row r="25" spans="1:12" x14ac:dyDescent="0.4">
      <c r="A25" s="30" t="s">
        <v>213</v>
      </c>
      <c r="B25" s="31">
        <v>43751.127928240741</v>
      </c>
      <c r="C25" s="30" t="s">
        <v>129</v>
      </c>
      <c r="D25" s="30" t="s">
        <v>130</v>
      </c>
      <c r="E25" s="30" t="s">
        <v>185</v>
      </c>
      <c r="F25" s="30" t="s">
        <v>186</v>
      </c>
      <c r="G25" s="30" t="s">
        <v>187</v>
      </c>
      <c r="H25" s="30" t="s">
        <v>188</v>
      </c>
      <c r="I25" s="30" t="s">
        <v>191</v>
      </c>
      <c r="J25" s="30" t="s">
        <v>192</v>
      </c>
      <c r="K25" s="30" t="s">
        <v>193</v>
      </c>
      <c r="L25" s="30" t="s">
        <v>194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684E7-1BA3-464F-800F-57D537058131}">
  <sheetPr codeName="Sheet5"/>
  <dimension ref="A1:Q3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/>
      <c r="B1" s="70"/>
      <c r="C1" s="70"/>
      <c r="E1" s="70"/>
      <c r="F1" s="70"/>
      <c r="G1" s="70"/>
      <c r="H1" s="70"/>
      <c r="I1" s="70"/>
      <c r="J1" s="70"/>
      <c r="K1" s="70"/>
      <c r="L1" s="70"/>
      <c r="M1" s="70"/>
      <c r="N1" s="70"/>
      <c r="O1" s="70"/>
      <c r="P1" s="70"/>
      <c r="Q1" s="70"/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161</v>
      </c>
      <c r="G2" s="70" t="s">
        <v>146</v>
      </c>
      <c r="H2" s="70" t="s">
        <v>145</v>
      </c>
      <c r="I2" s="70" t="s">
        <v>5</v>
      </c>
      <c r="J2" s="70" t="s">
        <v>17</v>
      </c>
      <c r="K2" s="70" t="s">
        <v>18</v>
      </c>
      <c r="L2" s="70" t="s">
        <v>140</v>
      </c>
      <c r="M2" s="70" t="s">
        <v>123</v>
      </c>
      <c r="N2" s="70" t="s">
        <v>120</v>
      </c>
      <c r="O2" s="70" t="s">
        <v>126</v>
      </c>
      <c r="P2" s="70" t="s">
        <v>147</v>
      </c>
      <c r="Q2" s="70" t="s">
        <v>143</v>
      </c>
    </row>
    <row r="3" spans="1:17" x14ac:dyDescent="0.4">
      <c r="A3" s="69">
        <v>0</v>
      </c>
      <c r="B3" s="66">
        <v>0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B10"/>
  <sheetViews>
    <sheetView workbookViewId="0"/>
  </sheetViews>
  <sheetFormatPr defaultRowHeight="18.75" x14ac:dyDescent="0.4"/>
  <cols>
    <col min="1" max="1" width="11" customWidth="1"/>
    <col min="2" max="2" width="9" customWidth="1"/>
  </cols>
  <sheetData>
    <row r="1" spans="1:2" x14ac:dyDescent="0.4">
      <c r="A1" t="s">
        <v>144</v>
      </c>
      <c r="B1">
        <v>225</v>
      </c>
    </row>
    <row r="2" spans="1:2" x14ac:dyDescent="0.4">
      <c r="A2" t="s">
        <v>167</v>
      </c>
      <c r="B2">
        <v>22</v>
      </c>
    </row>
    <row r="3" spans="1:2" x14ac:dyDescent="0.4">
      <c r="A3" t="s">
        <v>127</v>
      </c>
      <c r="B3">
        <v>46</v>
      </c>
    </row>
    <row r="4" spans="1:2" x14ac:dyDescent="0.4">
      <c r="A4" t="s">
        <v>128</v>
      </c>
      <c r="B4">
        <v>46</v>
      </c>
    </row>
    <row r="5" spans="1:2" x14ac:dyDescent="0.4">
      <c r="A5" t="s">
        <v>180</v>
      </c>
      <c r="B5">
        <v>28</v>
      </c>
    </row>
    <row r="6" spans="1:2" x14ac:dyDescent="0.4">
      <c r="A6" t="s">
        <v>178</v>
      </c>
      <c r="B6">
        <v>24</v>
      </c>
    </row>
    <row r="7" spans="1:2" x14ac:dyDescent="0.4">
      <c r="A7" t="s">
        <v>179</v>
      </c>
      <c r="B7">
        <v>26</v>
      </c>
    </row>
    <row r="8" spans="1:2" x14ac:dyDescent="0.4">
      <c r="A8" t="s">
        <v>183</v>
      </c>
      <c r="B8">
        <v>15</v>
      </c>
    </row>
    <row r="9" spans="1:2" x14ac:dyDescent="0.4">
      <c r="A9" t="s">
        <v>182</v>
      </c>
      <c r="B9">
        <v>11</v>
      </c>
    </row>
    <row r="10" spans="1:2" x14ac:dyDescent="0.4">
      <c r="A10" t="s">
        <v>196</v>
      </c>
      <c r="B10">
        <v>7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I12"/>
  <sheetViews>
    <sheetView showGridLines="0" tabSelected="1" zoomScale="115" zoomScaleNormal="115" workbookViewId="0"/>
  </sheetViews>
  <sheetFormatPr defaultColWidth="9" defaultRowHeight="18.75" x14ac:dyDescent="0.4"/>
  <cols>
    <col min="1" max="1" width="6" style="82" customWidth="1"/>
    <col min="2" max="2" width="10.75" style="83" customWidth="1"/>
    <col min="3" max="3" width="10.75" style="84" customWidth="1"/>
    <col min="4" max="4" width="10.75" style="85" customWidth="1"/>
    <col min="5" max="5" width="10.75" style="97" customWidth="1"/>
    <col min="6" max="6" width="10.75" style="85" customWidth="1"/>
    <col min="7" max="7" width="10.75" style="86" customWidth="1"/>
    <col min="8" max="8" width="10.75" style="85" customWidth="1"/>
    <col min="9" max="9" width="10.75" style="87" customWidth="1"/>
    <col min="10" max="10" width="10.75" style="85" customWidth="1"/>
    <col min="11" max="11" width="10.75" style="87" customWidth="1"/>
    <col min="12" max="12" width="10.75" style="85" customWidth="1"/>
    <col min="13" max="13" width="10.75" style="88" customWidth="1"/>
    <col min="14" max="14" width="10.75" style="85" customWidth="1"/>
    <col min="15" max="15" width="10.75" style="88" customWidth="1"/>
    <col min="16" max="16" width="10.75" style="85" customWidth="1"/>
    <col min="17" max="17" width="10.75" style="89" customWidth="1"/>
    <col min="18" max="18" width="10.75" style="85" customWidth="1"/>
    <col min="19" max="19" width="10.75" style="89" customWidth="1"/>
    <col min="20" max="20" width="10.75" style="85" customWidth="1"/>
    <col min="21" max="21" width="10.75" style="87" customWidth="1"/>
    <col min="22" max="22" width="10.75" style="85" customWidth="1"/>
    <col min="23" max="23" width="10.75" style="87" customWidth="1"/>
    <col min="24" max="24" width="10.75" style="85" customWidth="1"/>
    <col min="25" max="25" width="10.75" style="88" customWidth="1"/>
    <col min="26" max="26" width="10.75" style="85" customWidth="1"/>
    <col min="27" max="27" width="10.75" style="88" customWidth="1"/>
    <col min="28" max="28" width="10.75" style="85" customWidth="1"/>
    <col min="29" max="29" width="10.75" style="88" customWidth="1"/>
    <col min="30" max="30" width="10.75" style="85" customWidth="1"/>
    <col min="31" max="31" width="10.75" style="88" customWidth="1"/>
    <col min="32" max="32" width="10.75" style="85" customWidth="1"/>
    <col min="33" max="33" width="10.75" style="88" customWidth="1"/>
    <col min="34" max="34" width="10.75" style="85" customWidth="1"/>
    <col min="35" max="35" width="10.75" style="92" customWidth="1"/>
    <col min="36" max="16384" width="9" style="73"/>
  </cols>
  <sheetData>
    <row r="1" spans="1:35" x14ac:dyDescent="0.4">
      <c r="A1" s="72"/>
      <c r="B1" s="158" t="s">
        <v>6</v>
      </c>
      <c r="C1" s="159"/>
      <c r="D1" s="158" t="s">
        <v>7</v>
      </c>
      <c r="E1" s="159"/>
      <c r="F1" s="158" t="s">
        <v>16</v>
      </c>
      <c r="G1" s="159"/>
      <c r="H1" s="158" t="s">
        <v>15</v>
      </c>
      <c r="I1" s="159"/>
      <c r="J1" s="158" t="s">
        <v>161</v>
      </c>
      <c r="K1" s="159"/>
      <c r="L1" s="158" t="s">
        <v>148</v>
      </c>
      <c r="M1" s="159"/>
      <c r="N1" s="158" t="s">
        <v>149</v>
      </c>
      <c r="O1" s="159"/>
      <c r="P1" s="158" t="s">
        <v>5</v>
      </c>
      <c r="Q1" s="159"/>
      <c r="R1" s="158" t="s">
        <v>17</v>
      </c>
      <c r="S1" s="159"/>
      <c r="T1" s="158" t="s">
        <v>18</v>
      </c>
      <c r="U1" s="159"/>
      <c r="V1" s="158" t="s">
        <v>140</v>
      </c>
      <c r="W1" s="159"/>
      <c r="X1" s="158" t="s">
        <v>123</v>
      </c>
      <c r="Y1" s="159"/>
      <c r="Z1" s="158" t="s">
        <v>120</v>
      </c>
      <c r="AA1" s="159"/>
      <c r="AB1" s="158" t="s">
        <v>126</v>
      </c>
      <c r="AC1" s="159"/>
      <c r="AD1" s="158" t="s">
        <v>150</v>
      </c>
      <c r="AE1" s="159"/>
      <c r="AF1" s="158" t="s">
        <v>143</v>
      </c>
      <c r="AG1" s="159"/>
      <c r="AH1" s="158" t="s">
        <v>152</v>
      </c>
      <c r="AI1" s="159"/>
    </row>
    <row r="2" spans="1:35" x14ac:dyDescent="0.4">
      <c r="A2" s="72" t="s">
        <v>160</v>
      </c>
      <c r="B2" s="160"/>
      <c r="C2" s="161"/>
      <c r="D2" s="160"/>
      <c r="E2" s="161"/>
      <c r="F2" s="162">
        <v>0.98165684294709921</v>
      </c>
      <c r="G2" s="163"/>
      <c r="H2" s="162">
        <v>0.9667803854060868</v>
      </c>
      <c r="I2" s="163"/>
      <c r="J2" s="162">
        <v>0.96948427718115471</v>
      </c>
      <c r="K2" s="163"/>
      <c r="L2" s="162">
        <v>0.9133700904788653</v>
      </c>
      <c r="M2" s="163"/>
      <c r="N2" s="162">
        <v>0.76354740240165131</v>
      </c>
      <c r="O2" s="163"/>
      <c r="P2" s="162">
        <v>3.0589509833034205E-2</v>
      </c>
      <c r="Q2" s="163"/>
      <c r="R2" s="162">
        <v>0.57474969920712315</v>
      </c>
      <c r="S2" s="163"/>
      <c r="T2" s="162">
        <v>0.55164441114296991</v>
      </c>
      <c r="U2" s="163"/>
      <c r="V2" s="162">
        <v>0.49762134208198572</v>
      </c>
      <c r="W2" s="163"/>
      <c r="X2" s="162">
        <v>0.2544508356556669</v>
      </c>
      <c r="Y2" s="163"/>
      <c r="Z2" s="162">
        <v>-8.3630405666612659E-2</v>
      </c>
      <c r="AA2" s="163"/>
      <c r="AB2" s="162">
        <v>0.47030440367566617</v>
      </c>
      <c r="AC2" s="163"/>
      <c r="AD2" s="162">
        <v>0.33969402460821363</v>
      </c>
      <c r="AE2" s="163"/>
      <c r="AF2" s="162">
        <v>-7.471336996995874E-2</v>
      </c>
      <c r="AG2" s="163"/>
      <c r="AH2" s="162">
        <v>0.46951933807175261</v>
      </c>
      <c r="AI2" s="163"/>
    </row>
    <row r="3" spans="1:35" x14ac:dyDescent="0.4">
      <c r="A3" s="74">
        <v>1</v>
      </c>
      <c r="B3" s="75" t="s">
        <v>127</v>
      </c>
      <c r="C3" s="76">
        <v>465.7999999999999</v>
      </c>
      <c r="D3" s="77" t="s">
        <v>182</v>
      </c>
      <c r="E3" s="96">
        <v>11.463636363636365</v>
      </c>
      <c r="F3" s="77" t="s">
        <v>127</v>
      </c>
      <c r="G3" s="78">
        <v>1.7173913043478262</v>
      </c>
      <c r="H3" s="77" t="s">
        <v>127</v>
      </c>
      <c r="I3" s="79">
        <v>0.5</v>
      </c>
      <c r="J3" s="77" t="s">
        <v>182</v>
      </c>
      <c r="K3" s="79">
        <v>0.18181818181818182</v>
      </c>
      <c r="L3" s="77" t="s">
        <v>127</v>
      </c>
      <c r="M3" s="80">
        <v>0.34961439588688947</v>
      </c>
      <c r="N3" s="77" t="s">
        <v>182</v>
      </c>
      <c r="O3" s="80">
        <v>0.11650485436893204</v>
      </c>
      <c r="P3" s="77" t="s">
        <v>178</v>
      </c>
      <c r="Q3" s="81">
        <v>10858.333333333334</v>
      </c>
      <c r="R3" s="77" t="s">
        <v>182</v>
      </c>
      <c r="S3" s="81">
        <v>-6041.666666666667</v>
      </c>
      <c r="T3" s="77" t="s">
        <v>167</v>
      </c>
      <c r="U3" s="79">
        <v>0</v>
      </c>
      <c r="V3" s="77" t="s">
        <v>178</v>
      </c>
      <c r="W3" s="79">
        <v>0.20833333333333334</v>
      </c>
      <c r="X3" s="77" t="s">
        <v>182</v>
      </c>
      <c r="Y3" s="80">
        <v>0.29126213592233008</v>
      </c>
      <c r="Z3" s="77" t="s">
        <v>196</v>
      </c>
      <c r="AA3" s="80">
        <v>0.35483870967741937</v>
      </c>
      <c r="AB3" s="77" t="s">
        <v>182</v>
      </c>
      <c r="AC3" s="80">
        <v>0.66666666666666663</v>
      </c>
      <c r="AD3" s="77" t="s">
        <v>127</v>
      </c>
      <c r="AE3" s="80">
        <v>0.55681818181818177</v>
      </c>
      <c r="AF3" s="77" t="s">
        <v>182</v>
      </c>
      <c r="AG3" s="80">
        <v>0.52941176470588236</v>
      </c>
      <c r="AH3" s="77" t="s">
        <v>182</v>
      </c>
      <c r="AI3" s="91">
        <v>95200</v>
      </c>
    </row>
    <row r="4" spans="1:35" x14ac:dyDescent="0.4">
      <c r="A4" s="82">
        <v>2</v>
      </c>
      <c r="B4" s="83" t="s">
        <v>128</v>
      </c>
      <c r="C4" s="84">
        <v>215.39999999999989</v>
      </c>
      <c r="D4" s="85" t="s">
        <v>127</v>
      </c>
      <c r="E4" s="97">
        <v>10.126086956521737</v>
      </c>
      <c r="F4" s="85" t="s">
        <v>182</v>
      </c>
      <c r="G4" s="86">
        <v>1.7272727272727273</v>
      </c>
      <c r="H4" s="85" t="s">
        <v>182</v>
      </c>
      <c r="I4" s="87">
        <v>0.45454545454545453</v>
      </c>
      <c r="J4" s="85" t="s">
        <v>127</v>
      </c>
      <c r="K4" s="87">
        <v>0.21739130434782608</v>
      </c>
      <c r="L4" s="85" t="s">
        <v>182</v>
      </c>
      <c r="M4" s="88">
        <v>0.3300970873786408</v>
      </c>
      <c r="N4" s="85" t="s">
        <v>127</v>
      </c>
      <c r="O4" s="88">
        <v>0.12853470437017994</v>
      </c>
      <c r="P4" s="85" t="s">
        <v>128</v>
      </c>
      <c r="Q4" s="89">
        <v>8727.34375</v>
      </c>
      <c r="R4" s="85" t="s">
        <v>167</v>
      </c>
      <c r="S4" s="89">
        <v>-6530.5555555555557</v>
      </c>
      <c r="T4" s="85" t="s">
        <v>182</v>
      </c>
      <c r="U4" s="87">
        <v>0</v>
      </c>
      <c r="V4" s="85" t="s">
        <v>182</v>
      </c>
      <c r="W4" s="87">
        <v>0.18181818181818182</v>
      </c>
      <c r="X4" s="85" t="s">
        <v>180</v>
      </c>
      <c r="Y4" s="88">
        <v>0.27800829875518673</v>
      </c>
      <c r="Z4" s="85" t="s">
        <v>128</v>
      </c>
      <c r="AA4" s="88">
        <v>0.32754342431761785</v>
      </c>
      <c r="AB4" s="85" t="s">
        <v>127</v>
      </c>
      <c r="AC4" s="88">
        <v>0.61224489795918369</v>
      </c>
      <c r="AD4" s="85" t="s">
        <v>178</v>
      </c>
      <c r="AE4" s="88">
        <v>0.48888888888888887</v>
      </c>
      <c r="AF4" s="85" t="s">
        <v>167</v>
      </c>
      <c r="AG4" s="88">
        <v>0.5</v>
      </c>
      <c r="AH4" s="85" t="s">
        <v>144</v>
      </c>
      <c r="AI4" s="92">
        <v>95200</v>
      </c>
    </row>
    <row r="5" spans="1:35" x14ac:dyDescent="0.4">
      <c r="A5" s="82">
        <v>3</v>
      </c>
      <c r="B5" s="83" t="s">
        <v>182</v>
      </c>
      <c r="C5" s="84">
        <v>126.10000000000001</v>
      </c>
      <c r="D5" s="85" t="s">
        <v>128</v>
      </c>
      <c r="E5" s="97">
        <v>4.6826086956521715</v>
      </c>
      <c r="F5" s="85" t="s">
        <v>128</v>
      </c>
      <c r="G5" s="86">
        <v>1.8913043478260869</v>
      </c>
      <c r="H5" s="85" t="s">
        <v>196</v>
      </c>
      <c r="I5" s="87">
        <v>0.42857142857142855</v>
      </c>
      <c r="J5" s="85" t="s">
        <v>128</v>
      </c>
      <c r="K5" s="87">
        <v>0.2608695652173913</v>
      </c>
      <c r="L5" s="85" t="s">
        <v>128</v>
      </c>
      <c r="M5" s="88">
        <v>0.31761786600496278</v>
      </c>
      <c r="N5" s="85" t="s">
        <v>179</v>
      </c>
      <c r="O5" s="88">
        <v>0.15350877192982457</v>
      </c>
      <c r="P5" s="85" t="s">
        <v>179</v>
      </c>
      <c r="Q5" s="89">
        <v>8395</v>
      </c>
      <c r="R5" s="85" t="s">
        <v>179</v>
      </c>
      <c r="S5" s="89">
        <v>-6711.4285714285716</v>
      </c>
      <c r="T5" s="85" t="s">
        <v>127</v>
      </c>
      <c r="U5" s="87">
        <v>4.3478260869565216E-2</v>
      </c>
      <c r="V5" s="85" t="s">
        <v>128</v>
      </c>
      <c r="W5" s="87">
        <v>0.15217391304347827</v>
      </c>
      <c r="X5" s="85" t="s">
        <v>178</v>
      </c>
      <c r="Y5" s="88">
        <v>0.26178010471204188</v>
      </c>
      <c r="Z5" s="85" t="s">
        <v>179</v>
      </c>
      <c r="AA5" s="88">
        <v>0.25877192982456143</v>
      </c>
      <c r="AB5" s="85" t="s">
        <v>180</v>
      </c>
      <c r="AC5" s="88">
        <v>0.58208955223880599</v>
      </c>
      <c r="AD5" s="85" t="s">
        <v>179</v>
      </c>
      <c r="AE5" s="88">
        <v>0.44067796610169491</v>
      </c>
      <c r="AF5" s="85" t="s">
        <v>183</v>
      </c>
      <c r="AG5" s="88">
        <v>0.48148148148148145</v>
      </c>
      <c r="AH5" s="85" t="s">
        <v>128</v>
      </c>
      <c r="AI5" s="92">
        <v>91800</v>
      </c>
    </row>
    <row r="6" spans="1:35" x14ac:dyDescent="0.4">
      <c r="A6" s="82">
        <v>4</v>
      </c>
      <c r="B6" s="83" t="s">
        <v>144</v>
      </c>
      <c r="C6" s="84">
        <v>-3.5527136788005009E-14</v>
      </c>
      <c r="D6" s="85" t="s">
        <v>144</v>
      </c>
      <c r="E6" s="97">
        <v>-1.5789838572446671E-16</v>
      </c>
      <c r="F6" s="85" t="s">
        <v>178</v>
      </c>
      <c r="G6" s="86">
        <v>2</v>
      </c>
      <c r="H6" s="85" t="s">
        <v>128</v>
      </c>
      <c r="I6" s="87">
        <v>0.36956521739130432</v>
      </c>
      <c r="J6" s="85" t="s">
        <v>178</v>
      </c>
      <c r="K6" s="87">
        <v>0.33333333333333331</v>
      </c>
      <c r="L6" s="85" t="s">
        <v>144</v>
      </c>
      <c r="M6" s="88">
        <v>0.2930232558139535</v>
      </c>
      <c r="N6" s="85" t="s">
        <v>144</v>
      </c>
      <c r="O6" s="88">
        <v>0.17054263565891473</v>
      </c>
      <c r="P6" s="85" t="s">
        <v>144</v>
      </c>
      <c r="Q6" s="89">
        <v>8202.4691358024684</v>
      </c>
      <c r="R6" s="85" t="s">
        <v>128</v>
      </c>
      <c r="S6" s="89">
        <v>-7396.2962962962965</v>
      </c>
      <c r="T6" s="85" t="s">
        <v>180</v>
      </c>
      <c r="U6" s="87">
        <v>7.1428571428571425E-2</v>
      </c>
      <c r="V6" s="85" t="s">
        <v>196</v>
      </c>
      <c r="W6" s="87">
        <v>0.14285714285714285</v>
      </c>
      <c r="X6" s="85" t="s">
        <v>179</v>
      </c>
      <c r="Y6" s="88">
        <v>0.25438596491228072</v>
      </c>
      <c r="Z6" s="85" t="s">
        <v>144</v>
      </c>
      <c r="AA6" s="88">
        <v>0.24702842377260981</v>
      </c>
      <c r="AB6" s="85" t="s">
        <v>128</v>
      </c>
      <c r="AC6" s="88">
        <v>0.55319148936170215</v>
      </c>
      <c r="AD6" s="85" t="s">
        <v>144</v>
      </c>
      <c r="AE6" s="88">
        <v>0.42468619246861927</v>
      </c>
      <c r="AF6" s="85" t="s">
        <v>178</v>
      </c>
      <c r="AG6" s="88">
        <v>0.4375</v>
      </c>
      <c r="AH6" s="85" t="s">
        <v>127</v>
      </c>
      <c r="AI6" s="92">
        <v>86200</v>
      </c>
    </row>
    <row r="7" spans="1:35" x14ac:dyDescent="0.4">
      <c r="A7" s="82">
        <v>5</v>
      </c>
      <c r="B7" s="83" t="s">
        <v>178</v>
      </c>
      <c r="C7" s="84">
        <v>-51.39999999999997</v>
      </c>
      <c r="D7" s="85" t="s">
        <v>179</v>
      </c>
      <c r="E7" s="97">
        <v>-2.0807692307692305</v>
      </c>
      <c r="F7" s="85" t="s">
        <v>144</v>
      </c>
      <c r="G7" s="86">
        <v>2</v>
      </c>
      <c r="H7" s="85" t="s">
        <v>178</v>
      </c>
      <c r="I7" s="87">
        <v>0.33333333333333331</v>
      </c>
      <c r="J7" s="85" t="s">
        <v>144</v>
      </c>
      <c r="K7" s="87">
        <v>0.33333333333333331</v>
      </c>
      <c r="L7" s="85" t="s">
        <v>180</v>
      </c>
      <c r="M7" s="88">
        <v>0.2863070539419087</v>
      </c>
      <c r="N7" s="85" t="s">
        <v>178</v>
      </c>
      <c r="O7" s="88">
        <v>0.17277486910994763</v>
      </c>
      <c r="P7" s="85" t="s">
        <v>183</v>
      </c>
      <c r="Q7" s="89">
        <v>8133.333333333333</v>
      </c>
      <c r="R7" s="85" t="s">
        <v>180</v>
      </c>
      <c r="S7" s="89">
        <v>-7678.260869565217</v>
      </c>
      <c r="T7" s="85" t="s">
        <v>144</v>
      </c>
      <c r="U7" s="87">
        <v>0.10666666666666667</v>
      </c>
      <c r="V7" s="85" t="s">
        <v>144</v>
      </c>
      <c r="W7" s="87">
        <v>0.10666666666666667</v>
      </c>
      <c r="X7" s="85" t="s">
        <v>183</v>
      </c>
      <c r="Y7" s="88">
        <v>0.25409836065573771</v>
      </c>
      <c r="Z7" s="85" t="s">
        <v>178</v>
      </c>
      <c r="AA7" s="88">
        <v>0.2356020942408377</v>
      </c>
      <c r="AB7" s="85" t="s">
        <v>144</v>
      </c>
      <c r="AC7" s="88">
        <v>0.54279749478079331</v>
      </c>
      <c r="AD7" s="85" t="s">
        <v>180</v>
      </c>
      <c r="AE7" s="88">
        <v>0.42222222222222222</v>
      </c>
      <c r="AF7" s="85" t="s">
        <v>144</v>
      </c>
      <c r="AG7" s="88">
        <v>0.41446208112874777</v>
      </c>
      <c r="AH7" s="85" t="s">
        <v>183</v>
      </c>
      <c r="AI7" s="92">
        <v>85100</v>
      </c>
    </row>
    <row r="8" spans="1:35" x14ac:dyDescent="0.4">
      <c r="A8" s="82">
        <v>6</v>
      </c>
      <c r="B8" s="83" t="s">
        <v>179</v>
      </c>
      <c r="C8" s="84">
        <v>-54.099999999999994</v>
      </c>
      <c r="D8" s="85" t="s">
        <v>178</v>
      </c>
      <c r="E8" s="97">
        <v>-2.1416666666666653</v>
      </c>
      <c r="F8" s="85" t="s">
        <v>167</v>
      </c>
      <c r="G8" s="86">
        <v>2.1363636363636362</v>
      </c>
      <c r="H8" s="85" t="s">
        <v>144</v>
      </c>
      <c r="I8" s="87">
        <v>0.33333333333333331</v>
      </c>
      <c r="J8" s="85" t="s">
        <v>180</v>
      </c>
      <c r="K8" s="87">
        <v>0.39285714285714285</v>
      </c>
      <c r="L8" s="85" t="s">
        <v>179</v>
      </c>
      <c r="M8" s="88">
        <v>0.26315789473684209</v>
      </c>
      <c r="N8" s="85" t="s">
        <v>167</v>
      </c>
      <c r="O8" s="88">
        <v>0.18367346938775511</v>
      </c>
      <c r="P8" s="85" t="s">
        <v>127</v>
      </c>
      <c r="Q8" s="89">
        <v>7780.1470588235297</v>
      </c>
      <c r="R8" s="85" t="s">
        <v>144</v>
      </c>
      <c r="S8" s="89">
        <v>-7713.939393939394</v>
      </c>
      <c r="T8" s="85" t="s">
        <v>179</v>
      </c>
      <c r="U8" s="87">
        <v>0.11538461538461539</v>
      </c>
      <c r="V8" s="85" t="s">
        <v>127</v>
      </c>
      <c r="W8" s="87">
        <v>8.6956521739130432E-2</v>
      </c>
      <c r="X8" s="85" t="s">
        <v>127</v>
      </c>
      <c r="Y8" s="88">
        <v>0.25192802056555269</v>
      </c>
      <c r="Z8" s="85" t="s">
        <v>183</v>
      </c>
      <c r="AA8" s="88">
        <v>0.22950819672131148</v>
      </c>
      <c r="AB8" s="85" t="s">
        <v>196</v>
      </c>
      <c r="AC8" s="88">
        <v>0.53333333333333333</v>
      </c>
      <c r="AD8" s="85" t="s">
        <v>128</v>
      </c>
      <c r="AE8" s="88">
        <v>0.40151515151515149</v>
      </c>
      <c r="AF8" s="85" t="s">
        <v>127</v>
      </c>
      <c r="AG8" s="88">
        <v>0.40441176470588236</v>
      </c>
      <c r="AH8" s="85" t="s">
        <v>178</v>
      </c>
      <c r="AI8" s="92">
        <v>83000</v>
      </c>
    </row>
    <row r="9" spans="1:35" x14ac:dyDescent="0.4">
      <c r="A9" s="82">
        <v>7</v>
      </c>
      <c r="B9" s="83" t="s">
        <v>196</v>
      </c>
      <c r="C9" s="84">
        <v>-104.80000000000001</v>
      </c>
      <c r="D9" s="85" t="s">
        <v>180</v>
      </c>
      <c r="E9" s="97">
        <v>-6.4892857142857148</v>
      </c>
      <c r="F9" s="85" t="s">
        <v>196</v>
      </c>
      <c r="G9" s="86">
        <v>2.1428571428571428</v>
      </c>
      <c r="H9" s="85" t="s">
        <v>167</v>
      </c>
      <c r="I9" s="87">
        <v>0.27272727272727271</v>
      </c>
      <c r="J9" s="85" t="s">
        <v>167</v>
      </c>
      <c r="K9" s="87">
        <v>0.40909090909090912</v>
      </c>
      <c r="L9" s="85" t="s">
        <v>167</v>
      </c>
      <c r="M9" s="88">
        <v>0.25510204081632654</v>
      </c>
      <c r="N9" s="85" t="s">
        <v>180</v>
      </c>
      <c r="O9" s="88">
        <v>0.1908713692946058</v>
      </c>
      <c r="P9" s="85" t="s">
        <v>182</v>
      </c>
      <c r="Q9" s="89">
        <v>7779.411764705882</v>
      </c>
      <c r="R9" s="85" t="s">
        <v>127</v>
      </c>
      <c r="S9" s="89">
        <v>-7730</v>
      </c>
      <c r="T9" s="85" t="s">
        <v>128</v>
      </c>
      <c r="U9" s="87">
        <v>0.13043478260869565</v>
      </c>
      <c r="V9" s="85" t="s">
        <v>179</v>
      </c>
      <c r="W9" s="87">
        <v>7.6923076923076927E-2</v>
      </c>
      <c r="X9" s="85" t="s">
        <v>144</v>
      </c>
      <c r="Y9" s="88">
        <v>0.24754521963824289</v>
      </c>
      <c r="Z9" s="85" t="s">
        <v>127</v>
      </c>
      <c r="AA9" s="88">
        <v>0.2262210796915167</v>
      </c>
      <c r="AB9" s="85" t="s">
        <v>167</v>
      </c>
      <c r="AC9" s="88">
        <v>0.52777777777777779</v>
      </c>
      <c r="AD9" s="85" t="s">
        <v>183</v>
      </c>
      <c r="AE9" s="88">
        <v>0.35714285714285715</v>
      </c>
      <c r="AF9" s="85" t="s">
        <v>179</v>
      </c>
      <c r="AG9" s="88">
        <v>0.4</v>
      </c>
      <c r="AH9" s="85" t="s">
        <v>179</v>
      </c>
      <c r="AI9" s="92">
        <v>81700</v>
      </c>
    </row>
    <row r="10" spans="1:35" x14ac:dyDescent="0.4">
      <c r="A10" s="82">
        <v>8</v>
      </c>
      <c r="B10" s="83" t="s">
        <v>167</v>
      </c>
      <c r="C10" s="84">
        <v>-142.80000000000001</v>
      </c>
      <c r="D10" s="85" t="s">
        <v>167</v>
      </c>
      <c r="E10" s="97">
        <v>-6.4909090909090912</v>
      </c>
      <c r="F10" s="85" t="s">
        <v>179</v>
      </c>
      <c r="G10" s="86">
        <v>2.1538461538461537</v>
      </c>
      <c r="H10" s="85" t="s">
        <v>179</v>
      </c>
      <c r="I10" s="87">
        <v>0.26923076923076922</v>
      </c>
      <c r="J10" s="85" t="s">
        <v>179</v>
      </c>
      <c r="K10" s="87">
        <v>0.42307692307692307</v>
      </c>
      <c r="L10" s="85" t="s">
        <v>178</v>
      </c>
      <c r="M10" s="88">
        <v>0.2513089005235602</v>
      </c>
      <c r="N10" s="85" t="s">
        <v>196</v>
      </c>
      <c r="O10" s="88">
        <v>0.19354838709677419</v>
      </c>
      <c r="P10" s="85" t="s">
        <v>196</v>
      </c>
      <c r="Q10" s="89">
        <v>7473.333333333333</v>
      </c>
      <c r="R10" s="85" t="s">
        <v>196</v>
      </c>
      <c r="S10" s="89">
        <v>-9075</v>
      </c>
      <c r="T10" s="85" t="s">
        <v>178</v>
      </c>
      <c r="U10" s="87">
        <v>0.16666666666666666</v>
      </c>
      <c r="V10" s="85" t="s">
        <v>180</v>
      </c>
      <c r="W10" s="87">
        <v>7.1428571428571425E-2</v>
      </c>
      <c r="X10" s="85" t="s">
        <v>196</v>
      </c>
      <c r="Y10" s="88">
        <v>0.24193548387096775</v>
      </c>
      <c r="Z10" s="85" t="s">
        <v>167</v>
      </c>
      <c r="AA10" s="88">
        <v>0.22448979591836735</v>
      </c>
      <c r="AB10" s="85" t="s">
        <v>183</v>
      </c>
      <c r="AC10" s="88">
        <v>0.5161290322580645</v>
      </c>
      <c r="AD10" s="85" t="s">
        <v>182</v>
      </c>
      <c r="AE10" s="88">
        <v>0.33333333333333331</v>
      </c>
      <c r="AF10" s="85" t="s">
        <v>180</v>
      </c>
      <c r="AG10" s="88">
        <v>0.37681159420289856</v>
      </c>
      <c r="AH10" s="85" t="s">
        <v>180</v>
      </c>
      <c r="AI10" s="92">
        <v>69300</v>
      </c>
    </row>
    <row r="11" spans="1:35" x14ac:dyDescent="0.4">
      <c r="A11" s="82">
        <v>9</v>
      </c>
      <c r="B11" s="83" t="s">
        <v>180</v>
      </c>
      <c r="C11" s="84">
        <v>-181.70000000000002</v>
      </c>
      <c r="D11" s="85" t="s">
        <v>196</v>
      </c>
      <c r="E11" s="97">
        <v>-14.971428571428573</v>
      </c>
      <c r="F11" s="85" t="s">
        <v>180</v>
      </c>
      <c r="G11" s="86">
        <v>2.2142857142857144</v>
      </c>
      <c r="H11" s="85" t="s">
        <v>180</v>
      </c>
      <c r="I11" s="87">
        <v>0.17857142857142858</v>
      </c>
      <c r="J11" s="85" t="s">
        <v>183</v>
      </c>
      <c r="K11" s="87">
        <v>0.53333333333333333</v>
      </c>
      <c r="L11" s="85" t="s">
        <v>196</v>
      </c>
      <c r="M11" s="88">
        <v>0.24193548387096775</v>
      </c>
      <c r="N11" s="85" t="s">
        <v>128</v>
      </c>
      <c r="O11" s="88">
        <v>0.20099255583126552</v>
      </c>
      <c r="P11" s="85" t="s">
        <v>180</v>
      </c>
      <c r="Q11" s="89">
        <v>7308.695652173913</v>
      </c>
      <c r="R11" s="85" t="s">
        <v>178</v>
      </c>
      <c r="S11" s="89">
        <v>-9403.0303030303039</v>
      </c>
      <c r="T11" s="85" t="s">
        <v>183</v>
      </c>
      <c r="U11" s="87">
        <v>0.2</v>
      </c>
      <c r="V11" s="85" t="s">
        <v>183</v>
      </c>
      <c r="W11" s="87">
        <v>6.6666666666666666E-2</v>
      </c>
      <c r="X11" s="85" t="s">
        <v>128</v>
      </c>
      <c r="Y11" s="88">
        <v>0.23325062034739455</v>
      </c>
      <c r="Z11" s="85" t="s">
        <v>180</v>
      </c>
      <c r="AA11" s="88">
        <v>0.18672199170124482</v>
      </c>
      <c r="AB11" s="85" t="s">
        <v>179</v>
      </c>
      <c r="AC11" s="88">
        <v>0.48275862068965519</v>
      </c>
      <c r="AD11" s="85" t="s">
        <v>167</v>
      </c>
      <c r="AE11" s="88">
        <v>0.29545454545454547</v>
      </c>
      <c r="AF11" s="85" t="s">
        <v>128</v>
      </c>
      <c r="AG11" s="88">
        <v>0.375</v>
      </c>
      <c r="AH11" s="85" t="s">
        <v>196</v>
      </c>
      <c r="AI11" s="92">
        <v>59500</v>
      </c>
    </row>
    <row r="12" spans="1:35" x14ac:dyDescent="0.4">
      <c r="A12" s="82">
        <v>10</v>
      </c>
      <c r="B12" s="83" t="s">
        <v>183</v>
      </c>
      <c r="C12" s="84">
        <v>-272.50000000000006</v>
      </c>
      <c r="D12" s="85" t="s">
        <v>183</v>
      </c>
      <c r="E12" s="97">
        <v>-18.166666666666671</v>
      </c>
      <c r="F12" s="85" t="s">
        <v>183</v>
      </c>
      <c r="G12" s="86">
        <v>2.4666666666666668</v>
      </c>
      <c r="H12" s="85" t="s">
        <v>183</v>
      </c>
      <c r="I12" s="87">
        <v>6.6666666666666666E-2</v>
      </c>
      <c r="J12" s="85" t="s">
        <v>196</v>
      </c>
      <c r="K12" s="87">
        <v>0.5714285714285714</v>
      </c>
      <c r="L12" s="85" t="s">
        <v>183</v>
      </c>
      <c r="M12" s="88">
        <v>0.22131147540983606</v>
      </c>
      <c r="N12" s="85" t="s">
        <v>183</v>
      </c>
      <c r="O12" s="88">
        <v>0.20491803278688525</v>
      </c>
      <c r="P12" s="85" t="s">
        <v>167</v>
      </c>
      <c r="Q12" s="89">
        <v>7004</v>
      </c>
      <c r="R12" s="85" t="s">
        <v>183</v>
      </c>
      <c r="S12" s="89">
        <v>-9804</v>
      </c>
      <c r="T12" s="85" t="s">
        <v>196</v>
      </c>
      <c r="U12" s="87">
        <v>0.5714285714285714</v>
      </c>
      <c r="V12" s="85" t="s">
        <v>167</v>
      </c>
      <c r="W12" s="87">
        <v>0</v>
      </c>
      <c r="X12" s="85" t="s">
        <v>167</v>
      </c>
      <c r="Y12" s="88">
        <v>0.18367346938775511</v>
      </c>
      <c r="Z12" s="85" t="s">
        <v>182</v>
      </c>
      <c r="AA12" s="88">
        <v>0.14563106796116504</v>
      </c>
      <c r="AB12" s="85" t="s">
        <v>178</v>
      </c>
      <c r="AC12" s="88">
        <v>0.36</v>
      </c>
      <c r="AD12" s="85" t="s">
        <v>196</v>
      </c>
      <c r="AE12" s="88">
        <v>0.27272727272727271</v>
      </c>
      <c r="AF12" s="85" t="s">
        <v>196</v>
      </c>
      <c r="AG12" s="88">
        <v>0.33333333333333331</v>
      </c>
      <c r="AH12" s="85" t="s">
        <v>167</v>
      </c>
      <c r="AI12" s="92">
        <v>51800</v>
      </c>
    </row>
  </sheetData>
  <sortState xmlns:xlrd2="http://schemas.microsoft.com/office/spreadsheetml/2017/richdata2" ref="AH3:AI39">
    <sortCondition descending="1" ref="AI1"/>
  </sortState>
  <mergeCells count="34">
    <mergeCell ref="AF2:AG2"/>
    <mergeCell ref="N1:O1"/>
    <mergeCell ref="AH2:AI2"/>
    <mergeCell ref="X2:Y2"/>
    <mergeCell ref="Z2:AA2"/>
    <mergeCell ref="AB2:AC2"/>
    <mergeCell ref="AD2:AE2"/>
    <mergeCell ref="N2:O2"/>
    <mergeCell ref="P2:Q2"/>
    <mergeCell ref="R2:S2"/>
    <mergeCell ref="T2:U2"/>
    <mergeCell ref="V2:W2"/>
    <mergeCell ref="AH1:AI1"/>
    <mergeCell ref="P1:Q1"/>
    <mergeCell ref="R1:S1"/>
    <mergeCell ref="T1:U1"/>
    <mergeCell ref="B2:C2"/>
    <mergeCell ref="D2:E2"/>
    <mergeCell ref="F2:G2"/>
    <mergeCell ref="H2:I2"/>
    <mergeCell ref="L2:M2"/>
    <mergeCell ref="J2:K2"/>
    <mergeCell ref="B1:C1"/>
    <mergeCell ref="D1:E1"/>
    <mergeCell ref="F1:G1"/>
    <mergeCell ref="H1:I1"/>
    <mergeCell ref="L1:M1"/>
    <mergeCell ref="J1:K1"/>
    <mergeCell ref="AF1:AG1"/>
    <mergeCell ref="V1:W1"/>
    <mergeCell ref="X1:Y1"/>
    <mergeCell ref="Z1:AA1"/>
    <mergeCell ref="AB1:AC1"/>
    <mergeCell ref="AD1:AE1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28575</xdr:colOff>
                    <xdr:row>0</xdr:row>
                    <xdr:rowOff>19050</xdr:rowOff>
                  </from>
                  <to>
                    <xdr:col>0</xdr:col>
                    <xdr:colOff>428625</xdr:colOff>
                    <xdr:row>0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CAB7C8-6443-4DEA-B6B9-2852B4EEC462}">
  <sheetPr codeName="Sheet4"/>
  <dimension ref="A1:Q227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144</v>
      </c>
      <c r="C1" s="149"/>
      <c r="E1" s="129" t="s">
        <v>166</v>
      </c>
      <c r="F1" s="141" t="s">
        <v>116</v>
      </c>
      <c r="G1" s="140" t="s">
        <v>117</v>
      </c>
      <c r="H1" s="130" t="s">
        <v>118</v>
      </c>
      <c r="I1" s="141" t="s">
        <v>153</v>
      </c>
      <c r="K1" s="34" t="s">
        <v>20</v>
      </c>
      <c r="L1" s="35" t="s">
        <v>121</v>
      </c>
      <c r="M1" s="131"/>
      <c r="N1" s="113" t="s">
        <v>137</v>
      </c>
      <c r="O1" s="34" t="s">
        <v>138</v>
      </c>
      <c r="P1" s="117" t="s">
        <v>117</v>
      </c>
      <c r="Q1" s="101" t="s">
        <v>157</v>
      </c>
    </row>
    <row r="2" spans="1:17" x14ac:dyDescent="0.4">
      <c r="A2" s="54" t="s">
        <v>9</v>
      </c>
      <c r="B2" s="150">
        <v>225</v>
      </c>
      <c r="C2" s="151"/>
      <c r="E2" s="62" t="s">
        <v>67</v>
      </c>
      <c r="F2" s="59" t="s">
        <v>23</v>
      </c>
      <c r="G2" s="46">
        <v>436</v>
      </c>
      <c r="H2" s="132">
        <f>IF(B$17=0,0,G2/B$17)</f>
        <v>0.76895943562610225</v>
      </c>
      <c r="I2" s="93">
        <v>5</v>
      </c>
      <c r="K2" s="36">
        <v>0</v>
      </c>
      <c r="L2" s="98">
        <v>0</v>
      </c>
      <c r="N2" s="114" t="s">
        <v>131</v>
      </c>
      <c r="O2" s="121">
        <f t="shared" ref="O2:O7" si="0">IF(P2=0,0,Q2/P2)</f>
        <v>-22.522522522522522</v>
      </c>
      <c r="P2" s="118">
        <v>222</v>
      </c>
      <c r="Q2" s="102">
        <v>-5000</v>
      </c>
    </row>
    <row r="3" spans="1:17" x14ac:dyDescent="0.4">
      <c r="A3" s="55" t="s">
        <v>8</v>
      </c>
      <c r="B3" s="152">
        <v>1935</v>
      </c>
      <c r="C3" s="153"/>
      <c r="E3" s="63" t="s">
        <v>73</v>
      </c>
      <c r="F3" s="60" t="s">
        <v>28</v>
      </c>
      <c r="G3" s="47">
        <v>336</v>
      </c>
      <c r="H3" s="133">
        <f>IF(B$17=0,0,G3/B$17)</f>
        <v>0.59259259259259256</v>
      </c>
      <c r="I3" s="94">
        <v>4</v>
      </c>
      <c r="K3" s="38">
        <v>1</v>
      </c>
      <c r="L3" s="99">
        <v>-4.5999999999999996</v>
      </c>
      <c r="N3" s="115" t="s">
        <v>132</v>
      </c>
      <c r="O3" s="122">
        <f t="shared" si="0"/>
        <v>18.518518518518519</v>
      </c>
      <c r="P3" s="119">
        <v>216</v>
      </c>
      <c r="Q3" s="103">
        <v>4000</v>
      </c>
    </row>
    <row r="4" spans="1:17" x14ac:dyDescent="0.4">
      <c r="A4" s="55" t="s">
        <v>6</v>
      </c>
      <c r="B4" s="154">
        <v>-3.5527136788005009E-14</v>
      </c>
      <c r="C4" s="155"/>
      <c r="E4" s="63" t="s">
        <v>65</v>
      </c>
      <c r="F4" s="60" t="s">
        <v>21</v>
      </c>
      <c r="G4" s="47">
        <v>252</v>
      </c>
      <c r="H4" s="133">
        <f>IF(B$17=0,0,G4/B$17)</f>
        <v>0.44444444444444442</v>
      </c>
      <c r="I4" s="94">
        <v>6</v>
      </c>
      <c r="K4" s="38">
        <v>2</v>
      </c>
      <c r="L4" s="99">
        <v>45.6</v>
      </c>
      <c r="N4" s="115" t="s">
        <v>133</v>
      </c>
      <c r="O4" s="122">
        <f t="shared" si="0"/>
        <v>-28.169014084507044</v>
      </c>
      <c r="P4" s="119">
        <v>213</v>
      </c>
      <c r="Q4" s="103">
        <v>-6000</v>
      </c>
    </row>
    <row r="5" spans="1:17" x14ac:dyDescent="0.4">
      <c r="A5" s="55" t="s">
        <v>7</v>
      </c>
      <c r="B5" s="156">
        <f>IF(B$2=0,0,B$4/B$2)</f>
        <v>-1.5789838572446671E-16</v>
      </c>
      <c r="C5" s="157"/>
      <c r="E5" s="63" t="s">
        <v>172</v>
      </c>
      <c r="F5" s="60" t="s">
        <v>173</v>
      </c>
      <c r="G5" s="47">
        <v>202</v>
      </c>
      <c r="H5" s="133">
        <f>IF(B$17=0,0,G5/B$17)</f>
        <v>0.35626102292768957</v>
      </c>
      <c r="I5" s="94">
        <v>4</v>
      </c>
      <c r="K5" s="38">
        <v>3</v>
      </c>
      <c r="L5" s="99">
        <v>0</v>
      </c>
      <c r="N5" s="115" t="s">
        <v>134</v>
      </c>
      <c r="O5" s="122">
        <f t="shared" si="0"/>
        <v>19.900497512437809</v>
      </c>
      <c r="P5" s="119">
        <v>201</v>
      </c>
      <c r="Q5" s="103">
        <v>4000</v>
      </c>
    </row>
    <row r="6" spans="1:17" x14ac:dyDescent="0.4">
      <c r="A6" s="55" t="s">
        <v>1</v>
      </c>
      <c r="B6" s="146">
        <f>IF(B$2=0,0,(B$7*1+B$8*2+B$9*3)/B$2)</f>
        <v>2</v>
      </c>
      <c r="C6" s="147"/>
      <c r="E6" s="63" t="s">
        <v>69</v>
      </c>
      <c r="F6" s="60" t="s">
        <v>12</v>
      </c>
      <c r="G6" s="47">
        <v>164</v>
      </c>
      <c r="H6" s="133">
        <f>IF(B$17=0,0,G6/B$17)</f>
        <v>0.28924162257495589</v>
      </c>
      <c r="I6" s="94">
        <v>5</v>
      </c>
      <c r="K6" s="38">
        <v>4</v>
      </c>
      <c r="L6" s="99">
        <v>24.5</v>
      </c>
      <c r="N6" s="115" t="s">
        <v>135</v>
      </c>
      <c r="O6" s="122">
        <f t="shared" si="0"/>
        <v>16.393442622950818</v>
      </c>
      <c r="P6" s="119">
        <v>183</v>
      </c>
      <c r="Q6" s="103">
        <v>3000</v>
      </c>
    </row>
    <row r="7" spans="1:17" x14ac:dyDescent="0.4">
      <c r="A7" s="55" t="s">
        <v>2</v>
      </c>
      <c r="B7" s="47">
        <v>75</v>
      </c>
      <c r="C7" s="39">
        <f t="shared" ref="C7:C12" si="1">IF(B$2=0,0,B7/B$2)</f>
        <v>0.33333333333333331</v>
      </c>
      <c r="E7" s="63" t="s">
        <v>68</v>
      </c>
      <c r="F7" s="60" t="s">
        <v>24</v>
      </c>
      <c r="G7" s="47">
        <v>148</v>
      </c>
      <c r="H7" s="133">
        <f>IF(B$17=0,0,G7/B$17)</f>
        <v>0.26102292768959434</v>
      </c>
      <c r="I7" s="94">
        <v>4</v>
      </c>
      <c r="K7" s="38">
        <v>5</v>
      </c>
      <c r="L7" s="99">
        <v>-11.299999999999997</v>
      </c>
      <c r="N7" s="116" t="s">
        <v>136</v>
      </c>
      <c r="O7" s="123">
        <f t="shared" si="0"/>
        <v>0</v>
      </c>
      <c r="P7" s="120">
        <v>150</v>
      </c>
      <c r="Q7" s="104">
        <v>0</v>
      </c>
    </row>
    <row r="8" spans="1:17" x14ac:dyDescent="0.4">
      <c r="A8" s="55" t="s">
        <v>3</v>
      </c>
      <c r="B8" s="47">
        <v>75</v>
      </c>
      <c r="C8" s="39">
        <f t="shared" si="1"/>
        <v>0.33333333333333331</v>
      </c>
      <c r="E8" s="63" t="s">
        <v>90</v>
      </c>
      <c r="F8" s="60" t="s">
        <v>45</v>
      </c>
      <c r="G8" s="47">
        <v>77</v>
      </c>
      <c r="H8" s="133">
        <f>IF(B$17=0,0,G8/B$17)</f>
        <v>0.13580246913580246</v>
      </c>
      <c r="I8" s="94">
        <v>4</v>
      </c>
      <c r="K8" s="38">
        <v>6</v>
      </c>
      <c r="L8" s="99">
        <v>3.5527136788005009E-15</v>
      </c>
      <c r="N8" s="43"/>
      <c r="O8" s="127"/>
      <c r="P8" s="111"/>
      <c r="Q8" s="109"/>
    </row>
    <row r="9" spans="1:17" x14ac:dyDescent="0.4">
      <c r="A9" s="56" t="s">
        <v>4</v>
      </c>
      <c r="B9" s="48">
        <v>75</v>
      </c>
      <c r="C9" s="40">
        <f t="shared" si="1"/>
        <v>0.33333333333333331</v>
      </c>
      <c r="E9" s="63" t="s">
        <v>70</v>
      </c>
      <c r="F9" s="60" t="s">
        <v>25</v>
      </c>
      <c r="G9" s="47">
        <v>76</v>
      </c>
      <c r="H9" s="133">
        <f>IF(B$17=0,0,G9/B$17)</f>
        <v>0.13403880070546736</v>
      </c>
      <c r="I9" s="94">
        <v>4</v>
      </c>
      <c r="K9" s="38">
        <v>7</v>
      </c>
      <c r="L9" s="99">
        <v>-37.799999999999997</v>
      </c>
      <c r="N9" s="113" t="s">
        <v>162</v>
      </c>
      <c r="O9" s="34" t="s">
        <v>121</v>
      </c>
      <c r="P9" s="117" t="s">
        <v>117</v>
      </c>
      <c r="Q9" s="105" t="s">
        <v>157</v>
      </c>
    </row>
    <row r="10" spans="1:17" x14ac:dyDescent="0.4">
      <c r="A10" s="56" t="s">
        <v>19</v>
      </c>
      <c r="B10" s="48">
        <v>24</v>
      </c>
      <c r="C10" s="40">
        <f t="shared" si="1"/>
        <v>0.10666666666666667</v>
      </c>
      <c r="E10" s="63" t="s">
        <v>66</v>
      </c>
      <c r="F10" s="60" t="s">
        <v>22</v>
      </c>
      <c r="G10" s="47">
        <v>52</v>
      </c>
      <c r="H10" s="133">
        <f>IF(B$17=0,0,G10/B$17)</f>
        <v>9.1710758377425039E-2</v>
      </c>
      <c r="I10" s="94">
        <v>5</v>
      </c>
      <c r="K10" s="38">
        <v>8</v>
      </c>
      <c r="L10" s="99">
        <v>-46.9</v>
      </c>
      <c r="N10" s="114" t="s">
        <v>163</v>
      </c>
      <c r="O10" s="124">
        <f>IF(P10=0,0,Q10/P10)</f>
        <v>0.95066666666666588</v>
      </c>
      <c r="P10" s="118">
        <v>75</v>
      </c>
      <c r="Q10" s="106">
        <v>71.29999999999994</v>
      </c>
    </row>
    <row r="11" spans="1:17" x14ac:dyDescent="0.4">
      <c r="A11" s="56" t="s">
        <v>139</v>
      </c>
      <c r="B11" s="48">
        <v>24</v>
      </c>
      <c r="C11" s="40">
        <f t="shared" si="1"/>
        <v>0.10666666666666667</v>
      </c>
      <c r="E11" s="63" t="s">
        <v>71</v>
      </c>
      <c r="F11" s="60" t="s">
        <v>26</v>
      </c>
      <c r="G11" s="47">
        <v>43</v>
      </c>
      <c r="H11" s="133">
        <f>IF(B$17=0,0,G11/B$17)</f>
        <v>7.5837742504409167E-2</v>
      </c>
      <c r="I11" s="94">
        <v>4</v>
      </c>
      <c r="K11" s="38">
        <v>9</v>
      </c>
      <c r="L11" s="99">
        <v>0</v>
      </c>
      <c r="N11" s="115" t="s">
        <v>164</v>
      </c>
      <c r="O11" s="125">
        <f>IF(P11=0,0,Q11/P11)</f>
        <v>0.9760000000000002</v>
      </c>
      <c r="P11" s="119">
        <v>75</v>
      </c>
      <c r="Q11" s="107">
        <v>73.200000000000017</v>
      </c>
    </row>
    <row r="12" spans="1:17" x14ac:dyDescent="0.4">
      <c r="A12" s="57" t="s">
        <v>159</v>
      </c>
      <c r="B12" s="49">
        <v>19</v>
      </c>
      <c r="C12" s="42">
        <f t="shared" si="1"/>
        <v>8.4444444444444447E-2</v>
      </c>
      <c r="E12" s="63" t="s">
        <v>72</v>
      </c>
      <c r="F12" s="60" t="s">
        <v>27</v>
      </c>
      <c r="G12" s="47">
        <v>39</v>
      </c>
      <c r="H12" s="133">
        <f>IF(B$17=0,0,G12/B$17)</f>
        <v>6.8783068783068779E-2</v>
      </c>
      <c r="I12" s="94">
        <v>6</v>
      </c>
      <c r="K12" s="38">
        <v>10</v>
      </c>
      <c r="L12" s="99">
        <v>-12</v>
      </c>
      <c r="N12" s="116" t="s">
        <v>165</v>
      </c>
      <c r="O12" s="126">
        <f>IF(P12=0,0,Q12/P12)</f>
        <v>-1.9266666666666663</v>
      </c>
      <c r="P12" s="120">
        <v>75</v>
      </c>
      <c r="Q12" s="108">
        <v>-144.49999999999997</v>
      </c>
    </row>
    <row r="13" spans="1:17" x14ac:dyDescent="0.4">
      <c r="A13" s="58" t="s">
        <v>122</v>
      </c>
      <c r="B13" s="50">
        <v>479</v>
      </c>
      <c r="C13" s="44">
        <f>IF(B$3=0,0,B13/B$3)</f>
        <v>0.24754521963824289</v>
      </c>
      <c r="E13" s="63" t="s">
        <v>84</v>
      </c>
      <c r="F13" s="60" t="s">
        <v>39</v>
      </c>
      <c r="G13" s="47">
        <v>33</v>
      </c>
      <c r="H13" s="133">
        <f>IF(B$17=0,0,G13/B$17)</f>
        <v>5.8201058201058198E-2</v>
      </c>
      <c r="I13" s="94">
        <v>7</v>
      </c>
      <c r="K13" s="38">
        <v>11</v>
      </c>
      <c r="L13" s="99">
        <v>58.2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478</v>
      </c>
      <c r="C14" s="39">
        <f>IF(B$3=0,0,B14/B$3)</f>
        <v>0.24702842377260981</v>
      </c>
      <c r="E14" s="63" t="s">
        <v>87</v>
      </c>
      <c r="F14" s="60" t="s">
        <v>42</v>
      </c>
      <c r="G14" s="47">
        <v>24</v>
      </c>
      <c r="H14" s="133">
        <f>IF(B$17=0,0,G14/B$17)</f>
        <v>4.2328042328042326E-2</v>
      </c>
      <c r="I14" s="94">
        <v>5</v>
      </c>
      <c r="K14" s="38">
        <v>12</v>
      </c>
      <c r="L14" s="99">
        <v>0</v>
      </c>
      <c r="N14" s="113" t="s">
        <v>154</v>
      </c>
      <c r="O14" s="34" t="s">
        <v>121</v>
      </c>
      <c r="P14" s="117" t="s">
        <v>117</v>
      </c>
      <c r="Q14" s="105" t="s">
        <v>157</v>
      </c>
    </row>
    <row r="15" spans="1:17" x14ac:dyDescent="0.4">
      <c r="A15" s="54" t="s">
        <v>124</v>
      </c>
      <c r="B15" s="46">
        <v>260</v>
      </c>
      <c r="C15" s="37">
        <f>IF(B$13=0,0,B15/B$13)</f>
        <v>0.54279749478079331</v>
      </c>
      <c r="E15" s="63" t="s">
        <v>79</v>
      </c>
      <c r="F15" s="60" t="s">
        <v>34</v>
      </c>
      <c r="G15" s="47">
        <v>15</v>
      </c>
      <c r="H15" s="133">
        <f>IF(B$17=0,0,G15/B$17)</f>
        <v>2.6455026455026454E-2</v>
      </c>
      <c r="I15" s="94">
        <v>6</v>
      </c>
      <c r="K15" s="38">
        <v>13</v>
      </c>
      <c r="L15" s="99">
        <v>-1.7</v>
      </c>
      <c r="N15" s="114" t="s">
        <v>183</v>
      </c>
      <c r="O15" s="124">
        <f>IF(P15=0,0,Q15/P15)</f>
        <v>27.250000000000004</v>
      </c>
      <c r="P15" s="118">
        <v>30</v>
      </c>
      <c r="Q15" s="106">
        <v>817.50000000000011</v>
      </c>
    </row>
    <row r="16" spans="1:17" x14ac:dyDescent="0.4">
      <c r="A16" s="54" t="s">
        <v>125</v>
      </c>
      <c r="B16" s="46">
        <v>203</v>
      </c>
      <c r="C16" s="37">
        <f>IF(B$14=0,0,B16/B$14)</f>
        <v>0.42468619246861927</v>
      </c>
      <c r="E16" s="63" t="s">
        <v>82</v>
      </c>
      <c r="F16" s="60" t="s">
        <v>37</v>
      </c>
      <c r="G16" s="47">
        <v>11</v>
      </c>
      <c r="H16" s="133">
        <f>IF(B$17=0,0,G16/B$17)</f>
        <v>1.9400352733686066E-2</v>
      </c>
      <c r="I16" s="94">
        <v>6</v>
      </c>
      <c r="K16" s="38">
        <v>14</v>
      </c>
      <c r="L16" s="99">
        <v>24.3</v>
      </c>
      <c r="N16" s="115" t="s">
        <v>196</v>
      </c>
      <c r="O16" s="125">
        <f>IF(P16=0,0,Q16/P16)</f>
        <v>22.457142857142856</v>
      </c>
      <c r="P16" s="119">
        <v>14</v>
      </c>
      <c r="Q16" s="107">
        <v>314.39999999999998</v>
      </c>
    </row>
    <row r="17" spans="1:17" x14ac:dyDescent="0.4">
      <c r="A17" s="54" t="s">
        <v>10</v>
      </c>
      <c r="B17" s="46">
        <f>B19+B18</f>
        <v>567</v>
      </c>
      <c r="C17" s="37">
        <f>IF(B$3=0,0,B17/B$3)</f>
        <v>0.2930232558139535</v>
      </c>
      <c r="E17" s="63" t="s">
        <v>80</v>
      </c>
      <c r="F17" s="60" t="s">
        <v>35</v>
      </c>
      <c r="G17" s="47">
        <v>10</v>
      </c>
      <c r="H17" s="133">
        <f>IF(B$17=0,0,G17/B$17)</f>
        <v>1.7636684303350969E-2</v>
      </c>
      <c r="I17" s="94">
        <v>4</v>
      </c>
      <c r="K17" s="38">
        <v>15</v>
      </c>
      <c r="L17" s="99">
        <v>0</v>
      </c>
      <c r="N17" s="115" t="s">
        <v>167</v>
      </c>
      <c r="O17" s="125">
        <f>IF(P17=0,0,Q17/P17)</f>
        <v>9.7363636363636363</v>
      </c>
      <c r="P17" s="119">
        <v>44</v>
      </c>
      <c r="Q17" s="107">
        <v>428.40000000000003</v>
      </c>
    </row>
    <row r="18" spans="1:17" x14ac:dyDescent="0.4">
      <c r="A18" s="55" t="s">
        <v>12</v>
      </c>
      <c r="B18" s="47">
        <v>235</v>
      </c>
      <c r="C18" s="39">
        <f>IF(B$17=0,0,B18/B$17)</f>
        <v>0.41446208112874777</v>
      </c>
      <c r="E18" s="63" t="s">
        <v>92</v>
      </c>
      <c r="F18" s="60" t="s">
        <v>47</v>
      </c>
      <c r="G18" s="47">
        <v>9</v>
      </c>
      <c r="H18" s="133">
        <f>IF(B$17=0,0,G18/B$17)</f>
        <v>1.5873015873015872E-2</v>
      </c>
      <c r="I18" s="94">
        <v>4</v>
      </c>
      <c r="K18" s="38">
        <v>16</v>
      </c>
      <c r="L18" s="99">
        <v>-28.2</v>
      </c>
      <c r="N18" s="115" t="s">
        <v>180</v>
      </c>
      <c r="O18" s="125">
        <f>IF(P18=0,0,Q18/P18)</f>
        <v>9.7339285714285761</v>
      </c>
      <c r="P18" s="119">
        <v>56</v>
      </c>
      <c r="Q18" s="107">
        <v>545.10000000000025</v>
      </c>
    </row>
    <row r="19" spans="1:17" x14ac:dyDescent="0.4">
      <c r="A19" s="55" t="s">
        <v>11</v>
      </c>
      <c r="B19" s="47">
        <v>332</v>
      </c>
      <c r="C19" s="39">
        <f>IF(B$17=0,0,B19/B$17)</f>
        <v>0.58553791887125217</v>
      </c>
      <c r="E19" s="63" t="s">
        <v>168</v>
      </c>
      <c r="F19" s="60" t="s">
        <v>169</v>
      </c>
      <c r="G19" s="47">
        <v>8</v>
      </c>
      <c r="H19" s="133">
        <f>IF(B$17=0,0,G19/B$17)</f>
        <v>1.4109347442680775E-2</v>
      </c>
      <c r="I19" s="94">
        <v>4</v>
      </c>
      <c r="K19" s="38">
        <v>17</v>
      </c>
      <c r="L19" s="99">
        <v>-20.5</v>
      </c>
      <c r="N19" s="115" t="s">
        <v>178</v>
      </c>
      <c r="O19" s="125">
        <f>IF(P19=0,0,Q19/P19)</f>
        <v>3.212499999999999</v>
      </c>
      <c r="P19" s="119">
        <v>48</v>
      </c>
      <c r="Q19" s="107">
        <v>154.19999999999996</v>
      </c>
    </row>
    <row r="20" spans="1:17" x14ac:dyDescent="0.4">
      <c r="A20" s="55" t="s">
        <v>13</v>
      </c>
      <c r="B20" s="47">
        <v>330</v>
      </c>
      <c r="C20" s="39">
        <f>IF(B$3=0,0,B20/B$3)</f>
        <v>0.17054263565891473</v>
      </c>
      <c r="E20" s="63" t="s">
        <v>93</v>
      </c>
      <c r="F20" s="60" t="s">
        <v>48</v>
      </c>
      <c r="G20" s="47">
        <v>5</v>
      </c>
      <c r="H20" s="133">
        <f>IF(B$17=0,0,G20/B$17)</f>
        <v>8.8183421516754845E-3</v>
      </c>
      <c r="I20" s="94">
        <v>3</v>
      </c>
      <c r="K20" s="38">
        <v>18</v>
      </c>
      <c r="L20" s="99">
        <v>0</v>
      </c>
      <c r="N20" s="115" t="s">
        <v>179</v>
      </c>
      <c r="O20" s="125">
        <f>IF(P20=0,0,Q20/P20)</f>
        <v>3.1211538461538471</v>
      </c>
      <c r="P20" s="119">
        <v>52</v>
      </c>
      <c r="Q20" s="107">
        <v>162.30000000000004</v>
      </c>
    </row>
    <row r="21" spans="1:17" x14ac:dyDescent="0.4">
      <c r="A21" s="55" t="s">
        <v>170</v>
      </c>
      <c r="B21" s="47">
        <v>7</v>
      </c>
      <c r="C21" s="135">
        <v>0</v>
      </c>
      <c r="E21" s="63" t="s">
        <v>78</v>
      </c>
      <c r="F21" s="60" t="s">
        <v>33</v>
      </c>
      <c r="G21" s="47">
        <v>4</v>
      </c>
      <c r="H21" s="133">
        <f>IF(B$17=0,0,G21/B$17)</f>
        <v>7.0546737213403876E-3</v>
      </c>
      <c r="I21" s="94">
        <v>3</v>
      </c>
      <c r="K21" s="38">
        <v>19</v>
      </c>
      <c r="L21" s="99">
        <v>-22.4</v>
      </c>
      <c r="N21" s="115" t="s">
        <v>128</v>
      </c>
      <c r="O21" s="125">
        <f>IF(P21=0,0,Q21/P21)</f>
        <v>-7.023913043478264</v>
      </c>
      <c r="P21" s="119">
        <v>92</v>
      </c>
      <c r="Q21" s="107">
        <v>-646.20000000000027</v>
      </c>
    </row>
    <row r="22" spans="1:17" x14ac:dyDescent="0.4">
      <c r="A22" s="55" t="s">
        <v>171</v>
      </c>
      <c r="B22" s="47">
        <v>26</v>
      </c>
      <c r="C22" s="135">
        <v>0</v>
      </c>
      <c r="E22" s="63" t="s">
        <v>75</v>
      </c>
      <c r="F22" s="60" t="s">
        <v>30</v>
      </c>
      <c r="G22" s="47">
        <v>3</v>
      </c>
      <c r="H22" s="133">
        <f>IF(B$17=0,0,G22/B$17)</f>
        <v>5.2910052910052907E-3</v>
      </c>
      <c r="I22" s="94">
        <v>4</v>
      </c>
      <c r="K22" s="38">
        <v>20</v>
      </c>
      <c r="L22" s="99">
        <v>-61.199999999999996</v>
      </c>
      <c r="N22" s="115" t="s">
        <v>127</v>
      </c>
      <c r="O22" s="125">
        <f>IF(P22=0,0,Q22/P22)</f>
        <v>-15.189130434782614</v>
      </c>
      <c r="P22" s="119">
        <v>92</v>
      </c>
      <c r="Q22" s="107">
        <v>-1397.4000000000005</v>
      </c>
    </row>
    <row r="23" spans="1:17" x14ac:dyDescent="0.4">
      <c r="A23" s="55" t="s">
        <v>5</v>
      </c>
      <c r="B23" s="51">
        <f>IF(B$17=0,0,C23/B$17)</f>
        <v>8202.4691358024684</v>
      </c>
      <c r="C23" s="41">
        <v>4650800</v>
      </c>
      <c r="E23" s="63" t="s">
        <v>76</v>
      </c>
      <c r="F23" s="60" t="s">
        <v>31</v>
      </c>
      <c r="G23" s="47">
        <v>3</v>
      </c>
      <c r="H23" s="133">
        <f>IF(B$17=0,0,G23/B$17)</f>
        <v>5.2910052910052907E-3</v>
      </c>
      <c r="I23" s="94">
        <v>4</v>
      </c>
      <c r="K23" s="38">
        <v>21</v>
      </c>
      <c r="L23" s="99">
        <v>7.1054273576010019E-15</v>
      </c>
      <c r="N23" s="115" t="s">
        <v>182</v>
      </c>
      <c r="O23" s="125">
        <f>IF(P23=0,0,Q23/P23)</f>
        <v>-17.195454545454549</v>
      </c>
      <c r="P23" s="119">
        <v>22</v>
      </c>
      <c r="Q23" s="107">
        <v>-378.30000000000007</v>
      </c>
    </row>
    <row r="24" spans="1:17" x14ac:dyDescent="0.4">
      <c r="A24" s="57" t="s">
        <v>14</v>
      </c>
      <c r="B24" s="52">
        <f>IF(B$20=0,0,C24/B$20)</f>
        <v>-7713.939393939394</v>
      </c>
      <c r="C24" s="45">
        <v>-2545600</v>
      </c>
      <c r="E24" s="63" t="s">
        <v>86</v>
      </c>
      <c r="F24" s="60" t="s">
        <v>41</v>
      </c>
      <c r="G24" s="47">
        <v>3</v>
      </c>
      <c r="H24" s="133">
        <f>IF(B$17=0,0,G24/B$17)</f>
        <v>5.2910052910052907E-3</v>
      </c>
      <c r="I24" s="94">
        <v>4</v>
      </c>
      <c r="K24" s="38">
        <v>22</v>
      </c>
      <c r="L24" s="99">
        <v>-25.099999999999994</v>
      </c>
    </row>
    <row r="25" spans="1:17" x14ac:dyDescent="0.4">
      <c r="A25" s="90" t="s">
        <v>141</v>
      </c>
      <c r="B25" s="144">
        <v>8</v>
      </c>
      <c r="C25" s="145"/>
      <c r="E25" s="63" t="s">
        <v>85</v>
      </c>
      <c r="F25" s="60" t="s">
        <v>40</v>
      </c>
      <c r="G25" s="47">
        <v>2</v>
      </c>
      <c r="H25" s="133">
        <f>IF(B$17=0,0,G25/B$17)</f>
        <v>3.5273368606701938E-3</v>
      </c>
      <c r="I25" s="94">
        <v>2</v>
      </c>
      <c r="K25" s="38">
        <v>23</v>
      </c>
      <c r="L25" s="99">
        <v>-26.799999999999994</v>
      </c>
    </row>
    <row r="26" spans="1:17" x14ac:dyDescent="0.4">
      <c r="A26" s="58" t="s">
        <v>151</v>
      </c>
      <c r="B26" s="142">
        <v>95200</v>
      </c>
      <c r="C26" s="143"/>
      <c r="E26" s="63" t="s">
        <v>89</v>
      </c>
      <c r="F26" s="60" t="s">
        <v>44</v>
      </c>
      <c r="G26" s="47">
        <v>2</v>
      </c>
      <c r="H26" s="133">
        <f>IF(B$17=0,0,G26/B$17)</f>
        <v>3.5273368606701938E-3</v>
      </c>
      <c r="I26" s="94">
        <v>3</v>
      </c>
      <c r="K26" s="38">
        <v>24</v>
      </c>
      <c r="L26" s="99">
        <v>7.1054273576010019E-15</v>
      </c>
    </row>
    <row r="27" spans="1:17" x14ac:dyDescent="0.4">
      <c r="A27" s="57" t="s">
        <v>142</v>
      </c>
      <c r="B27" s="65">
        <v>5</v>
      </c>
      <c r="C27" s="42">
        <f>IF(B$3=0,0,B27/B$3)</f>
        <v>2.5839793281653748E-3</v>
      </c>
      <c r="E27" s="63" t="s">
        <v>88</v>
      </c>
      <c r="F27" s="60" t="s">
        <v>43</v>
      </c>
      <c r="G27" s="47">
        <v>1</v>
      </c>
      <c r="H27" s="133">
        <f>IF(B$17=0,0,G27/B$17)</f>
        <v>1.7636684303350969E-3</v>
      </c>
      <c r="I27" s="94">
        <v>2</v>
      </c>
      <c r="K27" s="38">
        <v>25</v>
      </c>
      <c r="L27" s="99">
        <v>15.000000000000007</v>
      </c>
    </row>
    <row r="28" spans="1:17" x14ac:dyDescent="0.4">
      <c r="E28" s="63" t="s">
        <v>91</v>
      </c>
      <c r="F28" s="60" t="s">
        <v>46</v>
      </c>
      <c r="G28" s="47">
        <v>1</v>
      </c>
      <c r="H28" s="133">
        <f>IF(B$17=0,0,G28/B$17)</f>
        <v>1.7636684303350969E-3</v>
      </c>
      <c r="I28" s="94">
        <v>2</v>
      </c>
      <c r="K28" s="38">
        <v>26</v>
      </c>
      <c r="L28" s="99">
        <v>0.60000000000000675</v>
      </c>
    </row>
    <row r="29" spans="1:17" x14ac:dyDescent="0.4">
      <c r="E29" s="63" t="s">
        <v>96</v>
      </c>
      <c r="F29" s="60" t="s">
        <v>51</v>
      </c>
      <c r="G29" s="47">
        <v>1</v>
      </c>
      <c r="H29" s="133">
        <f>IF(B$17=0,0,G29/B$17)</f>
        <v>1.7636684303350969E-3</v>
      </c>
      <c r="I29" s="94">
        <v>2</v>
      </c>
      <c r="K29" s="38">
        <v>27</v>
      </c>
      <c r="L29" s="99">
        <v>6.7723604502134549E-15</v>
      </c>
    </row>
    <row r="30" spans="1:17" x14ac:dyDescent="0.4">
      <c r="E30" s="63" t="s">
        <v>102</v>
      </c>
      <c r="F30" s="60" t="s">
        <v>57</v>
      </c>
      <c r="G30" s="47">
        <v>1</v>
      </c>
      <c r="H30" s="133">
        <f>IF(B$17=0,0,G30/B$17)</f>
        <v>1.7636684303350969E-3</v>
      </c>
      <c r="I30" s="94">
        <v>2</v>
      </c>
      <c r="K30" s="38">
        <v>28</v>
      </c>
      <c r="L30" s="99">
        <v>-30.199999999999992</v>
      </c>
    </row>
    <row r="31" spans="1:17" x14ac:dyDescent="0.4">
      <c r="E31" s="63" t="s">
        <v>74</v>
      </c>
      <c r="F31" s="60" t="s">
        <v>29</v>
      </c>
      <c r="G31" s="47">
        <v>0</v>
      </c>
      <c r="H31" s="133">
        <f>IF(B$17=0,0,G31/B$17)</f>
        <v>0</v>
      </c>
      <c r="I31" s="94">
        <v>1</v>
      </c>
      <c r="K31" s="38">
        <v>29</v>
      </c>
      <c r="L31" s="99">
        <v>-2.3999999999999915</v>
      </c>
    </row>
    <row r="32" spans="1:17" x14ac:dyDescent="0.4">
      <c r="E32" s="63" t="s">
        <v>77</v>
      </c>
      <c r="F32" s="60" t="s">
        <v>32</v>
      </c>
      <c r="G32" s="47">
        <v>0</v>
      </c>
      <c r="H32" s="133">
        <f>IF(B$17=0,0,G32/B$17)</f>
        <v>0</v>
      </c>
      <c r="I32" s="94">
        <v>1</v>
      </c>
      <c r="K32" s="38">
        <v>30</v>
      </c>
      <c r="L32" s="99">
        <v>8.4376949871511897E-15</v>
      </c>
    </row>
    <row r="33" spans="5:12" x14ac:dyDescent="0.4">
      <c r="E33" s="63" t="s">
        <v>81</v>
      </c>
      <c r="F33" s="60" t="s">
        <v>36</v>
      </c>
      <c r="G33" s="47">
        <v>0</v>
      </c>
      <c r="H33" s="133">
        <f>IF(B$17=0,0,G33/B$17)</f>
        <v>0</v>
      </c>
      <c r="I33" s="94">
        <v>1</v>
      </c>
      <c r="K33" s="38">
        <v>31</v>
      </c>
      <c r="L33" s="99">
        <v>12.500000000000009</v>
      </c>
    </row>
    <row r="34" spans="5:12" x14ac:dyDescent="0.4">
      <c r="E34" s="63" t="s">
        <v>83</v>
      </c>
      <c r="F34" s="60" t="s">
        <v>38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47.300000000000004</v>
      </c>
    </row>
    <row r="35" spans="5:12" x14ac:dyDescent="0.4">
      <c r="E35" s="63" t="s">
        <v>94</v>
      </c>
      <c r="F35" s="60" t="s">
        <v>49</v>
      </c>
      <c r="G35" s="47">
        <v>0</v>
      </c>
      <c r="H35" s="133">
        <f>IF(B$17=0,0,G35/B$17)</f>
        <v>0</v>
      </c>
      <c r="I35" s="94">
        <v>1</v>
      </c>
      <c r="K35" s="38">
        <v>33</v>
      </c>
      <c r="L35" s="99">
        <v>7.1054273576010019E-15</v>
      </c>
    </row>
    <row r="36" spans="5:12" x14ac:dyDescent="0.4">
      <c r="E36" s="63" t="s">
        <v>95</v>
      </c>
      <c r="F36" s="60" t="s">
        <v>50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-5.8999999999999932</v>
      </c>
    </row>
    <row r="37" spans="5:12" x14ac:dyDescent="0.4">
      <c r="E37" s="63" t="s">
        <v>97</v>
      </c>
      <c r="F37" s="60" t="s">
        <v>52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26.900000000000006</v>
      </c>
    </row>
    <row r="38" spans="5:12" x14ac:dyDescent="0.4">
      <c r="E38" s="63" t="s">
        <v>98</v>
      </c>
      <c r="F38" s="60" t="s">
        <v>53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7.1054273576010019E-15</v>
      </c>
    </row>
    <row r="39" spans="5:12" x14ac:dyDescent="0.4">
      <c r="E39" s="63" t="s">
        <v>99</v>
      </c>
      <c r="F39" s="60" t="s">
        <v>54</v>
      </c>
      <c r="G39" s="47">
        <v>0</v>
      </c>
      <c r="H39" s="133">
        <f>IF(B$17=0,0,G39/B$17)</f>
        <v>0</v>
      </c>
      <c r="I39" s="94">
        <v>1</v>
      </c>
      <c r="K39" s="38">
        <v>37</v>
      </c>
      <c r="L39" s="99">
        <v>17.400000000000006</v>
      </c>
    </row>
    <row r="40" spans="5:12" x14ac:dyDescent="0.4">
      <c r="E40" s="63" t="s">
        <v>100</v>
      </c>
      <c r="F40" s="60" t="s">
        <v>55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-5.2999999999999936</v>
      </c>
    </row>
    <row r="41" spans="5:12" x14ac:dyDescent="0.4">
      <c r="E41" s="63" t="s">
        <v>101</v>
      </c>
      <c r="F41" s="60" t="s">
        <v>56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6.2172489379008766E-15</v>
      </c>
    </row>
    <row r="42" spans="5:12" x14ac:dyDescent="0.4">
      <c r="E42" s="63" t="s">
        <v>103</v>
      </c>
      <c r="F42" s="60" t="s">
        <v>58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10.300000000000008</v>
      </c>
    </row>
    <row r="43" spans="5:12" x14ac:dyDescent="0.4">
      <c r="E43" s="63" t="s">
        <v>104</v>
      </c>
      <c r="F43" s="60" t="s">
        <v>59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-26.999999999999989</v>
      </c>
    </row>
    <row r="44" spans="5:12" x14ac:dyDescent="0.4">
      <c r="E44" s="63" t="s">
        <v>105</v>
      </c>
      <c r="F44" s="60" t="s">
        <v>60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1.0658141036401503E-14</v>
      </c>
    </row>
    <row r="45" spans="5:12" x14ac:dyDescent="0.4">
      <c r="E45" s="63" t="s">
        <v>106</v>
      </c>
      <c r="F45" s="60" t="s">
        <v>113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-20.899999999999988</v>
      </c>
    </row>
    <row r="46" spans="5:12" x14ac:dyDescent="0.4">
      <c r="E46" s="63" t="s">
        <v>107</v>
      </c>
      <c r="F46" s="60" t="s">
        <v>114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0.30000000000001137</v>
      </c>
    </row>
    <row r="47" spans="5:12" x14ac:dyDescent="0.4">
      <c r="E47" s="63" t="s">
        <v>108</v>
      </c>
      <c r="F47" s="60" t="s">
        <v>115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1.1379786002407855E-14</v>
      </c>
    </row>
    <row r="48" spans="5:12" x14ac:dyDescent="0.4">
      <c r="E48" s="63" t="s">
        <v>109</v>
      </c>
      <c r="F48" s="60" t="s">
        <v>61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2.2000000000000117</v>
      </c>
    </row>
    <row r="49" spans="5:12" x14ac:dyDescent="0.4">
      <c r="E49" s="63" t="s">
        <v>110</v>
      </c>
      <c r="F49" s="60" t="s">
        <v>62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-21.499999999999986</v>
      </c>
    </row>
    <row r="50" spans="5:12" x14ac:dyDescent="0.4">
      <c r="E50" s="63" t="s">
        <v>111</v>
      </c>
      <c r="F50" s="60" t="s">
        <v>63</v>
      </c>
      <c r="G50" s="47">
        <v>0</v>
      </c>
      <c r="H50" s="133">
        <f>IF(B$17=0,0,G50/B$17)</f>
        <v>0</v>
      </c>
      <c r="I50" s="94">
        <v>1</v>
      </c>
      <c r="K50" s="38">
        <v>48</v>
      </c>
      <c r="L50" s="99">
        <v>1.4210854715202004E-14</v>
      </c>
    </row>
    <row r="51" spans="5:12" x14ac:dyDescent="0.4">
      <c r="E51" s="136" t="s">
        <v>112</v>
      </c>
      <c r="F51" s="137" t="s">
        <v>64</v>
      </c>
      <c r="G51" s="48">
        <v>0</v>
      </c>
      <c r="H51" s="138">
        <f>IF(B$17=0,0,G51/B$17)</f>
        <v>0</v>
      </c>
      <c r="I51" s="139">
        <v>1</v>
      </c>
      <c r="K51" s="38">
        <v>49</v>
      </c>
      <c r="L51" s="99">
        <v>-51.599999999999987</v>
      </c>
    </row>
    <row r="52" spans="5:12" x14ac:dyDescent="0.4">
      <c r="E52" s="64" t="s">
        <v>174</v>
      </c>
      <c r="F52" s="61" t="s">
        <v>175</v>
      </c>
      <c r="G52" s="49">
        <v>0</v>
      </c>
      <c r="H52" s="134">
        <f>IF(B$17=0,0,G52/B$17)</f>
        <v>0</v>
      </c>
      <c r="I52" s="95">
        <v>1</v>
      </c>
      <c r="K52" s="38">
        <v>50</v>
      </c>
      <c r="L52" s="99">
        <v>-33.699999999999989</v>
      </c>
    </row>
    <row r="53" spans="5:12" x14ac:dyDescent="0.4">
      <c r="K53" s="38">
        <v>51</v>
      </c>
      <c r="L53" s="99">
        <v>1.4210854715202004E-14</v>
      </c>
    </row>
    <row r="54" spans="5:12" x14ac:dyDescent="0.4">
      <c r="K54" s="38">
        <v>52</v>
      </c>
      <c r="L54" s="99">
        <v>-5.8999999999999861</v>
      </c>
    </row>
    <row r="55" spans="5:12" x14ac:dyDescent="0.4">
      <c r="K55" s="38">
        <v>53</v>
      </c>
      <c r="L55" s="99">
        <v>-29.399999999999984</v>
      </c>
    </row>
    <row r="56" spans="5:12" x14ac:dyDescent="0.4">
      <c r="K56" s="38">
        <v>54</v>
      </c>
      <c r="L56" s="99">
        <v>1.4210854715202004E-14</v>
      </c>
    </row>
    <row r="57" spans="5:12" x14ac:dyDescent="0.4">
      <c r="K57" s="38">
        <v>55</v>
      </c>
      <c r="L57" s="99">
        <v>-42.999999999999986</v>
      </c>
    </row>
    <row r="58" spans="5:12" x14ac:dyDescent="0.4">
      <c r="K58" s="38">
        <v>56</v>
      </c>
      <c r="L58" s="99">
        <v>-54.199999999999989</v>
      </c>
    </row>
    <row r="59" spans="5:12" x14ac:dyDescent="0.4">
      <c r="K59" s="38">
        <v>57</v>
      </c>
      <c r="L59" s="99">
        <v>1.4210854715202004E-14</v>
      </c>
    </row>
    <row r="60" spans="5:12" x14ac:dyDescent="0.4">
      <c r="K60" s="38">
        <v>58</v>
      </c>
      <c r="L60" s="99">
        <v>7.6000000000000139</v>
      </c>
    </row>
    <row r="61" spans="5:12" x14ac:dyDescent="0.4">
      <c r="K61" s="38">
        <v>59</v>
      </c>
      <c r="L61" s="99">
        <v>-35.399999999999984</v>
      </c>
    </row>
    <row r="62" spans="5:12" x14ac:dyDescent="0.4">
      <c r="K62" s="38">
        <v>60</v>
      </c>
      <c r="L62" s="99">
        <v>1.4210854715202004E-14</v>
      </c>
    </row>
    <row r="63" spans="5:12" x14ac:dyDescent="0.4">
      <c r="K63" s="38">
        <v>61</v>
      </c>
      <c r="L63" s="99">
        <v>66.800000000000011</v>
      </c>
    </row>
    <row r="64" spans="5:12" x14ac:dyDescent="0.4">
      <c r="K64" s="38">
        <v>62</v>
      </c>
      <c r="L64" s="99">
        <v>6.7000000000000099</v>
      </c>
    </row>
    <row r="65" spans="11:12" x14ac:dyDescent="0.4">
      <c r="K65" s="38">
        <v>63</v>
      </c>
      <c r="L65" s="99">
        <v>9.7699626167013776E-15</v>
      </c>
    </row>
    <row r="66" spans="11:12" x14ac:dyDescent="0.4">
      <c r="K66" s="38">
        <v>64</v>
      </c>
      <c r="L66" s="99">
        <v>-49.499999999999993</v>
      </c>
    </row>
    <row r="67" spans="11:12" x14ac:dyDescent="0.4">
      <c r="K67" s="38">
        <v>65</v>
      </c>
      <c r="L67" s="99">
        <v>-30.799999999999994</v>
      </c>
    </row>
    <row r="68" spans="11:12" x14ac:dyDescent="0.4">
      <c r="K68" s="38">
        <v>66</v>
      </c>
      <c r="L68" s="99">
        <v>7.1054273576010019E-15</v>
      </c>
    </row>
    <row r="69" spans="11:12" x14ac:dyDescent="0.4">
      <c r="K69" s="38">
        <v>67</v>
      </c>
      <c r="L69" s="99">
        <v>66.400000000000006</v>
      </c>
    </row>
    <row r="70" spans="11:12" x14ac:dyDescent="0.4">
      <c r="K70" s="38">
        <v>68</v>
      </c>
      <c r="L70" s="99">
        <v>17.700000000000003</v>
      </c>
    </row>
    <row r="71" spans="11:12" x14ac:dyDescent="0.4">
      <c r="K71" s="38">
        <v>69</v>
      </c>
      <c r="L71" s="99">
        <v>3.5527136788005009E-15</v>
      </c>
    </row>
    <row r="72" spans="11:12" x14ac:dyDescent="0.4">
      <c r="K72" s="38">
        <v>70</v>
      </c>
      <c r="L72" s="99">
        <v>17.700000000000003</v>
      </c>
    </row>
    <row r="73" spans="11:12" x14ac:dyDescent="0.4">
      <c r="K73" s="38">
        <v>71</v>
      </c>
      <c r="L73" s="99">
        <v>-28.799999999999997</v>
      </c>
    </row>
    <row r="74" spans="11:12" x14ac:dyDescent="0.4">
      <c r="K74" s="38">
        <v>72</v>
      </c>
      <c r="L74" s="99">
        <v>3.5527136788005009E-15</v>
      </c>
    </row>
    <row r="75" spans="11:12" x14ac:dyDescent="0.4">
      <c r="K75" s="38">
        <v>73</v>
      </c>
      <c r="L75" s="99">
        <v>7.5000000000000036</v>
      </c>
    </row>
    <row r="76" spans="11:12" x14ac:dyDescent="0.4">
      <c r="K76" s="38">
        <v>74</v>
      </c>
      <c r="L76" s="99">
        <v>28.600000000000005</v>
      </c>
    </row>
    <row r="77" spans="11:12" x14ac:dyDescent="0.4">
      <c r="K77" s="38">
        <v>75</v>
      </c>
      <c r="L77" s="99">
        <v>3.5527136788005009E-15</v>
      </c>
    </row>
    <row r="78" spans="11:12" x14ac:dyDescent="0.4">
      <c r="K78" s="38">
        <v>76</v>
      </c>
      <c r="L78" s="99">
        <v>39.5</v>
      </c>
    </row>
    <row r="79" spans="11:12" x14ac:dyDescent="0.4">
      <c r="K79" s="38">
        <v>77</v>
      </c>
      <c r="L79" s="99">
        <v>-7</v>
      </c>
    </row>
    <row r="80" spans="11:12" x14ac:dyDescent="0.4">
      <c r="K80" s="38">
        <v>78</v>
      </c>
      <c r="L80" s="99">
        <v>0</v>
      </c>
    </row>
    <row r="81" spans="11:12" x14ac:dyDescent="0.4">
      <c r="K81" s="38">
        <v>79</v>
      </c>
      <c r="L81" s="99">
        <v>-45.1</v>
      </c>
    </row>
    <row r="82" spans="11:12" x14ac:dyDescent="0.4">
      <c r="K82" s="38">
        <v>80</v>
      </c>
      <c r="L82" s="99">
        <v>-39.200000000000003</v>
      </c>
    </row>
    <row r="83" spans="11:12" x14ac:dyDescent="0.4">
      <c r="K83" s="38">
        <v>81</v>
      </c>
      <c r="L83" s="99">
        <v>0</v>
      </c>
    </row>
    <row r="84" spans="11:12" x14ac:dyDescent="0.4">
      <c r="K84" s="38">
        <v>82</v>
      </c>
      <c r="L84" s="99">
        <v>17.7</v>
      </c>
    </row>
    <row r="85" spans="11:12" x14ac:dyDescent="0.4">
      <c r="K85" s="38">
        <v>83</v>
      </c>
      <c r="L85" s="99">
        <v>-28.8</v>
      </c>
    </row>
    <row r="86" spans="11:12" x14ac:dyDescent="0.4">
      <c r="K86" s="38">
        <v>84</v>
      </c>
      <c r="L86" s="99">
        <v>0</v>
      </c>
    </row>
    <row r="87" spans="11:12" x14ac:dyDescent="0.4">
      <c r="K87" s="38">
        <v>85</v>
      </c>
      <c r="L87" s="99">
        <v>42.9</v>
      </c>
    </row>
    <row r="88" spans="11:12" x14ac:dyDescent="0.4">
      <c r="K88" s="38">
        <v>86</v>
      </c>
      <c r="L88" s="99">
        <v>-0.80000000000000426</v>
      </c>
    </row>
    <row r="89" spans="11:12" x14ac:dyDescent="0.4">
      <c r="K89" s="38">
        <v>87</v>
      </c>
      <c r="L89" s="99">
        <v>-4.2188474935755949E-15</v>
      </c>
    </row>
    <row r="90" spans="11:12" x14ac:dyDescent="0.4">
      <c r="K90" s="38">
        <v>88</v>
      </c>
      <c r="L90" s="99">
        <v>-58.000000000000007</v>
      </c>
    </row>
    <row r="91" spans="11:12" x14ac:dyDescent="0.4">
      <c r="K91" s="38">
        <v>89</v>
      </c>
      <c r="L91" s="99">
        <v>-7.1054273576010019E-15</v>
      </c>
    </row>
    <row r="92" spans="11:12" x14ac:dyDescent="0.4">
      <c r="K92" s="38">
        <v>90</v>
      </c>
      <c r="L92" s="99">
        <v>-7.1054273576010019E-15</v>
      </c>
    </row>
    <row r="93" spans="11:12" x14ac:dyDescent="0.4">
      <c r="K93" s="38">
        <v>91</v>
      </c>
      <c r="L93" s="99">
        <v>-26.400000000000006</v>
      </c>
    </row>
    <row r="94" spans="11:12" x14ac:dyDescent="0.4">
      <c r="K94" s="38">
        <v>92</v>
      </c>
      <c r="L94" s="99">
        <v>-26.900000000000006</v>
      </c>
    </row>
    <row r="95" spans="11:12" x14ac:dyDescent="0.4">
      <c r="K95" s="38">
        <v>93</v>
      </c>
      <c r="L95" s="99">
        <v>-7.1054273576010019E-15</v>
      </c>
    </row>
    <row r="96" spans="11:12" x14ac:dyDescent="0.4">
      <c r="K96" s="38">
        <v>94</v>
      </c>
      <c r="L96" s="99">
        <v>-34.900000000000006</v>
      </c>
    </row>
    <row r="97" spans="11:12" x14ac:dyDescent="0.4">
      <c r="K97" s="38">
        <v>95</v>
      </c>
      <c r="L97" s="99">
        <v>-8.100000000000005</v>
      </c>
    </row>
    <row r="98" spans="11:12" x14ac:dyDescent="0.4">
      <c r="K98" s="38">
        <v>96</v>
      </c>
      <c r="L98" s="99">
        <v>-5.3290705182007514E-15</v>
      </c>
    </row>
    <row r="99" spans="11:12" x14ac:dyDescent="0.4">
      <c r="K99" s="38">
        <v>97</v>
      </c>
      <c r="L99" s="99">
        <v>34.29999999999999</v>
      </c>
    </row>
    <row r="100" spans="11:12" x14ac:dyDescent="0.4">
      <c r="K100" s="38">
        <v>98</v>
      </c>
      <c r="L100" s="99">
        <v>31.499999999999989</v>
      </c>
    </row>
    <row r="101" spans="11:12" x14ac:dyDescent="0.4">
      <c r="K101" s="38">
        <v>99</v>
      </c>
      <c r="L101" s="99">
        <v>-1.0658141036401503E-14</v>
      </c>
    </row>
    <row r="102" spans="11:12" x14ac:dyDescent="0.4">
      <c r="K102" s="38">
        <v>100</v>
      </c>
      <c r="L102" s="99">
        <v>34.499999999999986</v>
      </c>
    </row>
    <row r="103" spans="11:12" x14ac:dyDescent="0.4">
      <c r="K103" s="38">
        <v>101</v>
      </c>
      <c r="L103" s="99">
        <v>46.899999999999984</v>
      </c>
    </row>
    <row r="104" spans="11:12" x14ac:dyDescent="0.4">
      <c r="K104" s="38">
        <v>102</v>
      </c>
      <c r="L104" s="99">
        <v>-1.4210854715202004E-14</v>
      </c>
    </row>
    <row r="105" spans="11:12" x14ac:dyDescent="0.4">
      <c r="K105" s="38">
        <v>103</v>
      </c>
      <c r="L105" s="99">
        <v>-49.400000000000013</v>
      </c>
    </row>
    <row r="106" spans="11:12" x14ac:dyDescent="0.4">
      <c r="K106" s="38">
        <v>104</v>
      </c>
      <c r="L106" s="99">
        <v>-18.000000000000014</v>
      </c>
    </row>
    <row r="107" spans="11:12" x14ac:dyDescent="0.4">
      <c r="K107" s="38">
        <v>105</v>
      </c>
      <c r="L107" s="99">
        <v>-1.4210854715202004E-14</v>
      </c>
    </row>
    <row r="108" spans="11:12" x14ac:dyDescent="0.4">
      <c r="K108" s="38">
        <v>106</v>
      </c>
      <c r="L108" s="99">
        <v>-10.800000000000015</v>
      </c>
    </row>
    <row r="109" spans="11:12" x14ac:dyDescent="0.4">
      <c r="K109" s="38">
        <v>107</v>
      </c>
      <c r="L109" s="99">
        <v>-56.90000000000002</v>
      </c>
    </row>
    <row r="110" spans="11:12" x14ac:dyDescent="0.4">
      <c r="K110" s="38">
        <v>108</v>
      </c>
      <c r="L110" s="99">
        <v>-2.1316282072803006E-14</v>
      </c>
    </row>
    <row r="111" spans="11:12" x14ac:dyDescent="0.4">
      <c r="K111" s="38">
        <v>109</v>
      </c>
      <c r="L111" s="99">
        <v>7.6999999999999789</v>
      </c>
    </row>
    <row r="112" spans="11:12" x14ac:dyDescent="0.4">
      <c r="K112" s="38">
        <v>110</v>
      </c>
      <c r="L112" s="99">
        <v>-22.700000000000021</v>
      </c>
    </row>
    <row r="113" spans="11:12" x14ac:dyDescent="0.4">
      <c r="K113" s="38">
        <v>111</v>
      </c>
      <c r="L113" s="99">
        <v>-2.1316282072803006E-14</v>
      </c>
    </row>
    <row r="114" spans="11:12" x14ac:dyDescent="0.4">
      <c r="K114" s="38">
        <v>112</v>
      </c>
      <c r="L114" s="99">
        <v>2.4999999999999787</v>
      </c>
    </row>
    <row r="115" spans="11:12" x14ac:dyDescent="0.4">
      <c r="K115" s="38">
        <v>113</v>
      </c>
      <c r="L115" s="99">
        <v>23.999999999999979</v>
      </c>
    </row>
    <row r="116" spans="11:12" x14ac:dyDescent="0.4">
      <c r="K116" s="38">
        <v>114</v>
      </c>
      <c r="L116" s="99">
        <v>-2.1316282072803006E-14</v>
      </c>
    </row>
    <row r="117" spans="11:12" x14ac:dyDescent="0.4">
      <c r="K117" s="38">
        <v>115</v>
      </c>
      <c r="L117" s="99">
        <v>33.09999999999998</v>
      </c>
    </row>
    <row r="118" spans="11:12" x14ac:dyDescent="0.4">
      <c r="K118" s="38">
        <v>116</v>
      </c>
      <c r="L118" s="99">
        <v>6.6999999999999815</v>
      </c>
    </row>
    <row r="119" spans="11:12" x14ac:dyDescent="0.4">
      <c r="K119" s="38">
        <v>117</v>
      </c>
      <c r="L119" s="99">
        <v>-1.865174681370263E-14</v>
      </c>
    </row>
    <row r="120" spans="11:12" x14ac:dyDescent="0.4">
      <c r="K120" s="38">
        <v>118</v>
      </c>
      <c r="L120" s="99">
        <v>-44.200000000000024</v>
      </c>
    </row>
    <row r="121" spans="11:12" x14ac:dyDescent="0.4">
      <c r="K121" s="38">
        <v>119</v>
      </c>
      <c r="L121" s="99">
        <v>-30.800000000000026</v>
      </c>
    </row>
    <row r="122" spans="11:12" x14ac:dyDescent="0.4">
      <c r="K122" s="38">
        <v>120</v>
      </c>
      <c r="L122" s="99">
        <v>-2.4868995751603507E-14</v>
      </c>
    </row>
    <row r="123" spans="11:12" x14ac:dyDescent="0.4">
      <c r="K123" s="38">
        <v>121</v>
      </c>
      <c r="L123" s="99">
        <v>-55.800000000000026</v>
      </c>
    </row>
    <row r="124" spans="11:12" x14ac:dyDescent="0.4">
      <c r="K124" s="38">
        <v>122</v>
      </c>
      <c r="L124" s="99">
        <v>-50.500000000000028</v>
      </c>
    </row>
    <row r="125" spans="11:12" x14ac:dyDescent="0.4">
      <c r="K125" s="38">
        <v>123</v>
      </c>
      <c r="L125" s="99">
        <v>-2.8421709430404007E-14</v>
      </c>
    </row>
    <row r="126" spans="11:12" x14ac:dyDescent="0.4">
      <c r="K126" s="38">
        <v>124</v>
      </c>
      <c r="L126" s="99">
        <v>31.699999999999971</v>
      </c>
    </row>
    <row r="127" spans="11:12" x14ac:dyDescent="0.4">
      <c r="K127" s="38">
        <v>125</v>
      </c>
      <c r="L127" s="99">
        <v>-8.6000000000000263</v>
      </c>
    </row>
    <row r="128" spans="11:12" x14ac:dyDescent="0.4">
      <c r="K128" s="38">
        <v>126</v>
      </c>
      <c r="L128" s="99">
        <v>-2.6645352591003757E-14</v>
      </c>
    </row>
    <row r="129" spans="11:12" x14ac:dyDescent="0.4">
      <c r="K129" s="38">
        <v>127</v>
      </c>
      <c r="L129" s="99">
        <v>-3.4000000000000266</v>
      </c>
    </row>
    <row r="130" spans="11:12" x14ac:dyDescent="0.4">
      <c r="K130" s="38">
        <v>128</v>
      </c>
      <c r="L130" s="99">
        <v>-24.700000000000028</v>
      </c>
    </row>
    <row r="131" spans="11:12" x14ac:dyDescent="0.4">
      <c r="K131" s="38">
        <v>129</v>
      </c>
      <c r="L131" s="99">
        <v>-2.8421709430404007E-14</v>
      </c>
    </row>
    <row r="132" spans="11:12" x14ac:dyDescent="0.4">
      <c r="K132" s="38">
        <v>130</v>
      </c>
      <c r="L132" s="99">
        <v>-16.700000000000028</v>
      </c>
    </row>
    <row r="133" spans="11:12" x14ac:dyDescent="0.4">
      <c r="K133" s="38">
        <v>131</v>
      </c>
      <c r="L133" s="99">
        <v>-15.100000000000028</v>
      </c>
    </row>
    <row r="134" spans="11:12" x14ac:dyDescent="0.4">
      <c r="K134" s="38">
        <v>132</v>
      </c>
      <c r="L134" s="99">
        <v>-2.8421709430404007E-14</v>
      </c>
    </row>
    <row r="135" spans="11:12" x14ac:dyDescent="0.4">
      <c r="K135" s="38">
        <v>133</v>
      </c>
      <c r="L135" s="99">
        <v>-2.8000000000000282</v>
      </c>
    </row>
    <row r="136" spans="11:12" x14ac:dyDescent="0.4">
      <c r="K136" s="38">
        <v>134</v>
      </c>
      <c r="L136" s="99">
        <v>14.099999999999969</v>
      </c>
    </row>
    <row r="137" spans="11:12" x14ac:dyDescent="0.4">
      <c r="K137" s="38">
        <v>135</v>
      </c>
      <c r="L137" s="99">
        <v>-3.0198066269804258E-14</v>
      </c>
    </row>
    <row r="138" spans="11:12" x14ac:dyDescent="0.4">
      <c r="K138" s="38">
        <v>136</v>
      </c>
      <c r="L138" s="99">
        <v>-43.800000000000026</v>
      </c>
    </row>
    <row r="139" spans="11:12" x14ac:dyDescent="0.4">
      <c r="K139" s="38">
        <v>137</v>
      </c>
      <c r="L139" s="99">
        <v>6.1999999999999744</v>
      </c>
    </row>
    <row r="140" spans="11:12" x14ac:dyDescent="0.4">
      <c r="K140" s="38">
        <v>138</v>
      </c>
      <c r="L140" s="99">
        <v>-2.5757174171303632E-14</v>
      </c>
    </row>
    <row r="141" spans="11:12" x14ac:dyDescent="0.4">
      <c r="K141" s="38">
        <v>139</v>
      </c>
      <c r="L141" s="99">
        <v>-35.300000000000026</v>
      </c>
    </row>
    <row r="142" spans="11:12" x14ac:dyDescent="0.4">
      <c r="K142" s="38">
        <v>140</v>
      </c>
      <c r="L142" s="99">
        <v>7.2999999999999758</v>
      </c>
    </row>
    <row r="143" spans="11:12" x14ac:dyDescent="0.4">
      <c r="K143" s="38">
        <v>141</v>
      </c>
      <c r="L143" s="99">
        <v>-2.3980817331903381E-14</v>
      </c>
    </row>
    <row r="144" spans="11:12" x14ac:dyDescent="0.4">
      <c r="K144" s="38">
        <v>142</v>
      </c>
      <c r="L144" s="99">
        <v>60.09999999999998</v>
      </c>
    </row>
    <row r="145" spans="11:12" x14ac:dyDescent="0.4">
      <c r="K145" s="38">
        <v>143</v>
      </c>
      <c r="L145" s="99">
        <v>50.399999999999977</v>
      </c>
    </row>
    <row r="146" spans="11:12" x14ac:dyDescent="0.4">
      <c r="K146" s="38">
        <v>144</v>
      </c>
      <c r="L146" s="99">
        <v>-2.1316282072803006E-14</v>
      </c>
    </row>
    <row r="147" spans="11:12" x14ac:dyDescent="0.4">
      <c r="K147" s="38">
        <v>145</v>
      </c>
      <c r="L147" s="99">
        <v>-53.100000000000023</v>
      </c>
    </row>
    <row r="148" spans="11:12" x14ac:dyDescent="0.4">
      <c r="K148" s="38">
        <v>146</v>
      </c>
      <c r="L148" s="99">
        <v>-53.200000000000024</v>
      </c>
    </row>
    <row r="149" spans="11:12" x14ac:dyDescent="0.4">
      <c r="K149" s="38">
        <v>147</v>
      </c>
      <c r="L149" s="99">
        <v>-2.1316282072803006E-14</v>
      </c>
    </row>
    <row r="150" spans="11:12" x14ac:dyDescent="0.4">
      <c r="K150" s="38">
        <v>148</v>
      </c>
      <c r="L150" s="99">
        <v>-21.90000000000002</v>
      </c>
    </row>
    <row r="151" spans="11:12" x14ac:dyDescent="0.4">
      <c r="K151" s="38">
        <v>149</v>
      </c>
      <c r="L151" s="99">
        <v>7.9999999999999787</v>
      </c>
    </row>
    <row r="152" spans="11:12" x14ac:dyDescent="0.4">
      <c r="K152" s="38">
        <v>150</v>
      </c>
      <c r="L152" s="99">
        <v>-2.1316282072803006E-14</v>
      </c>
    </row>
    <row r="153" spans="11:12" x14ac:dyDescent="0.4">
      <c r="K153" s="38">
        <v>151</v>
      </c>
      <c r="L153" s="99">
        <v>45.899999999999977</v>
      </c>
    </row>
    <row r="154" spans="11:12" x14ac:dyDescent="0.4">
      <c r="K154" s="38">
        <v>152</v>
      </c>
      <c r="L154" s="99">
        <v>45.699999999999974</v>
      </c>
    </row>
    <row r="155" spans="11:12" x14ac:dyDescent="0.4">
      <c r="K155" s="38">
        <v>153</v>
      </c>
      <c r="L155" s="99">
        <v>-2.8421709430404007E-14</v>
      </c>
    </row>
    <row r="156" spans="11:12" x14ac:dyDescent="0.4">
      <c r="K156" s="38">
        <v>154</v>
      </c>
      <c r="L156" s="99">
        <v>-27.10000000000003</v>
      </c>
    </row>
    <row r="157" spans="11:12" x14ac:dyDescent="0.4">
      <c r="K157" s="38">
        <v>155</v>
      </c>
      <c r="L157" s="99">
        <v>-5.8000000000000291</v>
      </c>
    </row>
    <row r="158" spans="11:12" x14ac:dyDescent="0.4">
      <c r="K158" s="38">
        <v>156</v>
      </c>
      <c r="L158" s="99">
        <v>-2.9309887850104133E-14</v>
      </c>
    </row>
    <row r="159" spans="11:12" x14ac:dyDescent="0.4">
      <c r="K159" s="38">
        <v>157</v>
      </c>
      <c r="L159" s="99">
        <v>11.39999999999997</v>
      </c>
    </row>
    <row r="160" spans="11:12" x14ac:dyDescent="0.4">
      <c r="K160" s="38">
        <v>158</v>
      </c>
      <c r="L160" s="99">
        <v>-25.300000000000033</v>
      </c>
    </row>
    <row r="161" spans="11:12" x14ac:dyDescent="0.4">
      <c r="K161" s="38">
        <v>159</v>
      </c>
      <c r="L161" s="99">
        <v>-3.1974423109204508E-14</v>
      </c>
    </row>
    <row r="162" spans="11:12" x14ac:dyDescent="0.4">
      <c r="K162" s="38">
        <v>160</v>
      </c>
      <c r="L162" s="99">
        <v>21.999999999999968</v>
      </c>
    </row>
    <row r="163" spans="11:12" x14ac:dyDescent="0.4">
      <c r="K163" s="38">
        <v>161</v>
      </c>
      <c r="L163" s="99">
        <v>16.599999999999966</v>
      </c>
    </row>
    <row r="164" spans="11:12" x14ac:dyDescent="0.4">
      <c r="K164" s="38">
        <v>162</v>
      </c>
      <c r="L164" s="99">
        <v>-3.5527136788005009E-14</v>
      </c>
    </row>
    <row r="165" spans="11:12" x14ac:dyDescent="0.4">
      <c r="K165" s="38">
        <v>163</v>
      </c>
      <c r="L165" s="99">
        <v>40.399999999999963</v>
      </c>
    </row>
    <row r="166" spans="11:12" x14ac:dyDescent="0.4">
      <c r="K166" s="38">
        <v>164</v>
      </c>
      <c r="L166" s="99">
        <v>45.799999999999962</v>
      </c>
    </row>
    <row r="167" spans="11:12" x14ac:dyDescent="0.4">
      <c r="K167" s="38">
        <v>165</v>
      </c>
      <c r="L167" s="99">
        <v>-3.5527136788005009E-14</v>
      </c>
    </row>
    <row r="168" spans="11:12" x14ac:dyDescent="0.4">
      <c r="K168" s="38">
        <v>166</v>
      </c>
      <c r="L168" s="99">
        <v>-32.600000000000037</v>
      </c>
    </row>
    <row r="169" spans="11:12" x14ac:dyDescent="0.4">
      <c r="K169" s="38">
        <v>167</v>
      </c>
      <c r="L169" s="99">
        <v>-47.900000000000034</v>
      </c>
    </row>
    <row r="170" spans="11:12" x14ac:dyDescent="0.4">
      <c r="K170" s="38">
        <v>168</v>
      </c>
      <c r="L170" s="99">
        <v>-3.5527136788005009E-14</v>
      </c>
    </row>
    <row r="171" spans="11:12" x14ac:dyDescent="0.4">
      <c r="K171" s="38">
        <v>169</v>
      </c>
      <c r="L171" s="99">
        <v>1.9999999999999645</v>
      </c>
    </row>
    <row r="172" spans="11:12" x14ac:dyDescent="0.4">
      <c r="K172" s="38">
        <v>170</v>
      </c>
      <c r="L172" s="99">
        <v>14.999999999999964</v>
      </c>
    </row>
    <row r="173" spans="11:12" x14ac:dyDescent="0.4">
      <c r="K173" s="38">
        <v>171</v>
      </c>
      <c r="L173" s="99">
        <v>-3.5527136788005009E-14</v>
      </c>
    </row>
    <row r="174" spans="11:12" x14ac:dyDescent="0.4">
      <c r="K174" s="38">
        <v>172</v>
      </c>
      <c r="L174" s="99">
        <v>-0.50000000000003553</v>
      </c>
    </row>
    <row r="175" spans="11:12" x14ac:dyDescent="0.4">
      <c r="K175" s="38">
        <v>173</v>
      </c>
      <c r="L175" s="99">
        <v>34.899999999999963</v>
      </c>
    </row>
    <row r="176" spans="11:12" x14ac:dyDescent="0.4">
      <c r="K176" s="38">
        <v>174</v>
      </c>
      <c r="L176" s="99">
        <v>-3.5527136788005009E-14</v>
      </c>
    </row>
    <row r="177" spans="11:12" x14ac:dyDescent="0.4">
      <c r="K177" s="38">
        <v>175</v>
      </c>
      <c r="L177" s="99">
        <v>4.8999999999999648</v>
      </c>
    </row>
    <row r="178" spans="11:12" x14ac:dyDescent="0.4">
      <c r="K178" s="38">
        <v>176</v>
      </c>
      <c r="L178" s="99">
        <v>49.19999999999996</v>
      </c>
    </row>
    <row r="179" spans="11:12" x14ac:dyDescent="0.4">
      <c r="K179" s="38">
        <v>177</v>
      </c>
      <c r="L179" s="99">
        <v>-4.2632564145606011E-14</v>
      </c>
    </row>
    <row r="180" spans="11:12" x14ac:dyDescent="0.4">
      <c r="K180" s="38">
        <v>178</v>
      </c>
      <c r="L180" s="99">
        <v>-31.300000000000043</v>
      </c>
    </row>
    <row r="181" spans="11:12" x14ac:dyDescent="0.4">
      <c r="K181" s="38">
        <v>179</v>
      </c>
      <c r="L181" s="99">
        <v>-25.300000000000043</v>
      </c>
    </row>
    <row r="182" spans="11:12" x14ac:dyDescent="0.4">
      <c r="K182" s="38">
        <v>180</v>
      </c>
      <c r="L182" s="99">
        <v>-4.2632564145606011E-14</v>
      </c>
    </row>
    <row r="183" spans="11:12" x14ac:dyDescent="0.4">
      <c r="K183" s="38">
        <v>181</v>
      </c>
      <c r="L183" s="99">
        <v>-23.900000000000041</v>
      </c>
    </row>
    <row r="184" spans="11:12" x14ac:dyDescent="0.4">
      <c r="K184" s="38">
        <v>182</v>
      </c>
      <c r="L184" s="99">
        <v>-22.000000000000043</v>
      </c>
    </row>
    <row r="185" spans="11:12" x14ac:dyDescent="0.4">
      <c r="K185" s="38">
        <v>183</v>
      </c>
      <c r="L185" s="99">
        <v>-4.2632564145606011E-14</v>
      </c>
    </row>
    <row r="186" spans="11:12" x14ac:dyDescent="0.4">
      <c r="K186" s="38">
        <v>184</v>
      </c>
      <c r="L186" s="99">
        <v>-1.9000000000000425</v>
      </c>
    </row>
    <row r="187" spans="11:12" x14ac:dyDescent="0.4">
      <c r="K187" s="38">
        <v>185</v>
      </c>
      <c r="L187" s="99">
        <v>36.799999999999962</v>
      </c>
    </row>
    <row r="188" spans="11:12" x14ac:dyDescent="0.4">
      <c r="K188" s="38">
        <v>186</v>
      </c>
      <c r="L188" s="99">
        <v>-3.5527136788005009E-14</v>
      </c>
    </row>
    <row r="189" spans="11:12" x14ac:dyDescent="0.4">
      <c r="K189" s="38">
        <v>187</v>
      </c>
      <c r="L189" s="99">
        <v>-40.700000000000038</v>
      </c>
    </row>
    <row r="190" spans="11:12" x14ac:dyDescent="0.4">
      <c r="K190" s="38">
        <v>188</v>
      </c>
      <c r="L190" s="99">
        <v>-33.400000000000041</v>
      </c>
    </row>
    <row r="191" spans="11:12" x14ac:dyDescent="0.4">
      <c r="K191" s="38">
        <v>189</v>
      </c>
      <c r="L191" s="99">
        <v>-4.2632564145606011E-14</v>
      </c>
    </row>
    <row r="192" spans="11:12" x14ac:dyDescent="0.4">
      <c r="K192" s="38">
        <v>190</v>
      </c>
      <c r="L192" s="99">
        <v>-30.500000000000043</v>
      </c>
    </row>
    <row r="193" spans="11:12" x14ac:dyDescent="0.4">
      <c r="K193" s="38">
        <v>191</v>
      </c>
      <c r="L193" s="99">
        <v>0.29999999999995808</v>
      </c>
    </row>
    <row r="194" spans="11:12" x14ac:dyDescent="0.4">
      <c r="K194" s="38">
        <v>192</v>
      </c>
      <c r="L194" s="99">
        <v>-4.1910919179599659E-14</v>
      </c>
    </row>
    <row r="195" spans="11:12" x14ac:dyDescent="0.4">
      <c r="K195" s="38">
        <v>193</v>
      </c>
      <c r="L195" s="99">
        <v>52.099999999999959</v>
      </c>
    </row>
    <row r="196" spans="11:12" x14ac:dyDescent="0.4">
      <c r="K196" s="38">
        <v>194</v>
      </c>
      <c r="L196" s="99">
        <v>49.299999999999962</v>
      </c>
    </row>
    <row r="197" spans="11:12" x14ac:dyDescent="0.4">
      <c r="K197" s="38">
        <v>195</v>
      </c>
      <c r="L197" s="99">
        <v>-3.5527136788005009E-14</v>
      </c>
    </row>
    <row r="198" spans="11:12" x14ac:dyDescent="0.4">
      <c r="K198" s="38">
        <v>196</v>
      </c>
      <c r="L198" s="99">
        <v>-5.6000000000000352</v>
      </c>
    </row>
    <row r="199" spans="11:12" x14ac:dyDescent="0.4">
      <c r="K199" s="38">
        <v>197</v>
      </c>
      <c r="L199" s="99">
        <v>-28.200000000000038</v>
      </c>
    </row>
    <row r="200" spans="11:12" x14ac:dyDescent="0.4">
      <c r="K200" s="38">
        <v>198</v>
      </c>
      <c r="L200" s="99">
        <v>-3.907985046680551E-14</v>
      </c>
    </row>
    <row r="201" spans="11:12" x14ac:dyDescent="0.4">
      <c r="K201" s="38">
        <v>199</v>
      </c>
      <c r="L201" s="99">
        <v>-22.000000000000039</v>
      </c>
    </row>
    <row r="202" spans="11:12" x14ac:dyDescent="0.4">
      <c r="K202" s="38">
        <v>200</v>
      </c>
      <c r="L202" s="99">
        <v>-20.900000000000038</v>
      </c>
    </row>
    <row r="203" spans="11:12" x14ac:dyDescent="0.4">
      <c r="K203" s="38">
        <v>201</v>
      </c>
      <c r="L203" s="99">
        <v>-3.907985046680551E-14</v>
      </c>
    </row>
    <row r="204" spans="11:12" x14ac:dyDescent="0.4">
      <c r="K204" s="38">
        <v>202</v>
      </c>
      <c r="L204" s="99">
        <v>-1.0000000000000391</v>
      </c>
    </row>
    <row r="205" spans="11:12" x14ac:dyDescent="0.4">
      <c r="K205" s="38">
        <v>203</v>
      </c>
      <c r="L205" s="99">
        <v>18.399999999999959</v>
      </c>
    </row>
    <row r="206" spans="11:12" x14ac:dyDescent="0.4">
      <c r="K206" s="38">
        <v>204</v>
      </c>
      <c r="L206" s="99">
        <v>-3.907985046680551E-14</v>
      </c>
    </row>
    <row r="207" spans="11:12" x14ac:dyDescent="0.4">
      <c r="K207" s="38">
        <v>205</v>
      </c>
      <c r="L207" s="99">
        <v>-47.200000000000045</v>
      </c>
    </row>
    <row r="208" spans="11:12" x14ac:dyDescent="0.4">
      <c r="K208" s="38">
        <v>206</v>
      </c>
      <c r="L208" s="99">
        <v>-56.700000000000045</v>
      </c>
    </row>
    <row r="209" spans="11:12" x14ac:dyDescent="0.4">
      <c r="K209" s="38">
        <v>207</v>
      </c>
      <c r="L209" s="99">
        <v>-4.2632564145606011E-14</v>
      </c>
    </row>
    <row r="210" spans="11:12" x14ac:dyDescent="0.4">
      <c r="K210" s="38">
        <v>208</v>
      </c>
      <c r="L210" s="99">
        <v>-45.500000000000043</v>
      </c>
    </row>
    <row r="211" spans="11:12" x14ac:dyDescent="0.4">
      <c r="K211" s="38">
        <v>209</v>
      </c>
      <c r="L211" s="99">
        <v>-7.4000000000000412</v>
      </c>
    </row>
    <row r="212" spans="11:12" x14ac:dyDescent="0.4">
      <c r="K212" s="38">
        <v>210</v>
      </c>
      <c r="L212" s="99">
        <v>-4.0856207306205761E-14</v>
      </c>
    </row>
    <row r="213" spans="11:12" x14ac:dyDescent="0.4">
      <c r="K213" s="38">
        <v>211</v>
      </c>
      <c r="L213" s="99">
        <v>-31.80000000000004</v>
      </c>
    </row>
    <row r="214" spans="11:12" x14ac:dyDescent="0.4">
      <c r="K214" s="38">
        <v>212</v>
      </c>
      <c r="L214" s="99">
        <v>-26.30000000000004</v>
      </c>
    </row>
    <row r="215" spans="11:12" x14ac:dyDescent="0.4">
      <c r="K215" s="38">
        <v>213</v>
      </c>
      <c r="L215" s="99">
        <v>-3.907985046680551E-14</v>
      </c>
    </row>
    <row r="216" spans="11:12" x14ac:dyDescent="0.4">
      <c r="K216" s="38">
        <v>214</v>
      </c>
      <c r="L216" s="99">
        <v>22.999999999999961</v>
      </c>
    </row>
    <row r="217" spans="11:12" x14ac:dyDescent="0.4">
      <c r="K217" s="38">
        <v>215</v>
      </c>
      <c r="L217" s="99">
        <v>22.599999999999962</v>
      </c>
    </row>
    <row r="218" spans="11:12" x14ac:dyDescent="0.4">
      <c r="K218" s="38">
        <v>216</v>
      </c>
      <c r="L218" s="99">
        <v>-3.907985046680551E-14</v>
      </c>
    </row>
    <row r="219" spans="11:12" x14ac:dyDescent="0.4">
      <c r="K219" s="38">
        <v>217</v>
      </c>
      <c r="L219" s="99">
        <v>-18.700000000000038</v>
      </c>
    </row>
    <row r="220" spans="11:12" x14ac:dyDescent="0.4">
      <c r="K220" s="38">
        <v>218</v>
      </c>
      <c r="L220" s="99">
        <v>31.399999999999963</v>
      </c>
    </row>
    <row r="221" spans="11:12" x14ac:dyDescent="0.4">
      <c r="K221" s="38">
        <v>219</v>
      </c>
      <c r="L221" s="99">
        <v>-3.5527136788005009E-14</v>
      </c>
    </row>
    <row r="222" spans="11:12" x14ac:dyDescent="0.4">
      <c r="K222" s="38">
        <v>220</v>
      </c>
      <c r="L222" s="99">
        <v>11.499999999999964</v>
      </c>
    </row>
    <row r="223" spans="11:12" x14ac:dyDescent="0.4">
      <c r="K223" s="38">
        <v>221</v>
      </c>
      <c r="L223" s="99">
        <v>-1.3000000000000362</v>
      </c>
    </row>
    <row r="224" spans="11:12" x14ac:dyDescent="0.4">
      <c r="K224" s="38">
        <v>222</v>
      </c>
      <c r="L224" s="99">
        <v>-3.6193270602780103E-14</v>
      </c>
    </row>
    <row r="225" spans="11:12" x14ac:dyDescent="0.4">
      <c r="K225" s="38">
        <v>223</v>
      </c>
      <c r="L225" s="99">
        <v>-41.100000000000037</v>
      </c>
    </row>
    <row r="226" spans="11:12" x14ac:dyDescent="0.4">
      <c r="K226" s="38">
        <v>224</v>
      </c>
      <c r="L226" s="99">
        <v>-1.0000000000000355</v>
      </c>
    </row>
    <row r="227" spans="11:12" x14ac:dyDescent="0.4">
      <c r="K227" s="38">
        <v>225</v>
      </c>
      <c r="L227" s="99">
        <v>-3.5527136788005009E-14</v>
      </c>
    </row>
  </sheetData>
  <sortState xmlns:xlrd2="http://schemas.microsoft.com/office/spreadsheetml/2017/richdata2" ref="N15:Q23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0E5977-146F-4551-8EAB-E13E4B186486}">
  <sheetPr codeName="Sheet7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167</v>
      </c>
      <c r="C1" s="149"/>
      <c r="E1" s="129" t="s">
        <v>166</v>
      </c>
      <c r="F1" s="141" t="s">
        <v>116</v>
      </c>
      <c r="G1" s="140" t="s">
        <v>117</v>
      </c>
      <c r="H1" s="130" t="s">
        <v>118</v>
      </c>
      <c r="I1" s="141" t="s">
        <v>153</v>
      </c>
      <c r="K1" s="34" t="s">
        <v>20</v>
      </c>
      <c r="L1" s="35" t="s">
        <v>121</v>
      </c>
      <c r="M1" s="131"/>
      <c r="N1" s="113" t="s">
        <v>137</v>
      </c>
      <c r="O1" s="34" t="s">
        <v>138</v>
      </c>
      <c r="P1" s="117" t="s">
        <v>117</v>
      </c>
      <c r="Q1" s="101" t="s">
        <v>157</v>
      </c>
    </row>
    <row r="2" spans="1:17" x14ac:dyDescent="0.4">
      <c r="A2" s="54" t="s">
        <v>9</v>
      </c>
      <c r="B2" s="150">
        <v>22</v>
      </c>
      <c r="C2" s="151"/>
      <c r="E2" s="62" t="s">
        <v>67</v>
      </c>
      <c r="F2" s="59" t="s">
        <v>23</v>
      </c>
      <c r="G2" s="46">
        <v>32</v>
      </c>
      <c r="H2" s="132">
        <f>IF(B$17=0,0,G2/B$17)</f>
        <v>0.64</v>
      </c>
      <c r="I2" s="93">
        <v>9</v>
      </c>
      <c r="K2" s="36">
        <v>0</v>
      </c>
      <c r="L2" s="98">
        <v>0</v>
      </c>
      <c r="N2" s="114" t="s">
        <v>131</v>
      </c>
      <c r="O2" s="121">
        <f t="shared" ref="O2:O7" si="0">IF(P2=0,0,Q2/P2)</f>
        <v>-1995.4545454545455</v>
      </c>
      <c r="P2" s="118">
        <v>22</v>
      </c>
      <c r="Q2" s="102">
        <v>-43900</v>
      </c>
    </row>
    <row r="3" spans="1:17" x14ac:dyDescent="0.4">
      <c r="A3" s="55" t="s">
        <v>8</v>
      </c>
      <c r="B3" s="152">
        <v>196</v>
      </c>
      <c r="C3" s="153"/>
      <c r="E3" s="63" t="s">
        <v>73</v>
      </c>
      <c r="F3" s="60" t="s">
        <v>28</v>
      </c>
      <c r="G3" s="47">
        <v>24</v>
      </c>
      <c r="H3" s="133">
        <f>IF(B$17=0,0,G3/B$17)</f>
        <v>0.48</v>
      </c>
      <c r="I3" s="94">
        <v>8</v>
      </c>
      <c r="K3" s="38">
        <v>1</v>
      </c>
      <c r="L3" s="99">
        <v>-4.5999999999999996</v>
      </c>
      <c r="N3" s="115" t="s">
        <v>132</v>
      </c>
      <c r="O3" s="122">
        <f t="shared" si="0"/>
        <v>-290.90909090909093</v>
      </c>
      <c r="P3" s="119">
        <v>22</v>
      </c>
      <c r="Q3" s="103">
        <v>-6400</v>
      </c>
    </row>
    <row r="4" spans="1:17" x14ac:dyDescent="0.4">
      <c r="A4" s="55" t="s">
        <v>6</v>
      </c>
      <c r="B4" s="154">
        <v>-142.80000000000001</v>
      </c>
      <c r="C4" s="155"/>
      <c r="E4" s="63" t="s">
        <v>172</v>
      </c>
      <c r="F4" s="60" t="s">
        <v>173</v>
      </c>
      <c r="G4" s="47">
        <v>20</v>
      </c>
      <c r="H4" s="133">
        <f>IF(B$17=0,0,G4/B$17)</f>
        <v>0.4</v>
      </c>
      <c r="I4" s="94">
        <v>3</v>
      </c>
      <c r="K4" s="38">
        <v>2</v>
      </c>
      <c r="L4" s="99">
        <v>19.899999999999999</v>
      </c>
      <c r="N4" s="115" t="s">
        <v>133</v>
      </c>
      <c r="O4" s="122">
        <f t="shared" si="0"/>
        <v>1204.5454545454545</v>
      </c>
      <c r="P4" s="119">
        <v>22</v>
      </c>
      <c r="Q4" s="103">
        <v>26500</v>
      </c>
    </row>
    <row r="5" spans="1:17" x14ac:dyDescent="0.4">
      <c r="A5" s="55" t="s">
        <v>7</v>
      </c>
      <c r="B5" s="156">
        <f>IF(B$2=0,0,B$4/B$2)</f>
        <v>-6.4909090909090912</v>
      </c>
      <c r="C5" s="157"/>
      <c r="E5" s="63" t="s">
        <v>69</v>
      </c>
      <c r="F5" s="60" t="s">
        <v>12</v>
      </c>
      <c r="G5" s="47">
        <v>18</v>
      </c>
      <c r="H5" s="133">
        <f>IF(B$17=0,0,G5/B$17)</f>
        <v>0.36</v>
      </c>
      <c r="I5" s="94">
        <v>2</v>
      </c>
      <c r="K5" s="38">
        <v>3</v>
      </c>
      <c r="L5" s="99">
        <v>-8.3000000000000007</v>
      </c>
      <c r="N5" s="115" t="s">
        <v>134</v>
      </c>
      <c r="O5" s="122">
        <f t="shared" si="0"/>
        <v>-590.47619047619048</v>
      </c>
      <c r="P5" s="119">
        <v>21</v>
      </c>
      <c r="Q5" s="103">
        <v>-12400</v>
      </c>
    </row>
    <row r="6" spans="1:17" x14ac:dyDescent="0.4">
      <c r="A6" s="55" t="s">
        <v>1</v>
      </c>
      <c r="B6" s="146">
        <f>IF(B$2=0,0,(B$7*1+B$8*2+B$9*3)/B$2)</f>
        <v>2.1363636363636362</v>
      </c>
      <c r="C6" s="147"/>
      <c r="E6" s="63" t="s">
        <v>65</v>
      </c>
      <c r="F6" s="60" t="s">
        <v>21</v>
      </c>
      <c r="G6" s="47">
        <v>17</v>
      </c>
      <c r="H6" s="133">
        <f>IF(B$17=0,0,G6/B$17)</f>
        <v>0.34</v>
      </c>
      <c r="I6" s="94">
        <v>10</v>
      </c>
      <c r="K6" s="38">
        <v>4</v>
      </c>
      <c r="L6" s="99">
        <v>-30.7</v>
      </c>
      <c r="N6" s="115" t="s">
        <v>135</v>
      </c>
      <c r="O6" s="122">
        <f t="shared" si="0"/>
        <v>-1452.3809523809523</v>
      </c>
      <c r="P6" s="119">
        <v>21</v>
      </c>
      <c r="Q6" s="103">
        <v>-30500</v>
      </c>
    </row>
    <row r="7" spans="1:17" x14ac:dyDescent="0.4">
      <c r="A7" s="55" t="s">
        <v>2</v>
      </c>
      <c r="B7" s="47">
        <v>6</v>
      </c>
      <c r="C7" s="39">
        <f t="shared" ref="C7:C12" si="1">IF(B$2=0,0,B7/B$2)</f>
        <v>0.27272727272727271</v>
      </c>
      <c r="E7" s="63" t="s">
        <v>70</v>
      </c>
      <c r="F7" s="60" t="s">
        <v>25</v>
      </c>
      <c r="G7" s="47">
        <v>14</v>
      </c>
      <c r="H7" s="133">
        <f>IF(B$17=0,0,G7/B$17)</f>
        <v>0.28000000000000003</v>
      </c>
      <c r="I7" s="94">
        <v>1</v>
      </c>
      <c r="K7" s="38">
        <v>5</v>
      </c>
      <c r="L7" s="99">
        <v>-55.8</v>
      </c>
      <c r="N7" s="116" t="s">
        <v>136</v>
      </c>
      <c r="O7" s="123">
        <f t="shared" si="0"/>
        <v>-2833.3333333333335</v>
      </c>
      <c r="P7" s="120">
        <v>18</v>
      </c>
      <c r="Q7" s="104">
        <v>-51000</v>
      </c>
    </row>
    <row r="8" spans="1:17" x14ac:dyDescent="0.4">
      <c r="A8" s="55" t="s">
        <v>3</v>
      </c>
      <c r="B8" s="47">
        <v>7</v>
      </c>
      <c r="C8" s="39">
        <f t="shared" si="1"/>
        <v>0.31818181818181818</v>
      </c>
      <c r="E8" s="63" t="s">
        <v>71</v>
      </c>
      <c r="F8" s="60" t="s">
        <v>26</v>
      </c>
      <c r="G8" s="47">
        <v>9</v>
      </c>
      <c r="H8" s="133">
        <f>IF(B$17=0,0,G8/B$17)</f>
        <v>0.18</v>
      </c>
      <c r="I8" s="94">
        <v>1</v>
      </c>
      <c r="K8" s="38">
        <v>6</v>
      </c>
      <c r="L8" s="99">
        <v>-40.799999999999997</v>
      </c>
      <c r="N8" s="43"/>
      <c r="O8" s="127"/>
      <c r="P8" s="111"/>
      <c r="Q8" s="109"/>
    </row>
    <row r="9" spans="1:17" x14ac:dyDescent="0.4">
      <c r="A9" s="56" t="s">
        <v>4</v>
      </c>
      <c r="B9" s="48">
        <v>9</v>
      </c>
      <c r="C9" s="40">
        <f t="shared" si="1"/>
        <v>0.40909090909090912</v>
      </c>
      <c r="E9" s="63" t="s">
        <v>68</v>
      </c>
      <c r="F9" s="60" t="s">
        <v>24</v>
      </c>
      <c r="G9" s="47">
        <v>8</v>
      </c>
      <c r="H9" s="133">
        <f>IF(B$17=0,0,G9/B$17)</f>
        <v>0.16</v>
      </c>
      <c r="I9" s="94">
        <v>10</v>
      </c>
      <c r="K9" s="38">
        <v>7</v>
      </c>
      <c r="L9" s="99">
        <v>-71</v>
      </c>
      <c r="N9" s="113" t="s">
        <v>162</v>
      </c>
      <c r="O9" s="34" t="s">
        <v>121</v>
      </c>
      <c r="P9" s="117" t="s">
        <v>117</v>
      </c>
      <c r="Q9" s="105" t="s">
        <v>157</v>
      </c>
    </row>
    <row r="10" spans="1:17" x14ac:dyDescent="0.4">
      <c r="A10" s="56" t="s">
        <v>19</v>
      </c>
      <c r="B10" s="48">
        <v>0</v>
      </c>
      <c r="C10" s="40">
        <f t="shared" si="1"/>
        <v>0</v>
      </c>
      <c r="E10" s="63" t="s">
        <v>72</v>
      </c>
      <c r="F10" s="60" t="s">
        <v>27</v>
      </c>
      <c r="G10" s="47">
        <v>7</v>
      </c>
      <c r="H10" s="133">
        <f>IF(B$17=0,0,G10/B$17)</f>
        <v>0.14000000000000001</v>
      </c>
      <c r="I10" s="94">
        <v>1</v>
      </c>
      <c r="K10" s="38">
        <v>8</v>
      </c>
      <c r="L10" s="99">
        <v>-76.900000000000006</v>
      </c>
      <c r="N10" s="114" t="s">
        <v>163</v>
      </c>
      <c r="O10" s="124">
        <f>IF(P10=0,0,Q10/P10)</f>
        <v>-6.3833333333333329</v>
      </c>
      <c r="P10" s="118">
        <v>6</v>
      </c>
      <c r="Q10" s="106">
        <v>-38.299999999999997</v>
      </c>
    </row>
    <row r="11" spans="1:17" x14ac:dyDescent="0.4">
      <c r="A11" s="56" t="s">
        <v>139</v>
      </c>
      <c r="B11" s="48">
        <v>0</v>
      </c>
      <c r="C11" s="40">
        <f t="shared" si="1"/>
        <v>0</v>
      </c>
      <c r="E11" s="63" t="s">
        <v>66</v>
      </c>
      <c r="F11" s="60" t="s">
        <v>22</v>
      </c>
      <c r="G11" s="47">
        <v>6</v>
      </c>
      <c r="H11" s="133">
        <f>IF(B$17=0,0,G11/B$17)</f>
        <v>0.12</v>
      </c>
      <c r="I11" s="94">
        <v>3</v>
      </c>
      <c r="K11" s="38">
        <v>9</v>
      </c>
      <c r="L11" s="99">
        <v>-59.500000000000007</v>
      </c>
      <c r="N11" s="115" t="s">
        <v>164</v>
      </c>
      <c r="O11" s="125">
        <f>IF(P11=0,0,Q11/P11)</f>
        <v>-15.579999999999998</v>
      </c>
      <c r="P11" s="119">
        <v>5</v>
      </c>
      <c r="Q11" s="107">
        <v>-77.899999999999991</v>
      </c>
    </row>
    <row r="12" spans="1:17" x14ac:dyDescent="0.4">
      <c r="A12" s="57" t="s">
        <v>159</v>
      </c>
      <c r="B12" s="49">
        <v>3</v>
      </c>
      <c r="C12" s="42">
        <f t="shared" si="1"/>
        <v>0.13636363636363635</v>
      </c>
      <c r="E12" s="63" t="s">
        <v>84</v>
      </c>
      <c r="F12" s="60" t="s">
        <v>39</v>
      </c>
      <c r="G12" s="47">
        <v>4</v>
      </c>
      <c r="H12" s="133">
        <f>IF(B$17=0,0,G12/B$17)</f>
        <v>0.08</v>
      </c>
      <c r="I12" s="94">
        <v>3</v>
      </c>
      <c r="K12" s="38">
        <v>10</v>
      </c>
      <c r="L12" s="99">
        <v>-32.700000000000003</v>
      </c>
      <c r="N12" s="116" t="s">
        <v>165</v>
      </c>
      <c r="O12" s="126">
        <f>IF(P12=0,0,Q12/P12)</f>
        <v>-2.418181818181818</v>
      </c>
      <c r="P12" s="120">
        <v>11</v>
      </c>
      <c r="Q12" s="108">
        <v>-26.599999999999998</v>
      </c>
    </row>
    <row r="13" spans="1:17" x14ac:dyDescent="0.4">
      <c r="A13" s="58" t="s">
        <v>122</v>
      </c>
      <c r="B13" s="50">
        <v>36</v>
      </c>
      <c r="C13" s="44">
        <f>IF(B$3=0,0,B13/B$3)</f>
        <v>0.18367346938775511</v>
      </c>
      <c r="E13" s="63" t="s">
        <v>82</v>
      </c>
      <c r="F13" s="60" t="s">
        <v>37</v>
      </c>
      <c r="G13" s="47">
        <v>2</v>
      </c>
      <c r="H13" s="133">
        <f>IF(B$17=0,0,G13/B$17)</f>
        <v>0.04</v>
      </c>
      <c r="I13" s="94">
        <v>3</v>
      </c>
      <c r="K13" s="38">
        <v>11</v>
      </c>
      <c r="L13" s="99">
        <v>-35.5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44</v>
      </c>
      <c r="C14" s="39">
        <f>IF(B$3=0,0,B14/B$3)</f>
        <v>0.22448979591836735</v>
      </c>
      <c r="E14" s="63" t="s">
        <v>90</v>
      </c>
      <c r="F14" s="60" t="s">
        <v>45</v>
      </c>
      <c r="G14" s="47">
        <v>2</v>
      </c>
      <c r="H14" s="133">
        <f>IF(B$17=0,0,G14/B$17)</f>
        <v>0.04</v>
      </c>
      <c r="I14" s="94">
        <v>10</v>
      </c>
      <c r="K14" s="38">
        <v>12</v>
      </c>
      <c r="L14" s="99">
        <v>-59.5</v>
      </c>
      <c r="N14" s="113" t="s">
        <v>154</v>
      </c>
      <c r="O14" s="34" t="s">
        <v>121</v>
      </c>
      <c r="P14" s="117" t="s">
        <v>117</v>
      </c>
      <c r="Q14" s="105" t="s">
        <v>157</v>
      </c>
    </row>
    <row r="15" spans="1:17" x14ac:dyDescent="0.4">
      <c r="A15" s="54" t="s">
        <v>124</v>
      </c>
      <c r="B15" s="46">
        <v>19</v>
      </c>
      <c r="C15" s="37">
        <f>IF(B$13=0,0,B15/B$13)</f>
        <v>0.52777777777777779</v>
      </c>
      <c r="E15" s="63" t="s">
        <v>78</v>
      </c>
      <c r="F15" s="60" t="s">
        <v>33</v>
      </c>
      <c r="G15" s="47">
        <v>1</v>
      </c>
      <c r="H15" s="133">
        <f>IF(B$17=0,0,G15/B$17)</f>
        <v>0.02</v>
      </c>
      <c r="I15" s="94">
        <v>2</v>
      </c>
      <c r="K15" s="38">
        <v>13</v>
      </c>
      <c r="L15" s="99">
        <v>-66.2</v>
      </c>
      <c r="N15" s="114" t="s">
        <v>128</v>
      </c>
      <c r="O15" s="124">
        <f>IF(P15=0,0,Q15/P15)</f>
        <v>1.7100000000000002</v>
      </c>
      <c r="P15" s="118">
        <v>10</v>
      </c>
      <c r="Q15" s="106">
        <v>17.100000000000001</v>
      </c>
    </row>
    <row r="16" spans="1:17" x14ac:dyDescent="0.4">
      <c r="A16" s="54" t="s">
        <v>125</v>
      </c>
      <c r="B16" s="46">
        <v>13</v>
      </c>
      <c r="C16" s="37">
        <f>IF(B$14=0,0,B16/B$14)</f>
        <v>0.29545454545454547</v>
      </c>
      <c r="E16" s="63" t="s">
        <v>87</v>
      </c>
      <c r="F16" s="60" t="s">
        <v>42</v>
      </c>
      <c r="G16" s="47">
        <v>1</v>
      </c>
      <c r="H16" s="133">
        <f>IF(B$17=0,0,G16/B$17)</f>
        <v>0.02</v>
      </c>
      <c r="I16" s="94">
        <v>10</v>
      </c>
      <c r="K16" s="38">
        <v>14</v>
      </c>
      <c r="L16" s="99">
        <v>-51.1</v>
      </c>
      <c r="N16" s="115" t="s">
        <v>179</v>
      </c>
      <c r="O16" s="125">
        <f>IF(P16=0,0,Q16/P16)</f>
        <v>-2.3333333333333335</v>
      </c>
      <c r="P16" s="119">
        <v>3</v>
      </c>
      <c r="Q16" s="107">
        <v>-7</v>
      </c>
    </row>
    <row r="17" spans="1:17" x14ac:dyDescent="0.4">
      <c r="A17" s="54" t="s">
        <v>10</v>
      </c>
      <c r="B17" s="46">
        <f>B19+B18</f>
        <v>50</v>
      </c>
      <c r="C17" s="37">
        <f>IF(B$3=0,0,B17/B$3)</f>
        <v>0.25510204081632654</v>
      </c>
      <c r="E17" s="63" t="s">
        <v>89</v>
      </c>
      <c r="F17" s="60" t="s">
        <v>44</v>
      </c>
      <c r="G17" s="47">
        <v>1</v>
      </c>
      <c r="H17" s="133">
        <f>IF(B$17=0,0,G17/B$17)</f>
        <v>0.02</v>
      </c>
      <c r="I17" s="94">
        <v>1</v>
      </c>
      <c r="K17" s="38">
        <v>15</v>
      </c>
      <c r="L17" s="99">
        <v>-65.2</v>
      </c>
      <c r="N17" s="115" t="s">
        <v>127</v>
      </c>
      <c r="O17" s="125">
        <f>IF(P17=0,0,Q17/P17)</f>
        <v>-10.658823529411766</v>
      </c>
      <c r="P17" s="119">
        <v>17</v>
      </c>
      <c r="Q17" s="107">
        <v>-181.20000000000002</v>
      </c>
    </row>
    <row r="18" spans="1:17" x14ac:dyDescent="0.4">
      <c r="A18" s="55" t="s">
        <v>12</v>
      </c>
      <c r="B18" s="47">
        <v>25</v>
      </c>
      <c r="C18" s="39">
        <f>IF(B$17=0,0,B18/B$17)</f>
        <v>0.5</v>
      </c>
      <c r="E18" s="63" t="s">
        <v>92</v>
      </c>
      <c r="F18" s="60" t="s">
        <v>47</v>
      </c>
      <c r="G18" s="47">
        <v>1</v>
      </c>
      <c r="H18" s="133">
        <f>IF(B$17=0,0,G18/B$17)</f>
        <v>0.02</v>
      </c>
      <c r="I18" s="94">
        <v>3</v>
      </c>
      <c r="K18" s="38">
        <v>16</v>
      </c>
      <c r="L18" s="99">
        <v>-70.600000000000009</v>
      </c>
      <c r="N18" s="115" t="s">
        <v>182</v>
      </c>
      <c r="O18" s="125">
        <f>IF(P18=0,0,Q18/P18)</f>
        <v>-10.825000000000001</v>
      </c>
      <c r="P18" s="119">
        <v>4</v>
      </c>
      <c r="Q18" s="107">
        <v>-43.300000000000004</v>
      </c>
    </row>
    <row r="19" spans="1:17" x14ac:dyDescent="0.4">
      <c r="A19" s="55" t="s">
        <v>11</v>
      </c>
      <c r="B19" s="47">
        <v>25</v>
      </c>
      <c r="C19" s="39">
        <f>IF(B$17=0,0,B19/B$17)</f>
        <v>0.5</v>
      </c>
      <c r="E19" s="63" t="s">
        <v>74</v>
      </c>
      <c r="F19" s="60" t="s">
        <v>29</v>
      </c>
      <c r="G19" s="47">
        <v>0</v>
      </c>
      <c r="H19" s="133">
        <f>IF(B$17=0,0,G19/B$17)</f>
        <v>0</v>
      </c>
      <c r="I19" s="94">
        <v>1</v>
      </c>
      <c r="K19" s="38">
        <v>17</v>
      </c>
      <c r="L19" s="99">
        <v>-65.2</v>
      </c>
      <c r="N19" s="115" t="s">
        <v>180</v>
      </c>
      <c r="O19" s="125">
        <f>IF(P19=0,0,Q19/P19)</f>
        <v>-20.325000000000003</v>
      </c>
      <c r="P19" s="119">
        <v>8</v>
      </c>
      <c r="Q19" s="107">
        <v>-162.60000000000002</v>
      </c>
    </row>
    <row r="20" spans="1:17" x14ac:dyDescent="0.4">
      <c r="A20" s="55" t="s">
        <v>13</v>
      </c>
      <c r="B20" s="47">
        <v>36</v>
      </c>
      <c r="C20" s="39">
        <f>IF(B$3=0,0,B20/B$3)</f>
        <v>0.18367346938775511</v>
      </c>
      <c r="E20" s="63" t="s">
        <v>75</v>
      </c>
      <c r="F20" s="60" t="s">
        <v>30</v>
      </c>
      <c r="G20" s="47">
        <v>0</v>
      </c>
      <c r="H20" s="133">
        <f>IF(B$17=0,0,G20/B$17)</f>
        <v>0</v>
      </c>
      <c r="I20" s="94">
        <v>5</v>
      </c>
      <c r="K20" s="38">
        <v>18</v>
      </c>
      <c r="L20" s="99">
        <v>-80.2</v>
      </c>
      <c r="N20" s="115" t="s">
        <v>183</v>
      </c>
      <c r="O20" s="125">
        <f>IF(P20=0,0,Q20/P20)</f>
        <v>-25.7</v>
      </c>
      <c r="P20" s="119">
        <v>2</v>
      </c>
      <c r="Q20" s="107">
        <v>-51.4</v>
      </c>
    </row>
    <row r="21" spans="1:17" x14ac:dyDescent="0.4">
      <c r="A21" s="55" t="s">
        <v>170</v>
      </c>
      <c r="B21" s="47">
        <v>4</v>
      </c>
      <c r="C21" s="135">
        <v>0</v>
      </c>
      <c r="E21" s="63" t="s">
        <v>76</v>
      </c>
      <c r="F21" s="60" t="s">
        <v>31</v>
      </c>
      <c r="G21" s="47">
        <v>0</v>
      </c>
      <c r="H21" s="133">
        <f>IF(B$17=0,0,G21/B$17)</f>
        <v>0</v>
      </c>
      <c r="I21" s="94">
        <v>5</v>
      </c>
      <c r="K21" s="38">
        <v>19</v>
      </c>
      <c r="L21" s="99">
        <v>-115.1</v>
      </c>
    </row>
    <row r="22" spans="1:17" x14ac:dyDescent="0.4">
      <c r="A22" s="55" t="s">
        <v>171</v>
      </c>
      <c r="B22" s="47">
        <v>17</v>
      </c>
      <c r="C22" s="135">
        <v>0</v>
      </c>
      <c r="E22" s="63" t="s">
        <v>77</v>
      </c>
      <c r="F22" s="60" t="s">
        <v>32</v>
      </c>
      <c r="G22" s="47">
        <v>0</v>
      </c>
      <c r="H22" s="133">
        <f>IF(B$17=0,0,G22/B$17)</f>
        <v>0</v>
      </c>
      <c r="I22" s="94">
        <v>1</v>
      </c>
      <c r="K22" s="38">
        <v>20</v>
      </c>
      <c r="L22" s="99">
        <v>-88.8</v>
      </c>
    </row>
    <row r="23" spans="1:17" x14ac:dyDescent="0.4">
      <c r="A23" s="55" t="s">
        <v>5</v>
      </c>
      <c r="B23" s="51">
        <f>IF(B$17=0,0,C23/B$17)</f>
        <v>7004</v>
      </c>
      <c r="C23" s="41">
        <v>350200</v>
      </c>
      <c r="E23" s="63" t="s">
        <v>79</v>
      </c>
      <c r="F23" s="60" t="s">
        <v>34</v>
      </c>
      <c r="G23" s="47">
        <v>0</v>
      </c>
      <c r="H23" s="133">
        <f>IF(B$17=0,0,G23/B$17)</f>
        <v>0</v>
      </c>
      <c r="I23" s="94">
        <v>7</v>
      </c>
      <c r="K23" s="38">
        <v>21</v>
      </c>
      <c r="L23" s="99">
        <v>-111.4</v>
      </c>
    </row>
    <row r="24" spans="1:17" x14ac:dyDescent="0.4">
      <c r="A24" s="57" t="s">
        <v>14</v>
      </c>
      <c r="B24" s="52">
        <f>IF(B$20=0,0,C24/B$20)</f>
        <v>-6530.5555555555557</v>
      </c>
      <c r="C24" s="45">
        <v>-235100</v>
      </c>
      <c r="E24" s="63" t="s">
        <v>80</v>
      </c>
      <c r="F24" s="60" t="s">
        <v>35</v>
      </c>
      <c r="G24" s="47">
        <v>0</v>
      </c>
      <c r="H24" s="133">
        <f>IF(B$17=0,0,G24/B$17)</f>
        <v>0</v>
      </c>
      <c r="I24" s="94">
        <v>6</v>
      </c>
      <c r="K24" s="38">
        <v>22</v>
      </c>
      <c r="L24" s="99">
        <v>-142.80000000000001</v>
      </c>
    </row>
    <row r="25" spans="1:17" x14ac:dyDescent="0.4">
      <c r="A25" s="90" t="s">
        <v>141</v>
      </c>
      <c r="B25" s="144">
        <v>3</v>
      </c>
      <c r="C25" s="145"/>
      <c r="E25" s="63" t="s">
        <v>81</v>
      </c>
      <c r="F25" s="60" t="s">
        <v>36</v>
      </c>
      <c r="G25" s="47">
        <v>0</v>
      </c>
      <c r="H25" s="133">
        <f>IF(B$17=0,0,G25/B$17)</f>
        <v>0</v>
      </c>
      <c r="I25" s="94">
        <v>1</v>
      </c>
    </row>
    <row r="26" spans="1:17" x14ac:dyDescent="0.4">
      <c r="A26" s="58" t="s">
        <v>151</v>
      </c>
      <c r="B26" s="142">
        <v>51800</v>
      </c>
      <c r="C26" s="143"/>
      <c r="E26" s="63" t="s">
        <v>83</v>
      </c>
      <c r="F26" s="60" t="s">
        <v>38</v>
      </c>
      <c r="G26" s="47">
        <v>0</v>
      </c>
      <c r="H26" s="133">
        <f>IF(B$17=0,0,G26/B$17)</f>
        <v>0</v>
      </c>
      <c r="I26" s="94">
        <v>1</v>
      </c>
    </row>
    <row r="27" spans="1:17" x14ac:dyDescent="0.4">
      <c r="A27" s="57" t="s">
        <v>142</v>
      </c>
      <c r="B27" s="65">
        <v>2</v>
      </c>
      <c r="C27" s="42">
        <f>IF(B$3=0,0,B27/B$3)</f>
        <v>1.020408163265306E-2</v>
      </c>
      <c r="E27" s="63" t="s">
        <v>85</v>
      </c>
      <c r="F27" s="60" t="s">
        <v>40</v>
      </c>
      <c r="G27" s="47">
        <v>0</v>
      </c>
      <c r="H27" s="133">
        <f>IF(B$17=0,0,G27/B$17)</f>
        <v>0</v>
      </c>
      <c r="I27" s="94">
        <v>3</v>
      </c>
    </row>
    <row r="28" spans="1:17" x14ac:dyDescent="0.4">
      <c r="E28" s="63" t="s">
        <v>86</v>
      </c>
      <c r="F28" s="60" t="s">
        <v>41</v>
      </c>
      <c r="G28" s="47">
        <v>0</v>
      </c>
      <c r="H28" s="133">
        <f>IF(B$17=0,0,G28/B$17)</f>
        <v>0</v>
      </c>
      <c r="I28" s="94">
        <v>5</v>
      </c>
    </row>
    <row r="29" spans="1:17" x14ac:dyDescent="0.4">
      <c r="E29" s="63" t="s">
        <v>88</v>
      </c>
      <c r="F29" s="60" t="s">
        <v>43</v>
      </c>
      <c r="G29" s="47">
        <v>0</v>
      </c>
      <c r="H29" s="133">
        <f>IF(B$17=0,0,G29/B$17)</f>
        <v>0</v>
      </c>
      <c r="I29" s="94">
        <v>3</v>
      </c>
    </row>
    <row r="30" spans="1:17" x14ac:dyDescent="0.4">
      <c r="E30" s="63" t="s">
        <v>91</v>
      </c>
      <c r="F30" s="60" t="s">
        <v>46</v>
      </c>
      <c r="G30" s="47">
        <v>0</v>
      </c>
      <c r="H30" s="133">
        <f>IF(B$17=0,0,G30/B$17)</f>
        <v>0</v>
      </c>
      <c r="I30" s="94">
        <v>3</v>
      </c>
    </row>
    <row r="31" spans="1:17" x14ac:dyDescent="0.4">
      <c r="E31" s="63" t="s">
        <v>93</v>
      </c>
      <c r="F31" s="60" t="s">
        <v>48</v>
      </c>
      <c r="G31" s="47">
        <v>0</v>
      </c>
      <c r="H31" s="133">
        <f>IF(B$17=0,0,G31/B$17)</f>
        <v>0</v>
      </c>
      <c r="I31" s="94">
        <v>4</v>
      </c>
    </row>
    <row r="32" spans="1:17" x14ac:dyDescent="0.4">
      <c r="E32" s="63" t="s">
        <v>94</v>
      </c>
      <c r="F32" s="60" t="s">
        <v>49</v>
      </c>
      <c r="G32" s="47">
        <v>0</v>
      </c>
      <c r="H32" s="133">
        <f>IF(B$17=0,0,G32/B$17)</f>
        <v>0</v>
      </c>
      <c r="I32" s="94">
        <v>1</v>
      </c>
    </row>
    <row r="33" spans="5:9" x14ac:dyDescent="0.4">
      <c r="E33" s="63" t="s">
        <v>95</v>
      </c>
      <c r="F33" s="60" t="s">
        <v>50</v>
      </c>
      <c r="G33" s="47">
        <v>0</v>
      </c>
      <c r="H33" s="133">
        <f>IF(B$17=0,0,G33/B$17)</f>
        <v>0</v>
      </c>
      <c r="I33" s="94">
        <v>1</v>
      </c>
    </row>
    <row r="34" spans="5:9" x14ac:dyDescent="0.4">
      <c r="E34" s="63" t="s">
        <v>96</v>
      </c>
      <c r="F34" s="60" t="s">
        <v>51</v>
      </c>
      <c r="G34" s="47">
        <v>0</v>
      </c>
      <c r="H34" s="133">
        <f>IF(B$17=0,0,G34/B$17)</f>
        <v>0</v>
      </c>
      <c r="I34" s="94">
        <v>3</v>
      </c>
    </row>
    <row r="35" spans="5:9" x14ac:dyDescent="0.4">
      <c r="E35" s="63" t="s">
        <v>97</v>
      </c>
      <c r="F35" s="60" t="s">
        <v>52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98</v>
      </c>
      <c r="F36" s="60" t="s">
        <v>53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99</v>
      </c>
      <c r="F37" s="60" t="s">
        <v>54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100</v>
      </c>
      <c r="F38" s="60" t="s">
        <v>55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101</v>
      </c>
      <c r="F39" s="60" t="s">
        <v>56</v>
      </c>
      <c r="G39" s="47">
        <v>0</v>
      </c>
      <c r="H39" s="133">
        <f>IF(B$17=0,0,G39/B$17)</f>
        <v>0</v>
      </c>
      <c r="I39" s="94">
        <v>1</v>
      </c>
    </row>
    <row r="40" spans="5:9" x14ac:dyDescent="0.4">
      <c r="E40" s="63" t="s">
        <v>102</v>
      </c>
      <c r="F40" s="60" t="s">
        <v>57</v>
      </c>
      <c r="G40" s="47">
        <v>0</v>
      </c>
      <c r="H40" s="133">
        <f>IF(B$17=0,0,G40/B$17)</f>
        <v>0</v>
      </c>
      <c r="I40" s="94">
        <v>3</v>
      </c>
    </row>
    <row r="41" spans="5:9" x14ac:dyDescent="0.4">
      <c r="E41" s="63" t="s">
        <v>103</v>
      </c>
      <c r="F41" s="60" t="s">
        <v>58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104</v>
      </c>
      <c r="F42" s="60" t="s">
        <v>59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105</v>
      </c>
      <c r="F43" s="60" t="s">
        <v>60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106</v>
      </c>
      <c r="F44" s="60" t="s">
        <v>113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107</v>
      </c>
      <c r="F45" s="60" t="s">
        <v>114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108</v>
      </c>
      <c r="F46" s="60" t="s">
        <v>115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109</v>
      </c>
      <c r="F47" s="60" t="s">
        <v>61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110</v>
      </c>
      <c r="F48" s="60" t="s">
        <v>62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111</v>
      </c>
      <c r="F49" s="60" t="s">
        <v>63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112</v>
      </c>
      <c r="F50" s="60" t="s">
        <v>64</v>
      </c>
      <c r="G50" s="47">
        <v>0</v>
      </c>
      <c r="H50" s="133">
        <f>IF(B$17=0,0,G50/B$17)</f>
        <v>0</v>
      </c>
      <c r="I50" s="94">
        <v>1</v>
      </c>
    </row>
    <row r="51" spans="5:9" x14ac:dyDescent="0.4">
      <c r="E51" s="136" t="s">
        <v>168</v>
      </c>
      <c r="F51" s="137" t="s">
        <v>169</v>
      </c>
      <c r="G51" s="48">
        <v>0</v>
      </c>
      <c r="H51" s="138">
        <f>IF(B$17=0,0,G51/B$17)</f>
        <v>0</v>
      </c>
      <c r="I51" s="139">
        <v>6</v>
      </c>
    </row>
    <row r="52" spans="5:9" x14ac:dyDescent="0.4">
      <c r="E52" s="64" t="s">
        <v>174</v>
      </c>
      <c r="F52" s="61" t="s">
        <v>175</v>
      </c>
      <c r="G52" s="49">
        <v>0</v>
      </c>
      <c r="H52" s="134">
        <f>IF(B$17=0,0,G52/B$17)</f>
        <v>0</v>
      </c>
      <c r="I52" s="95">
        <v>1</v>
      </c>
    </row>
  </sheetData>
  <sortState xmlns:xlrd2="http://schemas.microsoft.com/office/spreadsheetml/2017/richdata2" ref="N15:Q20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E1A879-829C-4E85-91BF-F6ADBEA5CE5A}">
  <sheetPr codeName="Sheet9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127</v>
      </c>
      <c r="C1" s="149"/>
      <c r="E1" s="129" t="s">
        <v>166</v>
      </c>
      <c r="F1" s="141" t="s">
        <v>116</v>
      </c>
      <c r="G1" s="140" t="s">
        <v>117</v>
      </c>
      <c r="H1" s="130" t="s">
        <v>118</v>
      </c>
      <c r="I1" s="141" t="s">
        <v>153</v>
      </c>
      <c r="K1" s="34" t="s">
        <v>20</v>
      </c>
      <c r="L1" s="35" t="s">
        <v>121</v>
      </c>
      <c r="M1" s="131"/>
      <c r="N1" s="113" t="s">
        <v>137</v>
      </c>
      <c r="O1" s="34" t="s">
        <v>138</v>
      </c>
      <c r="P1" s="117" t="s">
        <v>117</v>
      </c>
      <c r="Q1" s="101" t="s">
        <v>157</v>
      </c>
    </row>
    <row r="2" spans="1:17" x14ac:dyDescent="0.4">
      <c r="A2" s="54" t="s">
        <v>9</v>
      </c>
      <c r="B2" s="150">
        <v>46</v>
      </c>
      <c r="C2" s="151"/>
      <c r="E2" s="62" t="s">
        <v>67</v>
      </c>
      <c r="F2" s="59" t="s">
        <v>23</v>
      </c>
      <c r="G2" s="46">
        <v>78</v>
      </c>
      <c r="H2" s="132">
        <f>IF(B$17=0,0,G2/B$17)</f>
        <v>0.57352941176470584</v>
      </c>
      <c r="I2" s="93">
        <v>10</v>
      </c>
      <c r="K2" s="36">
        <v>0</v>
      </c>
      <c r="L2" s="98">
        <v>0</v>
      </c>
      <c r="N2" s="114" t="s">
        <v>131</v>
      </c>
      <c r="O2" s="121">
        <f t="shared" ref="O2:O7" si="0">IF(P2=0,0,Q2/P2)</f>
        <v>206.66666666666666</v>
      </c>
      <c r="P2" s="118">
        <v>45</v>
      </c>
      <c r="Q2" s="102">
        <v>9300</v>
      </c>
    </row>
    <row r="3" spans="1:17" x14ac:dyDescent="0.4">
      <c r="A3" s="55" t="s">
        <v>8</v>
      </c>
      <c r="B3" s="152">
        <v>389</v>
      </c>
      <c r="C3" s="153"/>
      <c r="E3" s="63" t="s">
        <v>73</v>
      </c>
      <c r="F3" s="60" t="s">
        <v>28</v>
      </c>
      <c r="G3" s="47">
        <v>72</v>
      </c>
      <c r="H3" s="133">
        <f>IF(B$17=0,0,G3/B$17)</f>
        <v>0.52941176470588236</v>
      </c>
      <c r="I3" s="94">
        <v>6</v>
      </c>
      <c r="K3" s="38">
        <v>1</v>
      </c>
      <c r="L3" s="99">
        <v>50.2</v>
      </c>
      <c r="N3" s="115" t="s">
        <v>132</v>
      </c>
      <c r="O3" s="122">
        <f t="shared" si="0"/>
        <v>-375</v>
      </c>
      <c r="P3" s="119">
        <v>44</v>
      </c>
      <c r="Q3" s="103">
        <v>-16500</v>
      </c>
    </row>
    <row r="4" spans="1:17" x14ac:dyDescent="0.4">
      <c r="A4" s="55" t="s">
        <v>6</v>
      </c>
      <c r="B4" s="154">
        <v>465.7999999999999</v>
      </c>
      <c r="C4" s="155"/>
      <c r="E4" s="63" t="s">
        <v>65</v>
      </c>
      <c r="F4" s="60" t="s">
        <v>21</v>
      </c>
      <c r="G4" s="47">
        <v>53</v>
      </c>
      <c r="H4" s="133">
        <f>IF(B$17=0,0,G4/B$17)</f>
        <v>0.38970588235294118</v>
      </c>
      <c r="I4" s="94">
        <v>8</v>
      </c>
      <c r="K4" s="38">
        <v>2</v>
      </c>
      <c r="L4" s="99">
        <v>14.400000000000006</v>
      </c>
      <c r="N4" s="115" t="s">
        <v>133</v>
      </c>
      <c r="O4" s="122">
        <f t="shared" si="0"/>
        <v>-663.63636363636363</v>
      </c>
      <c r="P4" s="119">
        <v>44</v>
      </c>
      <c r="Q4" s="103">
        <v>-29200</v>
      </c>
    </row>
    <row r="5" spans="1:17" x14ac:dyDescent="0.4">
      <c r="A5" s="55" t="s">
        <v>7</v>
      </c>
      <c r="B5" s="156">
        <f>IF(B$2=0,0,B$4/B$2)</f>
        <v>10.126086956521737</v>
      </c>
      <c r="C5" s="157"/>
      <c r="E5" s="63" t="s">
        <v>172</v>
      </c>
      <c r="F5" s="60" t="s">
        <v>173</v>
      </c>
      <c r="G5" s="47">
        <v>44</v>
      </c>
      <c r="H5" s="133">
        <f>IF(B$17=0,0,G5/B$17)</f>
        <v>0.3235294117647059</v>
      </c>
      <c r="I5" s="94">
        <v>8</v>
      </c>
      <c r="K5" s="38">
        <v>3</v>
      </c>
      <c r="L5" s="99">
        <v>40.400000000000006</v>
      </c>
      <c r="N5" s="115" t="s">
        <v>134</v>
      </c>
      <c r="O5" s="122">
        <f t="shared" si="0"/>
        <v>-265.85365853658539</v>
      </c>
      <c r="P5" s="119">
        <v>41</v>
      </c>
      <c r="Q5" s="103">
        <v>-10900</v>
      </c>
    </row>
    <row r="6" spans="1:17" x14ac:dyDescent="0.4">
      <c r="A6" s="55" t="s">
        <v>1</v>
      </c>
      <c r="B6" s="146">
        <f>IF(B$2=0,0,(B$7*1+B$8*2+B$9*3)/B$2)</f>
        <v>1.7173913043478262</v>
      </c>
      <c r="C6" s="147"/>
      <c r="E6" s="63" t="s">
        <v>69</v>
      </c>
      <c r="F6" s="60" t="s">
        <v>12</v>
      </c>
      <c r="G6" s="47">
        <v>35</v>
      </c>
      <c r="H6" s="133">
        <f>IF(B$17=0,0,G6/B$17)</f>
        <v>0.25735294117647056</v>
      </c>
      <c r="I6" s="94">
        <v>8</v>
      </c>
      <c r="K6" s="38">
        <v>4</v>
      </c>
      <c r="L6" s="99">
        <v>101.60000000000001</v>
      </c>
      <c r="N6" s="115" t="s">
        <v>135</v>
      </c>
      <c r="O6" s="122">
        <f t="shared" si="0"/>
        <v>4948.7179487179483</v>
      </c>
      <c r="P6" s="119">
        <v>39</v>
      </c>
      <c r="Q6" s="103">
        <v>193000</v>
      </c>
    </row>
    <row r="7" spans="1:17" x14ac:dyDescent="0.4">
      <c r="A7" s="55" t="s">
        <v>2</v>
      </c>
      <c r="B7" s="47">
        <v>23</v>
      </c>
      <c r="C7" s="39">
        <f t="shared" ref="C7:C12" si="1">IF(B$2=0,0,B7/B$2)</f>
        <v>0.5</v>
      </c>
      <c r="E7" s="63" t="s">
        <v>68</v>
      </c>
      <c r="F7" s="60" t="s">
        <v>24</v>
      </c>
      <c r="G7" s="47">
        <v>34</v>
      </c>
      <c r="H7" s="133">
        <f>IF(B$17=0,0,G7/B$17)</f>
        <v>0.25</v>
      </c>
      <c r="I7" s="94">
        <v>6</v>
      </c>
      <c r="K7" s="38">
        <v>5</v>
      </c>
      <c r="L7" s="99">
        <v>99.9</v>
      </c>
      <c r="N7" s="116" t="s">
        <v>136</v>
      </c>
      <c r="O7" s="123">
        <f t="shared" si="0"/>
        <v>5290.322580645161</v>
      </c>
      <c r="P7" s="120">
        <v>31</v>
      </c>
      <c r="Q7" s="104">
        <v>164000</v>
      </c>
    </row>
    <row r="8" spans="1:17" x14ac:dyDescent="0.4">
      <c r="A8" s="55" t="s">
        <v>3</v>
      </c>
      <c r="B8" s="47">
        <v>13</v>
      </c>
      <c r="C8" s="39">
        <f t="shared" si="1"/>
        <v>0.28260869565217389</v>
      </c>
      <c r="E8" s="63" t="s">
        <v>90</v>
      </c>
      <c r="F8" s="60" t="s">
        <v>45</v>
      </c>
      <c r="G8" s="47">
        <v>23</v>
      </c>
      <c r="H8" s="133">
        <f>IF(B$17=0,0,G8/B$17)</f>
        <v>0.16911764705882354</v>
      </c>
      <c r="I8" s="94">
        <v>2</v>
      </c>
      <c r="K8" s="38">
        <v>6</v>
      </c>
      <c r="L8" s="99">
        <v>85.5</v>
      </c>
      <c r="N8" s="43"/>
      <c r="O8" s="127"/>
      <c r="P8" s="111"/>
      <c r="Q8" s="109"/>
    </row>
    <row r="9" spans="1:17" x14ac:dyDescent="0.4">
      <c r="A9" s="56" t="s">
        <v>4</v>
      </c>
      <c r="B9" s="48">
        <v>10</v>
      </c>
      <c r="C9" s="40">
        <f t="shared" si="1"/>
        <v>0.21739130434782608</v>
      </c>
      <c r="E9" s="63" t="s">
        <v>70</v>
      </c>
      <c r="F9" s="60" t="s">
        <v>25</v>
      </c>
      <c r="G9" s="47">
        <v>18</v>
      </c>
      <c r="H9" s="133">
        <f>IF(B$17=0,0,G9/B$17)</f>
        <v>0.13235294117647059</v>
      </c>
      <c r="I9" s="94">
        <v>5</v>
      </c>
      <c r="K9" s="38">
        <v>7</v>
      </c>
      <c r="L9" s="99">
        <v>113.3</v>
      </c>
      <c r="N9" s="113" t="s">
        <v>162</v>
      </c>
      <c r="O9" s="34" t="s">
        <v>121</v>
      </c>
      <c r="P9" s="117" t="s">
        <v>117</v>
      </c>
      <c r="Q9" s="105" t="s">
        <v>157</v>
      </c>
    </row>
    <row r="10" spans="1:17" x14ac:dyDescent="0.4">
      <c r="A10" s="56" t="s">
        <v>19</v>
      </c>
      <c r="B10" s="48">
        <v>2</v>
      </c>
      <c r="C10" s="40">
        <f t="shared" si="1"/>
        <v>4.3478260869565216E-2</v>
      </c>
      <c r="E10" s="63" t="s">
        <v>66</v>
      </c>
      <c r="F10" s="60" t="s">
        <v>22</v>
      </c>
      <c r="G10" s="47">
        <v>12</v>
      </c>
      <c r="H10" s="133">
        <f>IF(B$17=0,0,G10/B$17)</f>
        <v>8.8235294117647065E-2</v>
      </c>
      <c r="I10" s="94">
        <v>6</v>
      </c>
      <c r="K10" s="38">
        <v>8</v>
      </c>
      <c r="L10" s="99">
        <v>148.1</v>
      </c>
      <c r="N10" s="114" t="s">
        <v>163</v>
      </c>
      <c r="O10" s="124">
        <f>IF(P10=0,0,Q10/P10)</f>
        <v>14.975</v>
      </c>
      <c r="P10" s="118">
        <v>8</v>
      </c>
      <c r="Q10" s="106">
        <v>119.8</v>
      </c>
    </row>
    <row r="11" spans="1:17" x14ac:dyDescent="0.4">
      <c r="A11" s="56" t="s">
        <v>139</v>
      </c>
      <c r="B11" s="48">
        <v>4</v>
      </c>
      <c r="C11" s="40">
        <f t="shared" si="1"/>
        <v>8.6956521739130432E-2</v>
      </c>
      <c r="E11" s="63" t="s">
        <v>71</v>
      </c>
      <c r="F11" s="60" t="s">
        <v>26</v>
      </c>
      <c r="G11" s="47">
        <v>9</v>
      </c>
      <c r="H11" s="133">
        <f>IF(B$17=0,0,G11/B$17)</f>
        <v>6.6176470588235295E-2</v>
      </c>
      <c r="I11" s="94">
        <v>6</v>
      </c>
      <c r="K11" s="38">
        <v>9</v>
      </c>
      <c r="L11" s="99">
        <v>180.89999999999998</v>
      </c>
      <c r="N11" s="115" t="s">
        <v>164</v>
      </c>
      <c r="O11" s="125">
        <f>IF(P11=0,0,Q11/P11)</f>
        <v>8.6285714285714299</v>
      </c>
      <c r="P11" s="119">
        <v>21</v>
      </c>
      <c r="Q11" s="107">
        <v>181.20000000000002</v>
      </c>
    </row>
    <row r="12" spans="1:17" x14ac:dyDescent="0.4">
      <c r="A12" s="57" t="s">
        <v>159</v>
      </c>
      <c r="B12" s="49">
        <v>6</v>
      </c>
      <c r="C12" s="42">
        <f t="shared" si="1"/>
        <v>0.13043478260869565</v>
      </c>
      <c r="E12" s="63" t="s">
        <v>72</v>
      </c>
      <c r="F12" s="60" t="s">
        <v>27</v>
      </c>
      <c r="G12" s="47">
        <v>8</v>
      </c>
      <c r="H12" s="133">
        <f>IF(B$17=0,0,G12/B$17)</f>
        <v>5.8823529411764705E-2</v>
      </c>
      <c r="I12" s="94">
        <v>8</v>
      </c>
      <c r="K12" s="38">
        <v>10</v>
      </c>
      <c r="L12" s="99">
        <v>158.19999999999999</v>
      </c>
      <c r="N12" s="116" t="s">
        <v>165</v>
      </c>
      <c r="O12" s="126">
        <f>IF(P12=0,0,Q12/P12)</f>
        <v>9.6941176470588228</v>
      </c>
      <c r="P12" s="120">
        <v>17</v>
      </c>
      <c r="Q12" s="108">
        <v>164.79999999999998</v>
      </c>
    </row>
    <row r="13" spans="1:17" x14ac:dyDescent="0.4">
      <c r="A13" s="58" t="s">
        <v>122</v>
      </c>
      <c r="B13" s="50">
        <v>98</v>
      </c>
      <c r="C13" s="44">
        <f>IF(B$3=0,0,B13/B$3)</f>
        <v>0.25192802056555269</v>
      </c>
      <c r="E13" s="63" t="s">
        <v>84</v>
      </c>
      <c r="F13" s="60" t="s">
        <v>39</v>
      </c>
      <c r="G13" s="47">
        <v>6</v>
      </c>
      <c r="H13" s="133">
        <f>IF(B$17=0,0,G13/B$17)</f>
        <v>4.4117647058823532E-2</v>
      </c>
      <c r="I13" s="94">
        <v>8</v>
      </c>
      <c r="K13" s="38">
        <v>11</v>
      </c>
      <c r="L13" s="99">
        <v>185.2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88</v>
      </c>
      <c r="C14" s="39">
        <f>IF(B$3=0,0,B14/B$3)</f>
        <v>0.2262210796915167</v>
      </c>
      <c r="E14" s="63" t="s">
        <v>79</v>
      </c>
      <c r="F14" s="60" t="s">
        <v>34</v>
      </c>
      <c r="G14" s="47">
        <v>5</v>
      </c>
      <c r="H14" s="133">
        <f>IF(B$17=0,0,G14/B$17)</f>
        <v>3.6764705882352942E-2</v>
      </c>
      <c r="I14" s="94">
        <v>3</v>
      </c>
      <c r="K14" s="38">
        <v>12</v>
      </c>
      <c r="L14" s="99">
        <v>184.89999999999998</v>
      </c>
      <c r="N14" s="113" t="s">
        <v>154</v>
      </c>
      <c r="O14" s="34" t="s">
        <v>121</v>
      </c>
      <c r="P14" s="117" t="s">
        <v>117</v>
      </c>
      <c r="Q14" s="105" t="s">
        <v>157</v>
      </c>
    </row>
    <row r="15" spans="1:17" x14ac:dyDescent="0.4">
      <c r="A15" s="54" t="s">
        <v>124</v>
      </c>
      <c r="B15" s="46">
        <v>60</v>
      </c>
      <c r="C15" s="37">
        <f>IF(B$13=0,0,B15/B$13)</f>
        <v>0.61224489795918369</v>
      </c>
      <c r="E15" s="63" t="s">
        <v>87</v>
      </c>
      <c r="F15" s="60" t="s">
        <v>42</v>
      </c>
      <c r="G15" s="47">
        <v>5</v>
      </c>
      <c r="H15" s="133">
        <f>IF(B$17=0,0,G15/B$17)</f>
        <v>3.6764705882352942E-2</v>
      </c>
      <c r="I15" s="94">
        <v>6</v>
      </c>
      <c r="K15" s="38">
        <v>13</v>
      </c>
      <c r="L15" s="99">
        <v>206.39999999999998</v>
      </c>
      <c r="N15" s="114" t="s">
        <v>182</v>
      </c>
      <c r="O15" s="124">
        <f>IF(P15=0,0,Q15/P15)</f>
        <v>49.733333333333327</v>
      </c>
      <c r="P15" s="118">
        <v>3</v>
      </c>
      <c r="Q15" s="106">
        <v>149.19999999999999</v>
      </c>
    </row>
    <row r="16" spans="1:17" x14ac:dyDescent="0.4">
      <c r="A16" s="54" t="s">
        <v>125</v>
      </c>
      <c r="B16" s="46">
        <v>49</v>
      </c>
      <c r="C16" s="37">
        <f>IF(B$14=0,0,B16/B$14)</f>
        <v>0.55681818181818177</v>
      </c>
      <c r="E16" s="63" t="s">
        <v>168</v>
      </c>
      <c r="F16" s="60" t="s">
        <v>169</v>
      </c>
      <c r="G16" s="47">
        <v>5</v>
      </c>
      <c r="H16" s="133">
        <f>IF(B$17=0,0,G16/B$17)</f>
        <v>3.6764705882352942E-2</v>
      </c>
      <c r="I16" s="94">
        <v>1</v>
      </c>
      <c r="K16" s="38">
        <v>14</v>
      </c>
      <c r="L16" s="99">
        <v>240.09999999999997</v>
      </c>
      <c r="N16" s="115" t="s">
        <v>183</v>
      </c>
      <c r="O16" s="125">
        <f>IF(P16=0,0,Q16/P16)</f>
        <v>40.333333333333336</v>
      </c>
      <c r="P16" s="119">
        <v>3</v>
      </c>
      <c r="Q16" s="107">
        <v>121</v>
      </c>
    </row>
    <row r="17" spans="1:17" x14ac:dyDescent="0.4">
      <c r="A17" s="54" t="s">
        <v>10</v>
      </c>
      <c r="B17" s="46">
        <f>B19+B18</f>
        <v>136</v>
      </c>
      <c r="C17" s="37">
        <f>IF(B$3=0,0,B17/B$3)</f>
        <v>0.34961439588688947</v>
      </c>
      <c r="E17" s="63" t="s">
        <v>78</v>
      </c>
      <c r="F17" s="60" t="s">
        <v>33</v>
      </c>
      <c r="G17" s="47">
        <v>3</v>
      </c>
      <c r="H17" s="133">
        <f>IF(B$17=0,0,G17/B$17)</f>
        <v>2.2058823529411766E-2</v>
      </c>
      <c r="I17" s="94">
        <v>1</v>
      </c>
      <c r="K17" s="38">
        <v>15</v>
      </c>
      <c r="L17" s="99">
        <v>269.49999999999994</v>
      </c>
      <c r="N17" s="115" t="s">
        <v>179</v>
      </c>
      <c r="O17" s="125">
        <f>IF(P17=0,0,Q17/P17)</f>
        <v>28.900000000000009</v>
      </c>
      <c r="P17" s="119">
        <v>8</v>
      </c>
      <c r="Q17" s="107">
        <v>231.20000000000007</v>
      </c>
    </row>
    <row r="18" spans="1:17" x14ac:dyDescent="0.4">
      <c r="A18" s="55" t="s">
        <v>12</v>
      </c>
      <c r="B18" s="47">
        <v>55</v>
      </c>
      <c r="C18" s="39">
        <f>IF(B$17=0,0,B18/B$17)</f>
        <v>0.40441176470588236</v>
      </c>
      <c r="E18" s="63" t="s">
        <v>85</v>
      </c>
      <c r="F18" s="60" t="s">
        <v>40</v>
      </c>
      <c r="G18" s="47">
        <v>2</v>
      </c>
      <c r="H18" s="133">
        <f>IF(B$17=0,0,G18/B$17)</f>
        <v>1.4705882352941176E-2</v>
      </c>
      <c r="I18" s="94">
        <v>1</v>
      </c>
      <c r="K18" s="38">
        <v>16</v>
      </c>
      <c r="L18" s="99">
        <v>323.69999999999993</v>
      </c>
      <c r="N18" s="115" t="s">
        <v>180</v>
      </c>
      <c r="O18" s="125">
        <f>IF(P18=0,0,Q18/P18)</f>
        <v>16.061111111111114</v>
      </c>
      <c r="P18" s="119">
        <v>18</v>
      </c>
      <c r="Q18" s="107">
        <v>289.10000000000002</v>
      </c>
    </row>
    <row r="19" spans="1:17" x14ac:dyDescent="0.4">
      <c r="A19" s="55" t="s">
        <v>11</v>
      </c>
      <c r="B19" s="47">
        <v>81</v>
      </c>
      <c r="C19" s="39">
        <f>IF(B$17=0,0,B19/B$17)</f>
        <v>0.59558823529411764</v>
      </c>
      <c r="E19" s="63" t="s">
        <v>93</v>
      </c>
      <c r="F19" s="60" t="s">
        <v>48</v>
      </c>
      <c r="G19" s="47">
        <v>2</v>
      </c>
      <c r="H19" s="133">
        <f>IF(B$17=0,0,G19/B$17)</f>
        <v>1.4705882352941176E-2</v>
      </c>
      <c r="I19" s="94">
        <v>2</v>
      </c>
      <c r="K19" s="38">
        <v>17</v>
      </c>
      <c r="L19" s="99">
        <v>359.09999999999991</v>
      </c>
      <c r="N19" s="115" t="s">
        <v>128</v>
      </c>
      <c r="O19" s="125">
        <f>IF(P19=0,0,Q19/P19)</f>
        <v>12.102941176470587</v>
      </c>
      <c r="P19" s="119">
        <v>34</v>
      </c>
      <c r="Q19" s="107">
        <v>411.49999999999994</v>
      </c>
    </row>
    <row r="20" spans="1:17" x14ac:dyDescent="0.4">
      <c r="A20" s="55" t="s">
        <v>13</v>
      </c>
      <c r="B20" s="47">
        <v>50</v>
      </c>
      <c r="C20" s="39">
        <f>IF(B$3=0,0,B20/B$3)</f>
        <v>0.12853470437017994</v>
      </c>
      <c r="E20" s="63" t="s">
        <v>75</v>
      </c>
      <c r="F20" s="60" t="s">
        <v>30</v>
      </c>
      <c r="G20" s="47">
        <v>1</v>
      </c>
      <c r="H20" s="133">
        <f>IF(B$17=0,0,G20/B$17)</f>
        <v>7.3529411764705881E-3</v>
      </c>
      <c r="I20" s="94">
        <v>3</v>
      </c>
      <c r="K20" s="38">
        <v>18</v>
      </c>
      <c r="L20" s="99">
        <v>352.39999999999992</v>
      </c>
      <c r="N20" s="115" t="s">
        <v>167</v>
      </c>
      <c r="O20" s="125">
        <f>IF(P20=0,0,Q20/P20)</f>
        <v>10.658823529411762</v>
      </c>
      <c r="P20" s="119">
        <v>17</v>
      </c>
      <c r="Q20" s="107">
        <v>181.19999999999996</v>
      </c>
    </row>
    <row r="21" spans="1:17" x14ac:dyDescent="0.4">
      <c r="A21" s="55" t="s">
        <v>170</v>
      </c>
      <c r="B21" s="47">
        <v>5</v>
      </c>
      <c r="C21" s="135">
        <v>2</v>
      </c>
      <c r="E21" s="63" t="s">
        <v>82</v>
      </c>
      <c r="F21" s="60" t="s">
        <v>37</v>
      </c>
      <c r="G21" s="47">
        <v>1</v>
      </c>
      <c r="H21" s="133">
        <f>IF(B$17=0,0,G21/B$17)</f>
        <v>7.3529411764705881E-3</v>
      </c>
      <c r="I21" s="94">
        <v>8</v>
      </c>
      <c r="K21" s="38">
        <v>19</v>
      </c>
      <c r="L21" s="99">
        <v>383.19999999999993</v>
      </c>
      <c r="N21" s="115" t="s">
        <v>178</v>
      </c>
      <c r="O21" s="125">
        <f>IF(P21=0,0,Q21/P21)</f>
        <v>1.5777777777777782</v>
      </c>
      <c r="P21" s="119">
        <v>9</v>
      </c>
      <c r="Q21" s="107">
        <v>14.200000000000003</v>
      </c>
    </row>
    <row r="22" spans="1:17" x14ac:dyDescent="0.4">
      <c r="A22" s="55" t="s">
        <v>171</v>
      </c>
      <c r="B22" s="47">
        <v>27</v>
      </c>
      <c r="C22" s="135">
        <v>19</v>
      </c>
      <c r="E22" s="63" t="s">
        <v>86</v>
      </c>
      <c r="F22" s="60" t="s">
        <v>41</v>
      </c>
      <c r="G22" s="47">
        <v>1</v>
      </c>
      <c r="H22" s="133">
        <f>IF(B$17=0,0,G22/B$17)</f>
        <v>7.3529411764705881E-3</v>
      </c>
      <c r="I22" s="94">
        <v>3</v>
      </c>
      <c r="K22" s="38">
        <v>20</v>
      </c>
      <c r="L22" s="99">
        <v>365.49999999999994</v>
      </c>
    </row>
    <row r="23" spans="1:17" x14ac:dyDescent="0.4">
      <c r="A23" s="55" t="s">
        <v>5</v>
      </c>
      <c r="B23" s="51">
        <f>IF(B$17=0,0,C23/B$17)</f>
        <v>7780.1470588235297</v>
      </c>
      <c r="C23" s="41">
        <v>1058100</v>
      </c>
      <c r="E23" s="63" t="s">
        <v>89</v>
      </c>
      <c r="F23" s="60" t="s">
        <v>44</v>
      </c>
      <c r="G23" s="47">
        <v>1</v>
      </c>
      <c r="H23" s="133">
        <f>IF(B$17=0,0,G23/B$17)</f>
        <v>7.3529411764705881E-3</v>
      </c>
      <c r="I23" s="94">
        <v>2</v>
      </c>
      <c r="K23" s="38">
        <v>21</v>
      </c>
      <c r="L23" s="99">
        <v>371.39999999999992</v>
      </c>
    </row>
    <row r="24" spans="1:17" x14ac:dyDescent="0.4">
      <c r="A24" s="57" t="s">
        <v>14</v>
      </c>
      <c r="B24" s="52">
        <f>IF(B$20=0,0,C24/B$20)</f>
        <v>-7730</v>
      </c>
      <c r="C24" s="45">
        <v>-386500</v>
      </c>
      <c r="E24" s="63" t="s">
        <v>91</v>
      </c>
      <c r="F24" s="60" t="s">
        <v>46</v>
      </c>
      <c r="G24" s="47">
        <v>1</v>
      </c>
      <c r="H24" s="133">
        <f>IF(B$17=0,0,G24/B$17)</f>
        <v>7.3529411764705881E-3</v>
      </c>
      <c r="I24" s="94">
        <v>1</v>
      </c>
      <c r="K24" s="38">
        <v>22</v>
      </c>
      <c r="L24" s="99">
        <v>414.2999999999999</v>
      </c>
    </row>
    <row r="25" spans="1:17" x14ac:dyDescent="0.4">
      <c r="A25" s="90" t="s">
        <v>141</v>
      </c>
      <c r="B25" s="144">
        <v>7</v>
      </c>
      <c r="C25" s="145"/>
      <c r="E25" s="63" t="s">
        <v>92</v>
      </c>
      <c r="F25" s="60" t="s">
        <v>47</v>
      </c>
      <c r="G25" s="47">
        <v>1</v>
      </c>
      <c r="H25" s="133">
        <f>IF(B$17=0,0,G25/B$17)</f>
        <v>7.3529411764705881E-3</v>
      </c>
      <c r="I25" s="94">
        <v>6</v>
      </c>
      <c r="K25" s="38">
        <v>23</v>
      </c>
      <c r="L25" s="99">
        <v>356.2999999999999</v>
      </c>
    </row>
    <row r="26" spans="1:17" x14ac:dyDescent="0.4">
      <c r="A26" s="58" t="s">
        <v>151</v>
      </c>
      <c r="B26" s="142">
        <v>86200</v>
      </c>
      <c r="C26" s="143"/>
      <c r="E26" s="63" t="s">
        <v>96</v>
      </c>
      <c r="F26" s="60" t="s">
        <v>51</v>
      </c>
      <c r="G26" s="47">
        <v>1</v>
      </c>
      <c r="H26" s="133">
        <f>IF(B$17=0,0,G26/B$17)</f>
        <v>7.3529411764705881E-3</v>
      </c>
      <c r="I26" s="94">
        <v>1</v>
      </c>
      <c r="K26" s="38">
        <v>24</v>
      </c>
      <c r="L26" s="99">
        <v>329.89999999999992</v>
      </c>
    </row>
    <row r="27" spans="1:17" x14ac:dyDescent="0.4">
      <c r="A27" s="57" t="s">
        <v>142</v>
      </c>
      <c r="B27" s="65">
        <v>0</v>
      </c>
      <c r="C27" s="42">
        <f>IF(B$3=0,0,B27/B$3)</f>
        <v>0</v>
      </c>
      <c r="E27" s="63" t="s">
        <v>74</v>
      </c>
      <c r="F27" s="60" t="s">
        <v>29</v>
      </c>
      <c r="G27" s="47">
        <v>0</v>
      </c>
      <c r="H27" s="133">
        <f>IF(B$17=0,0,G27/B$17)</f>
        <v>0</v>
      </c>
      <c r="I27" s="94">
        <v>1</v>
      </c>
      <c r="K27" s="38">
        <v>25</v>
      </c>
      <c r="L27" s="99">
        <v>294.99999999999994</v>
      </c>
    </row>
    <row r="28" spans="1:17" x14ac:dyDescent="0.4">
      <c r="E28" s="63" t="s">
        <v>76</v>
      </c>
      <c r="F28" s="60" t="s">
        <v>31</v>
      </c>
      <c r="G28" s="47">
        <v>0</v>
      </c>
      <c r="H28" s="133">
        <f>IF(B$17=0,0,G28/B$17)</f>
        <v>0</v>
      </c>
      <c r="I28" s="94">
        <v>5</v>
      </c>
      <c r="K28" s="38">
        <v>26</v>
      </c>
      <c r="L28" s="99">
        <v>329.29999999999995</v>
      </c>
    </row>
    <row r="29" spans="1:17" x14ac:dyDescent="0.4">
      <c r="E29" s="63" t="s">
        <v>77</v>
      </c>
      <c r="F29" s="60" t="s">
        <v>32</v>
      </c>
      <c r="G29" s="47">
        <v>0</v>
      </c>
      <c r="H29" s="133">
        <f>IF(B$17=0,0,G29/B$17)</f>
        <v>0</v>
      </c>
      <c r="I29" s="94">
        <v>1</v>
      </c>
      <c r="K29" s="38">
        <v>27</v>
      </c>
      <c r="L29" s="99">
        <v>362.4</v>
      </c>
    </row>
    <row r="30" spans="1:17" x14ac:dyDescent="0.4">
      <c r="E30" s="63" t="s">
        <v>80</v>
      </c>
      <c r="F30" s="60" t="s">
        <v>35</v>
      </c>
      <c r="G30" s="47">
        <v>0</v>
      </c>
      <c r="H30" s="133">
        <f>IF(B$17=0,0,G30/B$17)</f>
        <v>0</v>
      </c>
      <c r="I30" s="94">
        <v>6</v>
      </c>
      <c r="K30" s="38">
        <v>28</v>
      </c>
      <c r="L30" s="99">
        <v>375.79999999999995</v>
      </c>
    </row>
    <row r="31" spans="1:17" x14ac:dyDescent="0.4">
      <c r="E31" s="63" t="s">
        <v>81</v>
      </c>
      <c r="F31" s="60" t="s">
        <v>36</v>
      </c>
      <c r="G31" s="47">
        <v>0</v>
      </c>
      <c r="H31" s="133">
        <f>IF(B$17=0,0,G31/B$17)</f>
        <v>0</v>
      </c>
      <c r="I31" s="94">
        <v>1</v>
      </c>
      <c r="K31" s="38">
        <v>29</v>
      </c>
      <c r="L31" s="99">
        <v>381.09999999999997</v>
      </c>
    </row>
    <row r="32" spans="1:17" x14ac:dyDescent="0.4">
      <c r="E32" s="63" t="s">
        <v>83</v>
      </c>
      <c r="F32" s="60" t="s">
        <v>38</v>
      </c>
      <c r="G32" s="47">
        <v>0</v>
      </c>
      <c r="H32" s="133">
        <f>IF(B$17=0,0,G32/B$17)</f>
        <v>0</v>
      </c>
      <c r="I32" s="94">
        <v>1</v>
      </c>
      <c r="K32" s="38">
        <v>30</v>
      </c>
      <c r="L32" s="99">
        <v>340.79999999999995</v>
      </c>
    </row>
    <row r="33" spans="5:12" x14ac:dyDescent="0.4">
      <c r="E33" s="63" t="s">
        <v>88</v>
      </c>
      <c r="F33" s="60" t="s">
        <v>43</v>
      </c>
      <c r="G33" s="47">
        <v>0</v>
      </c>
      <c r="H33" s="133">
        <f>IF(B$17=0,0,G33/B$17)</f>
        <v>0</v>
      </c>
      <c r="I33" s="94">
        <v>3</v>
      </c>
      <c r="K33" s="38">
        <v>31</v>
      </c>
      <c r="L33" s="99">
        <v>319.49999999999994</v>
      </c>
    </row>
    <row r="34" spans="5:12" x14ac:dyDescent="0.4">
      <c r="E34" s="63" t="s">
        <v>94</v>
      </c>
      <c r="F34" s="60" t="s">
        <v>49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349.39999999999992</v>
      </c>
    </row>
    <row r="35" spans="5:12" x14ac:dyDescent="0.4">
      <c r="E35" s="63" t="s">
        <v>95</v>
      </c>
      <c r="F35" s="60" t="s">
        <v>50</v>
      </c>
      <c r="G35" s="47">
        <v>0</v>
      </c>
      <c r="H35" s="133">
        <f>IF(B$17=0,0,G35/B$17)</f>
        <v>0</v>
      </c>
      <c r="I35" s="94">
        <v>1</v>
      </c>
      <c r="K35" s="38">
        <v>33</v>
      </c>
      <c r="L35" s="99">
        <v>349.19999999999993</v>
      </c>
    </row>
    <row r="36" spans="5:12" x14ac:dyDescent="0.4">
      <c r="E36" s="63" t="s">
        <v>97</v>
      </c>
      <c r="F36" s="60" t="s">
        <v>52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374.49999999999994</v>
      </c>
    </row>
    <row r="37" spans="5:12" x14ac:dyDescent="0.4">
      <c r="E37" s="63" t="s">
        <v>98</v>
      </c>
      <c r="F37" s="60" t="s">
        <v>53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357.89999999999992</v>
      </c>
    </row>
    <row r="38" spans="5:12" x14ac:dyDescent="0.4">
      <c r="E38" s="63" t="s">
        <v>99</v>
      </c>
      <c r="F38" s="60" t="s">
        <v>54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312.09999999999991</v>
      </c>
    </row>
    <row r="39" spans="5:12" x14ac:dyDescent="0.4">
      <c r="E39" s="63" t="s">
        <v>100</v>
      </c>
      <c r="F39" s="60" t="s">
        <v>55</v>
      </c>
      <c r="G39" s="47">
        <v>0</v>
      </c>
      <c r="H39" s="133">
        <f>IF(B$17=0,0,G39/B$17)</f>
        <v>0</v>
      </c>
      <c r="I39" s="94">
        <v>1</v>
      </c>
      <c r="K39" s="38">
        <v>37</v>
      </c>
      <c r="L39" s="99">
        <v>325.09999999999991</v>
      </c>
    </row>
    <row r="40" spans="5:12" x14ac:dyDescent="0.4">
      <c r="E40" s="63" t="s">
        <v>101</v>
      </c>
      <c r="F40" s="60" t="s">
        <v>56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360.49999999999989</v>
      </c>
    </row>
    <row r="41" spans="5:12" x14ac:dyDescent="0.4">
      <c r="E41" s="63" t="s">
        <v>102</v>
      </c>
      <c r="F41" s="60" t="s">
        <v>57</v>
      </c>
      <c r="G41" s="47">
        <v>0</v>
      </c>
      <c r="H41" s="133">
        <f>IF(B$17=0,0,G41/B$17)</f>
        <v>0</v>
      </c>
      <c r="I41" s="94">
        <v>3</v>
      </c>
      <c r="K41" s="38">
        <v>39</v>
      </c>
      <c r="L41" s="99">
        <v>365.39999999999986</v>
      </c>
    </row>
    <row r="42" spans="5:12" x14ac:dyDescent="0.4">
      <c r="E42" s="63" t="s">
        <v>103</v>
      </c>
      <c r="F42" s="60" t="s">
        <v>58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398.79999999999984</v>
      </c>
    </row>
    <row r="43" spans="5:12" x14ac:dyDescent="0.4">
      <c r="E43" s="63" t="s">
        <v>104</v>
      </c>
      <c r="F43" s="60" t="s">
        <v>59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399.89999999999986</v>
      </c>
    </row>
    <row r="44" spans="5:12" x14ac:dyDescent="0.4">
      <c r="E44" s="63" t="s">
        <v>105</v>
      </c>
      <c r="F44" s="60" t="s">
        <v>60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419.29999999999984</v>
      </c>
    </row>
    <row r="45" spans="5:12" x14ac:dyDescent="0.4">
      <c r="E45" s="63" t="s">
        <v>106</v>
      </c>
      <c r="F45" s="60" t="s">
        <v>113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424.79999999999984</v>
      </c>
    </row>
    <row r="46" spans="5:12" x14ac:dyDescent="0.4">
      <c r="E46" s="63" t="s">
        <v>107</v>
      </c>
      <c r="F46" s="60" t="s">
        <v>114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424.39999999999986</v>
      </c>
    </row>
    <row r="47" spans="5:12" x14ac:dyDescent="0.4">
      <c r="E47" s="63" t="s">
        <v>108</v>
      </c>
      <c r="F47" s="60" t="s">
        <v>115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425.69999999999987</v>
      </c>
    </row>
    <row r="48" spans="5:12" x14ac:dyDescent="0.4">
      <c r="E48" s="63" t="s">
        <v>109</v>
      </c>
      <c r="F48" s="60" t="s">
        <v>61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465.7999999999999</v>
      </c>
    </row>
    <row r="49" spans="5:9" x14ac:dyDescent="0.4">
      <c r="E49" s="63" t="s">
        <v>110</v>
      </c>
      <c r="F49" s="60" t="s">
        <v>62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111</v>
      </c>
      <c r="F50" s="60" t="s">
        <v>63</v>
      </c>
      <c r="G50" s="47">
        <v>0</v>
      </c>
      <c r="H50" s="133">
        <f>IF(B$17=0,0,G50/B$17)</f>
        <v>0</v>
      </c>
      <c r="I50" s="94">
        <v>1</v>
      </c>
    </row>
    <row r="51" spans="5:9" x14ac:dyDescent="0.4">
      <c r="E51" s="136" t="s">
        <v>112</v>
      </c>
      <c r="F51" s="137" t="s">
        <v>64</v>
      </c>
      <c r="G51" s="48">
        <v>0</v>
      </c>
      <c r="H51" s="138">
        <f>IF(B$17=0,0,G51/B$17)</f>
        <v>0</v>
      </c>
      <c r="I51" s="139">
        <v>1</v>
      </c>
    </row>
    <row r="52" spans="5:9" x14ac:dyDescent="0.4">
      <c r="E52" s="64" t="s">
        <v>174</v>
      </c>
      <c r="F52" s="61" t="s">
        <v>175</v>
      </c>
      <c r="G52" s="49">
        <v>0</v>
      </c>
      <c r="H52" s="134">
        <f>IF(B$17=0,0,G52/B$17)</f>
        <v>0</v>
      </c>
      <c r="I52" s="95">
        <v>1</v>
      </c>
    </row>
  </sheetData>
  <sortState xmlns:xlrd2="http://schemas.microsoft.com/office/spreadsheetml/2017/richdata2" ref="N15:Q21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74DDE6-74DA-4EC1-97AF-3FFF4918A183}">
  <sheetPr codeName="Sheet11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128</v>
      </c>
      <c r="C1" s="149"/>
      <c r="E1" s="129" t="s">
        <v>166</v>
      </c>
      <c r="F1" s="141" t="s">
        <v>116</v>
      </c>
      <c r="G1" s="140" t="s">
        <v>117</v>
      </c>
      <c r="H1" s="130" t="s">
        <v>118</v>
      </c>
      <c r="I1" s="141" t="s">
        <v>153</v>
      </c>
      <c r="K1" s="34" t="s">
        <v>20</v>
      </c>
      <c r="L1" s="35" t="s">
        <v>121</v>
      </c>
      <c r="M1" s="131"/>
      <c r="N1" s="113" t="s">
        <v>137</v>
      </c>
      <c r="O1" s="34" t="s">
        <v>138</v>
      </c>
      <c r="P1" s="117" t="s">
        <v>117</v>
      </c>
      <c r="Q1" s="101" t="s">
        <v>157</v>
      </c>
    </row>
    <row r="2" spans="1:17" x14ac:dyDescent="0.4">
      <c r="A2" s="54" t="s">
        <v>9</v>
      </c>
      <c r="B2" s="150">
        <v>46</v>
      </c>
      <c r="C2" s="151"/>
      <c r="E2" s="62" t="s">
        <v>67</v>
      </c>
      <c r="F2" s="59" t="s">
        <v>23</v>
      </c>
      <c r="G2" s="46">
        <v>125</v>
      </c>
      <c r="H2" s="132">
        <f>IF(B$17=0,0,G2/B$17)</f>
        <v>0.9765625</v>
      </c>
      <c r="I2" s="93">
        <v>2</v>
      </c>
      <c r="K2" s="36">
        <v>0</v>
      </c>
      <c r="L2" s="98">
        <v>0</v>
      </c>
      <c r="N2" s="114" t="s">
        <v>131</v>
      </c>
      <c r="O2" s="121">
        <f t="shared" ref="O2:O7" si="0">IF(P2=0,0,Q2/P2)</f>
        <v>324.44444444444446</v>
      </c>
      <c r="P2" s="118">
        <v>45</v>
      </c>
      <c r="Q2" s="102">
        <v>14600</v>
      </c>
    </row>
    <row r="3" spans="1:17" x14ac:dyDescent="0.4">
      <c r="A3" s="55" t="s">
        <v>8</v>
      </c>
      <c r="B3" s="152">
        <v>403</v>
      </c>
      <c r="C3" s="153"/>
      <c r="E3" s="63" t="s">
        <v>73</v>
      </c>
      <c r="F3" s="60" t="s">
        <v>28</v>
      </c>
      <c r="G3" s="47">
        <v>81</v>
      </c>
      <c r="H3" s="133">
        <f>IF(B$17=0,0,G3/B$17)</f>
        <v>0.6328125</v>
      </c>
      <c r="I3" s="94">
        <v>3</v>
      </c>
      <c r="K3" s="38">
        <v>1</v>
      </c>
      <c r="L3" s="99">
        <v>-45.6</v>
      </c>
      <c r="N3" s="115" t="s">
        <v>132</v>
      </c>
      <c r="O3" s="122">
        <f t="shared" si="0"/>
        <v>1190.909090909091</v>
      </c>
      <c r="P3" s="119">
        <v>44</v>
      </c>
      <c r="Q3" s="103">
        <v>52400</v>
      </c>
    </row>
    <row r="4" spans="1:17" x14ac:dyDescent="0.4">
      <c r="A4" s="55" t="s">
        <v>6</v>
      </c>
      <c r="B4" s="154">
        <v>215.39999999999989</v>
      </c>
      <c r="C4" s="155"/>
      <c r="E4" s="63" t="s">
        <v>65</v>
      </c>
      <c r="F4" s="60" t="s">
        <v>21</v>
      </c>
      <c r="G4" s="47">
        <v>53</v>
      </c>
      <c r="H4" s="133">
        <f>IF(B$17=0,0,G4/B$17)</f>
        <v>0.4140625</v>
      </c>
      <c r="I4" s="94">
        <v>7</v>
      </c>
      <c r="K4" s="38">
        <v>2</v>
      </c>
      <c r="L4" s="99">
        <v>-34.299999999999997</v>
      </c>
      <c r="N4" s="115" t="s">
        <v>133</v>
      </c>
      <c r="O4" s="122">
        <f t="shared" si="0"/>
        <v>1481.3953488372092</v>
      </c>
      <c r="P4" s="119">
        <v>43</v>
      </c>
      <c r="Q4" s="103">
        <v>63700</v>
      </c>
    </row>
    <row r="5" spans="1:17" x14ac:dyDescent="0.4">
      <c r="A5" s="55" t="s">
        <v>7</v>
      </c>
      <c r="B5" s="156">
        <f>IF(B$2=0,0,B$4/B$2)</f>
        <v>4.6826086956521715</v>
      </c>
      <c r="C5" s="157"/>
      <c r="E5" s="63" t="s">
        <v>172</v>
      </c>
      <c r="F5" s="60" t="s">
        <v>173</v>
      </c>
      <c r="G5" s="47">
        <v>53</v>
      </c>
      <c r="H5" s="133">
        <f>IF(B$17=0,0,G5/B$17)</f>
        <v>0.4140625</v>
      </c>
      <c r="I5" s="94">
        <v>1</v>
      </c>
      <c r="K5" s="38">
        <v>3</v>
      </c>
      <c r="L5" s="99">
        <v>-58.599999999999994</v>
      </c>
      <c r="N5" s="115" t="s">
        <v>134</v>
      </c>
      <c r="O5" s="122">
        <f t="shared" si="0"/>
        <v>2997.560975609756</v>
      </c>
      <c r="P5" s="119">
        <v>41</v>
      </c>
      <c r="Q5" s="103">
        <v>122900</v>
      </c>
    </row>
    <row r="6" spans="1:17" x14ac:dyDescent="0.4">
      <c r="A6" s="55" t="s">
        <v>1</v>
      </c>
      <c r="B6" s="146">
        <f>IF(B$2=0,0,(B$7*1+B$8*2+B$9*3)/B$2)</f>
        <v>1.8913043478260869</v>
      </c>
      <c r="C6" s="147"/>
      <c r="E6" s="63" t="s">
        <v>69</v>
      </c>
      <c r="F6" s="60" t="s">
        <v>12</v>
      </c>
      <c r="G6" s="47">
        <v>37</v>
      </c>
      <c r="H6" s="133">
        <f>IF(B$17=0,0,G6/B$17)</f>
        <v>0.2890625</v>
      </c>
      <c r="I6" s="94">
        <v>6</v>
      </c>
      <c r="K6" s="38">
        <v>4</v>
      </c>
      <c r="L6" s="99">
        <v>-38.099999999999994</v>
      </c>
      <c r="N6" s="115" t="s">
        <v>135</v>
      </c>
      <c r="O6" s="122">
        <f t="shared" si="0"/>
        <v>-1794.7368421052631</v>
      </c>
      <c r="P6" s="119">
        <v>38</v>
      </c>
      <c r="Q6" s="103">
        <v>-68200</v>
      </c>
    </row>
    <row r="7" spans="1:17" x14ac:dyDescent="0.4">
      <c r="A7" s="55" t="s">
        <v>2</v>
      </c>
      <c r="B7" s="47">
        <v>17</v>
      </c>
      <c r="C7" s="39">
        <f t="shared" ref="C7:C12" si="1">IF(B$2=0,0,B7/B$2)</f>
        <v>0.36956521739130432</v>
      </c>
      <c r="E7" s="63" t="s">
        <v>68</v>
      </c>
      <c r="F7" s="60" t="s">
        <v>24</v>
      </c>
      <c r="G7" s="47">
        <v>33</v>
      </c>
      <c r="H7" s="133">
        <f>IF(B$17=0,0,G7/B$17)</f>
        <v>0.2578125</v>
      </c>
      <c r="I7" s="94">
        <v>5</v>
      </c>
      <c r="K7" s="38">
        <v>5</v>
      </c>
      <c r="L7" s="99">
        <v>-11.299999999999994</v>
      </c>
      <c r="N7" s="116" t="s">
        <v>136</v>
      </c>
      <c r="O7" s="123">
        <f t="shared" si="0"/>
        <v>1040</v>
      </c>
      <c r="P7" s="120">
        <v>30</v>
      </c>
      <c r="Q7" s="104">
        <v>31200</v>
      </c>
    </row>
    <row r="8" spans="1:17" x14ac:dyDescent="0.4">
      <c r="A8" s="55" t="s">
        <v>3</v>
      </c>
      <c r="B8" s="47">
        <v>17</v>
      </c>
      <c r="C8" s="39">
        <f t="shared" si="1"/>
        <v>0.36956521739130432</v>
      </c>
      <c r="E8" s="63" t="s">
        <v>90</v>
      </c>
      <c r="F8" s="60" t="s">
        <v>45</v>
      </c>
      <c r="G8" s="47">
        <v>18</v>
      </c>
      <c r="H8" s="133">
        <f>IF(B$17=0,0,G8/B$17)</f>
        <v>0.140625</v>
      </c>
      <c r="I8" s="94">
        <v>3</v>
      </c>
      <c r="K8" s="38">
        <v>6</v>
      </c>
      <c r="L8" s="99">
        <v>-11.899999999999993</v>
      </c>
      <c r="N8" s="43"/>
      <c r="O8" s="127"/>
      <c r="P8" s="111"/>
      <c r="Q8" s="109"/>
    </row>
    <row r="9" spans="1:17" x14ac:dyDescent="0.4">
      <c r="A9" s="56" t="s">
        <v>4</v>
      </c>
      <c r="B9" s="48">
        <v>12</v>
      </c>
      <c r="C9" s="40">
        <f t="shared" si="1"/>
        <v>0.2608695652173913</v>
      </c>
      <c r="E9" s="63" t="s">
        <v>70</v>
      </c>
      <c r="F9" s="60" t="s">
        <v>25</v>
      </c>
      <c r="G9" s="47">
        <v>11</v>
      </c>
      <c r="H9" s="133">
        <f>IF(B$17=0,0,G9/B$17)</f>
        <v>8.59375E-2</v>
      </c>
      <c r="I9" s="94">
        <v>8</v>
      </c>
      <c r="K9" s="38">
        <v>7</v>
      </c>
      <c r="L9" s="99">
        <v>-9.4999999999999929</v>
      </c>
      <c r="N9" s="113" t="s">
        <v>162</v>
      </c>
      <c r="O9" s="34" t="s">
        <v>121</v>
      </c>
      <c r="P9" s="117" t="s">
        <v>117</v>
      </c>
      <c r="Q9" s="105" t="s">
        <v>157</v>
      </c>
    </row>
    <row r="10" spans="1:17" x14ac:dyDescent="0.4">
      <c r="A10" s="56" t="s">
        <v>19</v>
      </c>
      <c r="B10" s="48">
        <v>6</v>
      </c>
      <c r="C10" s="40">
        <f t="shared" si="1"/>
        <v>0.13043478260869565</v>
      </c>
      <c r="E10" s="63" t="s">
        <v>66</v>
      </c>
      <c r="F10" s="60" t="s">
        <v>22</v>
      </c>
      <c r="G10" s="47">
        <v>10</v>
      </c>
      <c r="H10" s="133">
        <f>IF(B$17=0,0,G10/B$17)</f>
        <v>7.8125E-2</v>
      </c>
      <c r="I10" s="94">
        <v>9</v>
      </c>
      <c r="K10" s="38">
        <v>8</v>
      </c>
      <c r="L10" s="99">
        <v>-56.79999999999999</v>
      </c>
      <c r="N10" s="114" t="s">
        <v>163</v>
      </c>
      <c r="O10" s="124">
        <f>IF(P10=0,0,Q10/P10)</f>
        <v>7.1692307692307704</v>
      </c>
      <c r="P10" s="118">
        <v>13</v>
      </c>
      <c r="Q10" s="106">
        <v>93.200000000000017</v>
      </c>
    </row>
    <row r="11" spans="1:17" x14ac:dyDescent="0.4">
      <c r="A11" s="56" t="s">
        <v>139</v>
      </c>
      <c r="B11" s="48">
        <v>7</v>
      </c>
      <c r="C11" s="40">
        <f t="shared" si="1"/>
        <v>0.15217391304347827</v>
      </c>
      <c r="E11" s="63" t="s">
        <v>72</v>
      </c>
      <c r="F11" s="60" t="s">
        <v>27</v>
      </c>
      <c r="G11" s="47">
        <v>9</v>
      </c>
      <c r="H11" s="133">
        <f>IF(B$17=0,0,G11/B$17)</f>
        <v>7.03125E-2</v>
      </c>
      <c r="I11" s="94">
        <v>5</v>
      </c>
      <c r="K11" s="38">
        <v>9</v>
      </c>
      <c r="L11" s="99">
        <v>-83.699999999999989</v>
      </c>
      <c r="N11" s="115" t="s">
        <v>164</v>
      </c>
      <c r="O11" s="125">
        <f>IF(P11=0,0,Q11/P11)</f>
        <v>6.4230769230769234</v>
      </c>
      <c r="P11" s="119">
        <v>13</v>
      </c>
      <c r="Q11" s="107">
        <v>83.5</v>
      </c>
    </row>
    <row r="12" spans="1:17" x14ac:dyDescent="0.4">
      <c r="A12" s="57" t="s">
        <v>159</v>
      </c>
      <c r="B12" s="49">
        <v>9</v>
      </c>
      <c r="C12" s="42">
        <f t="shared" si="1"/>
        <v>0.19565217391304349</v>
      </c>
      <c r="E12" s="63" t="s">
        <v>87</v>
      </c>
      <c r="F12" s="60" t="s">
        <v>42</v>
      </c>
      <c r="G12" s="47">
        <v>8</v>
      </c>
      <c r="H12" s="133">
        <f>IF(B$17=0,0,G12/B$17)</f>
        <v>6.25E-2</v>
      </c>
      <c r="I12" s="94">
        <v>3</v>
      </c>
      <c r="K12" s="38">
        <v>10</v>
      </c>
      <c r="L12" s="99">
        <v>-78.399999999999991</v>
      </c>
      <c r="N12" s="116" t="s">
        <v>165</v>
      </c>
      <c r="O12" s="126">
        <f>IF(P12=0,0,Q12/P12)</f>
        <v>1.9349999999999994</v>
      </c>
      <c r="P12" s="120">
        <v>20</v>
      </c>
      <c r="Q12" s="108">
        <v>38.699999999999989</v>
      </c>
    </row>
    <row r="13" spans="1:17" x14ac:dyDescent="0.4">
      <c r="A13" s="58" t="s">
        <v>122</v>
      </c>
      <c r="B13" s="50">
        <v>94</v>
      </c>
      <c r="C13" s="44">
        <f>IF(B$3=0,0,B13/B$3)</f>
        <v>0.23325062034739455</v>
      </c>
      <c r="E13" s="63" t="s">
        <v>71</v>
      </c>
      <c r="F13" s="60" t="s">
        <v>26</v>
      </c>
      <c r="G13" s="47">
        <v>5</v>
      </c>
      <c r="H13" s="133">
        <f>IF(B$17=0,0,G13/B$17)</f>
        <v>3.90625E-2</v>
      </c>
      <c r="I13" s="94">
        <v>9</v>
      </c>
      <c r="K13" s="38">
        <v>11</v>
      </c>
      <c r="L13" s="99">
        <v>-68.099999999999994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132</v>
      </c>
      <c r="C14" s="39">
        <f>IF(B$3=0,0,B14/B$3)</f>
        <v>0.32754342431761785</v>
      </c>
      <c r="E14" s="63" t="s">
        <v>79</v>
      </c>
      <c r="F14" s="60" t="s">
        <v>34</v>
      </c>
      <c r="G14" s="47">
        <v>5</v>
      </c>
      <c r="H14" s="133">
        <f>IF(B$17=0,0,G14/B$17)</f>
        <v>3.90625E-2</v>
      </c>
      <c r="I14" s="94">
        <v>1</v>
      </c>
      <c r="K14" s="38">
        <v>12</v>
      </c>
      <c r="L14" s="99">
        <v>-89</v>
      </c>
      <c r="N14" s="113" t="s">
        <v>154</v>
      </c>
      <c r="O14" s="34" t="s">
        <v>121</v>
      </c>
      <c r="P14" s="117" t="s">
        <v>117</v>
      </c>
      <c r="Q14" s="105" t="s">
        <v>157</v>
      </c>
    </row>
    <row r="15" spans="1:17" x14ac:dyDescent="0.4">
      <c r="A15" s="54" t="s">
        <v>124</v>
      </c>
      <c r="B15" s="46">
        <v>52</v>
      </c>
      <c r="C15" s="37">
        <f>IF(B$13=0,0,B15/B$13)</f>
        <v>0.55319148936170215</v>
      </c>
      <c r="E15" s="63" t="s">
        <v>84</v>
      </c>
      <c r="F15" s="60" t="s">
        <v>39</v>
      </c>
      <c r="G15" s="47">
        <v>5</v>
      </c>
      <c r="H15" s="133">
        <f>IF(B$17=0,0,G15/B$17)</f>
        <v>3.90625E-2</v>
      </c>
      <c r="I15" s="94">
        <v>9</v>
      </c>
      <c r="K15" s="38">
        <v>13</v>
      </c>
      <c r="L15" s="99">
        <v>-86.8</v>
      </c>
      <c r="N15" s="114" t="s">
        <v>196</v>
      </c>
      <c r="O15" s="124">
        <f>IF(P15=0,0,Q15/P15)</f>
        <v>75.3</v>
      </c>
      <c r="P15" s="118">
        <v>2</v>
      </c>
      <c r="Q15" s="106">
        <v>150.6</v>
      </c>
    </row>
    <row r="16" spans="1:17" x14ac:dyDescent="0.4">
      <c r="A16" s="54" t="s">
        <v>125</v>
      </c>
      <c r="B16" s="46">
        <v>53</v>
      </c>
      <c r="C16" s="37">
        <f>IF(B$14=0,0,B16/B$14)</f>
        <v>0.40151515151515149</v>
      </c>
      <c r="E16" s="63" t="s">
        <v>92</v>
      </c>
      <c r="F16" s="60" t="s">
        <v>47</v>
      </c>
      <c r="G16" s="47">
        <v>5</v>
      </c>
      <c r="H16" s="133">
        <f>IF(B$17=0,0,G16/B$17)</f>
        <v>3.90625E-2</v>
      </c>
      <c r="I16" s="94">
        <v>1</v>
      </c>
      <c r="K16" s="38">
        <v>14</v>
      </c>
      <c r="L16" s="99">
        <v>-138.4</v>
      </c>
      <c r="N16" s="115" t="s">
        <v>183</v>
      </c>
      <c r="O16" s="125">
        <f>IF(P16=0,0,Q16/P16)</f>
        <v>49.339999999999989</v>
      </c>
      <c r="P16" s="119">
        <v>5</v>
      </c>
      <c r="Q16" s="107">
        <v>246.69999999999996</v>
      </c>
    </row>
    <row r="17" spans="1:17" x14ac:dyDescent="0.4">
      <c r="A17" s="54" t="s">
        <v>10</v>
      </c>
      <c r="B17" s="46">
        <f>B19+B18</f>
        <v>128</v>
      </c>
      <c r="C17" s="37">
        <f>IF(B$3=0,0,B17/B$3)</f>
        <v>0.31761786600496278</v>
      </c>
      <c r="E17" s="63" t="s">
        <v>80</v>
      </c>
      <c r="F17" s="60" t="s">
        <v>35</v>
      </c>
      <c r="G17" s="47">
        <v>4</v>
      </c>
      <c r="H17" s="133">
        <f>IF(B$17=0,0,G17/B$17)</f>
        <v>3.125E-2</v>
      </c>
      <c r="I17" s="94">
        <v>3</v>
      </c>
      <c r="K17" s="38">
        <v>15</v>
      </c>
      <c r="L17" s="99">
        <v>-144.30000000000001</v>
      </c>
      <c r="N17" s="115" t="s">
        <v>179</v>
      </c>
      <c r="O17" s="125">
        <f>IF(P17=0,0,Q17/P17)</f>
        <v>27.13333333333334</v>
      </c>
      <c r="P17" s="119">
        <v>12</v>
      </c>
      <c r="Q17" s="107">
        <v>325.60000000000008</v>
      </c>
    </row>
    <row r="18" spans="1:17" x14ac:dyDescent="0.4">
      <c r="A18" s="55" t="s">
        <v>12</v>
      </c>
      <c r="B18" s="47">
        <v>48</v>
      </c>
      <c r="C18" s="39">
        <f>IF(B$17=0,0,B18/B$17)</f>
        <v>0.375</v>
      </c>
      <c r="E18" s="63" t="s">
        <v>75</v>
      </c>
      <c r="F18" s="60" t="s">
        <v>30</v>
      </c>
      <c r="G18" s="47">
        <v>1</v>
      </c>
      <c r="H18" s="133">
        <f>IF(B$17=0,0,G18/B$17)</f>
        <v>7.8125E-3</v>
      </c>
      <c r="I18" s="94">
        <v>2</v>
      </c>
      <c r="K18" s="38">
        <v>16</v>
      </c>
      <c r="L18" s="99">
        <v>-187.3</v>
      </c>
      <c r="N18" s="115" t="s">
        <v>178</v>
      </c>
      <c r="O18" s="125">
        <f>IF(P18=0,0,Q18/P18)</f>
        <v>24.775000000000002</v>
      </c>
      <c r="P18" s="119">
        <v>12</v>
      </c>
      <c r="Q18" s="107">
        <v>297.3</v>
      </c>
    </row>
    <row r="19" spans="1:17" x14ac:dyDescent="0.4">
      <c r="A19" s="55" t="s">
        <v>11</v>
      </c>
      <c r="B19" s="47">
        <v>80</v>
      </c>
      <c r="C19" s="39">
        <f>IF(B$17=0,0,B19/B$17)</f>
        <v>0.625</v>
      </c>
      <c r="E19" s="63" t="s">
        <v>82</v>
      </c>
      <c r="F19" s="60" t="s">
        <v>37</v>
      </c>
      <c r="G19" s="47">
        <v>1</v>
      </c>
      <c r="H19" s="133">
        <f>IF(B$17=0,0,G19/B$17)</f>
        <v>7.8125E-3</v>
      </c>
      <c r="I19" s="94">
        <v>7</v>
      </c>
      <c r="K19" s="38">
        <v>17</v>
      </c>
      <c r="L19" s="99">
        <v>-179.70000000000002</v>
      </c>
      <c r="N19" s="115" t="s">
        <v>180</v>
      </c>
      <c r="O19" s="125">
        <f>IF(P19=0,0,Q19/P19)</f>
        <v>4.8249999999999993</v>
      </c>
      <c r="P19" s="119">
        <v>16</v>
      </c>
      <c r="Q19" s="107">
        <v>77.199999999999989</v>
      </c>
    </row>
    <row r="20" spans="1:17" x14ac:dyDescent="0.4">
      <c r="A20" s="55" t="s">
        <v>13</v>
      </c>
      <c r="B20" s="47">
        <v>81</v>
      </c>
      <c r="C20" s="39">
        <f>IF(B$3=0,0,B20/B$3)</f>
        <v>0.20099255583126552</v>
      </c>
      <c r="E20" s="63" t="s">
        <v>168</v>
      </c>
      <c r="F20" s="60" t="s">
        <v>169</v>
      </c>
      <c r="G20" s="47">
        <v>1</v>
      </c>
      <c r="H20" s="133">
        <f>IF(B$17=0,0,G20/B$17)</f>
        <v>7.8125E-3</v>
      </c>
      <c r="I20" s="94">
        <v>5</v>
      </c>
      <c r="K20" s="38">
        <v>18</v>
      </c>
      <c r="L20" s="99">
        <v>-112.90000000000002</v>
      </c>
      <c r="N20" s="115" t="s">
        <v>167</v>
      </c>
      <c r="O20" s="125">
        <f>IF(P20=0,0,Q20/P20)</f>
        <v>-1.7100000000000009</v>
      </c>
      <c r="P20" s="119">
        <v>10</v>
      </c>
      <c r="Q20" s="107">
        <v>-17.100000000000009</v>
      </c>
    </row>
    <row r="21" spans="1:17" x14ac:dyDescent="0.4">
      <c r="A21" s="55" t="s">
        <v>170</v>
      </c>
      <c r="B21" s="47">
        <v>7</v>
      </c>
      <c r="C21" s="135">
        <v>0</v>
      </c>
      <c r="E21" s="63" t="s">
        <v>74</v>
      </c>
      <c r="F21" s="60" t="s">
        <v>29</v>
      </c>
      <c r="G21" s="47">
        <v>0</v>
      </c>
      <c r="H21" s="133">
        <f>IF(B$17=0,0,G21/B$17)</f>
        <v>0</v>
      </c>
      <c r="I21" s="94">
        <v>1</v>
      </c>
      <c r="K21" s="38">
        <v>19</v>
      </c>
      <c r="L21" s="99">
        <v>-162.40000000000003</v>
      </c>
      <c r="N21" s="115" t="s">
        <v>127</v>
      </c>
      <c r="O21" s="125">
        <f>IF(P21=0,0,Q21/P21)</f>
        <v>-12.102941176470585</v>
      </c>
      <c r="P21" s="119">
        <v>34</v>
      </c>
      <c r="Q21" s="107">
        <v>-411.49999999999989</v>
      </c>
    </row>
    <row r="22" spans="1:17" x14ac:dyDescent="0.4">
      <c r="A22" s="55" t="s">
        <v>171</v>
      </c>
      <c r="B22" s="47">
        <v>23</v>
      </c>
      <c r="C22" s="135">
        <v>0</v>
      </c>
      <c r="E22" s="63" t="s">
        <v>76</v>
      </c>
      <c r="F22" s="60" t="s">
        <v>31</v>
      </c>
      <c r="G22" s="47">
        <v>0</v>
      </c>
      <c r="H22" s="133">
        <f>IF(B$17=0,0,G22/B$17)</f>
        <v>0</v>
      </c>
      <c r="I22" s="94">
        <v>5</v>
      </c>
      <c r="K22" s="38">
        <v>20</v>
      </c>
      <c r="L22" s="99">
        <v>-96.000000000000028</v>
      </c>
      <c r="N22" s="115" t="s">
        <v>182</v>
      </c>
      <c r="O22" s="125">
        <f>IF(P22=0,0,Q22/P22)</f>
        <v>-22.6</v>
      </c>
      <c r="P22" s="119">
        <v>1</v>
      </c>
      <c r="Q22" s="107">
        <v>-22.6</v>
      </c>
    </row>
    <row r="23" spans="1:17" x14ac:dyDescent="0.4">
      <c r="A23" s="55" t="s">
        <v>5</v>
      </c>
      <c r="B23" s="51">
        <f>IF(B$17=0,0,C23/B$17)</f>
        <v>8727.34375</v>
      </c>
      <c r="C23" s="41">
        <v>1117100</v>
      </c>
      <c r="E23" s="63" t="s">
        <v>77</v>
      </c>
      <c r="F23" s="60" t="s">
        <v>32</v>
      </c>
      <c r="G23" s="47">
        <v>0</v>
      </c>
      <c r="H23" s="133">
        <f>IF(B$17=0,0,G23/B$17)</f>
        <v>0</v>
      </c>
      <c r="I23" s="94">
        <v>1</v>
      </c>
      <c r="K23" s="38">
        <v>21</v>
      </c>
      <c r="L23" s="99">
        <v>-67.200000000000031</v>
      </c>
    </row>
    <row r="24" spans="1:17" x14ac:dyDescent="0.4">
      <c r="A24" s="57" t="s">
        <v>14</v>
      </c>
      <c r="B24" s="52">
        <f>IF(B$20=0,0,C24/B$20)</f>
        <v>-7396.2962962962965</v>
      </c>
      <c r="C24" s="45">
        <v>-599100</v>
      </c>
      <c r="E24" s="63" t="s">
        <v>78</v>
      </c>
      <c r="F24" s="60" t="s">
        <v>33</v>
      </c>
      <c r="G24" s="47">
        <v>0</v>
      </c>
      <c r="H24" s="133">
        <f>IF(B$17=0,0,G24/B$17)</f>
        <v>0</v>
      </c>
      <c r="I24" s="94">
        <v>4</v>
      </c>
      <c r="K24" s="38">
        <v>22</v>
      </c>
      <c r="L24" s="99">
        <v>-38.400000000000034</v>
      </c>
    </row>
    <row r="25" spans="1:17" x14ac:dyDescent="0.4">
      <c r="A25" s="90" t="s">
        <v>141</v>
      </c>
      <c r="B25" s="144">
        <v>8</v>
      </c>
      <c r="C25" s="145"/>
      <c r="E25" s="63" t="s">
        <v>81</v>
      </c>
      <c r="F25" s="60" t="s">
        <v>36</v>
      </c>
      <c r="G25" s="47">
        <v>0</v>
      </c>
      <c r="H25" s="133">
        <f>IF(B$17=0,0,G25/B$17)</f>
        <v>0</v>
      </c>
      <c r="I25" s="94">
        <v>1</v>
      </c>
      <c r="K25" s="38">
        <v>23</v>
      </c>
      <c r="L25" s="99">
        <v>-37.600000000000037</v>
      </c>
    </row>
    <row r="26" spans="1:17" x14ac:dyDescent="0.4">
      <c r="A26" s="58" t="s">
        <v>151</v>
      </c>
      <c r="B26" s="142">
        <v>91800</v>
      </c>
      <c r="C26" s="143"/>
      <c r="E26" s="63" t="s">
        <v>83</v>
      </c>
      <c r="F26" s="60" t="s">
        <v>38</v>
      </c>
      <c r="G26" s="47">
        <v>0</v>
      </c>
      <c r="H26" s="133">
        <f>IF(B$17=0,0,G26/B$17)</f>
        <v>0</v>
      </c>
      <c r="I26" s="94">
        <v>1</v>
      </c>
      <c r="K26" s="38">
        <v>24</v>
      </c>
      <c r="L26" s="99">
        <v>-37.600000000000037</v>
      </c>
    </row>
    <row r="27" spans="1:17" x14ac:dyDescent="0.4">
      <c r="A27" s="57" t="s">
        <v>142</v>
      </c>
      <c r="B27" s="65">
        <v>1</v>
      </c>
      <c r="C27" s="42">
        <f>IF(B$3=0,0,B27/B$3)</f>
        <v>2.4813895781637717E-3</v>
      </c>
      <c r="E27" s="63" t="s">
        <v>85</v>
      </c>
      <c r="F27" s="60" t="s">
        <v>40</v>
      </c>
      <c r="G27" s="47">
        <v>0</v>
      </c>
      <c r="H27" s="133">
        <f>IF(B$17=0,0,G27/B$17)</f>
        <v>0</v>
      </c>
      <c r="I27" s="94">
        <v>3</v>
      </c>
      <c r="K27" s="38">
        <v>25</v>
      </c>
      <c r="L27" s="99">
        <v>-10.700000000000038</v>
      </c>
    </row>
    <row r="28" spans="1:17" x14ac:dyDescent="0.4">
      <c r="E28" s="63" t="s">
        <v>86</v>
      </c>
      <c r="F28" s="60" t="s">
        <v>41</v>
      </c>
      <c r="G28" s="47">
        <v>0</v>
      </c>
      <c r="H28" s="133">
        <f>IF(B$17=0,0,G28/B$17)</f>
        <v>0</v>
      </c>
      <c r="I28" s="94">
        <v>5</v>
      </c>
      <c r="K28" s="38">
        <v>26</v>
      </c>
      <c r="L28" s="99">
        <v>-2.6000000000000387</v>
      </c>
    </row>
    <row r="29" spans="1:17" x14ac:dyDescent="0.4">
      <c r="E29" s="63" t="s">
        <v>88</v>
      </c>
      <c r="F29" s="60" t="s">
        <v>43</v>
      </c>
      <c r="G29" s="47">
        <v>0</v>
      </c>
      <c r="H29" s="133">
        <f>IF(B$17=0,0,G29/B$17)</f>
        <v>0</v>
      </c>
      <c r="I29" s="94">
        <v>3</v>
      </c>
      <c r="K29" s="38">
        <v>27</v>
      </c>
      <c r="L29" s="99">
        <v>-34.100000000000037</v>
      </c>
    </row>
    <row r="30" spans="1:17" x14ac:dyDescent="0.4">
      <c r="E30" s="63" t="s">
        <v>89</v>
      </c>
      <c r="F30" s="60" t="s">
        <v>44</v>
      </c>
      <c r="G30" s="47">
        <v>0</v>
      </c>
      <c r="H30" s="133">
        <f>IF(B$17=0,0,G30/B$17)</f>
        <v>0</v>
      </c>
      <c r="I30" s="94">
        <v>4</v>
      </c>
      <c r="K30" s="38">
        <v>28</v>
      </c>
      <c r="L30" s="99">
        <v>-16.100000000000037</v>
      </c>
    </row>
    <row r="31" spans="1:17" x14ac:dyDescent="0.4">
      <c r="E31" s="63" t="s">
        <v>91</v>
      </c>
      <c r="F31" s="60" t="s">
        <v>46</v>
      </c>
      <c r="G31" s="47">
        <v>0</v>
      </c>
      <c r="H31" s="133">
        <f>IF(B$17=0,0,G31/B$17)</f>
        <v>0</v>
      </c>
      <c r="I31" s="94">
        <v>3</v>
      </c>
      <c r="K31" s="38">
        <v>29</v>
      </c>
      <c r="L31" s="99">
        <v>40.799999999999962</v>
      </c>
    </row>
    <row r="32" spans="1:17" x14ac:dyDescent="0.4">
      <c r="E32" s="63" t="s">
        <v>93</v>
      </c>
      <c r="F32" s="60" t="s">
        <v>48</v>
      </c>
      <c r="G32" s="47">
        <v>0</v>
      </c>
      <c r="H32" s="133">
        <f>IF(B$17=0,0,G32/B$17)</f>
        <v>0</v>
      </c>
      <c r="I32" s="94">
        <v>4</v>
      </c>
      <c r="K32" s="38">
        <v>30</v>
      </c>
      <c r="L32" s="99">
        <v>63.499999999999957</v>
      </c>
    </row>
    <row r="33" spans="5:12" x14ac:dyDescent="0.4">
      <c r="E33" s="63" t="s">
        <v>94</v>
      </c>
      <c r="F33" s="60" t="s">
        <v>49</v>
      </c>
      <c r="G33" s="47">
        <v>0</v>
      </c>
      <c r="H33" s="133">
        <f>IF(B$17=0,0,G33/B$17)</f>
        <v>0</v>
      </c>
      <c r="I33" s="94">
        <v>1</v>
      </c>
      <c r="K33" s="38">
        <v>31</v>
      </c>
      <c r="L33" s="99">
        <v>94.299999999999955</v>
      </c>
    </row>
    <row r="34" spans="5:12" x14ac:dyDescent="0.4">
      <c r="E34" s="63" t="s">
        <v>95</v>
      </c>
      <c r="F34" s="60" t="s">
        <v>50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144.79999999999995</v>
      </c>
    </row>
    <row r="35" spans="5:12" x14ac:dyDescent="0.4">
      <c r="E35" s="63" t="s">
        <v>96</v>
      </c>
      <c r="F35" s="60" t="s">
        <v>51</v>
      </c>
      <c r="G35" s="47">
        <v>0</v>
      </c>
      <c r="H35" s="133">
        <f>IF(B$17=0,0,G35/B$17)</f>
        <v>0</v>
      </c>
      <c r="I35" s="94">
        <v>3</v>
      </c>
      <c r="K35" s="38">
        <v>33</v>
      </c>
      <c r="L35" s="99">
        <v>153.39999999999995</v>
      </c>
    </row>
    <row r="36" spans="5:12" x14ac:dyDescent="0.4">
      <c r="E36" s="63" t="s">
        <v>97</v>
      </c>
      <c r="F36" s="60" t="s">
        <v>52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178.09999999999994</v>
      </c>
    </row>
    <row r="37" spans="5:12" x14ac:dyDescent="0.4">
      <c r="E37" s="63" t="s">
        <v>98</v>
      </c>
      <c r="F37" s="60" t="s">
        <v>53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171.89999999999995</v>
      </c>
    </row>
    <row r="38" spans="5:12" x14ac:dyDescent="0.4">
      <c r="E38" s="63" t="s">
        <v>99</v>
      </c>
      <c r="F38" s="60" t="s">
        <v>54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164.59999999999994</v>
      </c>
    </row>
    <row r="39" spans="5:12" x14ac:dyDescent="0.4">
      <c r="E39" s="63" t="s">
        <v>100</v>
      </c>
      <c r="F39" s="60" t="s">
        <v>55</v>
      </c>
      <c r="G39" s="47">
        <v>0</v>
      </c>
      <c r="H39" s="133">
        <f>IF(B$17=0,0,G39/B$17)</f>
        <v>0</v>
      </c>
      <c r="I39" s="94">
        <v>1</v>
      </c>
      <c r="K39" s="38">
        <v>37</v>
      </c>
      <c r="L39" s="99">
        <v>156.59999999999994</v>
      </c>
    </row>
    <row r="40" spans="5:12" x14ac:dyDescent="0.4">
      <c r="E40" s="63" t="s">
        <v>101</v>
      </c>
      <c r="F40" s="60" t="s">
        <v>56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110.89999999999993</v>
      </c>
    </row>
    <row r="41" spans="5:12" x14ac:dyDescent="0.4">
      <c r="E41" s="63" t="s">
        <v>102</v>
      </c>
      <c r="F41" s="60" t="s">
        <v>57</v>
      </c>
      <c r="G41" s="47">
        <v>0</v>
      </c>
      <c r="H41" s="133">
        <f>IF(B$17=0,0,G41/B$17)</f>
        <v>0</v>
      </c>
      <c r="I41" s="94">
        <v>3</v>
      </c>
      <c r="K41" s="38">
        <v>39</v>
      </c>
      <c r="L41" s="99">
        <v>158.79999999999993</v>
      </c>
    </row>
    <row r="42" spans="5:12" x14ac:dyDescent="0.4">
      <c r="E42" s="63" t="s">
        <v>103</v>
      </c>
      <c r="F42" s="60" t="s">
        <v>58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109.59999999999992</v>
      </c>
    </row>
    <row r="43" spans="5:12" x14ac:dyDescent="0.4">
      <c r="E43" s="63" t="s">
        <v>104</v>
      </c>
      <c r="F43" s="60" t="s">
        <v>59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131.59999999999991</v>
      </c>
    </row>
    <row r="44" spans="5:12" x14ac:dyDescent="0.4">
      <c r="E44" s="63" t="s">
        <v>105</v>
      </c>
      <c r="F44" s="60" t="s">
        <v>60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183.6999999999999</v>
      </c>
    </row>
    <row r="45" spans="5:12" x14ac:dyDescent="0.4">
      <c r="E45" s="63" t="s">
        <v>106</v>
      </c>
      <c r="F45" s="60" t="s">
        <v>113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211.89999999999989</v>
      </c>
    </row>
    <row r="46" spans="5:12" x14ac:dyDescent="0.4">
      <c r="E46" s="63" t="s">
        <v>107</v>
      </c>
      <c r="F46" s="60" t="s">
        <v>114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232.7999999999999</v>
      </c>
    </row>
    <row r="47" spans="5:12" x14ac:dyDescent="0.4">
      <c r="E47" s="63" t="s">
        <v>108</v>
      </c>
      <c r="F47" s="60" t="s">
        <v>115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214.39999999999989</v>
      </c>
    </row>
    <row r="48" spans="5:12" x14ac:dyDescent="0.4">
      <c r="E48" s="63" t="s">
        <v>109</v>
      </c>
      <c r="F48" s="60" t="s">
        <v>61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215.39999999999989</v>
      </c>
    </row>
    <row r="49" spans="5:9" x14ac:dyDescent="0.4">
      <c r="E49" s="63" t="s">
        <v>110</v>
      </c>
      <c r="F49" s="60" t="s">
        <v>62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111</v>
      </c>
      <c r="F50" s="60" t="s">
        <v>63</v>
      </c>
      <c r="G50" s="47">
        <v>0</v>
      </c>
      <c r="H50" s="133">
        <f>IF(B$17=0,0,G50/B$17)</f>
        <v>0</v>
      </c>
      <c r="I50" s="94">
        <v>1</v>
      </c>
    </row>
    <row r="51" spans="5:9" x14ac:dyDescent="0.4">
      <c r="E51" s="136" t="s">
        <v>112</v>
      </c>
      <c r="F51" s="137" t="s">
        <v>64</v>
      </c>
      <c r="G51" s="48">
        <v>0</v>
      </c>
      <c r="H51" s="138">
        <f>IF(B$17=0,0,G51/B$17)</f>
        <v>0</v>
      </c>
      <c r="I51" s="139">
        <v>1</v>
      </c>
    </row>
    <row r="52" spans="5:9" x14ac:dyDescent="0.4">
      <c r="E52" s="64" t="s">
        <v>174</v>
      </c>
      <c r="F52" s="61" t="s">
        <v>175</v>
      </c>
      <c r="G52" s="49">
        <v>0</v>
      </c>
      <c r="H52" s="134">
        <f>IF(B$17=0,0,G52/B$17)</f>
        <v>0</v>
      </c>
      <c r="I52" s="95">
        <v>1</v>
      </c>
    </row>
  </sheetData>
  <sortState xmlns:xlrd2="http://schemas.microsoft.com/office/spreadsheetml/2017/richdata2" ref="N15:Q22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63CCEF-402D-41F3-91C1-9DA777A72EE1}">
  <sheetPr codeName="Sheet13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180</v>
      </c>
      <c r="C1" s="149"/>
      <c r="E1" s="129" t="s">
        <v>166</v>
      </c>
      <c r="F1" s="141" t="s">
        <v>116</v>
      </c>
      <c r="G1" s="140" t="s">
        <v>117</v>
      </c>
      <c r="H1" s="130" t="s">
        <v>118</v>
      </c>
      <c r="I1" s="141" t="s">
        <v>153</v>
      </c>
      <c r="K1" s="34" t="s">
        <v>20</v>
      </c>
      <c r="L1" s="35" t="s">
        <v>121</v>
      </c>
      <c r="M1" s="131"/>
      <c r="N1" s="113" t="s">
        <v>137</v>
      </c>
      <c r="O1" s="34" t="s">
        <v>138</v>
      </c>
      <c r="P1" s="117" t="s">
        <v>117</v>
      </c>
      <c r="Q1" s="101" t="s">
        <v>157</v>
      </c>
    </row>
    <row r="2" spans="1:17" x14ac:dyDescent="0.4">
      <c r="A2" s="54" t="s">
        <v>9</v>
      </c>
      <c r="B2" s="150">
        <v>28</v>
      </c>
      <c r="C2" s="151"/>
      <c r="E2" s="62" t="s">
        <v>67</v>
      </c>
      <c r="F2" s="59" t="s">
        <v>23</v>
      </c>
      <c r="G2" s="46">
        <v>47</v>
      </c>
      <c r="H2" s="132">
        <f>IF(B$17=0,0,G2/B$17)</f>
        <v>0.6811594202898551</v>
      </c>
      <c r="I2" s="93">
        <v>8</v>
      </c>
      <c r="K2" s="36">
        <v>0</v>
      </c>
      <c r="L2" s="98">
        <v>0</v>
      </c>
      <c r="N2" s="114" t="s">
        <v>131</v>
      </c>
      <c r="O2" s="121">
        <f t="shared" ref="O2:O7" si="0">IF(P2=0,0,Q2/P2)</f>
        <v>1000</v>
      </c>
      <c r="P2" s="118">
        <v>27</v>
      </c>
      <c r="Q2" s="102">
        <v>27000</v>
      </c>
    </row>
    <row r="3" spans="1:17" x14ac:dyDescent="0.4">
      <c r="A3" s="55" t="s">
        <v>8</v>
      </c>
      <c r="B3" s="152">
        <v>241</v>
      </c>
      <c r="C3" s="153"/>
      <c r="E3" s="63" t="s">
        <v>65</v>
      </c>
      <c r="F3" s="60" t="s">
        <v>21</v>
      </c>
      <c r="G3" s="47">
        <v>39</v>
      </c>
      <c r="H3" s="133">
        <f>IF(B$17=0,0,G3/B$17)</f>
        <v>0.56521739130434778</v>
      </c>
      <c r="I3" s="94">
        <v>3</v>
      </c>
      <c r="K3" s="38">
        <v>1</v>
      </c>
      <c r="L3" s="99">
        <v>-37.799999999999997</v>
      </c>
      <c r="N3" s="115" t="s">
        <v>132</v>
      </c>
      <c r="O3" s="122">
        <f t="shared" si="0"/>
        <v>-1333.3333333333333</v>
      </c>
      <c r="P3" s="119">
        <v>27</v>
      </c>
      <c r="Q3" s="103">
        <v>-36000</v>
      </c>
    </row>
    <row r="4" spans="1:17" x14ac:dyDescent="0.4">
      <c r="A4" s="55" t="s">
        <v>6</v>
      </c>
      <c r="B4" s="154">
        <v>-181.70000000000002</v>
      </c>
      <c r="C4" s="155"/>
      <c r="E4" s="63" t="s">
        <v>73</v>
      </c>
      <c r="F4" s="60" t="s">
        <v>28</v>
      </c>
      <c r="G4" s="47">
        <v>39</v>
      </c>
      <c r="H4" s="133">
        <f>IF(B$17=0,0,G4/B$17)</f>
        <v>0.56521739130434778</v>
      </c>
      <c r="I4" s="94">
        <v>5</v>
      </c>
      <c r="K4" s="38">
        <v>2</v>
      </c>
      <c r="L4" s="99">
        <v>-30.099999999999998</v>
      </c>
      <c r="N4" s="115" t="s">
        <v>133</v>
      </c>
      <c r="O4" s="122">
        <f t="shared" si="0"/>
        <v>1900</v>
      </c>
      <c r="P4" s="119">
        <v>27</v>
      </c>
      <c r="Q4" s="103">
        <v>51300</v>
      </c>
    </row>
    <row r="5" spans="1:17" x14ac:dyDescent="0.4">
      <c r="A5" s="55" t="s">
        <v>7</v>
      </c>
      <c r="B5" s="156">
        <f>IF(B$2=0,0,B$4/B$2)</f>
        <v>-6.4892857142857148</v>
      </c>
      <c r="C5" s="157"/>
      <c r="E5" s="63" t="s">
        <v>172</v>
      </c>
      <c r="F5" s="60" t="s">
        <v>173</v>
      </c>
      <c r="G5" s="47">
        <v>23</v>
      </c>
      <c r="H5" s="133">
        <f>IF(B$17=0,0,G5/B$17)</f>
        <v>0.33333333333333331</v>
      </c>
      <c r="I5" s="94">
        <v>5</v>
      </c>
      <c r="K5" s="38">
        <v>3</v>
      </c>
      <c r="L5" s="99">
        <v>-17.599999999999998</v>
      </c>
      <c r="N5" s="115" t="s">
        <v>134</v>
      </c>
      <c r="O5" s="122">
        <f t="shared" si="0"/>
        <v>-1744</v>
      </c>
      <c r="P5" s="119">
        <v>25</v>
      </c>
      <c r="Q5" s="103">
        <v>-43600</v>
      </c>
    </row>
    <row r="6" spans="1:17" x14ac:dyDescent="0.4">
      <c r="A6" s="55" t="s">
        <v>1</v>
      </c>
      <c r="B6" s="146">
        <f>IF(B$2=0,0,(B$7*1+B$8*2+B$9*3)/B$2)</f>
        <v>2.2142857142857144</v>
      </c>
      <c r="C6" s="147"/>
      <c r="E6" s="63" t="s">
        <v>69</v>
      </c>
      <c r="F6" s="60" t="s">
        <v>12</v>
      </c>
      <c r="G6" s="47">
        <v>17</v>
      </c>
      <c r="H6" s="133">
        <f>IF(B$17=0,0,G6/B$17)</f>
        <v>0.24637681159420291</v>
      </c>
      <c r="I6" s="94">
        <v>9</v>
      </c>
      <c r="K6" s="38">
        <v>4</v>
      </c>
      <c r="L6" s="99">
        <v>-54.899999999999991</v>
      </c>
      <c r="N6" s="115" t="s">
        <v>135</v>
      </c>
      <c r="O6" s="122">
        <f t="shared" si="0"/>
        <v>-4354.166666666667</v>
      </c>
      <c r="P6" s="119">
        <v>24</v>
      </c>
      <c r="Q6" s="103">
        <v>-104500</v>
      </c>
    </row>
    <row r="7" spans="1:17" x14ac:dyDescent="0.4">
      <c r="A7" s="55" t="s">
        <v>2</v>
      </c>
      <c r="B7" s="47">
        <v>5</v>
      </c>
      <c r="C7" s="39">
        <f t="shared" ref="C7:C12" si="1">IF(B$2=0,0,B7/B$2)</f>
        <v>0.17857142857142858</v>
      </c>
      <c r="E7" s="63" t="s">
        <v>68</v>
      </c>
      <c r="F7" s="60" t="s">
        <v>24</v>
      </c>
      <c r="G7" s="47">
        <v>14</v>
      </c>
      <c r="H7" s="133">
        <f>IF(B$17=0,0,G7/B$17)</f>
        <v>0.20289855072463769</v>
      </c>
      <c r="I7" s="94">
        <v>9</v>
      </c>
      <c r="K7" s="38">
        <v>5</v>
      </c>
      <c r="L7" s="99">
        <v>-33.699999999999989</v>
      </c>
      <c r="N7" s="116" t="s">
        <v>136</v>
      </c>
      <c r="O7" s="123">
        <f t="shared" si="0"/>
        <v>-2050</v>
      </c>
      <c r="P7" s="120">
        <v>22</v>
      </c>
      <c r="Q7" s="104">
        <v>-45100</v>
      </c>
    </row>
    <row r="8" spans="1:17" x14ac:dyDescent="0.4">
      <c r="A8" s="55" t="s">
        <v>3</v>
      </c>
      <c r="B8" s="47">
        <v>12</v>
      </c>
      <c r="C8" s="39">
        <f t="shared" si="1"/>
        <v>0.42857142857142855</v>
      </c>
      <c r="E8" s="63" t="s">
        <v>70</v>
      </c>
      <c r="F8" s="60" t="s">
        <v>25</v>
      </c>
      <c r="G8" s="47">
        <v>11</v>
      </c>
      <c r="H8" s="133">
        <f>IF(B$17=0,0,G8/B$17)</f>
        <v>0.15942028985507245</v>
      </c>
      <c r="I8" s="94">
        <v>3</v>
      </c>
      <c r="K8" s="38">
        <v>6</v>
      </c>
      <c r="L8" s="99">
        <v>-57.399999999999991</v>
      </c>
      <c r="N8" s="43"/>
      <c r="O8" s="127"/>
      <c r="P8" s="111"/>
      <c r="Q8" s="109"/>
    </row>
    <row r="9" spans="1:17" x14ac:dyDescent="0.4">
      <c r="A9" s="56" t="s">
        <v>4</v>
      </c>
      <c r="B9" s="48">
        <v>11</v>
      </c>
      <c r="C9" s="40">
        <f t="shared" si="1"/>
        <v>0.39285714285714285</v>
      </c>
      <c r="E9" s="63" t="s">
        <v>71</v>
      </c>
      <c r="F9" s="60" t="s">
        <v>26</v>
      </c>
      <c r="G9" s="47">
        <v>8</v>
      </c>
      <c r="H9" s="133">
        <f>IF(B$17=0,0,G9/B$17)</f>
        <v>0.11594202898550725</v>
      </c>
      <c r="I9" s="94">
        <v>3</v>
      </c>
      <c r="K9" s="38">
        <v>7</v>
      </c>
      <c r="L9" s="99">
        <v>-39.499999999999993</v>
      </c>
      <c r="N9" s="113" t="s">
        <v>162</v>
      </c>
      <c r="O9" s="34" t="s">
        <v>121</v>
      </c>
      <c r="P9" s="117" t="s">
        <v>117</v>
      </c>
      <c r="Q9" s="105" t="s">
        <v>157</v>
      </c>
    </row>
    <row r="10" spans="1:17" x14ac:dyDescent="0.4">
      <c r="A10" s="56" t="s">
        <v>19</v>
      </c>
      <c r="B10" s="48">
        <v>2</v>
      </c>
      <c r="C10" s="40">
        <f t="shared" si="1"/>
        <v>7.1428571428571425E-2</v>
      </c>
      <c r="E10" s="63" t="s">
        <v>66</v>
      </c>
      <c r="F10" s="60" t="s">
        <v>22</v>
      </c>
      <c r="G10" s="47">
        <v>7</v>
      </c>
      <c r="H10" s="133">
        <f>IF(B$17=0,0,G10/B$17)</f>
        <v>0.10144927536231885</v>
      </c>
      <c r="I10" s="94">
        <v>4</v>
      </c>
      <c r="K10" s="38">
        <v>8</v>
      </c>
      <c r="L10" s="99">
        <v>-62.999999999999993</v>
      </c>
      <c r="N10" s="114" t="s">
        <v>163</v>
      </c>
      <c r="O10" s="124">
        <f>IF(P10=0,0,Q10/P10)</f>
        <v>2.899999999999999</v>
      </c>
      <c r="P10" s="118">
        <v>13</v>
      </c>
      <c r="Q10" s="106">
        <v>37.699999999999989</v>
      </c>
    </row>
    <row r="11" spans="1:17" x14ac:dyDescent="0.4">
      <c r="A11" s="56" t="s">
        <v>139</v>
      </c>
      <c r="B11" s="48">
        <v>2</v>
      </c>
      <c r="C11" s="40">
        <f t="shared" si="1"/>
        <v>7.1428571428571425E-2</v>
      </c>
      <c r="E11" s="63" t="s">
        <v>84</v>
      </c>
      <c r="F11" s="60" t="s">
        <v>39</v>
      </c>
      <c r="G11" s="47">
        <v>7</v>
      </c>
      <c r="H11" s="133">
        <f>IF(B$17=0,0,G11/B$17)</f>
        <v>0.10144927536231885</v>
      </c>
      <c r="I11" s="94">
        <v>2</v>
      </c>
      <c r="K11" s="38">
        <v>9</v>
      </c>
      <c r="L11" s="99">
        <v>-74.199999999999989</v>
      </c>
      <c r="N11" s="115" t="s">
        <v>164</v>
      </c>
      <c r="O11" s="125">
        <f>IF(P11=0,0,Q11/P11)</f>
        <v>-12.7</v>
      </c>
      <c r="P11" s="119">
        <v>8</v>
      </c>
      <c r="Q11" s="107">
        <v>-101.6</v>
      </c>
    </row>
    <row r="12" spans="1:17" x14ac:dyDescent="0.4">
      <c r="A12" s="57" t="s">
        <v>159</v>
      </c>
      <c r="B12" s="49">
        <v>1</v>
      </c>
      <c r="C12" s="42">
        <f t="shared" si="1"/>
        <v>3.5714285714285712E-2</v>
      </c>
      <c r="E12" s="63" t="s">
        <v>90</v>
      </c>
      <c r="F12" s="60" t="s">
        <v>45</v>
      </c>
      <c r="G12" s="47">
        <v>7</v>
      </c>
      <c r="H12" s="133">
        <f>IF(B$17=0,0,G12/B$17)</f>
        <v>0.10144927536231885</v>
      </c>
      <c r="I12" s="94">
        <v>6</v>
      </c>
      <c r="K12" s="38">
        <v>10</v>
      </c>
      <c r="L12" s="99">
        <v>-117.19999999999999</v>
      </c>
      <c r="N12" s="116" t="s">
        <v>165</v>
      </c>
      <c r="O12" s="126">
        <f>IF(P12=0,0,Q12/P12)</f>
        <v>-16.828571428571426</v>
      </c>
      <c r="P12" s="120">
        <v>7</v>
      </c>
      <c r="Q12" s="108">
        <v>-117.79999999999998</v>
      </c>
    </row>
    <row r="13" spans="1:17" x14ac:dyDescent="0.4">
      <c r="A13" s="58" t="s">
        <v>122</v>
      </c>
      <c r="B13" s="50">
        <v>67</v>
      </c>
      <c r="C13" s="44">
        <f>IF(B$3=0,0,B13/B$3)</f>
        <v>0.27800829875518673</v>
      </c>
      <c r="E13" s="63" t="s">
        <v>72</v>
      </c>
      <c r="F13" s="60" t="s">
        <v>27</v>
      </c>
      <c r="G13" s="47">
        <v>5</v>
      </c>
      <c r="H13" s="133">
        <f>IF(B$17=0,0,G13/B$17)</f>
        <v>7.2463768115942032E-2</v>
      </c>
      <c r="I13" s="94">
        <v>4</v>
      </c>
      <c r="K13" s="38">
        <v>11</v>
      </c>
      <c r="L13" s="99">
        <v>-177.29999999999998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45</v>
      </c>
      <c r="C14" s="39">
        <f>IF(B$3=0,0,B14/B$3)</f>
        <v>0.18672199170124482</v>
      </c>
      <c r="E14" s="63" t="s">
        <v>79</v>
      </c>
      <c r="F14" s="60" t="s">
        <v>34</v>
      </c>
      <c r="G14" s="47">
        <v>2</v>
      </c>
      <c r="H14" s="133">
        <f>IF(B$17=0,0,G14/B$17)</f>
        <v>2.8985507246376812E-2</v>
      </c>
      <c r="I14" s="94">
        <v>5</v>
      </c>
      <c r="K14" s="38">
        <v>12</v>
      </c>
      <c r="L14" s="99">
        <v>-158.6</v>
      </c>
      <c r="N14" s="113" t="s">
        <v>154</v>
      </c>
      <c r="O14" s="34" t="s">
        <v>121</v>
      </c>
      <c r="P14" s="117" t="s">
        <v>117</v>
      </c>
      <c r="Q14" s="105" t="s">
        <v>157</v>
      </c>
    </row>
    <row r="15" spans="1:17" x14ac:dyDescent="0.4">
      <c r="A15" s="54" t="s">
        <v>124</v>
      </c>
      <c r="B15" s="46">
        <v>39</v>
      </c>
      <c r="C15" s="37">
        <f>IF(B$13=0,0,B15/B$13)</f>
        <v>0.58208955223880599</v>
      </c>
      <c r="E15" s="63" t="s">
        <v>82</v>
      </c>
      <c r="F15" s="60" t="s">
        <v>37</v>
      </c>
      <c r="G15" s="47">
        <v>2</v>
      </c>
      <c r="H15" s="133">
        <f>IF(B$17=0,0,G15/B$17)</f>
        <v>2.8985507246376812E-2</v>
      </c>
      <c r="I15" s="94">
        <v>5</v>
      </c>
      <c r="K15" s="38">
        <v>13</v>
      </c>
      <c r="L15" s="99">
        <v>-207.3</v>
      </c>
      <c r="N15" s="114" t="s">
        <v>183</v>
      </c>
      <c r="O15" s="124">
        <f>IF(P15=0,0,Q15/P15)</f>
        <v>25.799999999999997</v>
      </c>
      <c r="P15" s="118">
        <v>1</v>
      </c>
      <c r="Q15" s="106">
        <v>25.799999999999997</v>
      </c>
    </row>
    <row r="16" spans="1:17" x14ac:dyDescent="0.4">
      <c r="A16" s="54" t="s">
        <v>125</v>
      </c>
      <c r="B16" s="46">
        <v>19</v>
      </c>
      <c r="C16" s="37">
        <f>IF(B$14=0,0,B16/B$14)</f>
        <v>0.42222222222222222</v>
      </c>
      <c r="E16" s="63" t="s">
        <v>87</v>
      </c>
      <c r="F16" s="60" t="s">
        <v>42</v>
      </c>
      <c r="G16" s="47">
        <v>2</v>
      </c>
      <c r="H16" s="133">
        <f>IF(B$17=0,0,G16/B$17)</f>
        <v>2.8985507246376812E-2</v>
      </c>
      <c r="I16" s="94">
        <v>8</v>
      </c>
      <c r="K16" s="38">
        <v>14</v>
      </c>
      <c r="L16" s="99">
        <v>-204.8</v>
      </c>
      <c r="N16" s="115" t="s">
        <v>167</v>
      </c>
      <c r="O16" s="125">
        <f>IF(P16=0,0,Q16/P16)</f>
        <v>20.324999999999999</v>
      </c>
      <c r="P16" s="119">
        <v>8</v>
      </c>
      <c r="Q16" s="107">
        <v>162.6</v>
      </c>
    </row>
    <row r="17" spans="1:17" x14ac:dyDescent="0.4">
      <c r="A17" s="54" t="s">
        <v>10</v>
      </c>
      <c r="B17" s="46">
        <f>B19+B18</f>
        <v>69</v>
      </c>
      <c r="C17" s="37">
        <f>IF(B$3=0,0,B17/B$3)</f>
        <v>0.2863070539419087</v>
      </c>
      <c r="E17" s="63" t="s">
        <v>76</v>
      </c>
      <c r="F17" s="60" t="s">
        <v>31</v>
      </c>
      <c r="G17" s="47">
        <v>1</v>
      </c>
      <c r="H17" s="133">
        <f>IF(B$17=0,0,G17/B$17)</f>
        <v>1.4492753623188406E-2</v>
      </c>
      <c r="I17" s="94">
        <v>3</v>
      </c>
      <c r="K17" s="38">
        <v>15</v>
      </c>
      <c r="L17" s="99">
        <v>-221.5</v>
      </c>
      <c r="N17" s="115" t="s">
        <v>128</v>
      </c>
      <c r="O17" s="125">
        <f>IF(P17=0,0,Q17/P17)</f>
        <v>-4.8250000000000011</v>
      </c>
      <c r="P17" s="119">
        <v>16</v>
      </c>
      <c r="Q17" s="107">
        <v>-77.200000000000017</v>
      </c>
    </row>
    <row r="18" spans="1:17" x14ac:dyDescent="0.4">
      <c r="A18" s="55" t="s">
        <v>12</v>
      </c>
      <c r="B18" s="47">
        <v>26</v>
      </c>
      <c r="C18" s="39">
        <f>IF(B$17=0,0,B18/B$17)</f>
        <v>0.37681159420289856</v>
      </c>
      <c r="E18" s="63" t="s">
        <v>80</v>
      </c>
      <c r="F18" s="60" t="s">
        <v>35</v>
      </c>
      <c r="G18" s="47">
        <v>1</v>
      </c>
      <c r="H18" s="133">
        <f>IF(B$17=0,0,G18/B$17)</f>
        <v>1.4492753623188406E-2</v>
      </c>
      <c r="I18" s="94">
        <v>5</v>
      </c>
      <c r="K18" s="38">
        <v>16</v>
      </c>
      <c r="L18" s="99">
        <v>-224.3</v>
      </c>
      <c r="N18" s="115" t="s">
        <v>182</v>
      </c>
      <c r="O18" s="125">
        <f>IF(P18=0,0,Q18/P18)</f>
        <v>-11.459999999999997</v>
      </c>
      <c r="P18" s="119">
        <v>5</v>
      </c>
      <c r="Q18" s="107">
        <v>-57.299999999999983</v>
      </c>
    </row>
    <row r="19" spans="1:17" x14ac:dyDescent="0.4">
      <c r="A19" s="55" t="s">
        <v>11</v>
      </c>
      <c r="B19" s="47">
        <v>43</v>
      </c>
      <c r="C19" s="39">
        <f>IF(B$17=0,0,B19/B$17)</f>
        <v>0.62318840579710144</v>
      </c>
      <c r="E19" s="63" t="s">
        <v>92</v>
      </c>
      <c r="F19" s="60" t="s">
        <v>47</v>
      </c>
      <c r="G19" s="47">
        <v>1</v>
      </c>
      <c r="H19" s="133">
        <f>IF(B$17=0,0,G19/B$17)</f>
        <v>1.4492753623188406E-2</v>
      </c>
      <c r="I19" s="94">
        <v>5</v>
      </c>
      <c r="K19" s="38">
        <v>17</v>
      </c>
      <c r="L19" s="99">
        <v>-251.4</v>
      </c>
      <c r="N19" s="115" t="s">
        <v>127</v>
      </c>
      <c r="O19" s="125">
        <f>IF(P19=0,0,Q19/P19)</f>
        <v>-16.061111111111117</v>
      </c>
      <c r="P19" s="119">
        <v>18</v>
      </c>
      <c r="Q19" s="107">
        <v>-289.10000000000008</v>
      </c>
    </row>
    <row r="20" spans="1:17" x14ac:dyDescent="0.4">
      <c r="A20" s="55" t="s">
        <v>13</v>
      </c>
      <c r="B20" s="47">
        <v>46</v>
      </c>
      <c r="C20" s="39">
        <f>IF(B$3=0,0,B20/B$3)</f>
        <v>0.1908713692946058</v>
      </c>
      <c r="E20" s="63" t="s">
        <v>168</v>
      </c>
      <c r="F20" s="60" t="s">
        <v>169</v>
      </c>
      <c r="G20" s="47">
        <v>1</v>
      </c>
      <c r="H20" s="133">
        <f>IF(B$17=0,0,G20/B$17)</f>
        <v>1.4492753623188406E-2</v>
      </c>
      <c r="I20" s="94">
        <v>3</v>
      </c>
      <c r="K20" s="38">
        <v>18</v>
      </c>
      <c r="L20" s="99">
        <v>-240</v>
      </c>
      <c r="N20" s="115" t="s">
        <v>178</v>
      </c>
      <c r="O20" s="125">
        <f>IF(P20=0,0,Q20/P20)</f>
        <v>-29.9</v>
      </c>
      <c r="P20" s="119">
        <v>2</v>
      </c>
      <c r="Q20" s="107">
        <v>-59.8</v>
      </c>
    </row>
    <row r="21" spans="1:17" x14ac:dyDescent="0.4">
      <c r="A21" s="55" t="s">
        <v>170</v>
      </c>
      <c r="B21" s="47">
        <v>4</v>
      </c>
      <c r="C21" s="135">
        <v>1</v>
      </c>
      <c r="E21" s="63" t="s">
        <v>74</v>
      </c>
      <c r="F21" s="60" t="s">
        <v>29</v>
      </c>
      <c r="G21" s="47">
        <v>0</v>
      </c>
      <c r="H21" s="133">
        <f>IF(B$17=0,0,G21/B$17)</f>
        <v>0</v>
      </c>
      <c r="I21" s="94">
        <v>1</v>
      </c>
      <c r="K21" s="38">
        <v>19</v>
      </c>
      <c r="L21" s="99">
        <v>-218</v>
      </c>
      <c r="N21" s="115" t="s">
        <v>179</v>
      </c>
      <c r="O21" s="125">
        <f>IF(P21=0,0,Q21/P21)</f>
        <v>-38.699999999999996</v>
      </c>
      <c r="P21" s="119">
        <v>5</v>
      </c>
      <c r="Q21" s="107">
        <v>-193.49999999999997</v>
      </c>
    </row>
    <row r="22" spans="1:17" x14ac:dyDescent="0.4">
      <c r="A22" s="55" t="s">
        <v>171</v>
      </c>
      <c r="B22" s="47">
        <v>21</v>
      </c>
      <c r="C22" s="135">
        <v>1</v>
      </c>
      <c r="E22" s="63" t="s">
        <v>75</v>
      </c>
      <c r="F22" s="60" t="s">
        <v>30</v>
      </c>
      <c r="G22" s="47">
        <v>0</v>
      </c>
      <c r="H22" s="133">
        <f>IF(B$17=0,0,G22/B$17)</f>
        <v>0</v>
      </c>
      <c r="I22" s="94">
        <v>5</v>
      </c>
      <c r="K22" s="38">
        <v>20</v>
      </c>
      <c r="L22" s="99">
        <v>-177.6</v>
      </c>
      <c r="N22" s="115" t="s">
        <v>196</v>
      </c>
      <c r="O22" s="125">
        <f>IF(P22=0,0,Q22/P22)</f>
        <v>-56.6</v>
      </c>
      <c r="P22" s="119">
        <v>1</v>
      </c>
      <c r="Q22" s="107">
        <v>-56.6</v>
      </c>
    </row>
    <row r="23" spans="1:17" x14ac:dyDescent="0.4">
      <c r="A23" s="55" t="s">
        <v>5</v>
      </c>
      <c r="B23" s="51">
        <f>IF(B$17=0,0,C23/B$17)</f>
        <v>7308.695652173913</v>
      </c>
      <c r="C23" s="41">
        <v>504300</v>
      </c>
      <c r="E23" s="63" t="s">
        <v>77</v>
      </c>
      <c r="F23" s="60" t="s">
        <v>32</v>
      </c>
      <c r="G23" s="47">
        <v>0</v>
      </c>
      <c r="H23" s="133">
        <f>IF(B$17=0,0,G23/B$17)</f>
        <v>0</v>
      </c>
      <c r="I23" s="94">
        <v>1</v>
      </c>
      <c r="K23" s="38">
        <v>21</v>
      </c>
      <c r="L23" s="99">
        <v>-133.30000000000001</v>
      </c>
    </row>
    <row r="24" spans="1:17" x14ac:dyDescent="0.4">
      <c r="A24" s="57" t="s">
        <v>14</v>
      </c>
      <c r="B24" s="52">
        <f>IF(B$20=0,0,C24/B$20)</f>
        <v>-7678.260869565217</v>
      </c>
      <c r="C24" s="45">
        <v>-353200</v>
      </c>
      <c r="E24" s="63" t="s">
        <v>78</v>
      </c>
      <c r="F24" s="60" t="s">
        <v>33</v>
      </c>
      <c r="G24" s="47">
        <v>0</v>
      </c>
      <c r="H24" s="133">
        <f>IF(B$17=0,0,G24/B$17)</f>
        <v>0</v>
      </c>
      <c r="I24" s="94">
        <v>4</v>
      </c>
      <c r="K24" s="38">
        <v>22</v>
      </c>
      <c r="L24" s="99">
        <v>-164.60000000000002</v>
      </c>
    </row>
    <row r="25" spans="1:17" x14ac:dyDescent="0.4">
      <c r="A25" s="90" t="s">
        <v>141</v>
      </c>
      <c r="B25" s="144">
        <v>8</v>
      </c>
      <c r="C25" s="145"/>
      <c r="E25" s="63" t="s">
        <v>81</v>
      </c>
      <c r="F25" s="60" t="s">
        <v>36</v>
      </c>
      <c r="G25" s="47">
        <v>0</v>
      </c>
      <c r="H25" s="133">
        <f>IF(B$17=0,0,G25/B$17)</f>
        <v>0</v>
      </c>
      <c r="I25" s="94">
        <v>1</v>
      </c>
      <c r="K25" s="38">
        <v>23</v>
      </c>
      <c r="L25" s="99">
        <v>-162.70000000000002</v>
      </c>
    </row>
    <row r="26" spans="1:17" x14ac:dyDescent="0.4">
      <c r="A26" s="58" t="s">
        <v>151</v>
      </c>
      <c r="B26" s="142">
        <v>69300</v>
      </c>
      <c r="C26" s="143"/>
      <c r="E26" s="63" t="s">
        <v>83</v>
      </c>
      <c r="F26" s="60" t="s">
        <v>38</v>
      </c>
      <c r="G26" s="47">
        <v>0</v>
      </c>
      <c r="H26" s="133">
        <f>IF(B$17=0,0,G26/B$17)</f>
        <v>0</v>
      </c>
      <c r="I26" s="94">
        <v>1</v>
      </c>
      <c r="K26" s="38">
        <v>24</v>
      </c>
      <c r="L26" s="99">
        <v>-163.00000000000003</v>
      </c>
    </row>
    <row r="27" spans="1:17" x14ac:dyDescent="0.4">
      <c r="A27" s="57" t="s">
        <v>142</v>
      </c>
      <c r="B27" s="65">
        <v>1</v>
      </c>
      <c r="C27" s="42">
        <f>IF(B$3=0,0,B27/B$3)</f>
        <v>4.1493775933609959E-3</v>
      </c>
      <c r="E27" s="63" t="s">
        <v>85</v>
      </c>
      <c r="F27" s="60" t="s">
        <v>40</v>
      </c>
      <c r="G27" s="47">
        <v>0</v>
      </c>
      <c r="H27" s="133">
        <f>IF(B$17=0,0,G27/B$17)</f>
        <v>0</v>
      </c>
      <c r="I27" s="94">
        <v>3</v>
      </c>
      <c r="K27" s="38">
        <v>25</v>
      </c>
      <c r="L27" s="99">
        <v>-185.00000000000003</v>
      </c>
    </row>
    <row r="28" spans="1:17" x14ac:dyDescent="0.4">
      <c r="E28" s="63" t="s">
        <v>86</v>
      </c>
      <c r="F28" s="60" t="s">
        <v>41</v>
      </c>
      <c r="G28" s="47">
        <v>0</v>
      </c>
      <c r="H28" s="133">
        <f>IF(B$17=0,0,G28/B$17)</f>
        <v>0</v>
      </c>
      <c r="I28" s="94">
        <v>5</v>
      </c>
      <c r="K28" s="38">
        <v>26</v>
      </c>
      <c r="L28" s="99">
        <v>-186.00000000000003</v>
      </c>
    </row>
    <row r="29" spans="1:17" x14ac:dyDescent="0.4">
      <c r="E29" s="63" t="s">
        <v>88</v>
      </c>
      <c r="F29" s="60" t="s">
        <v>43</v>
      </c>
      <c r="G29" s="47">
        <v>0</v>
      </c>
      <c r="H29" s="133">
        <f>IF(B$17=0,0,G29/B$17)</f>
        <v>0</v>
      </c>
      <c r="I29" s="94">
        <v>3</v>
      </c>
      <c r="K29" s="38">
        <v>27</v>
      </c>
      <c r="L29" s="99">
        <v>-163.00000000000003</v>
      </c>
    </row>
    <row r="30" spans="1:17" x14ac:dyDescent="0.4">
      <c r="E30" s="63" t="s">
        <v>89</v>
      </c>
      <c r="F30" s="60" t="s">
        <v>44</v>
      </c>
      <c r="G30" s="47">
        <v>0</v>
      </c>
      <c r="H30" s="133">
        <f>IF(B$17=0,0,G30/B$17)</f>
        <v>0</v>
      </c>
      <c r="I30" s="94">
        <v>4</v>
      </c>
      <c r="K30" s="38">
        <v>28</v>
      </c>
      <c r="L30" s="99">
        <v>-181.70000000000002</v>
      </c>
    </row>
    <row r="31" spans="1:17" x14ac:dyDescent="0.4">
      <c r="E31" s="63" t="s">
        <v>91</v>
      </c>
      <c r="F31" s="60" t="s">
        <v>46</v>
      </c>
      <c r="G31" s="47">
        <v>0</v>
      </c>
      <c r="H31" s="133">
        <f>IF(B$17=0,0,G31/B$17)</f>
        <v>0</v>
      </c>
      <c r="I31" s="94">
        <v>3</v>
      </c>
    </row>
    <row r="32" spans="1:17" x14ac:dyDescent="0.4">
      <c r="E32" s="63" t="s">
        <v>93</v>
      </c>
      <c r="F32" s="60" t="s">
        <v>48</v>
      </c>
      <c r="G32" s="47">
        <v>0</v>
      </c>
      <c r="H32" s="133">
        <f>IF(B$17=0,0,G32/B$17)</f>
        <v>0</v>
      </c>
      <c r="I32" s="94">
        <v>4</v>
      </c>
    </row>
    <row r="33" spans="5:9" x14ac:dyDescent="0.4">
      <c r="E33" s="63" t="s">
        <v>94</v>
      </c>
      <c r="F33" s="60" t="s">
        <v>49</v>
      </c>
      <c r="G33" s="47">
        <v>0</v>
      </c>
      <c r="H33" s="133">
        <f>IF(B$17=0,0,G33/B$17)</f>
        <v>0</v>
      </c>
      <c r="I33" s="94">
        <v>1</v>
      </c>
    </row>
    <row r="34" spans="5:9" x14ac:dyDescent="0.4">
      <c r="E34" s="63" t="s">
        <v>95</v>
      </c>
      <c r="F34" s="60" t="s">
        <v>50</v>
      </c>
      <c r="G34" s="47">
        <v>0</v>
      </c>
      <c r="H34" s="133">
        <f>IF(B$17=0,0,G34/B$17)</f>
        <v>0</v>
      </c>
      <c r="I34" s="94">
        <v>1</v>
      </c>
    </row>
    <row r="35" spans="5:9" x14ac:dyDescent="0.4">
      <c r="E35" s="63" t="s">
        <v>96</v>
      </c>
      <c r="F35" s="60" t="s">
        <v>51</v>
      </c>
      <c r="G35" s="47">
        <v>0</v>
      </c>
      <c r="H35" s="133">
        <f>IF(B$17=0,0,G35/B$17)</f>
        <v>0</v>
      </c>
      <c r="I35" s="94">
        <v>3</v>
      </c>
    </row>
    <row r="36" spans="5:9" x14ac:dyDescent="0.4">
      <c r="E36" s="63" t="s">
        <v>97</v>
      </c>
      <c r="F36" s="60" t="s">
        <v>52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98</v>
      </c>
      <c r="F37" s="60" t="s">
        <v>53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99</v>
      </c>
      <c r="F38" s="60" t="s">
        <v>54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100</v>
      </c>
      <c r="F39" s="60" t="s">
        <v>55</v>
      </c>
      <c r="G39" s="47">
        <v>0</v>
      </c>
      <c r="H39" s="133">
        <f>IF(B$17=0,0,G39/B$17)</f>
        <v>0</v>
      </c>
      <c r="I39" s="94">
        <v>1</v>
      </c>
    </row>
    <row r="40" spans="5:9" x14ac:dyDescent="0.4">
      <c r="E40" s="63" t="s">
        <v>101</v>
      </c>
      <c r="F40" s="60" t="s">
        <v>56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102</v>
      </c>
      <c r="F41" s="60" t="s">
        <v>57</v>
      </c>
      <c r="G41" s="47">
        <v>0</v>
      </c>
      <c r="H41" s="133">
        <f>IF(B$17=0,0,G41/B$17)</f>
        <v>0</v>
      </c>
      <c r="I41" s="94">
        <v>3</v>
      </c>
    </row>
    <row r="42" spans="5:9" x14ac:dyDescent="0.4">
      <c r="E42" s="63" t="s">
        <v>103</v>
      </c>
      <c r="F42" s="60" t="s">
        <v>58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104</v>
      </c>
      <c r="F43" s="60" t="s">
        <v>59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105</v>
      </c>
      <c r="F44" s="60" t="s">
        <v>60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106</v>
      </c>
      <c r="F45" s="60" t="s">
        <v>113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107</v>
      </c>
      <c r="F46" s="60" t="s">
        <v>114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108</v>
      </c>
      <c r="F47" s="60" t="s">
        <v>115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109</v>
      </c>
      <c r="F48" s="60" t="s">
        <v>61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110</v>
      </c>
      <c r="F49" s="60" t="s">
        <v>62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111</v>
      </c>
      <c r="F50" s="60" t="s">
        <v>63</v>
      </c>
      <c r="G50" s="47">
        <v>0</v>
      </c>
      <c r="H50" s="133">
        <f>IF(B$17=0,0,G50/B$17)</f>
        <v>0</v>
      </c>
      <c r="I50" s="94">
        <v>1</v>
      </c>
    </row>
    <row r="51" spans="5:9" x14ac:dyDescent="0.4">
      <c r="E51" s="136" t="s">
        <v>112</v>
      </c>
      <c r="F51" s="137" t="s">
        <v>64</v>
      </c>
      <c r="G51" s="48">
        <v>0</v>
      </c>
      <c r="H51" s="138">
        <f>IF(B$17=0,0,G51/B$17)</f>
        <v>0</v>
      </c>
      <c r="I51" s="139">
        <v>1</v>
      </c>
    </row>
    <row r="52" spans="5:9" x14ac:dyDescent="0.4">
      <c r="E52" s="64" t="s">
        <v>174</v>
      </c>
      <c r="F52" s="61" t="s">
        <v>175</v>
      </c>
      <c r="G52" s="49">
        <v>0</v>
      </c>
      <c r="H52" s="134">
        <f>IF(B$17=0,0,G52/B$17)</f>
        <v>0</v>
      </c>
      <c r="I52" s="95">
        <v>1</v>
      </c>
    </row>
  </sheetData>
  <sortState xmlns:xlrd2="http://schemas.microsoft.com/office/spreadsheetml/2017/richdata2" ref="N15:Q22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955372-4F1A-46FA-A97A-FE56C8A5F327}">
  <sheetPr codeName="Sheet15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178</v>
      </c>
      <c r="C1" s="149"/>
      <c r="E1" s="129" t="s">
        <v>166</v>
      </c>
      <c r="F1" s="141" t="s">
        <v>116</v>
      </c>
      <c r="G1" s="140" t="s">
        <v>117</v>
      </c>
      <c r="H1" s="130" t="s">
        <v>118</v>
      </c>
      <c r="I1" s="141" t="s">
        <v>153</v>
      </c>
      <c r="K1" s="34" t="s">
        <v>20</v>
      </c>
      <c r="L1" s="35" t="s">
        <v>121</v>
      </c>
      <c r="M1" s="131"/>
      <c r="N1" s="113" t="s">
        <v>137</v>
      </c>
      <c r="O1" s="34" t="s">
        <v>138</v>
      </c>
      <c r="P1" s="117" t="s">
        <v>117</v>
      </c>
      <c r="Q1" s="101" t="s">
        <v>157</v>
      </c>
    </row>
    <row r="2" spans="1:17" x14ac:dyDescent="0.4">
      <c r="A2" s="54" t="s">
        <v>9</v>
      </c>
      <c r="B2" s="150">
        <v>24</v>
      </c>
      <c r="C2" s="151"/>
      <c r="E2" s="62" t="s">
        <v>73</v>
      </c>
      <c r="F2" s="59" t="s">
        <v>28</v>
      </c>
      <c r="G2" s="46">
        <v>39</v>
      </c>
      <c r="H2" s="132">
        <f>IF(B$17=0,0,G2/B$17)</f>
        <v>0.8125</v>
      </c>
      <c r="I2" s="93">
        <v>2</v>
      </c>
      <c r="K2" s="36">
        <v>0</v>
      </c>
      <c r="L2" s="98">
        <v>0</v>
      </c>
      <c r="N2" s="114" t="s">
        <v>131</v>
      </c>
      <c r="O2" s="121">
        <f t="shared" ref="O2:O7" si="0">IF(P2=0,0,Q2/P2)</f>
        <v>387.5</v>
      </c>
      <c r="P2" s="118">
        <v>24</v>
      </c>
      <c r="Q2" s="102">
        <v>9300</v>
      </c>
    </row>
    <row r="3" spans="1:17" x14ac:dyDescent="0.4">
      <c r="A3" s="55" t="s">
        <v>8</v>
      </c>
      <c r="B3" s="152">
        <v>191</v>
      </c>
      <c r="C3" s="153"/>
      <c r="E3" s="63" t="s">
        <v>67</v>
      </c>
      <c r="F3" s="60" t="s">
        <v>23</v>
      </c>
      <c r="G3" s="47">
        <v>35</v>
      </c>
      <c r="H3" s="133">
        <f>IF(B$17=0,0,G3/B$17)</f>
        <v>0.72916666666666663</v>
      </c>
      <c r="I3" s="94">
        <v>7</v>
      </c>
      <c r="K3" s="38">
        <v>1</v>
      </c>
      <c r="L3" s="99">
        <v>-9.1</v>
      </c>
      <c r="N3" s="115" t="s">
        <v>132</v>
      </c>
      <c r="O3" s="122">
        <f t="shared" si="0"/>
        <v>-2890.909090909091</v>
      </c>
      <c r="P3" s="119">
        <v>22</v>
      </c>
      <c r="Q3" s="103">
        <v>-63600</v>
      </c>
    </row>
    <row r="4" spans="1:17" x14ac:dyDescent="0.4">
      <c r="A4" s="55" t="s">
        <v>6</v>
      </c>
      <c r="B4" s="154">
        <v>-51.39999999999997</v>
      </c>
      <c r="C4" s="155"/>
      <c r="E4" s="63" t="s">
        <v>68</v>
      </c>
      <c r="F4" s="60" t="s">
        <v>24</v>
      </c>
      <c r="G4" s="47">
        <v>19</v>
      </c>
      <c r="H4" s="133">
        <f>IF(B$17=0,0,G4/B$17)</f>
        <v>0.39583333333333331</v>
      </c>
      <c r="I4" s="94">
        <v>3</v>
      </c>
      <c r="K4" s="38">
        <v>2</v>
      </c>
      <c r="L4" s="99">
        <v>-67.3</v>
      </c>
      <c r="N4" s="115" t="s">
        <v>133</v>
      </c>
      <c r="O4" s="122">
        <f t="shared" si="0"/>
        <v>1528.5714285714287</v>
      </c>
      <c r="P4" s="119">
        <v>21</v>
      </c>
      <c r="Q4" s="103">
        <v>32100</v>
      </c>
    </row>
    <row r="5" spans="1:17" x14ac:dyDescent="0.4">
      <c r="A5" s="55" t="s">
        <v>7</v>
      </c>
      <c r="B5" s="156">
        <f>IF(B$2=0,0,B$4/B$2)</f>
        <v>-2.1416666666666653</v>
      </c>
      <c r="C5" s="157"/>
      <c r="E5" s="63" t="s">
        <v>65</v>
      </c>
      <c r="F5" s="60" t="s">
        <v>21</v>
      </c>
      <c r="G5" s="47">
        <v>18</v>
      </c>
      <c r="H5" s="133">
        <f>IF(B$17=0,0,G5/B$17)</f>
        <v>0.375</v>
      </c>
      <c r="I5" s="94">
        <v>9</v>
      </c>
      <c r="K5" s="38">
        <v>3</v>
      </c>
      <c r="L5" s="99">
        <v>-113.8</v>
      </c>
      <c r="N5" s="115" t="s">
        <v>134</v>
      </c>
      <c r="O5" s="122">
        <f t="shared" si="0"/>
        <v>3925</v>
      </c>
      <c r="P5" s="119">
        <v>20</v>
      </c>
      <c r="Q5" s="103">
        <v>78500</v>
      </c>
    </row>
    <row r="6" spans="1:17" x14ac:dyDescent="0.4">
      <c r="A6" s="55" t="s">
        <v>1</v>
      </c>
      <c r="B6" s="146">
        <f>IF(B$2=0,0,(B$7*1+B$8*2+B$9*3)/B$2)</f>
        <v>2</v>
      </c>
      <c r="C6" s="147"/>
      <c r="E6" s="63" t="s">
        <v>90</v>
      </c>
      <c r="F6" s="60" t="s">
        <v>45</v>
      </c>
      <c r="G6" s="47">
        <v>16</v>
      </c>
      <c r="H6" s="133">
        <f>IF(B$17=0,0,G6/B$17)</f>
        <v>0.33333333333333331</v>
      </c>
      <c r="I6" s="94">
        <v>1</v>
      </c>
      <c r="K6" s="38">
        <v>4</v>
      </c>
      <c r="L6" s="99">
        <v>-74.599999999999994</v>
      </c>
      <c r="N6" s="115" t="s">
        <v>135</v>
      </c>
      <c r="O6" s="122">
        <f t="shared" si="0"/>
        <v>-2335.294117647059</v>
      </c>
      <c r="P6" s="119">
        <v>17</v>
      </c>
      <c r="Q6" s="103">
        <v>-39700</v>
      </c>
    </row>
    <row r="7" spans="1:17" x14ac:dyDescent="0.4">
      <c r="A7" s="55" t="s">
        <v>2</v>
      </c>
      <c r="B7" s="47">
        <v>8</v>
      </c>
      <c r="C7" s="39">
        <f t="shared" ref="C7:C12" si="1">IF(B$2=0,0,B7/B$2)</f>
        <v>0.33333333333333331</v>
      </c>
      <c r="E7" s="63" t="s">
        <v>69</v>
      </c>
      <c r="F7" s="60" t="s">
        <v>12</v>
      </c>
      <c r="G7" s="47">
        <v>15</v>
      </c>
      <c r="H7" s="133">
        <f>IF(B$17=0,0,G7/B$17)</f>
        <v>0.3125</v>
      </c>
      <c r="I7" s="94">
        <v>3</v>
      </c>
      <c r="K7" s="38">
        <v>5</v>
      </c>
      <c r="L7" s="99">
        <v>-118.3</v>
      </c>
      <c r="N7" s="116" t="s">
        <v>136</v>
      </c>
      <c r="O7" s="123">
        <f t="shared" si="0"/>
        <v>-5230.7692307692305</v>
      </c>
      <c r="P7" s="120">
        <v>13</v>
      </c>
      <c r="Q7" s="104">
        <v>-68000</v>
      </c>
    </row>
    <row r="8" spans="1:17" x14ac:dyDescent="0.4">
      <c r="A8" s="55" t="s">
        <v>3</v>
      </c>
      <c r="B8" s="47">
        <v>8</v>
      </c>
      <c r="C8" s="39">
        <f t="shared" si="1"/>
        <v>0.33333333333333331</v>
      </c>
      <c r="E8" s="63" t="s">
        <v>172</v>
      </c>
      <c r="F8" s="60" t="s">
        <v>173</v>
      </c>
      <c r="G8" s="47">
        <v>15</v>
      </c>
      <c r="H8" s="133">
        <f>IF(B$17=0,0,G8/B$17)</f>
        <v>0.3125</v>
      </c>
      <c r="I8" s="94">
        <v>10</v>
      </c>
      <c r="K8" s="38">
        <v>6</v>
      </c>
      <c r="L8" s="99">
        <v>-60.3</v>
      </c>
      <c r="N8" s="43"/>
      <c r="O8" s="127"/>
      <c r="P8" s="111"/>
      <c r="Q8" s="109"/>
    </row>
    <row r="9" spans="1:17" x14ac:dyDescent="0.4">
      <c r="A9" s="56" t="s">
        <v>4</v>
      </c>
      <c r="B9" s="48">
        <v>8</v>
      </c>
      <c r="C9" s="40">
        <f t="shared" si="1"/>
        <v>0.33333333333333331</v>
      </c>
      <c r="E9" s="63" t="s">
        <v>70</v>
      </c>
      <c r="F9" s="60" t="s">
        <v>25</v>
      </c>
      <c r="G9" s="47">
        <v>6</v>
      </c>
      <c r="H9" s="133">
        <f>IF(B$17=0,0,G9/B$17)</f>
        <v>0.125</v>
      </c>
      <c r="I9" s="94">
        <v>6</v>
      </c>
      <c r="K9" s="38">
        <v>7</v>
      </c>
      <c r="L9" s="99">
        <v>-60.8</v>
      </c>
      <c r="N9" s="113" t="s">
        <v>162</v>
      </c>
      <c r="O9" s="34" t="s">
        <v>121</v>
      </c>
      <c r="P9" s="117" t="s">
        <v>117</v>
      </c>
      <c r="Q9" s="105" t="s">
        <v>157</v>
      </c>
    </row>
    <row r="10" spans="1:17" x14ac:dyDescent="0.4">
      <c r="A10" s="56" t="s">
        <v>19</v>
      </c>
      <c r="B10" s="48">
        <v>4</v>
      </c>
      <c r="C10" s="40">
        <f t="shared" si="1"/>
        <v>0.16666666666666666</v>
      </c>
      <c r="E10" s="63" t="s">
        <v>66</v>
      </c>
      <c r="F10" s="60" t="s">
        <v>22</v>
      </c>
      <c r="G10" s="47">
        <v>4</v>
      </c>
      <c r="H10" s="133">
        <f>IF(B$17=0,0,G10/B$17)</f>
        <v>8.3333333333333329E-2</v>
      </c>
      <c r="I10" s="94">
        <v>8</v>
      </c>
      <c r="K10" s="38">
        <v>8</v>
      </c>
      <c r="L10" s="99">
        <v>-110.19999999999999</v>
      </c>
      <c r="N10" s="114" t="s">
        <v>163</v>
      </c>
      <c r="O10" s="124">
        <f>IF(P10=0,0,Q10/P10)</f>
        <v>6.0888888888888903</v>
      </c>
      <c r="P10" s="118">
        <v>9</v>
      </c>
      <c r="Q10" s="106">
        <v>54.800000000000011</v>
      </c>
    </row>
    <row r="11" spans="1:17" x14ac:dyDescent="0.4">
      <c r="A11" s="56" t="s">
        <v>139</v>
      </c>
      <c r="B11" s="48">
        <v>5</v>
      </c>
      <c r="C11" s="40">
        <f t="shared" si="1"/>
        <v>0.20833333333333334</v>
      </c>
      <c r="E11" s="63" t="s">
        <v>84</v>
      </c>
      <c r="F11" s="60" t="s">
        <v>39</v>
      </c>
      <c r="G11" s="47">
        <v>3</v>
      </c>
      <c r="H11" s="133">
        <f>IF(B$17=0,0,G11/B$17)</f>
        <v>6.25E-2</v>
      </c>
      <c r="I11" s="94">
        <v>6</v>
      </c>
      <c r="K11" s="38">
        <v>9</v>
      </c>
      <c r="L11" s="99">
        <v>-120.99999999999999</v>
      </c>
      <c r="N11" s="115" t="s">
        <v>164</v>
      </c>
      <c r="O11" s="125">
        <f>IF(P11=0,0,Q11/P11)</f>
        <v>-4.3333333333333339</v>
      </c>
      <c r="P11" s="119">
        <v>9</v>
      </c>
      <c r="Q11" s="107">
        <v>-39.000000000000007</v>
      </c>
    </row>
    <row r="12" spans="1:17" x14ac:dyDescent="0.4">
      <c r="A12" s="57" t="s">
        <v>159</v>
      </c>
      <c r="B12" s="49">
        <v>0</v>
      </c>
      <c r="C12" s="42">
        <f t="shared" si="1"/>
        <v>0</v>
      </c>
      <c r="E12" s="63" t="s">
        <v>93</v>
      </c>
      <c r="F12" s="60" t="s">
        <v>48</v>
      </c>
      <c r="G12" s="47">
        <v>3</v>
      </c>
      <c r="H12" s="133">
        <f>IF(B$17=0,0,G12/B$17)</f>
        <v>6.25E-2</v>
      </c>
      <c r="I12" s="94">
        <v>1</v>
      </c>
      <c r="K12" s="38">
        <v>10</v>
      </c>
      <c r="L12" s="99">
        <v>-113.29999999999998</v>
      </c>
      <c r="N12" s="116" t="s">
        <v>165</v>
      </c>
      <c r="O12" s="126">
        <f>IF(P12=0,0,Q12/P12)</f>
        <v>-11.199999999999998</v>
      </c>
      <c r="P12" s="120">
        <v>6</v>
      </c>
      <c r="Q12" s="108">
        <v>-67.199999999999989</v>
      </c>
    </row>
    <row r="13" spans="1:17" x14ac:dyDescent="0.4">
      <c r="A13" s="58" t="s">
        <v>122</v>
      </c>
      <c r="B13" s="50">
        <v>50</v>
      </c>
      <c r="C13" s="44">
        <f>IF(B$3=0,0,B13/B$3)</f>
        <v>0.26178010471204188</v>
      </c>
      <c r="E13" s="63" t="s">
        <v>71</v>
      </c>
      <c r="F13" s="60" t="s">
        <v>26</v>
      </c>
      <c r="G13" s="47">
        <v>2</v>
      </c>
      <c r="H13" s="133">
        <f>IF(B$17=0,0,G13/B$17)</f>
        <v>4.1666666666666664E-2</v>
      </c>
      <c r="I13" s="94">
        <v>8</v>
      </c>
      <c r="K13" s="38">
        <v>11</v>
      </c>
      <c r="L13" s="99">
        <v>-163.69999999999999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45</v>
      </c>
      <c r="C14" s="39">
        <f>IF(B$3=0,0,B14/B$3)</f>
        <v>0.2356020942408377</v>
      </c>
      <c r="E14" s="63" t="s">
        <v>82</v>
      </c>
      <c r="F14" s="60" t="s">
        <v>37</v>
      </c>
      <c r="G14" s="47">
        <v>2</v>
      </c>
      <c r="H14" s="133">
        <f>IF(B$17=0,0,G14/B$17)</f>
        <v>4.1666666666666664E-2</v>
      </c>
      <c r="I14" s="94">
        <v>2</v>
      </c>
      <c r="K14" s="38">
        <v>12</v>
      </c>
      <c r="L14" s="99">
        <v>-110.49999999999999</v>
      </c>
      <c r="N14" s="113" t="s">
        <v>154</v>
      </c>
      <c r="O14" s="34" t="s">
        <v>121</v>
      </c>
      <c r="P14" s="117" t="s">
        <v>117</v>
      </c>
      <c r="Q14" s="105" t="s">
        <v>157</v>
      </c>
    </row>
    <row r="15" spans="1:17" x14ac:dyDescent="0.4">
      <c r="A15" s="54" t="s">
        <v>124</v>
      </c>
      <c r="B15" s="46">
        <v>18</v>
      </c>
      <c r="C15" s="37">
        <f>IF(B$13=0,0,B15/B$13)</f>
        <v>0.36</v>
      </c>
      <c r="E15" s="63" t="s">
        <v>72</v>
      </c>
      <c r="F15" s="60" t="s">
        <v>27</v>
      </c>
      <c r="G15" s="47">
        <v>1</v>
      </c>
      <c r="H15" s="133">
        <f>IF(B$17=0,0,G15/B$17)</f>
        <v>2.0833333333333332E-2</v>
      </c>
      <c r="I15" s="94">
        <v>10</v>
      </c>
      <c r="K15" s="38">
        <v>13</v>
      </c>
      <c r="L15" s="99">
        <v>-132.39999999999998</v>
      </c>
      <c r="N15" s="114" t="s">
        <v>196</v>
      </c>
      <c r="O15" s="124">
        <f>IF(P15=0,0,Q15/P15)</f>
        <v>60.650000000000006</v>
      </c>
      <c r="P15" s="118">
        <v>2</v>
      </c>
      <c r="Q15" s="106">
        <v>121.30000000000001</v>
      </c>
    </row>
    <row r="16" spans="1:17" x14ac:dyDescent="0.4">
      <c r="A16" s="54" t="s">
        <v>125</v>
      </c>
      <c r="B16" s="46">
        <v>22</v>
      </c>
      <c r="C16" s="37">
        <f>IF(B$14=0,0,B16/B$14)</f>
        <v>0.48888888888888887</v>
      </c>
      <c r="E16" s="63" t="s">
        <v>76</v>
      </c>
      <c r="F16" s="60" t="s">
        <v>31</v>
      </c>
      <c r="G16" s="47">
        <v>1</v>
      </c>
      <c r="H16" s="133">
        <f>IF(B$17=0,0,G16/B$17)</f>
        <v>2.0833333333333332E-2</v>
      </c>
      <c r="I16" s="94">
        <v>2</v>
      </c>
      <c r="K16" s="38">
        <v>14</v>
      </c>
      <c r="L16" s="99">
        <v>-86.499999999999972</v>
      </c>
      <c r="N16" s="115" t="s">
        <v>180</v>
      </c>
      <c r="O16" s="125">
        <f>IF(P16=0,0,Q16/P16)</f>
        <v>29.9</v>
      </c>
      <c r="P16" s="119">
        <v>2</v>
      </c>
      <c r="Q16" s="107">
        <v>59.8</v>
      </c>
    </row>
    <row r="17" spans="1:17" x14ac:dyDescent="0.4">
      <c r="A17" s="54" t="s">
        <v>10</v>
      </c>
      <c r="B17" s="46">
        <f>B19+B18</f>
        <v>48</v>
      </c>
      <c r="C17" s="37">
        <f>IF(B$3=0,0,B17/B$3)</f>
        <v>0.2513089005235602</v>
      </c>
      <c r="E17" s="63" t="s">
        <v>87</v>
      </c>
      <c r="F17" s="60" t="s">
        <v>42</v>
      </c>
      <c r="G17" s="47">
        <v>1</v>
      </c>
      <c r="H17" s="133">
        <f>IF(B$17=0,0,G17/B$17)</f>
        <v>2.0833333333333332E-2</v>
      </c>
      <c r="I17" s="94">
        <v>9</v>
      </c>
      <c r="K17" s="38">
        <v>15</v>
      </c>
      <c r="L17" s="99">
        <v>-101.79999999999997</v>
      </c>
      <c r="N17" s="115" t="s">
        <v>179</v>
      </c>
      <c r="O17" s="125">
        <f>IF(P17=0,0,Q17/P17)</f>
        <v>13.569230769230773</v>
      </c>
      <c r="P17" s="119">
        <v>13</v>
      </c>
      <c r="Q17" s="107">
        <v>176.40000000000003</v>
      </c>
    </row>
    <row r="18" spans="1:17" x14ac:dyDescent="0.4">
      <c r="A18" s="55" t="s">
        <v>12</v>
      </c>
      <c r="B18" s="47">
        <v>21</v>
      </c>
      <c r="C18" s="39">
        <f>IF(B$17=0,0,B18/B$17)</f>
        <v>0.4375</v>
      </c>
      <c r="E18" s="63" t="s">
        <v>92</v>
      </c>
      <c r="F18" s="60" t="s">
        <v>47</v>
      </c>
      <c r="G18" s="47">
        <v>1</v>
      </c>
      <c r="H18" s="133">
        <f>IF(B$17=0,0,G18/B$17)</f>
        <v>2.0833333333333332E-2</v>
      </c>
      <c r="I18" s="94">
        <v>2</v>
      </c>
      <c r="K18" s="38">
        <v>16</v>
      </c>
      <c r="L18" s="99">
        <v>-63.099999999999966</v>
      </c>
      <c r="N18" s="115" t="s">
        <v>183</v>
      </c>
      <c r="O18" s="125">
        <f>IF(P18=0,0,Q18/P18)</f>
        <v>1.7749999999999988</v>
      </c>
      <c r="P18" s="119">
        <v>8</v>
      </c>
      <c r="Q18" s="107">
        <v>14.19999999999999</v>
      </c>
    </row>
    <row r="19" spans="1:17" x14ac:dyDescent="0.4">
      <c r="A19" s="55" t="s">
        <v>11</v>
      </c>
      <c r="B19" s="47">
        <v>27</v>
      </c>
      <c r="C19" s="39">
        <f>IF(B$17=0,0,B19/B$17)</f>
        <v>0.5625</v>
      </c>
      <c r="E19" s="63" t="s">
        <v>74</v>
      </c>
      <c r="F19" s="60" t="s">
        <v>29</v>
      </c>
      <c r="G19" s="47">
        <v>0</v>
      </c>
      <c r="H19" s="133">
        <f>IF(B$17=0,0,G19/B$17)</f>
        <v>0</v>
      </c>
      <c r="I19" s="94">
        <v>1</v>
      </c>
      <c r="K19" s="38">
        <v>17</v>
      </c>
      <c r="L19" s="99">
        <v>-55.799999999999969</v>
      </c>
      <c r="N19" s="115" t="s">
        <v>127</v>
      </c>
      <c r="O19" s="125">
        <f>IF(P19=0,0,Q19/P19)</f>
        <v>-1.5777777777777797</v>
      </c>
      <c r="P19" s="119">
        <v>9</v>
      </c>
      <c r="Q19" s="107">
        <v>-14.200000000000017</v>
      </c>
    </row>
    <row r="20" spans="1:17" x14ac:dyDescent="0.4">
      <c r="A20" s="55" t="s">
        <v>13</v>
      </c>
      <c r="B20" s="47">
        <v>33</v>
      </c>
      <c r="C20" s="39">
        <f>IF(B$3=0,0,B20/B$3)</f>
        <v>0.17277486910994763</v>
      </c>
      <c r="E20" s="63" t="s">
        <v>75</v>
      </c>
      <c r="F20" s="60" t="s">
        <v>30</v>
      </c>
      <c r="G20" s="47">
        <v>0</v>
      </c>
      <c r="H20" s="133">
        <f>IF(B$17=0,0,G20/B$17)</f>
        <v>0</v>
      </c>
      <c r="I20" s="94">
        <v>5</v>
      </c>
      <c r="K20" s="38">
        <v>18</v>
      </c>
      <c r="L20" s="99">
        <v>-24.999999999999968</v>
      </c>
      <c r="N20" s="115" t="s">
        <v>128</v>
      </c>
      <c r="O20" s="125">
        <f>IF(P20=0,0,Q20/P20)</f>
        <v>-24.775000000000002</v>
      </c>
      <c r="P20" s="119">
        <v>12</v>
      </c>
      <c r="Q20" s="107">
        <v>-297.3</v>
      </c>
    </row>
    <row r="21" spans="1:17" x14ac:dyDescent="0.4">
      <c r="A21" s="55" t="s">
        <v>170</v>
      </c>
      <c r="B21" s="47">
        <v>3</v>
      </c>
      <c r="C21" s="135">
        <v>0</v>
      </c>
      <c r="E21" s="63" t="s">
        <v>77</v>
      </c>
      <c r="F21" s="60" t="s">
        <v>32</v>
      </c>
      <c r="G21" s="47">
        <v>0</v>
      </c>
      <c r="H21" s="133">
        <f>IF(B$17=0,0,G21/B$17)</f>
        <v>0</v>
      </c>
      <c r="I21" s="94">
        <v>1</v>
      </c>
      <c r="K21" s="38">
        <v>19</v>
      </c>
      <c r="L21" s="99">
        <v>-27.799999999999969</v>
      </c>
      <c r="N21" s="115" t="s">
        <v>182</v>
      </c>
      <c r="O21" s="125">
        <f>IF(P21=0,0,Q21/P21)</f>
        <v>-107.2</v>
      </c>
      <c r="P21" s="119">
        <v>2</v>
      </c>
      <c r="Q21" s="107">
        <v>-214.4</v>
      </c>
    </row>
    <row r="22" spans="1:17" x14ac:dyDescent="0.4">
      <c r="A22" s="55" t="s">
        <v>171</v>
      </c>
      <c r="B22" s="47">
        <v>25</v>
      </c>
      <c r="C22" s="135">
        <v>1</v>
      </c>
      <c r="E22" s="63" t="s">
        <v>78</v>
      </c>
      <c r="F22" s="60" t="s">
        <v>33</v>
      </c>
      <c r="G22" s="47">
        <v>0</v>
      </c>
      <c r="H22" s="133">
        <f>IF(B$17=0,0,G22/B$17)</f>
        <v>0</v>
      </c>
      <c r="I22" s="94">
        <v>4</v>
      </c>
      <c r="K22" s="38">
        <v>20</v>
      </c>
      <c r="L22" s="99">
        <v>-50.39999999999997</v>
      </c>
    </row>
    <row r="23" spans="1:17" x14ac:dyDescent="0.4">
      <c r="A23" s="55" t="s">
        <v>5</v>
      </c>
      <c r="B23" s="51">
        <f>IF(B$17=0,0,C23/B$17)</f>
        <v>10858.333333333334</v>
      </c>
      <c r="C23" s="41">
        <v>521200</v>
      </c>
      <c r="E23" s="63" t="s">
        <v>79</v>
      </c>
      <c r="F23" s="60" t="s">
        <v>34</v>
      </c>
      <c r="G23" s="47">
        <v>0</v>
      </c>
      <c r="H23" s="133">
        <f>IF(B$17=0,0,G23/B$17)</f>
        <v>0</v>
      </c>
      <c r="I23" s="94">
        <v>7</v>
      </c>
      <c r="K23" s="38">
        <v>21</v>
      </c>
      <c r="L23" s="99">
        <v>-59.89999999999997</v>
      </c>
    </row>
    <row r="24" spans="1:17" x14ac:dyDescent="0.4">
      <c r="A24" s="57" t="s">
        <v>14</v>
      </c>
      <c r="B24" s="52">
        <f>IF(B$20=0,0,C24/B$20)</f>
        <v>-9403.0303030303039</v>
      </c>
      <c r="C24" s="45">
        <v>-310300</v>
      </c>
      <c r="E24" s="63" t="s">
        <v>80</v>
      </c>
      <c r="F24" s="60" t="s">
        <v>35</v>
      </c>
      <c r="G24" s="47">
        <v>0</v>
      </c>
      <c r="H24" s="133">
        <f>IF(B$17=0,0,G24/B$17)</f>
        <v>0</v>
      </c>
      <c r="I24" s="94">
        <v>6</v>
      </c>
      <c r="K24" s="38">
        <v>22</v>
      </c>
      <c r="L24" s="99">
        <v>-21.799999999999969</v>
      </c>
    </row>
    <row r="25" spans="1:17" x14ac:dyDescent="0.4">
      <c r="A25" s="90" t="s">
        <v>141</v>
      </c>
      <c r="B25" s="144">
        <v>8</v>
      </c>
      <c r="C25" s="145"/>
      <c r="E25" s="63" t="s">
        <v>81</v>
      </c>
      <c r="F25" s="60" t="s">
        <v>36</v>
      </c>
      <c r="G25" s="47">
        <v>0</v>
      </c>
      <c r="H25" s="133">
        <f>IF(B$17=0,0,G25/B$17)</f>
        <v>0</v>
      </c>
      <c r="I25" s="94">
        <v>1</v>
      </c>
      <c r="K25" s="38">
        <v>23</v>
      </c>
      <c r="L25" s="99">
        <v>-10.299999999999969</v>
      </c>
    </row>
    <row r="26" spans="1:17" x14ac:dyDescent="0.4">
      <c r="A26" s="58" t="s">
        <v>151</v>
      </c>
      <c r="B26" s="142">
        <v>83000</v>
      </c>
      <c r="C26" s="143"/>
      <c r="E26" s="63" t="s">
        <v>83</v>
      </c>
      <c r="F26" s="60" t="s">
        <v>38</v>
      </c>
      <c r="G26" s="47">
        <v>0</v>
      </c>
      <c r="H26" s="133">
        <f>IF(B$17=0,0,G26/B$17)</f>
        <v>0</v>
      </c>
      <c r="I26" s="94">
        <v>1</v>
      </c>
      <c r="K26" s="38">
        <v>24</v>
      </c>
      <c r="L26" s="99">
        <v>-51.39999999999997</v>
      </c>
    </row>
    <row r="27" spans="1:17" x14ac:dyDescent="0.4">
      <c r="A27" s="57" t="s">
        <v>142</v>
      </c>
      <c r="B27" s="65">
        <v>0</v>
      </c>
      <c r="C27" s="42">
        <f>IF(B$3=0,0,B27/B$3)</f>
        <v>0</v>
      </c>
      <c r="E27" s="63" t="s">
        <v>85</v>
      </c>
      <c r="F27" s="60" t="s">
        <v>40</v>
      </c>
      <c r="G27" s="47">
        <v>0</v>
      </c>
      <c r="H27" s="133">
        <f>IF(B$17=0,0,G27/B$17)</f>
        <v>0</v>
      </c>
      <c r="I27" s="94">
        <v>3</v>
      </c>
    </row>
    <row r="28" spans="1:17" x14ac:dyDescent="0.4">
      <c r="E28" s="63" t="s">
        <v>86</v>
      </c>
      <c r="F28" s="60" t="s">
        <v>41</v>
      </c>
      <c r="G28" s="47">
        <v>0</v>
      </c>
      <c r="H28" s="133">
        <f>IF(B$17=0,0,G28/B$17)</f>
        <v>0</v>
      </c>
      <c r="I28" s="94">
        <v>5</v>
      </c>
    </row>
    <row r="29" spans="1:17" x14ac:dyDescent="0.4">
      <c r="E29" s="63" t="s">
        <v>88</v>
      </c>
      <c r="F29" s="60" t="s">
        <v>43</v>
      </c>
      <c r="G29" s="47">
        <v>0</v>
      </c>
      <c r="H29" s="133">
        <f>IF(B$17=0,0,G29/B$17)</f>
        <v>0</v>
      </c>
      <c r="I29" s="94">
        <v>3</v>
      </c>
    </row>
    <row r="30" spans="1:17" x14ac:dyDescent="0.4">
      <c r="E30" s="63" t="s">
        <v>89</v>
      </c>
      <c r="F30" s="60" t="s">
        <v>44</v>
      </c>
      <c r="G30" s="47">
        <v>0</v>
      </c>
      <c r="H30" s="133">
        <f>IF(B$17=0,0,G30/B$17)</f>
        <v>0</v>
      </c>
      <c r="I30" s="94">
        <v>4</v>
      </c>
    </row>
    <row r="31" spans="1:17" x14ac:dyDescent="0.4">
      <c r="E31" s="63" t="s">
        <v>91</v>
      </c>
      <c r="F31" s="60" t="s">
        <v>46</v>
      </c>
      <c r="G31" s="47">
        <v>0</v>
      </c>
      <c r="H31" s="133">
        <f>IF(B$17=0,0,G31/B$17)</f>
        <v>0</v>
      </c>
      <c r="I31" s="94">
        <v>3</v>
      </c>
    </row>
    <row r="32" spans="1:17" x14ac:dyDescent="0.4">
      <c r="E32" s="63" t="s">
        <v>94</v>
      </c>
      <c r="F32" s="60" t="s">
        <v>49</v>
      </c>
      <c r="G32" s="47">
        <v>0</v>
      </c>
      <c r="H32" s="133">
        <f>IF(B$17=0,0,G32/B$17)</f>
        <v>0</v>
      </c>
      <c r="I32" s="94">
        <v>1</v>
      </c>
    </row>
    <row r="33" spans="5:9" x14ac:dyDescent="0.4">
      <c r="E33" s="63" t="s">
        <v>95</v>
      </c>
      <c r="F33" s="60" t="s">
        <v>50</v>
      </c>
      <c r="G33" s="47">
        <v>0</v>
      </c>
      <c r="H33" s="133">
        <f>IF(B$17=0,0,G33/B$17)</f>
        <v>0</v>
      </c>
      <c r="I33" s="94">
        <v>1</v>
      </c>
    </row>
    <row r="34" spans="5:9" x14ac:dyDescent="0.4">
      <c r="E34" s="63" t="s">
        <v>96</v>
      </c>
      <c r="F34" s="60" t="s">
        <v>51</v>
      </c>
      <c r="G34" s="47">
        <v>0</v>
      </c>
      <c r="H34" s="133">
        <f>IF(B$17=0,0,G34/B$17)</f>
        <v>0</v>
      </c>
      <c r="I34" s="94">
        <v>3</v>
      </c>
    </row>
    <row r="35" spans="5:9" x14ac:dyDescent="0.4">
      <c r="E35" s="63" t="s">
        <v>97</v>
      </c>
      <c r="F35" s="60" t="s">
        <v>52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98</v>
      </c>
      <c r="F36" s="60" t="s">
        <v>53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99</v>
      </c>
      <c r="F37" s="60" t="s">
        <v>54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100</v>
      </c>
      <c r="F38" s="60" t="s">
        <v>55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101</v>
      </c>
      <c r="F39" s="60" t="s">
        <v>56</v>
      </c>
      <c r="G39" s="47">
        <v>0</v>
      </c>
      <c r="H39" s="133">
        <f>IF(B$17=0,0,G39/B$17)</f>
        <v>0</v>
      </c>
      <c r="I39" s="94">
        <v>1</v>
      </c>
    </row>
    <row r="40" spans="5:9" x14ac:dyDescent="0.4">
      <c r="E40" s="63" t="s">
        <v>102</v>
      </c>
      <c r="F40" s="60" t="s">
        <v>57</v>
      </c>
      <c r="G40" s="47">
        <v>0</v>
      </c>
      <c r="H40" s="133">
        <f>IF(B$17=0,0,G40/B$17)</f>
        <v>0</v>
      </c>
      <c r="I40" s="94">
        <v>3</v>
      </c>
    </row>
    <row r="41" spans="5:9" x14ac:dyDescent="0.4">
      <c r="E41" s="63" t="s">
        <v>103</v>
      </c>
      <c r="F41" s="60" t="s">
        <v>58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104</v>
      </c>
      <c r="F42" s="60" t="s">
        <v>59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105</v>
      </c>
      <c r="F43" s="60" t="s">
        <v>60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106</v>
      </c>
      <c r="F44" s="60" t="s">
        <v>113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107</v>
      </c>
      <c r="F45" s="60" t="s">
        <v>114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108</v>
      </c>
      <c r="F46" s="60" t="s">
        <v>115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109</v>
      </c>
      <c r="F47" s="60" t="s">
        <v>61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110</v>
      </c>
      <c r="F48" s="60" t="s">
        <v>62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111</v>
      </c>
      <c r="F49" s="60" t="s">
        <v>63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112</v>
      </c>
      <c r="F50" s="60" t="s">
        <v>64</v>
      </c>
      <c r="G50" s="47">
        <v>0</v>
      </c>
      <c r="H50" s="133">
        <f>IF(B$17=0,0,G50/B$17)</f>
        <v>0</v>
      </c>
      <c r="I50" s="94">
        <v>1</v>
      </c>
    </row>
    <row r="51" spans="5:9" x14ac:dyDescent="0.4">
      <c r="E51" s="136" t="s">
        <v>168</v>
      </c>
      <c r="F51" s="137" t="s">
        <v>169</v>
      </c>
      <c r="G51" s="48">
        <v>0</v>
      </c>
      <c r="H51" s="138">
        <f>IF(B$17=0,0,G51/B$17)</f>
        <v>0</v>
      </c>
      <c r="I51" s="139">
        <v>6</v>
      </c>
    </row>
    <row r="52" spans="5:9" x14ac:dyDescent="0.4">
      <c r="E52" s="64" t="s">
        <v>174</v>
      </c>
      <c r="F52" s="61" t="s">
        <v>175</v>
      </c>
      <c r="G52" s="49">
        <v>0</v>
      </c>
      <c r="H52" s="134">
        <f>IF(B$17=0,0,G52/B$17)</f>
        <v>0</v>
      </c>
      <c r="I52" s="95">
        <v>1</v>
      </c>
    </row>
  </sheetData>
  <sortState xmlns:xlrd2="http://schemas.microsoft.com/office/spreadsheetml/2017/richdata2" ref="N15:Q21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2B1A80-5589-4418-B056-13C01D49CBB1}">
  <sheetPr codeName="Sheet17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179</v>
      </c>
      <c r="C1" s="149"/>
      <c r="E1" s="129" t="s">
        <v>166</v>
      </c>
      <c r="F1" s="141" t="s">
        <v>116</v>
      </c>
      <c r="G1" s="140" t="s">
        <v>117</v>
      </c>
      <c r="H1" s="130" t="s">
        <v>118</v>
      </c>
      <c r="I1" s="141" t="s">
        <v>153</v>
      </c>
      <c r="K1" s="34" t="s">
        <v>20</v>
      </c>
      <c r="L1" s="35" t="s">
        <v>121</v>
      </c>
      <c r="M1" s="131"/>
      <c r="N1" s="113" t="s">
        <v>137</v>
      </c>
      <c r="O1" s="34" t="s">
        <v>138</v>
      </c>
      <c r="P1" s="117" t="s">
        <v>117</v>
      </c>
      <c r="Q1" s="101" t="s">
        <v>157</v>
      </c>
    </row>
    <row r="2" spans="1:17" x14ac:dyDescent="0.4">
      <c r="A2" s="54" t="s">
        <v>9</v>
      </c>
      <c r="B2" s="150">
        <v>26</v>
      </c>
      <c r="C2" s="151"/>
      <c r="E2" s="62" t="s">
        <v>73</v>
      </c>
      <c r="F2" s="59" t="s">
        <v>28</v>
      </c>
      <c r="G2" s="46">
        <v>50</v>
      </c>
      <c r="H2" s="132">
        <f>IF(B$17=0,0,G2/B$17)</f>
        <v>0.83333333333333337</v>
      </c>
      <c r="I2" s="93">
        <v>1</v>
      </c>
      <c r="K2" s="36">
        <v>0</v>
      </c>
      <c r="L2" s="98">
        <v>0</v>
      </c>
      <c r="N2" s="114" t="s">
        <v>131</v>
      </c>
      <c r="O2" s="121">
        <f t="shared" ref="O2:O7" si="0">IF(P2=0,0,Q2/P2)</f>
        <v>2123.0769230769229</v>
      </c>
      <c r="P2" s="118">
        <v>26</v>
      </c>
      <c r="Q2" s="102">
        <v>55200</v>
      </c>
    </row>
    <row r="3" spans="1:17" x14ac:dyDescent="0.4">
      <c r="A3" s="55" t="s">
        <v>8</v>
      </c>
      <c r="B3" s="152">
        <v>228</v>
      </c>
      <c r="C3" s="153"/>
      <c r="E3" s="63" t="s">
        <v>67</v>
      </c>
      <c r="F3" s="60" t="s">
        <v>23</v>
      </c>
      <c r="G3" s="47">
        <v>49</v>
      </c>
      <c r="H3" s="133">
        <f>IF(B$17=0,0,G3/B$17)</f>
        <v>0.81666666666666665</v>
      </c>
      <c r="I3" s="94">
        <v>3</v>
      </c>
      <c r="K3" s="38">
        <v>1</v>
      </c>
      <c r="L3" s="99">
        <v>46.9</v>
      </c>
      <c r="N3" s="115" t="s">
        <v>132</v>
      </c>
      <c r="O3" s="122">
        <f t="shared" si="0"/>
        <v>1144</v>
      </c>
      <c r="P3" s="119">
        <v>25</v>
      </c>
      <c r="Q3" s="103">
        <v>28600</v>
      </c>
    </row>
    <row r="4" spans="1:17" x14ac:dyDescent="0.4">
      <c r="A4" s="55" t="s">
        <v>6</v>
      </c>
      <c r="B4" s="154">
        <v>-54.099999999999994</v>
      </c>
      <c r="C4" s="155"/>
      <c r="E4" s="63" t="s">
        <v>65</v>
      </c>
      <c r="F4" s="60" t="s">
        <v>21</v>
      </c>
      <c r="G4" s="47">
        <v>27</v>
      </c>
      <c r="H4" s="133">
        <f>IF(B$17=0,0,G4/B$17)</f>
        <v>0.45</v>
      </c>
      <c r="I4" s="94">
        <v>5</v>
      </c>
      <c r="K4" s="38">
        <v>2</v>
      </c>
      <c r="L4" s="99">
        <v>8.1000000000000014</v>
      </c>
      <c r="N4" s="115" t="s">
        <v>133</v>
      </c>
      <c r="O4" s="122">
        <f t="shared" si="0"/>
        <v>-3220.8333333333335</v>
      </c>
      <c r="P4" s="119">
        <v>24</v>
      </c>
      <c r="Q4" s="103">
        <v>-77300</v>
      </c>
    </row>
    <row r="5" spans="1:17" x14ac:dyDescent="0.4">
      <c r="A5" s="55" t="s">
        <v>7</v>
      </c>
      <c r="B5" s="156">
        <f>IF(B$2=0,0,B$4/B$2)</f>
        <v>-2.0807692307692305</v>
      </c>
      <c r="C5" s="157"/>
      <c r="E5" s="63" t="s">
        <v>172</v>
      </c>
      <c r="F5" s="60" t="s">
        <v>173</v>
      </c>
      <c r="G5" s="47">
        <v>19</v>
      </c>
      <c r="H5" s="133">
        <f>IF(B$17=0,0,G5/B$17)</f>
        <v>0.31666666666666665</v>
      </c>
      <c r="I5" s="94">
        <v>9</v>
      </c>
      <c r="K5" s="38">
        <v>3</v>
      </c>
      <c r="L5" s="99">
        <v>25.8</v>
      </c>
      <c r="N5" s="115" t="s">
        <v>134</v>
      </c>
      <c r="O5" s="122">
        <f t="shared" si="0"/>
        <v>-318.18181818181819</v>
      </c>
      <c r="P5" s="119">
        <v>22</v>
      </c>
      <c r="Q5" s="103">
        <v>-7000</v>
      </c>
    </row>
    <row r="6" spans="1:17" x14ac:dyDescent="0.4">
      <c r="A6" s="55" t="s">
        <v>1</v>
      </c>
      <c r="B6" s="146">
        <f>IF(B$2=0,0,(B$7*1+B$8*2+B$9*3)/B$2)</f>
        <v>2.1538461538461537</v>
      </c>
      <c r="C6" s="147"/>
      <c r="E6" s="63" t="s">
        <v>69</v>
      </c>
      <c r="F6" s="60" t="s">
        <v>12</v>
      </c>
      <c r="G6" s="47">
        <v>17</v>
      </c>
      <c r="H6" s="133">
        <f>IF(B$17=0,0,G6/B$17)</f>
        <v>0.28333333333333333</v>
      </c>
      <c r="I6" s="94">
        <v>7</v>
      </c>
      <c r="K6" s="38">
        <v>4</v>
      </c>
      <c r="L6" s="99">
        <v>-19.3</v>
      </c>
      <c r="N6" s="115" t="s">
        <v>135</v>
      </c>
      <c r="O6" s="122">
        <f t="shared" si="0"/>
        <v>-1676.4705882352941</v>
      </c>
      <c r="P6" s="119">
        <v>17</v>
      </c>
      <c r="Q6" s="103">
        <v>-28500</v>
      </c>
    </row>
    <row r="7" spans="1:17" x14ac:dyDescent="0.4">
      <c r="A7" s="55" t="s">
        <v>2</v>
      </c>
      <c r="B7" s="47">
        <v>7</v>
      </c>
      <c r="C7" s="39">
        <f t="shared" ref="C7:C12" si="1">IF(B$2=0,0,B7/B$2)</f>
        <v>0.26923076923076922</v>
      </c>
      <c r="E7" s="63" t="s">
        <v>68</v>
      </c>
      <c r="F7" s="60" t="s">
        <v>24</v>
      </c>
      <c r="G7" s="47">
        <v>14</v>
      </c>
      <c r="H7" s="133">
        <f>IF(B$17=0,0,G7/B$17)</f>
        <v>0.23333333333333334</v>
      </c>
      <c r="I7" s="94">
        <v>7</v>
      </c>
      <c r="K7" s="38">
        <v>5</v>
      </c>
      <c r="L7" s="99">
        <v>-1.6000000000000014</v>
      </c>
      <c r="N7" s="116" t="s">
        <v>136</v>
      </c>
      <c r="O7" s="123">
        <f t="shared" si="0"/>
        <v>993.33333333333337</v>
      </c>
      <c r="P7" s="120">
        <v>15</v>
      </c>
      <c r="Q7" s="104">
        <v>14900</v>
      </c>
    </row>
    <row r="8" spans="1:17" x14ac:dyDescent="0.4">
      <c r="A8" s="55" t="s">
        <v>3</v>
      </c>
      <c r="B8" s="47">
        <v>8</v>
      </c>
      <c r="C8" s="39">
        <f t="shared" si="1"/>
        <v>0.30769230769230771</v>
      </c>
      <c r="E8" s="63" t="s">
        <v>70</v>
      </c>
      <c r="F8" s="60" t="s">
        <v>25</v>
      </c>
      <c r="G8" s="47">
        <v>7</v>
      </c>
      <c r="H8" s="133">
        <f>IF(B$17=0,0,G8/B$17)</f>
        <v>0.11666666666666667</v>
      </c>
      <c r="I8" s="94">
        <v>7</v>
      </c>
      <c r="K8" s="38">
        <v>6</v>
      </c>
      <c r="L8" s="99">
        <v>29.799999999999997</v>
      </c>
      <c r="N8" s="43"/>
      <c r="O8" s="127"/>
      <c r="P8" s="111"/>
      <c r="Q8" s="109"/>
    </row>
    <row r="9" spans="1:17" x14ac:dyDescent="0.4">
      <c r="A9" s="56" t="s">
        <v>4</v>
      </c>
      <c r="B9" s="48">
        <v>11</v>
      </c>
      <c r="C9" s="40">
        <f t="shared" si="1"/>
        <v>0.42307692307692307</v>
      </c>
      <c r="E9" s="63" t="s">
        <v>90</v>
      </c>
      <c r="F9" s="60" t="s">
        <v>45</v>
      </c>
      <c r="G9" s="47">
        <v>5</v>
      </c>
      <c r="H9" s="133">
        <f>IF(B$17=0,0,G9/B$17)</f>
        <v>8.3333333333333329E-2</v>
      </c>
      <c r="I9" s="94">
        <v>7</v>
      </c>
      <c r="K9" s="38">
        <v>7</v>
      </c>
      <c r="L9" s="99">
        <v>-16.300000000000004</v>
      </c>
      <c r="N9" s="113" t="s">
        <v>162</v>
      </c>
      <c r="O9" s="34" t="s">
        <v>121</v>
      </c>
      <c r="P9" s="117" t="s">
        <v>117</v>
      </c>
      <c r="Q9" s="105" t="s">
        <v>157</v>
      </c>
    </row>
    <row r="10" spans="1:17" x14ac:dyDescent="0.4">
      <c r="A10" s="56" t="s">
        <v>19</v>
      </c>
      <c r="B10" s="48">
        <v>3</v>
      </c>
      <c r="C10" s="40">
        <f t="shared" si="1"/>
        <v>0.11538461538461539</v>
      </c>
      <c r="E10" s="63" t="s">
        <v>80</v>
      </c>
      <c r="F10" s="60" t="s">
        <v>35</v>
      </c>
      <c r="G10" s="47">
        <v>4</v>
      </c>
      <c r="H10" s="133">
        <f>IF(B$17=0,0,G10/B$17)</f>
        <v>6.6666666666666666E-2</v>
      </c>
      <c r="I10" s="94">
        <v>1</v>
      </c>
      <c r="K10" s="38">
        <v>8</v>
      </c>
      <c r="L10" s="99">
        <v>-46.7</v>
      </c>
      <c r="N10" s="114" t="s">
        <v>163</v>
      </c>
      <c r="O10" s="124">
        <f>IF(P10=0,0,Q10/P10)</f>
        <v>1.2545454545454546</v>
      </c>
      <c r="P10" s="118">
        <v>11</v>
      </c>
      <c r="Q10" s="106">
        <v>13.8</v>
      </c>
    </row>
    <row r="11" spans="1:17" x14ac:dyDescent="0.4">
      <c r="A11" s="56" t="s">
        <v>139</v>
      </c>
      <c r="B11" s="48">
        <v>2</v>
      </c>
      <c r="C11" s="40">
        <f t="shared" si="1"/>
        <v>7.6923076923076927E-2</v>
      </c>
      <c r="E11" s="63" t="s">
        <v>84</v>
      </c>
      <c r="F11" s="60" t="s">
        <v>39</v>
      </c>
      <c r="G11" s="47">
        <v>4</v>
      </c>
      <c r="H11" s="133">
        <f>IF(B$17=0,0,G11/B$17)</f>
        <v>6.6666666666666666E-2</v>
      </c>
      <c r="I11" s="94">
        <v>4</v>
      </c>
      <c r="K11" s="38">
        <v>9</v>
      </c>
      <c r="L11" s="99">
        <v>-90.9</v>
      </c>
      <c r="N11" s="115" t="s">
        <v>164</v>
      </c>
      <c r="O11" s="125">
        <f>IF(P11=0,0,Q11/P11)</f>
        <v>2.7714285714285714</v>
      </c>
      <c r="P11" s="119">
        <v>7</v>
      </c>
      <c r="Q11" s="107">
        <v>19.399999999999999</v>
      </c>
    </row>
    <row r="12" spans="1:17" x14ac:dyDescent="0.4">
      <c r="A12" s="57" t="s">
        <v>159</v>
      </c>
      <c r="B12" s="49">
        <v>0</v>
      </c>
      <c r="C12" s="42">
        <f t="shared" si="1"/>
        <v>0</v>
      </c>
      <c r="E12" s="63" t="s">
        <v>66</v>
      </c>
      <c r="F12" s="60" t="s">
        <v>22</v>
      </c>
      <c r="G12" s="47">
        <v>3</v>
      </c>
      <c r="H12" s="133">
        <f>IF(B$17=0,0,G12/B$17)</f>
        <v>0.05</v>
      </c>
      <c r="I12" s="94">
        <v>10</v>
      </c>
      <c r="K12" s="38">
        <v>10</v>
      </c>
      <c r="L12" s="99">
        <v>-146.69999999999999</v>
      </c>
      <c r="N12" s="116" t="s">
        <v>165</v>
      </c>
      <c r="O12" s="126">
        <f>IF(P12=0,0,Q12/P12)</f>
        <v>-10.9125</v>
      </c>
      <c r="P12" s="120">
        <v>8</v>
      </c>
      <c r="Q12" s="108">
        <v>-87.3</v>
      </c>
    </row>
    <row r="13" spans="1:17" x14ac:dyDescent="0.4">
      <c r="A13" s="58" t="s">
        <v>122</v>
      </c>
      <c r="B13" s="50">
        <v>58</v>
      </c>
      <c r="C13" s="44">
        <f>IF(B$3=0,0,B13/B$3)</f>
        <v>0.25438596491228072</v>
      </c>
      <c r="E13" s="63" t="s">
        <v>71</v>
      </c>
      <c r="F13" s="60" t="s">
        <v>26</v>
      </c>
      <c r="G13" s="47">
        <v>3</v>
      </c>
      <c r="H13" s="133">
        <f>IF(B$17=0,0,G13/B$17)</f>
        <v>0.05</v>
      </c>
      <c r="I13" s="94">
        <v>7</v>
      </c>
      <c r="K13" s="38">
        <v>11</v>
      </c>
      <c r="L13" s="99">
        <v>-114.99999999999999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59</v>
      </c>
      <c r="C14" s="39">
        <f>IF(B$3=0,0,B14/B$3)</f>
        <v>0.25877192982456143</v>
      </c>
      <c r="E14" s="63" t="s">
        <v>72</v>
      </c>
      <c r="F14" s="60" t="s">
        <v>27</v>
      </c>
      <c r="G14" s="47">
        <v>2</v>
      </c>
      <c r="H14" s="133">
        <f>IF(B$17=0,0,G14/B$17)</f>
        <v>3.3333333333333333E-2</v>
      </c>
      <c r="I14" s="94">
        <v>9</v>
      </c>
      <c r="K14" s="38">
        <v>12</v>
      </c>
      <c r="L14" s="99">
        <v>-118.39999999999999</v>
      </c>
      <c r="N14" s="113" t="s">
        <v>154</v>
      </c>
      <c r="O14" s="34" t="s">
        <v>121</v>
      </c>
      <c r="P14" s="117" t="s">
        <v>117</v>
      </c>
      <c r="Q14" s="105" t="s">
        <v>157</v>
      </c>
    </row>
    <row r="15" spans="1:17" x14ac:dyDescent="0.4">
      <c r="A15" s="54" t="s">
        <v>124</v>
      </c>
      <c r="B15" s="46">
        <v>28</v>
      </c>
      <c r="C15" s="37">
        <f>IF(B$13=0,0,B15/B$13)</f>
        <v>0.48275862068965519</v>
      </c>
      <c r="E15" s="63" t="s">
        <v>79</v>
      </c>
      <c r="F15" s="60" t="s">
        <v>34</v>
      </c>
      <c r="G15" s="47">
        <v>2</v>
      </c>
      <c r="H15" s="133">
        <f>IF(B$17=0,0,G15/B$17)</f>
        <v>3.3333333333333333E-2</v>
      </c>
      <c r="I15" s="94">
        <v>4</v>
      </c>
      <c r="K15" s="38">
        <v>13</v>
      </c>
      <c r="L15" s="99">
        <v>-68.399999999999991</v>
      </c>
      <c r="N15" s="114" t="s">
        <v>196</v>
      </c>
      <c r="O15" s="124">
        <f>IF(P15=0,0,Q15/P15)</f>
        <v>53.179999999999993</v>
      </c>
      <c r="P15" s="118">
        <v>5</v>
      </c>
      <c r="Q15" s="106">
        <v>265.89999999999998</v>
      </c>
    </row>
    <row r="16" spans="1:17" x14ac:dyDescent="0.4">
      <c r="A16" s="54" t="s">
        <v>125</v>
      </c>
      <c r="B16" s="46">
        <v>26</v>
      </c>
      <c r="C16" s="37">
        <f>IF(B$14=0,0,B16/B$14)</f>
        <v>0.44067796610169491</v>
      </c>
      <c r="E16" s="63" t="s">
        <v>87</v>
      </c>
      <c r="F16" s="60" t="s">
        <v>42</v>
      </c>
      <c r="G16" s="47">
        <v>2</v>
      </c>
      <c r="H16" s="133">
        <f>IF(B$17=0,0,G16/B$17)</f>
        <v>3.3333333333333333E-2</v>
      </c>
      <c r="I16" s="94">
        <v>7</v>
      </c>
      <c r="K16" s="38">
        <v>14</v>
      </c>
      <c r="L16" s="99">
        <v>-25.79999999999999</v>
      </c>
      <c r="N16" s="115" t="s">
        <v>180</v>
      </c>
      <c r="O16" s="125">
        <f>IF(P16=0,0,Q16/P16)</f>
        <v>38.700000000000003</v>
      </c>
      <c r="P16" s="119">
        <v>5</v>
      </c>
      <c r="Q16" s="107">
        <v>193.5</v>
      </c>
    </row>
    <row r="17" spans="1:17" x14ac:dyDescent="0.4">
      <c r="A17" s="54" t="s">
        <v>10</v>
      </c>
      <c r="B17" s="46">
        <f>B19+B18</f>
        <v>60</v>
      </c>
      <c r="C17" s="37">
        <f>IF(B$3=0,0,B17/B$3)</f>
        <v>0.26315789473684209</v>
      </c>
      <c r="E17" s="63" t="s">
        <v>86</v>
      </c>
      <c r="F17" s="60" t="s">
        <v>41</v>
      </c>
      <c r="G17" s="47">
        <v>1</v>
      </c>
      <c r="H17" s="133">
        <f>IF(B$17=0,0,G17/B$17)</f>
        <v>1.6666666666666666E-2</v>
      </c>
      <c r="I17" s="94">
        <v>2</v>
      </c>
      <c r="K17" s="38">
        <v>15</v>
      </c>
      <c r="L17" s="99">
        <v>-35.499999999999986</v>
      </c>
      <c r="N17" s="115" t="s">
        <v>183</v>
      </c>
      <c r="O17" s="125">
        <f>IF(P17=0,0,Q17/P17)</f>
        <v>24.000000000000004</v>
      </c>
      <c r="P17" s="119">
        <v>5</v>
      </c>
      <c r="Q17" s="107">
        <v>120.00000000000001</v>
      </c>
    </row>
    <row r="18" spans="1:17" x14ac:dyDescent="0.4">
      <c r="A18" s="55" t="s">
        <v>12</v>
      </c>
      <c r="B18" s="47">
        <v>24</v>
      </c>
      <c r="C18" s="39">
        <f>IF(B$17=0,0,B18/B$17)</f>
        <v>0.4</v>
      </c>
      <c r="E18" s="63" t="s">
        <v>102</v>
      </c>
      <c r="F18" s="60" t="s">
        <v>57</v>
      </c>
      <c r="G18" s="47">
        <v>1</v>
      </c>
      <c r="H18" s="133">
        <f>IF(B$17=0,0,G18/B$17)</f>
        <v>1.6666666666666666E-2</v>
      </c>
      <c r="I18" s="94">
        <v>1</v>
      </c>
      <c r="K18" s="38">
        <v>16</v>
      </c>
      <c r="L18" s="99">
        <v>-35.599999999999987</v>
      </c>
      <c r="N18" s="115" t="s">
        <v>167</v>
      </c>
      <c r="O18" s="125">
        <f>IF(P18=0,0,Q18/P18)</f>
        <v>2.3333333333333335</v>
      </c>
      <c r="P18" s="119">
        <v>3</v>
      </c>
      <c r="Q18" s="107">
        <v>7</v>
      </c>
    </row>
    <row r="19" spans="1:17" x14ac:dyDescent="0.4">
      <c r="A19" s="55" t="s">
        <v>11</v>
      </c>
      <c r="B19" s="47">
        <v>36</v>
      </c>
      <c r="C19" s="39">
        <f>IF(B$17=0,0,B19/B$17)</f>
        <v>0.6</v>
      </c>
      <c r="E19" s="63" t="s">
        <v>168</v>
      </c>
      <c r="F19" s="60" t="s">
        <v>169</v>
      </c>
      <c r="G19" s="47">
        <v>1</v>
      </c>
      <c r="H19" s="133">
        <f>IF(B$17=0,0,G19/B$17)</f>
        <v>1.6666666666666666E-2</v>
      </c>
      <c r="I19" s="94">
        <v>2</v>
      </c>
      <c r="K19" s="38">
        <v>17</v>
      </c>
      <c r="L19" s="99">
        <v>-29.799999999999986</v>
      </c>
      <c r="N19" s="115" t="s">
        <v>178</v>
      </c>
      <c r="O19" s="125">
        <f>IF(P19=0,0,Q19/P19)</f>
        <v>-13.569230769230773</v>
      </c>
      <c r="P19" s="119">
        <v>13</v>
      </c>
      <c r="Q19" s="107">
        <v>-176.40000000000003</v>
      </c>
    </row>
    <row r="20" spans="1:17" x14ac:dyDescent="0.4">
      <c r="A20" s="55" t="s">
        <v>13</v>
      </c>
      <c r="B20" s="47">
        <v>35</v>
      </c>
      <c r="C20" s="39">
        <f>IF(B$3=0,0,B20/B$3)</f>
        <v>0.15350877192982457</v>
      </c>
      <c r="E20" s="63" t="s">
        <v>74</v>
      </c>
      <c r="F20" s="60" t="s">
        <v>29</v>
      </c>
      <c r="G20" s="47">
        <v>0</v>
      </c>
      <c r="H20" s="133">
        <f>IF(B$17=0,0,G20/B$17)</f>
        <v>0</v>
      </c>
      <c r="I20" s="94">
        <v>1</v>
      </c>
      <c r="K20" s="38">
        <v>18</v>
      </c>
      <c r="L20" s="99">
        <v>-62.399999999999991</v>
      </c>
      <c r="N20" s="115" t="s">
        <v>182</v>
      </c>
      <c r="O20" s="125">
        <f>IF(P20=0,0,Q20/P20)</f>
        <v>-15.5</v>
      </c>
      <c r="P20" s="119">
        <v>1</v>
      </c>
      <c r="Q20" s="107">
        <v>-15.5</v>
      </c>
    </row>
    <row r="21" spans="1:17" x14ac:dyDescent="0.4">
      <c r="A21" s="55" t="s">
        <v>170</v>
      </c>
      <c r="B21" s="47">
        <v>5</v>
      </c>
      <c r="C21" s="135">
        <v>0</v>
      </c>
      <c r="E21" s="63" t="s">
        <v>75</v>
      </c>
      <c r="F21" s="60" t="s">
        <v>30</v>
      </c>
      <c r="G21" s="47">
        <v>0</v>
      </c>
      <c r="H21" s="133">
        <f>IF(B$17=0,0,G21/B$17)</f>
        <v>0</v>
      </c>
      <c r="I21" s="94">
        <v>5</v>
      </c>
      <c r="K21" s="38">
        <v>19</v>
      </c>
      <c r="L21" s="99">
        <v>-56.399999999999991</v>
      </c>
      <c r="N21" s="115" t="s">
        <v>128</v>
      </c>
      <c r="O21" s="125">
        <f>IF(P21=0,0,Q21/P21)</f>
        <v>-27.133333333333336</v>
      </c>
      <c r="P21" s="119">
        <v>12</v>
      </c>
      <c r="Q21" s="107">
        <v>-325.60000000000002</v>
      </c>
    </row>
    <row r="22" spans="1:17" x14ac:dyDescent="0.4">
      <c r="A22" s="55" t="s">
        <v>171</v>
      </c>
      <c r="B22" s="47">
        <v>44</v>
      </c>
      <c r="C22" s="135">
        <v>0</v>
      </c>
      <c r="E22" s="63" t="s">
        <v>76</v>
      </c>
      <c r="F22" s="60" t="s">
        <v>31</v>
      </c>
      <c r="G22" s="47">
        <v>0</v>
      </c>
      <c r="H22" s="133">
        <f>IF(B$17=0,0,G22/B$17)</f>
        <v>0</v>
      </c>
      <c r="I22" s="94">
        <v>5</v>
      </c>
      <c r="K22" s="38">
        <v>20</v>
      </c>
      <c r="L22" s="99">
        <v>-93.199999999999989</v>
      </c>
      <c r="N22" s="115" t="s">
        <v>127</v>
      </c>
      <c r="O22" s="125">
        <f>IF(P22=0,0,Q22/P22)</f>
        <v>-28.900000000000002</v>
      </c>
      <c r="P22" s="119">
        <v>8</v>
      </c>
      <c r="Q22" s="107">
        <v>-231.20000000000002</v>
      </c>
    </row>
    <row r="23" spans="1:17" x14ac:dyDescent="0.4">
      <c r="A23" s="55" t="s">
        <v>5</v>
      </c>
      <c r="B23" s="51">
        <f>IF(B$17=0,0,C23/B$17)</f>
        <v>8395</v>
      </c>
      <c r="C23" s="41">
        <v>503700</v>
      </c>
      <c r="E23" s="63" t="s">
        <v>77</v>
      </c>
      <c r="F23" s="60" t="s">
        <v>32</v>
      </c>
      <c r="G23" s="47">
        <v>0</v>
      </c>
      <c r="H23" s="133">
        <f>IF(B$17=0,0,G23/B$17)</f>
        <v>0</v>
      </c>
      <c r="I23" s="94">
        <v>1</v>
      </c>
      <c r="K23" s="38">
        <v>21</v>
      </c>
      <c r="L23" s="99">
        <v>-123.69999999999999</v>
      </c>
    </row>
    <row r="24" spans="1:17" x14ac:dyDescent="0.4">
      <c r="A24" s="57" t="s">
        <v>14</v>
      </c>
      <c r="B24" s="52">
        <f>IF(B$20=0,0,C24/B$20)</f>
        <v>-6711.4285714285716</v>
      </c>
      <c r="C24" s="45">
        <v>-234900</v>
      </c>
      <c r="E24" s="63" t="s">
        <v>78</v>
      </c>
      <c r="F24" s="60" t="s">
        <v>33</v>
      </c>
      <c r="G24" s="47">
        <v>0</v>
      </c>
      <c r="H24" s="133">
        <f>IF(B$17=0,0,G24/B$17)</f>
        <v>0</v>
      </c>
      <c r="I24" s="94">
        <v>4</v>
      </c>
      <c r="K24" s="38">
        <v>22</v>
      </c>
      <c r="L24" s="99">
        <v>-66.999999999999986</v>
      </c>
    </row>
    <row r="25" spans="1:17" x14ac:dyDescent="0.4">
      <c r="A25" s="90" t="s">
        <v>141</v>
      </c>
      <c r="B25" s="144">
        <v>6</v>
      </c>
      <c r="C25" s="145"/>
      <c r="E25" s="63" t="s">
        <v>81</v>
      </c>
      <c r="F25" s="60" t="s">
        <v>36</v>
      </c>
      <c r="G25" s="47">
        <v>0</v>
      </c>
      <c r="H25" s="133">
        <f>IF(B$17=0,0,G25/B$17)</f>
        <v>0</v>
      </c>
      <c r="I25" s="94">
        <v>1</v>
      </c>
      <c r="K25" s="38">
        <v>23</v>
      </c>
      <c r="L25" s="99">
        <v>-59.599999999999987</v>
      </c>
    </row>
    <row r="26" spans="1:17" x14ac:dyDescent="0.4">
      <c r="A26" s="58" t="s">
        <v>151</v>
      </c>
      <c r="B26" s="142">
        <v>81700</v>
      </c>
      <c r="C26" s="143"/>
      <c r="E26" s="63" t="s">
        <v>82</v>
      </c>
      <c r="F26" s="60" t="s">
        <v>37</v>
      </c>
      <c r="G26" s="47">
        <v>0</v>
      </c>
      <c r="H26" s="133">
        <f>IF(B$17=0,0,G26/B$17)</f>
        <v>0</v>
      </c>
      <c r="I26" s="94">
        <v>9</v>
      </c>
      <c r="K26" s="38">
        <v>24</v>
      </c>
      <c r="L26" s="99">
        <v>-91.399999999999991</v>
      </c>
    </row>
    <row r="27" spans="1:17" x14ac:dyDescent="0.4">
      <c r="A27" s="57" t="s">
        <v>142</v>
      </c>
      <c r="B27" s="65">
        <v>1</v>
      </c>
      <c r="C27" s="42">
        <f>IF(B$3=0,0,B27/B$3)</f>
        <v>4.3859649122807015E-3</v>
      </c>
      <c r="E27" s="63" t="s">
        <v>83</v>
      </c>
      <c r="F27" s="60" t="s">
        <v>38</v>
      </c>
      <c r="G27" s="47">
        <v>0</v>
      </c>
      <c r="H27" s="133">
        <f>IF(B$17=0,0,G27/B$17)</f>
        <v>0</v>
      </c>
      <c r="I27" s="94">
        <v>1</v>
      </c>
      <c r="K27" s="38">
        <v>25</v>
      </c>
      <c r="L27" s="99">
        <v>-41.29999999999999</v>
      </c>
    </row>
    <row r="28" spans="1:17" x14ac:dyDescent="0.4">
      <c r="E28" s="63" t="s">
        <v>85</v>
      </c>
      <c r="F28" s="60" t="s">
        <v>40</v>
      </c>
      <c r="G28" s="47">
        <v>0</v>
      </c>
      <c r="H28" s="133">
        <f>IF(B$17=0,0,G28/B$17)</f>
        <v>0</v>
      </c>
      <c r="I28" s="94">
        <v>3</v>
      </c>
      <c r="K28" s="38">
        <v>26</v>
      </c>
      <c r="L28" s="99">
        <v>-54.099999999999994</v>
      </c>
    </row>
    <row r="29" spans="1:17" x14ac:dyDescent="0.4">
      <c r="E29" s="63" t="s">
        <v>88</v>
      </c>
      <c r="F29" s="60" t="s">
        <v>43</v>
      </c>
      <c r="G29" s="47">
        <v>0</v>
      </c>
      <c r="H29" s="133">
        <f>IF(B$17=0,0,G29/B$17)</f>
        <v>0</v>
      </c>
      <c r="I29" s="94">
        <v>3</v>
      </c>
    </row>
    <row r="30" spans="1:17" x14ac:dyDescent="0.4">
      <c r="E30" s="63" t="s">
        <v>89</v>
      </c>
      <c r="F30" s="60" t="s">
        <v>44</v>
      </c>
      <c r="G30" s="47">
        <v>0</v>
      </c>
      <c r="H30" s="133">
        <f>IF(B$17=0,0,G30/B$17)</f>
        <v>0</v>
      </c>
      <c r="I30" s="94">
        <v>4</v>
      </c>
    </row>
    <row r="31" spans="1:17" x14ac:dyDescent="0.4">
      <c r="E31" s="63" t="s">
        <v>91</v>
      </c>
      <c r="F31" s="60" t="s">
        <v>46</v>
      </c>
      <c r="G31" s="47">
        <v>0</v>
      </c>
      <c r="H31" s="133">
        <f>IF(B$17=0,0,G31/B$17)</f>
        <v>0</v>
      </c>
      <c r="I31" s="94">
        <v>3</v>
      </c>
    </row>
    <row r="32" spans="1:17" x14ac:dyDescent="0.4">
      <c r="E32" s="63" t="s">
        <v>92</v>
      </c>
      <c r="F32" s="60" t="s">
        <v>47</v>
      </c>
      <c r="G32" s="47">
        <v>0</v>
      </c>
      <c r="H32" s="133">
        <f>IF(B$17=0,0,G32/B$17)</f>
        <v>0</v>
      </c>
      <c r="I32" s="94">
        <v>7</v>
      </c>
    </row>
    <row r="33" spans="5:9" x14ac:dyDescent="0.4">
      <c r="E33" s="63" t="s">
        <v>93</v>
      </c>
      <c r="F33" s="60" t="s">
        <v>48</v>
      </c>
      <c r="G33" s="47">
        <v>0</v>
      </c>
      <c r="H33" s="133">
        <f>IF(B$17=0,0,G33/B$17)</f>
        <v>0</v>
      </c>
      <c r="I33" s="94">
        <v>4</v>
      </c>
    </row>
    <row r="34" spans="5:9" x14ac:dyDescent="0.4">
      <c r="E34" s="63" t="s">
        <v>94</v>
      </c>
      <c r="F34" s="60" t="s">
        <v>49</v>
      </c>
      <c r="G34" s="47">
        <v>0</v>
      </c>
      <c r="H34" s="133">
        <f>IF(B$17=0,0,G34/B$17)</f>
        <v>0</v>
      </c>
      <c r="I34" s="94">
        <v>1</v>
      </c>
    </row>
    <row r="35" spans="5:9" x14ac:dyDescent="0.4">
      <c r="E35" s="63" t="s">
        <v>95</v>
      </c>
      <c r="F35" s="60" t="s">
        <v>50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96</v>
      </c>
      <c r="F36" s="60" t="s">
        <v>51</v>
      </c>
      <c r="G36" s="47">
        <v>0</v>
      </c>
      <c r="H36" s="133">
        <f>IF(B$17=0,0,G36/B$17)</f>
        <v>0</v>
      </c>
      <c r="I36" s="94">
        <v>3</v>
      </c>
    </row>
    <row r="37" spans="5:9" x14ac:dyDescent="0.4">
      <c r="E37" s="63" t="s">
        <v>97</v>
      </c>
      <c r="F37" s="60" t="s">
        <v>52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98</v>
      </c>
      <c r="F38" s="60" t="s">
        <v>53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99</v>
      </c>
      <c r="F39" s="60" t="s">
        <v>54</v>
      </c>
      <c r="G39" s="47">
        <v>0</v>
      </c>
      <c r="H39" s="133">
        <f>IF(B$17=0,0,G39/B$17)</f>
        <v>0</v>
      </c>
      <c r="I39" s="94">
        <v>1</v>
      </c>
    </row>
    <row r="40" spans="5:9" x14ac:dyDescent="0.4">
      <c r="E40" s="63" t="s">
        <v>100</v>
      </c>
      <c r="F40" s="60" t="s">
        <v>55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101</v>
      </c>
      <c r="F41" s="60" t="s">
        <v>56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103</v>
      </c>
      <c r="F42" s="60" t="s">
        <v>58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104</v>
      </c>
      <c r="F43" s="60" t="s">
        <v>59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105</v>
      </c>
      <c r="F44" s="60" t="s">
        <v>60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106</v>
      </c>
      <c r="F45" s="60" t="s">
        <v>113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107</v>
      </c>
      <c r="F46" s="60" t="s">
        <v>114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108</v>
      </c>
      <c r="F47" s="60" t="s">
        <v>115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109</v>
      </c>
      <c r="F48" s="60" t="s">
        <v>61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110</v>
      </c>
      <c r="F49" s="60" t="s">
        <v>62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111</v>
      </c>
      <c r="F50" s="60" t="s">
        <v>63</v>
      </c>
      <c r="G50" s="47">
        <v>0</v>
      </c>
      <c r="H50" s="133">
        <f>IF(B$17=0,0,G50/B$17)</f>
        <v>0</v>
      </c>
      <c r="I50" s="94">
        <v>1</v>
      </c>
    </row>
    <row r="51" spans="5:9" x14ac:dyDescent="0.4">
      <c r="E51" s="136" t="s">
        <v>112</v>
      </c>
      <c r="F51" s="137" t="s">
        <v>64</v>
      </c>
      <c r="G51" s="48">
        <v>0</v>
      </c>
      <c r="H51" s="138">
        <f>IF(B$17=0,0,G51/B$17)</f>
        <v>0</v>
      </c>
      <c r="I51" s="139">
        <v>1</v>
      </c>
    </row>
    <row r="52" spans="5:9" x14ac:dyDescent="0.4">
      <c r="E52" s="64" t="s">
        <v>174</v>
      </c>
      <c r="F52" s="61" t="s">
        <v>175</v>
      </c>
      <c r="G52" s="49">
        <v>0</v>
      </c>
      <c r="H52" s="134">
        <f>IF(B$17=0,0,G52/B$17)</f>
        <v>0</v>
      </c>
      <c r="I52" s="95">
        <v>1</v>
      </c>
    </row>
  </sheetData>
  <sortState xmlns:xlrd2="http://schemas.microsoft.com/office/spreadsheetml/2017/richdata2" ref="N15:Q22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94A3C9-D91B-452A-BCDA-6708DA844413}">
  <sheetPr codeName="Sheet19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183</v>
      </c>
      <c r="C1" s="149"/>
      <c r="E1" s="129" t="s">
        <v>166</v>
      </c>
      <c r="F1" s="141" t="s">
        <v>116</v>
      </c>
      <c r="G1" s="140" t="s">
        <v>117</v>
      </c>
      <c r="H1" s="130" t="s">
        <v>118</v>
      </c>
      <c r="I1" s="141" t="s">
        <v>153</v>
      </c>
      <c r="K1" s="34" t="s">
        <v>20</v>
      </c>
      <c r="L1" s="35" t="s">
        <v>121</v>
      </c>
      <c r="M1" s="131"/>
      <c r="N1" s="113" t="s">
        <v>137</v>
      </c>
      <c r="O1" s="34" t="s">
        <v>138</v>
      </c>
      <c r="P1" s="117" t="s">
        <v>117</v>
      </c>
      <c r="Q1" s="101" t="s">
        <v>157</v>
      </c>
    </row>
    <row r="2" spans="1:17" x14ac:dyDescent="0.4">
      <c r="A2" s="54" t="s">
        <v>9</v>
      </c>
      <c r="B2" s="150">
        <v>15</v>
      </c>
      <c r="C2" s="151"/>
      <c r="E2" s="62" t="s">
        <v>67</v>
      </c>
      <c r="F2" s="59" t="s">
        <v>23</v>
      </c>
      <c r="G2" s="46">
        <v>22</v>
      </c>
      <c r="H2" s="132">
        <f>IF(B$17=0,0,G2/B$17)</f>
        <v>0.81481481481481477</v>
      </c>
      <c r="I2" s="93">
        <v>4</v>
      </c>
      <c r="K2" s="36">
        <v>0</v>
      </c>
      <c r="L2" s="98">
        <v>0</v>
      </c>
      <c r="N2" s="114" t="s">
        <v>131</v>
      </c>
      <c r="O2" s="121">
        <f t="shared" ref="O2:O7" si="0">IF(P2=0,0,Q2/P2)</f>
        <v>-2226.6666666666665</v>
      </c>
      <c r="P2" s="118">
        <v>15</v>
      </c>
      <c r="Q2" s="102">
        <v>-33400</v>
      </c>
    </row>
    <row r="3" spans="1:17" x14ac:dyDescent="0.4">
      <c r="A3" s="55" t="s">
        <v>8</v>
      </c>
      <c r="B3" s="152">
        <v>122</v>
      </c>
      <c r="C3" s="153"/>
      <c r="E3" s="63" t="s">
        <v>65</v>
      </c>
      <c r="F3" s="60" t="s">
        <v>21</v>
      </c>
      <c r="G3" s="47">
        <v>16</v>
      </c>
      <c r="H3" s="133">
        <f>IF(B$17=0,0,G3/B$17)</f>
        <v>0.59259259259259256</v>
      </c>
      <c r="I3" s="94">
        <v>2</v>
      </c>
      <c r="K3" s="38">
        <v>1</v>
      </c>
      <c r="L3" s="99">
        <v>-12</v>
      </c>
      <c r="N3" s="115" t="s">
        <v>132</v>
      </c>
      <c r="O3" s="122">
        <f t="shared" si="0"/>
        <v>-546.66666666666663</v>
      </c>
      <c r="P3" s="119">
        <v>15</v>
      </c>
      <c r="Q3" s="103">
        <v>-8200</v>
      </c>
    </row>
    <row r="4" spans="1:17" x14ac:dyDescent="0.4">
      <c r="A4" s="55" t="s">
        <v>6</v>
      </c>
      <c r="B4" s="154">
        <v>-272.50000000000006</v>
      </c>
      <c r="C4" s="155"/>
      <c r="E4" s="63" t="s">
        <v>73</v>
      </c>
      <c r="F4" s="60" t="s">
        <v>28</v>
      </c>
      <c r="G4" s="47">
        <v>14</v>
      </c>
      <c r="H4" s="133">
        <f>IF(B$17=0,0,G4/B$17)</f>
        <v>0.51851851851851849</v>
      </c>
      <c r="I4" s="94">
        <v>7</v>
      </c>
      <c r="K4" s="38">
        <v>2</v>
      </c>
      <c r="L4" s="99">
        <v>-40.6</v>
      </c>
      <c r="N4" s="115" t="s">
        <v>133</v>
      </c>
      <c r="O4" s="122">
        <f t="shared" si="0"/>
        <v>-2753.3333333333335</v>
      </c>
      <c r="P4" s="119">
        <v>15</v>
      </c>
      <c r="Q4" s="103">
        <v>-41300</v>
      </c>
    </row>
    <row r="5" spans="1:17" x14ac:dyDescent="0.4">
      <c r="A5" s="55" t="s">
        <v>7</v>
      </c>
      <c r="B5" s="156">
        <f>IF(B$2=0,0,B$4/B$2)</f>
        <v>-18.166666666666671</v>
      </c>
      <c r="C5" s="157"/>
      <c r="E5" s="63" t="s">
        <v>68</v>
      </c>
      <c r="F5" s="60" t="s">
        <v>24</v>
      </c>
      <c r="G5" s="47">
        <v>12</v>
      </c>
      <c r="H5" s="133">
        <f>IF(B$17=0,0,G5/B$17)</f>
        <v>0.44444444444444442</v>
      </c>
      <c r="I5" s="94">
        <v>2</v>
      </c>
      <c r="K5" s="38">
        <v>3</v>
      </c>
      <c r="L5" s="99">
        <v>-33.6</v>
      </c>
      <c r="N5" s="115" t="s">
        <v>134</v>
      </c>
      <c r="O5" s="122">
        <f t="shared" si="0"/>
        <v>-4764.2857142857147</v>
      </c>
      <c r="P5" s="119">
        <v>14</v>
      </c>
      <c r="Q5" s="103">
        <v>-66700</v>
      </c>
    </row>
    <row r="6" spans="1:17" x14ac:dyDescent="0.4">
      <c r="A6" s="55" t="s">
        <v>1</v>
      </c>
      <c r="B6" s="146">
        <f>IF(B$2=0,0,(B$7*1+B$8*2+B$9*3)/B$2)</f>
        <v>2.4666666666666668</v>
      </c>
      <c r="C6" s="147"/>
      <c r="E6" s="63" t="s">
        <v>172</v>
      </c>
      <c r="F6" s="60" t="s">
        <v>173</v>
      </c>
      <c r="G6" s="47">
        <v>9</v>
      </c>
      <c r="H6" s="133">
        <f>IF(B$17=0,0,G6/B$17)</f>
        <v>0.33333333333333331</v>
      </c>
      <c r="I6" s="94">
        <v>5</v>
      </c>
      <c r="K6" s="38">
        <v>4</v>
      </c>
      <c r="L6" s="99">
        <v>-80.5</v>
      </c>
      <c r="N6" s="115" t="s">
        <v>135</v>
      </c>
      <c r="O6" s="122">
        <f t="shared" si="0"/>
        <v>-207.69230769230768</v>
      </c>
      <c r="P6" s="119">
        <v>13</v>
      </c>
      <c r="Q6" s="103">
        <v>-2700</v>
      </c>
    </row>
    <row r="7" spans="1:17" x14ac:dyDescent="0.4">
      <c r="A7" s="55" t="s">
        <v>2</v>
      </c>
      <c r="B7" s="47">
        <v>1</v>
      </c>
      <c r="C7" s="39">
        <f t="shared" ref="C7:C12" si="1">IF(B$2=0,0,B7/B$2)</f>
        <v>6.6666666666666666E-2</v>
      </c>
      <c r="E7" s="63" t="s">
        <v>69</v>
      </c>
      <c r="F7" s="60" t="s">
        <v>12</v>
      </c>
      <c r="G7" s="47">
        <v>8</v>
      </c>
      <c r="H7" s="133">
        <f>IF(B$17=0,0,G7/B$17)</f>
        <v>0.29629629629629628</v>
      </c>
      <c r="I7" s="94">
        <v>4</v>
      </c>
      <c r="K7" s="38">
        <v>5</v>
      </c>
      <c r="L7" s="99">
        <v>-124.3</v>
      </c>
      <c r="N7" s="116" t="s">
        <v>136</v>
      </c>
      <c r="O7" s="123">
        <f t="shared" si="0"/>
        <v>-4563.636363636364</v>
      </c>
      <c r="P7" s="120">
        <v>11</v>
      </c>
      <c r="Q7" s="104">
        <v>-50200</v>
      </c>
    </row>
    <row r="8" spans="1:17" x14ac:dyDescent="0.4">
      <c r="A8" s="55" t="s">
        <v>3</v>
      </c>
      <c r="B8" s="47">
        <v>6</v>
      </c>
      <c r="C8" s="39">
        <f t="shared" si="1"/>
        <v>0.4</v>
      </c>
      <c r="E8" s="63" t="s">
        <v>66</v>
      </c>
      <c r="F8" s="60" t="s">
        <v>22</v>
      </c>
      <c r="G8" s="47">
        <v>4</v>
      </c>
      <c r="H8" s="133">
        <f>IF(B$17=0,0,G8/B$17)</f>
        <v>0.14814814814814814</v>
      </c>
      <c r="I8" s="94">
        <v>2</v>
      </c>
      <c r="K8" s="38">
        <v>6</v>
      </c>
      <c r="L8" s="99">
        <v>-159.6</v>
      </c>
      <c r="N8" s="43"/>
      <c r="O8" s="127"/>
      <c r="P8" s="111"/>
      <c r="Q8" s="109"/>
    </row>
    <row r="9" spans="1:17" x14ac:dyDescent="0.4">
      <c r="A9" s="56" t="s">
        <v>4</v>
      </c>
      <c r="B9" s="48">
        <v>8</v>
      </c>
      <c r="C9" s="40">
        <f t="shared" si="1"/>
        <v>0.53333333333333333</v>
      </c>
      <c r="E9" s="63" t="s">
        <v>84</v>
      </c>
      <c r="F9" s="60" t="s">
        <v>39</v>
      </c>
      <c r="G9" s="47">
        <v>3</v>
      </c>
      <c r="H9" s="133">
        <f>IF(B$17=0,0,G9/B$17)</f>
        <v>0.1111111111111111</v>
      </c>
      <c r="I9" s="94">
        <v>1</v>
      </c>
      <c r="K9" s="38">
        <v>7</v>
      </c>
      <c r="L9" s="99">
        <v>-99.5</v>
      </c>
      <c r="N9" s="113" t="s">
        <v>162</v>
      </c>
      <c r="O9" s="34" t="s">
        <v>121</v>
      </c>
      <c r="P9" s="117" t="s">
        <v>117</v>
      </c>
      <c r="Q9" s="105" t="s">
        <v>157</v>
      </c>
    </row>
    <row r="10" spans="1:17" x14ac:dyDescent="0.4">
      <c r="A10" s="56" t="s">
        <v>19</v>
      </c>
      <c r="B10" s="48">
        <v>3</v>
      </c>
      <c r="C10" s="40">
        <f t="shared" si="1"/>
        <v>0.2</v>
      </c>
      <c r="E10" s="63" t="s">
        <v>72</v>
      </c>
      <c r="F10" s="60" t="s">
        <v>27</v>
      </c>
      <c r="G10" s="47">
        <v>2</v>
      </c>
      <c r="H10" s="133">
        <f>IF(B$17=0,0,G10/B$17)</f>
        <v>7.407407407407407E-2</v>
      </c>
      <c r="I10" s="94">
        <v>3</v>
      </c>
      <c r="K10" s="38">
        <v>8</v>
      </c>
      <c r="L10" s="99">
        <v>-152.6</v>
      </c>
      <c r="N10" s="114" t="s">
        <v>163</v>
      </c>
      <c r="O10" s="124">
        <f>IF(P10=0,0,Q10/P10)</f>
        <v>-23.19</v>
      </c>
      <c r="P10" s="118">
        <v>10</v>
      </c>
      <c r="Q10" s="106">
        <v>-231.9</v>
      </c>
    </row>
    <row r="11" spans="1:17" x14ac:dyDescent="0.4">
      <c r="A11" s="56" t="s">
        <v>139</v>
      </c>
      <c r="B11" s="48">
        <v>1</v>
      </c>
      <c r="C11" s="40">
        <f t="shared" si="1"/>
        <v>6.6666666666666666E-2</v>
      </c>
      <c r="E11" s="63" t="s">
        <v>82</v>
      </c>
      <c r="F11" s="60" t="s">
        <v>37</v>
      </c>
      <c r="G11" s="47">
        <v>2</v>
      </c>
      <c r="H11" s="133">
        <f>IF(B$17=0,0,G11/B$17)</f>
        <v>7.407407407407407E-2</v>
      </c>
      <c r="I11" s="94">
        <v>1</v>
      </c>
      <c r="K11" s="38">
        <v>9</v>
      </c>
      <c r="L11" s="99">
        <v>-150.6</v>
      </c>
      <c r="N11" s="115" t="s">
        <v>164</v>
      </c>
      <c r="O11" s="125">
        <f>IF(P11=0,0,Q11/P11)</f>
        <v>10.600000000000001</v>
      </c>
      <c r="P11" s="119">
        <v>3</v>
      </c>
      <c r="Q11" s="107">
        <v>31.800000000000004</v>
      </c>
    </row>
    <row r="12" spans="1:17" x14ac:dyDescent="0.4">
      <c r="A12" s="57" t="s">
        <v>159</v>
      </c>
      <c r="B12" s="49">
        <v>0</v>
      </c>
      <c r="C12" s="42">
        <f t="shared" si="1"/>
        <v>0</v>
      </c>
      <c r="E12" s="63" t="s">
        <v>87</v>
      </c>
      <c r="F12" s="60" t="s">
        <v>42</v>
      </c>
      <c r="G12" s="47">
        <v>2</v>
      </c>
      <c r="H12" s="133">
        <f>IF(B$17=0,0,G12/B$17)</f>
        <v>7.407407407407407E-2</v>
      </c>
      <c r="I12" s="94">
        <v>1</v>
      </c>
      <c r="K12" s="38">
        <v>10</v>
      </c>
      <c r="L12" s="99">
        <v>-151.1</v>
      </c>
      <c r="N12" s="116" t="s">
        <v>165</v>
      </c>
      <c r="O12" s="126">
        <f>IF(P12=0,0,Q12/P12)</f>
        <v>-36.200000000000003</v>
      </c>
      <c r="P12" s="120">
        <v>2</v>
      </c>
      <c r="Q12" s="108">
        <v>-72.400000000000006</v>
      </c>
    </row>
    <row r="13" spans="1:17" x14ac:dyDescent="0.4">
      <c r="A13" s="58" t="s">
        <v>122</v>
      </c>
      <c r="B13" s="50">
        <v>31</v>
      </c>
      <c r="C13" s="44">
        <f>IF(B$3=0,0,B13/B$3)</f>
        <v>0.25409836065573771</v>
      </c>
      <c r="E13" s="63" t="s">
        <v>90</v>
      </c>
      <c r="F13" s="60" t="s">
        <v>45</v>
      </c>
      <c r="G13" s="47">
        <v>2</v>
      </c>
      <c r="H13" s="133">
        <f>IF(B$17=0,0,G13/B$17)</f>
        <v>7.407407407407407E-2</v>
      </c>
      <c r="I13" s="94">
        <v>8</v>
      </c>
      <c r="K13" s="38">
        <v>11</v>
      </c>
      <c r="L13" s="99">
        <v>-175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28</v>
      </c>
      <c r="C14" s="39">
        <f>IF(B$3=0,0,B14/B$3)</f>
        <v>0.22950819672131148</v>
      </c>
      <c r="E14" s="63" t="s">
        <v>70</v>
      </c>
      <c r="F14" s="60" t="s">
        <v>25</v>
      </c>
      <c r="G14" s="47">
        <v>1</v>
      </c>
      <c r="H14" s="133">
        <f>IF(B$17=0,0,G14/B$17)</f>
        <v>3.7037037037037035E-2</v>
      </c>
      <c r="I14" s="94">
        <v>10</v>
      </c>
      <c r="K14" s="38">
        <v>12</v>
      </c>
      <c r="L14" s="99">
        <v>-176.9</v>
      </c>
      <c r="N14" s="113" t="s">
        <v>154</v>
      </c>
      <c r="O14" s="34" t="s">
        <v>121</v>
      </c>
      <c r="P14" s="117" t="s">
        <v>117</v>
      </c>
      <c r="Q14" s="105" t="s">
        <v>157</v>
      </c>
    </row>
    <row r="15" spans="1:17" x14ac:dyDescent="0.4">
      <c r="A15" s="54" t="s">
        <v>124</v>
      </c>
      <c r="B15" s="46">
        <v>16</v>
      </c>
      <c r="C15" s="37">
        <f>IF(B$13=0,0,B15/B$13)</f>
        <v>0.5161290322580645</v>
      </c>
      <c r="E15" s="63" t="s">
        <v>71</v>
      </c>
      <c r="F15" s="60" t="s">
        <v>26</v>
      </c>
      <c r="G15" s="47">
        <v>1</v>
      </c>
      <c r="H15" s="133">
        <f>IF(B$17=0,0,G15/B$17)</f>
        <v>3.7037037037037035E-2</v>
      </c>
      <c r="I15" s="94">
        <v>10</v>
      </c>
      <c r="K15" s="38">
        <v>13</v>
      </c>
      <c r="L15" s="99">
        <v>-217.60000000000002</v>
      </c>
      <c r="N15" s="114" t="s">
        <v>167</v>
      </c>
      <c r="O15" s="124">
        <f>IF(P15=0,0,Q15/P15)</f>
        <v>25.7</v>
      </c>
      <c r="P15" s="118">
        <v>2</v>
      </c>
      <c r="Q15" s="106">
        <v>51.4</v>
      </c>
    </row>
    <row r="16" spans="1:17" x14ac:dyDescent="0.4">
      <c r="A16" s="54" t="s">
        <v>125</v>
      </c>
      <c r="B16" s="46">
        <v>10</v>
      </c>
      <c r="C16" s="37">
        <f>IF(B$14=0,0,B16/B$14)</f>
        <v>0.35714285714285715</v>
      </c>
      <c r="E16" s="63" t="s">
        <v>75</v>
      </c>
      <c r="F16" s="60" t="s">
        <v>30</v>
      </c>
      <c r="G16" s="47">
        <v>1</v>
      </c>
      <c r="H16" s="133">
        <f>IF(B$17=0,0,G16/B$17)</f>
        <v>3.7037037037037035E-2</v>
      </c>
      <c r="I16" s="94">
        <v>1</v>
      </c>
      <c r="K16" s="38">
        <v>14</v>
      </c>
      <c r="L16" s="99">
        <v>-266.90000000000003</v>
      </c>
      <c r="N16" s="115" t="s">
        <v>178</v>
      </c>
      <c r="O16" s="125">
        <f>IF(P16=0,0,Q16/P16)</f>
        <v>-1.7749999999999977</v>
      </c>
      <c r="P16" s="119">
        <v>8</v>
      </c>
      <c r="Q16" s="107">
        <v>-14.199999999999982</v>
      </c>
    </row>
    <row r="17" spans="1:17" x14ac:dyDescent="0.4">
      <c r="A17" s="54" t="s">
        <v>10</v>
      </c>
      <c r="B17" s="46">
        <f>B19+B18</f>
        <v>27</v>
      </c>
      <c r="C17" s="37">
        <f>IF(B$3=0,0,B17/B$3)</f>
        <v>0.22131147540983606</v>
      </c>
      <c r="E17" s="63" t="s">
        <v>79</v>
      </c>
      <c r="F17" s="60" t="s">
        <v>34</v>
      </c>
      <c r="G17" s="47">
        <v>1</v>
      </c>
      <c r="H17" s="133">
        <f>IF(B$17=0,0,G17/B$17)</f>
        <v>3.7037037037037035E-2</v>
      </c>
      <c r="I17" s="94">
        <v>2</v>
      </c>
      <c r="K17" s="38">
        <v>15</v>
      </c>
      <c r="L17" s="99">
        <v>-272.50000000000006</v>
      </c>
      <c r="N17" s="115" t="s">
        <v>179</v>
      </c>
      <c r="O17" s="125">
        <f>IF(P17=0,0,Q17/P17)</f>
        <v>-24.000000000000004</v>
      </c>
      <c r="P17" s="119">
        <v>5</v>
      </c>
      <c r="Q17" s="107">
        <v>-120.00000000000001</v>
      </c>
    </row>
    <row r="18" spans="1:17" x14ac:dyDescent="0.4">
      <c r="A18" s="55" t="s">
        <v>12</v>
      </c>
      <c r="B18" s="47">
        <v>13</v>
      </c>
      <c r="C18" s="39">
        <f>IF(B$17=0,0,B18/B$17)</f>
        <v>0.48148148148148145</v>
      </c>
      <c r="E18" s="63" t="s">
        <v>74</v>
      </c>
      <c r="F18" s="60" t="s">
        <v>29</v>
      </c>
      <c r="G18" s="47">
        <v>0</v>
      </c>
      <c r="H18" s="133">
        <f>IF(B$17=0,0,G18/B$17)</f>
        <v>0</v>
      </c>
      <c r="I18" s="94">
        <v>1</v>
      </c>
      <c r="N18" s="115" t="s">
        <v>180</v>
      </c>
      <c r="O18" s="125">
        <f>IF(P18=0,0,Q18/P18)</f>
        <v>-25.799999999999997</v>
      </c>
      <c r="P18" s="119">
        <v>1</v>
      </c>
      <c r="Q18" s="107">
        <v>-25.799999999999997</v>
      </c>
    </row>
    <row r="19" spans="1:17" x14ac:dyDescent="0.4">
      <c r="A19" s="55" t="s">
        <v>11</v>
      </c>
      <c r="B19" s="47">
        <v>14</v>
      </c>
      <c r="C19" s="39">
        <f>IF(B$17=0,0,B19/B$17)</f>
        <v>0.51851851851851849</v>
      </c>
      <c r="E19" s="63" t="s">
        <v>76</v>
      </c>
      <c r="F19" s="60" t="s">
        <v>31</v>
      </c>
      <c r="G19" s="47">
        <v>0</v>
      </c>
      <c r="H19" s="133">
        <f>IF(B$17=0,0,G19/B$17)</f>
        <v>0</v>
      </c>
      <c r="I19" s="94">
        <v>5</v>
      </c>
      <c r="N19" s="115" t="s">
        <v>127</v>
      </c>
      <c r="O19" s="125">
        <f>IF(P19=0,0,Q19/P19)</f>
        <v>-40.333333333333336</v>
      </c>
      <c r="P19" s="119">
        <v>3</v>
      </c>
      <c r="Q19" s="107">
        <v>-121</v>
      </c>
    </row>
    <row r="20" spans="1:17" x14ac:dyDescent="0.4">
      <c r="A20" s="55" t="s">
        <v>13</v>
      </c>
      <c r="B20" s="47">
        <v>25</v>
      </c>
      <c r="C20" s="39">
        <f>IF(B$3=0,0,B20/B$3)</f>
        <v>0.20491803278688525</v>
      </c>
      <c r="E20" s="63" t="s">
        <v>77</v>
      </c>
      <c r="F20" s="60" t="s">
        <v>32</v>
      </c>
      <c r="G20" s="47">
        <v>0</v>
      </c>
      <c r="H20" s="133">
        <f>IF(B$17=0,0,G20/B$17)</f>
        <v>0</v>
      </c>
      <c r="I20" s="94">
        <v>1</v>
      </c>
      <c r="N20" s="115" t="s">
        <v>128</v>
      </c>
      <c r="O20" s="125">
        <f>IF(P20=0,0,Q20/P20)</f>
        <v>-49.339999999999996</v>
      </c>
      <c r="P20" s="119">
        <v>5</v>
      </c>
      <c r="Q20" s="107">
        <v>-246.7</v>
      </c>
    </row>
    <row r="21" spans="1:17" x14ac:dyDescent="0.4">
      <c r="A21" s="55" t="s">
        <v>170</v>
      </c>
      <c r="B21" s="47">
        <v>4</v>
      </c>
      <c r="C21" s="135">
        <v>0</v>
      </c>
      <c r="E21" s="63" t="s">
        <v>78</v>
      </c>
      <c r="F21" s="60" t="s">
        <v>33</v>
      </c>
      <c r="G21" s="47">
        <v>0</v>
      </c>
      <c r="H21" s="133">
        <f>IF(B$17=0,0,G21/B$17)</f>
        <v>0</v>
      </c>
      <c r="I21" s="94">
        <v>4</v>
      </c>
      <c r="N21" s="115" t="s">
        <v>182</v>
      </c>
      <c r="O21" s="125">
        <f>IF(P21=0,0,Q21/P21)</f>
        <v>-52.525000000000006</v>
      </c>
      <c r="P21" s="119">
        <v>4</v>
      </c>
      <c r="Q21" s="107">
        <v>-210.10000000000002</v>
      </c>
    </row>
    <row r="22" spans="1:17" x14ac:dyDescent="0.4">
      <c r="A22" s="55" t="s">
        <v>171</v>
      </c>
      <c r="B22" s="47">
        <v>16</v>
      </c>
      <c r="C22" s="135">
        <v>7</v>
      </c>
      <c r="E22" s="63" t="s">
        <v>80</v>
      </c>
      <c r="F22" s="60" t="s">
        <v>35</v>
      </c>
      <c r="G22" s="47">
        <v>0</v>
      </c>
      <c r="H22" s="133">
        <f>IF(B$17=0,0,G22/B$17)</f>
        <v>0</v>
      </c>
      <c r="I22" s="94">
        <v>6</v>
      </c>
      <c r="N22" s="115" t="s">
        <v>196</v>
      </c>
      <c r="O22" s="125">
        <f>IF(P22=0,0,Q22/P22)</f>
        <v>-65.55</v>
      </c>
      <c r="P22" s="119">
        <v>2</v>
      </c>
      <c r="Q22" s="107">
        <v>-131.1</v>
      </c>
    </row>
    <row r="23" spans="1:17" x14ac:dyDescent="0.4">
      <c r="A23" s="55" t="s">
        <v>5</v>
      </c>
      <c r="B23" s="51">
        <f>IF(B$17=0,0,C23/B$17)</f>
        <v>8133.333333333333</v>
      </c>
      <c r="C23" s="41">
        <v>219600</v>
      </c>
      <c r="E23" s="63" t="s">
        <v>81</v>
      </c>
      <c r="F23" s="60" t="s">
        <v>36</v>
      </c>
      <c r="G23" s="47">
        <v>0</v>
      </c>
      <c r="H23" s="133">
        <f>IF(B$17=0,0,G23/B$17)</f>
        <v>0</v>
      </c>
      <c r="I23" s="94">
        <v>1</v>
      </c>
    </row>
    <row r="24" spans="1:17" x14ac:dyDescent="0.4">
      <c r="A24" s="57" t="s">
        <v>14</v>
      </c>
      <c r="B24" s="52">
        <f>IF(B$20=0,0,C24/B$20)</f>
        <v>-9804</v>
      </c>
      <c r="C24" s="45">
        <v>-245100</v>
      </c>
      <c r="E24" s="63" t="s">
        <v>83</v>
      </c>
      <c r="F24" s="60" t="s">
        <v>38</v>
      </c>
      <c r="G24" s="47">
        <v>0</v>
      </c>
      <c r="H24" s="133">
        <f>IF(B$17=0,0,G24/B$17)</f>
        <v>0</v>
      </c>
      <c r="I24" s="94">
        <v>1</v>
      </c>
    </row>
    <row r="25" spans="1:17" x14ac:dyDescent="0.4">
      <c r="A25" s="90" t="s">
        <v>141</v>
      </c>
      <c r="B25" s="144">
        <v>6</v>
      </c>
      <c r="C25" s="145"/>
      <c r="E25" s="63" t="s">
        <v>85</v>
      </c>
      <c r="F25" s="60" t="s">
        <v>40</v>
      </c>
      <c r="G25" s="47">
        <v>0</v>
      </c>
      <c r="H25" s="133">
        <f>IF(B$17=0,0,G25/B$17)</f>
        <v>0</v>
      </c>
      <c r="I25" s="94">
        <v>3</v>
      </c>
    </row>
    <row r="26" spans="1:17" x14ac:dyDescent="0.4">
      <c r="A26" s="58" t="s">
        <v>151</v>
      </c>
      <c r="B26" s="142">
        <v>85100</v>
      </c>
      <c r="C26" s="143"/>
      <c r="E26" s="63" t="s">
        <v>86</v>
      </c>
      <c r="F26" s="60" t="s">
        <v>41</v>
      </c>
      <c r="G26" s="47">
        <v>0</v>
      </c>
      <c r="H26" s="133">
        <f>IF(B$17=0,0,G26/B$17)</f>
        <v>0</v>
      </c>
      <c r="I26" s="94">
        <v>5</v>
      </c>
    </row>
    <row r="27" spans="1:17" x14ac:dyDescent="0.4">
      <c r="A27" s="57" t="s">
        <v>142</v>
      </c>
      <c r="B27" s="65">
        <v>0</v>
      </c>
      <c r="C27" s="42">
        <f>IF(B$3=0,0,B27/B$3)</f>
        <v>0</v>
      </c>
      <c r="E27" s="63" t="s">
        <v>88</v>
      </c>
      <c r="F27" s="60" t="s">
        <v>43</v>
      </c>
      <c r="G27" s="47">
        <v>0</v>
      </c>
      <c r="H27" s="133">
        <f>IF(B$17=0,0,G27/B$17)</f>
        <v>0</v>
      </c>
      <c r="I27" s="94">
        <v>3</v>
      </c>
    </row>
    <row r="28" spans="1:17" x14ac:dyDescent="0.4">
      <c r="E28" s="63" t="s">
        <v>89</v>
      </c>
      <c r="F28" s="60" t="s">
        <v>44</v>
      </c>
      <c r="G28" s="47">
        <v>0</v>
      </c>
      <c r="H28" s="133">
        <f>IF(B$17=0,0,G28/B$17)</f>
        <v>0</v>
      </c>
      <c r="I28" s="94">
        <v>4</v>
      </c>
    </row>
    <row r="29" spans="1:17" x14ac:dyDescent="0.4">
      <c r="E29" s="63" t="s">
        <v>91</v>
      </c>
      <c r="F29" s="60" t="s">
        <v>46</v>
      </c>
      <c r="G29" s="47">
        <v>0</v>
      </c>
      <c r="H29" s="133">
        <f>IF(B$17=0,0,G29/B$17)</f>
        <v>0</v>
      </c>
      <c r="I29" s="94">
        <v>3</v>
      </c>
    </row>
    <row r="30" spans="1:17" x14ac:dyDescent="0.4">
      <c r="E30" s="63" t="s">
        <v>92</v>
      </c>
      <c r="F30" s="60" t="s">
        <v>47</v>
      </c>
      <c r="G30" s="47">
        <v>0</v>
      </c>
      <c r="H30" s="133">
        <f>IF(B$17=0,0,G30/B$17)</f>
        <v>0</v>
      </c>
      <c r="I30" s="94">
        <v>7</v>
      </c>
    </row>
    <row r="31" spans="1:17" x14ac:dyDescent="0.4">
      <c r="E31" s="63" t="s">
        <v>93</v>
      </c>
      <c r="F31" s="60" t="s">
        <v>48</v>
      </c>
      <c r="G31" s="47">
        <v>0</v>
      </c>
      <c r="H31" s="133">
        <f>IF(B$17=0,0,G31/B$17)</f>
        <v>0</v>
      </c>
      <c r="I31" s="94">
        <v>4</v>
      </c>
    </row>
    <row r="32" spans="1:17" x14ac:dyDescent="0.4">
      <c r="E32" s="63" t="s">
        <v>94</v>
      </c>
      <c r="F32" s="60" t="s">
        <v>49</v>
      </c>
      <c r="G32" s="47">
        <v>0</v>
      </c>
      <c r="H32" s="133">
        <f>IF(B$17=0,0,G32/B$17)</f>
        <v>0</v>
      </c>
      <c r="I32" s="94">
        <v>1</v>
      </c>
    </row>
    <row r="33" spans="5:9" x14ac:dyDescent="0.4">
      <c r="E33" s="63" t="s">
        <v>95</v>
      </c>
      <c r="F33" s="60" t="s">
        <v>50</v>
      </c>
      <c r="G33" s="47">
        <v>0</v>
      </c>
      <c r="H33" s="133">
        <f>IF(B$17=0,0,G33/B$17)</f>
        <v>0</v>
      </c>
      <c r="I33" s="94">
        <v>1</v>
      </c>
    </row>
    <row r="34" spans="5:9" x14ac:dyDescent="0.4">
      <c r="E34" s="63" t="s">
        <v>96</v>
      </c>
      <c r="F34" s="60" t="s">
        <v>51</v>
      </c>
      <c r="G34" s="47">
        <v>0</v>
      </c>
      <c r="H34" s="133">
        <f>IF(B$17=0,0,G34/B$17)</f>
        <v>0</v>
      </c>
      <c r="I34" s="94">
        <v>3</v>
      </c>
    </row>
    <row r="35" spans="5:9" x14ac:dyDescent="0.4">
      <c r="E35" s="63" t="s">
        <v>97</v>
      </c>
      <c r="F35" s="60" t="s">
        <v>52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98</v>
      </c>
      <c r="F36" s="60" t="s">
        <v>53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99</v>
      </c>
      <c r="F37" s="60" t="s">
        <v>54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100</v>
      </c>
      <c r="F38" s="60" t="s">
        <v>55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101</v>
      </c>
      <c r="F39" s="60" t="s">
        <v>56</v>
      </c>
      <c r="G39" s="47">
        <v>0</v>
      </c>
      <c r="H39" s="133">
        <f>IF(B$17=0,0,G39/B$17)</f>
        <v>0</v>
      </c>
      <c r="I39" s="94">
        <v>1</v>
      </c>
    </row>
    <row r="40" spans="5:9" x14ac:dyDescent="0.4">
      <c r="E40" s="63" t="s">
        <v>102</v>
      </c>
      <c r="F40" s="60" t="s">
        <v>57</v>
      </c>
      <c r="G40" s="47">
        <v>0</v>
      </c>
      <c r="H40" s="133">
        <f>IF(B$17=0,0,G40/B$17)</f>
        <v>0</v>
      </c>
      <c r="I40" s="94">
        <v>3</v>
      </c>
    </row>
    <row r="41" spans="5:9" x14ac:dyDescent="0.4">
      <c r="E41" s="63" t="s">
        <v>103</v>
      </c>
      <c r="F41" s="60" t="s">
        <v>58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104</v>
      </c>
      <c r="F42" s="60" t="s">
        <v>59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105</v>
      </c>
      <c r="F43" s="60" t="s">
        <v>60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106</v>
      </c>
      <c r="F44" s="60" t="s">
        <v>113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107</v>
      </c>
      <c r="F45" s="60" t="s">
        <v>114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108</v>
      </c>
      <c r="F46" s="60" t="s">
        <v>115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109</v>
      </c>
      <c r="F47" s="60" t="s">
        <v>61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110</v>
      </c>
      <c r="F48" s="60" t="s">
        <v>62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111</v>
      </c>
      <c r="F49" s="60" t="s">
        <v>63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112</v>
      </c>
      <c r="F50" s="60" t="s">
        <v>64</v>
      </c>
      <c r="G50" s="47">
        <v>0</v>
      </c>
      <c r="H50" s="133">
        <f>IF(B$17=0,0,G50/B$17)</f>
        <v>0</v>
      </c>
      <c r="I50" s="94">
        <v>1</v>
      </c>
    </row>
    <row r="51" spans="5:9" x14ac:dyDescent="0.4">
      <c r="E51" s="136" t="s">
        <v>168</v>
      </c>
      <c r="F51" s="137" t="s">
        <v>169</v>
      </c>
      <c r="G51" s="48">
        <v>0</v>
      </c>
      <c r="H51" s="138">
        <f>IF(B$17=0,0,G51/B$17)</f>
        <v>0</v>
      </c>
      <c r="I51" s="139">
        <v>6</v>
      </c>
    </row>
    <row r="52" spans="5:9" x14ac:dyDescent="0.4">
      <c r="E52" s="64" t="s">
        <v>174</v>
      </c>
      <c r="F52" s="61" t="s">
        <v>175</v>
      </c>
      <c r="G52" s="49">
        <v>0</v>
      </c>
      <c r="H52" s="134">
        <f>IF(B$17=0,0,G52/B$17)</f>
        <v>0</v>
      </c>
      <c r="I52" s="95">
        <v>1</v>
      </c>
    </row>
  </sheetData>
  <sortState xmlns:xlrd2="http://schemas.microsoft.com/office/spreadsheetml/2017/richdata2" ref="N15:Q22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98F2EE-C611-4B07-9544-652CB4A08734}">
  <sheetPr codeName="Sheet21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182</v>
      </c>
      <c r="C1" s="149"/>
      <c r="E1" s="129" t="s">
        <v>166</v>
      </c>
      <c r="F1" s="141" t="s">
        <v>116</v>
      </c>
      <c r="G1" s="140" t="s">
        <v>117</v>
      </c>
      <c r="H1" s="130" t="s">
        <v>118</v>
      </c>
      <c r="I1" s="141" t="s">
        <v>153</v>
      </c>
      <c r="K1" s="34" t="s">
        <v>20</v>
      </c>
      <c r="L1" s="35" t="s">
        <v>121</v>
      </c>
      <c r="M1" s="131"/>
      <c r="N1" s="113" t="s">
        <v>137</v>
      </c>
      <c r="O1" s="34" t="s">
        <v>138</v>
      </c>
      <c r="P1" s="117" t="s">
        <v>117</v>
      </c>
      <c r="Q1" s="101" t="s">
        <v>157</v>
      </c>
    </row>
    <row r="2" spans="1:17" x14ac:dyDescent="0.4">
      <c r="A2" s="54" t="s">
        <v>9</v>
      </c>
      <c r="B2" s="150">
        <v>11</v>
      </c>
      <c r="C2" s="151"/>
      <c r="E2" s="62" t="s">
        <v>67</v>
      </c>
      <c r="F2" s="59" t="s">
        <v>23</v>
      </c>
      <c r="G2" s="46">
        <v>37</v>
      </c>
      <c r="H2" s="132">
        <f>IF(B$17=0,0,G2/B$17)</f>
        <v>1.088235294117647</v>
      </c>
      <c r="I2" s="93">
        <v>1</v>
      </c>
      <c r="K2" s="36">
        <v>0</v>
      </c>
      <c r="L2" s="98">
        <v>0</v>
      </c>
      <c r="N2" s="114" t="s">
        <v>131</v>
      </c>
      <c r="O2" s="121">
        <f t="shared" ref="O2:O7" si="0">IF(P2=0,0,Q2/P2)</f>
        <v>-45.454545454545453</v>
      </c>
      <c r="P2" s="118">
        <v>11</v>
      </c>
      <c r="Q2" s="102">
        <v>-500</v>
      </c>
    </row>
    <row r="3" spans="1:17" x14ac:dyDescent="0.4">
      <c r="A3" s="55" t="s">
        <v>8</v>
      </c>
      <c r="B3" s="152">
        <v>103</v>
      </c>
      <c r="C3" s="153"/>
      <c r="E3" s="63" t="s">
        <v>65</v>
      </c>
      <c r="F3" s="60" t="s">
        <v>21</v>
      </c>
      <c r="G3" s="47">
        <v>21</v>
      </c>
      <c r="H3" s="133">
        <f>IF(B$17=0,0,G3/B$17)</f>
        <v>0.61764705882352944</v>
      </c>
      <c r="I3" s="94">
        <v>1</v>
      </c>
      <c r="K3" s="38">
        <v>1</v>
      </c>
      <c r="L3" s="99">
        <v>70.2</v>
      </c>
      <c r="N3" s="115" t="s">
        <v>132</v>
      </c>
      <c r="O3" s="122">
        <f t="shared" si="0"/>
        <v>4790.909090909091</v>
      </c>
      <c r="P3" s="119">
        <v>11</v>
      </c>
      <c r="Q3" s="103">
        <v>52700</v>
      </c>
    </row>
    <row r="4" spans="1:17" x14ac:dyDescent="0.4">
      <c r="A4" s="55" t="s">
        <v>6</v>
      </c>
      <c r="B4" s="154">
        <v>126.10000000000001</v>
      </c>
      <c r="C4" s="155"/>
      <c r="E4" s="63" t="s">
        <v>69</v>
      </c>
      <c r="F4" s="60" t="s">
        <v>12</v>
      </c>
      <c r="G4" s="47">
        <v>14</v>
      </c>
      <c r="H4" s="133">
        <f>IF(B$17=0,0,G4/B$17)</f>
        <v>0.41176470588235292</v>
      </c>
      <c r="I4" s="94">
        <v>1</v>
      </c>
      <c r="K4" s="38">
        <v>2</v>
      </c>
      <c r="L4" s="99">
        <v>68.5</v>
      </c>
      <c r="N4" s="115" t="s">
        <v>133</v>
      </c>
      <c r="O4" s="122">
        <f t="shared" si="0"/>
        <v>418.18181818181819</v>
      </c>
      <c r="P4" s="119">
        <v>11</v>
      </c>
      <c r="Q4" s="103">
        <v>4600</v>
      </c>
    </row>
    <row r="5" spans="1:17" x14ac:dyDescent="0.4">
      <c r="A5" s="55" t="s">
        <v>7</v>
      </c>
      <c r="B5" s="156">
        <f>IF(B$2=0,0,B$4/B$2)</f>
        <v>11.463636363636365</v>
      </c>
      <c r="C5" s="157"/>
      <c r="E5" s="63" t="s">
        <v>172</v>
      </c>
      <c r="F5" s="60" t="s">
        <v>173</v>
      </c>
      <c r="G5" s="47">
        <v>14</v>
      </c>
      <c r="H5" s="133">
        <f>IF(B$17=0,0,G5/B$17)</f>
        <v>0.41176470588235292</v>
      </c>
      <c r="I5" s="94">
        <v>2</v>
      </c>
      <c r="K5" s="38">
        <v>3</v>
      </c>
      <c r="L5" s="99">
        <v>76</v>
      </c>
      <c r="N5" s="115" t="s">
        <v>134</v>
      </c>
      <c r="O5" s="122">
        <f t="shared" si="0"/>
        <v>-3345.4545454545455</v>
      </c>
      <c r="P5" s="119">
        <v>11</v>
      </c>
      <c r="Q5" s="103">
        <v>-36800</v>
      </c>
    </row>
    <row r="6" spans="1:17" x14ac:dyDescent="0.4">
      <c r="A6" s="55" t="s">
        <v>1</v>
      </c>
      <c r="B6" s="146">
        <f>IF(B$2=0,0,(B$7*1+B$8*2+B$9*3)/B$2)</f>
        <v>1.7272727272727273</v>
      </c>
      <c r="C6" s="147"/>
      <c r="E6" s="63" t="s">
        <v>73</v>
      </c>
      <c r="F6" s="60" t="s">
        <v>28</v>
      </c>
      <c r="G6" s="47">
        <v>10</v>
      </c>
      <c r="H6" s="133">
        <f>IF(B$17=0,0,G6/B$17)</f>
        <v>0.29411764705882354</v>
      </c>
      <c r="I6" s="94">
        <v>10</v>
      </c>
      <c r="K6" s="38">
        <v>4</v>
      </c>
      <c r="L6" s="99">
        <v>115.5</v>
      </c>
      <c r="N6" s="115" t="s">
        <v>135</v>
      </c>
      <c r="O6" s="122">
        <f t="shared" si="0"/>
        <v>6400</v>
      </c>
      <c r="P6" s="119">
        <v>11</v>
      </c>
      <c r="Q6" s="103">
        <v>70400</v>
      </c>
    </row>
    <row r="7" spans="1:17" x14ac:dyDescent="0.4">
      <c r="A7" s="55" t="s">
        <v>2</v>
      </c>
      <c r="B7" s="47">
        <v>5</v>
      </c>
      <c r="C7" s="39">
        <f t="shared" ref="C7:C12" si="1">IF(B$2=0,0,B7/B$2)</f>
        <v>0.45454545454545453</v>
      </c>
      <c r="E7" s="63" t="s">
        <v>68</v>
      </c>
      <c r="F7" s="60" t="s">
        <v>24</v>
      </c>
      <c r="G7" s="47">
        <v>7</v>
      </c>
      <c r="H7" s="133">
        <f>IF(B$17=0,0,G7/B$17)</f>
        <v>0.20588235294117646</v>
      </c>
      <c r="I7" s="94">
        <v>8</v>
      </c>
      <c r="K7" s="38">
        <v>5</v>
      </c>
      <c r="L7" s="99">
        <v>127.9</v>
      </c>
      <c r="N7" s="116" t="s">
        <v>136</v>
      </c>
      <c r="O7" s="123">
        <f t="shared" si="0"/>
        <v>1837.5</v>
      </c>
      <c r="P7" s="120">
        <v>8</v>
      </c>
      <c r="Q7" s="104">
        <v>14700</v>
      </c>
    </row>
    <row r="8" spans="1:17" x14ac:dyDescent="0.4">
      <c r="A8" s="55" t="s">
        <v>3</v>
      </c>
      <c r="B8" s="47">
        <v>4</v>
      </c>
      <c r="C8" s="39">
        <f t="shared" si="1"/>
        <v>0.36363636363636365</v>
      </c>
      <c r="E8" s="63" t="s">
        <v>70</v>
      </c>
      <c r="F8" s="60" t="s">
        <v>25</v>
      </c>
      <c r="G8" s="47">
        <v>7</v>
      </c>
      <c r="H8" s="133">
        <f>IF(B$17=0,0,G8/B$17)</f>
        <v>0.20588235294117646</v>
      </c>
      <c r="I8" s="94">
        <v>2</v>
      </c>
      <c r="K8" s="38">
        <v>6</v>
      </c>
      <c r="L8" s="99">
        <v>149.4</v>
      </c>
      <c r="N8" s="43"/>
      <c r="O8" s="127"/>
      <c r="P8" s="111"/>
      <c r="Q8" s="109"/>
    </row>
    <row r="9" spans="1:17" x14ac:dyDescent="0.4">
      <c r="A9" s="56" t="s">
        <v>4</v>
      </c>
      <c r="B9" s="48">
        <v>2</v>
      </c>
      <c r="C9" s="40">
        <f t="shared" si="1"/>
        <v>0.18181818181818182</v>
      </c>
      <c r="E9" s="63" t="s">
        <v>71</v>
      </c>
      <c r="F9" s="60" t="s">
        <v>26</v>
      </c>
      <c r="G9" s="47">
        <v>5</v>
      </c>
      <c r="H9" s="133">
        <f>IF(B$17=0,0,G9/B$17)</f>
        <v>0.14705882352941177</v>
      </c>
      <c r="I9" s="94">
        <v>2</v>
      </c>
      <c r="K9" s="38">
        <v>7</v>
      </c>
      <c r="L9" s="99">
        <v>123</v>
      </c>
      <c r="N9" s="113" t="s">
        <v>162</v>
      </c>
      <c r="O9" s="34" t="s">
        <v>121</v>
      </c>
      <c r="P9" s="117" t="s">
        <v>117</v>
      </c>
      <c r="Q9" s="105" t="s">
        <v>157</v>
      </c>
    </row>
    <row r="10" spans="1:17" x14ac:dyDescent="0.4">
      <c r="A10" s="56" t="s">
        <v>19</v>
      </c>
      <c r="B10" s="48">
        <v>0</v>
      </c>
      <c r="C10" s="40">
        <f t="shared" si="1"/>
        <v>0</v>
      </c>
      <c r="E10" s="63" t="s">
        <v>72</v>
      </c>
      <c r="F10" s="60" t="s">
        <v>27</v>
      </c>
      <c r="G10" s="47">
        <v>4</v>
      </c>
      <c r="H10" s="133">
        <f>IF(B$17=0,0,G10/B$17)</f>
        <v>0.11764705882352941</v>
      </c>
      <c r="I10" s="94">
        <v>2</v>
      </c>
      <c r="K10" s="38">
        <v>8</v>
      </c>
      <c r="L10" s="99">
        <v>124.6</v>
      </c>
      <c r="N10" s="114" t="s">
        <v>163</v>
      </c>
      <c r="O10" s="124">
        <f>IF(P10=0,0,Q10/P10)</f>
        <v>4.4400000000000004</v>
      </c>
      <c r="P10" s="118">
        <v>5</v>
      </c>
      <c r="Q10" s="106">
        <v>22.200000000000003</v>
      </c>
    </row>
    <row r="11" spans="1:17" x14ac:dyDescent="0.4">
      <c r="A11" s="56" t="s">
        <v>139</v>
      </c>
      <c r="B11" s="48">
        <v>2</v>
      </c>
      <c r="C11" s="40">
        <f t="shared" si="1"/>
        <v>0.18181818181818182</v>
      </c>
      <c r="E11" s="63" t="s">
        <v>66</v>
      </c>
      <c r="F11" s="60" t="s">
        <v>22</v>
      </c>
      <c r="G11" s="47">
        <v>3</v>
      </c>
      <c r="H11" s="133">
        <f>IF(B$17=0,0,G11/B$17)</f>
        <v>8.8235294117647065E-2</v>
      </c>
      <c r="I11" s="94">
        <v>6</v>
      </c>
      <c r="K11" s="38">
        <v>9</v>
      </c>
      <c r="L11" s="99">
        <v>141.5</v>
      </c>
      <c r="N11" s="115" t="s">
        <v>164</v>
      </c>
      <c r="O11" s="125">
        <f>IF(P11=0,0,Q11/P11)</f>
        <v>11.699999999999998</v>
      </c>
      <c r="P11" s="119">
        <v>3</v>
      </c>
      <c r="Q11" s="107">
        <v>35.099999999999994</v>
      </c>
    </row>
    <row r="12" spans="1:17" x14ac:dyDescent="0.4">
      <c r="A12" s="57" t="s">
        <v>159</v>
      </c>
      <c r="B12" s="49">
        <v>0</v>
      </c>
      <c r="C12" s="42">
        <f t="shared" si="1"/>
        <v>0</v>
      </c>
      <c r="E12" s="63" t="s">
        <v>87</v>
      </c>
      <c r="F12" s="60" t="s">
        <v>42</v>
      </c>
      <c r="G12" s="47">
        <v>2</v>
      </c>
      <c r="H12" s="133">
        <f>IF(B$17=0,0,G12/B$17)</f>
        <v>5.8823529411764705E-2</v>
      </c>
      <c r="I12" s="94">
        <v>4</v>
      </c>
      <c r="K12" s="38">
        <v>10</v>
      </c>
      <c r="L12" s="99">
        <v>162.80000000000001</v>
      </c>
      <c r="N12" s="116" t="s">
        <v>165</v>
      </c>
      <c r="O12" s="126">
        <f>IF(P12=0,0,Q12/P12)</f>
        <v>22.933333333333334</v>
      </c>
      <c r="P12" s="120">
        <v>3</v>
      </c>
      <c r="Q12" s="108">
        <v>68.8</v>
      </c>
    </row>
    <row r="13" spans="1:17" x14ac:dyDescent="0.4">
      <c r="A13" s="58" t="s">
        <v>122</v>
      </c>
      <c r="B13" s="50">
        <v>30</v>
      </c>
      <c r="C13" s="44">
        <f>IF(B$3=0,0,B13/B$3)</f>
        <v>0.29126213592233008</v>
      </c>
      <c r="E13" s="63" t="s">
        <v>90</v>
      </c>
      <c r="F13" s="60" t="s">
        <v>45</v>
      </c>
      <c r="G13" s="47">
        <v>2</v>
      </c>
      <c r="H13" s="133">
        <f>IF(B$17=0,0,G13/B$17)</f>
        <v>5.8823529411764705E-2</v>
      </c>
      <c r="I13" s="94">
        <v>9</v>
      </c>
      <c r="K13" s="38">
        <v>11</v>
      </c>
      <c r="L13" s="99">
        <v>126.10000000000001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15</v>
      </c>
      <c r="C14" s="39">
        <f>IF(B$3=0,0,B14/B$3)</f>
        <v>0.14563106796116504</v>
      </c>
      <c r="E14" s="63" t="s">
        <v>76</v>
      </c>
      <c r="F14" s="60" t="s">
        <v>31</v>
      </c>
      <c r="G14" s="47">
        <v>1</v>
      </c>
      <c r="H14" s="133">
        <f>IF(B$17=0,0,G14/B$17)</f>
        <v>2.9411764705882353E-2</v>
      </c>
      <c r="I14" s="94">
        <v>1</v>
      </c>
      <c r="N14" s="113" t="s">
        <v>154</v>
      </c>
      <c r="O14" s="34" t="s">
        <v>121</v>
      </c>
      <c r="P14" s="117" t="s">
        <v>117</v>
      </c>
      <c r="Q14" s="105" t="s">
        <v>157</v>
      </c>
    </row>
    <row r="15" spans="1:17" x14ac:dyDescent="0.4">
      <c r="A15" s="54" t="s">
        <v>124</v>
      </c>
      <c r="B15" s="46">
        <v>20</v>
      </c>
      <c r="C15" s="37">
        <f>IF(B$13=0,0,B15/B$13)</f>
        <v>0.66666666666666663</v>
      </c>
      <c r="E15" s="63" t="s">
        <v>82</v>
      </c>
      <c r="F15" s="60" t="s">
        <v>37</v>
      </c>
      <c r="G15" s="47">
        <v>1</v>
      </c>
      <c r="H15" s="133">
        <f>IF(B$17=0,0,G15/B$17)</f>
        <v>2.9411764705882353E-2</v>
      </c>
      <c r="I15" s="94">
        <v>4</v>
      </c>
      <c r="N15" s="114" t="s">
        <v>178</v>
      </c>
      <c r="O15" s="124">
        <f>IF(P15=0,0,Q15/P15)</f>
        <v>107.2</v>
      </c>
      <c r="P15" s="118">
        <v>2</v>
      </c>
      <c r="Q15" s="106">
        <v>214.4</v>
      </c>
    </row>
    <row r="16" spans="1:17" x14ac:dyDescent="0.4">
      <c r="A16" s="54" t="s">
        <v>125</v>
      </c>
      <c r="B16" s="46">
        <v>5</v>
      </c>
      <c r="C16" s="37">
        <f>IF(B$14=0,0,B16/B$14)</f>
        <v>0.33333333333333331</v>
      </c>
      <c r="E16" s="63" t="s">
        <v>86</v>
      </c>
      <c r="F16" s="60" t="s">
        <v>41</v>
      </c>
      <c r="G16" s="47">
        <v>1</v>
      </c>
      <c r="H16" s="133">
        <f>IF(B$17=0,0,G16/B$17)</f>
        <v>2.9411764705882353E-2</v>
      </c>
      <c r="I16" s="94">
        <v>1</v>
      </c>
      <c r="N16" s="115" t="s">
        <v>183</v>
      </c>
      <c r="O16" s="125">
        <f>IF(P16=0,0,Q16/P16)</f>
        <v>52.525000000000006</v>
      </c>
      <c r="P16" s="119">
        <v>4</v>
      </c>
      <c r="Q16" s="107">
        <v>210.10000000000002</v>
      </c>
    </row>
    <row r="17" spans="1:17" x14ac:dyDescent="0.4">
      <c r="A17" s="54" t="s">
        <v>10</v>
      </c>
      <c r="B17" s="46">
        <f>B19+B18</f>
        <v>34</v>
      </c>
      <c r="C17" s="37">
        <f>IF(B$3=0,0,B17/B$3)</f>
        <v>0.3300970873786408</v>
      </c>
      <c r="E17" s="63" t="s">
        <v>88</v>
      </c>
      <c r="F17" s="60" t="s">
        <v>43</v>
      </c>
      <c r="G17" s="47">
        <v>1</v>
      </c>
      <c r="H17" s="133">
        <f>IF(B$17=0,0,G17/B$17)</f>
        <v>2.9411764705882353E-2</v>
      </c>
      <c r="I17" s="94">
        <v>1</v>
      </c>
      <c r="N17" s="115" t="s">
        <v>128</v>
      </c>
      <c r="O17" s="125">
        <f>IF(P17=0,0,Q17/P17)</f>
        <v>22.6</v>
      </c>
      <c r="P17" s="119">
        <v>1</v>
      </c>
      <c r="Q17" s="107">
        <v>22.6</v>
      </c>
    </row>
    <row r="18" spans="1:17" x14ac:dyDescent="0.4">
      <c r="A18" s="55" t="s">
        <v>12</v>
      </c>
      <c r="B18" s="47">
        <v>18</v>
      </c>
      <c r="C18" s="39">
        <f>IF(B$17=0,0,B18/B$17)</f>
        <v>0.52941176470588236</v>
      </c>
      <c r="E18" s="63" t="s">
        <v>74</v>
      </c>
      <c r="F18" s="60" t="s">
        <v>29</v>
      </c>
      <c r="G18" s="47">
        <v>0</v>
      </c>
      <c r="H18" s="133">
        <f>IF(B$17=0,0,G18/B$17)</f>
        <v>0</v>
      </c>
      <c r="I18" s="94">
        <v>1</v>
      </c>
      <c r="N18" s="115" t="s">
        <v>179</v>
      </c>
      <c r="O18" s="125">
        <f>IF(P18=0,0,Q18/P18)</f>
        <v>15.5</v>
      </c>
      <c r="P18" s="119">
        <v>1</v>
      </c>
      <c r="Q18" s="107">
        <v>15.5</v>
      </c>
    </row>
    <row r="19" spans="1:17" x14ac:dyDescent="0.4">
      <c r="A19" s="55" t="s">
        <v>11</v>
      </c>
      <c r="B19" s="47">
        <v>16</v>
      </c>
      <c r="C19" s="39">
        <f>IF(B$17=0,0,B19/B$17)</f>
        <v>0.47058823529411764</v>
      </c>
      <c r="E19" s="63" t="s">
        <v>75</v>
      </c>
      <c r="F19" s="60" t="s">
        <v>30</v>
      </c>
      <c r="G19" s="47">
        <v>0</v>
      </c>
      <c r="H19" s="133">
        <f>IF(B$17=0,0,G19/B$17)</f>
        <v>0</v>
      </c>
      <c r="I19" s="94">
        <v>5</v>
      </c>
      <c r="N19" s="115" t="s">
        <v>180</v>
      </c>
      <c r="O19" s="125">
        <f>IF(P19=0,0,Q19/P19)</f>
        <v>11.46</v>
      </c>
      <c r="P19" s="119">
        <v>5</v>
      </c>
      <c r="Q19" s="107">
        <v>57.300000000000004</v>
      </c>
    </row>
    <row r="20" spans="1:17" x14ac:dyDescent="0.4">
      <c r="A20" s="55" t="s">
        <v>13</v>
      </c>
      <c r="B20" s="47">
        <v>12</v>
      </c>
      <c r="C20" s="39">
        <f>IF(B$3=0,0,B20/B$3)</f>
        <v>0.11650485436893204</v>
      </c>
      <c r="E20" s="63" t="s">
        <v>77</v>
      </c>
      <c r="F20" s="60" t="s">
        <v>32</v>
      </c>
      <c r="G20" s="47">
        <v>0</v>
      </c>
      <c r="H20" s="133">
        <f>IF(B$17=0,0,G20/B$17)</f>
        <v>0</v>
      </c>
      <c r="I20" s="94">
        <v>1</v>
      </c>
      <c r="N20" s="115" t="s">
        <v>167</v>
      </c>
      <c r="O20" s="125">
        <f>IF(P20=0,0,Q20/P20)</f>
        <v>10.825000000000001</v>
      </c>
      <c r="P20" s="119">
        <v>4</v>
      </c>
      <c r="Q20" s="107">
        <v>43.300000000000004</v>
      </c>
    </row>
    <row r="21" spans="1:17" x14ac:dyDescent="0.4">
      <c r="A21" s="55" t="s">
        <v>170</v>
      </c>
      <c r="B21" s="47">
        <v>3</v>
      </c>
      <c r="C21" s="135">
        <v>0</v>
      </c>
      <c r="E21" s="63" t="s">
        <v>78</v>
      </c>
      <c r="F21" s="60" t="s">
        <v>33</v>
      </c>
      <c r="G21" s="47">
        <v>0</v>
      </c>
      <c r="H21" s="133">
        <f>IF(B$17=0,0,G21/B$17)</f>
        <v>0</v>
      </c>
      <c r="I21" s="94">
        <v>4</v>
      </c>
      <c r="N21" s="115" t="s">
        <v>196</v>
      </c>
      <c r="O21" s="125">
        <f>IF(P21=0,0,Q21/P21)</f>
        <v>-17.850000000000001</v>
      </c>
      <c r="P21" s="119">
        <v>2</v>
      </c>
      <c r="Q21" s="107">
        <v>-35.700000000000003</v>
      </c>
    </row>
    <row r="22" spans="1:17" x14ac:dyDescent="0.4">
      <c r="A22" s="55" t="s">
        <v>171</v>
      </c>
      <c r="B22" s="47">
        <v>19</v>
      </c>
      <c r="C22" s="135">
        <v>1</v>
      </c>
      <c r="E22" s="63" t="s">
        <v>79</v>
      </c>
      <c r="F22" s="60" t="s">
        <v>34</v>
      </c>
      <c r="G22" s="47">
        <v>0</v>
      </c>
      <c r="H22" s="133">
        <f>IF(B$17=0,0,G22/B$17)</f>
        <v>0</v>
      </c>
      <c r="I22" s="94">
        <v>7</v>
      </c>
      <c r="N22" s="115" t="s">
        <v>127</v>
      </c>
      <c r="O22" s="125">
        <f>IF(P22=0,0,Q22/P22)</f>
        <v>-49.733333333333327</v>
      </c>
      <c r="P22" s="119">
        <v>3</v>
      </c>
      <c r="Q22" s="107">
        <v>-149.19999999999999</v>
      </c>
    </row>
    <row r="23" spans="1:17" x14ac:dyDescent="0.4">
      <c r="A23" s="55" t="s">
        <v>5</v>
      </c>
      <c r="B23" s="51">
        <f>IF(B$17=0,0,C23/B$17)</f>
        <v>7779.411764705882</v>
      </c>
      <c r="C23" s="41">
        <v>264500</v>
      </c>
      <c r="E23" s="63" t="s">
        <v>80</v>
      </c>
      <c r="F23" s="60" t="s">
        <v>35</v>
      </c>
      <c r="G23" s="47">
        <v>0</v>
      </c>
      <c r="H23" s="133">
        <f>IF(B$17=0,0,G23/B$17)</f>
        <v>0</v>
      </c>
      <c r="I23" s="94">
        <v>6</v>
      </c>
    </row>
    <row r="24" spans="1:17" x14ac:dyDescent="0.4">
      <c r="A24" s="57" t="s">
        <v>14</v>
      </c>
      <c r="B24" s="52">
        <f>IF(B$20=0,0,C24/B$20)</f>
        <v>-6041.666666666667</v>
      </c>
      <c r="C24" s="45">
        <v>-72500</v>
      </c>
      <c r="E24" s="63" t="s">
        <v>81</v>
      </c>
      <c r="F24" s="60" t="s">
        <v>36</v>
      </c>
      <c r="G24" s="47">
        <v>0</v>
      </c>
      <c r="H24" s="133">
        <f>IF(B$17=0,0,G24/B$17)</f>
        <v>0</v>
      </c>
      <c r="I24" s="94">
        <v>1</v>
      </c>
    </row>
    <row r="25" spans="1:17" x14ac:dyDescent="0.4">
      <c r="A25" s="90" t="s">
        <v>141</v>
      </c>
      <c r="B25" s="144">
        <v>7</v>
      </c>
      <c r="C25" s="145"/>
      <c r="E25" s="63" t="s">
        <v>83</v>
      </c>
      <c r="F25" s="60" t="s">
        <v>38</v>
      </c>
      <c r="G25" s="47">
        <v>0</v>
      </c>
      <c r="H25" s="133">
        <f>IF(B$17=0,0,G25/B$17)</f>
        <v>0</v>
      </c>
      <c r="I25" s="94">
        <v>1</v>
      </c>
    </row>
    <row r="26" spans="1:17" x14ac:dyDescent="0.4">
      <c r="A26" s="58" t="s">
        <v>151</v>
      </c>
      <c r="B26" s="142">
        <v>95200</v>
      </c>
      <c r="C26" s="143"/>
      <c r="E26" s="63" t="s">
        <v>84</v>
      </c>
      <c r="F26" s="60" t="s">
        <v>39</v>
      </c>
      <c r="G26" s="47">
        <v>0</v>
      </c>
      <c r="H26" s="133">
        <f>IF(B$17=0,0,G26/B$17)</f>
        <v>0</v>
      </c>
      <c r="I26" s="94">
        <v>10</v>
      </c>
    </row>
    <row r="27" spans="1:17" x14ac:dyDescent="0.4">
      <c r="A27" s="57" t="s">
        <v>142</v>
      </c>
      <c r="B27" s="65">
        <v>0</v>
      </c>
      <c r="C27" s="42">
        <f>IF(B$3=0,0,B27/B$3)</f>
        <v>0</v>
      </c>
      <c r="E27" s="63" t="s">
        <v>85</v>
      </c>
      <c r="F27" s="60" t="s">
        <v>40</v>
      </c>
      <c r="G27" s="47">
        <v>0</v>
      </c>
      <c r="H27" s="133">
        <f>IF(B$17=0,0,G27/B$17)</f>
        <v>0</v>
      </c>
      <c r="I27" s="94">
        <v>3</v>
      </c>
    </row>
    <row r="28" spans="1:17" x14ac:dyDescent="0.4">
      <c r="E28" s="63" t="s">
        <v>89</v>
      </c>
      <c r="F28" s="60" t="s">
        <v>44</v>
      </c>
      <c r="G28" s="47">
        <v>0</v>
      </c>
      <c r="H28" s="133">
        <f>IF(B$17=0,0,G28/B$17)</f>
        <v>0</v>
      </c>
      <c r="I28" s="94">
        <v>4</v>
      </c>
    </row>
    <row r="29" spans="1:17" x14ac:dyDescent="0.4">
      <c r="E29" s="63" t="s">
        <v>91</v>
      </c>
      <c r="F29" s="60" t="s">
        <v>46</v>
      </c>
      <c r="G29" s="47">
        <v>0</v>
      </c>
      <c r="H29" s="133">
        <f>IF(B$17=0,0,G29/B$17)</f>
        <v>0</v>
      </c>
      <c r="I29" s="94">
        <v>3</v>
      </c>
    </row>
    <row r="30" spans="1:17" x14ac:dyDescent="0.4">
      <c r="E30" s="63" t="s">
        <v>92</v>
      </c>
      <c r="F30" s="60" t="s">
        <v>47</v>
      </c>
      <c r="G30" s="47">
        <v>0</v>
      </c>
      <c r="H30" s="133">
        <f>IF(B$17=0,0,G30/B$17)</f>
        <v>0</v>
      </c>
      <c r="I30" s="94">
        <v>7</v>
      </c>
    </row>
    <row r="31" spans="1:17" x14ac:dyDescent="0.4">
      <c r="E31" s="63" t="s">
        <v>93</v>
      </c>
      <c r="F31" s="60" t="s">
        <v>48</v>
      </c>
      <c r="G31" s="47">
        <v>0</v>
      </c>
      <c r="H31" s="133">
        <f>IF(B$17=0,0,G31/B$17)</f>
        <v>0</v>
      </c>
      <c r="I31" s="94">
        <v>4</v>
      </c>
    </row>
    <row r="32" spans="1:17" x14ac:dyDescent="0.4">
      <c r="E32" s="63" t="s">
        <v>94</v>
      </c>
      <c r="F32" s="60" t="s">
        <v>49</v>
      </c>
      <c r="G32" s="47">
        <v>0</v>
      </c>
      <c r="H32" s="133">
        <f>IF(B$17=0,0,G32/B$17)</f>
        <v>0</v>
      </c>
      <c r="I32" s="94">
        <v>1</v>
      </c>
    </row>
    <row r="33" spans="5:9" x14ac:dyDescent="0.4">
      <c r="E33" s="63" t="s">
        <v>95</v>
      </c>
      <c r="F33" s="60" t="s">
        <v>50</v>
      </c>
      <c r="G33" s="47">
        <v>0</v>
      </c>
      <c r="H33" s="133">
        <f>IF(B$17=0,0,G33/B$17)</f>
        <v>0</v>
      </c>
      <c r="I33" s="94">
        <v>1</v>
      </c>
    </row>
    <row r="34" spans="5:9" x14ac:dyDescent="0.4">
      <c r="E34" s="63" t="s">
        <v>96</v>
      </c>
      <c r="F34" s="60" t="s">
        <v>51</v>
      </c>
      <c r="G34" s="47">
        <v>0</v>
      </c>
      <c r="H34" s="133">
        <f>IF(B$17=0,0,G34/B$17)</f>
        <v>0</v>
      </c>
      <c r="I34" s="94">
        <v>3</v>
      </c>
    </row>
    <row r="35" spans="5:9" x14ac:dyDescent="0.4">
      <c r="E35" s="63" t="s">
        <v>97</v>
      </c>
      <c r="F35" s="60" t="s">
        <v>52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98</v>
      </c>
      <c r="F36" s="60" t="s">
        <v>53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99</v>
      </c>
      <c r="F37" s="60" t="s">
        <v>54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100</v>
      </c>
      <c r="F38" s="60" t="s">
        <v>55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101</v>
      </c>
      <c r="F39" s="60" t="s">
        <v>56</v>
      </c>
      <c r="G39" s="47">
        <v>0</v>
      </c>
      <c r="H39" s="133">
        <f>IF(B$17=0,0,G39/B$17)</f>
        <v>0</v>
      </c>
      <c r="I39" s="94">
        <v>1</v>
      </c>
    </row>
    <row r="40" spans="5:9" x14ac:dyDescent="0.4">
      <c r="E40" s="63" t="s">
        <v>102</v>
      </c>
      <c r="F40" s="60" t="s">
        <v>57</v>
      </c>
      <c r="G40" s="47">
        <v>0</v>
      </c>
      <c r="H40" s="133">
        <f>IF(B$17=0,0,G40/B$17)</f>
        <v>0</v>
      </c>
      <c r="I40" s="94">
        <v>3</v>
      </c>
    </row>
    <row r="41" spans="5:9" x14ac:dyDescent="0.4">
      <c r="E41" s="63" t="s">
        <v>103</v>
      </c>
      <c r="F41" s="60" t="s">
        <v>58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104</v>
      </c>
      <c r="F42" s="60" t="s">
        <v>59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105</v>
      </c>
      <c r="F43" s="60" t="s">
        <v>60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106</v>
      </c>
      <c r="F44" s="60" t="s">
        <v>113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107</v>
      </c>
      <c r="F45" s="60" t="s">
        <v>114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108</v>
      </c>
      <c r="F46" s="60" t="s">
        <v>115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109</v>
      </c>
      <c r="F47" s="60" t="s">
        <v>61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110</v>
      </c>
      <c r="F48" s="60" t="s">
        <v>62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111</v>
      </c>
      <c r="F49" s="60" t="s">
        <v>63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112</v>
      </c>
      <c r="F50" s="60" t="s">
        <v>64</v>
      </c>
      <c r="G50" s="47">
        <v>0</v>
      </c>
      <c r="H50" s="133">
        <f>IF(B$17=0,0,G50/B$17)</f>
        <v>0</v>
      </c>
      <c r="I50" s="94">
        <v>1</v>
      </c>
    </row>
    <row r="51" spans="5:9" x14ac:dyDescent="0.4">
      <c r="E51" s="136" t="s">
        <v>168</v>
      </c>
      <c r="F51" s="137" t="s">
        <v>169</v>
      </c>
      <c r="G51" s="48">
        <v>0</v>
      </c>
      <c r="H51" s="138">
        <f>IF(B$17=0,0,G51/B$17)</f>
        <v>0</v>
      </c>
      <c r="I51" s="139">
        <v>6</v>
      </c>
    </row>
    <row r="52" spans="5:9" x14ac:dyDescent="0.4">
      <c r="E52" s="64" t="s">
        <v>174</v>
      </c>
      <c r="F52" s="61" t="s">
        <v>175</v>
      </c>
      <c r="G52" s="49">
        <v>0</v>
      </c>
      <c r="H52" s="134">
        <f>IF(B$17=0,0,G52/B$17)</f>
        <v>0</v>
      </c>
      <c r="I52" s="95">
        <v>1</v>
      </c>
    </row>
  </sheetData>
  <sortState xmlns:xlrd2="http://schemas.microsoft.com/office/spreadsheetml/2017/richdata2" ref="N15:Q22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4A2CE3-4CB8-4F7D-A4DE-BF448CE686E6}">
  <sheetPr codeName="Sheet23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196</v>
      </c>
      <c r="C1" s="149"/>
      <c r="E1" s="129" t="s">
        <v>166</v>
      </c>
      <c r="F1" s="141" t="s">
        <v>116</v>
      </c>
      <c r="G1" s="140" t="s">
        <v>117</v>
      </c>
      <c r="H1" s="130" t="s">
        <v>118</v>
      </c>
      <c r="I1" s="141" t="s">
        <v>153</v>
      </c>
      <c r="K1" s="34" t="s">
        <v>20</v>
      </c>
      <c r="L1" s="35" t="s">
        <v>121</v>
      </c>
      <c r="M1" s="131"/>
      <c r="N1" s="113" t="s">
        <v>137</v>
      </c>
      <c r="O1" s="34" t="s">
        <v>138</v>
      </c>
      <c r="P1" s="117" t="s">
        <v>117</v>
      </c>
      <c r="Q1" s="101" t="s">
        <v>157</v>
      </c>
    </row>
    <row r="2" spans="1:17" x14ac:dyDescent="0.4">
      <c r="A2" s="54" t="s">
        <v>9</v>
      </c>
      <c r="B2" s="150">
        <v>7</v>
      </c>
      <c r="C2" s="151"/>
      <c r="E2" s="62" t="s">
        <v>67</v>
      </c>
      <c r="F2" s="59" t="s">
        <v>23</v>
      </c>
      <c r="G2" s="46">
        <v>11</v>
      </c>
      <c r="H2" s="132">
        <f>IF(B$17=0,0,G2/B$17)</f>
        <v>0.73333333333333328</v>
      </c>
      <c r="I2" s="93">
        <v>6</v>
      </c>
      <c r="K2" s="36">
        <v>0</v>
      </c>
      <c r="L2" s="98">
        <v>0</v>
      </c>
      <c r="N2" s="114" t="s">
        <v>131</v>
      </c>
      <c r="O2" s="121">
        <f t="shared" ref="O2:O7" si="0">IF(P2=0,0,Q2/P2)</f>
        <v>-6085.7142857142853</v>
      </c>
      <c r="P2" s="118">
        <v>7</v>
      </c>
      <c r="Q2" s="102">
        <v>-42600</v>
      </c>
    </row>
    <row r="3" spans="1:17" x14ac:dyDescent="0.4">
      <c r="A3" s="55" t="s">
        <v>8</v>
      </c>
      <c r="B3" s="152">
        <v>62</v>
      </c>
      <c r="C3" s="153"/>
      <c r="E3" s="63" t="s">
        <v>65</v>
      </c>
      <c r="F3" s="60" t="s">
        <v>21</v>
      </c>
      <c r="G3" s="47">
        <v>8</v>
      </c>
      <c r="H3" s="133">
        <f>IF(B$17=0,0,G3/B$17)</f>
        <v>0.53333333333333333</v>
      </c>
      <c r="I3" s="94">
        <v>4</v>
      </c>
      <c r="K3" s="38">
        <v>1</v>
      </c>
      <c r="L3" s="99">
        <v>-46.5</v>
      </c>
      <c r="N3" s="115" t="s">
        <v>132</v>
      </c>
      <c r="O3" s="122">
        <f t="shared" si="0"/>
        <v>166.66666666666666</v>
      </c>
      <c r="P3" s="119">
        <v>6</v>
      </c>
      <c r="Q3" s="103">
        <v>1000</v>
      </c>
    </row>
    <row r="4" spans="1:17" x14ac:dyDescent="0.4">
      <c r="A4" s="55" t="s">
        <v>6</v>
      </c>
      <c r="B4" s="154">
        <v>-104.80000000000001</v>
      </c>
      <c r="C4" s="155"/>
      <c r="E4" s="63" t="s">
        <v>68</v>
      </c>
      <c r="F4" s="60" t="s">
        <v>24</v>
      </c>
      <c r="G4" s="47">
        <v>7</v>
      </c>
      <c r="H4" s="133">
        <f>IF(B$17=0,0,G4/B$17)</f>
        <v>0.46666666666666667</v>
      </c>
      <c r="I4" s="94">
        <v>1</v>
      </c>
      <c r="K4" s="38">
        <v>2</v>
      </c>
      <c r="L4" s="99">
        <v>-25.4</v>
      </c>
      <c r="N4" s="115" t="s">
        <v>133</v>
      </c>
      <c r="O4" s="122">
        <f t="shared" si="0"/>
        <v>-6066.666666666667</v>
      </c>
      <c r="P4" s="119">
        <v>6</v>
      </c>
      <c r="Q4" s="103">
        <v>-36400</v>
      </c>
    </row>
    <row r="5" spans="1:17" x14ac:dyDescent="0.4">
      <c r="A5" s="55" t="s">
        <v>7</v>
      </c>
      <c r="B5" s="156">
        <f>IF(B$2=0,0,B$4/B$2)</f>
        <v>-14.971428571428573</v>
      </c>
      <c r="C5" s="157"/>
      <c r="E5" s="63" t="s">
        <v>73</v>
      </c>
      <c r="F5" s="60" t="s">
        <v>28</v>
      </c>
      <c r="G5" s="47">
        <v>7</v>
      </c>
      <c r="H5" s="133">
        <f>IF(B$17=0,0,G5/B$17)</f>
        <v>0.46666666666666667</v>
      </c>
      <c r="I5" s="94">
        <v>9</v>
      </c>
      <c r="K5" s="38">
        <v>3</v>
      </c>
      <c r="L5" s="99">
        <v>-71.900000000000006</v>
      </c>
      <c r="N5" s="115" t="s">
        <v>134</v>
      </c>
      <c r="O5" s="122">
        <f t="shared" si="0"/>
        <v>-3333.3333333333335</v>
      </c>
      <c r="P5" s="119">
        <v>6</v>
      </c>
      <c r="Q5" s="103">
        <v>-20000</v>
      </c>
    </row>
    <row r="6" spans="1:17" x14ac:dyDescent="0.4">
      <c r="A6" s="55" t="s">
        <v>1</v>
      </c>
      <c r="B6" s="146">
        <f>IF(B$2=0,0,(B$7*1+B$8*2+B$9*3)/B$2)</f>
        <v>2.1428571428571428</v>
      </c>
      <c r="C6" s="147"/>
      <c r="E6" s="63" t="s">
        <v>172</v>
      </c>
      <c r="F6" s="60" t="s">
        <v>173</v>
      </c>
      <c r="G6" s="47">
        <v>5</v>
      </c>
      <c r="H6" s="133">
        <f>IF(B$17=0,0,G6/B$17)</f>
        <v>0.33333333333333331</v>
      </c>
      <c r="I6" s="94">
        <v>5</v>
      </c>
      <c r="K6" s="38">
        <v>4</v>
      </c>
      <c r="L6" s="99">
        <v>-37.400000000000006</v>
      </c>
      <c r="N6" s="115" t="s">
        <v>135</v>
      </c>
      <c r="O6" s="122">
        <f t="shared" si="0"/>
        <v>4566.666666666667</v>
      </c>
      <c r="P6" s="119">
        <v>3</v>
      </c>
      <c r="Q6" s="103">
        <v>13700</v>
      </c>
    </row>
    <row r="7" spans="1:17" x14ac:dyDescent="0.4">
      <c r="A7" s="55" t="s">
        <v>2</v>
      </c>
      <c r="B7" s="47">
        <v>3</v>
      </c>
      <c r="C7" s="39">
        <f t="shared" ref="C7:C12" si="1">IF(B$2=0,0,B7/B$2)</f>
        <v>0.42857142857142855</v>
      </c>
      <c r="E7" s="63" t="s">
        <v>66</v>
      </c>
      <c r="F7" s="60" t="s">
        <v>22</v>
      </c>
      <c r="G7" s="47">
        <v>3</v>
      </c>
      <c r="H7" s="133">
        <f>IF(B$17=0,0,G7/B$17)</f>
        <v>0.2</v>
      </c>
      <c r="I7" s="94">
        <v>1</v>
      </c>
      <c r="K7" s="38">
        <v>5</v>
      </c>
      <c r="L7" s="99">
        <v>-12.100000000000005</v>
      </c>
      <c r="N7" s="116" t="s">
        <v>136</v>
      </c>
      <c r="O7" s="123">
        <f t="shared" si="0"/>
        <v>-5250</v>
      </c>
      <c r="P7" s="120">
        <v>2</v>
      </c>
      <c r="Q7" s="104">
        <v>-10500</v>
      </c>
    </row>
    <row r="8" spans="1:17" x14ac:dyDescent="0.4">
      <c r="A8" s="55" t="s">
        <v>3</v>
      </c>
      <c r="B8" s="47">
        <v>0</v>
      </c>
      <c r="C8" s="39">
        <f t="shared" si="1"/>
        <v>0</v>
      </c>
      <c r="E8" s="63" t="s">
        <v>69</v>
      </c>
      <c r="F8" s="60" t="s">
        <v>12</v>
      </c>
      <c r="G8" s="47">
        <v>3</v>
      </c>
      <c r="H8" s="133">
        <f>IF(B$17=0,0,G8/B$17)</f>
        <v>0.2</v>
      </c>
      <c r="I8" s="94">
        <v>10</v>
      </c>
      <c r="K8" s="38">
        <v>6</v>
      </c>
      <c r="L8" s="99">
        <v>-59.300000000000011</v>
      </c>
      <c r="N8" s="43"/>
      <c r="O8" s="127"/>
      <c r="P8" s="111"/>
      <c r="Q8" s="109"/>
    </row>
    <row r="9" spans="1:17" x14ac:dyDescent="0.4">
      <c r="A9" s="56" t="s">
        <v>4</v>
      </c>
      <c r="B9" s="48">
        <v>4</v>
      </c>
      <c r="C9" s="40">
        <f t="shared" si="1"/>
        <v>0.5714285714285714</v>
      </c>
      <c r="E9" s="63" t="s">
        <v>90</v>
      </c>
      <c r="F9" s="60" t="s">
        <v>45</v>
      </c>
      <c r="G9" s="47">
        <v>2</v>
      </c>
      <c r="H9" s="133">
        <f>IF(B$17=0,0,G9/B$17)</f>
        <v>0.13333333333333333</v>
      </c>
      <c r="I9" s="94">
        <v>5</v>
      </c>
      <c r="K9" s="38">
        <v>7</v>
      </c>
      <c r="L9" s="99">
        <v>-104.80000000000001</v>
      </c>
      <c r="N9" s="113" t="s">
        <v>162</v>
      </c>
      <c r="O9" s="34" t="s">
        <v>121</v>
      </c>
      <c r="P9" s="117" t="s">
        <v>117</v>
      </c>
      <c r="Q9" s="105" t="s">
        <v>157</v>
      </c>
    </row>
    <row r="10" spans="1:17" x14ac:dyDescent="0.4">
      <c r="A10" s="56" t="s">
        <v>19</v>
      </c>
      <c r="B10" s="48">
        <v>4</v>
      </c>
      <c r="C10" s="40">
        <f t="shared" si="1"/>
        <v>0.5714285714285714</v>
      </c>
      <c r="E10" s="63" t="s">
        <v>70</v>
      </c>
      <c r="F10" s="60" t="s">
        <v>25</v>
      </c>
      <c r="G10" s="47">
        <v>1</v>
      </c>
      <c r="H10" s="133">
        <f>IF(B$17=0,0,G10/B$17)</f>
        <v>6.6666666666666666E-2</v>
      </c>
      <c r="I10" s="94">
        <v>9</v>
      </c>
      <c r="N10" s="114" t="s">
        <v>163</v>
      </c>
      <c r="O10" s="124">
        <f>IF(P10=0,0,Q10/P10)</f>
        <v>0</v>
      </c>
      <c r="P10" s="118">
        <v>0</v>
      </c>
      <c r="Q10" s="106">
        <v>0</v>
      </c>
    </row>
    <row r="11" spans="1:17" x14ac:dyDescent="0.4">
      <c r="A11" s="56" t="s">
        <v>139</v>
      </c>
      <c r="B11" s="48">
        <v>1</v>
      </c>
      <c r="C11" s="40">
        <f t="shared" si="1"/>
        <v>0.14285714285714285</v>
      </c>
      <c r="E11" s="63" t="s">
        <v>71</v>
      </c>
      <c r="F11" s="60" t="s">
        <v>26</v>
      </c>
      <c r="G11" s="47">
        <v>1</v>
      </c>
      <c r="H11" s="133">
        <f>IF(B$17=0,0,G11/B$17)</f>
        <v>6.6666666666666666E-2</v>
      </c>
      <c r="I11" s="94">
        <v>5</v>
      </c>
      <c r="N11" s="115" t="s">
        <v>164</v>
      </c>
      <c r="O11" s="125">
        <f>IF(P11=0,0,Q11/P11)</f>
        <v>-9.8833333333333346</v>
      </c>
      <c r="P11" s="119">
        <v>6</v>
      </c>
      <c r="Q11" s="107">
        <v>-59.300000000000011</v>
      </c>
    </row>
    <row r="12" spans="1:17" x14ac:dyDescent="0.4">
      <c r="A12" s="57" t="s">
        <v>159</v>
      </c>
      <c r="B12" s="49">
        <v>0</v>
      </c>
      <c r="C12" s="42">
        <f t="shared" si="1"/>
        <v>0</v>
      </c>
      <c r="E12" s="63" t="s">
        <v>72</v>
      </c>
      <c r="F12" s="60" t="s">
        <v>27</v>
      </c>
      <c r="G12" s="47">
        <v>1</v>
      </c>
      <c r="H12" s="133">
        <f>IF(B$17=0,0,G12/B$17)</f>
        <v>6.6666666666666666E-2</v>
      </c>
      <c r="I12" s="94">
        <v>7</v>
      </c>
      <c r="N12" s="116" t="s">
        <v>165</v>
      </c>
      <c r="O12" s="126">
        <f>IF(P12=0,0,Q12/P12)</f>
        <v>-45.5</v>
      </c>
      <c r="P12" s="120">
        <v>1</v>
      </c>
      <c r="Q12" s="108">
        <v>-45.5</v>
      </c>
    </row>
    <row r="13" spans="1:17" x14ac:dyDescent="0.4">
      <c r="A13" s="58" t="s">
        <v>122</v>
      </c>
      <c r="B13" s="50">
        <v>15</v>
      </c>
      <c r="C13" s="44">
        <f>IF(B$3=0,0,B13/B$3)</f>
        <v>0.24193548387096775</v>
      </c>
      <c r="E13" s="63" t="s">
        <v>80</v>
      </c>
      <c r="F13" s="60" t="s">
        <v>35</v>
      </c>
      <c r="G13" s="47">
        <v>1</v>
      </c>
      <c r="H13" s="133">
        <f>IF(B$17=0,0,G13/B$17)</f>
        <v>6.6666666666666666E-2</v>
      </c>
      <c r="I13" s="94">
        <v>1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22</v>
      </c>
      <c r="C14" s="39">
        <f>IF(B$3=0,0,B14/B$3)</f>
        <v>0.35483870967741937</v>
      </c>
      <c r="E14" s="63" t="s">
        <v>84</v>
      </c>
      <c r="F14" s="60" t="s">
        <v>39</v>
      </c>
      <c r="G14" s="47">
        <v>1</v>
      </c>
      <c r="H14" s="133">
        <f>IF(B$17=0,0,G14/B$17)</f>
        <v>6.6666666666666666E-2</v>
      </c>
      <c r="I14" s="94">
        <v>4</v>
      </c>
      <c r="N14" s="113" t="s">
        <v>154</v>
      </c>
      <c r="O14" s="34" t="s">
        <v>121</v>
      </c>
      <c r="P14" s="117" t="s">
        <v>117</v>
      </c>
      <c r="Q14" s="105" t="s">
        <v>157</v>
      </c>
    </row>
    <row r="15" spans="1:17" x14ac:dyDescent="0.4">
      <c r="A15" s="54" t="s">
        <v>124</v>
      </c>
      <c r="B15" s="46">
        <v>8</v>
      </c>
      <c r="C15" s="37">
        <f>IF(B$13=0,0,B15/B$13)</f>
        <v>0.53333333333333333</v>
      </c>
      <c r="E15" s="63" t="s">
        <v>87</v>
      </c>
      <c r="F15" s="60" t="s">
        <v>42</v>
      </c>
      <c r="G15" s="47">
        <v>1</v>
      </c>
      <c r="H15" s="133">
        <f>IF(B$17=0,0,G15/B$17)</f>
        <v>6.6666666666666666E-2</v>
      </c>
      <c r="I15" s="94">
        <v>2</v>
      </c>
      <c r="N15" s="114" t="s">
        <v>183</v>
      </c>
      <c r="O15" s="124">
        <f>IF(P15=0,0,Q15/P15)</f>
        <v>65.55</v>
      </c>
      <c r="P15" s="118">
        <v>2</v>
      </c>
      <c r="Q15" s="106">
        <v>131.1</v>
      </c>
    </row>
    <row r="16" spans="1:17" x14ac:dyDescent="0.4">
      <c r="A16" s="54" t="s">
        <v>125</v>
      </c>
      <c r="B16" s="46">
        <v>6</v>
      </c>
      <c r="C16" s="37">
        <f>IF(B$14=0,0,B16/B$14)</f>
        <v>0.27272727272727271</v>
      </c>
      <c r="E16" s="63" t="s">
        <v>74</v>
      </c>
      <c r="F16" s="60" t="s">
        <v>29</v>
      </c>
      <c r="G16" s="47">
        <v>0</v>
      </c>
      <c r="H16" s="133">
        <f>IF(B$17=0,0,G16/B$17)</f>
        <v>0</v>
      </c>
      <c r="I16" s="94">
        <v>1</v>
      </c>
      <c r="N16" s="115" t="s">
        <v>180</v>
      </c>
      <c r="O16" s="125">
        <f>IF(P16=0,0,Q16/P16)</f>
        <v>56.6</v>
      </c>
      <c r="P16" s="119">
        <v>1</v>
      </c>
      <c r="Q16" s="107">
        <v>56.6</v>
      </c>
    </row>
    <row r="17" spans="1:17" x14ac:dyDescent="0.4">
      <c r="A17" s="54" t="s">
        <v>10</v>
      </c>
      <c r="B17" s="46">
        <f>B19+B18</f>
        <v>15</v>
      </c>
      <c r="C17" s="37">
        <f>IF(B$3=0,0,B17/B$3)</f>
        <v>0.24193548387096775</v>
      </c>
      <c r="E17" s="63" t="s">
        <v>75</v>
      </c>
      <c r="F17" s="60" t="s">
        <v>30</v>
      </c>
      <c r="G17" s="47">
        <v>0</v>
      </c>
      <c r="H17" s="133">
        <f>IF(B$17=0,0,G17/B$17)</f>
        <v>0</v>
      </c>
      <c r="I17" s="94">
        <v>5</v>
      </c>
      <c r="N17" s="115" t="s">
        <v>182</v>
      </c>
      <c r="O17" s="125">
        <f>IF(P17=0,0,Q17/P17)</f>
        <v>17.850000000000001</v>
      </c>
      <c r="P17" s="119">
        <v>2</v>
      </c>
      <c r="Q17" s="107">
        <v>35.700000000000003</v>
      </c>
    </row>
    <row r="18" spans="1:17" x14ac:dyDescent="0.4">
      <c r="A18" s="55" t="s">
        <v>12</v>
      </c>
      <c r="B18" s="47">
        <v>5</v>
      </c>
      <c r="C18" s="39">
        <f>IF(B$17=0,0,B18/B$17)</f>
        <v>0.33333333333333331</v>
      </c>
      <c r="E18" s="63" t="s">
        <v>76</v>
      </c>
      <c r="F18" s="60" t="s">
        <v>31</v>
      </c>
      <c r="G18" s="47">
        <v>0</v>
      </c>
      <c r="H18" s="133">
        <f>IF(B$17=0,0,G18/B$17)</f>
        <v>0</v>
      </c>
      <c r="I18" s="94">
        <v>5</v>
      </c>
      <c r="N18" s="115" t="s">
        <v>179</v>
      </c>
      <c r="O18" s="125">
        <f>IF(P18=0,0,Q18/P18)</f>
        <v>-53.179999999999993</v>
      </c>
      <c r="P18" s="119">
        <v>5</v>
      </c>
      <c r="Q18" s="107">
        <v>-265.89999999999998</v>
      </c>
    </row>
    <row r="19" spans="1:17" x14ac:dyDescent="0.4">
      <c r="A19" s="55" t="s">
        <v>11</v>
      </c>
      <c r="B19" s="47">
        <v>10</v>
      </c>
      <c r="C19" s="39">
        <f>IF(B$17=0,0,B19/B$17)</f>
        <v>0.66666666666666663</v>
      </c>
      <c r="E19" s="63" t="s">
        <v>77</v>
      </c>
      <c r="F19" s="60" t="s">
        <v>32</v>
      </c>
      <c r="G19" s="47">
        <v>0</v>
      </c>
      <c r="H19" s="133">
        <f>IF(B$17=0,0,G19/B$17)</f>
        <v>0</v>
      </c>
      <c r="I19" s="94">
        <v>1</v>
      </c>
      <c r="N19" s="115" t="s">
        <v>178</v>
      </c>
      <c r="O19" s="125">
        <f>IF(P19=0,0,Q19/P19)</f>
        <v>-60.650000000000006</v>
      </c>
      <c r="P19" s="119">
        <v>2</v>
      </c>
      <c r="Q19" s="107">
        <v>-121.30000000000001</v>
      </c>
    </row>
    <row r="20" spans="1:17" x14ac:dyDescent="0.4">
      <c r="A20" s="55" t="s">
        <v>13</v>
      </c>
      <c r="B20" s="47">
        <v>12</v>
      </c>
      <c r="C20" s="39">
        <f>IF(B$3=0,0,B20/B$3)</f>
        <v>0.19354838709677419</v>
      </c>
      <c r="E20" s="63" t="s">
        <v>78</v>
      </c>
      <c r="F20" s="60" t="s">
        <v>33</v>
      </c>
      <c r="G20" s="47">
        <v>0</v>
      </c>
      <c r="H20" s="133">
        <f>IF(B$17=0,0,G20/B$17)</f>
        <v>0</v>
      </c>
      <c r="I20" s="94">
        <v>4</v>
      </c>
      <c r="N20" s="115" t="s">
        <v>128</v>
      </c>
      <c r="O20" s="125">
        <f>IF(P20=0,0,Q20/P20)</f>
        <v>-75.3</v>
      </c>
      <c r="P20" s="119">
        <v>2</v>
      </c>
      <c r="Q20" s="107">
        <v>-150.6</v>
      </c>
    </row>
    <row r="21" spans="1:17" x14ac:dyDescent="0.4">
      <c r="A21" s="55" t="s">
        <v>170</v>
      </c>
      <c r="B21" s="47">
        <v>2</v>
      </c>
      <c r="C21" s="135">
        <v>0</v>
      </c>
      <c r="E21" s="63" t="s">
        <v>79</v>
      </c>
      <c r="F21" s="60" t="s">
        <v>34</v>
      </c>
      <c r="G21" s="47">
        <v>0</v>
      </c>
      <c r="H21" s="133">
        <f>IF(B$17=0,0,G21/B$17)</f>
        <v>0</v>
      </c>
      <c r="I21" s="94">
        <v>7</v>
      </c>
    </row>
    <row r="22" spans="1:17" x14ac:dyDescent="0.4">
      <c r="A22" s="55" t="s">
        <v>171</v>
      </c>
      <c r="B22" s="47">
        <v>13</v>
      </c>
      <c r="C22" s="135">
        <v>0</v>
      </c>
      <c r="E22" s="63" t="s">
        <v>81</v>
      </c>
      <c r="F22" s="60" t="s">
        <v>36</v>
      </c>
      <c r="G22" s="47">
        <v>0</v>
      </c>
      <c r="H22" s="133">
        <f>IF(B$17=0,0,G22/B$17)</f>
        <v>0</v>
      </c>
      <c r="I22" s="94">
        <v>1</v>
      </c>
    </row>
    <row r="23" spans="1:17" x14ac:dyDescent="0.4">
      <c r="A23" s="55" t="s">
        <v>5</v>
      </c>
      <c r="B23" s="51">
        <f>IF(B$17=0,0,C23/B$17)</f>
        <v>7473.333333333333</v>
      </c>
      <c r="C23" s="41">
        <v>112100</v>
      </c>
      <c r="E23" s="63" t="s">
        <v>82</v>
      </c>
      <c r="F23" s="60" t="s">
        <v>37</v>
      </c>
      <c r="G23" s="47">
        <v>0</v>
      </c>
      <c r="H23" s="133">
        <f>IF(B$17=0,0,G23/B$17)</f>
        <v>0</v>
      </c>
      <c r="I23" s="94">
        <v>9</v>
      </c>
    </row>
    <row r="24" spans="1:17" x14ac:dyDescent="0.4">
      <c r="A24" s="57" t="s">
        <v>14</v>
      </c>
      <c r="B24" s="52">
        <f>IF(B$20=0,0,C24/B$20)</f>
        <v>-9075</v>
      </c>
      <c r="C24" s="45">
        <v>-108900</v>
      </c>
      <c r="E24" s="63" t="s">
        <v>83</v>
      </c>
      <c r="F24" s="60" t="s">
        <v>38</v>
      </c>
      <c r="G24" s="47">
        <v>0</v>
      </c>
      <c r="H24" s="133">
        <f>IF(B$17=0,0,G24/B$17)</f>
        <v>0</v>
      </c>
      <c r="I24" s="94">
        <v>1</v>
      </c>
    </row>
    <row r="25" spans="1:17" x14ac:dyDescent="0.4">
      <c r="A25" s="90" t="s">
        <v>141</v>
      </c>
      <c r="B25" s="144">
        <v>4</v>
      </c>
      <c r="C25" s="145"/>
      <c r="E25" s="63" t="s">
        <v>85</v>
      </c>
      <c r="F25" s="60" t="s">
        <v>40</v>
      </c>
      <c r="G25" s="47">
        <v>0</v>
      </c>
      <c r="H25" s="133">
        <f>IF(B$17=0,0,G25/B$17)</f>
        <v>0</v>
      </c>
      <c r="I25" s="94">
        <v>3</v>
      </c>
    </row>
    <row r="26" spans="1:17" x14ac:dyDescent="0.4">
      <c r="A26" s="58" t="s">
        <v>151</v>
      </c>
      <c r="B26" s="142">
        <v>59500</v>
      </c>
      <c r="C26" s="143"/>
      <c r="E26" s="63" t="s">
        <v>86</v>
      </c>
      <c r="F26" s="60" t="s">
        <v>41</v>
      </c>
      <c r="G26" s="47">
        <v>0</v>
      </c>
      <c r="H26" s="133">
        <f>IF(B$17=0,0,G26/B$17)</f>
        <v>0</v>
      </c>
      <c r="I26" s="94">
        <v>5</v>
      </c>
    </row>
    <row r="27" spans="1:17" x14ac:dyDescent="0.4">
      <c r="A27" s="57" t="s">
        <v>142</v>
      </c>
      <c r="B27" s="65">
        <v>0</v>
      </c>
      <c r="C27" s="42">
        <f>IF(B$3=0,0,B27/B$3)</f>
        <v>0</v>
      </c>
      <c r="E27" s="63" t="s">
        <v>88</v>
      </c>
      <c r="F27" s="60" t="s">
        <v>43</v>
      </c>
      <c r="G27" s="47">
        <v>0</v>
      </c>
      <c r="H27" s="133">
        <f>IF(B$17=0,0,G27/B$17)</f>
        <v>0</v>
      </c>
      <c r="I27" s="94">
        <v>3</v>
      </c>
    </row>
    <row r="28" spans="1:17" x14ac:dyDescent="0.4">
      <c r="E28" s="63" t="s">
        <v>89</v>
      </c>
      <c r="F28" s="60" t="s">
        <v>44</v>
      </c>
      <c r="G28" s="47">
        <v>0</v>
      </c>
      <c r="H28" s="133">
        <f>IF(B$17=0,0,G28/B$17)</f>
        <v>0</v>
      </c>
      <c r="I28" s="94">
        <v>4</v>
      </c>
    </row>
    <row r="29" spans="1:17" x14ac:dyDescent="0.4">
      <c r="E29" s="63" t="s">
        <v>91</v>
      </c>
      <c r="F29" s="60" t="s">
        <v>46</v>
      </c>
      <c r="G29" s="47">
        <v>0</v>
      </c>
      <c r="H29" s="133">
        <f>IF(B$17=0,0,G29/B$17)</f>
        <v>0</v>
      </c>
      <c r="I29" s="94">
        <v>3</v>
      </c>
    </row>
    <row r="30" spans="1:17" x14ac:dyDescent="0.4">
      <c r="E30" s="63" t="s">
        <v>92</v>
      </c>
      <c r="F30" s="60" t="s">
        <v>47</v>
      </c>
      <c r="G30" s="47">
        <v>0</v>
      </c>
      <c r="H30" s="133">
        <f>IF(B$17=0,0,G30/B$17)</f>
        <v>0</v>
      </c>
      <c r="I30" s="94">
        <v>7</v>
      </c>
    </row>
    <row r="31" spans="1:17" x14ac:dyDescent="0.4">
      <c r="E31" s="63" t="s">
        <v>93</v>
      </c>
      <c r="F31" s="60" t="s">
        <v>48</v>
      </c>
      <c r="G31" s="47">
        <v>0</v>
      </c>
      <c r="H31" s="133">
        <f>IF(B$17=0,0,G31/B$17)</f>
        <v>0</v>
      </c>
      <c r="I31" s="94">
        <v>4</v>
      </c>
    </row>
    <row r="32" spans="1:17" x14ac:dyDescent="0.4">
      <c r="E32" s="63" t="s">
        <v>94</v>
      </c>
      <c r="F32" s="60" t="s">
        <v>49</v>
      </c>
      <c r="G32" s="47">
        <v>0</v>
      </c>
      <c r="H32" s="133">
        <f>IF(B$17=0,0,G32/B$17)</f>
        <v>0</v>
      </c>
      <c r="I32" s="94">
        <v>1</v>
      </c>
    </row>
    <row r="33" spans="5:9" x14ac:dyDescent="0.4">
      <c r="E33" s="63" t="s">
        <v>95</v>
      </c>
      <c r="F33" s="60" t="s">
        <v>50</v>
      </c>
      <c r="G33" s="47">
        <v>0</v>
      </c>
      <c r="H33" s="133">
        <f>IF(B$17=0,0,G33/B$17)</f>
        <v>0</v>
      </c>
      <c r="I33" s="94">
        <v>1</v>
      </c>
    </row>
    <row r="34" spans="5:9" x14ac:dyDescent="0.4">
      <c r="E34" s="63" t="s">
        <v>96</v>
      </c>
      <c r="F34" s="60" t="s">
        <v>51</v>
      </c>
      <c r="G34" s="47">
        <v>0</v>
      </c>
      <c r="H34" s="133">
        <f>IF(B$17=0,0,G34/B$17)</f>
        <v>0</v>
      </c>
      <c r="I34" s="94">
        <v>3</v>
      </c>
    </row>
    <row r="35" spans="5:9" x14ac:dyDescent="0.4">
      <c r="E35" s="63" t="s">
        <v>97</v>
      </c>
      <c r="F35" s="60" t="s">
        <v>52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98</v>
      </c>
      <c r="F36" s="60" t="s">
        <v>53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99</v>
      </c>
      <c r="F37" s="60" t="s">
        <v>54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100</v>
      </c>
      <c r="F38" s="60" t="s">
        <v>55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101</v>
      </c>
      <c r="F39" s="60" t="s">
        <v>56</v>
      </c>
      <c r="G39" s="47">
        <v>0</v>
      </c>
      <c r="H39" s="133">
        <f>IF(B$17=0,0,G39/B$17)</f>
        <v>0</v>
      </c>
      <c r="I39" s="94">
        <v>1</v>
      </c>
    </row>
    <row r="40" spans="5:9" x14ac:dyDescent="0.4">
      <c r="E40" s="63" t="s">
        <v>102</v>
      </c>
      <c r="F40" s="60" t="s">
        <v>57</v>
      </c>
      <c r="G40" s="47">
        <v>0</v>
      </c>
      <c r="H40" s="133">
        <f>IF(B$17=0,0,G40/B$17)</f>
        <v>0</v>
      </c>
      <c r="I40" s="94">
        <v>3</v>
      </c>
    </row>
    <row r="41" spans="5:9" x14ac:dyDescent="0.4">
      <c r="E41" s="63" t="s">
        <v>103</v>
      </c>
      <c r="F41" s="60" t="s">
        <v>58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104</v>
      </c>
      <c r="F42" s="60" t="s">
        <v>59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105</v>
      </c>
      <c r="F43" s="60" t="s">
        <v>60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106</v>
      </c>
      <c r="F44" s="60" t="s">
        <v>113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107</v>
      </c>
      <c r="F45" s="60" t="s">
        <v>114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108</v>
      </c>
      <c r="F46" s="60" t="s">
        <v>115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109</v>
      </c>
      <c r="F47" s="60" t="s">
        <v>61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110</v>
      </c>
      <c r="F48" s="60" t="s">
        <v>62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111</v>
      </c>
      <c r="F49" s="60" t="s">
        <v>63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112</v>
      </c>
      <c r="F50" s="60" t="s">
        <v>64</v>
      </c>
      <c r="G50" s="47">
        <v>0</v>
      </c>
      <c r="H50" s="133">
        <f>IF(B$17=0,0,G50/B$17)</f>
        <v>0</v>
      </c>
      <c r="I50" s="94">
        <v>1</v>
      </c>
    </row>
    <row r="51" spans="5:9" x14ac:dyDescent="0.4">
      <c r="E51" s="136" t="s">
        <v>168</v>
      </c>
      <c r="F51" s="137" t="s">
        <v>169</v>
      </c>
      <c r="G51" s="48">
        <v>0</v>
      </c>
      <c r="H51" s="138">
        <f>IF(B$17=0,0,G51/B$17)</f>
        <v>0</v>
      </c>
      <c r="I51" s="139">
        <v>6</v>
      </c>
    </row>
    <row r="52" spans="5:9" x14ac:dyDescent="0.4">
      <c r="E52" s="64" t="s">
        <v>174</v>
      </c>
      <c r="F52" s="61" t="s">
        <v>175</v>
      </c>
      <c r="G52" s="49">
        <v>0</v>
      </c>
      <c r="H52" s="134">
        <f>IF(B$17=0,0,G52/B$17)</f>
        <v>0</v>
      </c>
      <c r="I52" s="95">
        <v>1</v>
      </c>
    </row>
  </sheetData>
  <sortState xmlns:xlrd2="http://schemas.microsoft.com/office/spreadsheetml/2017/richdata2" ref="N15:Q20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C2F95A-733A-4337-B294-72EDC42F11FC}">
  <sheetPr codeName="Sheet24"/>
  <dimension ref="A1:Q10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196</v>
      </c>
      <c r="B1" s="70" t="s">
        <v>196</v>
      </c>
      <c r="C1" s="70" t="s">
        <v>196</v>
      </c>
      <c r="D1" s="71" t="s">
        <v>196</v>
      </c>
      <c r="E1" s="70" t="s">
        <v>196</v>
      </c>
      <c r="F1" s="70" t="s">
        <v>196</v>
      </c>
      <c r="G1" s="70" t="s">
        <v>196</v>
      </c>
      <c r="H1" s="70" t="s">
        <v>196</v>
      </c>
      <c r="I1" s="70" t="s">
        <v>196</v>
      </c>
      <c r="J1" s="70" t="s">
        <v>196</v>
      </c>
      <c r="K1" s="70" t="s">
        <v>196</v>
      </c>
      <c r="L1" s="70" t="s">
        <v>196</v>
      </c>
      <c r="M1" s="70" t="s">
        <v>196</v>
      </c>
      <c r="N1" s="70" t="s">
        <v>196</v>
      </c>
      <c r="O1" s="70" t="s">
        <v>196</v>
      </c>
      <c r="P1" s="70" t="s">
        <v>196</v>
      </c>
      <c r="Q1" s="70" t="s">
        <v>196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161</v>
      </c>
      <c r="G2" s="70" t="s">
        <v>146</v>
      </c>
      <c r="H2" s="70" t="s">
        <v>145</v>
      </c>
      <c r="I2" s="70" t="s">
        <v>5</v>
      </c>
      <c r="J2" s="70" t="s">
        <v>17</v>
      </c>
      <c r="K2" s="70" t="s">
        <v>18</v>
      </c>
      <c r="L2" s="70" t="s">
        <v>140</v>
      </c>
      <c r="M2" s="70" t="s">
        <v>123</v>
      </c>
      <c r="N2" s="70" t="s">
        <v>120</v>
      </c>
      <c r="O2" s="70" t="s">
        <v>126</v>
      </c>
      <c r="P2" s="70" t="s">
        <v>147</v>
      </c>
      <c r="Q2" s="70" t="s">
        <v>143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-46.5</v>
      </c>
      <c r="C4" s="66">
        <v>-46.5</v>
      </c>
      <c r="D4" s="71">
        <v>3</v>
      </c>
      <c r="E4" s="67">
        <v>0</v>
      </c>
      <c r="F4" s="67">
        <v>1</v>
      </c>
      <c r="G4" s="67">
        <v>9.0909090909090912E-2</v>
      </c>
      <c r="H4" s="67">
        <v>0.27272727272727271</v>
      </c>
      <c r="I4" s="68">
        <v>12000</v>
      </c>
      <c r="J4" s="68">
        <v>-9333.3333333333339</v>
      </c>
      <c r="K4" s="67">
        <v>1</v>
      </c>
      <c r="L4" s="67">
        <v>0</v>
      </c>
      <c r="M4" s="67">
        <v>0.27272727272727271</v>
      </c>
      <c r="N4" s="67">
        <v>0.36363636363636365</v>
      </c>
      <c r="O4" s="67">
        <v>0.33333333333333331</v>
      </c>
      <c r="P4" s="67">
        <v>0</v>
      </c>
      <c r="Q4" s="67">
        <v>1</v>
      </c>
    </row>
    <row r="5" spans="1:17" x14ac:dyDescent="0.4">
      <c r="A5" s="69">
        <v>2</v>
      </c>
      <c r="B5" s="66">
        <v>-25.4</v>
      </c>
      <c r="C5" s="66">
        <v>-12.7</v>
      </c>
      <c r="D5" s="71">
        <v>2</v>
      </c>
      <c r="E5" s="67">
        <v>0.5</v>
      </c>
      <c r="F5" s="67">
        <v>0.5</v>
      </c>
      <c r="G5" s="67">
        <v>0.22222222222222221</v>
      </c>
      <c r="H5" s="67">
        <v>0.16666666666666666</v>
      </c>
      <c r="I5" s="68">
        <v>9450</v>
      </c>
      <c r="J5" s="68">
        <v>-9333.3333333333339</v>
      </c>
      <c r="K5" s="67">
        <v>0.5</v>
      </c>
      <c r="L5" s="67">
        <v>0</v>
      </c>
      <c r="M5" s="67">
        <v>0.27777777777777779</v>
      </c>
      <c r="N5" s="67">
        <v>0.33333333333333331</v>
      </c>
      <c r="O5" s="67">
        <v>0.4</v>
      </c>
      <c r="P5" s="67">
        <v>0.33333333333333331</v>
      </c>
      <c r="Q5" s="67">
        <v>0.5</v>
      </c>
    </row>
    <row r="6" spans="1:17" x14ac:dyDescent="0.4">
      <c r="A6" s="69">
        <v>3</v>
      </c>
      <c r="B6" s="66">
        <v>-71.900000000000006</v>
      </c>
      <c r="C6" s="66">
        <v>-23.966666666666669</v>
      </c>
      <c r="D6" s="71">
        <v>2.3333333333333335</v>
      </c>
      <c r="E6" s="67">
        <v>0.33333333333333331</v>
      </c>
      <c r="F6" s="67">
        <v>0.66666666666666663</v>
      </c>
      <c r="G6" s="67">
        <v>0.17241379310344829</v>
      </c>
      <c r="H6" s="67">
        <v>0.20689655172413793</v>
      </c>
      <c r="I6" s="68">
        <v>9960</v>
      </c>
      <c r="J6" s="68">
        <v>-9333.3333333333339</v>
      </c>
      <c r="K6" s="67">
        <v>0.66666666666666663</v>
      </c>
      <c r="L6" s="67">
        <v>0</v>
      </c>
      <c r="M6" s="67">
        <v>0.27586206896551724</v>
      </c>
      <c r="N6" s="67">
        <v>0.34482758620689657</v>
      </c>
      <c r="O6" s="67">
        <v>0.375</v>
      </c>
      <c r="P6" s="67">
        <v>0.2</v>
      </c>
      <c r="Q6" s="67">
        <v>0.6</v>
      </c>
    </row>
    <row r="7" spans="1:17" x14ac:dyDescent="0.4">
      <c r="A7" s="69">
        <v>4</v>
      </c>
      <c r="B7" s="66">
        <v>-37.400000000000006</v>
      </c>
      <c r="C7" s="66">
        <v>-9.3500000000000014</v>
      </c>
      <c r="D7" s="71">
        <v>2</v>
      </c>
      <c r="E7" s="67">
        <v>0.5</v>
      </c>
      <c r="F7" s="67">
        <v>0.5</v>
      </c>
      <c r="G7" s="67">
        <v>0.25</v>
      </c>
      <c r="H7" s="67">
        <v>0.17499999999999999</v>
      </c>
      <c r="I7" s="68">
        <v>7780</v>
      </c>
      <c r="J7" s="68">
        <v>-9142.8571428571431</v>
      </c>
      <c r="K7" s="67">
        <v>0.5</v>
      </c>
      <c r="L7" s="67">
        <v>0.25</v>
      </c>
      <c r="M7" s="67">
        <v>0.27500000000000002</v>
      </c>
      <c r="N7" s="67">
        <v>0.35</v>
      </c>
      <c r="O7" s="67">
        <v>0.45454545454545453</v>
      </c>
      <c r="P7" s="67">
        <v>0.2857142857142857</v>
      </c>
      <c r="Q7" s="67">
        <v>0.4</v>
      </c>
    </row>
    <row r="8" spans="1:17" x14ac:dyDescent="0.4">
      <c r="A8" s="69">
        <v>5</v>
      </c>
      <c r="B8" s="66">
        <v>-12.100000000000005</v>
      </c>
      <c r="C8" s="66">
        <v>-2.4200000000000008</v>
      </c>
      <c r="D8" s="71">
        <v>1.8</v>
      </c>
      <c r="E8" s="67">
        <v>0.6</v>
      </c>
      <c r="F8" s="67">
        <v>0.4</v>
      </c>
      <c r="G8" s="67">
        <v>0.29166666666666669</v>
      </c>
      <c r="H8" s="67">
        <v>0.16666666666666666</v>
      </c>
      <c r="I8" s="68">
        <v>7914.2857142857147</v>
      </c>
      <c r="J8" s="68">
        <v>-8962.5</v>
      </c>
      <c r="K8" s="67">
        <v>0.4</v>
      </c>
      <c r="L8" s="67">
        <v>0.2</v>
      </c>
      <c r="M8" s="67">
        <v>0.27083333333333331</v>
      </c>
      <c r="N8" s="67">
        <v>0.375</v>
      </c>
      <c r="O8" s="67">
        <v>0.53846153846153844</v>
      </c>
      <c r="P8" s="67">
        <v>0.33333333333333331</v>
      </c>
      <c r="Q8" s="67">
        <v>0.35714285714285715</v>
      </c>
    </row>
    <row r="9" spans="1:17" x14ac:dyDescent="0.4">
      <c r="A9" s="69">
        <v>6</v>
      </c>
      <c r="B9" s="66">
        <v>-59.300000000000011</v>
      </c>
      <c r="C9" s="66">
        <v>-9.8833333333333346</v>
      </c>
      <c r="D9" s="71">
        <v>2</v>
      </c>
      <c r="E9" s="67">
        <v>0.5</v>
      </c>
      <c r="F9" s="67">
        <v>0.5</v>
      </c>
      <c r="G9" s="67">
        <v>0.25454545454545452</v>
      </c>
      <c r="H9" s="67">
        <v>0.18181818181818182</v>
      </c>
      <c r="I9" s="68">
        <v>7914.2857142857147</v>
      </c>
      <c r="J9" s="68">
        <v>-8140</v>
      </c>
      <c r="K9" s="67">
        <v>0.5</v>
      </c>
      <c r="L9" s="67">
        <v>0.16666666666666666</v>
      </c>
      <c r="M9" s="67">
        <v>0.23636363636363636</v>
      </c>
      <c r="N9" s="67">
        <v>0.38181818181818183</v>
      </c>
      <c r="O9" s="67">
        <v>0.53846153846153844</v>
      </c>
      <c r="P9" s="67">
        <v>0.2857142857142857</v>
      </c>
      <c r="Q9" s="67">
        <v>0.35714285714285715</v>
      </c>
    </row>
    <row r="10" spans="1:17" x14ac:dyDescent="0.4">
      <c r="A10" s="69">
        <v>7</v>
      </c>
      <c r="B10" s="66">
        <v>-104.80000000000001</v>
      </c>
      <c r="C10" s="66">
        <v>-14.971428571428573</v>
      </c>
      <c r="D10" s="71">
        <v>2.1428571428571428</v>
      </c>
      <c r="E10" s="67">
        <v>0.42857142857142855</v>
      </c>
      <c r="F10" s="67">
        <v>0.5714285714285714</v>
      </c>
      <c r="G10" s="67">
        <v>0.24193548387096775</v>
      </c>
      <c r="H10" s="67">
        <v>0.19354838709677419</v>
      </c>
      <c r="I10" s="68">
        <v>7473.333333333333</v>
      </c>
      <c r="J10" s="68">
        <v>-9075</v>
      </c>
      <c r="K10" s="67">
        <v>0.5714285714285714</v>
      </c>
      <c r="L10" s="67">
        <v>0.14285714285714285</v>
      </c>
      <c r="M10" s="67">
        <v>0.24193548387096775</v>
      </c>
      <c r="N10" s="67">
        <v>0.35483870967741937</v>
      </c>
      <c r="O10" s="67">
        <v>0.53333333333333333</v>
      </c>
      <c r="P10" s="67">
        <v>0.27272727272727271</v>
      </c>
      <c r="Q10" s="67">
        <v>0.33333333333333331</v>
      </c>
    </row>
  </sheetData>
  <phoneticPr fontId="1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F67EDA-B1F5-4FFF-999F-939958B5A5F9}">
  <sheetPr codeName="Sheet22"/>
  <dimension ref="A1:Q14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182</v>
      </c>
      <c r="B1" s="70" t="s">
        <v>182</v>
      </c>
      <c r="C1" s="70" t="s">
        <v>182</v>
      </c>
      <c r="D1" s="71" t="s">
        <v>182</v>
      </c>
      <c r="E1" s="70" t="s">
        <v>182</v>
      </c>
      <c r="F1" s="70" t="s">
        <v>182</v>
      </c>
      <c r="G1" s="70" t="s">
        <v>182</v>
      </c>
      <c r="H1" s="70" t="s">
        <v>182</v>
      </c>
      <c r="I1" s="70" t="s">
        <v>182</v>
      </c>
      <c r="J1" s="70" t="s">
        <v>182</v>
      </c>
      <c r="K1" s="70" t="s">
        <v>182</v>
      </c>
      <c r="L1" s="70" t="s">
        <v>182</v>
      </c>
      <c r="M1" s="70" t="s">
        <v>182</v>
      </c>
      <c r="N1" s="70" t="s">
        <v>182</v>
      </c>
      <c r="O1" s="70" t="s">
        <v>182</v>
      </c>
      <c r="P1" s="70" t="s">
        <v>182</v>
      </c>
      <c r="Q1" s="70" t="s">
        <v>182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161</v>
      </c>
      <c r="G2" s="70" t="s">
        <v>146</v>
      </c>
      <c r="H2" s="70" t="s">
        <v>145</v>
      </c>
      <c r="I2" s="70" t="s">
        <v>5</v>
      </c>
      <c r="J2" s="70" t="s">
        <v>17</v>
      </c>
      <c r="K2" s="70" t="s">
        <v>18</v>
      </c>
      <c r="L2" s="70" t="s">
        <v>140</v>
      </c>
      <c r="M2" s="70" t="s">
        <v>123</v>
      </c>
      <c r="N2" s="70" t="s">
        <v>120</v>
      </c>
      <c r="O2" s="70" t="s">
        <v>126</v>
      </c>
      <c r="P2" s="70" t="s">
        <v>147</v>
      </c>
      <c r="Q2" s="70" t="s">
        <v>143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70.2</v>
      </c>
      <c r="C4" s="66">
        <v>70.2</v>
      </c>
      <c r="D4" s="71">
        <v>1</v>
      </c>
      <c r="E4" s="67">
        <v>1</v>
      </c>
      <c r="F4" s="67">
        <v>0</v>
      </c>
      <c r="G4" s="67">
        <v>0.55555555555555558</v>
      </c>
      <c r="H4" s="67">
        <v>0.1111111111111111</v>
      </c>
      <c r="I4" s="68">
        <v>13940</v>
      </c>
      <c r="J4" s="68">
        <v>-12000</v>
      </c>
      <c r="K4" s="67">
        <v>0</v>
      </c>
      <c r="L4" s="67">
        <v>1</v>
      </c>
      <c r="M4" s="67">
        <v>0.44444444444444442</v>
      </c>
      <c r="N4" s="67">
        <v>0</v>
      </c>
      <c r="O4" s="67">
        <v>0.75</v>
      </c>
      <c r="P4" s="67">
        <v>0</v>
      </c>
      <c r="Q4" s="67">
        <v>0.2</v>
      </c>
    </row>
    <row r="5" spans="1:17" x14ac:dyDescent="0.4">
      <c r="A5" s="69">
        <v>2</v>
      </c>
      <c r="B5" s="66">
        <v>68.5</v>
      </c>
      <c r="C5" s="66">
        <v>34.25</v>
      </c>
      <c r="D5" s="71">
        <v>1.5</v>
      </c>
      <c r="E5" s="67">
        <v>0.5</v>
      </c>
      <c r="F5" s="67">
        <v>0</v>
      </c>
      <c r="G5" s="67">
        <v>0.5</v>
      </c>
      <c r="H5" s="67">
        <v>6.25E-2</v>
      </c>
      <c r="I5" s="68">
        <v>9800</v>
      </c>
      <c r="J5" s="68">
        <v>-12000</v>
      </c>
      <c r="K5" s="67">
        <v>0</v>
      </c>
      <c r="L5" s="67">
        <v>0.5</v>
      </c>
      <c r="M5" s="67">
        <v>0.375</v>
      </c>
      <c r="N5" s="67">
        <v>0</v>
      </c>
      <c r="O5" s="67">
        <v>0.83333333333333337</v>
      </c>
      <c r="P5" s="67">
        <v>0</v>
      </c>
      <c r="Q5" s="67">
        <v>0.375</v>
      </c>
    </row>
    <row r="6" spans="1:17" x14ac:dyDescent="0.4">
      <c r="A6" s="69">
        <v>3</v>
      </c>
      <c r="B6" s="66">
        <v>76</v>
      </c>
      <c r="C6" s="66">
        <v>25.333333333333332</v>
      </c>
      <c r="D6" s="71">
        <v>1.6666666666666667</v>
      </c>
      <c r="E6" s="67">
        <v>0.33333333333333331</v>
      </c>
      <c r="F6" s="67">
        <v>0</v>
      </c>
      <c r="G6" s="67">
        <v>0.47826086956521741</v>
      </c>
      <c r="H6" s="67">
        <v>8.6956521739130432E-2</v>
      </c>
      <c r="I6" s="68">
        <v>9200</v>
      </c>
      <c r="J6" s="68">
        <v>-8900</v>
      </c>
      <c r="K6" s="67">
        <v>0</v>
      </c>
      <c r="L6" s="67">
        <v>0.33333333333333331</v>
      </c>
      <c r="M6" s="67">
        <v>0.39130434782608697</v>
      </c>
      <c r="N6" s="67">
        <v>4.3478260869565216E-2</v>
      </c>
      <c r="O6" s="67">
        <v>0.77777777777777779</v>
      </c>
      <c r="P6" s="67">
        <v>0</v>
      </c>
      <c r="Q6" s="67">
        <v>0.54545454545454541</v>
      </c>
    </row>
    <row r="7" spans="1:17" x14ac:dyDescent="0.4">
      <c r="A7" s="69">
        <v>4</v>
      </c>
      <c r="B7" s="66">
        <v>115.5</v>
      </c>
      <c r="C7" s="66">
        <v>28.875</v>
      </c>
      <c r="D7" s="71">
        <v>1.5</v>
      </c>
      <c r="E7" s="67">
        <v>0.5</v>
      </c>
      <c r="F7" s="67">
        <v>0</v>
      </c>
      <c r="G7" s="67">
        <v>0.45454545454545453</v>
      </c>
      <c r="H7" s="67">
        <v>6.0606060606060608E-2</v>
      </c>
      <c r="I7" s="68">
        <v>8746.6666666666661</v>
      </c>
      <c r="J7" s="68">
        <v>-8900</v>
      </c>
      <c r="K7" s="67">
        <v>0</v>
      </c>
      <c r="L7" s="67">
        <v>0.5</v>
      </c>
      <c r="M7" s="67">
        <v>0.36363636363636365</v>
      </c>
      <c r="N7" s="67">
        <v>6.0606060606060608E-2</v>
      </c>
      <c r="O7" s="67">
        <v>0.83333333333333337</v>
      </c>
      <c r="P7" s="67">
        <v>0.5</v>
      </c>
      <c r="Q7" s="67">
        <v>0.46666666666666667</v>
      </c>
    </row>
    <row r="8" spans="1:17" x14ac:dyDescent="0.4">
      <c r="A8" s="69">
        <v>5</v>
      </c>
      <c r="B8" s="66">
        <v>127.9</v>
      </c>
      <c r="C8" s="66">
        <v>25.580000000000002</v>
      </c>
      <c r="D8" s="71">
        <v>1.6</v>
      </c>
      <c r="E8" s="67">
        <v>0.4</v>
      </c>
      <c r="F8" s="67">
        <v>0</v>
      </c>
      <c r="G8" s="67">
        <v>0.38636363636363635</v>
      </c>
      <c r="H8" s="67">
        <v>6.8181818181818177E-2</v>
      </c>
      <c r="I8" s="68">
        <v>8894.1176470588234</v>
      </c>
      <c r="J8" s="68">
        <v>-6800</v>
      </c>
      <c r="K8" s="67">
        <v>0</v>
      </c>
      <c r="L8" s="67">
        <v>0.4</v>
      </c>
      <c r="M8" s="67">
        <v>0.36363636363636365</v>
      </c>
      <c r="N8" s="67">
        <v>9.0909090909090912E-2</v>
      </c>
      <c r="O8" s="67">
        <v>0.6875</v>
      </c>
      <c r="P8" s="67">
        <v>0.25</v>
      </c>
      <c r="Q8" s="67">
        <v>0.41176470588235292</v>
      </c>
    </row>
    <row r="9" spans="1:17" x14ac:dyDescent="0.4">
      <c r="A9" s="69">
        <v>6</v>
      </c>
      <c r="B9" s="66">
        <v>149.4</v>
      </c>
      <c r="C9" s="66">
        <v>24.900000000000002</v>
      </c>
      <c r="D9" s="71">
        <v>1.5</v>
      </c>
      <c r="E9" s="67">
        <v>0.5</v>
      </c>
      <c r="F9" s="67">
        <v>0</v>
      </c>
      <c r="G9" s="67">
        <v>0.39622641509433965</v>
      </c>
      <c r="H9" s="67">
        <v>5.6603773584905662E-2</v>
      </c>
      <c r="I9" s="68">
        <v>8461.9047619047615</v>
      </c>
      <c r="J9" s="68">
        <v>-6800</v>
      </c>
      <c r="K9" s="67">
        <v>0</v>
      </c>
      <c r="L9" s="67">
        <v>0.33333333333333331</v>
      </c>
      <c r="M9" s="67">
        <v>0.37735849056603776</v>
      </c>
      <c r="N9" s="67">
        <v>0.11320754716981132</v>
      </c>
      <c r="O9" s="67">
        <v>0.75</v>
      </c>
      <c r="P9" s="67">
        <v>0.16666666666666666</v>
      </c>
      <c r="Q9" s="67">
        <v>0.42857142857142855</v>
      </c>
    </row>
    <row r="10" spans="1:17" x14ac:dyDescent="0.4">
      <c r="A10" s="69">
        <v>7</v>
      </c>
      <c r="B10" s="66">
        <v>123</v>
      </c>
      <c r="C10" s="66">
        <v>17.571428571428573</v>
      </c>
      <c r="D10" s="71">
        <v>1.7142857142857142</v>
      </c>
      <c r="E10" s="67">
        <v>0.42857142857142855</v>
      </c>
      <c r="F10" s="67">
        <v>0.14285714285714285</v>
      </c>
      <c r="G10" s="67">
        <v>0.34375</v>
      </c>
      <c r="H10" s="67">
        <v>9.375E-2</v>
      </c>
      <c r="I10" s="68">
        <v>8622.7272727272721</v>
      </c>
      <c r="J10" s="68">
        <v>-5550</v>
      </c>
      <c r="K10" s="67">
        <v>0</v>
      </c>
      <c r="L10" s="67">
        <v>0.2857142857142857</v>
      </c>
      <c r="M10" s="67">
        <v>0.359375</v>
      </c>
      <c r="N10" s="67">
        <v>0.109375</v>
      </c>
      <c r="O10" s="67">
        <v>0.65217391304347827</v>
      </c>
      <c r="P10" s="67">
        <v>0.2857142857142857</v>
      </c>
      <c r="Q10" s="67">
        <v>0.45454545454545453</v>
      </c>
    </row>
    <row r="11" spans="1:17" x14ac:dyDescent="0.4">
      <c r="A11" s="69">
        <v>8</v>
      </c>
      <c r="B11" s="66">
        <v>124.6</v>
      </c>
      <c r="C11" s="66">
        <v>15.574999999999999</v>
      </c>
      <c r="D11" s="71">
        <v>1.75</v>
      </c>
      <c r="E11" s="67">
        <v>0.375</v>
      </c>
      <c r="F11" s="67">
        <v>0.125</v>
      </c>
      <c r="G11" s="67">
        <v>0.33783783783783783</v>
      </c>
      <c r="H11" s="67">
        <v>9.45945945945946E-2</v>
      </c>
      <c r="I11" s="68">
        <v>8352</v>
      </c>
      <c r="J11" s="68">
        <v>-5128.5714285714284</v>
      </c>
      <c r="K11" s="67">
        <v>0</v>
      </c>
      <c r="L11" s="67">
        <v>0.25</v>
      </c>
      <c r="M11" s="67">
        <v>0.32432432432432434</v>
      </c>
      <c r="N11" s="67">
        <v>0.13513513513513514</v>
      </c>
      <c r="O11" s="67">
        <v>0.66666666666666663</v>
      </c>
      <c r="P11" s="67">
        <v>0.3</v>
      </c>
      <c r="Q11" s="67">
        <v>0.44</v>
      </c>
    </row>
    <row r="12" spans="1:17" x14ac:dyDescent="0.4">
      <c r="A12" s="69">
        <v>9</v>
      </c>
      <c r="B12" s="66">
        <v>141.5</v>
      </c>
      <c r="C12" s="66">
        <v>15.722222222222221</v>
      </c>
      <c r="D12" s="71">
        <v>1.6666666666666667</v>
      </c>
      <c r="E12" s="67">
        <v>0.44444444444444442</v>
      </c>
      <c r="F12" s="67">
        <v>0.1111111111111111</v>
      </c>
      <c r="G12" s="67">
        <v>0.32558139534883723</v>
      </c>
      <c r="H12" s="67">
        <v>0.10465116279069768</v>
      </c>
      <c r="I12" s="68">
        <v>8175</v>
      </c>
      <c r="J12" s="68">
        <v>-4433.333333333333</v>
      </c>
      <c r="K12" s="67">
        <v>0</v>
      </c>
      <c r="L12" s="67">
        <v>0.22222222222222221</v>
      </c>
      <c r="M12" s="67">
        <v>0.29069767441860467</v>
      </c>
      <c r="N12" s="67">
        <v>0.15116279069767441</v>
      </c>
      <c r="O12" s="67">
        <v>0.68</v>
      </c>
      <c r="P12" s="67">
        <v>0.30769230769230771</v>
      </c>
      <c r="Q12" s="67">
        <v>0.5</v>
      </c>
    </row>
    <row r="13" spans="1:17" x14ac:dyDescent="0.4">
      <c r="A13" s="69">
        <v>10</v>
      </c>
      <c r="B13" s="66">
        <v>162.80000000000001</v>
      </c>
      <c r="C13" s="66">
        <v>16.28</v>
      </c>
      <c r="D13" s="71">
        <v>1.6</v>
      </c>
      <c r="E13" s="67">
        <v>0.5</v>
      </c>
      <c r="F13" s="67">
        <v>0.1</v>
      </c>
      <c r="G13" s="67">
        <v>0.33333333333333331</v>
      </c>
      <c r="H13" s="67">
        <v>9.6774193548387094E-2</v>
      </c>
      <c r="I13" s="68">
        <v>7790.322580645161</v>
      </c>
      <c r="J13" s="68">
        <v>-4433.333333333333</v>
      </c>
      <c r="K13" s="67">
        <v>0</v>
      </c>
      <c r="L13" s="67">
        <v>0.2</v>
      </c>
      <c r="M13" s="67">
        <v>0.31182795698924731</v>
      </c>
      <c r="N13" s="67">
        <v>0.15053763440860216</v>
      </c>
      <c r="O13" s="67">
        <v>0.65517241379310343</v>
      </c>
      <c r="P13" s="67">
        <v>0.35714285714285715</v>
      </c>
      <c r="Q13" s="67">
        <v>0.4838709677419355</v>
      </c>
    </row>
    <row r="14" spans="1:17" x14ac:dyDescent="0.4">
      <c r="A14" s="69">
        <v>11</v>
      </c>
      <c r="B14" s="66">
        <v>126.10000000000001</v>
      </c>
      <c r="C14" s="66">
        <v>11.463636363636365</v>
      </c>
      <c r="D14" s="71">
        <v>1.7272727272727273</v>
      </c>
      <c r="E14" s="67">
        <v>0.45454545454545453</v>
      </c>
      <c r="F14" s="67">
        <v>0.18181818181818182</v>
      </c>
      <c r="G14" s="67">
        <v>0.3300970873786408</v>
      </c>
      <c r="H14" s="67">
        <v>0.11650485436893204</v>
      </c>
      <c r="I14" s="68">
        <v>7779.411764705882</v>
      </c>
      <c r="J14" s="68">
        <v>-6041.666666666667</v>
      </c>
      <c r="K14" s="67">
        <v>0</v>
      </c>
      <c r="L14" s="67">
        <v>0.18181818181818182</v>
      </c>
      <c r="M14" s="67">
        <v>0.29126213592233008</v>
      </c>
      <c r="N14" s="67">
        <v>0.14563106796116504</v>
      </c>
      <c r="O14" s="67">
        <v>0.66666666666666663</v>
      </c>
      <c r="P14" s="67">
        <v>0.33333333333333331</v>
      </c>
      <c r="Q14" s="67">
        <v>0.52941176470588236</v>
      </c>
    </row>
  </sheetData>
  <phoneticPr fontId="1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A8CFD6-3795-477B-B926-1A79577930E8}">
  <sheetPr codeName="Sheet20"/>
  <dimension ref="A1:Q18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183</v>
      </c>
      <c r="B1" s="70" t="s">
        <v>183</v>
      </c>
      <c r="C1" s="70" t="s">
        <v>183</v>
      </c>
      <c r="D1" s="71" t="s">
        <v>183</v>
      </c>
      <c r="E1" s="70" t="s">
        <v>183</v>
      </c>
      <c r="F1" s="70" t="s">
        <v>183</v>
      </c>
      <c r="G1" s="70" t="s">
        <v>183</v>
      </c>
      <c r="H1" s="70" t="s">
        <v>183</v>
      </c>
      <c r="I1" s="70" t="s">
        <v>183</v>
      </c>
      <c r="J1" s="70" t="s">
        <v>183</v>
      </c>
      <c r="K1" s="70" t="s">
        <v>183</v>
      </c>
      <c r="L1" s="70" t="s">
        <v>183</v>
      </c>
      <c r="M1" s="70" t="s">
        <v>183</v>
      </c>
      <c r="N1" s="70" t="s">
        <v>183</v>
      </c>
      <c r="O1" s="70" t="s">
        <v>183</v>
      </c>
      <c r="P1" s="70" t="s">
        <v>183</v>
      </c>
      <c r="Q1" s="70" t="s">
        <v>183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161</v>
      </c>
      <c r="G2" s="70" t="s">
        <v>146</v>
      </c>
      <c r="H2" s="70" t="s">
        <v>145</v>
      </c>
      <c r="I2" s="70" t="s">
        <v>5</v>
      </c>
      <c r="J2" s="70" t="s">
        <v>17</v>
      </c>
      <c r="K2" s="70" t="s">
        <v>18</v>
      </c>
      <c r="L2" s="70" t="s">
        <v>140</v>
      </c>
      <c r="M2" s="70" t="s">
        <v>123</v>
      </c>
      <c r="N2" s="70" t="s">
        <v>120</v>
      </c>
      <c r="O2" s="70" t="s">
        <v>126</v>
      </c>
      <c r="P2" s="70" t="s">
        <v>147</v>
      </c>
      <c r="Q2" s="70" t="s">
        <v>143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-12</v>
      </c>
      <c r="C4" s="66">
        <v>-12</v>
      </c>
      <c r="D4" s="71">
        <v>2</v>
      </c>
      <c r="E4" s="67">
        <v>0</v>
      </c>
      <c r="F4" s="67">
        <v>0</v>
      </c>
      <c r="G4" s="67">
        <v>0.33333333333333331</v>
      </c>
      <c r="H4" s="67">
        <v>0.33333333333333331</v>
      </c>
      <c r="I4" s="68">
        <v>8400</v>
      </c>
      <c r="J4" s="68">
        <v>-9233.3333333333339</v>
      </c>
      <c r="K4" s="67">
        <v>0</v>
      </c>
      <c r="L4" s="67">
        <v>0</v>
      </c>
      <c r="M4" s="67">
        <v>0.44444444444444442</v>
      </c>
      <c r="N4" s="67">
        <v>0.22222222222222221</v>
      </c>
      <c r="O4" s="67">
        <v>0.5</v>
      </c>
      <c r="P4" s="67">
        <v>0.5</v>
      </c>
      <c r="Q4" s="67">
        <v>0.33333333333333331</v>
      </c>
    </row>
    <row r="5" spans="1:17" x14ac:dyDescent="0.4">
      <c r="A5" s="69">
        <v>2</v>
      </c>
      <c r="B5" s="66">
        <v>-40.6</v>
      </c>
      <c r="C5" s="66">
        <v>-20.3</v>
      </c>
      <c r="D5" s="71">
        <v>2.5</v>
      </c>
      <c r="E5" s="67">
        <v>0</v>
      </c>
      <c r="F5" s="67">
        <v>0.5</v>
      </c>
      <c r="G5" s="67">
        <v>0.25</v>
      </c>
      <c r="H5" s="67">
        <v>0.25</v>
      </c>
      <c r="I5" s="68">
        <v>8300</v>
      </c>
      <c r="J5" s="68">
        <v>-8925</v>
      </c>
      <c r="K5" s="67">
        <v>0</v>
      </c>
      <c r="L5" s="67">
        <v>0</v>
      </c>
      <c r="M5" s="67">
        <v>0.3125</v>
      </c>
      <c r="N5" s="67">
        <v>0.1875</v>
      </c>
      <c r="O5" s="67">
        <v>0.6</v>
      </c>
      <c r="P5" s="67">
        <v>0.33333333333333331</v>
      </c>
      <c r="Q5" s="67">
        <v>0.5</v>
      </c>
    </row>
    <row r="6" spans="1:17" x14ac:dyDescent="0.4">
      <c r="A6" s="69">
        <v>3</v>
      </c>
      <c r="B6" s="66">
        <v>-33.6</v>
      </c>
      <c r="C6" s="66">
        <v>-11.200000000000001</v>
      </c>
      <c r="D6" s="71">
        <v>2.3333333333333335</v>
      </c>
      <c r="E6" s="67">
        <v>0</v>
      </c>
      <c r="F6" s="67">
        <v>0.33333333333333331</v>
      </c>
      <c r="G6" s="67">
        <v>0.23076923076923078</v>
      </c>
      <c r="H6" s="67">
        <v>0.19230769230769232</v>
      </c>
      <c r="I6" s="68">
        <v>9533.3333333333339</v>
      </c>
      <c r="J6" s="68">
        <v>-9540</v>
      </c>
      <c r="K6" s="67">
        <v>0</v>
      </c>
      <c r="L6" s="67">
        <v>0</v>
      </c>
      <c r="M6" s="67">
        <v>0.34615384615384615</v>
      </c>
      <c r="N6" s="67">
        <v>0.23076923076923078</v>
      </c>
      <c r="O6" s="67">
        <v>0.55555555555555558</v>
      </c>
      <c r="P6" s="67">
        <v>0.16666666666666666</v>
      </c>
      <c r="Q6" s="67">
        <v>0.5</v>
      </c>
    </row>
    <row r="7" spans="1:17" x14ac:dyDescent="0.4">
      <c r="A7" s="69">
        <v>4</v>
      </c>
      <c r="B7" s="66">
        <v>-80.5</v>
      </c>
      <c r="C7" s="66">
        <v>-20.125</v>
      </c>
      <c r="D7" s="71">
        <v>2.5</v>
      </c>
      <c r="E7" s="67">
        <v>0</v>
      </c>
      <c r="F7" s="67">
        <v>0.5</v>
      </c>
      <c r="G7" s="67">
        <v>0.1891891891891892</v>
      </c>
      <c r="H7" s="67">
        <v>0.24324324324324326</v>
      </c>
      <c r="I7" s="68">
        <v>9028.5714285714294</v>
      </c>
      <c r="J7" s="68">
        <v>-8566.6666666666661</v>
      </c>
      <c r="K7" s="67">
        <v>0.25</v>
      </c>
      <c r="L7" s="67">
        <v>0</v>
      </c>
      <c r="M7" s="67">
        <v>0.27027027027027029</v>
      </c>
      <c r="N7" s="67">
        <v>0.24324324324324326</v>
      </c>
      <c r="O7" s="67">
        <v>0.6</v>
      </c>
      <c r="P7" s="67">
        <v>0.1111111111111111</v>
      </c>
      <c r="Q7" s="67">
        <v>0.5714285714285714</v>
      </c>
    </row>
    <row r="8" spans="1:17" x14ac:dyDescent="0.4">
      <c r="A8" s="69">
        <v>5</v>
      </c>
      <c r="B8" s="66">
        <v>-124.3</v>
      </c>
      <c r="C8" s="66">
        <v>-24.86</v>
      </c>
      <c r="D8" s="71">
        <v>2.6</v>
      </c>
      <c r="E8" s="67">
        <v>0</v>
      </c>
      <c r="F8" s="67">
        <v>0.6</v>
      </c>
      <c r="G8" s="67">
        <v>0.14893617021276595</v>
      </c>
      <c r="H8" s="67">
        <v>0.23404255319148937</v>
      </c>
      <c r="I8" s="68">
        <v>9028.5714285714294</v>
      </c>
      <c r="J8" s="68">
        <v>-8827.2727272727279</v>
      </c>
      <c r="K8" s="67">
        <v>0.2</v>
      </c>
      <c r="L8" s="67">
        <v>0</v>
      </c>
      <c r="M8" s="67">
        <v>0.27659574468085107</v>
      </c>
      <c r="N8" s="67">
        <v>0.23404255319148937</v>
      </c>
      <c r="O8" s="67">
        <v>0.46153846153846156</v>
      </c>
      <c r="P8" s="67">
        <v>9.0909090909090912E-2</v>
      </c>
      <c r="Q8" s="67">
        <v>0.5714285714285714</v>
      </c>
    </row>
    <row r="9" spans="1:17" x14ac:dyDescent="0.4">
      <c r="A9" s="69">
        <v>6</v>
      </c>
      <c r="B9" s="66">
        <v>-159.6</v>
      </c>
      <c r="C9" s="66">
        <v>-26.599999999999998</v>
      </c>
      <c r="D9" s="71">
        <v>2.6666666666666665</v>
      </c>
      <c r="E9" s="67">
        <v>0</v>
      </c>
      <c r="F9" s="67">
        <v>0.66666666666666663</v>
      </c>
      <c r="G9" s="67">
        <v>0.12727272727272726</v>
      </c>
      <c r="H9" s="67">
        <v>0.23636363636363636</v>
      </c>
      <c r="I9" s="68">
        <v>9028.5714285714294</v>
      </c>
      <c r="J9" s="68">
        <v>-8069.2307692307695</v>
      </c>
      <c r="K9" s="67">
        <v>0.16666666666666666</v>
      </c>
      <c r="L9" s="67">
        <v>0</v>
      </c>
      <c r="M9" s="67">
        <v>0.25454545454545452</v>
      </c>
      <c r="N9" s="67">
        <v>0.2</v>
      </c>
      <c r="O9" s="67">
        <v>0.42857142857142855</v>
      </c>
      <c r="P9" s="67">
        <v>9.0909090909090912E-2</v>
      </c>
      <c r="Q9" s="67">
        <v>0.5714285714285714</v>
      </c>
    </row>
    <row r="10" spans="1:17" x14ac:dyDescent="0.4">
      <c r="A10" s="69">
        <v>7</v>
      </c>
      <c r="B10" s="66">
        <v>-99.5</v>
      </c>
      <c r="C10" s="66">
        <v>-14.214285714285714</v>
      </c>
      <c r="D10" s="71">
        <v>2.4285714285714284</v>
      </c>
      <c r="E10" s="67">
        <v>0.14285714285714285</v>
      </c>
      <c r="F10" s="67">
        <v>0.5714285714285714</v>
      </c>
      <c r="G10" s="67">
        <v>0.19047619047619047</v>
      </c>
      <c r="H10" s="67">
        <v>0.23809523809523808</v>
      </c>
      <c r="I10" s="68">
        <v>10583.333333333334</v>
      </c>
      <c r="J10" s="68">
        <v>-8040</v>
      </c>
      <c r="K10" s="67">
        <v>0.14285714285714285</v>
      </c>
      <c r="L10" s="67">
        <v>0.14285714285714285</v>
      </c>
      <c r="M10" s="67">
        <v>0.26984126984126983</v>
      </c>
      <c r="N10" s="67">
        <v>0.22222222222222221</v>
      </c>
      <c r="O10" s="67">
        <v>0.47058823529411764</v>
      </c>
      <c r="P10" s="67">
        <v>0.2857142857142857</v>
      </c>
      <c r="Q10" s="67">
        <v>0.5</v>
      </c>
    </row>
    <row r="11" spans="1:17" x14ac:dyDescent="0.4">
      <c r="A11" s="69">
        <v>8</v>
      </c>
      <c r="B11" s="66">
        <v>-152.6</v>
      </c>
      <c r="C11" s="66">
        <v>-19.074999999999999</v>
      </c>
      <c r="D11" s="71">
        <v>2.5</v>
      </c>
      <c r="E11" s="67">
        <v>0.125</v>
      </c>
      <c r="F11" s="67">
        <v>0.625</v>
      </c>
      <c r="G11" s="67">
        <v>0.20289855072463769</v>
      </c>
      <c r="H11" s="67">
        <v>0.24637681159420291</v>
      </c>
      <c r="I11" s="68">
        <v>9742.8571428571431</v>
      </c>
      <c r="J11" s="68">
        <v>-10035.294117647059</v>
      </c>
      <c r="K11" s="67">
        <v>0.25</v>
      </c>
      <c r="L11" s="67">
        <v>0.125</v>
      </c>
      <c r="M11" s="67">
        <v>0.27536231884057971</v>
      </c>
      <c r="N11" s="67">
        <v>0.21739130434782608</v>
      </c>
      <c r="O11" s="67">
        <v>0.47368421052631576</v>
      </c>
      <c r="P11" s="67">
        <v>0.33333333333333331</v>
      </c>
      <c r="Q11" s="67">
        <v>0.5714285714285714</v>
      </c>
    </row>
    <row r="12" spans="1:17" x14ac:dyDescent="0.4">
      <c r="A12" s="69">
        <v>9</v>
      </c>
      <c r="B12" s="66">
        <v>-150.6</v>
      </c>
      <c r="C12" s="66">
        <v>-16.733333333333334</v>
      </c>
      <c r="D12" s="71">
        <v>2.4444444444444446</v>
      </c>
      <c r="E12" s="67">
        <v>0.1111111111111111</v>
      </c>
      <c r="F12" s="67">
        <v>0.55555555555555558</v>
      </c>
      <c r="G12" s="67">
        <v>0.21333333333333335</v>
      </c>
      <c r="H12" s="67">
        <v>0.25333333333333335</v>
      </c>
      <c r="I12" s="68">
        <v>9350</v>
      </c>
      <c r="J12" s="68">
        <v>-9452.6315789473683</v>
      </c>
      <c r="K12" s="67">
        <v>0.22222222222222221</v>
      </c>
      <c r="L12" s="67">
        <v>0.1111111111111111</v>
      </c>
      <c r="M12" s="67">
        <v>0.26666666666666666</v>
      </c>
      <c r="N12" s="67">
        <v>0.21333333333333335</v>
      </c>
      <c r="O12" s="67">
        <v>0.5</v>
      </c>
      <c r="P12" s="67">
        <v>0.375</v>
      </c>
      <c r="Q12" s="67">
        <v>0.5625</v>
      </c>
    </row>
    <row r="13" spans="1:17" x14ac:dyDescent="0.4">
      <c r="A13" s="69">
        <v>10</v>
      </c>
      <c r="B13" s="66">
        <v>-151.1</v>
      </c>
      <c r="C13" s="66">
        <v>-15.11</v>
      </c>
      <c r="D13" s="71">
        <v>2.4</v>
      </c>
      <c r="E13" s="67">
        <v>0.1</v>
      </c>
      <c r="F13" s="67">
        <v>0.5</v>
      </c>
      <c r="G13" s="67">
        <v>0.2289156626506024</v>
      </c>
      <c r="H13" s="67">
        <v>0.2289156626506024</v>
      </c>
      <c r="I13" s="68">
        <v>8273.6842105263149</v>
      </c>
      <c r="J13" s="68">
        <v>-9452.6315789473683</v>
      </c>
      <c r="K13" s="67">
        <v>0.2</v>
      </c>
      <c r="L13" s="67">
        <v>0.1</v>
      </c>
      <c r="M13" s="67">
        <v>0.25301204819277107</v>
      </c>
      <c r="N13" s="67">
        <v>0.2289156626506024</v>
      </c>
      <c r="O13" s="67">
        <v>0.52380952380952384</v>
      </c>
      <c r="P13" s="67">
        <v>0.42105263157894735</v>
      </c>
      <c r="Q13" s="67">
        <v>0.52631578947368418</v>
      </c>
    </row>
    <row r="14" spans="1:17" x14ac:dyDescent="0.4">
      <c r="A14" s="69">
        <v>11</v>
      </c>
      <c r="B14" s="66">
        <v>-175</v>
      </c>
      <c r="C14" s="66">
        <v>-15.909090909090908</v>
      </c>
      <c r="D14" s="71">
        <v>2.4545454545454546</v>
      </c>
      <c r="E14" s="67">
        <v>9.0909090909090912E-2</v>
      </c>
      <c r="F14" s="67">
        <v>0.54545454545454541</v>
      </c>
      <c r="G14" s="67">
        <v>0.22222222222222221</v>
      </c>
      <c r="H14" s="67">
        <v>0.22222222222222221</v>
      </c>
      <c r="I14" s="68">
        <v>8760</v>
      </c>
      <c r="J14" s="68">
        <v>-10180</v>
      </c>
      <c r="K14" s="67">
        <v>0.18181818181818182</v>
      </c>
      <c r="L14" s="67">
        <v>9.0909090909090912E-2</v>
      </c>
      <c r="M14" s="67">
        <v>0.24444444444444444</v>
      </c>
      <c r="N14" s="67">
        <v>0.23333333333333334</v>
      </c>
      <c r="O14" s="67">
        <v>0.54545454545454541</v>
      </c>
      <c r="P14" s="67">
        <v>0.38095238095238093</v>
      </c>
      <c r="Q14" s="67">
        <v>0.5</v>
      </c>
    </row>
    <row r="15" spans="1:17" x14ac:dyDescent="0.4">
      <c r="A15" s="69">
        <v>12</v>
      </c>
      <c r="B15" s="66">
        <v>-176.9</v>
      </c>
      <c r="C15" s="66">
        <v>-14.741666666666667</v>
      </c>
      <c r="D15" s="71">
        <v>2.4166666666666665</v>
      </c>
      <c r="E15" s="67">
        <v>8.3333333333333329E-2</v>
      </c>
      <c r="F15" s="67">
        <v>0.5</v>
      </c>
      <c r="G15" s="67">
        <v>0.23711340206185566</v>
      </c>
      <c r="H15" s="67">
        <v>0.21649484536082475</v>
      </c>
      <c r="I15" s="68">
        <v>8543.4782608695659</v>
      </c>
      <c r="J15" s="68">
        <v>-10061.904761904761</v>
      </c>
      <c r="K15" s="67">
        <v>0.16666666666666666</v>
      </c>
      <c r="L15" s="67">
        <v>8.3333333333333329E-2</v>
      </c>
      <c r="M15" s="67">
        <v>0.24742268041237114</v>
      </c>
      <c r="N15" s="67">
        <v>0.22680412371134021</v>
      </c>
      <c r="O15" s="67">
        <v>0.58333333333333337</v>
      </c>
      <c r="P15" s="67">
        <v>0.36363636363636365</v>
      </c>
      <c r="Q15" s="67">
        <v>0.47826086956521741</v>
      </c>
    </row>
    <row r="16" spans="1:17" x14ac:dyDescent="0.4">
      <c r="A16" s="69">
        <v>13</v>
      </c>
      <c r="B16" s="66">
        <v>-217.60000000000002</v>
      </c>
      <c r="C16" s="66">
        <v>-16.738461538461539</v>
      </c>
      <c r="D16" s="71">
        <v>2.4615384615384617</v>
      </c>
      <c r="E16" s="67">
        <v>7.6923076923076927E-2</v>
      </c>
      <c r="F16" s="67">
        <v>0.53846153846153844</v>
      </c>
      <c r="G16" s="67">
        <v>0.22857142857142856</v>
      </c>
      <c r="H16" s="67">
        <v>0.21904761904761905</v>
      </c>
      <c r="I16" s="68">
        <v>8354.1666666666661</v>
      </c>
      <c r="J16" s="68">
        <v>-9747.826086956522</v>
      </c>
      <c r="K16" s="67">
        <v>0.15384615384615385</v>
      </c>
      <c r="L16" s="67">
        <v>7.6923076923076927E-2</v>
      </c>
      <c r="M16" s="67">
        <v>0.24761904761904763</v>
      </c>
      <c r="N16" s="67">
        <v>0.22857142857142856</v>
      </c>
      <c r="O16" s="67">
        <v>0.57692307692307687</v>
      </c>
      <c r="P16" s="67">
        <v>0.33333333333333331</v>
      </c>
      <c r="Q16" s="67">
        <v>0.5</v>
      </c>
    </row>
    <row r="17" spans="1:17" x14ac:dyDescent="0.4">
      <c r="A17" s="69">
        <v>14</v>
      </c>
      <c r="B17" s="66">
        <v>-266.90000000000003</v>
      </c>
      <c r="C17" s="66">
        <v>-19.064285714285717</v>
      </c>
      <c r="D17" s="71">
        <v>2.5</v>
      </c>
      <c r="E17" s="67">
        <v>7.1428571428571425E-2</v>
      </c>
      <c r="F17" s="67">
        <v>0.5714285714285714</v>
      </c>
      <c r="G17" s="67">
        <v>0.22413793103448276</v>
      </c>
      <c r="H17" s="67">
        <v>0.21551724137931033</v>
      </c>
      <c r="I17" s="68">
        <v>8296.1538461538457</v>
      </c>
      <c r="J17" s="68">
        <v>-9804</v>
      </c>
      <c r="K17" s="67">
        <v>0.21428571428571427</v>
      </c>
      <c r="L17" s="67">
        <v>7.1428571428571425E-2</v>
      </c>
      <c r="M17" s="67">
        <v>0.26724137931034481</v>
      </c>
      <c r="N17" s="67">
        <v>0.21551724137931033</v>
      </c>
      <c r="O17" s="67">
        <v>0.5161290322580645</v>
      </c>
      <c r="P17" s="67">
        <v>0.36</v>
      </c>
      <c r="Q17" s="67">
        <v>0.5</v>
      </c>
    </row>
    <row r="18" spans="1:17" x14ac:dyDescent="0.4">
      <c r="A18" s="69">
        <v>15</v>
      </c>
      <c r="B18" s="66">
        <v>-272.50000000000006</v>
      </c>
      <c r="C18" s="66">
        <v>-18.166666666666671</v>
      </c>
      <c r="D18" s="71">
        <v>2.4666666666666668</v>
      </c>
      <c r="E18" s="67">
        <v>6.6666666666666666E-2</v>
      </c>
      <c r="F18" s="67">
        <v>0.53333333333333333</v>
      </c>
      <c r="G18" s="67">
        <v>0.22131147540983606</v>
      </c>
      <c r="H18" s="67">
        <v>0.20491803278688525</v>
      </c>
      <c r="I18" s="68">
        <v>8133.333333333333</v>
      </c>
      <c r="J18" s="68">
        <v>-9804</v>
      </c>
      <c r="K18" s="67">
        <v>0.2</v>
      </c>
      <c r="L18" s="67">
        <v>6.6666666666666666E-2</v>
      </c>
      <c r="M18" s="67">
        <v>0.25409836065573771</v>
      </c>
      <c r="N18" s="67">
        <v>0.22950819672131148</v>
      </c>
      <c r="O18" s="67">
        <v>0.5161290322580645</v>
      </c>
      <c r="P18" s="67">
        <v>0.35714285714285715</v>
      </c>
      <c r="Q18" s="67">
        <v>0.48148148148148145</v>
      </c>
    </row>
  </sheetData>
  <phoneticPr fontId="1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43CD6F-0A4D-4F26-800F-04859B91DEBA}">
  <sheetPr codeName="Sheet18"/>
  <dimension ref="A1:Q29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179</v>
      </c>
      <c r="B1" s="70" t="s">
        <v>179</v>
      </c>
      <c r="C1" s="70" t="s">
        <v>179</v>
      </c>
      <c r="D1" s="71" t="s">
        <v>179</v>
      </c>
      <c r="E1" s="70" t="s">
        <v>179</v>
      </c>
      <c r="F1" s="70" t="s">
        <v>179</v>
      </c>
      <c r="G1" s="70" t="s">
        <v>179</v>
      </c>
      <c r="H1" s="70" t="s">
        <v>179</v>
      </c>
      <c r="I1" s="70" t="s">
        <v>179</v>
      </c>
      <c r="J1" s="70" t="s">
        <v>179</v>
      </c>
      <c r="K1" s="70" t="s">
        <v>179</v>
      </c>
      <c r="L1" s="70" t="s">
        <v>179</v>
      </c>
      <c r="M1" s="70" t="s">
        <v>179</v>
      </c>
      <c r="N1" s="70" t="s">
        <v>179</v>
      </c>
      <c r="O1" s="70" t="s">
        <v>179</v>
      </c>
      <c r="P1" s="70" t="s">
        <v>179</v>
      </c>
      <c r="Q1" s="70" t="s">
        <v>179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161</v>
      </c>
      <c r="G2" s="70" t="s">
        <v>146</v>
      </c>
      <c r="H2" s="70" t="s">
        <v>145</v>
      </c>
      <c r="I2" s="70" t="s">
        <v>5</v>
      </c>
      <c r="J2" s="70" t="s">
        <v>17</v>
      </c>
      <c r="K2" s="70" t="s">
        <v>18</v>
      </c>
      <c r="L2" s="70" t="s">
        <v>140</v>
      </c>
      <c r="M2" s="70" t="s">
        <v>123</v>
      </c>
      <c r="N2" s="70" t="s">
        <v>120</v>
      </c>
      <c r="O2" s="70" t="s">
        <v>126</v>
      </c>
      <c r="P2" s="70" t="s">
        <v>147</v>
      </c>
      <c r="Q2" s="70" t="s">
        <v>143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46.9</v>
      </c>
      <c r="C4" s="66">
        <v>46.9</v>
      </c>
      <c r="D4" s="71">
        <v>1</v>
      </c>
      <c r="E4" s="67">
        <v>1</v>
      </c>
      <c r="F4" s="67">
        <v>0</v>
      </c>
      <c r="G4" s="67">
        <v>0.36363636363636365</v>
      </c>
      <c r="H4" s="67">
        <v>0</v>
      </c>
      <c r="I4" s="68">
        <v>8950</v>
      </c>
      <c r="J4" s="68">
        <v>0</v>
      </c>
      <c r="K4" s="67">
        <v>0</v>
      </c>
      <c r="L4" s="67">
        <v>0</v>
      </c>
      <c r="M4" s="67">
        <v>9.0909090909090912E-2</v>
      </c>
      <c r="N4" s="67">
        <v>0.27272727272727271</v>
      </c>
      <c r="O4" s="67">
        <v>1</v>
      </c>
      <c r="P4" s="67">
        <v>1</v>
      </c>
      <c r="Q4" s="67">
        <v>0.25</v>
      </c>
    </row>
    <row r="5" spans="1:17" x14ac:dyDescent="0.4">
      <c r="A5" s="69">
        <v>2</v>
      </c>
      <c r="B5" s="66">
        <v>8.1000000000000014</v>
      </c>
      <c r="C5" s="66">
        <v>4.0500000000000007</v>
      </c>
      <c r="D5" s="71">
        <v>2</v>
      </c>
      <c r="E5" s="67">
        <v>0.5</v>
      </c>
      <c r="F5" s="67">
        <v>0.5</v>
      </c>
      <c r="G5" s="67">
        <v>0.18181818181818182</v>
      </c>
      <c r="H5" s="67">
        <v>4.5454545454545456E-2</v>
      </c>
      <c r="I5" s="68">
        <v>8950</v>
      </c>
      <c r="J5" s="68">
        <v>-12000</v>
      </c>
      <c r="K5" s="67">
        <v>0</v>
      </c>
      <c r="L5" s="67">
        <v>0</v>
      </c>
      <c r="M5" s="67">
        <v>9.0909090909090912E-2</v>
      </c>
      <c r="N5" s="67">
        <v>0.18181818181818182</v>
      </c>
      <c r="O5" s="67">
        <v>0.5</v>
      </c>
      <c r="P5" s="67">
        <v>0.75</v>
      </c>
      <c r="Q5" s="67">
        <v>0.25</v>
      </c>
    </row>
    <row r="6" spans="1:17" x14ac:dyDescent="0.4">
      <c r="A6" s="69">
        <v>3</v>
      </c>
      <c r="B6" s="66">
        <v>25.8</v>
      </c>
      <c r="C6" s="66">
        <v>8.6</v>
      </c>
      <c r="D6" s="71">
        <v>2</v>
      </c>
      <c r="E6" s="67">
        <v>0.33333333333333331</v>
      </c>
      <c r="F6" s="67">
        <v>0.33333333333333331</v>
      </c>
      <c r="G6" s="67">
        <v>0.24242424242424243</v>
      </c>
      <c r="H6" s="67">
        <v>6.0606060606060608E-2</v>
      </c>
      <c r="I6" s="68">
        <v>8937.5</v>
      </c>
      <c r="J6" s="68">
        <v>-10000</v>
      </c>
      <c r="K6" s="67">
        <v>0</v>
      </c>
      <c r="L6" s="67">
        <v>0</v>
      </c>
      <c r="M6" s="67">
        <v>0.12121212121212122</v>
      </c>
      <c r="N6" s="67">
        <v>0.15151515151515152</v>
      </c>
      <c r="O6" s="67">
        <v>0.75</v>
      </c>
      <c r="P6" s="67">
        <v>0.8</v>
      </c>
      <c r="Q6" s="67">
        <v>0.375</v>
      </c>
    </row>
    <row r="7" spans="1:17" x14ac:dyDescent="0.4">
      <c r="A7" s="69">
        <v>4</v>
      </c>
      <c r="B7" s="66">
        <v>-19.3</v>
      </c>
      <c r="C7" s="66">
        <v>-4.8250000000000002</v>
      </c>
      <c r="D7" s="71">
        <v>2.25</v>
      </c>
      <c r="E7" s="67">
        <v>0.25</v>
      </c>
      <c r="F7" s="67">
        <v>0.5</v>
      </c>
      <c r="G7" s="67">
        <v>0.20512820512820512</v>
      </c>
      <c r="H7" s="67">
        <v>0.10256410256410256</v>
      </c>
      <c r="I7" s="68">
        <v>8937.5</v>
      </c>
      <c r="J7" s="68">
        <v>-7900</v>
      </c>
      <c r="K7" s="67">
        <v>0.25</v>
      </c>
      <c r="L7" s="67">
        <v>0</v>
      </c>
      <c r="M7" s="67">
        <v>0.10256410256410256</v>
      </c>
      <c r="N7" s="67">
        <v>0.17948717948717949</v>
      </c>
      <c r="O7" s="67">
        <v>0.75</v>
      </c>
      <c r="P7" s="67">
        <v>0.5714285714285714</v>
      </c>
      <c r="Q7" s="67">
        <v>0.375</v>
      </c>
    </row>
    <row r="8" spans="1:17" x14ac:dyDescent="0.4">
      <c r="A8" s="69">
        <v>5</v>
      </c>
      <c r="B8" s="66">
        <v>-1.6000000000000014</v>
      </c>
      <c r="C8" s="66">
        <v>-0.32000000000000028</v>
      </c>
      <c r="D8" s="71">
        <v>2.2000000000000002</v>
      </c>
      <c r="E8" s="67">
        <v>0.2</v>
      </c>
      <c r="F8" s="67">
        <v>0.4</v>
      </c>
      <c r="G8" s="67">
        <v>0.24</v>
      </c>
      <c r="H8" s="67">
        <v>0.1</v>
      </c>
      <c r="I8" s="68">
        <v>8933.3333333333339</v>
      </c>
      <c r="J8" s="68">
        <v>-7920</v>
      </c>
      <c r="K8" s="67">
        <v>0.2</v>
      </c>
      <c r="L8" s="67">
        <v>0</v>
      </c>
      <c r="M8" s="67">
        <v>0.12</v>
      </c>
      <c r="N8" s="67">
        <v>0.16</v>
      </c>
      <c r="O8" s="67">
        <v>0.83333333333333337</v>
      </c>
      <c r="P8" s="67">
        <v>0.625</v>
      </c>
      <c r="Q8" s="67">
        <v>0.41666666666666669</v>
      </c>
    </row>
    <row r="9" spans="1:17" x14ac:dyDescent="0.4">
      <c r="A9" s="69">
        <v>6</v>
      </c>
      <c r="B9" s="66">
        <v>29.799999999999997</v>
      </c>
      <c r="C9" s="66">
        <v>4.9666666666666659</v>
      </c>
      <c r="D9" s="71">
        <v>2</v>
      </c>
      <c r="E9" s="67">
        <v>0.33333333333333331</v>
      </c>
      <c r="F9" s="67">
        <v>0.33333333333333331</v>
      </c>
      <c r="G9" s="67">
        <v>0.27586206896551724</v>
      </c>
      <c r="H9" s="67">
        <v>0.10344827586206896</v>
      </c>
      <c r="I9" s="68">
        <v>8868.75</v>
      </c>
      <c r="J9" s="68">
        <v>-6816.666666666667</v>
      </c>
      <c r="K9" s="67">
        <v>0.16666666666666666</v>
      </c>
      <c r="L9" s="67">
        <v>0.16666666666666666</v>
      </c>
      <c r="M9" s="67">
        <v>0.17241379310344829</v>
      </c>
      <c r="N9" s="67">
        <v>0.17241379310344829</v>
      </c>
      <c r="O9" s="67">
        <v>0.7</v>
      </c>
      <c r="P9" s="67">
        <v>0.6</v>
      </c>
      <c r="Q9" s="67">
        <v>0.375</v>
      </c>
    </row>
    <row r="10" spans="1:17" x14ac:dyDescent="0.4">
      <c r="A10" s="69">
        <v>7</v>
      </c>
      <c r="B10" s="66">
        <v>-16.300000000000004</v>
      </c>
      <c r="C10" s="66">
        <v>-2.3285714285714292</v>
      </c>
      <c r="D10" s="71">
        <v>2.1428571428571428</v>
      </c>
      <c r="E10" s="67">
        <v>0.2857142857142857</v>
      </c>
      <c r="F10" s="67">
        <v>0.42857142857142855</v>
      </c>
      <c r="G10" s="67">
        <v>0.25</v>
      </c>
      <c r="H10" s="67">
        <v>0.109375</v>
      </c>
      <c r="I10" s="68">
        <v>8868.75</v>
      </c>
      <c r="J10" s="68">
        <v>-6671.4285714285716</v>
      </c>
      <c r="K10" s="67">
        <v>0.2857142857142857</v>
      </c>
      <c r="L10" s="67">
        <v>0.14285714285714285</v>
      </c>
      <c r="M10" s="67">
        <v>0.171875</v>
      </c>
      <c r="N10" s="67">
        <v>0.15625</v>
      </c>
      <c r="O10" s="67">
        <v>0.63636363636363635</v>
      </c>
      <c r="P10" s="67">
        <v>0.6</v>
      </c>
      <c r="Q10" s="67">
        <v>0.375</v>
      </c>
    </row>
    <row r="11" spans="1:17" x14ac:dyDescent="0.4">
      <c r="A11" s="69">
        <v>8</v>
      </c>
      <c r="B11" s="66">
        <v>-46.7</v>
      </c>
      <c r="C11" s="66">
        <v>-5.8375000000000004</v>
      </c>
      <c r="D11" s="71">
        <v>2.25</v>
      </c>
      <c r="E11" s="67">
        <v>0.25</v>
      </c>
      <c r="F11" s="67">
        <v>0.5</v>
      </c>
      <c r="G11" s="67">
        <v>0.24657534246575341</v>
      </c>
      <c r="H11" s="67">
        <v>0.13698630136986301</v>
      </c>
      <c r="I11" s="68">
        <v>8544.4444444444453</v>
      </c>
      <c r="J11" s="68">
        <v>-6370</v>
      </c>
      <c r="K11" s="67">
        <v>0.25</v>
      </c>
      <c r="L11" s="67">
        <v>0.125</v>
      </c>
      <c r="M11" s="67">
        <v>0.17808219178082191</v>
      </c>
      <c r="N11" s="67">
        <v>0.17808219178082191</v>
      </c>
      <c r="O11" s="67">
        <v>0.61538461538461542</v>
      </c>
      <c r="P11" s="67">
        <v>0.53846153846153844</v>
      </c>
      <c r="Q11" s="67">
        <v>0.33333333333333331</v>
      </c>
    </row>
    <row r="12" spans="1:17" x14ac:dyDescent="0.4">
      <c r="A12" s="69">
        <v>9</v>
      </c>
      <c r="B12" s="66">
        <v>-90.9</v>
      </c>
      <c r="C12" s="66">
        <v>-10.100000000000001</v>
      </c>
      <c r="D12" s="71">
        <v>2.3333333333333335</v>
      </c>
      <c r="E12" s="67">
        <v>0.22222222222222221</v>
      </c>
      <c r="F12" s="67">
        <v>0.55555555555555558</v>
      </c>
      <c r="G12" s="67">
        <v>0.22619047619047619</v>
      </c>
      <c r="H12" s="67">
        <v>0.15476190476190477</v>
      </c>
      <c r="I12" s="68">
        <v>8410.5263157894733</v>
      </c>
      <c r="J12" s="68">
        <v>-7430.7692307692305</v>
      </c>
      <c r="K12" s="67">
        <v>0.22222222222222221</v>
      </c>
      <c r="L12" s="67">
        <v>0.1111111111111111</v>
      </c>
      <c r="M12" s="67">
        <v>0.16666666666666666</v>
      </c>
      <c r="N12" s="67">
        <v>0.17857142857142858</v>
      </c>
      <c r="O12" s="67">
        <v>0.6428571428571429</v>
      </c>
      <c r="P12" s="67">
        <v>0.46666666666666667</v>
      </c>
      <c r="Q12" s="67">
        <v>0.36842105263157893</v>
      </c>
    </row>
    <row r="13" spans="1:17" x14ac:dyDescent="0.4">
      <c r="A13" s="69">
        <v>10</v>
      </c>
      <c r="B13" s="66">
        <v>-146.69999999999999</v>
      </c>
      <c r="C13" s="66">
        <v>-14.669999999999998</v>
      </c>
      <c r="D13" s="71">
        <v>2.4</v>
      </c>
      <c r="E13" s="67">
        <v>0.2</v>
      </c>
      <c r="F13" s="67">
        <v>0.6</v>
      </c>
      <c r="G13" s="67">
        <v>0.21348314606741572</v>
      </c>
      <c r="H13" s="67">
        <v>0.16853932584269662</v>
      </c>
      <c r="I13" s="68">
        <v>8410.5263157894733</v>
      </c>
      <c r="J13" s="68">
        <v>-7960</v>
      </c>
      <c r="K13" s="67">
        <v>0.3</v>
      </c>
      <c r="L13" s="67">
        <v>0.1</v>
      </c>
      <c r="M13" s="67">
        <v>0.16853932584269662</v>
      </c>
      <c r="N13" s="67">
        <v>0.16853932584269662</v>
      </c>
      <c r="O13" s="67">
        <v>0.6</v>
      </c>
      <c r="P13" s="67">
        <v>0.46666666666666667</v>
      </c>
      <c r="Q13" s="67">
        <v>0.36842105263157893</v>
      </c>
    </row>
    <row r="14" spans="1:17" x14ac:dyDescent="0.4">
      <c r="A14" s="69">
        <v>11</v>
      </c>
      <c r="B14" s="66">
        <v>-114.99999999999999</v>
      </c>
      <c r="C14" s="66">
        <v>-10.454545454545453</v>
      </c>
      <c r="D14" s="71">
        <v>2.2727272727272729</v>
      </c>
      <c r="E14" s="67">
        <v>0.27272727272727271</v>
      </c>
      <c r="F14" s="67">
        <v>0.54545454545454541</v>
      </c>
      <c r="G14" s="67">
        <v>0.22772277227722773</v>
      </c>
      <c r="H14" s="67">
        <v>0.14851485148514851</v>
      </c>
      <c r="I14" s="68">
        <v>8156.521739130435</v>
      </c>
      <c r="J14" s="68">
        <v>-7960</v>
      </c>
      <c r="K14" s="67">
        <v>0.27272727272727271</v>
      </c>
      <c r="L14" s="67">
        <v>9.0909090909090912E-2</v>
      </c>
      <c r="M14" s="67">
        <v>0.19801980198019803</v>
      </c>
      <c r="N14" s="67">
        <v>0.19801980198019803</v>
      </c>
      <c r="O14" s="67">
        <v>0.55000000000000004</v>
      </c>
      <c r="P14" s="67">
        <v>0.45</v>
      </c>
      <c r="Q14" s="67">
        <v>0.43478260869565216</v>
      </c>
    </row>
    <row r="15" spans="1:17" x14ac:dyDescent="0.4">
      <c r="A15" s="69">
        <v>12</v>
      </c>
      <c r="B15" s="66">
        <v>-118.39999999999999</v>
      </c>
      <c r="C15" s="66">
        <v>-9.8666666666666654</v>
      </c>
      <c r="D15" s="71">
        <v>2.25</v>
      </c>
      <c r="E15" s="67">
        <v>0.25</v>
      </c>
      <c r="F15" s="67">
        <v>0.5</v>
      </c>
      <c r="G15" s="67">
        <v>0.23008849557522124</v>
      </c>
      <c r="H15" s="67">
        <v>0.13274336283185842</v>
      </c>
      <c r="I15" s="68">
        <v>7884.6153846153848</v>
      </c>
      <c r="J15" s="68">
        <v>-7960</v>
      </c>
      <c r="K15" s="67">
        <v>0.25</v>
      </c>
      <c r="L15" s="67">
        <v>8.3333333333333329E-2</v>
      </c>
      <c r="M15" s="67">
        <v>0.17699115044247787</v>
      </c>
      <c r="N15" s="67">
        <v>0.23008849557522124</v>
      </c>
      <c r="O15" s="67">
        <v>0.55000000000000004</v>
      </c>
      <c r="P15" s="67">
        <v>0.46153846153846156</v>
      </c>
      <c r="Q15" s="67">
        <v>0.38461538461538464</v>
      </c>
    </row>
    <row r="16" spans="1:17" x14ac:dyDescent="0.4">
      <c r="A16" s="69">
        <v>13</v>
      </c>
      <c r="B16" s="66">
        <v>-68.399999999999991</v>
      </c>
      <c r="C16" s="66">
        <v>-5.2615384615384606</v>
      </c>
      <c r="D16" s="71">
        <v>2.1538461538461537</v>
      </c>
      <c r="E16" s="67">
        <v>0.30769230769230771</v>
      </c>
      <c r="F16" s="67">
        <v>0.46153846153846156</v>
      </c>
      <c r="G16" s="67">
        <v>0.25203252032520324</v>
      </c>
      <c r="H16" s="67">
        <v>0.12195121951219512</v>
      </c>
      <c r="I16" s="68">
        <v>7677.4193548387093</v>
      </c>
      <c r="J16" s="68">
        <v>-7960</v>
      </c>
      <c r="K16" s="67">
        <v>0.23076923076923078</v>
      </c>
      <c r="L16" s="67">
        <v>7.6923076923076927E-2</v>
      </c>
      <c r="M16" s="67">
        <v>0.2032520325203252</v>
      </c>
      <c r="N16" s="67">
        <v>0.22764227642276422</v>
      </c>
      <c r="O16" s="67">
        <v>0.56000000000000005</v>
      </c>
      <c r="P16" s="67">
        <v>0.4642857142857143</v>
      </c>
      <c r="Q16" s="67">
        <v>0.35483870967741937</v>
      </c>
    </row>
    <row r="17" spans="1:17" x14ac:dyDescent="0.4">
      <c r="A17" s="69">
        <v>14</v>
      </c>
      <c r="B17" s="66">
        <v>-25.79999999999999</v>
      </c>
      <c r="C17" s="66">
        <v>-1.8428571428571421</v>
      </c>
      <c r="D17" s="71">
        <v>2.0714285714285716</v>
      </c>
      <c r="E17" s="67">
        <v>0.35714285714285715</v>
      </c>
      <c r="F17" s="67">
        <v>0.42857142857142855</v>
      </c>
      <c r="G17" s="67">
        <v>0.27480916030534353</v>
      </c>
      <c r="H17" s="67">
        <v>0.11450381679389313</v>
      </c>
      <c r="I17" s="68">
        <v>7488.8888888888887</v>
      </c>
      <c r="J17" s="68">
        <v>-7960</v>
      </c>
      <c r="K17" s="67">
        <v>0.21428571428571427</v>
      </c>
      <c r="L17" s="67">
        <v>7.1428571428571425E-2</v>
      </c>
      <c r="M17" s="67">
        <v>0.21374045801526717</v>
      </c>
      <c r="N17" s="67">
        <v>0.23664122137404581</v>
      </c>
      <c r="O17" s="67">
        <v>0.5714285714285714</v>
      </c>
      <c r="P17" s="67">
        <v>0.5161290322580645</v>
      </c>
      <c r="Q17" s="67">
        <v>0.3888888888888889</v>
      </c>
    </row>
    <row r="18" spans="1:17" x14ac:dyDescent="0.4">
      <c r="A18" s="69">
        <v>15</v>
      </c>
      <c r="B18" s="66">
        <v>-35.499999999999986</v>
      </c>
      <c r="C18" s="66">
        <v>-2.3666666666666658</v>
      </c>
      <c r="D18" s="71">
        <v>2.0666666666666669</v>
      </c>
      <c r="E18" s="67">
        <v>0.33333333333333331</v>
      </c>
      <c r="F18" s="67">
        <v>0.4</v>
      </c>
      <c r="G18" s="67">
        <v>0.2733812949640288</v>
      </c>
      <c r="H18" s="67">
        <v>0.11510791366906475</v>
      </c>
      <c r="I18" s="68">
        <v>7507.894736842105</v>
      </c>
      <c r="J18" s="68">
        <v>-7643.75</v>
      </c>
      <c r="K18" s="67">
        <v>0.2</v>
      </c>
      <c r="L18" s="67">
        <v>6.6666666666666666E-2</v>
      </c>
      <c r="M18" s="67">
        <v>0.22302158273381295</v>
      </c>
      <c r="N18" s="67">
        <v>0.2446043165467626</v>
      </c>
      <c r="O18" s="67">
        <v>0.5161290322580645</v>
      </c>
      <c r="P18" s="67">
        <v>0.52941176470588236</v>
      </c>
      <c r="Q18" s="67">
        <v>0.36842105263157893</v>
      </c>
    </row>
    <row r="19" spans="1:17" x14ac:dyDescent="0.4">
      <c r="A19" s="69">
        <v>16</v>
      </c>
      <c r="B19" s="66">
        <v>-35.599999999999987</v>
      </c>
      <c r="C19" s="66">
        <v>-2.2249999999999992</v>
      </c>
      <c r="D19" s="71">
        <v>2.0625</v>
      </c>
      <c r="E19" s="67">
        <v>0.3125</v>
      </c>
      <c r="F19" s="67">
        <v>0.375</v>
      </c>
      <c r="G19" s="67">
        <v>0.26896551724137929</v>
      </c>
      <c r="H19" s="67">
        <v>0.11724137931034483</v>
      </c>
      <c r="I19" s="68">
        <v>7776.9230769230771</v>
      </c>
      <c r="J19" s="68">
        <v>-7647.0588235294117</v>
      </c>
      <c r="K19" s="67">
        <v>0.1875</v>
      </c>
      <c r="L19" s="67">
        <v>6.25E-2</v>
      </c>
      <c r="M19" s="67">
        <v>0.2413793103448276</v>
      </c>
      <c r="N19" s="67">
        <v>0.2413793103448276</v>
      </c>
      <c r="O19" s="67">
        <v>0.45714285714285713</v>
      </c>
      <c r="P19" s="67">
        <v>0.54285714285714282</v>
      </c>
      <c r="Q19" s="67">
        <v>0.35897435897435898</v>
      </c>
    </row>
    <row r="20" spans="1:17" x14ac:dyDescent="0.4">
      <c r="A20" s="69">
        <v>17</v>
      </c>
      <c r="B20" s="66">
        <v>-29.799999999999986</v>
      </c>
      <c r="C20" s="66">
        <v>-1.7529411764705873</v>
      </c>
      <c r="D20" s="71">
        <v>2.0588235294117645</v>
      </c>
      <c r="E20" s="67">
        <v>0.29411764705882354</v>
      </c>
      <c r="F20" s="67">
        <v>0.35294117647058826</v>
      </c>
      <c r="G20" s="67">
        <v>0.27631578947368424</v>
      </c>
      <c r="H20" s="67">
        <v>0.11842105263157894</v>
      </c>
      <c r="I20" s="68">
        <v>7554.7619047619046</v>
      </c>
      <c r="J20" s="68">
        <v>-7383.333333333333</v>
      </c>
      <c r="K20" s="67">
        <v>0.17647058823529413</v>
      </c>
      <c r="L20" s="67">
        <v>5.8823529411764705E-2</v>
      </c>
      <c r="M20" s="67">
        <v>0.25</v>
      </c>
      <c r="N20" s="67">
        <v>0.24342105263157895</v>
      </c>
      <c r="O20" s="67">
        <v>0.47368421052631576</v>
      </c>
      <c r="P20" s="67">
        <v>0.54054054054054057</v>
      </c>
      <c r="Q20" s="67">
        <v>0.35714285714285715</v>
      </c>
    </row>
    <row r="21" spans="1:17" x14ac:dyDescent="0.4">
      <c r="A21" s="69">
        <v>18</v>
      </c>
      <c r="B21" s="66">
        <v>-62.399999999999991</v>
      </c>
      <c r="C21" s="66">
        <v>-3.4666666666666663</v>
      </c>
      <c r="D21" s="71">
        <v>2.1111111111111112</v>
      </c>
      <c r="E21" s="67">
        <v>0.27777777777777779</v>
      </c>
      <c r="F21" s="67">
        <v>0.3888888888888889</v>
      </c>
      <c r="G21" s="67">
        <v>0.27380952380952384</v>
      </c>
      <c r="H21" s="67">
        <v>0.13095238095238096</v>
      </c>
      <c r="I21" s="68">
        <v>7491.304347826087</v>
      </c>
      <c r="J21" s="68">
        <v>-7331.818181818182</v>
      </c>
      <c r="K21" s="67">
        <v>0.16666666666666666</v>
      </c>
      <c r="L21" s="67">
        <v>5.5555555555555552E-2</v>
      </c>
      <c r="M21" s="67">
        <v>0.25</v>
      </c>
      <c r="N21" s="67">
        <v>0.25</v>
      </c>
      <c r="O21" s="67">
        <v>0.47619047619047616</v>
      </c>
      <c r="P21" s="67">
        <v>0.52380952380952384</v>
      </c>
      <c r="Q21" s="67">
        <v>0.36956521739130432</v>
      </c>
    </row>
    <row r="22" spans="1:17" x14ac:dyDescent="0.4">
      <c r="A22" s="69">
        <v>19</v>
      </c>
      <c r="B22" s="66">
        <v>-56.399999999999991</v>
      </c>
      <c r="C22" s="66">
        <v>-2.9684210526315784</v>
      </c>
      <c r="D22" s="71">
        <v>2.1052631578947367</v>
      </c>
      <c r="E22" s="67">
        <v>0.26315789473684209</v>
      </c>
      <c r="F22" s="67">
        <v>0.36842105263157893</v>
      </c>
      <c r="G22" s="67">
        <v>0.27840909090909088</v>
      </c>
      <c r="H22" s="67">
        <v>0.13636363636363635</v>
      </c>
      <c r="I22" s="68">
        <v>7540.8163265306121</v>
      </c>
      <c r="J22" s="68">
        <v>-7095.833333333333</v>
      </c>
      <c r="K22" s="67">
        <v>0.15789473684210525</v>
      </c>
      <c r="L22" s="67">
        <v>5.2631578947368418E-2</v>
      </c>
      <c r="M22" s="67">
        <v>0.25568181818181818</v>
      </c>
      <c r="N22" s="67">
        <v>0.26136363636363635</v>
      </c>
      <c r="O22" s="67">
        <v>0.48888888888888887</v>
      </c>
      <c r="P22" s="67">
        <v>0.5</v>
      </c>
      <c r="Q22" s="67">
        <v>0.38775510204081631</v>
      </c>
    </row>
    <row r="23" spans="1:17" x14ac:dyDescent="0.4">
      <c r="A23" s="69">
        <v>20</v>
      </c>
      <c r="B23" s="66">
        <v>-93.199999999999989</v>
      </c>
      <c r="C23" s="66">
        <v>-4.6599999999999993</v>
      </c>
      <c r="D23" s="71">
        <v>2.15</v>
      </c>
      <c r="E23" s="67">
        <v>0.25</v>
      </c>
      <c r="F23" s="67">
        <v>0.4</v>
      </c>
      <c r="G23" s="67">
        <v>0.27322404371584702</v>
      </c>
      <c r="H23" s="67">
        <v>0.13661202185792351</v>
      </c>
      <c r="I23" s="68">
        <v>7544</v>
      </c>
      <c r="J23" s="68">
        <v>-7292</v>
      </c>
      <c r="K23" s="67">
        <v>0.15</v>
      </c>
      <c r="L23" s="67">
        <v>0.05</v>
      </c>
      <c r="M23" s="67">
        <v>0.26229508196721313</v>
      </c>
      <c r="N23" s="67">
        <v>0.25683060109289618</v>
      </c>
      <c r="O23" s="67">
        <v>0.47916666666666669</v>
      </c>
      <c r="P23" s="67">
        <v>0.48936170212765956</v>
      </c>
      <c r="Q23" s="67">
        <v>0.38</v>
      </c>
    </row>
    <row r="24" spans="1:17" x14ac:dyDescent="0.4">
      <c r="A24" s="69">
        <v>21</v>
      </c>
      <c r="B24" s="66">
        <v>-123.69999999999999</v>
      </c>
      <c r="C24" s="66">
        <v>-5.89047619047619</v>
      </c>
      <c r="D24" s="71">
        <v>2.1904761904761907</v>
      </c>
      <c r="E24" s="67">
        <v>0.23809523809523808</v>
      </c>
      <c r="F24" s="67">
        <v>0.42857142857142855</v>
      </c>
      <c r="G24" s="67">
        <v>0.26178010471204188</v>
      </c>
      <c r="H24" s="67">
        <v>0.14659685863874344</v>
      </c>
      <c r="I24" s="68">
        <v>7544</v>
      </c>
      <c r="J24" s="68">
        <v>-6960.7142857142853</v>
      </c>
      <c r="K24" s="67">
        <v>0.14285714285714285</v>
      </c>
      <c r="L24" s="67">
        <v>4.7619047619047616E-2</v>
      </c>
      <c r="M24" s="67">
        <v>0.25654450261780104</v>
      </c>
      <c r="N24" s="67">
        <v>0.25654450261780104</v>
      </c>
      <c r="O24" s="67">
        <v>0.46938775510204084</v>
      </c>
      <c r="P24" s="67">
        <v>0.46938775510204084</v>
      </c>
      <c r="Q24" s="67">
        <v>0.38</v>
      </c>
    </row>
    <row r="25" spans="1:17" x14ac:dyDescent="0.4">
      <c r="A25" s="69">
        <v>22</v>
      </c>
      <c r="B25" s="66">
        <v>-66.999999999999986</v>
      </c>
      <c r="C25" s="66">
        <v>-3.045454545454545</v>
      </c>
      <c r="D25" s="71">
        <v>2.1363636363636362</v>
      </c>
      <c r="E25" s="67">
        <v>0.27272727272727271</v>
      </c>
      <c r="F25" s="67">
        <v>0.40909090909090912</v>
      </c>
      <c r="G25" s="67">
        <v>0.26767676767676768</v>
      </c>
      <c r="H25" s="67">
        <v>0.14141414141414141</v>
      </c>
      <c r="I25" s="68">
        <v>7658.4905660377362</v>
      </c>
      <c r="J25" s="68">
        <v>-6960.7142857142853</v>
      </c>
      <c r="K25" s="67">
        <v>0.13636363636363635</v>
      </c>
      <c r="L25" s="67">
        <v>9.0909090909090912E-2</v>
      </c>
      <c r="M25" s="67">
        <v>0.26262626262626265</v>
      </c>
      <c r="N25" s="67">
        <v>0.25757575757575757</v>
      </c>
      <c r="O25" s="67">
        <v>0.46153846153846156</v>
      </c>
      <c r="P25" s="67">
        <v>0.47058823529411764</v>
      </c>
      <c r="Q25" s="67">
        <v>0.39622641509433965</v>
      </c>
    </row>
    <row r="26" spans="1:17" x14ac:dyDescent="0.4">
      <c r="A26" s="69">
        <v>23</v>
      </c>
      <c r="B26" s="66">
        <v>-59.599999999999987</v>
      </c>
      <c r="C26" s="66">
        <v>-2.5913043478260862</v>
      </c>
      <c r="D26" s="71">
        <v>2.1304347826086958</v>
      </c>
      <c r="E26" s="67">
        <v>0.2608695652173913</v>
      </c>
      <c r="F26" s="67">
        <v>0.39130434782608697</v>
      </c>
      <c r="G26" s="67">
        <v>0.26829268292682928</v>
      </c>
      <c r="H26" s="67">
        <v>0.14146341463414633</v>
      </c>
      <c r="I26" s="68">
        <v>7809.090909090909</v>
      </c>
      <c r="J26" s="68">
        <v>-6820.6896551724139</v>
      </c>
      <c r="K26" s="67">
        <v>0.13043478260869565</v>
      </c>
      <c r="L26" s="67">
        <v>8.6956521739130432E-2</v>
      </c>
      <c r="M26" s="67">
        <v>0.26829268292682928</v>
      </c>
      <c r="N26" s="67">
        <v>0.25853658536585367</v>
      </c>
      <c r="O26" s="67">
        <v>0.45454545454545453</v>
      </c>
      <c r="P26" s="67">
        <v>0.47169811320754718</v>
      </c>
      <c r="Q26" s="67">
        <v>0.38181818181818183</v>
      </c>
    </row>
    <row r="27" spans="1:17" x14ac:dyDescent="0.4">
      <c r="A27" s="69">
        <v>24</v>
      </c>
      <c r="B27" s="66">
        <v>-91.399999999999991</v>
      </c>
      <c r="C27" s="66">
        <v>-3.8083333333333331</v>
      </c>
      <c r="D27" s="71">
        <v>2.1666666666666665</v>
      </c>
      <c r="E27" s="67">
        <v>0.25</v>
      </c>
      <c r="F27" s="67">
        <v>0.41666666666666669</v>
      </c>
      <c r="G27" s="67">
        <v>0.26291079812206575</v>
      </c>
      <c r="H27" s="67">
        <v>0.15023474178403756</v>
      </c>
      <c r="I27" s="68">
        <v>7807.1428571428569</v>
      </c>
      <c r="J27" s="68">
        <v>-6946.875</v>
      </c>
      <c r="K27" s="67">
        <v>0.125</v>
      </c>
      <c r="L27" s="67">
        <v>8.3333333333333329E-2</v>
      </c>
      <c r="M27" s="67">
        <v>0.25821596244131456</v>
      </c>
      <c r="N27" s="67">
        <v>0.26291079812206575</v>
      </c>
      <c r="O27" s="67">
        <v>0.45454545454545453</v>
      </c>
      <c r="P27" s="67">
        <v>0.4642857142857143</v>
      </c>
      <c r="Q27" s="67">
        <v>0.375</v>
      </c>
    </row>
    <row r="28" spans="1:17" x14ac:dyDescent="0.4">
      <c r="A28" s="69">
        <v>25</v>
      </c>
      <c r="B28" s="66">
        <v>-41.29999999999999</v>
      </c>
      <c r="C28" s="66">
        <v>-1.6519999999999997</v>
      </c>
      <c r="D28" s="71">
        <v>2.12</v>
      </c>
      <c r="E28" s="67">
        <v>0.28000000000000003</v>
      </c>
      <c r="F28" s="67">
        <v>0.4</v>
      </c>
      <c r="G28" s="67">
        <v>0.26244343891402716</v>
      </c>
      <c r="H28" s="67">
        <v>0.15384615384615385</v>
      </c>
      <c r="I28" s="68">
        <v>8455.1724137931033</v>
      </c>
      <c r="J28" s="68">
        <v>-6832.3529411764703</v>
      </c>
      <c r="K28" s="67">
        <v>0.12</v>
      </c>
      <c r="L28" s="67">
        <v>0.08</v>
      </c>
      <c r="M28" s="67">
        <v>0.25339366515837103</v>
      </c>
      <c r="N28" s="67">
        <v>0.26244343891402716</v>
      </c>
      <c r="O28" s="67">
        <v>0.4642857142857143</v>
      </c>
      <c r="P28" s="67">
        <v>0.44827586206896552</v>
      </c>
      <c r="Q28" s="67">
        <v>0.37931034482758619</v>
      </c>
    </row>
    <row r="29" spans="1:17" x14ac:dyDescent="0.4">
      <c r="A29" s="69">
        <v>26</v>
      </c>
      <c r="B29" s="66">
        <v>-54.099999999999994</v>
      </c>
      <c r="C29" s="66">
        <v>-2.0807692307692305</v>
      </c>
      <c r="D29" s="71">
        <v>2.1538461538461537</v>
      </c>
      <c r="E29" s="67">
        <v>0.26923076923076922</v>
      </c>
      <c r="F29" s="67">
        <v>0.42307692307692307</v>
      </c>
      <c r="G29" s="67">
        <v>0.26315789473684209</v>
      </c>
      <c r="H29" s="67">
        <v>0.15350877192982457</v>
      </c>
      <c r="I29" s="68">
        <v>8395</v>
      </c>
      <c r="J29" s="68">
        <v>-6711.4285714285716</v>
      </c>
      <c r="K29" s="67">
        <v>0.11538461538461539</v>
      </c>
      <c r="L29" s="67">
        <v>7.6923076923076927E-2</v>
      </c>
      <c r="M29" s="67">
        <v>0.25438596491228072</v>
      </c>
      <c r="N29" s="67">
        <v>0.25877192982456143</v>
      </c>
      <c r="O29" s="67">
        <v>0.48275862068965519</v>
      </c>
      <c r="P29" s="67">
        <v>0.44067796610169491</v>
      </c>
      <c r="Q29" s="67">
        <v>0.4</v>
      </c>
    </row>
  </sheetData>
  <phoneticPr fontId="1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EC4FFE-C5A7-4062-A0BE-5C49BBB697C4}">
  <sheetPr codeName="Sheet16"/>
  <dimension ref="A1:Q27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178</v>
      </c>
      <c r="B1" s="70" t="s">
        <v>178</v>
      </c>
      <c r="C1" s="70" t="s">
        <v>178</v>
      </c>
      <c r="D1" s="71" t="s">
        <v>178</v>
      </c>
      <c r="E1" s="70" t="s">
        <v>178</v>
      </c>
      <c r="F1" s="70" t="s">
        <v>178</v>
      </c>
      <c r="G1" s="70" t="s">
        <v>178</v>
      </c>
      <c r="H1" s="70" t="s">
        <v>178</v>
      </c>
      <c r="I1" s="70" t="s">
        <v>178</v>
      </c>
      <c r="J1" s="70" t="s">
        <v>178</v>
      </c>
      <c r="K1" s="70" t="s">
        <v>178</v>
      </c>
      <c r="L1" s="70" t="s">
        <v>178</v>
      </c>
      <c r="M1" s="70" t="s">
        <v>178</v>
      </c>
      <c r="N1" s="70" t="s">
        <v>178</v>
      </c>
      <c r="O1" s="70" t="s">
        <v>178</v>
      </c>
      <c r="P1" s="70" t="s">
        <v>178</v>
      </c>
      <c r="Q1" s="70" t="s">
        <v>178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161</v>
      </c>
      <c r="G2" s="70" t="s">
        <v>146</v>
      </c>
      <c r="H2" s="70" t="s">
        <v>145</v>
      </c>
      <c r="I2" s="70" t="s">
        <v>5</v>
      </c>
      <c r="J2" s="70" t="s">
        <v>17</v>
      </c>
      <c r="K2" s="70" t="s">
        <v>18</v>
      </c>
      <c r="L2" s="70" t="s">
        <v>140</v>
      </c>
      <c r="M2" s="70" t="s">
        <v>123</v>
      </c>
      <c r="N2" s="70" t="s">
        <v>120</v>
      </c>
      <c r="O2" s="70" t="s">
        <v>126</v>
      </c>
      <c r="P2" s="70" t="s">
        <v>147</v>
      </c>
      <c r="Q2" s="70" t="s">
        <v>143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-9.1</v>
      </c>
      <c r="C4" s="66">
        <v>-9.1</v>
      </c>
      <c r="D4" s="71">
        <v>2</v>
      </c>
      <c r="E4" s="67">
        <v>0</v>
      </c>
      <c r="F4" s="67">
        <v>0</v>
      </c>
      <c r="G4" s="67">
        <v>0.36363636363636365</v>
      </c>
      <c r="H4" s="67">
        <v>0.27272727272727271</v>
      </c>
      <c r="I4" s="68">
        <v>8125</v>
      </c>
      <c r="J4" s="68">
        <v>-10600</v>
      </c>
      <c r="K4" s="67">
        <v>0</v>
      </c>
      <c r="L4" s="67">
        <v>0</v>
      </c>
      <c r="M4" s="67">
        <v>0.18181818181818182</v>
      </c>
      <c r="N4" s="67">
        <v>0.18181818181818182</v>
      </c>
      <c r="O4" s="67">
        <v>0.5</v>
      </c>
      <c r="P4" s="67">
        <v>0.5</v>
      </c>
      <c r="Q4" s="67">
        <v>0.5</v>
      </c>
    </row>
    <row r="5" spans="1:17" x14ac:dyDescent="0.4">
      <c r="A5" s="69">
        <v>2</v>
      </c>
      <c r="B5" s="66">
        <v>-67.3</v>
      </c>
      <c r="C5" s="66">
        <v>-33.65</v>
      </c>
      <c r="D5" s="71">
        <v>2.5</v>
      </c>
      <c r="E5" s="67">
        <v>0</v>
      </c>
      <c r="F5" s="67">
        <v>0.5</v>
      </c>
      <c r="G5" s="67">
        <v>0.25</v>
      </c>
      <c r="H5" s="67">
        <v>0.3</v>
      </c>
      <c r="I5" s="68">
        <v>8100</v>
      </c>
      <c r="J5" s="68">
        <v>-14300</v>
      </c>
      <c r="K5" s="67">
        <v>0.5</v>
      </c>
      <c r="L5" s="67">
        <v>0</v>
      </c>
      <c r="M5" s="67">
        <v>0.15</v>
      </c>
      <c r="N5" s="67">
        <v>0.1</v>
      </c>
      <c r="O5" s="67">
        <v>0.66666666666666663</v>
      </c>
      <c r="P5" s="67">
        <v>0.5</v>
      </c>
      <c r="Q5" s="67">
        <v>0.4</v>
      </c>
    </row>
    <row r="6" spans="1:17" x14ac:dyDescent="0.4">
      <c r="A6" s="69">
        <v>3</v>
      </c>
      <c r="B6" s="66">
        <v>-113.8</v>
      </c>
      <c r="C6" s="66">
        <v>-37.93333333333333</v>
      </c>
      <c r="D6" s="71">
        <v>2.6666666666666665</v>
      </c>
      <c r="E6" s="67">
        <v>0</v>
      </c>
      <c r="F6" s="67">
        <v>0.66666666666666663</v>
      </c>
      <c r="G6" s="67">
        <v>0.2</v>
      </c>
      <c r="H6" s="67">
        <v>0.33333333333333331</v>
      </c>
      <c r="I6" s="68">
        <v>8750</v>
      </c>
      <c r="J6" s="68">
        <v>-11980</v>
      </c>
      <c r="K6" s="67">
        <v>0.66666666666666663</v>
      </c>
      <c r="L6" s="67">
        <v>0</v>
      </c>
      <c r="M6" s="67">
        <v>0.2</v>
      </c>
      <c r="N6" s="67">
        <v>0.23333333333333334</v>
      </c>
      <c r="O6" s="67">
        <v>0.33333333333333331</v>
      </c>
      <c r="P6" s="67">
        <v>0.2857142857142857</v>
      </c>
      <c r="Q6" s="67">
        <v>0.33333333333333331</v>
      </c>
    </row>
    <row r="7" spans="1:17" x14ac:dyDescent="0.4">
      <c r="A7" s="69">
        <v>4</v>
      </c>
      <c r="B7" s="66">
        <v>-74.599999999999994</v>
      </c>
      <c r="C7" s="66">
        <v>-18.649999999999999</v>
      </c>
      <c r="D7" s="71">
        <v>2.25</v>
      </c>
      <c r="E7" s="67">
        <v>0.25</v>
      </c>
      <c r="F7" s="67">
        <v>0.5</v>
      </c>
      <c r="G7" s="67">
        <v>0.25</v>
      </c>
      <c r="H7" s="67">
        <v>0.27777777777777779</v>
      </c>
      <c r="I7" s="68">
        <v>11355.555555555555</v>
      </c>
      <c r="J7" s="68">
        <v>-11980</v>
      </c>
      <c r="K7" s="67">
        <v>0.5</v>
      </c>
      <c r="L7" s="67">
        <v>0.25</v>
      </c>
      <c r="M7" s="67">
        <v>0.22222222222222221</v>
      </c>
      <c r="N7" s="67">
        <v>0.25</v>
      </c>
      <c r="O7" s="67">
        <v>0.5</v>
      </c>
      <c r="P7" s="67">
        <v>0.33333333333333331</v>
      </c>
      <c r="Q7" s="67">
        <v>0.33333333333333331</v>
      </c>
    </row>
    <row r="8" spans="1:17" x14ac:dyDescent="0.4">
      <c r="A8" s="69">
        <v>5</v>
      </c>
      <c r="B8" s="66">
        <v>-118.3</v>
      </c>
      <c r="C8" s="66">
        <v>-23.66</v>
      </c>
      <c r="D8" s="71">
        <v>2.4</v>
      </c>
      <c r="E8" s="67">
        <v>0.2</v>
      </c>
      <c r="F8" s="67">
        <v>0.6</v>
      </c>
      <c r="G8" s="67">
        <v>0.22222222222222221</v>
      </c>
      <c r="H8" s="67">
        <v>0.31111111111111112</v>
      </c>
      <c r="I8" s="68">
        <v>10420</v>
      </c>
      <c r="J8" s="68">
        <v>-10764.285714285714</v>
      </c>
      <c r="K8" s="67">
        <v>0.4</v>
      </c>
      <c r="L8" s="67">
        <v>0.2</v>
      </c>
      <c r="M8" s="67">
        <v>0.17777777777777778</v>
      </c>
      <c r="N8" s="67">
        <v>0.24444444444444444</v>
      </c>
      <c r="O8" s="67">
        <v>0.5</v>
      </c>
      <c r="P8" s="67">
        <v>0.36363636363636365</v>
      </c>
      <c r="Q8" s="67">
        <v>0.3</v>
      </c>
    </row>
    <row r="9" spans="1:17" x14ac:dyDescent="0.4">
      <c r="A9" s="69">
        <v>6</v>
      </c>
      <c r="B9" s="66">
        <v>-60.3</v>
      </c>
      <c r="C9" s="66">
        <v>-10.049999999999999</v>
      </c>
      <c r="D9" s="71">
        <v>2.1666666666666665</v>
      </c>
      <c r="E9" s="67">
        <v>0.33333333333333331</v>
      </c>
      <c r="F9" s="67">
        <v>0.5</v>
      </c>
      <c r="G9" s="67">
        <v>0.2391304347826087</v>
      </c>
      <c r="H9" s="67">
        <v>0.30434782608695654</v>
      </c>
      <c r="I9" s="68">
        <v>13836.363636363636</v>
      </c>
      <c r="J9" s="68">
        <v>-10764.285714285714</v>
      </c>
      <c r="K9" s="67">
        <v>0.33333333333333331</v>
      </c>
      <c r="L9" s="67">
        <v>0.33333333333333331</v>
      </c>
      <c r="M9" s="67">
        <v>0.17391304347826086</v>
      </c>
      <c r="N9" s="67">
        <v>0.2391304347826087</v>
      </c>
      <c r="O9" s="67">
        <v>0.5</v>
      </c>
      <c r="P9" s="67">
        <v>0.36363636363636365</v>
      </c>
      <c r="Q9" s="67">
        <v>0.27272727272727271</v>
      </c>
    </row>
    <row r="10" spans="1:17" x14ac:dyDescent="0.4">
      <c r="A10" s="69">
        <v>7</v>
      </c>
      <c r="B10" s="66">
        <v>-60.8</v>
      </c>
      <c r="C10" s="66">
        <v>-8.6857142857142851</v>
      </c>
      <c r="D10" s="71">
        <v>2.1428571428571428</v>
      </c>
      <c r="E10" s="67">
        <v>0.2857142857142857</v>
      </c>
      <c r="F10" s="67">
        <v>0.42857142857142855</v>
      </c>
      <c r="G10" s="67">
        <v>0.26415094339622641</v>
      </c>
      <c r="H10" s="67">
        <v>0.26415094339622641</v>
      </c>
      <c r="I10" s="68">
        <v>12942.857142857143</v>
      </c>
      <c r="J10" s="68">
        <v>-10764.285714285714</v>
      </c>
      <c r="K10" s="67">
        <v>0.2857142857142857</v>
      </c>
      <c r="L10" s="67">
        <v>0.2857142857142857</v>
      </c>
      <c r="M10" s="67">
        <v>0.15094339622641509</v>
      </c>
      <c r="N10" s="67">
        <v>0.30188679245283018</v>
      </c>
      <c r="O10" s="67">
        <v>0.5</v>
      </c>
      <c r="P10" s="67">
        <v>0.4375</v>
      </c>
      <c r="Q10" s="67">
        <v>0.35714285714285715</v>
      </c>
    </row>
    <row r="11" spans="1:17" x14ac:dyDescent="0.4">
      <c r="A11" s="69">
        <v>8</v>
      </c>
      <c r="B11" s="66">
        <v>-110.19999999999999</v>
      </c>
      <c r="C11" s="66">
        <v>-13.774999999999999</v>
      </c>
      <c r="D11" s="71">
        <v>2.25</v>
      </c>
      <c r="E11" s="67">
        <v>0.25</v>
      </c>
      <c r="F11" s="67">
        <v>0.5</v>
      </c>
      <c r="G11" s="67">
        <v>0.22950819672131148</v>
      </c>
      <c r="H11" s="67">
        <v>0.26229508196721313</v>
      </c>
      <c r="I11" s="68">
        <v>12942.857142857143</v>
      </c>
      <c r="J11" s="68">
        <v>-11025</v>
      </c>
      <c r="K11" s="67">
        <v>0.375</v>
      </c>
      <c r="L11" s="67">
        <v>0.25</v>
      </c>
      <c r="M11" s="67">
        <v>0.18032786885245902</v>
      </c>
      <c r="N11" s="67">
        <v>0.26229508196721313</v>
      </c>
      <c r="O11" s="67">
        <v>0.36363636363636365</v>
      </c>
      <c r="P11" s="67">
        <v>0.4375</v>
      </c>
      <c r="Q11" s="67">
        <v>0.35714285714285715</v>
      </c>
    </row>
    <row r="12" spans="1:17" x14ac:dyDescent="0.4">
      <c r="A12" s="69">
        <v>9</v>
      </c>
      <c r="B12" s="66">
        <v>-120.99999999999999</v>
      </c>
      <c r="C12" s="66">
        <v>-13.444444444444443</v>
      </c>
      <c r="D12" s="71">
        <v>2.2222222222222223</v>
      </c>
      <c r="E12" s="67">
        <v>0.22222222222222221</v>
      </c>
      <c r="F12" s="67">
        <v>0.44444444444444442</v>
      </c>
      <c r="G12" s="67">
        <v>0.22388059701492538</v>
      </c>
      <c r="H12" s="67">
        <v>0.23880597014925373</v>
      </c>
      <c r="I12" s="68">
        <v>12480</v>
      </c>
      <c r="J12" s="68">
        <v>-11025</v>
      </c>
      <c r="K12" s="67">
        <v>0.33333333333333331</v>
      </c>
      <c r="L12" s="67">
        <v>0.22222222222222221</v>
      </c>
      <c r="M12" s="67">
        <v>0.22388059701492538</v>
      </c>
      <c r="N12" s="67">
        <v>0.2537313432835821</v>
      </c>
      <c r="O12" s="67">
        <v>0.33333333333333331</v>
      </c>
      <c r="P12" s="67">
        <v>0.41176470588235292</v>
      </c>
      <c r="Q12" s="67">
        <v>0.4</v>
      </c>
    </row>
    <row r="13" spans="1:17" x14ac:dyDescent="0.4">
      <c r="A13" s="69">
        <v>10</v>
      </c>
      <c r="B13" s="66">
        <v>-113.29999999999998</v>
      </c>
      <c r="C13" s="66">
        <v>-11.329999999999998</v>
      </c>
      <c r="D13" s="71">
        <v>2.2000000000000002</v>
      </c>
      <c r="E13" s="67">
        <v>0.2</v>
      </c>
      <c r="F13" s="67">
        <v>0.4</v>
      </c>
      <c r="G13" s="67">
        <v>0.23684210526315788</v>
      </c>
      <c r="H13" s="67">
        <v>0.22368421052631579</v>
      </c>
      <c r="I13" s="68">
        <v>12288.888888888889</v>
      </c>
      <c r="J13" s="68">
        <v>-11082.35294117647</v>
      </c>
      <c r="K13" s="67">
        <v>0.3</v>
      </c>
      <c r="L13" s="67">
        <v>0.2</v>
      </c>
      <c r="M13" s="67">
        <v>0.19736842105263158</v>
      </c>
      <c r="N13" s="67">
        <v>0.28947368421052633</v>
      </c>
      <c r="O13" s="67">
        <v>0.33333333333333331</v>
      </c>
      <c r="P13" s="67">
        <v>0.45454545454545453</v>
      </c>
      <c r="Q13" s="67">
        <v>0.33333333333333331</v>
      </c>
    </row>
    <row r="14" spans="1:17" x14ac:dyDescent="0.4">
      <c r="A14" s="69">
        <v>11</v>
      </c>
      <c r="B14" s="66">
        <v>-163.69999999999999</v>
      </c>
      <c r="C14" s="66">
        <v>-14.881818181818181</v>
      </c>
      <c r="D14" s="71">
        <v>2.2727272727272729</v>
      </c>
      <c r="E14" s="67">
        <v>0.18181818181818182</v>
      </c>
      <c r="F14" s="67">
        <v>0.45454545454545453</v>
      </c>
      <c r="G14" s="67">
        <v>0.22619047619047619</v>
      </c>
      <c r="H14" s="67">
        <v>0.22619047619047619</v>
      </c>
      <c r="I14" s="68">
        <v>11852.631578947368</v>
      </c>
      <c r="J14" s="68">
        <v>-11015.78947368421</v>
      </c>
      <c r="K14" s="67">
        <v>0.36363636363636365</v>
      </c>
      <c r="L14" s="67">
        <v>0.18181818181818182</v>
      </c>
      <c r="M14" s="67">
        <v>0.20238095238095238</v>
      </c>
      <c r="N14" s="67">
        <v>0.26190476190476192</v>
      </c>
      <c r="O14" s="67">
        <v>0.29411764705882354</v>
      </c>
      <c r="P14" s="67">
        <v>0.45454545454545453</v>
      </c>
      <c r="Q14" s="67">
        <v>0.36842105263157893</v>
      </c>
    </row>
    <row r="15" spans="1:17" x14ac:dyDescent="0.4">
      <c r="A15" s="69">
        <v>12</v>
      </c>
      <c r="B15" s="66">
        <v>-110.49999999999999</v>
      </c>
      <c r="C15" s="66">
        <v>-9.2083333333333321</v>
      </c>
      <c r="D15" s="71">
        <v>2.1666666666666665</v>
      </c>
      <c r="E15" s="67">
        <v>0.25</v>
      </c>
      <c r="F15" s="67">
        <v>0.41666666666666669</v>
      </c>
      <c r="G15" s="67">
        <v>0.23333333333333334</v>
      </c>
      <c r="H15" s="67">
        <v>0.21111111111111111</v>
      </c>
      <c r="I15" s="68">
        <v>12614.285714285714</v>
      </c>
      <c r="J15" s="68">
        <v>-11015.78947368421</v>
      </c>
      <c r="K15" s="67">
        <v>0.33333333333333331</v>
      </c>
      <c r="L15" s="67">
        <v>0.25</v>
      </c>
      <c r="M15" s="67">
        <v>0.18888888888888888</v>
      </c>
      <c r="N15" s="67">
        <v>0.25555555555555554</v>
      </c>
      <c r="O15" s="67">
        <v>0.29411764705882354</v>
      </c>
      <c r="P15" s="67">
        <v>0.47826086956521741</v>
      </c>
      <c r="Q15" s="67">
        <v>0.33333333333333331</v>
      </c>
    </row>
    <row r="16" spans="1:17" x14ac:dyDescent="0.4">
      <c r="A16" s="69">
        <v>13</v>
      </c>
      <c r="B16" s="66">
        <v>-132.39999999999998</v>
      </c>
      <c r="C16" s="66">
        <v>-10.184615384615382</v>
      </c>
      <c r="D16" s="71">
        <v>2.2307692307692308</v>
      </c>
      <c r="E16" s="67">
        <v>0.23076923076923078</v>
      </c>
      <c r="F16" s="67">
        <v>0.46153846153846156</v>
      </c>
      <c r="G16" s="67">
        <v>0.22222222222222221</v>
      </c>
      <c r="H16" s="67">
        <v>0.21212121212121213</v>
      </c>
      <c r="I16" s="68">
        <v>12586.363636363636</v>
      </c>
      <c r="J16" s="68">
        <v>-10723.809523809523</v>
      </c>
      <c r="K16" s="67">
        <v>0.30769230769230771</v>
      </c>
      <c r="L16" s="67">
        <v>0.23076923076923078</v>
      </c>
      <c r="M16" s="67">
        <v>0.21212121212121213</v>
      </c>
      <c r="N16" s="67">
        <v>0.25252525252525254</v>
      </c>
      <c r="O16" s="67">
        <v>0.23809523809523808</v>
      </c>
      <c r="P16" s="67">
        <v>0.48</v>
      </c>
      <c r="Q16" s="67">
        <v>0.31818181818181818</v>
      </c>
    </row>
    <row r="17" spans="1:17" x14ac:dyDescent="0.4">
      <c r="A17" s="69">
        <v>14</v>
      </c>
      <c r="B17" s="66">
        <v>-86.499999999999972</v>
      </c>
      <c r="C17" s="66">
        <v>-6.1785714285714262</v>
      </c>
      <c r="D17" s="71">
        <v>2.1428571428571428</v>
      </c>
      <c r="E17" s="67">
        <v>0.2857142857142857</v>
      </c>
      <c r="F17" s="67">
        <v>0.42857142857142855</v>
      </c>
      <c r="G17" s="67">
        <v>0.22641509433962265</v>
      </c>
      <c r="H17" s="67">
        <v>0.20754716981132076</v>
      </c>
      <c r="I17" s="68">
        <v>13370.833333333334</v>
      </c>
      <c r="J17" s="68">
        <v>-10600</v>
      </c>
      <c r="K17" s="67">
        <v>0.2857142857142857</v>
      </c>
      <c r="L17" s="67">
        <v>0.2857142857142857</v>
      </c>
      <c r="M17" s="67">
        <v>0.22641509433962265</v>
      </c>
      <c r="N17" s="67">
        <v>0.23584905660377359</v>
      </c>
      <c r="O17" s="67">
        <v>0.25</v>
      </c>
      <c r="P17" s="67">
        <v>0.48</v>
      </c>
      <c r="Q17" s="67">
        <v>0.33333333333333331</v>
      </c>
    </row>
    <row r="18" spans="1:17" x14ac:dyDescent="0.4">
      <c r="A18" s="69">
        <v>15</v>
      </c>
      <c r="B18" s="66">
        <v>-101.79999999999997</v>
      </c>
      <c r="C18" s="66">
        <v>-6.7866666666666644</v>
      </c>
      <c r="D18" s="71">
        <v>2.1333333333333333</v>
      </c>
      <c r="E18" s="67">
        <v>0.26666666666666666</v>
      </c>
      <c r="F18" s="67">
        <v>0.4</v>
      </c>
      <c r="G18" s="67">
        <v>0.22131147540983606</v>
      </c>
      <c r="H18" s="67">
        <v>0.19672131147540983</v>
      </c>
      <c r="I18" s="68">
        <v>12474.074074074075</v>
      </c>
      <c r="J18" s="68">
        <v>-10254.166666666666</v>
      </c>
      <c r="K18" s="67">
        <v>0.26666666666666666</v>
      </c>
      <c r="L18" s="67">
        <v>0.26666666666666666</v>
      </c>
      <c r="M18" s="67">
        <v>0.22950819672131148</v>
      </c>
      <c r="N18" s="67">
        <v>0.23770491803278687</v>
      </c>
      <c r="O18" s="67">
        <v>0.25</v>
      </c>
      <c r="P18" s="67">
        <v>0.44827586206896552</v>
      </c>
      <c r="Q18" s="67">
        <v>0.29629629629629628</v>
      </c>
    </row>
    <row r="19" spans="1:17" x14ac:dyDescent="0.4">
      <c r="A19" s="69">
        <v>16</v>
      </c>
      <c r="B19" s="66">
        <v>-63.099999999999966</v>
      </c>
      <c r="C19" s="66">
        <v>-3.9437499999999979</v>
      </c>
      <c r="D19" s="71">
        <v>2.0625</v>
      </c>
      <c r="E19" s="67">
        <v>0.3125</v>
      </c>
      <c r="F19" s="67">
        <v>0.375</v>
      </c>
      <c r="G19" s="67">
        <v>0.23255813953488372</v>
      </c>
      <c r="H19" s="67">
        <v>0.19379844961240311</v>
      </c>
      <c r="I19" s="68">
        <v>12426.666666666666</v>
      </c>
      <c r="J19" s="68">
        <v>-9896</v>
      </c>
      <c r="K19" s="67">
        <v>0.25</v>
      </c>
      <c r="L19" s="67">
        <v>0.25</v>
      </c>
      <c r="M19" s="67">
        <v>0.24031007751937986</v>
      </c>
      <c r="N19" s="67">
        <v>0.23255813953488372</v>
      </c>
      <c r="O19" s="67">
        <v>0.29032258064516131</v>
      </c>
      <c r="P19" s="67">
        <v>0.46666666666666667</v>
      </c>
      <c r="Q19" s="67">
        <v>0.36666666666666664</v>
      </c>
    </row>
    <row r="20" spans="1:17" x14ac:dyDescent="0.4">
      <c r="A20" s="69">
        <v>17</v>
      </c>
      <c r="B20" s="66">
        <v>-55.799999999999969</v>
      </c>
      <c r="C20" s="66">
        <v>-3.2823529411764687</v>
      </c>
      <c r="D20" s="71">
        <v>2.0588235294117645</v>
      </c>
      <c r="E20" s="67">
        <v>0.29411764705882354</v>
      </c>
      <c r="F20" s="67">
        <v>0.35294117647058826</v>
      </c>
      <c r="G20" s="67">
        <v>0.24087591240875914</v>
      </c>
      <c r="H20" s="67">
        <v>0.18248175182481752</v>
      </c>
      <c r="I20" s="68">
        <v>12124.242424242424</v>
      </c>
      <c r="J20" s="68">
        <v>-9896</v>
      </c>
      <c r="K20" s="67">
        <v>0.23529411764705882</v>
      </c>
      <c r="L20" s="67">
        <v>0.23529411764705882</v>
      </c>
      <c r="M20" s="67">
        <v>0.24817518248175183</v>
      </c>
      <c r="N20" s="67">
        <v>0.22627737226277372</v>
      </c>
      <c r="O20" s="67">
        <v>0.3235294117647059</v>
      </c>
      <c r="P20" s="67">
        <v>0.4838709677419355</v>
      </c>
      <c r="Q20" s="67">
        <v>0.39393939393939392</v>
      </c>
    </row>
    <row r="21" spans="1:17" x14ac:dyDescent="0.4">
      <c r="A21" s="69">
        <v>18</v>
      </c>
      <c r="B21" s="66">
        <v>-24.999999999999968</v>
      </c>
      <c r="C21" s="66">
        <v>-1.3888888888888871</v>
      </c>
      <c r="D21" s="71">
        <v>2</v>
      </c>
      <c r="E21" s="67">
        <v>0.33333333333333331</v>
      </c>
      <c r="F21" s="67">
        <v>0.33333333333333331</v>
      </c>
      <c r="G21" s="67">
        <v>0.24827586206896551</v>
      </c>
      <c r="H21" s="67">
        <v>0.17241379310344829</v>
      </c>
      <c r="I21" s="68">
        <v>11561.111111111111</v>
      </c>
      <c r="J21" s="68">
        <v>-9896</v>
      </c>
      <c r="K21" s="67">
        <v>0.22222222222222221</v>
      </c>
      <c r="L21" s="67">
        <v>0.22222222222222221</v>
      </c>
      <c r="M21" s="67">
        <v>0.25517241379310346</v>
      </c>
      <c r="N21" s="67">
        <v>0.23448275862068965</v>
      </c>
      <c r="O21" s="67">
        <v>0.32432432432432434</v>
      </c>
      <c r="P21" s="67">
        <v>0.47058823529411764</v>
      </c>
      <c r="Q21" s="67">
        <v>0.41666666666666669</v>
      </c>
    </row>
    <row r="22" spans="1:17" x14ac:dyDescent="0.4">
      <c r="A22" s="69">
        <v>19</v>
      </c>
      <c r="B22" s="66">
        <v>-27.799999999999969</v>
      </c>
      <c r="C22" s="66">
        <v>-1.4631578947368404</v>
      </c>
      <c r="D22" s="71">
        <v>2</v>
      </c>
      <c r="E22" s="67">
        <v>0.31578947368421051</v>
      </c>
      <c r="F22" s="67">
        <v>0.31578947368421051</v>
      </c>
      <c r="G22" s="67">
        <v>0.25</v>
      </c>
      <c r="H22" s="67">
        <v>0.17307692307692307</v>
      </c>
      <c r="I22" s="68">
        <v>11823.076923076924</v>
      </c>
      <c r="J22" s="68">
        <v>-9903.7037037037044</v>
      </c>
      <c r="K22" s="67">
        <v>0.21052631578947367</v>
      </c>
      <c r="L22" s="67">
        <v>0.21052631578947367</v>
      </c>
      <c r="M22" s="67">
        <v>0.25641025641025639</v>
      </c>
      <c r="N22" s="67">
        <v>0.22435897435897437</v>
      </c>
      <c r="O22" s="67">
        <v>0.35</v>
      </c>
      <c r="P22" s="67">
        <v>0.48571428571428571</v>
      </c>
      <c r="Q22" s="67">
        <v>0.41025641025641024</v>
      </c>
    </row>
    <row r="23" spans="1:17" x14ac:dyDescent="0.4">
      <c r="A23" s="69">
        <v>20</v>
      </c>
      <c r="B23" s="66">
        <v>-50.39999999999997</v>
      </c>
      <c r="C23" s="66">
        <v>-2.5199999999999987</v>
      </c>
      <c r="D23" s="71">
        <v>2.0499999999999998</v>
      </c>
      <c r="E23" s="67">
        <v>0.3</v>
      </c>
      <c r="F23" s="67">
        <v>0.35</v>
      </c>
      <c r="G23" s="67">
        <v>0.24691358024691357</v>
      </c>
      <c r="H23" s="67">
        <v>0.16666666666666666</v>
      </c>
      <c r="I23" s="68">
        <v>11657.5</v>
      </c>
      <c r="J23" s="68">
        <v>-9903.7037037037044</v>
      </c>
      <c r="K23" s="67">
        <v>0.2</v>
      </c>
      <c r="L23" s="67">
        <v>0.2</v>
      </c>
      <c r="M23" s="67">
        <v>0.26543209876543211</v>
      </c>
      <c r="N23" s="67">
        <v>0.22222222222222221</v>
      </c>
      <c r="O23" s="67">
        <v>0.34883720930232559</v>
      </c>
      <c r="P23" s="67">
        <v>0.47222222222222221</v>
      </c>
      <c r="Q23" s="67">
        <v>0.4</v>
      </c>
    </row>
    <row r="24" spans="1:17" x14ac:dyDescent="0.4">
      <c r="A24" s="69">
        <v>21</v>
      </c>
      <c r="B24" s="66">
        <v>-59.89999999999997</v>
      </c>
      <c r="C24" s="66">
        <v>-2.8523809523809511</v>
      </c>
      <c r="D24" s="71">
        <v>2.0476190476190474</v>
      </c>
      <c r="E24" s="67">
        <v>0.2857142857142857</v>
      </c>
      <c r="F24" s="67">
        <v>0.33333333333333331</v>
      </c>
      <c r="G24" s="67">
        <v>0.24260355029585798</v>
      </c>
      <c r="H24" s="67">
        <v>0.15976331360946747</v>
      </c>
      <c r="I24" s="68">
        <v>11421.951219512195</v>
      </c>
      <c r="J24" s="68">
        <v>-9903.7037037037044</v>
      </c>
      <c r="K24" s="67">
        <v>0.19047619047619047</v>
      </c>
      <c r="L24" s="67">
        <v>0.19047619047619047</v>
      </c>
      <c r="M24" s="67">
        <v>0.26035502958579881</v>
      </c>
      <c r="N24" s="67">
        <v>0.21893491124260356</v>
      </c>
      <c r="O24" s="67">
        <v>0.34090909090909088</v>
      </c>
      <c r="P24" s="67">
        <v>0.48648648648648651</v>
      </c>
      <c r="Q24" s="67">
        <v>0.3902439024390244</v>
      </c>
    </row>
    <row r="25" spans="1:17" x14ac:dyDescent="0.4">
      <c r="A25" s="69">
        <v>22</v>
      </c>
      <c r="B25" s="66">
        <v>-21.799999999999969</v>
      </c>
      <c r="C25" s="66">
        <v>-0.99090909090908952</v>
      </c>
      <c r="D25" s="71">
        <v>2</v>
      </c>
      <c r="E25" s="67">
        <v>0.31818181818181818</v>
      </c>
      <c r="F25" s="67">
        <v>0.31818181818181818</v>
      </c>
      <c r="G25" s="67">
        <v>0.25568181818181818</v>
      </c>
      <c r="H25" s="67">
        <v>0.15909090909090909</v>
      </c>
      <c r="I25" s="68">
        <v>10960</v>
      </c>
      <c r="J25" s="68">
        <v>-9596.4285714285706</v>
      </c>
      <c r="K25" s="67">
        <v>0.18181818181818182</v>
      </c>
      <c r="L25" s="67">
        <v>0.22727272727272727</v>
      </c>
      <c r="M25" s="67">
        <v>0.25568181818181818</v>
      </c>
      <c r="N25" s="67">
        <v>0.23295454545454544</v>
      </c>
      <c r="O25" s="67">
        <v>0.35555555555555557</v>
      </c>
      <c r="P25" s="67">
        <v>0.51219512195121952</v>
      </c>
      <c r="Q25" s="67">
        <v>0.4</v>
      </c>
    </row>
    <row r="26" spans="1:17" x14ac:dyDescent="0.4">
      <c r="A26" s="69">
        <v>23</v>
      </c>
      <c r="B26" s="66">
        <v>-10.299999999999969</v>
      </c>
      <c r="C26" s="66">
        <v>-0.44782608695652038</v>
      </c>
      <c r="D26" s="71">
        <v>1.9565217391304348</v>
      </c>
      <c r="E26" s="67">
        <v>0.34782608695652173</v>
      </c>
      <c r="F26" s="67">
        <v>0.30434782608695654</v>
      </c>
      <c r="G26" s="67">
        <v>0.25683060109289618</v>
      </c>
      <c r="H26" s="67">
        <v>0.15300546448087432</v>
      </c>
      <c r="I26" s="68">
        <v>10834.04255319149</v>
      </c>
      <c r="J26" s="68">
        <v>-9596.4285714285706</v>
      </c>
      <c r="K26" s="67">
        <v>0.17391304347826086</v>
      </c>
      <c r="L26" s="67">
        <v>0.21739130434782608</v>
      </c>
      <c r="M26" s="67">
        <v>0.25683060109289618</v>
      </c>
      <c r="N26" s="67">
        <v>0.22950819672131148</v>
      </c>
      <c r="O26" s="67">
        <v>0.36170212765957449</v>
      </c>
      <c r="P26" s="67">
        <v>0.52380952380952384</v>
      </c>
      <c r="Q26" s="67">
        <v>0.42553191489361702</v>
      </c>
    </row>
    <row r="27" spans="1:17" x14ac:dyDescent="0.4">
      <c r="A27" s="69">
        <v>24</v>
      </c>
      <c r="B27" s="66">
        <v>-51.39999999999997</v>
      </c>
      <c r="C27" s="66">
        <v>-2.1416666666666653</v>
      </c>
      <c r="D27" s="71">
        <v>2</v>
      </c>
      <c r="E27" s="67">
        <v>0.33333333333333331</v>
      </c>
      <c r="F27" s="67">
        <v>0.33333333333333331</v>
      </c>
      <c r="G27" s="67">
        <v>0.2513089005235602</v>
      </c>
      <c r="H27" s="67">
        <v>0.17277486910994763</v>
      </c>
      <c r="I27" s="68">
        <v>10858.333333333334</v>
      </c>
      <c r="J27" s="68">
        <v>-9403.0303030303039</v>
      </c>
      <c r="K27" s="67">
        <v>0.16666666666666666</v>
      </c>
      <c r="L27" s="67">
        <v>0.20833333333333334</v>
      </c>
      <c r="M27" s="67">
        <v>0.26178010471204188</v>
      </c>
      <c r="N27" s="67">
        <v>0.2356020942408377</v>
      </c>
      <c r="O27" s="67">
        <v>0.36</v>
      </c>
      <c r="P27" s="67">
        <v>0.48888888888888887</v>
      </c>
      <c r="Q27" s="67">
        <v>0.4375</v>
      </c>
    </row>
  </sheetData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614958-5E8F-4F26-BD07-ADB9F1E102F8}">
  <sheetPr codeName="Sheet14"/>
  <dimension ref="A1:Q31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180</v>
      </c>
      <c r="B1" s="70" t="s">
        <v>180</v>
      </c>
      <c r="C1" s="70" t="s">
        <v>180</v>
      </c>
      <c r="D1" s="71" t="s">
        <v>180</v>
      </c>
      <c r="E1" s="70" t="s">
        <v>180</v>
      </c>
      <c r="F1" s="70" t="s">
        <v>180</v>
      </c>
      <c r="G1" s="70" t="s">
        <v>180</v>
      </c>
      <c r="H1" s="70" t="s">
        <v>180</v>
      </c>
      <c r="I1" s="70" t="s">
        <v>180</v>
      </c>
      <c r="J1" s="70" t="s">
        <v>180</v>
      </c>
      <c r="K1" s="70" t="s">
        <v>180</v>
      </c>
      <c r="L1" s="70" t="s">
        <v>180</v>
      </c>
      <c r="M1" s="70" t="s">
        <v>180</v>
      </c>
      <c r="N1" s="70" t="s">
        <v>180</v>
      </c>
      <c r="O1" s="70" t="s">
        <v>180</v>
      </c>
      <c r="P1" s="70" t="s">
        <v>180</v>
      </c>
      <c r="Q1" s="70" t="s">
        <v>180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161</v>
      </c>
      <c r="G2" s="70" t="s">
        <v>146</v>
      </c>
      <c r="H2" s="70" t="s">
        <v>145</v>
      </c>
      <c r="I2" s="70" t="s">
        <v>5</v>
      </c>
      <c r="J2" s="70" t="s">
        <v>17</v>
      </c>
      <c r="K2" s="70" t="s">
        <v>18</v>
      </c>
      <c r="L2" s="70" t="s">
        <v>140</v>
      </c>
      <c r="M2" s="70" t="s">
        <v>123</v>
      </c>
      <c r="N2" s="70" t="s">
        <v>120</v>
      </c>
      <c r="O2" s="70" t="s">
        <v>126</v>
      </c>
      <c r="P2" s="70" t="s">
        <v>147</v>
      </c>
      <c r="Q2" s="70" t="s">
        <v>143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-37.799999999999997</v>
      </c>
      <c r="C4" s="66">
        <v>-37.799999999999997</v>
      </c>
      <c r="D4" s="71">
        <v>3</v>
      </c>
      <c r="E4" s="67">
        <v>0</v>
      </c>
      <c r="F4" s="67">
        <v>1</v>
      </c>
      <c r="G4" s="67">
        <v>9.0909090909090912E-2</v>
      </c>
      <c r="H4" s="67">
        <v>0.18181818181818182</v>
      </c>
      <c r="I4" s="68">
        <v>2100</v>
      </c>
      <c r="J4" s="68">
        <v>-14900</v>
      </c>
      <c r="K4" s="67">
        <v>0</v>
      </c>
      <c r="L4" s="67">
        <v>0</v>
      </c>
      <c r="M4" s="67">
        <v>0.27272727272727271</v>
      </c>
      <c r="N4" s="67">
        <v>0</v>
      </c>
      <c r="O4" s="67">
        <v>0</v>
      </c>
      <c r="P4" s="67">
        <v>0</v>
      </c>
      <c r="Q4" s="67">
        <v>1</v>
      </c>
    </row>
    <row r="5" spans="1:17" x14ac:dyDescent="0.4">
      <c r="A5" s="69">
        <v>2</v>
      </c>
      <c r="B5" s="66">
        <v>-30.099999999999998</v>
      </c>
      <c r="C5" s="66">
        <v>-15.049999999999999</v>
      </c>
      <c r="D5" s="71">
        <v>2.5</v>
      </c>
      <c r="E5" s="67">
        <v>0</v>
      </c>
      <c r="F5" s="67">
        <v>0.5</v>
      </c>
      <c r="G5" s="67">
        <v>0.21052631578947367</v>
      </c>
      <c r="H5" s="67">
        <v>0.15789473684210525</v>
      </c>
      <c r="I5" s="68">
        <v>4750</v>
      </c>
      <c r="J5" s="68">
        <v>-11233.333333333334</v>
      </c>
      <c r="K5" s="67">
        <v>0</v>
      </c>
      <c r="L5" s="67">
        <v>0</v>
      </c>
      <c r="M5" s="67">
        <v>0.26315789473684209</v>
      </c>
      <c r="N5" s="67">
        <v>0.26315789473684209</v>
      </c>
      <c r="O5" s="67">
        <v>0.4</v>
      </c>
      <c r="P5" s="67">
        <v>0.2</v>
      </c>
      <c r="Q5" s="67">
        <v>0.25</v>
      </c>
    </row>
    <row r="6" spans="1:17" x14ac:dyDescent="0.4">
      <c r="A6" s="69">
        <v>3</v>
      </c>
      <c r="B6" s="66">
        <v>-17.599999999999998</v>
      </c>
      <c r="C6" s="66">
        <v>-5.8666666666666663</v>
      </c>
      <c r="D6" s="71">
        <v>2.3333333333333335</v>
      </c>
      <c r="E6" s="67">
        <v>0</v>
      </c>
      <c r="F6" s="67">
        <v>0.33333333333333331</v>
      </c>
      <c r="G6" s="67">
        <v>0.26666666666666666</v>
      </c>
      <c r="H6" s="67">
        <v>0.2</v>
      </c>
      <c r="I6" s="68">
        <v>5262.5</v>
      </c>
      <c r="J6" s="68">
        <v>-7716.666666666667</v>
      </c>
      <c r="K6" s="67">
        <v>0</v>
      </c>
      <c r="L6" s="67">
        <v>0</v>
      </c>
      <c r="M6" s="67">
        <v>0.26666666666666666</v>
      </c>
      <c r="N6" s="67">
        <v>0.23333333333333334</v>
      </c>
      <c r="O6" s="67">
        <v>0.625</v>
      </c>
      <c r="P6" s="67">
        <v>0.14285714285714285</v>
      </c>
      <c r="Q6" s="67">
        <v>0.25</v>
      </c>
    </row>
    <row r="7" spans="1:17" x14ac:dyDescent="0.4">
      <c r="A7" s="69">
        <v>4</v>
      </c>
      <c r="B7" s="66">
        <v>-54.899999999999991</v>
      </c>
      <c r="C7" s="66">
        <v>-13.724999999999998</v>
      </c>
      <c r="D7" s="71">
        <v>2.5</v>
      </c>
      <c r="E7" s="67">
        <v>0</v>
      </c>
      <c r="F7" s="67">
        <v>0.5</v>
      </c>
      <c r="G7" s="67">
        <v>0.28205128205128205</v>
      </c>
      <c r="H7" s="67">
        <v>0.20512820512820512</v>
      </c>
      <c r="I7" s="68">
        <v>5290.909090909091</v>
      </c>
      <c r="J7" s="68">
        <v>-10275</v>
      </c>
      <c r="K7" s="67">
        <v>0</v>
      </c>
      <c r="L7" s="67">
        <v>0</v>
      </c>
      <c r="M7" s="67">
        <v>0.25641025641025639</v>
      </c>
      <c r="N7" s="67">
        <v>0.23076923076923078</v>
      </c>
      <c r="O7" s="67">
        <v>0.7</v>
      </c>
      <c r="P7" s="67">
        <v>0.1111111111111111</v>
      </c>
      <c r="Q7" s="67">
        <v>0.18181818181818182</v>
      </c>
    </row>
    <row r="8" spans="1:17" x14ac:dyDescent="0.4">
      <c r="A8" s="69">
        <v>5</v>
      </c>
      <c r="B8" s="66">
        <v>-33.699999999999989</v>
      </c>
      <c r="C8" s="66">
        <v>-6.7399999999999975</v>
      </c>
      <c r="D8" s="71">
        <v>2.2000000000000002</v>
      </c>
      <c r="E8" s="67">
        <v>0.2</v>
      </c>
      <c r="F8" s="67">
        <v>0.4</v>
      </c>
      <c r="G8" s="67">
        <v>0.30612244897959184</v>
      </c>
      <c r="H8" s="67">
        <v>0.22448979591836735</v>
      </c>
      <c r="I8" s="68">
        <v>6226.666666666667</v>
      </c>
      <c r="J8" s="68">
        <v>-8127.272727272727</v>
      </c>
      <c r="K8" s="67">
        <v>0</v>
      </c>
      <c r="L8" s="67">
        <v>0</v>
      </c>
      <c r="M8" s="67">
        <v>0.26530612244897961</v>
      </c>
      <c r="N8" s="67">
        <v>0.20408163265306123</v>
      </c>
      <c r="O8" s="67">
        <v>0.69230769230769229</v>
      </c>
      <c r="P8" s="67">
        <v>0.2</v>
      </c>
      <c r="Q8" s="67">
        <v>0.26666666666666666</v>
      </c>
    </row>
    <row r="9" spans="1:17" x14ac:dyDescent="0.4">
      <c r="A9" s="69">
        <v>6</v>
      </c>
      <c r="B9" s="66">
        <v>-57.399999999999991</v>
      </c>
      <c r="C9" s="66">
        <v>-9.5666666666666647</v>
      </c>
      <c r="D9" s="71">
        <v>2.3333333333333335</v>
      </c>
      <c r="E9" s="67">
        <v>0.16666666666666666</v>
      </c>
      <c r="F9" s="67">
        <v>0.5</v>
      </c>
      <c r="G9" s="67">
        <v>0.2982456140350877</v>
      </c>
      <c r="H9" s="67">
        <v>0.22807017543859648</v>
      </c>
      <c r="I9" s="68">
        <v>6670.588235294118</v>
      </c>
      <c r="J9" s="68">
        <v>-8392.3076923076915</v>
      </c>
      <c r="K9" s="67">
        <v>0</v>
      </c>
      <c r="L9" s="67">
        <v>0</v>
      </c>
      <c r="M9" s="67">
        <v>0.2807017543859649</v>
      </c>
      <c r="N9" s="67">
        <v>0.21052631578947367</v>
      </c>
      <c r="O9" s="67">
        <v>0.625</v>
      </c>
      <c r="P9" s="67">
        <v>0.25</v>
      </c>
      <c r="Q9" s="67">
        <v>0.23529411764705882</v>
      </c>
    </row>
    <row r="10" spans="1:17" x14ac:dyDescent="0.4">
      <c r="A10" s="69">
        <v>7</v>
      </c>
      <c r="B10" s="66">
        <v>-39.499999999999993</v>
      </c>
      <c r="C10" s="66">
        <v>-5.6428571428571415</v>
      </c>
      <c r="D10" s="71">
        <v>2.2857142857142856</v>
      </c>
      <c r="E10" s="67">
        <v>0.14285714285714285</v>
      </c>
      <c r="F10" s="67">
        <v>0.42857142857142855</v>
      </c>
      <c r="G10" s="67">
        <v>0.29850746268656714</v>
      </c>
      <c r="H10" s="67">
        <v>0.20895522388059701</v>
      </c>
      <c r="I10" s="68">
        <v>7750</v>
      </c>
      <c r="J10" s="68">
        <v>-8071.4285714285716</v>
      </c>
      <c r="K10" s="67">
        <v>0</v>
      </c>
      <c r="L10" s="67">
        <v>0</v>
      </c>
      <c r="M10" s="67">
        <v>0.26865671641791045</v>
      </c>
      <c r="N10" s="67">
        <v>0.19402985074626866</v>
      </c>
      <c r="O10" s="67">
        <v>0.66666666666666663</v>
      </c>
      <c r="P10" s="67">
        <v>0.23076923076923078</v>
      </c>
      <c r="Q10" s="67">
        <v>0.3</v>
      </c>
    </row>
    <row r="11" spans="1:17" x14ac:dyDescent="0.4">
      <c r="A11" s="69">
        <v>8</v>
      </c>
      <c r="B11" s="66">
        <v>-62.999999999999993</v>
      </c>
      <c r="C11" s="66">
        <v>-7.8749999999999991</v>
      </c>
      <c r="D11" s="71">
        <v>2.375</v>
      </c>
      <c r="E11" s="67">
        <v>0.125</v>
      </c>
      <c r="F11" s="67">
        <v>0.5</v>
      </c>
      <c r="G11" s="67">
        <v>0.26315789473684209</v>
      </c>
      <c r="H11" s="67">
        <v>0.21052631578947367</v>
      </c>
      <c r="I11" s="68">
        <v>7750</v>
      </c>
      <c r="J11" s="68">
        <v>-7625</v>
      </c>
      <c r="K11" s="67">
        <v>0</v>
      </c>
      <c r="L11" s="67">
        <v>0</v>
      </c>
      <c r="M11" s="67">
        <v>0.25</v>
      </c>
      <c r="N11" s="67">
        <v>0.19736842105263158</v>
      </c>
      <c r="O11" s="67">
        <v>0.63157894736842102</v>
      </c>
      <c r="P11" s="67">
        <v>0.2</v>
      </c>
      <c r="Q11" s="67">
        <v>0.3</v>
      </c>
    </row>
    <row r="12" spans="1:17" x14ac:dyDescent="0.4">
      <c r="A12" s="69">
        <v>9</v>
      </c>
      <c r="B12" s="66">
        <v>-74.199999999999989</v>
      </c>
      <c r="C12" s="66">
        <v>-8.2444444444444436</v>
      </c>
      <c r="D12" s="71">
        <v>2.3333333333333335</v>
      </c>
      <c r="E12" s="67">
        <v>0.1111111111111111</v>
      </c>
      <c r="F12" s="67">
        <v>0.44444444444444442</v>
      </c>
      <c r="G12" s="67">
        <v>0.27058823529411763</v>
      </c>
      <c r="H12" s="67">
        <v>0.21176470588235294</v>
      </c>
      <c r="I12" s="68">
        <v>7686.95652173913</v>
      </c>
      <c r="J12" s="68">
        <v>-7872.2222222222226</v>
      </c>
      <c r="K12" s="67">
        <v>0</v>
      </c>
      <c r="L12" s="67">
        <v>0</v>
      </c>
      <c r="M12" s="67">
        <v>0.24705882352941178</v>
      </c>
      <c r="N12" s="67">
        <v>0.17647058823529413</v>
      </c>
      <c r="O12" s="67">
        <v>0.61904761904761907</v>
      </c>
      <c r="P12" s="67">
        <v>0.2</v>
      </c>
      <c r="Q12" s="67">
        <v>0.34782608695652173</v>
      </c>
    </row>
    <row r="13" spans="1:17" x14ac:dyDescent="0.4">
      <c r="A13" s="69">
        <v>10</v>
      </c>
      <c r="B13" s="66">
        <v>-117.19999999999999</v>
      </c>
      <c r="C13" s="66">
        <v>-11.719999999999999</v>
      </c>
      <c r="D13" s="71">
        <v>2.4</v>
      </c>
      <c r="E13" s="67">
        <v>0.1</v>
      </c>
      <c r="F13" s="67">
        <v>0.5</v>
      </c>
      <c r="G13" s="67">
        <v>0.23958333333333334</v>
      </c>
      <c r="H13" s="67">
        <v>0.22916666666666666</v>
      </c>
      <c r="I13" s="68">
        <v>7686.95652173913</v>
      </c>
      <c r="J13" s="68">
        <v>-7695.454545454545</v>
      </c>
      <c r="K13" s="67">
        <v>0</v>
      </c>
      <c r="L13" s="67">
        <v>0</v>
      </c>
      <c r="M13" s="67">
        <v>0.23958333333333334</v>
      </c>
      <c r="N13" s="67">
        <v>0.15625</v>
      </c>
      <c r="O13" s="67">
        <v>0.56521739130434778</v>
      </c>
      <c r="P13" s="67">
        <v>0.2</v>
      </c>
      <c r="Q13" s="67">
        <v>0.34782608695652173</v>
      </c>
    </row>
    <row r="14" spans="1:17" x14ac:dyDescent="0.4">
      <c r="A14" s="69">
        <v>11</v>
      </c>
      <c r="B14" s="66">
        <v>-177.29999999999998</v>
      </c>
      <c r="C14" s="66">
        <v>-16.118181818181817</v>
      </c>
      <c r="D14" s="71">
        <v>2.4545454545454546</v>
      </c>
      <c r="E14" s="67">
        <v>9.0909090909090912E-2</v>
      </c>
      <c r="F14" s="67">
        <v>0.54545454545454541</v>
      </c>
      <c r="G14" s="67">
        <v>0.23</v>
      </c>
      <c r="H14" s="67">
        <v>0.25</v>
      </c>
      <c r="I14" s="68">
        <v>7686.95652173913</v>
      </c>
      <c r="J14" s="68">
        <v>-8256</v>
      </c>
      <c r="K14" s="67">
        <v>9.0909090909090912E-2</v>
      </c>
      <c r="L14" s="67">
        <v>0</v>
      </c>
      <c r="M14" s="67">
        <v>0.24</v>
      </c>
      <c r="N14" s="67">
        <v>0.15</v>
      </c>
      <c r="O14" s="67">
        <v>0.54166666666666663</v>
      </c>
      <c r="P14" s="67">
        <v>0.2</v>
      </c>
      <c r="Q14" s="67">
        <v>0.34782608695652173</v>
      </c>
    </row>
    <row r="15" spans="1:17" x14ac:dyDescent="0.4">
      <c r="A15" s="69">
        <v>12</v>
      </c>
      <c r="B15" s="66">
        <v>-158.6</v>
      </c>
      <c r="C15" s="66">
        <v>-13.216666666666667</v>
      </c>
      <c r="D15" s="71">
        <v>2.4166666666666665</v>
      </c>
      <c r="E15" s="67">
        <v>8.3333333333333329E-2</v>
      </c>
      <c r="F15" s="67">
        <v>0.5</v>
      </c>
      <c r="G15" s="67">
        <v>0.23636363636363636</v>
      </c>
      <c r="H15" s="67">
        <v>0.23636363636363636</v>
      </c>
      <c r="I15" s="68">
        <v>7769.2307692307695</v>
      </c>
      <c r="J15" s="68">
        <v>-8015.3846153846152</v>
      </c>
      <c r="K15" s="67">
        <v>8.3333333333333329E-2</v>
      </c>
      <c r="L15" s="67">
        <v>0</v>
      </c>
      <c r="M15" s="67">
        <v>0.24545454545454545</v>
      </c>
      <c r="N15" s="67">
        <v>0.15454545454545454</v>
      </c>
      <c r="O15" s="67">
        <v>0.59259259259259256</v>
      </c>
      <c r="P15" s="67">
        <v>0.17647058823529413</v>
      </c>
      <c r="Q15" s="67">
        <v>0.34615384615384615</v>
      </c>
    </row>
    <row r="16" spans="1:17" x14ac:dyDescent="0.4">
      <c r="A16" s="69">
        <v>13</v>
      </c>
      <c r="B16" s="66">
        <v>-207.3</v>
      </c>
      <c r="C16" s="66">
        <v>-15.946153846153846</v>
      </c>
      <c r="D16" s="71">
        <v>2.4615384615384617</v>
      </c>
      <c r="E16" s="67">
        <v>7.6923076923076927E-2</v>
      </c>
      <c r="F16" s="67">
        <v>0.53846153846153844</v>
      </c>
      <c r="G16" s="67">
        <v>0.23529411764705882</v>
      </c>
      <c r="H16" s="67">
        <v>0.24369747899159663</v>
      </c>
      <c r="I16" s="68">
        <v>7928.5714285714284</v>
      </c>
      <c r="J16" s="68">
        <v>-8551.7241379310344</v>
      </c>
      <c r="K16" s="67">
        <v>0.15384615384615385</v>
      </c>
      <c r="L16" s="67">
        <v>0</v>
      </c>
      <c r="M16" s="67">
        <v>0.26050420168067229</v>
      </c>
      <c r="N16" s="67">
        <v>0.15966386554621848</v>
      </c>
      <c r="O16" s="67">
        <v>0.58064516129032262</v>
      </c>
      <c r="P16" s="67">
        <v>0.15789473684210525</v>
      </c>
      <c r="Q16" s="67">
        <v>0.32142857142857145</v>
      </c>
    </row>
    <row r="17" spans="1:17" x14ac:dyDescent="0.4">
      <c r="A17" s="69">
        <v>14</v>
      </c>
      <c r="B17" s="66">
        <v>-204.8</v>
      </c>
      <c r="C17" s="66">
        <v>-14.62857142857143</v>
      </c>
      <c r="D17" s="71">
        <v>2.4285714285714284</v>
      </c>
      <c r="E17" s="67">
        <v>7.1428571428571425E-2</v>
      </c>
      <c r="F17" s="67">
        <v>0.5</v>
      </c>
      <c r="G17" s="67">
        <v>0.2421875</v>
      </c>
      <c r="H17" s="67">
        <v>0.25</v>
      </c>
      <c r="I17" s="68">
        <v>8000</v>
      </c>
      <c r="J17" s="68">
        <v>-8203.125</v>
      </c>
      <c r="K17" s="67">
        <v>0.14285714285714285</v>
      </c>
      <c r="L17" s="67">
        <v>0</v>
      </c>
      <c r="M17" s="67">
        <v>0.25</v>
      </c>
      <c r="N17" s="67">
        <v>0.171875</v>
      </c>
      <c r="O17" s="67">
        <v>0.59375</v>
      </c>
      <c r="P17" s="67">
        <v>0.22727272727272727</v>
      </c>
      <c r="Q17" s="67">
        <v>0.35483870967741937</v>
      </c>
    </row>
    <row r="18" spans="1:17" x14ac:dyDescent="0.4">
      <c r="A18" s="69">
        <v>15</v>
      </c>
      <c r="B18" s="66">
        <v>-221.5</v>
      </c>
      <c r="C18" s="66">
        <v>-14.766666666666667</v>
      </c>
      <c r="D18" s="71">
        <v>2.4666666666666668</v>
      </c>
      <c r="E18" s="67">
        <v>6.6666666666666666E-2</v>
      </c>
      <c r="F18" s="67">
        <v>0.53333333333333333</v>
      </c>
      <c r="G18" s="67">
        <v>0.25362318840579712</v>
      </c>
      <c r="H18" s="67">
        <v>0.24637681159420291</v>
      </c>
      <c r="I18" s="68">
        <v>7902.8571428571431</v>
      </c>
      <c r="J18" s="68">
        <v>-8285.2941176470595</v>
      </c>
      <c r="K18" s="67">
        <v>0.13333333333333333</v>
      </c>
      <c r="L18" s="67">
        <v>0</v>
      </c>
      <c r="M18" s="67">
        <v>0.25362318840579712</v>
      </c>
      <c r="N18" s="67">
        <v>0.18840579710144928</v>
      </c>
      <c r="O18" s="67">
        <v>0.6</v>
      </c>
      <c r="P18" s="67">
        <v>0.26923076923076922</v>
      </c>
      <c r="Q18" s="67">
        <v>0.37142857142857144</v>
      </c>
    </row>
    <row r="19" spans="1:17" x14ac:dyDescent="0.4">
      <c r="A19" s="69">
        <v>16</v>
      </c>
      <c r="B19" s="66">
        <v>-224.3</v>
      </c>
      <c r="C19" s="66">
        <v>-14.018750000000001</v>
      </c>
      <c r="D19" s="71">
        <v>2.4375</v>
      </c>
      <c r="E19" s="67">
        <v>6.25E-2</v>
      </c>
      <c r="F19" s="67">
        <v>0.5</v>
      </c>
      <c r="G19" s="67">
        <v>0.26666666666666666</v>
      </c>
      <c r="H19" s="67">
        <v>0.23333333333333334</v>
      </c>
      <c r="I19" s="68">
        <v>7385</v>
      </c>
      <c r="J19" s="68">
        <v>-8214.2857142857138</v>
      </c>
      <c r="K19" s="67">
        <v>0.125</v>
      </c>
      <c r="L19" s="67">
        <v>0</v>
      </c>
      <c r="M19" s="67">
        <v>0.25333333333333335</v>
      </c>
      <c r="N19" s="67">
        <v>0.19333333333333333</v>
      </c>
      <c r="O19" s="67">
        <v>0.60526315789473684</v>
      </c>
      <c r="P19" s="67">
        <v>0.31034482758620691</v>
      </c>
      <c r="Q19" s="67">
        <v>0.375</v>
      </c>
    </row>
    <row r="20" spans="1:17" x14ac:dyDescent="0.4">
      <c r="A20" s="69">
        <v>17</v>
      </c>
      <c r="B20" s="66">
        <v>-251.4</v>
      </c>
      <c r="C20" s="66">
        <v>-14.788235294117648</v>
      </c>
      <c r="D20" s="71">
        <v>2.4705882352941178</v>
      </c>
      <c r="E20" s="67">
        <v>5.8823529411764705E-2</v>
      </c>
      <c r="F20" s="67">
        <v>0.52941176470588236</v>
      </c>
      <c r="G20" s="67">
        <v>0.25477707006369427</v>
      </c>
      <c r="H20" s="67">
        <v>0.24203821656050956</v>
      </c>
      <c r="I20" s="68">
        <v>7385</v>
      </c>
      <c r="J20" s="68">
        <v>-7931.5789473684208</v>
      </c>
      <c r="K20" s="67">
        <v>0.11764705882352941</v>
      </c>
      <c r="L20" s="67">
        <v>0</v>
      </c>
      <c r="M20" s="67">
        <v>0.24203821656050956</v>
      </c>
      <c r="N20" s="67">
        <v>0.18471337579617833</v>
      </c>
      <c r="O20" s="67">
        <v>0.60526315789473684</v>
      </c>
      <c r="P20" s="67">
        <v>0.31034482758620691</v>
      </c>
      <c r="Q20" s="67">
        <v>0.375</v>
      </c>
    </row>
    <row r="21" spans="1:17" x14ac:dyDescent="0.4">
      <c r="A21" s="69">
        <v>18</v>
      </c>
      <c r="B21" s="66">
        <v>-240</v>
      </c>
      <c r="C21" s="66">
        <v>-13.333333333333334</v>
      </c>
      <c r="D21" s="71">
        <v>2.4444444444444446</v>
      </c>
      <c r="E21" s="67">
        <v>5.5555555555555552E-2</v>
      </c>
      <c r="F21" s="67">
        <v>0.5</v>
      </c>
      <c r="G21" s="67">
        <v>0.26347305389221559</v>
      </c>
      <c r="H21" s="67">
        <v>0.22754491017964071</v>
      </c>
      <c r="I21" s="68">
        <v>7393.181818181818</v>
      </c>
      <c r="J21" s="68">
        <v>-7931.5789473684208</v>
      </c>
      <c r="K21" s="67">
        <v>0.1111111111111111</v>
      </c>
      <c r="L21" s="67">
        <v>0</v>
      </c>
      <c r="M21" s="67">
        <v>0.25149700598802394</v>
      </c>
      <c r="N21" s="67">
        <v>0.19161676646706588</v>
      </c>
      <c r="O21" s="67">
        <v>0.59523809523809523</v>
      </c>
      <c r="P21" s="67">
        <v>0.34375</v>
      </c>
      <c r="Q21" s="67">
        <v>0.38636363636363635</v>
      </c>
    </row>
    <row r="22" spans="1:17" x14ac:dyDescent="0.4">
      <c r="A22" s="69">
        <v>19</v>
      </c>
      <c r="B22" s="66">
        <v>-218</v>
      </c>
      <c r="C22" s="66">
        <v>-11.473684210526315</v>
      </c>
      <c r="D22" s="71">
        <v>2.3684210526315788</v>
      </c>
      <c r="E22" s="67">
        <v>0.10526315789473684</v>
      </c>
      <c r="F22" s="67">
        <v>0.47368421052631576</v>
      </c>
      <c r="G22" s="67">
        <v>0.2768361581920904</v>
      </c>
      <c r="H22" s="67">
        <v>0.22033898305084745</v>
      </c>
      <c r="I22" s="68">
        <v>7220.408163265306</v>
      </c>
      <c r="J22" s="68">
        <v>-7933.333333333333</v>
      </c>
      <c r="K22" s="67">
        <v>0.10526315789473684</v>
      </c>
      <c r="L22" s="67">
        <v>0</v>
      </c>
      <c r="M22" s="67">
        <v>0.24858757062146894</v>
      </c>
      <c r="N22" s="67">
        <v>0.19774011299435029</v>
      </c>
      <c r="O22" s="67">
        <v>0.59090909090909094</v>
      </c>
      <c r="P22" s="67">
        <v>0.4</v>
      </c>
      <c r="Q22" s="67">
        <v>0.36734693877551022</v>
      </c>
    </row>
    <row r="23" spans="1:17" x14ac:dyDescent="0.4">
      <c r="A23" s="69">
        <v>20</v>
      </c>
      <c r="B23" s="66">
        <v>-177.6</v>
      </c>
      <c r="C23" s="66">
        <v>-8.879999999999999</v>
      </c>
      <c r="D23" s="71">
        <v>2.2999999999999998</v>
      </c>
      <c r="E23" s="67">
        <v>0.15</v>
      </c>
      <c r="F23" s="67">
        <v>0.45</v>
      </c>
      <c r="G23" s="67">
        <v>0.28176795580110497</v>
      </c>
      <c r="H23" s="67">
        <v>0.21546961325966851</v>
      </c>
      <c r="I23" s="68">
        <v>7464.7058823529414</v>
      </c>
      <c r="J23" s="68">
        <v>-7933.333333333333</v>
      </c>
      <c r="K23" s="67">
        <v>0.1</v>
      </c>
      <c r="L23" s="67">
        <v>0.05</v>
      </c>
      <c r="M23" s="67">
        <v>0.24861878453038674</v>
      </c>
      <c r="N23" s="67">
        <v>0.20441988950276244</v>
      </c>
      <c r="O23" s="67">
        <v>0.6</v>
      </c>
      <c r="P23" s="67">
        <v>0.40540540540540543</v>
      </c>
      <c r="Q23" s="67">
        <v>0.35294117647058826</v>
      </c>
    </row>
    <row r="24" spans="1:17" x14ac:dyDescent="0.4">
      <c r="A24" s="69">
        <v>21</v>
      </c>
      <c r="B24" s="66">
        <v>-133.30000000000001</v>
      </c>
      <c r="C24" s="66">
        <v>-6.3476190476190482</v>
      </c>
      <c r="D24" s="71">
        <v>2.2380952380952381</v>
      </c>
      <c r="E24" s="67">
        <v>0.19047619047619047</v>
      </c>
      <c r="F24" s="67">
        <v>0.42857142857142855</v>
      </c>
      <c r="G24" s="67">
        <v>0.29411764705882354</v>
      </c>
      <c r="H24" s="67">
        <v>0.21390374331550802</v>
      </c>
      <c r="I24" s="68">
        <v>7780</v>
      </c>
      <c r="J24" s="68">
        <v>-7832.5</v>
      </c>
      <c r="K24" s="67">
        <v>9.5238095238095233E-2</v>
      </c>
      <c r="L24" s="67">
        <v>9.5238095238095233E-2</v>
      </c>
      <c r="M24" s="67">
        <v>0.25133689839572193</v>
      </c>
      <c r="N24" s="67">
        <v>0.20855614973262032</v>
      </c>
      <c r="O24" s="67">
        <v>0.61702127659574468</v>
      </c>
      <c r="P24" s="67">
        <v>0.4358974358974359</v>
      </c>
      <c r="Q24" s="67">
        <v>0.34545454545454546</v>
      </c>
    </row>
    <row r="25" spans="1:17" x14ac:dyDescent="0.4">
      <c r="A25" s="69">
        <v>22</v>
      </c>
      <c r="B25" s="66">
        <v>-164.60000000000002</v>
      </c>
      <c r="C25" s="66">
        <v>-7.4818181818181833</v>
      </c>
      <c r="D25" s="71">
        <v>2.2727272727272729</v>
      </c>
      <c r="E25" s="67">
        <v>0.18181818181818182</v>
      </c>
      <c r="F25" s="67">
        <v>0.45454545454545453</v>
      </c>
      <c r="G25" s="67">
        <v>0.28717948717948716</v>
      </c>
      <c r="H25" s="67">
        <v>0.21025641025641026</v>
      </c>
      <c r="I25" s="68">
        <v>7778.5714285714284</v>
      </c>
      <c r="J25" s="68">
        <v>-7934.1463414634145</v>
      </c>
      <c r="K25" s="67">
        <v>9.0909090909090912E-2</v>
      </c>
      <c r="L25" s="67">
        <v>9.0909090909090912E-2</v>
      </c>
      <c r="M25" s="67">
        <v>0.24615384615384617</v>
      </c>
      <c r="N25" s="67">
        <v>0.2</v>
      </c>
      <c r="O25" s="67">
        <v>0.625</v>
      </c>
      <c r="P25" s="67">
        <v>0.4358974358974359</v>
      </c>
      <c r="Q25" s="67">
        <v>0.35714285714285715</v>
      </c>
    </row>
    <row r="26" spans="1:17" x14ac:dyDescent="0.4">
      <c r="A26" s="69">
        <v>23</v>
      </c>
      <c r="B26" s="66">
        <v>-162.70000000000002</v>
      </c>
      <c r="C26" s="66">
        <v>-7.073913043478262</v>
      </c>
      <c r="D26" s="71">
        <v>2.2608695652173911</v>
      </c>
      <c r="E26" s="67">
        <v>0.17391304347826086</v>
      </c>
      <c r="F26" s="67">
        <v>0.43478260869565216</v>
      </c>
      <c r="G26" s="67">
        <v>0.29207920792079206</v>
      </c>
      <c r="H26" s="67">
        <v>0.20297029702970298</v>
      </c>
      <c r="I26" s="68">
        <v>7488.1355932203387</v>
      </c>
      <c r="J26" s="68">
        <v>-7934.1463414634145</v>
      </c>
      <c r="K26" s="67">
        <v>8.6956521739130432E-2</v>
      </c>
      <c r="L26" s="67">
        <v>8.6956521739130432E-2</v>
      </c>
      <c r="M26" s="67">
        <v>0.25247524752475248</v>
      </c>
      <c r="N26" s="67">
        <v>0.19801980198019803</v>
      </c>
      <c r="O26" s="67">
        <v>0.6470588235294118</v>
      </c>
      <c r="P26" s="67">
        <v>0.42499999999999999</v>
      </c>
      <c r="Q26" s="67">
        <v>0.3728813559322034</v>
      </c>
    </row>
    <row r="27" spans="1:17" x14ac:dyDescent="0.4">
      <c r="A27" s="69">
        <v>24</v>
      </c>
      <c r="B27" s="66">
        <v>-163.00000000000003</v>
      </c>
      <c r="C27" s="66">
        <v>-6.7916666666666679</v>
      </c>
      <c r="D27" s="71">
        <v>2.25</v>
      </c>
      <c r="E27" s="67">
        <v>0.16666666666666666</v>
      </c>
      <c r="F27" s="67">
        <v>0.41666666666666669</v>
      </c>
      <c r="G27" s="67">
        <v>0.29523809523809524</v>
      </c>
      <c r="H27" s="67">
        <v>0.19523809523809524</v>
      </c>
      <c r="I27" s="68">
        <v>7233.8709677419356</v>
      </c>
      <c r="J27" s="68">
        <v>-7934.1463414634145</v>
      </c>
      <c r="K27" s="67">
        <v>8.3333333333333329E-2</v>
      </c>
      <c r="L27" s="67">
        <v>8.3333333333333329E-2</v>
      </c>
      <c r="M27" s="67">
        <v>0.26666666666666666</v>
      </c>
      <c r="N27" s="67">
        <v>0.19047619047619047</v>
      </c>
      <c r="O27" s="67">
        <v>0.6071428571428571</v>
      </c>
      <c r="P27" s="67">
        <v>0.42499999999999999</v>
      </c>
      <c r="Q27" s="67">
        <v>0.37096774193548387</v>
      </c>
    </row>
    <row r="28" spans="1:17" x14ac:dyDescent="0.4">
      <c r="A28" s="69">
        <v>25</v>
      </c>
      <c r="B28" s="66">
        <v>-185.00000000000003</v>
      </c>
      <c r="C28" s="66">
        <v>-7.4000000000000012</v>
      </c>
      <c r="D28" s="71">
        <v>2.2799999999999998</v>
      </c>
      <c r="E28" s="67">
        <v>0.16</v>
      </c>
      <c r="F28" s="67">
        <v>0.44</v>
      </c>
      <c r="G28" s="67">
        <v>0.29357798165137616</v>
      </c>
      <c r="H28" s="67">
        <v>0.20183486238532111</v>
      </c>
      <c r="I28" s="68">
        <v>7193.75</v>
      </c>
      <c r="J28" s="68">
        <v>-7665.909090909091</v>
      </c>
      <c r="K28" s="67">
        <v>0.08</v>
      </c>
      <c r="L28" s="67">
        <v>0.08</v>
      </c>
      <c r="M28" s="67">
        <v>0.28440366972477066</v>
      </c>
      <c r="N28" s="67">
        <v>0.18807339449541285</v>
      </c>
      <c r="O28" s="67">
        <v>0.58064516129032262</v>
      </c>
      <c r="P28" s="67">
        <v>0.41463414634146339</v>
      </c>
      <c r="Q28" s="67">
        <v>0.375</v>
      </c>
    </row>
    <row r="29" spans="1:17" x14ac:dyDescent="0.4">
      <c r="A29" s="69">
        <v>26</v>
      </c>
      <c r="B29" s="66">
        <v>-186.00000000000003</v>
      </c>
      <c r="C29" s="66">
        <v>-7.1538461538461551</v>
      </c>
      <c r="D29" s="71">
        <v>2.2692307692307692</v>
      </c>
      <c r="E29" s="67">
        <v>0.15384615384615385</v>
      </c>
      <c r="F29" s="67">
        <v>0.42307692307692307</v>
      </c>
      <c r="G29" s="67">
        <v>0.28444444444444444</v>
      </c>
      <c r="H29" s="67">
        <v>0.19555555555555557</v>
      </c>
      <c r="I29" s="68">
        <v>7193.75</v>
      </c>
      <c r="J29" s="68">
        <v>-7665.909090909091</v>
      </c>
      <c r="K29" s="67">
        <v>7.6923076923076927E-2</v>
      </c>
      <c r="L29" s="67">
        <v>7.6923076923076927E-2</v>
      </c>
      <c r="M29" s="67">
        <v>0.28000000000000003</v>
      </c>
      <c r="N29" s="67">
        <v>0.18666666666666668</v>
      </c>
      <c r="O29" s="67">
        <v>0.5714285714285714</v>
      </c>
      <c r="P29" s="67">
        <v>0.40476190476190477</v>
      </c>
      <c r="Q29" s="67">
        <v>0.375</v>
      </c>
    </row>
    <row r="30" spans="1:17" x14ac:dyDescent="0.4">
      <c r="A30" s="69">
        <v>27</v>
      </c>
      <c r="B30" s="66">
        <v>-163.00000000000003</v>
      </c>
      <c r="C30" s="66">
        <v>-6.0370370370370381</v>
      </c>
      <c r="D30" s="71">
        <v>2.2222222222222223</v>
      </c>
      <c r="E30" s="67">
        <v>0.18518518518518517</v>
      </c>
      <c r="F30" s="67">
        <v>0.40740740740740738</v>
      </c>
      <c r="G30" s="67">
        <v>0.28755364806866951</v>
      </c>
      <c r="H30" s="67">
        <v>0.19313304721030042</v>
      </c>
      <c r="I30" s="68">
        <v>7349.253731343284</v>
      </c>
      <c r="J30" s="68">
        <v>-7762.2222222222226</v>
      </c>
      <c r="K30" s="67">
        <v>7.407407407407407E-2</v>
      </c>
      <c r="L30" s="67">
        <v>7.407407407407407E-2</v>
      </c>
      <c r="M30" s="67">
        <v>0.27896995708154504</v>
      </c>
      <c r="N30" s="67">
        <v>0.19313304721030042</v>
      </c>
      <c r="O30" s="67">
        <v>0.56923076923076921</v>
      </c>
      <c r="P30" s="67">
        <v>0.42222222222222222</v>
      </c>
      <c r="Q30" s="67">
        <v>0.38805970149253732</v>
      </c>
    </row>
    <row r="31" spans="1:17" x14ac:dyDescent="0.4">
      <c r="A31" s="69">
        <v>28</v>
      </c>
      <c r="B31" s="66">
        <v>-181.70000000000002</v>
      </c>
      <c r="C31" s="66">
        <v>-6.4892857142857148</v>
      </c>
      <c r="D31" s="71">
        <v>2.2142857142857144</v>
      </c>
      <c r="E31" s="67">
        <v>0.17857142857142858</v>
      </c>
      <c r="F31" s="67">
        <v>0.39285714285714285</v>
      </c>
      <c r="G31" s="67">
        <v>0.2863070539419087</v>
      </c>
      <c r="H31" s="67">
        <v>0.1908713692946058</v>
      </c>
      <c r="I31" s="68">
        <v>7308.695652173913</v>
      </c>
      <c r="J31" s="68">
        <v>-7678.260869565217</v>
      </c>
      <c r="K31" s="67">
        <v>7.1428571428571425E-2</v>
      </c>
      <c r="L31" s="67">
        <v>7.1428571428571425E-2</v>
      </c>
      <c r="M31" s="67">
        <v>0.27800829875518673</v>
      </c>
      <c r="N31" s="67">
        <v>0.18672199170124482</v>
      </c>
      <c r="O31" s="67">
        <v>0.58208955223880599</v>
      </c>
      <c r="P31" s="67">
        <v>0.42222222222222222</v>
      </c>
      <c r="Q31" s="67">
        <v>0.37681159420289856</v>
      </c>
    </row>
  </sheetData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52DFAF-9FF1-4207-9802-2BF3EA40042D}">
  <sheetPr codeName="Sheet12"/>
  <dimension ref="A1:Q49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128</v>
      </c>
      <c r="B1" s="70" t="s">
        <v>128</v>
      </c>
      <c r="C1" s="70" t="s">
        <v>128</v>
      </c>
      <c r="D1" s="71" t="s">
        <v>128</v>
      </c>
      <c r="E1" s="70" t="s">
        <v>128</v>
      </c>
      <c r="F1" s="70" t="s">
        <v>128</v>
      </c>
      <c r="G1" s="70" t="s">
        <v>128</v>
      </c>
      <c r="H1" s="70" t="s">
        <v>128</v>
      </c>
      <c r="I1" s="70" t="s">
        <v>128</v>
      </c>
      <c r="J1" s="70" t="s">
        <v>128</v>
      </c>
      <c r="K1" s="70" t="s">
        <v>128</v>
      </c>
      <c r="L1" s="70" t="s">
        <v>128</v>
      </c>
      <c r="M1" s="70" t="s">
        <v>128</v>
      </c>
      <c r="N1" s="70" t="s">
        <v>128</v>
      </c>
      <c r="O1" s="70" t="s">
        <v>128</v>
      </c>
      <c r="P1" s="70" t="s">
        <v>128</v>
      </c>
      <c r="Q1" s="70" t="s">
        <v>128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161</v>
      </c>
      <c r="G2" s="70" t="s">
        <v>146</v>
      </c>
      <c r="H2" s="70" t="s">
        <v>145</v>
      </c>
      <c r="I2" s="70" t="s">
        <v>5</v>
      </c>
      <c r="J2" s="70" t="s">
        <v>17</v>
      </c>
      <c r="K2" s="70" t="s">
        <v>18</v>
      </c>
      <c r="L2" s="70" t="s">
        <v>140</v>
      </c>
      <c r="M2" s="70" t="s">
        <v>123</v>
      </c>
      <c r="N2" s="70" t="s">
        <v>120</v>
      </c>
      <c r="O2" s="70" t="s">
        <v>126</v>
      </c>
      <c r="P2" s="70" t="s">
        <v>147</v>
      </c>
      <c r="Q2" s="70" t="s">
        <v>143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-45.6</v>
      </c>
      <c r="C4" s="66">
        <v>-45.6</v>
      </c>
      <c r="D4" s="71">
        <v>3</v>
      </c>
      <c r="E4" s="67">
        <v>0</v>
      </c>
      <c r="F4" s="67">
        <v>1</v>
      </c>
      <c r="G4" s="67">
        <v>0.2</v>
      </c>
      <c r="H4" s="67">
        <v>0.4</v>
      </c>
      <c r="I4" s="68">
        <v>7300</v>
      </c>
      <c r="J4" s="68">
        <v>-9925</v>
      </c>
      <c r="K4" s="67">
        <v>1</v>
      </c>
      <c r="L4" s="67">
        <v>0</v>
      </c>
      <c r="M4" s="67">
        <v>0.4</v>
      </c>
      <c r="N4" s="67">
        <v>0.3</v>
      </c>
      <c r="O4" s="67">
        <v>0.25</v>
      </c>
      <c r="P4" s="67">
        <v>0.33333333333333331</v>
      </c>
      <c r="Q4" s="67">
        <v>0.5</v>
      </c>
    </row>
    <row r="5" spans="1:17" x14ac:dyDescent="0.4">
      <c r="A5" s="69">
        <v>2</v>
      </c>
      <c r="B5" s="66">
        <v>-34.299999999999997</v>
      </c>
      <c r="C5" s="66">
        <v>-17.149999999999999</v>
      </c>
      <c r="D5" s="71">
        <v>2.5</v>
      </c>
      <c r="E5" s="67">
        <v>0</v>
      </c>
      <c r="F5" s="67">
        <v>0.5</v>
      </c>
      <c r="G5" s="67">
        <v>0.26315789473684209</v>
      </c>
      <c r="H5" s="67">
        <v>0.31578947368421051</v>
      </c>
      <c r="I5" s="68">
        <v>9320</v>
      </c>
      <c r="J5" s="68">
        <v>-7266.666666666667</v>
      </c>
      <c r="K5" s="67">
        <v>0.5</v>
      </c>
      <c r="L5" s="67">
        <v>0</v>
      </c>
      <c r="M5" s="67">
        <v>0.47368421052631576</v>
      </c>
      <c r="N5" s="67">
        <v>0.21052631578947367</v>
      </c>
      <c r="O5" s="67">
        <v>0.44444444444444442</v>
      </c>
      <c r="P5" s="67">
        <v>0.25</v>
      </c>
      <c r="Q5" s="67">
        <v>0.4</v>
      </c>
    </row>
    <row r="6" spans="1:17" x14ac:dyDescent="0.4">
      <c r="A6" s="69">
        <v>3</v>
      </c>
      <c r="B6" s="66">
        <v>-58.599999999999994</v>
      </c>
      <c r="C6" s="66">
        <v>-19.533333333333331</v>
      </c>
      <c r="D6" s="71">
        <v>2.6666666666666665</v>
      </c>
      <c r="E6" s="67">
        <v>0</v>
      </c>
      <c r="F6" s="67">
        <v>0.66666666666666663</v>
      </c>
      <c r="G6" s="67">
        <v>0.19230769230769232</v>
      </c>
      <c r="H6" s="67">
        <v>0.30769230769230771</v>
      </c>
      <c r="I6" s="68">
        <v>9320</v>
      </c>
      <c r="J6" s="68">
        <v>-5775</v>
      </c>
      <c r="K6" s="67">
        <v>0.33333333333333331</v>
      </c>
      <c r="L6" s="67">
        <v>0</v>
      </c>
      <c r="M6" s="67">
        <v>0.34615384615384615</v>
      </c>
      <c r="N6" s="67">
        <v>0.15384615384615385</v>
      </c>
      <c r="O6" s="67">
        <v>0.44444444444444442</v>
      </c>
      <c r="P6" s="67">
        <v>0.25</v>
      </c>
      <c r="Q6" s="67">
        <v>0.4</v>
      </c>
    </row>
    <row r="7" spans="1:17" x14ac:dyDescent="0.4">
      <c r="A7" s="69">
        <v>4</v>
      </c>
      <c r="B7" s="66">
        <v>-38.099999999999994</v>
      </c>
      <c r="C7" s="66">
        <v>-9.5249999999999986</v>
      </c>
      <c r="D7" s="71">
        <v>2.25</v>
      </c>
      <c r="E7" s="67">
        <v>0.25</v>
      </c>
      <c r="F7" s="67">
        <v>0.5</v>
      </c>
      <c r="G7" s="67">
        <v>0.26470588235294118</v>
      </c>
      <c r="H7" s="67">
        <v>0.29411764705882354</v>
      </c>
      <c r="I7" s="68">
        <v>7788.8888888888887</v>
      </c>
      <c r="J7" s="68">
        <v>-6020</v>
      </c>
      <c r="K7" s="67">
        <v>0.25</v>
      </c>
      <c r="L7" s="67">
        <v>0</v>
      </c>
      <c r="M7" s="67">
        <v>0.35294117647058826</v>
      </c>
      <c r="N7" s="67">
        <v>0.17647058823529413</v>
      </c>
      <c r="O7" s="67">
        <v>0.58333333333333337</v>
      </c>
      <c r="P7" s="67">
        <v>0.33333333333333331</v>
      </c>
      <c r="Q7" s="67">
        <v>0.44444444444444442</v>
      </c>
    </row>
    <row r="8" spans="1:17" x14ac:dyDescent="0.4">
      <c r="A8" s="69">
        <v>5</v>
      </c>
      <c r="B8" s="66">
        <v>-11.299999999999994</v>
      </c>
      <c r="C8" s="66">
        <v>-2.2599999999999989</v>
      </c>
      <c r="D8" s="71">
        <v>2</v>
      </c>
      <c r="E8" s="67">
        <v>0.4</v>
      </c>
      <c r="F8" s="67">
        <v>0.4</v>
      </c>
      <c r="G8" s="67">
        <v>0.29268292682926828</v>
      </c>
      <c r="H8" s="67">
        <v>0.29268292682926828</v>
      </c>
      <c r="I8" s="68">
        <v>8275</v>
      </c>
      <c r="J8" s="68">
        <v>-6008.333333333333</v>
      </c>
      <c r="K8" s="67">
        <v>0.2</v>
      </c>
      <c r="L8" s="67">
        <v>0</v>
      </c>
      <c r="M8" s="67">
        <v>0.31707317073170732</v>
      </c>
      <c r="N8" s="67">
        <v>0.1951219512195122</v>
      </c>
      <c r="O8" s="67">
        <v>0.61538461538461542</v>
      </c>
      <c r="P8" s="67">
        <v>0.375</v>
      </c>
      <c r="Q8" s="67">
        <v>0.41666666666666669</v>
      </c>
    </row>
    <row r="9" spans="1:17" x14ac:dyDescent="0.4">
      <c r="A9" s="69">
        <v>6</v>
      </c>
      <c r="B9" s="66">
        <v>-11.899999999999993</v>
      </c>
      <c r="C9" s="66">
        <v>-1.9833333333333323</v>
      </c>
      <c r="D9" s="71">
        <v>2</v>
      </c>
      <c r="E9" s="67">
        <v>0.33333333333333331</v>
      </c>
      <c r="F9" s="67">
        <v>0.33333333333333331</v>
      </c>
      <c r="G9" s="67">
        <v>0.34</v>
      </c>
      <c r="H9" s="67">
        <v>0.26</v>
      </c>
      <c r="I9" s="68">
        <v>6964.7058823529414</v>
      </c>
      <c r="J9" s="68">
        <v>-6138.4615384615381</v>
      </c>
      <c r="K9" s="67">
        <v>0.16666666666666666</v>
      </c>
      <c r="L9" s="67">
        <v>0</v>
      </c>
      <c r="M9" s="67">
        <v>0.26</v>
      </c>
      <c r="N9" s="67">
        <v>0.22</v>
      </c>
      <c r="O9" s="67">
        <v>0.61538461538461542</v>
      </c>
      <c r="P9" s="67">
        <v>0.54545454545454541</v>
      </c>
      <c r="Q9" s="67">
        <v>0.35294117647058826</v>
      </c>
    </row>
    <row r="10" spans="1:17" x14ac:dyDescent="0.4">
      <c r="A10" s="69">
        <v>7</v>
      </c>
      <c r="B10" s="66">
        <v>-9.4999999999999929</v>
      </c>
      <c r="C10" s="66">
        <v>-1.3571428571428561</v>
      </c>
      <c r="D10" s="71">
        <v>2</v>
      </c>
      <c r="E10" s="67">
        <v>0.2857142857142857</v>
      </c>
      <c r="F10" s="67">
        <v>0.2857142857142857</v>
      </c>
      <c r="G10" s="67">
        <v>0.3125</v>
      </c>
      <c r="H10" s="67">
        <v>0.234375</v>
      </c>
      <c r="I10" s="68">
        <v>7900</v>
      </c>
      <c r="J10" s="68">
        <v>-6866.666666666667</v>
      </c>
      <c r="K10" s="67">
        <v>0.14285714285714285</v>
      </c>
      <c r="L10" s="67">
        <v>0</v>
      </c>
      <c r="M10" s="67">
        <v>0.25</v>
      </c>
      <c r="N10" s="67">
        <v>0.21875</v>
      </c>
      <c r="O10" s="67">
        <v>0.625</v>
      </c>
      <c r="P10" s="67">
        <v>0.42857142857142855</v>
      </c>
      <c r="Q10" s="67">
        <v>0.35</v>
      </c>
    </row>
    <row r="11" spans="1:17" x14ac:dyDescent="0.4">
      <c r="A11" s="69">
        <v>8</v>
      </c>
      <c r="B11" s="66">
        <v>-56.79999999999999</v>
      </c>
      <c r="C11" s="66">
        <v>-7.0999999999999988</v>
      </c>
      <c r="D11" s="71">
        <v>2.125</v>
      </c>
      <c r="E11" s="67">
        <v>0.25</v>
      </c>
      <c r="F11" s="67">
        <v>0.375</v>
      </c>
      <c r="G11" s="67">
        <v>0.32</v>
      </c>
      <c r="H11" s="67">
        <v>0.25333333333333335</v>
      </c>
      <c r="I11" s="68">
        <v>7566.666666666667</v>
      </c>
      <c r="J11" s="68">
        <v>-8363.1578947368416</v>
      </c>
      <c r="K11" s="67">
        <v>0.25</v>
      </c>
      <c r="L11" s="67">
        <v>0</v>
      </c>
      <c r="M11" s="67">
        <v>0.24</v>
      </c>
      <c r="N11" s="67">
        <v>0.22666666666666666</v>
      </c>
      <c r="O11" s="67">
        <v>0.61111111111111116</v>
      </c>
      <c r="P11" s="67">
        <v>0.47058823529411764</v>
      </c>
      <c r="Q11" s="67">
        <v>0.29166666666666669</v>
      </c>
    </row>
    <row r="12" spans="1:17" x14ac:dyDescent="0.4">
      <c r="A12" s="69">
        <v>9</v>
      </c>
      <c r="B12" s="66">
        <v>-83.699999999999989</v>
      </c>
      <c r="C12" s="66">
        <v>-9.2999999999999989</v>
      </c>
      <c r="D12" s="71">
        <v>2.2222222222222223</v>
      </c>
      <c r="E12" s="67">
        <v>0.22222222222222221</v>
      </c>
      <c r="F12" s="67">
        <v>0.44444444444444442</v>
      </c>
      <c r="G12" s="67">
        <v>0.29411764705882354</v>
      </c>
      <c r="H12" s="67">
        <v>0.22352941176470589</v>
      </c>
      <c r="I12" s="68">
        <v>7584</v>
      </c>
      <c r="J12" s="68">
        <v>-8363.1578947368416</v>
      </c>
      <c r="K12" s="67">
        <v>0.22222222222222221</v>
      </c>
      <c r="L12" s="67">
        <v>0</v>
      </c>
      <c r="M12" s="67">
        <v>0.23529411764705882</v>
      </c>
      <c r="N12" s="67">
        <v>0.23529411764705882</v>
      </c>
      <c r="O12" s="67">
        <v>0.55000000000000004</v>
      </c>
      <c r="P12" s="67">
        <v>0.45</v>
      </c>
      <c r="Q12" s="67">
        <v>0.28000000000000003</v>
      </c>
    </row>
    <row r="13" spans="1:17" x14ac:dyDescent="0.4">
      <c r="A13" s="69">
        <v>10</v>
      </c>
      <c r="B13" s="66">
        <v>-78.399999999999991</v>
      </c>
      <c r="C13" s="66">
        <v>-7.839999999999999</v>
      </c>
      <c r="D13" s="71">
        <v>2.2000000000000002</v>
      </c>
      <c r="E13" s="67">
        <v>0.2</v>
      </c>
      <c r="F13" s="67">
        <v>0.4</v>
      </c>
      <c r="G13" s="67">
        <v>0.30851063829787234</v>
      </c>
      <c r="H13" s="67">
        <v>0.20212765957446807</v>
      </c>
      <c r="I13" s="68">
        <v>7389.6551724137935</v>
      </c>
      <c r="J13" s="68">
        <v>-8363.1578947368416</v>
      </c>
      <c r="K13" s="67">
        <v>0.2</v>
      </c>
      <c r="L13" s="67">
        <v>0</v>
      </c>
      <c r="M13" s="67">
        <v>0.24468085106382978</v>
      </c>
      <c r="N13" s="67">
        <v>0.25531914893617019</v>
      </c>
      <c r="O13" s="67">
        <v>0.56521739130434778</v>
      </c>
      <c r="P13" s="67">
        <v>0.41666666666666669</v>
      </c>
      <c r="Q13" s="67">
        <v>0.31034482758620691</v>
      </c>
    </row>
    <row r="14" spans="1:17" x14ac:dyDescent="0.4">
      <c r="A14" s="69">
        <v>11</v>
      </c>
      <c r="B14" s="66">
        <v>-68.099999999999994</v>
      </c>
      <c r="C14" s="66">
        <v>-6.1909090909090905</v>
      </c>
      <c r="D14" s="71">
        <v>2.1818181818181817</v>
      </c>
      <c r="E14" s="67">
        <v>0.18181818181818182</v>
      </c>
      <c r="F14" s="67">
        <v>0.36363636363636365</v>
      </c>
      <c r="G14" s="67">
        <v>0.29126213592233008</v>
      </c>
      <c r="H14" s="67">
        <v>0.1941747572815534</v>
      </c>
      <c r="I14" s="68">
        <v>7743.333333333333</v>
      </c>
      <c r="J14" s="68">
        <v>-8105</v>
      </c>
      <c r="K14" s="67">
        <v>0.18181818181818182</v>
      </c>
      <c r="L14" s="67">
        <v>0</v>
      </c>
      <c r="M14" s="67">
        <v>0.25242718446601942</v>
      </c>
      <c r="N14" s="67">
        <v>0.25242718446601942</v>
      </c>
      <c r="O14" s="67">
        <v>0.53846153846153844</v>
      </c>
      <c r="P14" s="67">
        <v>0.38461538461538464</v>
      </c>
      <c r="Q14" s="67">
        <v>0.33333333333333331</v>
      </c>
    </row>
    <row r="15" spans="1:17" x14ac:dyDescent="0.4">
      <c r="A15" s="69">
        <v>12</v>
      </c>
      <c r="B15" s="66">
        <v>-89</v>
      </c>
      <c r="C15" s="66">
        <v>-7.416666666666667</v>
      </c>
      <c r="D15" s="71">
        <v>2.25</v>
      </c>
      <c r="E15" s="67">
        <v>0.16666666666666666</v>
      </c>
      <c r="F15" s="67">
        <v>0.41666666666666669</v>
      </c>
      <c r="G15" s="67">
        <v>0.30088495575221241</v>
      </c>
      <c r="H15" s="67">
        <v>0.18584070796460178</v>
      </c>
      <c r="I15" s="68">
        <v>7385.2941176470586</v>
      </c>
      <c r="J15" s="68">
        <v>-8100</v>
      </c>
      <c r="K15" s="67">
        <v>0.16666666666666666</v>
      </c>
      <c r="L15" s="67">
        <v>0</v>
      </c>
      <c r="M15" s="67">
        <v>0.25663716814159293</v>
      </c>
      <c r="N15" s="67">
        <v>0.24778761061946902</v>
      </c>
      <c r="O15" s="67">
        <v>0.51724137931034486</v>
      </c>
      <c r="P15" s="67">
        <v>0.39285714285714285</v>
      </c>
      <c r="Q15" s="67">
        <v>0.3235294117647059</v>
      </c>
    </row>
    <row r="16" spans="1:17" x14ac:dyDescent="0.4">
      <c r="A16" s="69">
        <v>13</v>
      </c>
      <c r="B16" s="66">
        <v>-86.8</v>
      </c>
      <c r="C16" s="66">
        <v>-6.6769230769230763</v>
      </c>
      <c r="D16" s="71">
        <v>2.2307692307692308</v>
      </c>
      <c r="E16" s="67">
        <v>0.15384615384615385</v>
      </c>
      <c r="F16" s="67">
        <v>0.38461538461538464</v>
      </c>
      <c r="G16" s="67">
        <v>0.2975206611570248</v>
      </c>
      <c r="H16" s="67">
        <v>0.19834710743801653</v>
      </c>
      <c r="I16" s="68">
        <v>7641.666666666667</v>
      </c>
      <c r="J16" s="68">
        <v>-7850</v>
      </c>
      <c r="K16" s="67">
        <v>0.15384615384615385</v>
      </c>
      <c r="L16" s="67">
        <v>0</v>
      </c>
      <c r="M16" s="67">
        <v>0.24793388429752067</v>
      </c>
      <c r="N16" s="67">
        <v>0.23966942148760331</v>
      </c>
      <c r="O16" s="67">
        <v>0.53333333333333333</v>
      </c>
      <c r="P16" s="67">
        <v>0.41379310344827586</v>
      </c>
      <c r="Q16" s="67">
        <v>0.33333333333333331</v>
      </c>
    </row>
    <row r="17" spans="1:17" x14ac:dyDescent="0.4">
      <c r="A17" s="69">
        <v>14</v>
      </c>
      <c r="B17" s="66">
        <v>-138.4</v>
      </c>
      <c r="C17" s="66">
        <v>-9.8857142857142861</v>
      </c>
      <c r="D17" s="71">
        <v>2.2857142857142856</v>
      </c>
      <c r="E17" s="67">
        <v>0.14285714285714285</v>
      </c>
      <c r="F17" s="67">
        <v>0.42857142857142855</v>
      </c>
      <c r="G17" s="67">
        <v>0.28244274809160308</v>
      </c>
      <c r="H17" s="67">
        <v>0.19083969465648856</v>
      </c>
      <c r="I17" s="68">
        <v>7651.3513513513517</v>
      </c>
      <c r="J17" s="68">
        <v>-8016</v>
      </c>
      <c r="K17" s="67">
        <v>0.21428571428571427</v>
      </c>
      <c r="L17" s="67">
        <v>0</v>
      </c>
      <c r="M17" s="67">
        <v>0.24427480916030533</v>
      </c>
      <c r="N17" s="67">
        <v>0.24427480916030533</v>
      </c>
      <c r="O17" s="67">
        <v>0.5</v>
      </c>
      <c r="P17" s="67">
        <v>0.40625</v>
      </c>
      <c r="Q17" s="67">
        <v>0.35135135135135137</v>
      </c>
    </row>
    <row r="18" spans="1:17" x14ac:dyDescent="0.4">
      <c r="A18" s="69">
        <v>15</v>
      </c>
      <c r="B18" s="66">
        <v>-144.30000000000001</v>
      </c>
      <c r="C18" s="66">
        <v>-9.620000000000001</v>
      </c>
      <c r="D18" s="71">
        <v>2.2666666666666666</v>
      </c>
      <c r="E18" s="67">
        <v>0.13333333333333333</v>
      </c>
      <c r="F18" s="67">
        <v>0.4</v>
      </c>
      <c r="G18" s="67">
        <v>0.2857142857142857</v>
      </c>
      <c r="H18" s="67">
        <v>0.18571428571428572</v>
      </c>
      <c r="I18" s="68">
        <v>7475</v>
      </c>
      <c r="J18" s="68">
        <v>-7930.7692307692305</v>
      </c>
      <c r="K18" s="67">
        <v>0.2</v>
      </c>
      <c r="L18" s="67">
        <v>0</v>
      </c>
      <c r="M18" s="67">
        <v>0.23571428571428571</v>
      </c>
      <c r="N18" s="67">
        <v>0.25</v>
      </c>
      <c r="O18" s="67">
        <v>0.51515151515151514</v>
      </c>
      <c r="P18" s="67">
        <v>0.42857142857142855</v>
      </c>
      <c r="Q18" s="67">
        <v>0.35</v>
      </c>
    </row>
    <row r="19" spans="1:17" x14ac:dyDescent="0.4">
      <c r="A19" s="69">
        <v>16</v>
      </c>
      <c r="B19" s="66">
        <v>-187.3</v>
      </c>
      <c r="C19" s="66">
        <v>-11.706250000000001</v>
      </c>
      <c r="D19" s="71">
        <v>2.3125</v>
      </c>
      <c r="E19" s="67">
        <v>0.125</v>
      </c>
      <c r="F19" s="67">
        <v>0.4375</v>
      </c>
      <c r="G19" s="67">
        <v>0.27516778523489932</v>
      </c>
      <c r="H19" s="67">
        <v>0.18791946308724833</v>
      </c>
      <c r="I19" s="68">
        <v>7585.3658536585363</v>
      </c>
      <c r="J19" s="68">
        <v>-8207.1428571428569</v>
      </c>
      <c r="K19" s="67">
        <v>0.1875</v>
      </c>
      <c r="L19" s="67">
        <v>0</v>
      </c>
      <c r="M19" s="67">
        <v>0.22818791946308725</v>
      </c>
      <c r="N19" s="67">
        <v>0.25503355704697989</v>
      </c>
      <c r="O19" s="67">
        <v>0.5</v>
      </c>
      <c r="P19" s="67">
        <v>0.42105263157894735</v>
      </c>
      <c r="Q19" s="67">
        <v>0.34146341463414637</v>
      </c>
    </row>
    <row r="20" spans="1:17" x14ac:dyDescent="0.4">
      <c r="A20" s="69">
        <v>17</v>
      </c>
      <c r="B20" s="66">
        <v>-179.70000000000002</v>
      </c>
      <c r="C20" s="66">
        <v>-10.570588235294119</v>
      </c>
      <c r="D20" s="71">
        <v>2.2941176470588234</v>
      </c>
      <c r="E20" s="67">
        <v>0.11764705882352941</v>
      </c>
      <c r="F20" s="67">
        <v>0.41176470588235292</v>
      </c>
      <c r="G20" s="67">
        <v>0.28125</v>
      </c>
      <c r="H20" s="67">
        <v>0.19375000000000001</v>
      </c>
      <c r="I20" s="68">
        <v>7584.4444444444443</v>
      </c>
      <c r="J20" s="68">
        <v>-8070.9677419354839</v>
      </c>
      <c r="K20" s="67">
        <v>0.17647058823529413</v>
      </c>
      <c r="L20" s="67">
        <v>0</v>
      </c>
      <c r="M20" s="67">
        <v>0.21249999999999999</v>
      </c>
      <c r="N20" s="67">
        <v>0.25624999999999998</v>
      </c>
      <c r="O20" s="67">
        <v>0.5</v>
      </c>
      <c r="P20" s="67">
        <v>0.43902439024390244</v>
      </c>
      <c r="Q20" s="67">
        <v>0.31111111111111112</v>
      </c>
    </row>
    <row r="21" spans="1:17" x14ac:dyDescent="0.4">
      <c r="A21" s="69">
        <v>18</v>
      </c>
      <c r="B21" s="66">
        <v>-112.90000000000002</v>
      </c>
      <c r="C21" s="66">
        <v>-6.272222222222223</v>
      </c>
      <c r="D21" s="71">
        <v>2.2222222222222223</v>
      </c>
      <c r="E21" s="67">
        <v>0.16666666666666666</v>
      </c>
      <c r="F21" s="67">
        <v>0.3888888888888889</v>
      </c>
      <c r="G21" s="67">
        <v>0.29878048780487804</v>
      </c>
      <c r="H21" s="67">
        <v>0.18902439024390244</v>
      </c>
      <c r="I21" s="68">
        <v>8063.2653061224491</v>
      </c>
      <c r="J21" s="68">
        <v>-8070.9677419354839</v>
      </c>
      <c r="K21" s="67">
        <v>0.16666666666666666</v>
      </c>
      <c r="L21" s="67">
        <v>5.5555555555555552E-2</v>
      </c>
      <c r="M21" s="67">
        <v>0.2073170731707317</v>
      </c>
      <c r="N21" s="67">
        <v>0.27439024390243905</v>
      </c>
      <c r="O21" s="67">
        <v>0.5</v>
      </c>
      <c r="P21" s="67">
        <v>0.48888888888888887</v>
      </c>
      <c r="Q21" s="67">
        <v>0.30612244897959184</v>
      </c>
    </row>
    <row r="22" spans="1:17" x14ac:dyDescent="0.4">
      <c r="A22" s="69">
        <v>19</v>
      </c>
      <c r="B22" s="66">
        <v>-162.40000000000003</v>
      </c>
      <c r="C22" s="66">
        <v>-8.5473684210526333</v>
      </c>
      <c r="D22" s="71">
        <v>2.263157894736842</v>
      </c>
      <c r="E22" s="67">
        <v>0.15789473684210525</v>
      </c>
      <c r="F22" s="67">
        <v>0.42105263157894735</v>
      </c>
      <c r="G22" s="67">
        <v>0.29310344827586204</v>
      </c>
      <c r="H22" s="67">
        <v>0.20689655172413793</v>
      </c>
      <c r="I22" s="68">
        <v>8021.5686274509808</v>
      </c>
      <c r="J22" s="68">
        <v>-7880.5555555555557</v>
      </c>
      <c r="K22" s="67">
        <v>0.21052631578947367</v>
      </c>
      <c r="L22" s="67">
        <v>5.2631578947368418E-2</v>
      </c>
      <c r="M22" s="67">
        <v>0.20689655172413793</v>
      </c>
      <c r="N22" s="67">
        <v>0.27586206896551724</v>
      </c>
      <c r="O22" s="67">
        <v>0.5</v>
      </c>
      <c r="P22" s="67">
        <v>0.47916666666666669</v>
      </c>
      <c r="Q22" s="67">
        <v>0.29411764705882354</v>
      </c>
    </row>
    <row r="23" spans="1:17" x14ac:dyDescent="0.4">
      <c r="A23" s="69">
        <v>20</v>
      </c>
      <c r="B23" s="66">
        <v>-96.000000000000028</v>
      </c>
      <c r="C23" s="66">
        <v>-4.8000000000000016</v>
      </c>
      <c r="D23" s="71">
        <v>2.2000000000000002</v>
      </c>
      <c r="E23" s="67">
        <v>0.2</v>
      </c>
      <c r="F23" s="67">
        <v>0.4</v>
      </c>
      <c r="G23" s="67">
        <v>0.30601092896174864</v>
      </c>
      <c r="H23" s="67">
        <v>0.19672131147540983</v>
      </c>
      <c r="I23" s="68">
        <v>8237.5</v>
      </c>
      <c r="J23" s="68">
        <v>-7880.5555555555557</v>
      </c>
      <c r="K23" s="67">
        <v>0.2</v>
      </c>
      <c r="L23" s="67">
        <v>0.1</v>
      </c>
      <c r="M23" s="67">
        <v>0.20765027322404372</v>
      </c>
      <c r="N23" s="67">
        <v>0.27868852459016391</v>
      </c>
      <c r="O23" s="67">
        <v>0.52631578947368418</v>
      </c>
      <c r="P23" s="67">
        <v>0.49019607843137253</v>
      </c>
      <c r="Q23" s="67">
        <v>0.2857142857142857</v>
      </c>
    </row>
    <row r="24" spans="1:17" x14ac:dyDescent="0.4">
      <c r="A24" s="69">
        <v>21</v>
      </c>
      <c r="B24" s="66">
        <v>-67.200000000000031</v>
      </c>
      <c r="C24" s="66">
        <v>-3.2000000000000015</v>
      </c>
      <c r="D24" s="71">
        <v>2.1428571428571428</v>
      </c>
      <c r="E24" s="67">
        <v>0.23809523809523808</v>
      </c>
      <c r="F24" s="67">
        <v>0.38095238095238093</v>
      </c>
      <c r="G24" s="67">
        <v>0.30927835051546393</v>
      </c>
      <c r="H24" s="67">
        <v>0.19072164948453607</v>
      </c>
      <c r="I24" s="68">
        <v>8355</v>
      </c>
      <c r="J24" s="68">
        <v>-7875.6756756756758</v>
      </c>
      <c r="K24" s="67">
        <v>0.19047619047619047</v>
      </c>
      <c r="L24" s="67">
        <v>0.14285714285714285</v>
      </c>
      <c r="M24" s="67">
        <v>0.20103092783505155</v>
      </c>
      <c r="N24" s="67">
        <v>0.29381443298969073</v>
      </c>
      <c r="O24" s="67">
        <v>0.51282051282051277</v>
      </c>
      <c r="P24" s="67">
        <v>0.47368421052631576</v>
      </c>
      <c r="Q24" s="67">
        <v>0.28333333333333333</v>
      </c>
    </row>
    <row r="25" spans="1:17" x14ac:dyDescent="0.4">
      <c r="A25" s="69">
        <v>22</v>
      </c>
      <c r="B25" s="66">
        <v>-38.400000000000034</v>
      </c>
      <c r="C25" s="66">
        <v>-1.7454545454545469</v>
      </c>
      <c r="D25" s="71">
        <v>2.0909090909090908</v>
      </c>
      <c r="E25" s="67">
        <v>0.27272727272727271</v>
      </c>
      <c r="F25" s="67">
        <v>0.36363636363636365</v>
      </c>
      <c r="G25" s="67">
        <v>0.31219512195121951</v>
      </c>
      <c r="H25" s="67">
        <v>0.18536585365853658</v>
      </c>
      <c r="I25" s="68">
        <v>8457.8125</v>
      </c>
      <c r="J25" s="68">
        <v>-7871.0526315789475</v>
      </c>
      <c r="K25" s="67">
        <v>0.18181818181818182</v>
      </c>
      <c r="L25" s="67">
        <v>0.18181818181818182</v>
      </c>
      <c r="M25" s="67">
        <v>0.1951219512195122</v>
      </c>
      <c r="N25" s="67">
        <v>0.3073170731707317</v>
      </c>
      <c r="O25" s="67">
        <v>0.5</v>
      </c>
      <c r="P25" s="67">
        <v>0.46031746031746029</v>
      </c>
      <c r="Q25" s="67">
        <v>0.28125</v>
      </c>
    </row>
    <row r="26" spans="1:17" x14ac:dyDescent="0.4">
      <c r="A26" s="69">
        <v>23</v>
      </c>
      <c r="B26" s="66">
        <v>-37.600000000000037</v>
      </c>
      <c r="C26" s="66">
        <v>-1.6347826086956538</v>
      </c>
      <c r="D26" s="71">
        <v>2.0869565217391304</v>
      </c>
      <c r="E26" s="67">
        <v>0.2608695652173913</v>
      </c>
      <c r="F26" s="67">
        <v>0.34782608695652173</v>
      </c>
      <c r="G26" s="67">
        <v>0.30373831775700932</v>
      </c>
      <c r="H26" s="67">
        <v>0.1822429906542056</v>
      </c>
      <c r="I26" s="68">
        <v>8450.7692307692305</v>
      </c>
      <c r="J26" s="68">
        <v>-7720.5128205128203</v>
      </c>
      <c r="K26" s="67">
        <v>0.17391304347826086</v>
      </c>
      <c r="L26" s="67">
        <v>0.17391304347826086</v>
      </c>
      <c r="M26" s="67">
        <v>0.19158878504672897</v>
      </c>
      <c r="N26" s="67">
        <v>0.29906542056074764</v>
      </c>
      <c r="O26" s="67">
        <v>0.51219512195121952</v>
      </c>
      <c r="P26" s="67">
        <v>0.453125</v>
      </c>
      <c r="Q26" s="67">
        <v>0.27692307692307694</v>
      </c>
    </row>
    <row r="27" spans="1:17" x14ac:dyDescent="0.4">
      <c r="A27" s="69">
        <v>24</v>
      </c>
      <c r="B27" s="66">
        <v>-37.600000000000037</v>
      </c>
      <c r="C27" s="66">
        <v>-1.5666666666666682</v>
      </c>
      <c r="D27" s="71">
        <v>2.0833333333333335</v>
      </c>
      <c r="E27" s="67">
        <v>0.25</v>
      </c>
      <c r="F27" s="67">
        <v>0.33333333333333331</v>
      </c>
      <c r="G27" s="67">
        <v>0.30232558139534882</v>
      </c>
      <c r="H27" s="67">
        <v>0.18139534883720931</v>
      </c>
      <c r="I27" s="68">
        <v>8450.7692307692305</v>
      </c>
      <c r="J27" s="68">
        <v>-7720.5128205128203</v>
      </c>
      <c r="K27" s="67">
        <v>0.16666666666666666</v>
      </c>
      <c r="L27" s="67">
        <v>0.16666666666666666</v>
      </c>
      <c r="M27" s="67">
        <v>0.19069767441860466</v>
      </c>
      <c r="N27" s="67">
        <v>0.29767441860465116</v>
      </c>
      <c r="O27" s="67">
        <v>0.51219512195121952</v>
      </c>
      <c r="P27" s="67">
        <v>0.453125</v>
      </c>
      <c r="Q27" s="67">
        <v>0.27692307692307694</v>
      </c>
    </row>
    <row r="28" spans="1:17" x14ac:dyDescent="0.4">
      <c r="A28" s="69">
        <v>25</v>
      </c>
      <c r="B28" s="66">
        <v>-10.700000000000038</v>
      </c>
      <c r="C28" s="66">
        <v>-0.42800000000000155</v>
      </c>
      <c r="D28" s="71">
        <v>2.04</v>
      </c>
      <c r="E28" s="67">
        <v>0.28000000000000003</v>
      </c>
      <c r="F28" s="67">
        <v>0.32</v>
      </c>
      <c r="G28" s="67">
        <v>0.30630630630630629</v>
      </c>
      <c r="H28" s="67">
        <v>0.18018018018018017</v>
      </c>
      <c r="I28" s="68">
        <v>8664.7058823529405</v>
      </c>
      <c r="J28" s="68">
        <v>-7552.5</v>
      </c>
      <c r="K28" s="67">
        <v>0.16</v>
      </c>
      <c r="L28" s="67">
        <v>0.16</v>
      </c>
      <c r="M28" s="67">
        <v>0.19369369369369369</v>
      </c>
      <c r="N28" s="67">
        <v>0.29729729729729731</v>
      </c>
      <c r="O28" s="67">
        <v>0.53488372093023251</v>
      </c>
      <c r="P28" s="67">
        <v>0.45454545454545453</v>
      </c>
      <c r="Q28" s="67">
        <v>0.29411764705882354</v>
      </c>
    </row>
    <row r="29" spans="1:17" x14ac:dyDescent="0.4">
      <c r="A29" s="69">
        <v>26</v>
      </c>
      <c r="B29" s="66">
        <v>-2.6000000000000387</v>
      </c>
      <c r="C29" s="66">
        <v>-0.10000000000000149</v>
      </c>
      <c r="D29" s="71">
        <v>2.0384615384615383</v>
      </c>
      <c r="E29" s="67">
        <v>0.26923076923076922</v>
      </c>
      <c r="F29" s="67">
        <v>0.30769230769230771</v>
      </c>
      <c r="G29" s="67">
        <v>0.30869565217391304</v>
      </c>
      <c r="H29" s="67">
        <v>0.18260869565217391</v>
      </c>
      <c r="I29" s="68">
        <v>8577.4647887323936</v>
      </c>
      <c r="J29" s="68">
        <v>-7352.3809523809523</v>
      </c>
      <c r="K29" s="67">
        <v>0.15384615384615385</v>
      </c>
      <c r="L29" s="67">
        <v>0.15384615384615385</v>
      </c>
      <c r="M29" s="67">
        <v>0.19130434782608696</v>
      </c>
      <c r="N29" s="67">
        <v>0.29565217391304349</v>
      </c>
      <c r="O29" s="67">
        <v>0.54545454545454541</v>
      </c>
      <c r="P29" s="67">
        <v>0.44117647058823528</v>
      </c>
      <c r="Q29" s="67">
        <v>0.28169014084507044</v>
      </c>
    </row>
    <row r="30" spans="1:17" x14ac:dyDescent="0.4">
      <c r="A30" s="69">
        <v>27</v>
      </c>
      <c r="B30" s="66">
        <v>-34.100000000000037</v>
      </c>
      <c r="C30" s="66">
        <v>-1.2629629629629644</v>
      </c>
      <c r="D30" s="71">
        <v>2.074074074074074</v>
      </c>
      <c r="E30" s="67">
        <v>0.25925925925925924</v>
      </c>
      <c r="F30" s="67">
        <v>0.33333333333333331</v>
      </c>
      <c r="G30" s="67">
        <v>0.30379746835443039</v>
      </c>
      <c r="H30" s="67">
        <v>0.18565400843881857</v>
      </c>
      <c r="I30" s="68">
        <v>8513.8888888888887</v>
      </c>
      <c r="J30" s="68">
        <v>-7222.727272727273</v>
      </c>
      <c r="K30" s="67">
        <v>0.14814814814814814</v>
      </c>
      <c r="L30" s="67">
        <v>0.14814814814814814</v>
      </c>
      <c r="M30" s="67">
        <v>0.189873417721519</v>
      </c>
      <c r="N30" s="67">
        <v>0.29535864978902954</v>
      </c>
      <c r="O30" s="67">
        <v>0.55555555555555558</v>
      </c>
      <c r="P30" s="67">
        <v>0.42857142857142855</v>
      </c>
      <c r="Q30" s="67">
        <v>0.29166666666666669</v>
      </c>
    </row>
    <row r="31" spans="1:17" x14ac:dyDescent="0.4">
      <c r="A31" s="69">
        <v>28</v>
      </c>
      <c r="B31" s="66">
        <v>-16.100000000000037</v>
      </c>
      <c r="C31" s="66">
        <v>-0.57500000000000129</v>
      </c>
      <c r="D31" s="71">
        <v>2.0714285714285716</v>
      </c>
      <c r="E31" s="67">
        <v>0.25</v>
      </c>
      <c r="F31" s="67">
        <v>0.32142857142857145</v>
      </c>
      <c r="G31" s="67">
        <v>0.31020408163265306</v>
      </c>
      <c r="H31" s="67">
        <v>0.18775510204081633</v>
      </c>
      <c r="I31" s="68">
        <v>8447.3684210526317</v>
      </c>
      <c r="J31" s="68">
        <v>-7245.652173913043</v>
      </c>
      <c r="K31" s="67">
        <v>0.14285714285714285</v>
      </c>
      <c r="L31" s="67">
        <v>0.14285714285714285</v>
      </c>
      <c r="M31" s="67">
        <v>0.19591836734693877</v>
      </c>
      <c r="N31" s="67">
        <v>0.29387755102040819</v>
      </c>
      <c r="O31" s="67">
        <v>0.5625</v>
      </c>
      <c r="P31" s="67">
        <v>0.44444444444444442</v>
      </c>
      <c r="Q31" s="67">
        <v>0.30263157894736842</v>
      </c>
    </row>
    <row r="32" spans="1:17" x14ac:dyDescent="0.4">
      <c r="A32" s="69">
        <v>29</v>
      </c>
      <c r="B32" s="66">
        <v>40.799999999999962</v>
      </c>
      <c r="C32" s="66">
        <v>1.4068965517241365</v>
      </c>
      <c r="D32" s="71">
        <v>2.0344827586206895</v>
      </c>
      <c r="E32" s="67">
        <v>0.27586206896551724</v>
      </c>
      <c r="F32" s="67">
        <v>0.31034482758620691</v>
      </c>
      <c r="G32" s="67">
        <v>0.31872509960159362</v>
      </c>
      <c r="H32" s="67">
        <v>0.18326693227091634</v>
      </c>
      <c r="I32" s="68">
        <v>8617.5</v>
      </c>
      <c r="J32" s="68">
        <v>-7245.652173913043</v>
      </c>
      <c r="K32" s="67">
        <v>0.13793103448275862</v>
      </c>
      <c r="L32" s="67">
        <v>0.17241379310344829</v>
      </c>
      <c r="M32" s="67">
        <v>0.19920318725099601</v>
      </c>
      <c r="N32" s="67">
        <v>0.29482071713147412</v>
      </c>
      <c r="O32" s="67">
        <v>0.57999999999999996</v>
      </c>
      <c r="P32" s="67">
        <v>0.44594594594594594</v>
      </c>
      <c r="Q32" s="67">
        <v>0.32500000000000001</v>
      </c>
    </row>
    <row r="33" spans="1:17" x14ac:dyDescent="0.4">
      <c r="A33" s="69">
        <v>30</v>
      </c>
      <c r="B33" s="66">
        <v>63.499999999999957</v>
      </c>
      <c r="C33" s="66">
        <v>2.1166666666666654</v>
      </c>
      <c r="D33" s="71">
        <v>2</v>
      </c>
      <c r="E33" s="67">
        <v>0.3</v>
      </c>
      <c r="F33" s="67">
        <v>0.3</v>
      </c>
      <c r="G33" s="67">
        <v>0.32307692307692309</v>
      </c>
      <c r="H33" s="67">
        <v>0.18846153846153846</v>
      </c>
      <c r="I33" s="68">
        <v>8714.2857142857138</v>
      </c>
      <c r="J33" s="68">
        <v>-7412.2448979591836</v>
      </c>
      <c r="K33" s="67">
        <v>0.13333333333333333</v>
      </c>
      <c r="L33" s="67">
        <v>0.16666666666666666</v>
      </c>
      <c r="M33" s="67">
        <v>0.2</v>
      </c>
      <c r="N33" s="67">
        <v>0.30384615384615382</v>
      </c>
      <c r="O33" s="67">
        <v>0.57692307692307687</v>
      </c>
      <c r="P33" s="67">
        <v>0.45569620253164556</v>
      </c>
      <c r="Q33" s="67">
        <v>0.33333333333333331</v>
      </c>
    </row>
    <row r="34" spans="1:17" x14ac:dyDescent="0.4">
      <c r="A34" s="69">
        <v>31</v>
      </c>
      <c r="B34" s="66">
        <v>94.299999999999955</v>
      </c>
      <c r="C34" s="66">
        <v>3.0419354838709665</v>
      </c>
      <c r="D34" s="71">
        <v>1.967741935483871</v>
      </c>
      <c r="E34" s="67">
        <v>0.32258064516129031</v>
      </c>
      <c r="F34" s="67">
        <v>0.29032258064516131</v>
      </c>
      <c r="G34" s="67">
        <v>0.33210332103321033</v>
      </c>
      <c r="H34" s="67">
        <v>0.18819188191881919</v>
      </c>
      <c r="I34" s="68">
        <v>8625.5555555555547</v>
      </c>
      <c r="J34" s="68">
        <v>-7592.1568627450979</v>
      </c>
      <c r="K34" s="67">
        <v>0.12903225806451613</v>
      </c>
      <c r="L34" s="67">
        <v>0.16129032258064516</v>
      </c>
      <c r="M34" s="67">
        <v>0.21033210332103322</v>
      </c>
      <c r="N34" s="67">
        <v>0.30627306273062732</v>
      </c>
      <c r="O34" s="67">
        <v>0.59649122807017541</v>
      </c>
      <c r="P34" s="67">
        <v>0.45783132530120479</v>
      </c>
      <c r="Q34" s="67">
        <v>0.34444444444444444</v>
      </c>
    </row>
    <row r="35" spans="1:17" x14ac:dyDescent="0.4">
      <c r="A35" s="69">
        <v>32</v>
      </c>
      <c r="B35" s="66">
        <v>144.79999999999995</v>
      </c>
      <c r="C35" s="66">
        <v>4.5249999999999986</v>
      </c>
      <c r="D35" s="71">
        <v>1.9375</v>
      </c>
      <c r="E35" s="67">
        <v>0.34375</v>
      </c>
      <c r="F35" s="67">
        <v>0.28125</v>
      </c>
      <c r="G35" s="67">
        <v>0.33333333333333331</v>
      </c>
      <c r="H35" s="67">
        <v>0.18478260869565216</v>
      </c>
      <c r="I35" s="68">
        <v>8829.347826086956</v>
      </c>
      <c r="J35" s="68">
        <v>-7592.1568627450979</v>
      </c>
      <c r="K35" s="67">
        <v>0.125</v>
      </c>
      <c r="L35" s="67">
        <v>0.1875</v>
      </c>
      <c r="M35" s="67">
        <v>0.21014492753623187</v>
      </c>
      <c r="N35" s="67">
        <v>0.30434782608695654</v>
      </c>
      <c r="O35" s="67">
        <v>0.58620689655172409</v>
      </c>
      <c r="P35" s="67">
        <v>0.4642857142857143</v>
      </c>
      <c r="Q35" s="67">
        <v>0.34782608695652173</v>
      </c>
    </row>
    <row r="36" spans="1:17" x14ac:dyDescent="0.4">
      <c r="A36" s="69">
        <v>33</v>
      </c>
      <c r="B36" s="66">
        <v>153.39999999999995</v>
      </c>
      <c r="C36" s="66">
        <v>4.6484848484848467</v>
      </c>
      <c r="D36" s="71">
        <v>1.9393939393939394</v>
      </c>
      <c r="E36" s="67">
        <v>0.33333333333333331</v>
      </c>
      <c r="F36" s="67">
        <v>0.27272727272727271</v>
      </c>
      <c r="G36" s="67">
        <v>0.3298611111111111</v>
      </c>
      <c r="H36" s="67">
        <v>0.18402777777777779</v>
      </c>
      <c r="I36" s="68">
        <v>8754.7368421052633</v>
      </c>
      <c r="J36" s="68">
        <v>-7392.4528301886794</v>
      </c>
      <c r="K36" s="67">
        <v>0.12121212121212122</v>
      </c>
      <c r="L36" s="67">
        <v>0.18181818181818182</v>
      </c>
      <c r="M36" s="67">
        <v>0.21527777777777779</v>
      </c>
      <c r="N36" s="67">
        <v>0.30902777777777779</v>
      </c>
      <c r="O36" s="67">
        <v>0.58064516129032262</v>
      </c>
      <c r="P36" s="67">
        <v>0.449438202247191</v>
      </c>
      <c r="Q36" s="67">
        <v>0.35789473684210527</v>
      </c>
    </row>
    <row r="37" spans="1:17" x14ac:dyDescent="0.4">
      <c r="A37" s="69">
        <v>34</v>
      </c>
      <c r="B37" s="66">
        <v>178.09999999999994</v>
      </c>
      <c r="C37" s="66">
        <v>5.2382352941176453</v>
      </c>
      <c r="D37" s="71">
        <v>1.911764705882353</v>
      </c>
      <c r="E37" s="67">
        <v>0.35294117647058826</v>
      </c>
      <c r="F37" s="67">
        <v>0.26470588235294118</v>
      </c>
      <c r="G37" s="67">
        <v>0.33333333333333331</v>
      </c>
      <c r="H37" s="67">
        <v>0.19</v>
      </c>
      <c r="I37" s="68">
        <v>8783</v>
      </c>
      <c r="J37" s="68">
        <v>-7270.1754385964914</v>
      </c>
      <c r="K37" s="67">
        <v>0.11764705882352941</v>
      </c>
      <c r="L37" s="67">
        <v>0.17647058823529413</v>
      </c>
      <c r="M37" s="67">
        <v>0.21333333333333335</v>
      </c>
      <c r="N37" s="67">
        <v>0.32333333333333331</v>
      </c>
      <c r="O37" s="67">
        <v>0.578125</v>
      </c>
      <c r="P37" s="67">
        <v>0.44329896907216493</v>
      </c>
      <c r="Q37" s="67">
        <v>0.37</v>
      </c>
    </row>
    <row r="38" spans="1:17" x14ac:dyDescent="0.4">
      <c r="A38" s="69">
        <v>35</v>
      </c>
      <c r="B38" s="66">
        <v>171.89999999999995</v>
      </c>
      <c r="C38" s="66">
        <v>4.9114285714285701</v>
      </c>
      <c r="D38" s="71">
        <v>1.9142857142857144</v>
      </c>
      <c r="E38" s="67">
        <v>0.34285714285714286</v>
      </c>
      <c r="F38" s="67">
        <v>0.25714285714285712</v>
      </c>
      <c r="G38" s="67">
        <v>0.32580645161290323</v>
      </c>
      <c r="H38" s="67">
        <v>0.19354838709677419</v>
      </c>
      <c r="I38" s="68">
        <v>8775.2475247524744</v>
      </c>
      <c r="J38" s="68">
        <v>-7221.666666666667</v>
      </c>
      <c r="K38" s="67">
        <v>0.11428571428571428</v>
      </c>
      <c r="L38" s="67">
        <v>0.17142857142857143</v>
      </c>
      <c r="M38" s="67">
        <v>0.21612903225806451</v>
      </c>
      <c r="N38" s="67">
        <v>0.32258064516129031</v>
      </c>
      <c r="O38" s="67">
        <v>0.56716417910447758</v>
      </c>
      <c r="P38" s="67">
        <v>0.43</v>
      </c>
      <c r="Q38" s="67">
        <v>0.36633663366336633</v>
      </c>
    </row>
    <row r="39" spans="1:17" x14ac:dyDescent="0.4">
      <c r="A39" s="69">
        <v>36</v>
      </c>
      <c r="B39" s="66">
        <v>164.59999999999994</v>
      </c>
      <c r="C39" s="66">
        <v>4.5722222222222202</v>
      </c>
      <c r="D39" s="71">
        <v>1.9166666666666667</v>
      </c>
      <c r="E39" s="67">
        <v>0.33333333333333331</v>
      </c>
      <c r="F39" s="67">
        <v>0.25</v>
      </c>
      <c r="G39" s="67">
        <v>0.32075471698113206</v>
      </c>
      <c r="H39" s="67">
        <v>0.1918238993710692</v>
      </c>
      <c r="I39" s="68">
        <v>8727.4509803921574</v>
      </c>
      <c r="J39" s="68">
        <v>-7229.5081967213118</v>
      </c>
      <c r="K39" s="67">
        <v>0.1111111111111111</v>
      </c>
      <c r="L39" s="67">
        <v>0.16666666666666666</v>
      </c>
      <c r="M39" s="67">
        <v>0.21698113207547171</v>
      </c>
      <c r="N39" s="67">
        <v>0.330188679245283</v>
      </c>
      <c r="O39" s="67">
        <v>0.56521739130434778</v>
      </c>
      <c r="P39" s="67">
        <v>0.40952380952380951</v>
      </c>
      <c r="Q39" s="67">
        <v>0.36274509803921567</v>
      </c>
    </row>
    <row r="40" spans="1:17" x14ac:dyDescent="0.4">
      <c r="A40" s="69">
        <v>37</v>
      </c>
      <c r="B40" s="66">
        <v>156.59999999999994</v>
      </c>
      <c r="C40" s="66">
        <v>4.2324324324324305</v>
      </c>
      <c r="D40" s="71">
        <v>1.9189189189189189</v>
      </c>
      <c r="E40" s="67">
        <v>0.32432432432432434</v>
      </c>
      <c r="F40" s="67">
        <v>0.24324324324324326</v>
      </c>
      <c r="G40" s="67">
        <v>0.31804281345565749</v>
      </c>
      <c r="H40" s="67">
        <v>0.19266055045871561</v>
      </c>
      <c r="I40" s="68">
        <v>8625.961538461539</v>
      </c>
      <c r="J40" s="68">
        <v>-7252.3809523809523</v>
      </c>
      <c r="K40" s="67">
        <v>0.10810810810810811</v>
      </c>
      <c r="L40" s="67">
        <v>0.16216216216216217</v>
      </c>
      <c r="M40" s="67">
        <v>0.21100917431192662</v>
      </c>
      <c r="N40" s="67">
        <v>0.3363914373088685</v>
      </c>
      <c r="O40" s="67">
        <v>0.56521739130434778</v>
      </c>
      <c r="P40" s="67">
        <v>0.40909090909090912</v>
      </c>
      <c r="Q40" s="67">
        <v>0.36538461538461536</v>
      </c>
    </row>
    <row r="41" spans="1:17" x14ac:dyDescent="0.4">
      <c r="A41" s="69">
        <v>38</v>
      </c>
      <c r="B41" s="66">
        <v>110.89999999999993</v>
      </c>
      <c r="C41" s="66">
        <v>2.9184210526315773</v>
      </c>
      <c r="D41" s="71">
        <v>1.9473684210526316</v>
      </c>
      <c r="E41" s="67">
        <v>0.31578947368421051</v>
      </c>
      <c r="F41" s="67">
        <v>0.26315789473684209</v>
      </c>
      <c r="G41" s="67">
        <v>0.31736526946107785</v>
      </c>
      <c r="H41" s="67">
        <v>0.19461077844311378</v>
      </c>
      <c r="I41" s="68">
        <v>8576.4150943396235</v>
      </c>
      <c r="J41" s="68">
        <v>-7552.3076923076924</v>
      </c>
      <c r="K41" s="67">
        <v>0.13157894736842105</v>
      </c>
      <c r="L41" s="67">
        <v>0.15789473684210525</v>
      </c>
      <c r="M41" s="67">
        <v>0.21257485029940121</v>
      </c>
      <c r="N41" s="67">
        <v>0.33532934131736525</v>
      </c>
      <c r="O41" s="67">
        <v>0.56338028169014087</v>
      </c>
      <c r="P41" s="67">
        <v>0.4107142857142857</v>
      </c>
      <c r="Q41" s="67">
        <v>0.36792452830188677</v>
      </c>
    </row>
    <row r="42" spans="1:17" x14ac:dyDescent="0.4">
      <c r="A42" s="69">
        <v>39</v>
      </c>
      <c r="B42" s="66">
        <v>158.79999999999993</v>
      </c>
      <c r="C42" s="66">
        <v>4.0717948717948698</v>
      </c>
      <c r="D42" s="71">
        <v>1.9230769230769231</v>
      </c>
      <c r="E42" s="67">
        <v>0.33333333333333331</v>
      </c>
      <c r="F42" s="67">
        <v>0.25641025641025639</v>
      </c>
      <c r="G42" s="67">
        <v>0.31428571428571428</v>
      </c>
      <c r="H42" s="67">
        <v>0.19142857142857142</v>
      </c>
      <c r="I42" s="68">
        <v>8688.181818181818</v>
      </c>
      <c r="J42" s="68">
        <v>-7482.0895522388064</v>
      </c>
      <c r="K42" s="67">
        <v>0.12820512820512819</v>
      </c>
      <c r="L42" s="67">
        <v>0.15384615384615385</v>
      </c>
      <c r="M42" s="67">
        <v>0.22</v>
      </c>
      <c r="N42" s="67">
        <v>0.3342857142857143</v>
      </c>
      <c r="O42" s="67">
        <v>0.55844155844155841</v>
      </c>
      <c r="P42" s="67">
        <v>0.40170940170940173</v>
      </c>
      <c r="Q42" s="67">
        <v>0.36363636363636365</v>
      </c>
    </row>
    <row r="43" spans="1:17" x14ac:dyDescent="0.4">
      <c r="A43" s="69">
        <v>40</v>
      </c>
      <c r="B43" s="66">
        <v>109.59999999999992</v>
      </c>
      <c r="C43" s="66">
        <v>2.739999999999998</v>
      </c>
      <c r="D43" s="71">
        <v>1.95</v>
      </c>
      <c r="E43" s="67">
        <v>0.32500000000000001</v>
      </c>
      <c r="F43" s="67">
        <v>0.27500000000000002</v>
      </c>
      <c r="G43" s="67">
        <v>0.31179775280898875</v>
      </c>
      <c r="H43" s="67">
        <v>0.199438202247191</v>
      </c>
      <c r="I43" s="68">
        <v>8645.0450450450444</v>
      </c>
      <c r="J43" s="68">
        <v>-7635.211267605634</v>
      </c>
      <c r="K43" s="67">
        <v>0.15</v>
      </c>
      <c r="L43" s="67">
        <v>0.15</v>
      </c>
      <c r="M43" s="67">
        <v>0.21629213483146068</v>
      </c>
      <c r="N43" s="67">
        <v>0.3342696629213483</v>
      </c>
      <c r="O43" s="67">
        <v>0.55844155844155841</v>
      </c>
      <c r="P43" s="67">
        <v>0.3949579831932773</v>
      </c>
      <c r="Q43" s="67">
        <v>0.36036036036036034</v>
      </c>
    </row>
    <row r="44" spans="1:17" x14ac:dyDescent="0.4">
      <c r="A44" s="69">
        <v>41</v>
      </c>
      <c r="B44" s="66">
        <v>131.59999999999991</v>
      </c>
      <c r="C44" s="66">
        <v>3.2097560975609736</v>
      </c>
      <c r="D44" s="71">
        <v>1.9268292682926829</v>
      </c>
      <c r="E44" s="67">
        <v>0.34146341463414637</v>
      </c>
      <c r="F44" s="67">
        <v>0.26829268292682928</v>
      </c>
      <c r="G44" s="67">
        <v>0.31129476584022037</v>
      </c>
      <c r="H44" s="67">
        <v>0.20110192837465565</v>
      </c>
      <c r="I44" s="68">
        <v>8772.5663716814161</v>
      </c>
      <c r="J44" s="68">
        <v>-7690.41095890411</v>
      </c>
      <c r="K44" s="67">
        <v>0.14634146341463414</v>
      </c>
      <c r="L44" s="67">
        <v>0.14634146341463414</v>
      </c>
      <c r="M44" s="67">
        <v>0.21487603305785125</v>
      </c>
      <c r="N44" s="67">
        <v>0.33608815426997246</v>
      </c>
      <c r="O44" s="67">
        <v>0.5641025641025641</v>
      </c>
      <c r="P44" s="67">
        <v>0.39344262295081966</v>
      </c>
      <c r="Q44" s="67">
        <v>0.36283185840707965</v>
      </c>
    </row>
    <row r="45" spans="1:17" x14ac:dyDescent="0.4">
      <c r="A45" s="69">
        <v>42</v>
      </c>
      <c r="B45" s="66">
        <v>183.6999999999999</v>
      </c>
      <c r="C45" s="66">
        <v>4.3738095238095216</v>
      </c>
      <c r="D45" s="71">
        <v>1.9047619047619047</v>
      </c>
      <c r="E45" s="67">
        <v>0.35714285714285715</v>
      </c>
      <c r="F45" s="67">
        <v>0.26190476190476192</v>
      </c>
      <c r="G45" s="67">
        <v>0.31818181818181818</v>
      </c>
      <c r="H45" s="67">
        <v>0.19786096256684493</v>
      </c>
      <c r="I45" s="68">
        <v>8828.5714285714294</v>
      </c>
      <c r="J45" s="68">
        <v>-7629.72972972973</v>
      </c>
      <c r="K45" s="67">
        <v>0.14285714285714285</v>
      </c>
      <c r="L45" s="67">
        <v>0.16666666666666666</v>
      </c>
      <c r="M45" s="67">
        <v>0.22192513368983957</v>
      </c>
      <c r="N45" s="67">
        <v>0.33155080213903743</v>
      </c>
      <c r="O45" s="67">
        <v>0.57831325301204817</v>
      </c>
      <c r="P45" s="67">
        <v>0.40322580645161288</v>
      </c>
      <c r="Q45" s="67">
        <v>0.37815126050420167</v>
      </c>
    </row>
    <row r="46" spans="1:17" x14ac:dyDescent="0.4">
      <c r="A46" s="69">
        <v>43</v>
      </c>
      <c r="B46" s="66">
        <v>211.89999999999989</v>
      </c>
      <c r="C46" s="66">
        <v>4.9279069767441834</v>
      </c>
      <c r="D46" s="71">
        <v>1.8837209302325582</v>
      </c>
      <c r="E46" s="67">
        <v>0.37209302325581395</v>
      </c>
      <c r="F46" s="67">
        <v>0.2558139534883721</v>
      </c>
      <c r="G46" s="67">
        <v>0.32105263157894737</v>
      </c>
      <c r="H46" s="67">
        <v>0.2</v>
      </c>
      <c r="I46" s="68">
        <v>8802.4590163934427</v>
      </c>
      <c r="J46" s="68">
        <v>-7548.6842105263158</v>
      </c>
      <c r="K46" s="67">
        <v>0.13953488372093023</v>
      </c>
      <c r="L46" s="67">
        <v>0.16279069767441862</v>
      </c>
      <c r="M46" s="67">
        <v>0.22894736842105262</v>
      </c>
      <c r="N46" s="67">
        <v>0.32894736842105265</v>
      </c>
      <c r="O46" s="67">
        <v>0.57471264367816088</v>
      </c>
      <c r="P46" s="67">
        <v>0.4</v>
      </c>
      <c r="Q46" s="67">
        <v>0.39344262295081966</v>
      </c>
    </row>
    <row r="47" spans="1:17" x14ac:dyDescent="0.4">
      <c r="A47" s="69">
        <v>44</v>
      </c>
      <c r="B47" s="66">
        <v>232.7999999999999</v>
      </c>
      <c r="C47" s="66">
        <v>5.2909090909090883</v>
      </c>
      <c r="D47" s="71">
        <v>1.8636363636363635</v>
      </c>
      <c r="E47" s="67">
        <v>0.38636363636363635</v>
      </c>
      <c r="F47" s="67">
        <v>0.25</v>
      </c>
      <c r="G47" s="67">
        <v>0.32474226804123713</v>
      </c>
      <c r="H47" s="67">
        <v>0.19587628865979381</v>
      </c>
      <c r="I47" s="68">
        <v>8659.5238095238092</v>
      </c>
      <c r="J47" s="68">
        <v>-7548.6842105263158</v>
      </c>
      <c r="K47" s="67">
        <v>0.13636363636363635</v>
      </c>
      <c r="L47" s="67">
        <v>0.15909090909090909</v>
      </c>
      <c r="M47" s="67">
        <v>0.23195876288659795</v>
      </c>
      <c r="N47" s="67">
        <v>0.32731958762886598</v>
      </c>
      <c r="O47" s="67">
        <v>0.57777777777777772</v>
      </c>
      <c r="P47" s="67">
        <v>0.40157480314960631</v>
      </c>
      <c r="Q47" s="67">
        <v>0.38095238095238093</v>
      </c>
    </row>
    <row r="48" spans="1:17" x14ac:dyDescent="0.4">
      <c r="A48" s="69">
        <v>45</v>
      </c>
      <c r="B48" s="66">
        <v>214.39999999999989</v>
      </c>
      <c r="C48" s="66">
        <v>4.7644444444444423</v>
      </c>
      <c r="D48" s="71">
        <v>1.8888888888888888</v>
      </c>
      <c r="E48" s="67">
        <v>0.37777777777777777</v>
      </c>
      <c r="F48" s="67">
        <v>0.26666666666666666</v>
      </c>
      <c r="G48" s="67">
        <v>0.32151898734177214</v>
      </c>
      <c r="H48" s="67">
        <v>0.20253164556962025</v>
      </c>
      <c r="I48" s="68">
        <v>8654.3307086614168</v>
      </c>
      <c r="J48" s="68">
        <v>-7338.75</v>
      </c>
      <c r="K48" s="67">
        <v>0.13333333333333333</v>
      </c>
      <c r="L48" s="67">
        <v>0.15555555555555556</v>
      </c>
      <c r="M48" s="67">
        <v>0.23291139240506328</v>
      </c>
      <c r="N48" s="67">
        <v>0.32658227848101268</v>
      </c>
      <c r="O48" s="67">
        <v>0.56521739130434778</v>
      </c>
      <c r="P48" s="67">
        <v>0.40310077519379844</v>
      </c>
      <c r="Q48" s="67">
        <v>0.37795275590551181</v>
      </c>
    </row>
    <row r="49" spans="1:17" x14ac:dyDescent="0.4">
      <c r="A49" s="69">
        <v>46</v>
      </c>
      <c r="B49" s="66">
        <v>215.39999999999989</v>
      </c>
      <c r="C49" s="66">
        <v>4.6826086956521715</v>
      </c>
      <c r="D49" s="71">
        <v>1.8913043478260869</v>
      </c>
      <c r="E49" s="67">
        <v>0.36956521739130432</v>
      </c>
      <c r="F49" s="67">
        <v>0.2608695652173913</v>
      </c>
      <c r="G49" s="67">
        <v>0.31761786600496278</v>
      </c>
      <c r="H49" s="67">
        <v>0.20099255583126552</v>
      </c>
      <c r="I49" s="68">
        <v>8727.34375</v>
      </c>
      <c r="J49" s="68">
        <v>-7396.2962962962965</v>
      </c>
      <c r="K49" s="67">
        <v>0.13043478260869565</v>
      </c>
      <c r="L49" s="67">
        <v>0.15217391304347827</v>
      </c>
      <c r="M49" s="67">
        <v>0.23325062034739455</v>
      </c>
      <c r="N49" s="67">
        <v>0.32754342431761785</v>
      </c>
      <c r="O49" s="67">
        <v>0.55319148936170215</v>
      </c>
      <c r="P49" s="67">
        <v>0.40151515151515149</v>
      </c>
      <c r="Q49" s="67">
        <v>0.375</v>
      </c>
    </row>
  </sheetData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1C2253-EF6D-44F6-A565-F7770A1F9B48}">
  <sheetPr codeName="Sheet10"/>
  <dimension ref="A1:Q49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127</v>
      </c>
      <c r="B1" s="70" t="s">
        <v>127</v>
      </c>
      <c r="C1" s="70" t="s">
        <v>127</v>
      </c>
      <c r="D1" s="71" t="s">
        <v>127</v>
      </c>
      <c r="E1" s="70" t="s">
        <v>127</v>
      </c>
      <c r="F1" s="70" t="s">
        <v>127</v>
      </c>
      <c r="G1" s="70" t="s">
        <v>127</v>
      </c>
      <c r="H1" s="70" t="s">
        <v>127</v>
      </c>
      <c r="I1" s="70" t="s">
        <v>127</v>
      </c>
      <c r="J1" s="70" t="s">
        <v>127</v>
      </c>
      <c r="K1" s="70" t="s">
        <v>127</v>
      </c>
      <c r="L1" s="70" t="s">
        <v>127</v>
      </c>
      <c r="M1" s="70" t="s">
        <v>127</v>
      </c>
      <c r="N1" s="70" t="s">
        <v>127</v>
      </c>
      <c r="O1" s="70" t="s">
        <v>127</v>
      </c>
      <c r="P1" s="70" t="s">
        <v>127</v>
      </c>
      <c r="Q1" s="70" t="s">
        <v>127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161</v>
      </c>
      <c r="G2" s="70" t="s">
        <v>146</v>
      </c>
      <c r="H2" s="70" t="s">
        <v>145</v>
      </c>
      <c r="I2" s="70" t="s">
        <v>5</v>
      </c>
      <c r="J2" s="70" t="s">
        <v>17</v>
      </c>
      <c r="K2" s="70" t="s">
        <v>18</v>
      </c>
      <c r="L2" s="70" t="s">
        <v>140</v>
      </c>
      <c r="M2" s="70" t="s">
        <v>123</v>
      </c>
      <c r="N2" s="70" t="s">
        <v>120</v>
      </c>
      <c r="O2" s="70" t="s">
        <v>126</v>
      </c>
      <c r="P2" s="70" t="s">
        <v>147</v>
      </c>
      <c r="Q2" s="70" t="s">
        <v>143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50.2</v>
      </c>
      <c r="C4" s="66">
        <v>50.2</v>
      </c>
      <c r="D4" s="71">
        <v>1</v>
      </c>
      <c r="E4" s="67">
        <v>1</v>
      </c>
      <c r="F4" s="67">
        <v>0</v>
      </c>
      <c r="G4" s="67">
        <v>0.4</v>
      </c>
      <c r="H4" s="67">
        <v>0.2</v>
      </c>
      <c r="I4" s="68">
        <v>10925</v>
      </c>
      <c r="J4" s="68">
        <v>-1500</v>
      </c>
      <c r="K4" s="67">
        <v>0</v>
      </c>
      <c r="L4" s="67">
        <v>1</v>
      </c>
      <c r="M4" s="67">
        <v>0.3</v>
      </c>
      <c r="N4" s="67">
        <v>0.1</v>
      </c>
      <c r="O4" s="67">
        <v>1</v>
      </c>
      <c r="P4" s="67">
        <v>0</v>
      </c>
      <c r="Q4" s="67">
        <v>0.25</v>
      </c>
    </row>
    <row r="5" spans="1:17" x14ac:dyDescent="0.4">
      <c r="A5" s="69">
        <v>2</v>
      </c>
      <c r="B5" s="66">
        <v>14.400000000000006</v>
      </c>
      <c r="C5" s="66">
        <v>7.2000000000000028</v>
      </c>
      <c r="D5" s="71">
        <v>2</v>
      </c>
      <c r="E5" s="67">
        <v>0.5</v>
      </c>
      <c r="F5" s="67">
        <v>0.5</v>
      </c>
      <c r="G5" s="67">
        <v>0.26315789473684209</v>
      </c>
      <c r="H5" s="67">
        <v>0.15789473684210525</v>
      </c>
      <c r="I5" s="68">
        <v>9260</v>
      </c>
      <c r="J5" s="68">
        <v>-5000</v>
      </c>
      <c r="K5" s="67">
        <v>0</v>
      </c>
      <c r="L5" s="67">
        <v>0.5</v>
      </c>
      <c r="M5" s="67">
        <v>0.36842105263157893</v>
      </c>
      <c r="N5" s="67">
        <v>0.15789473684210525</v>
      </c>
      <c r="O5" s="67">
        <v>0.5714285714285714</v>
      </c>
      <c r="P5" s="67">
        <v>0</v>
      </c>
      <c r="Q5" s="67">
        <v>0.2</v>
      </c>
    </row>
    <row r="6" spans="1:17" x14ac:dyDescent="0.4">
      <c r="A6" s="69">
        <v>3</v>
      </c>
      <c r="B6" s="66">
        <v>40.400000000000006</v>
      </c>
      <c r="C6" s="66">
        <v>13.466666666666669</v>
      </c>
      <c r="D6" s="71">
        <v>1.6666666666666667</v>
      </c>
      <c r="E6" s="67">
        <v>0.66666666666666663</v>
      </c>
      <c r="F6" s="67">
        <v>0.33333333333333331</v>
      </c>
      <c r="G6" s="67">
        <v>0.34615384615384615</v>
      </c>
      <c r="H6" s="67">
        <v>0.11538461538461539</v>
      </c>
      <c r="I6" s="68">
        <v>7488.8888888888887</v>
      </c>
      <c r="J6" s="68">
        <v>-5000</v>
      </c>
      <c r="K6" s="67">
        <v>0</v>
      </c>
      <c r="L6" s="67">
        <v>0.33333333333333331</v>
      </c>
      <c r="M6" s="67">
        <v>0.38461538461538464</v>
      </c>
      <c r="N6" s="67">
        <v>0.11538461538461539</v>
      </c>
      <c r="O6" s="67">
        <v>0.7</v>
      </c>
      <c r="P6" s="67">
        <v>0</v>
      </c>
      <c r="Q6" s="67">
        <v>0.44444444444444442</v>
      </c>
    </row>
    <row r="7" spans="1:17" x14ac:dyDescent="0.4">
      <c r="A7" s="69">
        <v>4</v>
      </c>
      <c r="B7" s="66">
        <v>101.60000000000001</v>
      </c>
      <c r="C7" s="66">
        <v>25.400000000000002</v>
      </c>
      <c r="D7" s="71">
        <v>1.5</v>
      </c>
      <c r="E7" s="67">
        <v>0.75</v>
      </c>
      <c r="F7" s="67">
        <v>0.25</v>
      </c>
      <c r="G7" s="67">
        <v>0.43243243243243246</v>
      </c>
      <c r="H7" s="67">
        <v>8.1081081081081086E-2</v>
      </c>
      <c r="I7" s="68">
        <v>7600</v>
      </c>
      <c r="J7" s="68">
        <v>-5000</v>
      </c>
      <c r="K7" s="67">
        <v>0</v>
      </c>
      <c r="L7" s="67">
        <v>0.25</v>
      </c>
      <c r="M7" s="67">
        <v>0.35135135135135137</v>
      </c>
      <c r="N7" s="67">
        <v>0.1891891891891892</v>
      </c>
      <c r="O7" s="67">
        <v>0.69230769230769229</v>
      </c>
      <c r="P7" s="67">
        <v>0.5714285714285714</v>
      </c>
      <c r="Q7" s="67">
        <v>0.5</v>
      </c>
    </row>
    <row r="8" spans="1:17" x14ac:dyDescent="0.4">
      <c r="A8" s="69">
        <v>5</v>
      </c>
      <c r="B8" s="66">
        <v>99.9</v>
      </c>
      <c r="C8" s="66">
        <v>19.98</v>
      </c>
      <c r="D8" s="71">
        <v>1.6</v>
      </c>
      <c r="E8" s="67">
        <v>0.6</v>
      </c>
      <c r="F8" s="67">
        <v>0.2</v>
      </c>
      <c r="G8" s="67">
        <v>0.40909090909090912</v>
      </c>
      <c r="H8" s="67">
        <v>9.0909090909090912E-2</v>
      </c>
      <c r="I8" s="68">
        <v>7116.666666666667</v>
      </c>
      <c r="J8" s="68">
        <v>-5050</v>
      </c>
      <c r="K8" s="67">
        <v>0</v>
      </c>
      <c r="L8" s="67">
        <v>0.2</v>
      </c>
      <c r="M8" s="67">
        <v>0.36363636363636365</v>
      </c>
      <c r="N8" s="67">
        <v>0.18181818181818182</v>
      </c>
      <c r="O8" s="67">
        <v>0.6875</v>
      </c>
      <c r="P8" s="67">
        <v>0.5</v>
      </c>
      <c r="Q8" s="67">
        <v>0.44444444444444442</v>
      </c>
    </row>
    <row r="9" spans="1:17" x14ac:dyDescent="0.4">
      <c r="A9" s="69">
        <v>6</v>
      </c>
      <c r="B9" s="66">
        <v>85.5</v>
      </c>
      <c r="C9" s="66">
        <v>14.25</v>
      </c>
      <c r="D9" s="71">
        <v>1.8333333333333333</v>
      </c>
      <c r="E9" s="67">
        <v>0.5</v>
      </c>
      <c r="F9" s="67">
        <v>0.33333333333333331</v>
      </c>
      <c r="G9" s="67">
        <v>0.37735849056603776</v>
      </c>
      <c r="H9" s="67">
        <v>0.13207547169811321</v>
      </c>
      <c r="I9" s="68">
        <v>7390</v>
      </c>
      <c r="J9" s="68">
        <v>-4828.5714285714284</v>
      </c>
      <c r="K9" s="67">
        <v>0</v>
      </c>
      <c r="L9" s="67">
        <v>0.16666666666666666</v>
      </c>
      <c r="M9" s="67">
        <v>0.35849056603773582</v>
      </c>
      <c r="N9" s="67">
        <v>0.15094339622641509</v>
      </c>
      <c r="O9" s="67">
        <v>0.68421052631578949</v>
      </c>
      <c r="P9" s="67">
        <v>0.5</v>
      </c>
      <c r="Q9" s="67">
        <v>0.4</v>
      </c>
    </row>
    <row r="10" spans="1:17" x14ac:dyDescent="0.4">
      <c r="A10" s="69">
        <v>7</v>
      </c>
      <c r="B10" s="66">
        <v>113.3</v>
      </c>
      <c r="C10" s="66">
        <v>16.185714285714287</v>
      </c>
      <c r="D10" s="71">
        <v>1.7142857142857142</v>
      </c>
      <c r="E10" s="67">
        <v>0.5714285714285714</v>
      </c>
      <c r="F10" s="67">
        <v>0.2857142857142857</v>
      </c>
      <c r="G10" s="67">
        <v>0.38805970149253732</v>
      </c>
      <c r="H10" s="67">
        <v>0.1044776119402985</v>
      </c>
      <c r="I10" s="68">
        <v>6703.8461538461543</v>
      </c>
      <c r="J10" s="68">
        <v>-4828.5714285714284</v>
      </c>
      <c r="K10" s="67">
        <v>0</v>
      </c>
      <c r="L10" s="67">
        <v>0.14285714285714285</v>
      </c>
      <c r="M10" s="67">
        <v>0.31343283582089554</v>
      </c>
      <c r="N10" s="67">
        <v>0.14925373134328357</v>
      </c>
      <c r="O10" s="67">
        <v>0.61904761904761907</v>
      </c>
      <c r="P10" s="67">
        <v>0.6</v>
      </c>
      <c r="Q10" s="67">
        <v>0.42307692307692307</v>
      </c>
    </row>
    <row r="11" spans="1:17" x14ac:dyDescent="0.4">
      <c r="A11" s="69">
        <v>8</v>
      </c>
      <c r="B11" s="66">
        <v>148.1</v>
      </c>
      <c r="C11" s="66">
        <v>18.512499999999999</v>
      </c>
      <c r="D11" s="71">
        <v>1.625</v>
      </c>
      <c r="E11" s="67">
        <v>0.625</v>
      </c>
      <c r="F11" s="67">
        <v>0.25</v>
      </c>
      <c r="G11" s="67">
        <v>0.37179487179487181</v>
      </c>
      <c r="H11" s="67">
        <v>0.12820512820512819</v>
      </c>
      <c r="I11" s="68">
        <v>7662.0689655172409</v>
      </c>
      <c r="J11" s="68">
        <v>-5390</v>
      </c>
      <c r="K11" s="67">
        <v>0</v>
      </c>
      <c r="L11" s="67">
        <v>0.25</v>
      </c>
      <c r="M11" s="67">
        <v>0.26923076923076922</v>
      </c>
      <c r="N11" s="67">
        <v>0.20512820512820512</v>
      </c>
      <c r="O11" s="67">
        <v>0.61904761904761907</v>
      </c>
      <c r="P11" s="67">
        <v>0.5625</v>
      </c>
      <c r="Q11" s="67">
        <v>0.37931034482758619</v>
      </c>
    </row>
    <row r="12" spans="1:17" x14ac:dyDescent="0.4">
      <c r="A12" s="69">
        <v>9</v>
      </c>
      <c r="B12" s="66">
        <v>180.89999999999998</v>
      </c>
      <c r="C12" s="66">
        <v>20.099999999999998</v>
      </c>
      <c r="D12" s="71">
        <v>1.5555555555555556</v>
      </c>
      <c r="E12" s="67">
        <v>0.66666666666666663</v>
      </c>
      <c r="F12" s="67">
        <v>0.22222222222222221</v>
      </c>
      <c r="G12" s="67">
        <v>0.375</v>
      </c>
      <c r="H12" s="67">
        <v>0.13636363636363635</v>
      </c>
      <c r="I12" s="68">
        <v>7575.757575757576</v>
      </c>
      <c r="J12" s="68">
        <v>-5325</v>
      </c>
      <c r="K12" s="67">
        <v>0</v>
      </c>
      <c r="L12" s="67">
        <v>0.22222222222222221</v>
      </c>
      <c r="M12" s="67">
        <v>0.28409090909090912</v>
      </c>
      <c r="N12" s="67">
        <v>0.19318181818181818</v>
      </c>
      <c r="O12" s="67">
        <v>0.6</v>
      </c>
      <c r="P12" s="67">
        <v>0.58823529411764708</v>
      </c>
      <c r="Q12" s="67">
        <v>0.45454545454545453</v>
      </c>
    </row>
    <row r="13" spans="1:17" x14ac:dyDescent="0.4">
      <c r="A13" s="69">
        <v>10</v>
      </c>
      <c r="B13" s="66">
        <v>158.19999999999999</v>
      </c>
      <c r="C13" s="66">
        <v>15.819999999999999</v>
      </c>
      <c r="D13" s="71">
        <v>1.7</v>
      </c>
      <c r="E13" s="67">
        <v>0.6</v>
      </c>
      <c r="F13" s="67">
        <v>0.3</v>
      </c>
      <c r="G13" s="67">
        <v>0.35051546391752575</v>
      </c>
      <c r="H13" s="67">
        <v>0.14432989690721648</v>
      </c>
      <c r="I13" s="68">
        <v>7705.8823529411766</v>
      </c>
      <c r="J13" s="68">
        <v>-4935.7142857142853</v>
      </c>
      <c r="K13" s="67">
        <v>0</v>
      </c>
      <c r="L13" s="67">
        <v>0.2</v>
      </c>
      <c r="M13" s="67">
        <v>0.26804123711340205</v>
      </c>
      <c r="N13" s="67">
        <v>0.20618556701030927</v>
      </c>
      <c r="O13" s="67">
        <v>0.61538461538461542</v>
      </c>
      <c r="P13" s="67">
        <v>0.5</v>
      </c>
      <c r="Q13" s="67">
        <v>0.47058823529411764</v>
      </c>
    </row>
    <row r="14" spans="1:17" x14ac:dyDescent="0.4">
      <c r="A14" s="69">
        <v>11</v>
      </c>
      <c r="B14" s="66">
        <v>185.2</v>
      </c>
      <c r="C14" s="66">
        <v>16.836363636363636</v>
      </c>
      <c r="D14" s="71">
        <v>1.6363636363636365</v>
      </c>
      <c r="E14" s="67">
        <v>0.63636363636363635</v>
      </c>
      <c r="F14" s="67">
        <v>0.27272727272727271</v>
      </c>
      <c r="G14" s="67">
        <v>0.33962264150943394</v>
      </c>
      <c r="H14" s="67">
        <v>0.15094339622641509</v>
      </c>
      <c r="I14" s="68">
        <v>8275</v>
      </c>
      <c r="J14" s="68">
        <v>-5125</v>
      </c>
      <c r="K14" s="67">
        <v>0</v>
      </c>
      <c r="L14" s="67">
        <v>0.18181818181818182</v>
      </c>
      <c r="M14" s="67">
        <v>0.25471698113207547</v>
      </c>
      <c r="N14" s="67">
        <v>0.19811320754716982</v>
      </c>
      <c r="O14" s="67">
        <v>0.59259259259259256</v>
      </c>
      <c r="P14" s="67">
        <v>0.52380952380952384</v>
      </c>
      <c r="Q14" s="67">
        <v>0.44444444444444442</v>
      </c>
    </row>
    <row r="15" spans="1:17" x14ac:dyDescent="0.4">
      <c r="A15" s="69">
        <v>12</v>
      </c>
      <c r="B15" s="66">
        <v>184.89999999999998</v>
      </c>
      <c r="C15" s="66">
        <v>15.408333333333331</v>
      </c>
      <c r="D15" s="71">
        <v>1.6666666666666667</v>
      </c>
      <c r="E15" s="67">
        <v>0.58333333333333337</v>
      </c>
      <c r="F15" s="67">
        <v>0.25</v>
      </c>
      <c r="G15" s="67">
        <v>0.32758620689655171</v>
      </c>
      <c r="H15" s="67">
        <v>0.14655172413793102</v>
      </c>
      <c r="I15" s="68">
        <v>8471.0526315789466</v>
      </c>
      <c r="J15" s="68">
        <v>-5294.1176470588234</v>
      </c>
      <c r="K15" s="67">
        <v>0</v>
      </c>
      <c r="L15" s="67">
        <v>0.16666666666666666</v>
      </c>
      <c r="M15" s="67">
        <v>0.2413793103448276</v>
      </c>
      <c r="N15" s="67">
        <v>0.20689655172413793</v>
      </c>
      <c r="O15" s="67">
        <v>0.6071428571428571</v>
      </c>
      <c r="P15" s="67">
        <v>0.5</v>
      </c>
      <c r="Q15" s="67">
        <v>0.47368421052631576</v>
      </c>
    </row>
    <row r="16" spans="1:17" x14ac:dyDescent="0.4">
      <c r="A16" s="69">
        <v>13</v>
      </c>
      <c r="B16" s="66">
        <v>206.39999999999998</v>
      </c>
      <c r="C16" s="66">
        <v>15.876923076923076</v>
      </c>
      <c r="D16" s="71">
        <v>1.6153846153846154</v>
      </c>
      <c r="E16" s="67">
        <v>0.61538461538461542</v>
      </c>
      <c r="F16" s="67">
        <v>0.23076923076923078</v>
      </c>
      <c r="G16" s="67">
        <v>0.33870967741935482</v>
      </c>
      <c r="H16" s="67">
        <v>0.14516129032258066</v>
      </c>
      <c r="I16" s="68">
        <v>8283.3333333333339</v>
      </c>
      <c r="J16" s="68">
        <v>-5444.4444444444443</v>
      </c>
      <c r="K16" s="67">
        <v>0</v>
      </c>
      <c r="L16" s="67">
        <v>0.15384615384615385</v>
      </c>
      <c r="M16" s="67">
        <v>0.27419354838709675</v>
      </c>
      <c r="N16" s="67">
        <v>0.20161290322580644</v>
      </c>
      <c r="O16" s="67">
        <v>0.58823529411764708</v>
      </c>
      <c r="P16" s="67">
        <v>0.48</v>
      </c>
      <c r="Q16" s="67">
        <v>0.45238095238095238</v>
      </c>
    </row>
    <row r="17" spans="1:17" x14ac:dyDescent="0.4">
      <c r="A17" s="69">
        <v>14</v>
      </c>
      <c r="B17" s="66">
        <v>240.09999999999997</v>
      </c>
      <c r="C17" s="66">
        <v>17.149999999999999</v>
      </c>
      <c r="D17" s="71">
        <v>1.5714285714285714</v>
      </c>
      <c r="E17" s="67">
        <v>0.6428571428571429</v>
      </c>
      <c r="F17" s="67">
        <v>0.21428571428571427</v>
      </c>
      <c r="G17" s="67">
        <v>0.35820895522388058</v>
      </c>
      <c r="H17" s="67">
        <v>0.13432835820895522</v>
      </c>
      <c r="I17" s="68">
        <v>8039.583333333333</v>
      </c>
      <c r="J17" s="68">
        <v>-5444.4444444444443</v>
      </c>
      <c r="K17" s="67">
        <v>0</v>
      </c>
      <c r="L17" s="67">
        <v>0.21428571428571427</v>
      </c>
      <c r="M17" s="67">
        <v>0.26865671641791045</v>
      </c>
      <c r="N17" s="67">
        <v>0.20895522388059701</v>
      </c>
      <c r="O17" s="67">
        <v>0.58333333333333337</v>
      </c>
      <c r="P17" s="67">
        <v>0.5357142857142857</v>
      </c>
      <c r="Q17" s="67">
        <v>0.5</v>
      </c>
    </row>
    <row r="18" spans="1:17" x14ac:dyDescent="0.4">
      <c r="A18" s="69">
        <v>15</v>
      </c>
      <c r="B18" s="66">
        <v>269.49999999999994</v>
      </c>
      <c r="C18" s="66">
        <v>17.966666666666661</v>
      </c>
      <c r="D18" s="71">
        <v>1.5333333333333334</v>
      </c>
      <c r="E18" s="67">
        <v>0.66666666666666663</v>
      </c>
      <c r="F18" s="67">
        <v>0.2</v>
      </c>
      <c r="G18" s="67">
        <v>0.36363636363636365</v>
      </c>
      <c r="H18" s="67">
        <v>0.13286713286713286</v>
      </c>
      <c r="I18" s="68">
        <v>7890.3846153846152</v>
      </c>
      <c r="J18" s="68">
        <v>-5236.8421052631575</v>
      </c>
      <c r="K18" s="67">
        <v>0</v>
      </c>
      <c r="L18" s="67">
        <v>0.2</v>
      </c>
      <c r="M18" s="67">
        <v>0.27972027972027974</v>
      </c>
      <c r="N18" s="67">
        <v>0.20279720279720279</v>
      </c>
      <c r="O18" s="67">
        <v>0.57499999999999996</v>
      </c>
      <c r="P18" s="67">
        <v>0.55172413793103448</v>
      </c>
      <c r="Q18" s="67">
        <v>0.5</v>
      </c>
    </row>
    <row r="19" spans="1:17" x14ac:dyDescent="0.4">
      <c r="A19" s="69">
        <v>16</v>
      </c>
      <c r="B19" s="66">
        <v>323.69999999999993</v>
      </c>
      <c r="C19" s="66">
        <v>20.231249999999996</v>
      </c>
      <c r="D19" s="71">
        <v>1.5</v>
      </c>
      <c r="E19" s="67">
        <v>0.6875</v>
      </c>
      <c r="F19" s="67">
        <v>0.1875</v>
      </c>
      <c r="G19" s="67">
        <v>0.375</v>
      </c>
      <c r="H19" s="67">
        <v>0.125</v>
      </c>
      <c r="I19" s="68">
        <v>8029.8245614035086</v>
      </c>
      <c r="J19" s="68">
        <v>-5236.8421052631575</v>
      </c>
      <c r="K19" s="67">
        <v>0</v>
      </c>
      <c r="L19" s="67">
        <v>0.1875</v>
      </c>
      <c r="M19" s="67">
        <v>0.27631578947368424</v>
      </c>
      <c r="N19" s="67">
        <v>0.21710526315789475</v>
      </c>
      <c r="O19" s="67">
        <v>0.5714285714285714</v>
      </c>
      <c r="P19" s="67">
        <v>0.60606060606060608</v>
      </c>
      <c r="Q19" s="67">
        <v>0.50877192982456143</v>
      </c>
    </row>
    <row r="20" spans="1:17" x14ac:dyDescent="0.4">
      <c r="A20" s="69">
        <v>17</v>
      </c>
      <c r="B20" s="66">
        <v>359.09999999999991</v>
      </c>
      <c r="C20" s="66">
        <v>21.1235294117647</v>
      </c>
      <c r="D20" s="71">
        <v>1.4705882352941178</v>
      </c>
      <c r="E20" s="67">
        <v>0.70588235294117652</v>
      </c>
      <c r="F20" s="67">
        <v>0.17647058823529413</v>
      </c>
      <c r="G20" s="67">
        <v>0.38650306748466257</v>
      </c>
      <c r="H20" s="67">
        <v>0.12883435582822086</v>
      </c>
      <c r="I20" s="68">
        <v>7984.1269841269841</v>
      </c>
      <c r="J20" s="68">
        <v>-5685.7142857142853</v>
      </c>
      <c r="K20" s="67">
        <v>0</v>
      </c>
      <c r="L20" s="67">
        <v>0.17647058823529413</v>
      </c>
      <c r="M20" s="67">
        <v>0.27607361963190186</v>
      </c>
      <c r="N20" s="67">
        <v>0.21472392638036811</v>
      </c>
      <c r="O20" s="67">
        <v>0.57777777777777772</v>
      </c>
      <c r="P20" s="67">
        <v>0.62857142857142856</v>
      </c>
      <c r="Q20" s="67">
        <v>0.47619047619047616</v>
      </c>
    </row>
    <row r="21" spans="1:17" x14ac:dyDescent="0.4">
      <c r="A21" s="69">
        <v>18</v>
      </c>
      <c r="B21" s="66">
        <v>352.39999999999992</v>
      </c>
      <c r="C21" s="66">
        <v>19.577777777777772</v>
      </c>
      <c r="D21" s="71">
        <v>1.5</v>
      </c>
      <c r="E21" s="67">
        <v>0.66666666666666663</v>
      </c>
      <c r="F21" s="67">
        <v>0.16666666666666666</v>
      </c>
      <c r="G21" s="67">
        <v>0.38323353293413176</v>
      </c>
      <c r="H21" s="67">
        <v>0.12574850299401197</v>
      </c>
      <c r="I21" s="68">
        <v>7879.6875</v>
      </c>
      <c r="J21" s="68">
        <v>-5685.7142857142853</v>
      </c>
      <c r="K21" s="67">
        <v>0</v>
      </c>
      <c r="L21" s="67">
        <v>0.16666666666666666</v>
      </c>
      <c r="M21" s="67">
        <v>0.27544910179640719</v>
      </c>
      <c r="N21" s="67">
        <v>0.20958083832335328</v>
      </c>
      <c r="O21" s="67">
        <v>0.58695652173913049</v>
      </c>
      <c r="P21" s="67">
        <v>0.62857142857142856</v>
      </c>
      <c r="Q21" s="67">
        <v>0.46875</v>
      </c>
    </row>
    <row r="22" spans="1:17" x14ac:dyDescent="0.4">
      <c r="A22" s="69">
        <v>19</v>
      </c>
      <c r="B22" s="66">
        <v>383.19999999999993</v>
      </c>
      <c r="C22" s="66">
        <v>20.168421052631576</v>
      </c>
      <c r="D22" s="71">
        <v>1.4736842105263157</v>
      </c>
      <c r="E22" s="67">
        <v>0.68421052631578949</v>
      </c>
      <c r="F22" s="67">
        <v>0.15789473684210525</v>
      </c>
      <c r="G22" s="67">
        <v>0.38983050847457629</v>
      </c>
      <c r="H22" s="67">
        <v>0.12429378531073447</v>
      </c>
      <c r="I22" s="68">
        <v>7834.782608695652</v>
      </c>
      <c r="J22" s="68">
        <v>-5972.727272727273</v>
      </c>
      <c r="K22" s="67">
        <v>0</v>
      </c>
      <c r="L22" s="67">
        <v>0.21052631578947367</v>
      </c>
      <c r="M22" s="67">
        <v>0.28813559322033899</v>
      </c>
      <c r="N22" s="67">
        <v>0.20903954802259886</v>
      </c>
      <c r="O22" s="67">
        <v>0.60784313725490191</v>
      </c>
      <c r="P22" s="67">
        <v>0.6216216216216216</v>
      </c>
      <c r="Q22" s="67">
        <v>0.46376811594202899</v>
      </c>
    </row>
    <row r="23" spans="1:17" x14ac:dyDescent="0.4">
      <c r="A23" s="69">
        <v>20</v>
      </c>
      <c r="B23" s="66">
        <v>365.49999999999994</v>
      </c>
      <c r="C23" s="66">
        <v>18.274999999999999</v>
      </c>
      <c r="D23" s="71">
        <v>1.5</v>
      </c>
      <c r="E23" s="67">
        <v>0.65</v>
      </c>
      <c r="F23" s="67">
        <v>0.15</v>
      </c>
      <c r="G23" s="67">
        <v>0.37634408602150538</v>
      </c>
      <c r="H23" s="67">
        <v>0.13440860215053763</v>
      </c>
      <c r="I23" s="68">
        <v>7888.5714285714284</v>
      </c>
      <c r="J23" s="68">
        <v>-6096</v>
      </c>
      <c r="K23" s="67">
        <v>0</v>
      </c>
      <c r="L23" s="67">
        <v>0.2</v>
      </c>
      <c r="M23" s="67">
        <v>0.27956989247311825</v>
      </c>
      <c r="N23" s="67">
        <v>0.22043010752688172</v>
      </c>
      <c r="O23" s="67">
        <v>0.59615384615384615</v>
      </c>
      <c r="P23" s="67">
        <v>0.58536585365853655</v>
      </c>
      <c r="Q23" s="67">
        <v>0.47142857142857142</v>
      </c>
    </row>
    <row r="24" spans="1:17" x14ac:dyDescent="0.4">
      <c r="A24" s="69">
        <v>21</v>
      </c>
      <c r="B24" s="66">
        <v>371.39999999999992</v>
      </c>
      <c r="C24" s="66">
        <v>17.685714285714283</v>
      </c>
      <c r="D24" s="71">
        <v>1.5238095238095237</v>
      </c>
      <c r="E24" s="67">
        <v>0.61904761904761907</v>
      </c>
      <c r="F24" s="67">
        <v>0.14285714285714285</v>
      </c>
      <c r="G24" s="67">
        <v>0.375</v>
      </c>
      <c r="H24" s="67">
        <v>0.13541666666666666</v>
      </c>
      <c r="I24" s="68">
        <v>8168.0555555555557</v>
      </c>
      <c r="J24" s="68">
        <v>-6553.8461538461543</v>
      </c>
      <c r="K24" s="67">
        <v>0</v>
      </c>
      <c r="L24" s="67">
        <v>0.19047619047619047</v>
      </c>
      <c r="M24" s="67">
        <v>0.28125</v>
      </c>
      <c r="N24" s="67">
        <v>0.21354166666666666</v>
      </c>
      <c r="O24" s="67">
        <v>0.59259259259259256</v>
      </c>
      <c r="P24" s="67">
        <v>0.58536585365853655</v>
      </c>
      <c r="Q24" s="67">
        <v>0.47222222222222221</v>
      </c>
    </row>
    <row r="25" spans="1:17" x14ac:dyDescent="0.4">
      <c r="A25" s="69">
        <v>22</v>
      </c>
      <c r="B25" s="66">
        <v>414.2999999999999</v>
      </c>
      <c r="C25" s="66">
        <v>18.831818181818178</v>
      </c>
      <c r="D25" s="71">
        <v>1.5</v>
      </c>
      <c r="E25" s="67">
        <v>0.63636363636363635</v>
      </c>
      <c r="F25" s="67">
        <v>0.13636363636363635</v>
      </c>
      <c r="G25" s="67">
        <v>0.38805970149253732</v>
      </c>
      <c r="H25" s="67">
        <v>0.13432835820895522</v>
      </c>
      <c r="I25" s="68">
        <v>8025.6410256410254</v>
      </c>
      <c r="J25" s="68">
        <v>-6385.1851851851852</v>
      </c>
      <c r="K25" s="67">
        <v>0</v>
      </c>
      <c r="L25" s="67">
        <v>0.18181818181818182</v>
      </c>
      <c r="M25" s="67">
        <v>0.28358208955223879</v>
      </c>
      <c r="N25" s="67">
        <v>0.22388059701492538</v>
      </c>
      <c r="O25" s="67">
        <v>0.61403508771929827</v>
      </c>
      <c r="P25" s="67">
        <v>0.6</v>
      </c>
      <c r="Q25" s="67">
        <v>0.46153846153846156</v>
      </c>
    </row>
    <row r="26" spans="1:17" x14ac:dyDescent="0.4">
      <c r="A26" s="69">
        <v>23</v>
      </c>
      <c r="B26" s="66">
        <v>356.2999999999999</v>
      </c>
      <c r="C26" s="66">
        <v>15.491304347826082</v>
      </c>
      <c r="D26" s="71">
        <v>1.5652173913043479</v>
      </c>
      <c r="E26" s="67">
        <v>0.60869565217391308</v>
      </c>
      <c r="F26" s="67">
        <v>0.17391304347826086</v>
      </c>
      <c r="G26" s="67">
        <v>0.38613861386138615</v>
      </c>
      <c r="H26" s="67">
        <v>0.13861386138613863</v>
      </c>
      <c r="I26" s="68">
        <v>8025.6410256410254</v>
      </c>
      <c r="J26" s="68">
        <v>-7871.4285714285716</v>
      </c>
      <c r="K26" s="67">
        <v>4.3478260869565216E-2</v>
      </c>
      <c r="L26" s="67">
        <v>0.17391304347826086</v>
      </c>
      <c r="M26" s="67">
        <v>0.28217821782178215</v>
      </c>
      <c r="N26" s="67">
        <v>0.22277227722772278</v>
      </c>
      <c r="O26" s="67">
        <v>0.61403508771929827</v>
      </c>
      <c r="P26" s="67">
        <v>0.6</v>
      </c>
      <c r="Q26" s="67">
        <v>0.46153846153846156</v>
      </c>
    </row>
    <row r="27" spans="1:17" x14ac:dyDescent="0.4">
      <c r="A27" s="69">
        <v>24</v>
      </c>
      <c r="B27" s="66">
        <v>329.89999999999992</v>
      </c>
      <c r="C27" s="66">
        <v>13.74583333333333</v>
      </c>
      <c r="D27" s="71">
        <v>1.625</v>
      </c>
      <c r="E27" s="67">
        <v>0.58333333333333337</v>
      </c>
      <c r="F27" s="67">
        <v>0.20833333333333334</v>
      </c>
      <c r="G27" s="67">
        <v>0.37799043062200954</v>
      </c>
      <c r="H27" s="67">
        <v>0.13875598086124402</v>
      </c>
      <c r="I27" s="68">
        <v>8151.8987341772154</v>
      </c>
      <c r="J27" s="68">
        <v>-7734.4827586206893</v>
      </c>
      <c r="K27" s="67">
        <v>4.1666666666666664E-2</v>
      </c>
      <c r="L27" s="67">
        <v>0.16666666666666666</v>
      </c>
      <c r="M27" s="67">
        <v>0.28708133971291866</v>
      </c>
      <c r="N27" s="67">
        <v>0.22966507177033493</v>
      </c>
      <c r="O27" s="67">
        <v>0.6</v>
      </c>
      <c r="P27" s="67">
        <v>0.5625</v>
      </c>
      <c r="Q27" s="67">
        <v>0.46835443037974683</v>
      </c>
    </row>
    <row r="28" spans="1:17" x14ac:dyDescent="0.4">
      <c r="A28" s="69">
        <v>25</v>
      </c>
      <c r="B28" s="66">
        <v>294.99999999999994</v>
      </c>
      <c r="C28" s="66">
        <v>11.799999999999997</v>
      </c>
      <c r="D28" s="71">
        <v>1.68</v>
      </c>
      <c r="E28" s="67">
        <v>0.56000000000000005</v>
      </c>
      <c r="F28" s="67">
        <v>0.24</v>
      </c>
      <c r="G28" s="67">
        <v>0.3686635944700461</v>
      </c>
      <c r="H28" s="67">
        <v>0.14746543778801843</v>
      </c>
      <c r="I28" s="68">
        <v>8068.75</v>
      </c>
      <c r="J28" s="68">
        <v>-7709.375</v>
      </c>
      <c r="K28" s="67">
        <v>0.04</v>
      </c>
      <c r="L28" s="67">
        <v>0.16</v>
      </c>
      <c r="M28" s="67">
        <v>0.28110599078341014</v>
      </c>
      <c r="N28" s="67">
        <v>0.23502304147465439</v>
      </c>
      <c r="O28" s="67">
        <v>0.5901639344262295</v>
      </c>
      <c r="P28" s="67">
        <v>0.5490196078431373</v>
      </c>
      <c r="Q28" s="67">
        <v>0.46250000000000002</v>
      </c>
    </row>
    <row r="29" spans="1:17" x14ac:dyDescent="0.4">
      <c r="A29" s="69">
        <v>26</v>
      </c>
      <c r="B29" s="66">
        <v>329.29999999999995</v>
      </c>
      <c r="C29" s="66">
        <v>12.665384615384614</v>
      </c>
      <c r="D29" s="71">
        <v>1.6538461538461537</v>
      </c>
      <c r="E29" s="67">
        <v>0.57692307692307687</v>
      </c>
      <c r="F29" s="67">
        <v>0.23076923076923078</v>
      </c>
      <c r="G29" s="67">
        <v>0.375</v>
      </c>
      <c r="H29" s="67">
        <v>0.14732142857142858</v>
      </c>
      <c r="I29" s="68">
        <v>8077.3809523809523</v>
      </c>
      <c r="J29" s="68">
        <v>-7709.090909090909</v>
      </c>
      <c r="K29" s="67">
        <v>3.8461538461538464E-2</v>
      </c>
      <c r="L29" s="67">
        <v>0.15384615384615385</v>
      </c>
      <c r="M29" s="67">
        <v>0.28125</v>
      </c>
      <c r="N29" s="67">
        <v>0.24553571428571427</v>
      </c>
      <c r="O29" s="67">
        <v>0.60317460317460314</v>
      </c>
      <c r="P29" s="67">
        <v>0.52727272727272723</v>
      </c>
      <c r="Q29" s="67">
        <v>0.4642857142857143</v>
      </c>
    </row>
    <row r="30" spans="1:17" x14ac:dyDescent="0.4">
      <c r="A30" s="69">
        <v>27</v>
      </c>
      <c r="B30" s="66">
        <v>362.4</v>
      </c>
      <c r="C30" s="66">
        <v>13.422222222222221</v>
      </c>
      <c r="D30" s="71">
        <v>1.6296296296296295</v>
      </c>
      <c r="E30" s="67">
        <v>0.59259259259259256</v>
      </c>
      <c r="F30" s="67">
        <v>0.22222222222222221</v>
      </c>
      <c r="G30" s="67">
        <v>0.37872340425531914</v>
      </c>
      <c r="H30" s="67">
        <v>0.14468085106382977</v>
      </c>
      <c r="I30" s="68">
        <v>8033.7078651685397</v>
      </c>
      <c r="J30" s="68">
        <v>-7823.5294117647063</v>
      </c>
      <c r="K30" s="67">
        <v>3.7037037037037035E-2</v>
      </c>
      <c r="L30" s="67">
        <v>0.14814814814814814</v>
      </c>
      <c r="M30" s="67">
        <v>0.27659574468085107</v>
      </c>
      <c r="N30" s="67">
        <v>0.24680851063829787</v>
      </c>
      <c r="O30" s="67">
        <v>0.61538461538461542</v>
      </c>
      <c r="P30" s="67">
        <v>0.53448275862068961</v>
      </c>
      <c r="Q30" s="67">
        <v>0.43820224719101125</v>
      </c>
    </row>
    <row r="31" spans="1:17" x14ac:dyDescent="0.4">
      <c r="A31" s="69">
        <v>28</v>
      </c>
      <c r="B31" s="66">
        <v>375.79999999999995</v>
      </c>
      <c r="C31" s="66">
        <v>13.421428571428569</v>
      </c>
      <c r="D31" s="71">
        <v>1.6428571428571428</v>
      </c>
      <c r="E31" s="67">
        <v>0.5714285714285714</v>
      </c>
      <c r="F31" s="67">
        <v>0.21428571428571427</v>
      </c>
      <c r="G31" s="67">
        <v>0.37398373983739835</v>
      </c>
      <c r="H31" s="67">
        <v>0.14227642276422764</v>
      </c>
      <c r="I31" s="68">
        <v>8228.2608695652179</v>
      </c>
      <c r="J31" s="68">
        <v>-7828.5714285714284</v>
      </c>
      <c r="K31" s="67">
        <v>3.5714285714285712E-2</v>
      </c>
      <c r="L31" s="67">
        <v>0.14285714285714285</v>
      </c>
      <c r="M31" s="67">
        <v>0.27642276422764228</v>
      </c>
      <c r="N31" s="67">
        <v>0.24796747967479674</v>
      </c>
      <c r="O31" s="67">
        <v>0.6029411764705882</v>
      </c>
      <c r="P31" s="67">
        <v>0.54098360655737709</v>
      </c>
      <c r="Q31" s="67">
        <v>0.42391304347826086</v>
      </c>
    </row>
    <row r="32" spans="1:17" x14ac:dyDescent="0.4">
      <c r="A32" s="69">
        <v>29</v>
      </c>
      <c r="B32" s="66">
        <v>381.09999999999997</v>
      </c>
      <c r="C32" s="66">
        <v>13.141379310344826</v>
      </c>
      <c r="D32" s="71">
        <v>1.6551724137931034</v>
      </c>
      <c r="E32" s="67">
        <v>0.55172413793103448</v>
      </c>
      <c r="F32" s="67">
        <v>0.20689655172413793</v>
      </c>
      <c r="G32" s="67">
        <v>0.37450199203187251</v>
      </c>
      <c r="H32" s="67">
        <v>0.1394422310756972</v>
      </c>
      <c r="I32" s="68">
        <v>8231.9148936170204</v>
      </c>
      <c r="J32" s="68">
        <v>-7828.5714285714284</v>
      </c>
      <c r="K32" s="67">
        <v>3.4482758620689655E-2</v>
      </c>
      <c r="L32" s="67">
        <v>0.13793103448275862</v>
      </c>
      <c r="M32" s="67">
        <v>0.27490039840637448</v>
      </c>
      <c r="N32" s="67">
        <v>0.24701195219123506</v>
      </c>
      <c r="O32" s="67">
        <v>0.59420289855072461</v>
      </c>
      <c r="P32" s="67">
        <v>0.54838709677419351</v>
      </c>
      <c r="Q32" s="67">
        <v>0.42553191489361702</v>
      </c>
    </row>
    <row r="33" spans="1:17" x14ac:dyDescent="0.4">
      <c r="A33" s="69">
        <v>30</v>
      </c>
      <c r="B33" s="66">
        <v>340.79999999999995</v>
      </c>
      <c r="C33" s="66">
        <v>11.359999999999998</v>
      </c>
      <c r="D33" s="71">
        <v>1.7</v>
      </c>
      <c r="E33" s="67">
        <v>0.53333333333333333</v>
      </c>
      <c r="F33" s="67">
        <v>0.23333333333333334</v>
      </c>
      <c r="G33" s="67">
        <v>0.36121673003802279</v>
      </c>
      <c r="H33" s="67">
        <v>0.13688212927756654</v>
      </c>
      <c r="I33" s="68">
        <v>8172.6315789473683</v>
      </c>
      <c r="J33" s="68">
        <v>-7755.5555555555557</v>
      </c>
      <c r="K33" s="67">
        <v>3.3333333333333333E-2</v>
      </c>
      <c r="L33" s="67">
        <v>0.13333333333333333</v>
      </c>
      <c r="M33" s="67">
        <v>0.26615969581749049</v>
      </c>
      <c r="N33" s="67">
        <v>0.24714828897338403</v>
      </c>
      <c r="O33" s="67">
        <v>0.58571428571428574</v>
      </c>
      <c r="P33" s="67">
        <v>0.53846153846153844</v>
      </c>
      <c r="Q33" s="67">
        <v>0.42105263157894735</v>
      </c>
    </row>
    <row r="34" spans="1:17" x14ac:dyDescent="0.4">
      <c r="A34" s="69">
        <v>31</v>
      </c>
      <c r="B34" s="66">
        <v>319.49999999999994</v>
      </c>
      <c r="C34" s="66">
        <v>10.306451612903224</v>
      </c>
      <c r="D34" s="71">
        <v>1.7419354838709677</v>
      </c>
      <c r="E34" s="67">
        <v>0.5161290322580645</v>
      </c>
      <c r="F34" s="67">
        <v>0.25806451612903225</v>
      </c>
      <c r="G34" s="67">
        <v>0.35636363636363638</v>
      </c>
      <c r="H34" s="67">
        <v>0.13818181818181818</v>
      </c>
      <c r="I34" s="68">
        <v>8070.408163265306</v>
      </c>
      <c r="J34" s="68">
        <v>-7636.8421052631575</v>
      </c>
      <c r="K34" s="67">
        <v>3.2258064516129031E-2</v>
      </c>
      <c r="L34" s="67">
        <v>0.12903225806451613</v>
      </c>
      <c r="M34" s="67">
        <v>0.25818181818181818</v>
      </c>
      <c r="N34" s="67">
        <v>0.24363636363636362</v>
      </c>
      <c r="O34" s="67">
        <v>0.59154929577464788</v>
      </c>
      <c r="P34" s="67">
        <v>0.52238805970149249</v>
      </c>
      <c r="Q34" s="67">
        <v>0.42857142857142855</v>
      </c>
    </row>
    <row r="35" spans="1:17" x14ac:dyDescent="0.4">
      <c r="A35" s="69">
        <v>32</v>
      </c>
      <c r="B35" s="66">
        <v>349.39999999999992</v>
      </c>
      <c r="C35" s="66">
        <v>10.918749999999998</v>
      </c>
      <c r="D35" s="71">
        <v>1.71875</v>
      </c>
      <c r="E35" s="67">
        <v>0.53125</v>
      </c>
      <c r="F35" s="67">
        <v>0.25</v>
      </c>
      <c r="G35" s="67">
        <v>0.35563380281690143</v>
      </c>
      <c r="H35" s="67">
        <v>0.13380281690140844</v>
      </c>
      <c r="I35" s="68">
        <v>8027.7227722772277</v>
      </c>
      <c r="J35" s="68">
        <v>-7636.8421052631575</v>
      </c>
      <c r="K35" s="67">
        <v>3.125E-2</v>
      </c>
      <c r="L35" s="67">
        <v>0.125</v>
      </c>
      <c r="M35" s="67">
        <v>0.25352112676056338</v>
      </c>
      <c r="N35" s="67">
        <v>0.23943661971830985</v>
      </c>
      <c r="O35" s="67">
        <v>0.59722222222222221</v>
      </c>
      <c r="P35" s="67">
        <v>0.52941176470588236</v>
      </c>
      <c r="Q35" s="67">
        <v>0.42574257425742573</v>
      </c>
    </row>
    <row r="36" spans="1:17" x14ac:dyDescent="0.4">
      <c r="A36" s="69">
        <v>33</v>
      </c>
      <c r="B36" s="66">
        <v>349.19999999999993</v>
      </c>
      <c r="C36" s="66">
        <v>10.58181818181818</v>
      </c>
      <c r="D36" s="71">
        <v>1.7272727272727273</v>
      </c>
      <c r="E36" s="67">
        <v>0.51515151515151514</v>
      </c>
      <c r="F36" s="67">
        <v>0.24242424242424243</v>
      </c>
      <c r="G36" s="67">
        <v>0.35395189003436428</v>
      </c>
      <c r="H36" s="67">
        <v>0.13058419243986255</v>
      </c>
      <c r="I36" s="68">
        <v>7918.4466019417478</v>
      </c>
      <c r="J36" s="68">
        <v>-7636.8421052631575</v>
      </c>
      <c r="K36" s="67">
        <v>3.0303030303030304E-2</v>
      </c>
      <c r="L36" s="67">
        <v>0.12121212121212122</v>
      </c>
      <c r="M36" s="67">
        <v>0.25085910652920962</v>
      </c>
      <c r="N36" s="67">
        <v>0.23711340206185566</v>
      </c>
      <c r="O36" s="67">
        <v>0.60273972602739723</v>
      </c>
      <c r="P36" s="67">
        <v>0.53623188405797106</v>
      </c>
      <c r="Q36" s="67">
        <v>0.42718446601941745</v>
      </c>
    </row>
    <row r="37" spans="1:17" x14ac:dyDescent="0.4">
      <c r="A37" s="69">
        <v>34</v>
      </c>
      <c r="B37" s="66">
        <v>374.49999999999994</v>
      </c>
      <c r="C37" s="66">
        <v>11.01470588235294</v>
      </c>
      <c r="D37" s="71">
        <v>1.7058823529411764</v>
      </c>
      <c r="E37" s="67">
        <v>0.52941176470588236</v>
      </c>
      <c r="F37" s="67">
        <v>0.23529411764705882</v>
      </c>
      <c r="G37" s="67">
        <v>0.34883720930232559</v>
      </c>
      <c r="H37" s="67">
        <v>0.12624584717607973</v>
      </c>
      <c r="I37" s="68">
        <v>8053.333333333333</v>
      </c>
      <c r="J37" s="68">
        <v>-7636.8421052631575</v>
      </c>
      <c r="K37" s="67">
        <v>2.9411764705882353E-2</v>
      </c>
      <c r="L37" s="67">
        <v>0.11764705882352941</v>
      </c>
      <c r="M37" s="67">
        <v>0.24916943521594684</v>
      </c>
      <c r="N37" s="67">
        <v>0.2292358803986711</v>
      </c>
      <c r="O37" s="67">
        <v>0.61333333333333329</v>
      </c>
      <c r="P37" s="67">
        <v>0.53623188405797106</v>
      </c>
      <c r="Q37" s="67">
        <v>0.42857142857142855</v>
      </c>
    </row>
    <row r="38" spans="1:17" x14ac:dyDescent="0.4">
      <c r="A38" s="69">
        <v>35</v>
      </c>
      <c r="B38" s="66">
        <v>357.89999999999992</v>
      </c>
      <c r="C38" s="66">
        <v>10.225714285714284</v>
      </c>
      <c r="D38" s="71">
        <v>1.7428571428571429</v>
      </c>
      <c r="E38" s="67">
        <v>0.51428571428571423</v>
      </c>
      <c r="F38" s="67">
        <v>0.25714285714285712</v>
      </c>
      <c r="G38" s="67">
        <v>0.34083601286173631</v>
      </c>
      <c r="H38" s="67">
        <v>0.13183279742765272</v>
      </c>
      <c r="I38" s="68">
        <v>8090.566037735849</v>
      </c>
      <c r="J38" s="68">
        <v>-7536.5853658536589</v>
      </c>
      <c r="K38" s="67">
        <v>2.8571428571428571E-2</v>
      </c>
      <c r="L38" s="67">
        <v>0.11428571428571428</v>
      </c>
      <c r="M38" s="67">
        <v>0.24758842443729903</v>
      </c>
      <c r="N38" s="67">
        <v>0.22508038585209003</v>
      </c>
      <c r="O38" s="67">
        <v>0.61038961038961037</v>
      </c>
      <c r="P38" s="67">
        <v>0.52857142857142858</v>
      </c>
      <c r="Q38" s="67">
        <v>0.43396226415094341</v>
      </c>
    </row>
    <row r="39" spans="1:17" x14ac:dyDescent="0.4">
      <c r="A39" s="69">
        <v>36</v>
      </c>
      <c r="B39" s="66">
        <v>312.09999999999991</v>
      </c>
      <c r="C39" s="66">
        <v>8.6694444444444425</v>
      </c>
      <c r="D39" s="71">
        <v>1.7777777777777777</v>
      </c>
      <c r="E39" s="67">
        <v>0.5</v>
      </c>
      <c r="F39" s="67">
        <v>0.27777777777777779</v>
      </c>
      <c r="G39" s="67">
        <v>0.33650793650793653</v>
      </c>
      <c r="H39" s="67">
        <v>0.13968253968253969</v>
      </c>
      <c r="I39" s="68">
        <v>8090.566037735849</v>
      </c>
      <c r="J39" s="68">
        <v>-7722.727272727273</v>
      </c>
      <c r="K39" s="67">
        <v>5.5555555555555552E-2</v>
      </c>
      <c r="L39" s="67">
        <v>0.1111111111111111</v>
      </c>
      <c r="M39" s="67">
        <v>0.24761904761904763</v>
      </c>
      <c r="N39" s="67">
        <v>0.22222222222222221</v>
      </c>
      <c r="O39" s="67">
        <v>0.60256410256410253</v>
      </c>
      <c r="P39" s="67">
        <v>0.52857142857142858</v>
      </c>
      <c r="Q39" s="67">
        <v>0.43396226415094341</v>
      </c>
    </row>
    <row r="40" spans="1:17" x14ac:dyDescent="0.4">
      <c r="A40" s="69">
        <v>37</v>
      </c>
      <c r="B40" s="66">
        <v>325.09999999999991</v>
      </c>
      <c r="C40" s="66">
        <v>8.7864864864864849</v>
      </c>
      <c r="D40" s="71">
        <v>1.7567567567567568</v>
      </c>
      <c r="E40" s="67">
        <v>0.51351351351351349</v>
      </c>
      <c r="F40" s="67">
        <v>0.27027027027027029</v>
      </c>
      <c r="G40" s="67">
        <v>0.3364485981308411</v>
      </c>
      <c r="H40" s="67">
        <v>0.13707165109034267</v>
      </c>
      <c r="I40" s="68">
        <v>8024.0740740740739</v>
      </c>
      <c r="J40" s="68">
        <v>-7722.727272727273</v>
      </c>
      <c r="K40" s="67">
        <v>5.4054054054054057E-2</v>
      </c>
      <c r="L40" s="67">
        <v>0.10810810810810811</v>
      </c>
      <c r="M40" s="67">
        <v>0.24610591900311526</v>
      </c>
      <c r="N40" s="67">
        <v>0.22118380062305296</v>
      </c>
      <c r="O40" s="67">
        <v>0.60759493670886078</v>
      </c>
      <c r="P40" s="67">
        <v>0.53521126760563376</v>
      </c>
      <c r="Q40" s="67">
        <v>0.42592592592592593</v>
      </c>
    </row>
    <row r="41" spans="1:17" x14ac:dyDescent="0.4">
      <c r="A41" s="69">
        <v>38</v>
      </c>
      <c r="B41" s="66">
        <v>360.49999999999989</v>
      </c>
      <c r="C41" s="66">
        <v>9.4868421052631557</v>
      </c>
      <c r="D41" s="71">
        <v>1.736842105263158</v>
      </c>
      <c r="E41" s="67">
        <v>0.52631578947368418</v>
      </c>
      <c r="F41" s="67">
        <v>0.26315789473684209</v>
      </c>
      <c r="G41" s="67">
        <v>0.34042553191489361</v>
      </c>
      <c r="H41" s="67">
        <v>0.13677811550151975</v>
      </c>
      <c r="I41" s="68">
        <v>7992.8571428571431</v>
      </c>
      <c r="J41" s="68">
        <v>-7595.5555555555557</v>
      </c>
      <c r="K41" s="67">
        <v>5.2631578947368418E-2</v>
      </c>
      <c r="L41" s="67">
        <v>0.10526315789473684</v>
      </c>
      <c r="M41" s="67">
        <v>0.24316109422492402</v>
      </c>
      <c r="N41" s="67">
        <v>0.22492401215805471</v>
      </c>
      <c r="O41" s="67">
        <v>0.61250000000000004</v>
      </c>
      <c r="P41" s="67">
        <v>0.54054054054054057</v>
      </c>
      <c r="Q41" s="67">
        <v>0.42857142857142855</v>
      </c>
    </row>
    <row r="42" spans="1:17" x14ac:dyDescent="0.4">
      <c r="A42" s="69">
        <v>39</v>
      </c>
      <c r="B42" s="66">
        <v>365.39999999999986</v>
      </c>
      <c r="C42" s="66">
        <v>9.3692307692307661</v>
      </c>
      <c r="D42" s="71">
        <v>1.7435897435897436</v>
      </c>
      <c r="E42" s="67">
        <v>0.51282051282051277</v>
      </c>
      <c r="F42" s="67">
        <v>0.25641025641025639</v>
      </c>
      <c r="G42" s="67">
        <v>0.33731343283582088</v>
      </c>
      <c r="H42" s="67">
        <v>0.13432835820895522</v>
      </c>
      <c r="I42" s="68">
        <v>7968.141592920354</v>
      </c>
      <c r="J42" s="68">
        <v>-7595.5555555555557</v>
      </c>
      <c r="K42" s="67">
        <v>5.128205128205128E-2</v>
      </c>
      <c r="L42" s="67">
        <v>0.10256410256410256</v>
      </c>
      <c r="M42" s="67">
        <v>0.24477611940298508</v>
      </c>
      <c r="N42" s="67">
        <v>0.22388059701492538</v>
      </c>
      <c r="O42" s="67">
        <v>0.6097560975609756</v>
      </c>
      <c r="P42" s="67">
        <v>0.53333333333333333</v>
      </c>
      <c r="Q42" s="67">
        <v>0.4247787610619469</v>
      </c>
    </row>
    <row r="43" spans="1:17" x14ac:dyDescent="0.4">
      <c r="A43" s="69">
        <v>40</v>
      </c>
      <c r="B43" s="66">
        <v>398.79999999999984</v>
      </c>
      <c r="C43" s="66">
        <v>9.9699999999999953</v>
      </c>
      <c r="D43" s="71">
        <v>1.7250000000000001</v>
      </c>
      <c r="E43" s="67">
        <v>0.52500000000000002</v>
      </c>
      <c r="F43" s="67">
        <v>0.25</v>
      </c>
      <c r="G43" s="67">
        <v>0.33819241982507287</v>
      </c>
      <c r="H43" s="67">
        <v>0.13119533527696792</v>
      </c>
      <c r="I43" s="68">
        <v>8048.2758620689656</v>
      </c>
      <c r="J43" s="68">
        <v>-7595.5555555555557</v>
      </c>
      <c r="K43" s="67">
        <v>0.05</v>
      </c>
      <c r="L43" s="67">
        <v>0.1</v>
      </c>
      <c r="M43" s="67">
        <v>0.24489795918367346</v>
      </c>
      <c r="N43" s="67">
        <v>0.22157434402332363</v>
      </c>
      <c r="O43" s="67">
        <v>0.61904761904761907</v>
      </c>
      <c r="P43" s="67">
        <v>0.52631578947368418</v>
      </c>
      <c r="Q43" s="67">
        <v>0.43103448275862066</v>
      </c>
    </row>
    <row r="44" spans="1:17" x14ac:dyDescent="0.4">
      <c r="A44" s="69">
        <v>41</v>
      </c>
      <c r="B44" s="66">
        <v>399.89999999999986</v>
      </c>
      <c r="C44" s="66">
        <v>9.7536585365853625</v>
      </c>
      <c r="D44" s="71">
        <v>1.7317073170731707</v>
      </c>
      <c r="E44" s="67">
        <v>0.51219512195121952</v>
      </c>
      <c r="F44" s="67">
        <v>0.24390243902439024</v>
      </c>
      <c r="G44" s="67">
        <v>0.33618233618233617</v>
      </c>
      <c r="H44" s="67">
        <v>0.13390313390313391</v>
      </c>
      <c r="I44" s="68">
        <v>8032.2033898305081</v>
      </c>
      <c r="J44" s="68">
        <v>-7465.9574468085102</v>
      </c>
      <c r="K44" s="67">
        <v>4.878048780487805E-2</v>
      </c>
      <c r="L44" s="67">
        <v>9.7560975609756101E-2</v>
      </c>
      <c r="M44" s="67">
        <v>0.24501424501424501</v>
      </c>
      <c r="N44" s="67">
        <v>0.21652421652421652</v>
      </c>
      <c r="O44" s="67">
        <v>0.61627906976744184</v>
      </c>
      <c r="P44" s="67">
        <v>0.52631578947368418</v>
      </c>
      <c r="Q44" s="67">
        <v>0.44067796610169491</v>
      </c>
    </row>
    <row r="45" spans="1:17" x14ac:dyDescent="0.4">
      <c r="A45" s="69">
        <v>42</v>
      </c>
      <c r="B45" s="66">
        <v>419.29999999999984</v>
      </c>
      <c r="C45" s="66">
        <v>9.983333333333329</v>
      </c>
      <c r="D45" s="71">
        <v>1.7142857142857142</v>
      </c>
      <c r="E45" s="67">
        <v>0.52380952380952384</v>
      </c>
      <c r="F45" s="67">
        <v>0.23809523809523808</v>
      </c>
      <c r="G45" s="67">
        <v>0.34078212290502791</v>
      </c>
      <c r="H45" s="67">
        <v>0.13407821229050279</v>
      </c>
      <c r="I45" s="68">
        <v>7878.688524590164</v>
      </c>
      <c r="J45" s="68">
        <v>-7477.083333333333</v>
      </c>
      <c r="K45" s="67">
        <v>4.7619047619047616E-2</v>
      </c>
      <c r="L45" s="67">
        <v>9.5238095238095233E-2</v>
      </c>
      <c r="M45" s="67">
        <v>0.25139664804469275</v>
      </c>
      <c r="N45" s="67">
        <v>0.21508379888268156</v>
      </c>
      <c r="O45" s="67">
        <v>0.61111111111111116</v>
      </c>
      <c r="P45" s="67">
        <v>0.53246753246753242</v>
      </c>
      <c r="Q45" s="67">
        <v>0.42622950819672129</v>
      </c>
    </row>
    <row r="46" spans="1:17" x14ac:dyDescent="0.4">
      <c r="A46" s="69">
        <v>43</v>
      </c>
      <c r="B46" s="66">
        <v>424.79999999999984</v>
      </c>
      <c r="C46" s="66">
        <v>9.8790697674418571</v>
      </c>
      <c r="D46" s="71">
        <v>1.7209302325581395</v>
      </c>
      <c r="E46" s="67">
        <v>0.51162790697674421</v>
      </c>
      <c r="F46" s="67">
        <v>0.23255813953488372</v>
      </c>
      <c r="G46" s="67">
        <v>0.34426229508196721</v>
      </c>
      <c r="H46" s="67">
        <v>0.13387978142076504</v>
      </c>
      <c r="I46" s="68">
        <v>7830.9523809523807</v>
      </c>
      <c r="J46" s="68">
        <v>-7651.0204081632655</v>
      </c>
      <c r="K46" s="67">
        <v>4.6511627906976744E-2</v>
      </c>
      <c r="L46" s="67">
        <v>9.3023255813953487E-2</v>
      </c>
      <c r="M46" s="67">
        <v>0.25136612021857924</v>
      </c>
      <c r="N46" s="67">
        <v>0.22131147540983606</v>
      </c>
      <c r="O46" s="67">
        <v>0.60869565217391308</v>
      </c>
      <c r="P46" s="67">
        <v>0.54320987654320985</v>
      </c>
      <c r="Q46" s="67">
        <v>0.41269841269841268</v>
      </c>
    </row>
    <row r="47" spans="1:17" x14ac:dyDescent="0.4">
      <c r="A47" s="69">
        <v>44</v>
      </c>
      <c r="B47" s="66">
        <v>424.39999999999986</v>
      </c>
      <c r="C47" s="66">
        <v>9.6454545454545428</v>
      </c>
      <c r="D47" s="71">
        <v>1.7272727272727273</v>
      </c>
      <c r="E47" s="67">
        <v>0.5</v>
      </c>
      <c r="F47" s="67">
        <v>0.22727272727272727</v>
      </c>
      <c r="G47" s="67">
        <v>0.34491978609625668</v>
      </c>
      <c r="H47" s="67">
        <v>0.13368983957219252</v>
      </c>
      <c r="I47" s="68">
        <v>7813.1782945736431</v>
      </c>
      <c r="J47" s="68">
        <v>-7730</v>
      </c>
      <c r="K47" s="67">
        <v>4.5454545454545456E-2</v>
      </c>
      <c r="L47" s="67">
        <v>9.0909090909090912E-2</v>
      </c>
      <c r="M47" s="67">
        <v>0.25133689839572193</v>
      </c>
      <c r="N47" s="67">
        <v>0.22459893048128343</v>
      </c>
      <c r="O47" s="67">
        <v>0.6063829787234043</v>
      </c>
      <c r="P47" s="67">
        <v>0.54761904761904767</v>
      </c>
      <c r="Q47" s="67">
        <v>0.41860465116279072</v>
      </c>
    </row>
    <row r="48" spans="1:17" x14ac:dyDescent="0.4">
      <c r="A48" s="69">
        <v>45</v>
      </c>
      <c r="B48" s="66">
        <v>425.69999999999987</v>
      </c>
      <c r="C48" s="66">
        <v>9.4599999999999973</v>
      </c>
      <c r="D48" s="71">
        <v>1.7333333333333334</v>
      </c>
      <c r="E48" s="67">
        <v>0.48888888888888887</v>
      </c>
      <c r="F48" s="67">
        <v>0.22222222222222221</v>
      </c>
      <c r="G48" s="67">
        <v>0.34383202099737531</v>
      </c>
      <c r="H48" s="67">
        <v>0.13123359580052493</v>
      </c>
      <c r="I48" s="68">
        <v>7805.3435114503818</v>
      </c>
      <c r="J48" s="68">
        <v>-7730</v>
      </c>
      <c r="K48" s="67">
        <v>4.4444444444444446E-2</v>
      </c>
      <c r="L48" s="67">
        <v>8.8888888888888892E-2</v>
      </c>
      <c r="M48" s="67">
        <v>0.24934383202099739</v>
      </c>
      <c r="N48" s="67">
        <v>0.22572178477690288</v>
      </c>
      <c r="O48" s="67">
        <v>0.61052631578947369</v>
      </c>
      <c r="P48" s="67">
        <v>0.54651162790697672</v>
      </c>
      <c r="Q48" s="67">
        <v>0.41984732824427479</v>
      </c>
    </row>
    <row r="49" spans="1:17" x14ac:dyDescent="0.4">
      <c r="A49" s="69">
        <v>46</v>
      </c>
      <c r="B49" s="66">
        <v>465.7999999999999</v>
      </c>
      <c r="C49" s="66">
        <v>10.126086956521737</v>
      </c>
      <c r="D49" s="71">
        <v>1.7173913043478262</v>
      </c>
      <c r="E49" s="67">
        <v>0.5</v>
      </c>
      <c r="F49" s="67">
        <v>0.21739130434782608</v>
      </c>
      <c r="G49" s="67">
        <v>0.34961439588688947</v>
      </c>
      <c r="H49" s="67">
        <v>0.12853470437017994</v>
      </c>
      <c r="I49" s="68">
        <v>7780.1470588235297</v>
      </c>
      <c r="J49" s="68">
        <v>-7730</v>
      </c>
      <c r="K49" s="67">
        <v>4.3478260869565216E-2</v>
      </c>
      <c r="L49" s="67">
        <v>8.6956521739130432E-2</v>
      </c>
      <c r="M49" s="67">
        <v>0.25192802056555269</v>
      </c>
      <c r="N49" s="67">
        <v>0.2262210796915167</v>
      </c>
      <c r="O49" s="67">
        <v>0.61224489795918369</v>
      </c>
      <c r="P49" s="67">
        <v>0.55681818181818177</v>
      </c>
      <c r="Q49" s="67">
        <v>0.40441176470588236</v>
      </c>
    </row>
  </sheetData>
  <phoneticPr fontId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C34A78-8F62-44D0-9A29-F25FA6283283}">
  <sheetPr codeName="Sheet8"/>
  <dimension ref="A1:Q25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167</v>
      </c>
      <c r="B1" s="70" t="s">
        <v>167</v>
      </c>
      <c r="C1" s="70" t="s">
        <v>167</v>
      </c>
      <c r="D1" s="71" t="s">
        <v>167</v>
      </c>
      <c r="E1" s="70" t="s">
        <v>167</v>
      </c>
      <c r="F1" s="70" t="s">
        <v>167</v>
      </c>
      <c r="G1" s="70" t="s">
        <v>167</v>
      </c>
      <c r="H1" s="70" t="s">
        <v>167</v>
      </c>
      <c r="I1" s="70" t="s">
        <v>167</v>
      </c>
      <c r="J1" s="70" t="s">
        <v>167</v>
      </c>
      <c r="K1" s="70" t="s">
        <v>167</v>
      </c>
      <c r="L1" s="70" t="s">
        <v>167</v>
      </c>
      <c r="M1" s="70" t="s">
        <v>167</v>
      </c>
      <c r="N1" s="70" t="s">
        <v>167</v>
      </c>
      <c r="O1" s="70" t="s">
        <v>167</v>
      </c>
      <c r="P1" s="70" t="s">
        <v>167</v>
      </c>
      <c r="Q1" s="70" t="s">
        <v>167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161</v>
      </c>
      <c r="G2" s="70" t="s">
        <v>146</v>
      </c>
      <c r="H2" s="70" t="s">
        <v>145</v>
      </c>
      <c r="I2" s="70" t="s">
        <v>5</v>
      </c>
      <c r="J2" s="70" t="s">
        <v>17</v>
      </c>
      <c r="K2" s="70" t="s">
        <v>18</v>
      </c>
      <c r="L2" s="70" t="s">
        <v>140</v>
      </c>
      <c r="M2" s="70" t="s">
        <v>123</v>
      </c>
      <c r="N2" s="70" t="s">
        <v>120</v>
      </c>
      <c r="O2" s="70" t="s">
        <v>126</v>
      </c>
      <c r="P2" s="70" t="s">
        <v>147</v>
      </c>
      <c r="Q2" s="70" t="s">
        <v>143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-4.5999999999999996</v>
      </c>
      <c r="C4" s="66">
        <v>-4.5999999999999996</v>
      </c>
      <c r="D4" s="71">
        <v>2</v>
      </c>
      <c r="E4" s="67">
        <v>0</v>
      </c>
      <c r="F4" s="67">
        <v>0</v>
      </c>
      <c r="G4" s="67">
        <v>0.3</v>
      </c>
      <c r="H4" s="67">
        <v>0.1</v>
      </c>
      <c r="I4" s="68">
        <v>5000</v>
      </c>
      <c r="J4" s="68">
        <v>-2600</v>
      </c>
      <c r="K4" s="67">
        <v>0</v>
      </c>
      <c r="L4" s="67">
        <v>0</v>
      </c>
      <c r="M4" s="67">
        <v>0.4</v>
      </c>
      <c r="N4" s="67">
        <v>0.2</v>
      </c>
      <c r="O4" s="67">
        <v>0.25</v>
      </c>
      <c r="P4" s="67">
        <v>0.5</v>
      </c>
      <c r="Q4" s="67">
        <v>0</v>
      </c>
    </row>
    <row r="5" spans="1:17" x14ac:dyDescent="0.4">
      <c r="A5" s="69">
        <v>2</v>
      </c>
      <c r="B5" s="66">
        <v>19.899999999999999</v>
      </c>
      <c r="C5" s="66">
        <v>9.9499999999999993</v>
      </c>
      <c r="D5" s="71">
        <v>1.5</v>
      </c>
      <c r="E5" s="67">
        <v>0.5</v>
      </c>
      <c r="F5" s="67">
        <v>0</v>
      </c>
      <c r="G5" s="67">
        <v>0.31578947368421051</v>
      </c>
      <c r="H5" s="67">
        <v>0.10526315789473684</v>
      </c>
      <c r="I5" s="68">
        <v>7000</v>
      </c>
      <c r="J5" s="68">
        <v>-7300</v>
      </c>
      <c r="K5" s="67">
        <v>0</v>
      </c>
      <c r="L5" s="67">
        <v>0</v>
      </c>
      <c r="M5" s="67">
        <v>0.36842105263157893</v>
      </c>
      <c r="N5" s="67">
        <v>0.26315789473684209</v>
      </c>
      <c r="O5" s="67">
        <v>0.42857142857142855</v>
      </c>
      <c r="P5" s="67">
        <v>0.4</v>
      </c>
      <c r="Q5" s="67">
        <v>0.33333333333333331</v>
      </c>
    </row>
    <row r="6" spans="1:17" x14ac:dyDescent="0.4">
      <c r="A6" s="69">
        <v>3</v>
      </c>
      <c r="B6" s="66">
        <v>-8.3000000000000007</v>
      </c>
      <c r="C6" s="66">
        <v>-2.7666666666666671</v>
      </c>
      <c r="D6" s="71">
        <v>2</v>
      </c>
      <c r="E6" s="67">
        <v>0.33333333333333331</v>
      </c>
      <c r="F6" s="67">
        <v>0.33333333333333331</v>
      </c>
      <c r="G6" s="67">
        <v>0.25925925925925924</v>
      </c>
      <c r="H6" s="67">
        <v>0.18518518518518517</v>
      </c>
      <c r="I6" s="68">
        <v>6557.1428571428569</v>
      </c>
      <c r="J6" s="68">
        <v>-6340</v>
      </c>
      <c r="K6" s="67">
        <v>0</v>
      </c>
      <c r="L6" s="67">
        <v>0</v>
      </c>
      <c r="M6" s="67">
        <v>0.33333333333333331</v>
      </c>
      <c r="N6" s="67">
        <v>0.22222222222222221</v>
      </c>
      <c r="O6" s="67">
        <v>0.44444444444444442</v>
      </c>
      <c r="P6" s="67">
        <v>0.33333333333333331</v>
      </c>
      <c r="Q6" s="67">
        <v>0.2857142857142857</v>
      </c>
    </row>
    <row r="7" spans="1:17" x14ac:dyDescent="0.4">
      <c r="A7" s="69">
        <v>4</v>
      </c>
      <c r="B7" s="66">
        <v>-30.7</v>
      </c>
      <c r="C7" s="66">
        <v>-7.6749999999999998</v>
      </c>
      <c r="D7" s="71">
        <v>2</v>
      </c>
      <c r="E7" s="67">
        <v>0.25</v>
      </c>
      <c r="F7" s="67">
        <v>0.25</v>
      </c>
      <c r="G7" s="67">
        <v>0.26315789473684209</v>
      </c>
      <c r="H7" s="67">
        <v>0.21052631578947367</v>
      </c>
      <c r="I7" s="68">
        <v>7390</v>
      </c>
      <c r="J7" s="68">
        <v>-8375</v>
      </c>
      <c r="K7" s="67">
        <v>0</v>
      </c>
      <c r="L7" s="67">
        <v>0</v>
      </c>
      <c r="M7" s="67">
        <v>0.34210526315789475</v>
      </c>
      <c r="N7" s="67">
        <v>0.23684210526315788</v>
      </c>
      <c r="O7" s="67">
        <v>0.46153846153846156</v>
      </c>
      <c r="P7" s="67">
        <v>0.33333333333333331</v>
      </c>
      <c r="Q7" s="67">
        <v>0.4</v>
      </c>
    </row>
    <row r="8" spans="1:17" x14ac:dyDescent="0.4">
      <c r="A8" s="69">
        <v>5</v>
      </c>
      <c r="B8" s="66">
        <v>-55.8</v>
      </c>
      <c r="C8" s="66">
        <v>-11.16</v>
      </c>
      <c r="D8" s="71">
        <v>2.2000000000000002</v>
      </c>
      <c r="E8" s="67">
        <v>0.2</v>
      </c>
      <c r="F8" s="67">
        <v>0.4</v>
      </c>
      <c r="G8" s="67">
        <v>0.24444444444444444</v>
      </c>
      <c r="H8" s="67">
        <v>0.22222222222222221</v>
      </c>
      <c r="I8" s="68">
        <v>7445.454545454545</v>
      </c>
      <c r="J8" s="68">
        <v>-8160</v>
      </c>
      <c r="K8" s="67">
        <v>0</v>
      </c>
      <c r="L8" s="67">
        <v>0</v>
      </c>
      <c r="M8" s="67">
        <v>0.28888888888888886</v>
      </c>
      <c r="N8" s="67">
        <v>0.26666666666666666</v>
      </c>
      <c r="O8" s="67">
        <v>0.46153846153846156</v>
      </c>
      <c r="P8" s="67">
        <v>0.33333333333333331</v>
      </c>
      <c r="Q8" s="67">
        <v>0.36363636363636365</v>
      </c>
    </row>
    <row r="9" spans="1:17" x14ac:dyDescent="0.4">
      <c r="A9" s="69">
        <v>6</v>
      </c>
      <c r="B9" s="66">
        <v>-40.799999999999997</v>
      </c>
      <c r="C9" s="66">
        <v>-6.8</v>
      </c>
      <c r="D9" s="71">
        <v>2</v>
      </c>
      <c r="E9" s="67">
        <v>0.33333333333333331</v>
      </c>
      <c r="F9" s="67">
        <v>0.33333333333333331</v>
      </c>
      <c r="G9" s="67">
        <v>0.24074074074074073</v>
      </c>
      <c r="H9" s="67">
        <v>0.22222222222222221</v>
      </c>
      <c r="I9" s="68">
        <v>7838.4615384615381</v>
      </c>
      <c r="J9" s="68">
        <v>-7925</v>
      </c>
      <c r="K9" s="67">
        <v>0</v>
      </c>
      <c r="L9" s="67">
        <v>0</v>
      </c>
      <c r="M9" s="67">
        <v>0.29629629629629628</v>
      </c>
      <c r="N9" s="67">
        <v>0.24074074074074073</v>
      </c>
      <c r="O9" s="67">
        <v>0.5</v>
      </c>
      <c r="P9" s="67">
        <v>0.30769230769230771</v>
      </c>
      <c r="Q9" s="67">
        <v>0.46153846153846156</v>
      </c>
    </row>
    <row r="10" spans="1:17" x14ac:dyDescent="0.4">
      <c r="A10" s="69">
        <v>7</v>
      </c>
      <c r="B10" s="66">
        <v>-71</v>
      </c>
      <c r="C10" s="66">
        <v>-10.142857142857142</v>
      </c>
      <c r="D10" s="71">
        <v>2.1428571428571428</v>
      </c>
      <c r="E10" s="67">
        <v>0.2857142857142857</v>
      </c>
      <c r="F10" s="67">
        <v>0.42857142857142855</v>
      </c>
      <c r="G10" s="67">
        <v>0.22058823529411764</v>
      </c>
      <c r="H10" s="67">
        <v>0.23529411764705882</v>
      </c>
      <c r="I10" s="68">
        <v>8180</v>
      </c>
      <c r="J10" s="68">
        <v>-7700</v>
      </c>
      <c r="K10" s="67">
        <v>0</v>
      </c>
      <c r="L10" s="67">
        <v>0</v>
      </c>
      <c r="M10" s="67">
        <v>0.25</v>
      </c>
      <c r="N10" s="67">
        <v>0.26470588235294118</v>
      </c>
      <c r="O10" s="67">
        <v>0.52941176470588236</v>
      </c>
      <c r="P10" s="67">
        <v>0.27777777777777779</v>
      </c>
      <c r="Q10" s="67">
        <v>0.46666666666666667</v>
      </c>
    </row>
    <row r="11" spans="1:17" x14ac:dyDescent="0.4">
      <c r="A11" s="69">
        <v>8</v>
      </c>
      <c r="B11" s="66">
        <v>-76.900000000000006</v>
      </c>
      <c r="C11" s="66">
        <v>-9.6125000000000007</v>
      </c>
      <c r="D11" s="71">
        <v>2.125</v>
      </c>
      <c r="E11" s="67">
        <v>0.25</v>
      </c>
      <c r="F11" s="67">
        <v>0.375</v>
      </c>
      <c r="G11" s="67">
        <v>0.21794871794871795</v>
      </c>
      <c r="H11" s="67">
        <v>0.20512820512820512</v>
      </c>
      <c r="I11" s="68">
        <v>7805.8823529411766</v>
      </c>
      <c r="J11" s="68">
        <v>-7700</v>
      </c>
      <c r="K11" s="67">
        <v>0</v>
      </c>
      <c r="L11" s="67">
        <v>0</v>
      </c>
      <c r="M11" s="67">
        <v>0.24358974358974358</v>
      </c>
      <c r="N11" s="67">
        <v>0.26923076923076922</v>
      </c>
      <c r="O11" s="67">
        <v>0.47368421052631576</v>
      </c>
      <c r="P11" s="67">
        <v>0.23809523809523808</v>
      </c>
      <c r="Q11" s="67">
        <v>0.47058823529411764</v>
      </c>
    </row>
    <row r="12" spans="1:17" x14ac:dyDescent="0.4">
      <c r="A12" s="69">
        <v>9</v>
      </c>
      <c r="B12" s="66">
        <v>-59.500000000000007</v>
      </c>
      <c r="C12" s="66">
        <v>-6.6111111111111116</v>
      </c>
      <c r="D12" s="71">
        <v>2</v>
      </c>
      <c r="E12" s="67">
        <v>0.33333333333333331</v>
      </c>
      <c r="F12" s="67">
        <v>0.33333333333333331</v>
      </c>
      <c r="G12" s="67">
        <v>0.2413793103448276</v>
      </c>
      <c r="H12" s="67">
        <v>0.19540229885057472</v>
      </c>
      <c r="I12" s="68">
        <v>7576.1904761904761</v>
      </c>
      <c r="J12" s="68">
        <v>-7552.9411764705883</v>
      </c>
      <c r="K12" s="67">
        <v>0</v>
      </c>
      <c r="L12" s="67">
        <v>0</v>
      </c>
      <c r="M12" s="67">
        <v>0.2413793103448276</v>
      </c>
      <c r="N12" s="67">
        <v>0.26436781609195403</v>
      </c>
      <c r="O12" s="67">
        <v>0.52380952380952384</v>
      </c>
      <c r="P12" s="67">
        <v>0.2608695652173913</v>
      </c>
      <c r="Q12" s="67">
        <v>0.52380952380952384</v>
      </c>
    </row>
    <row r="13" spans="1:17" x14ac:dyDescent="0.4">
      <c r="A13" s="69">
        <v>10</v>
      </c>
      <c r="B13" s="66">
        <v>-32.700000000000003</v>
      </c>
      <c r="C13" s="66">
        <v>-3.2700000000000005</v>
      </c>
      <c r="D13" s="71">
        <v>1.9</v>
      </c>
      <c r="E13" s="67">
        <v>0.4</v>
      </c>
      <c r="F13" s="67">
        <v>0.3</v>
      </c>
      <c r="G13" s="67">
        <v>0.25263157894736843</v>
      </c>
      <c r="H13" s="67">
        <v>0.18947368421052632</v>
      </c>
      <c r="I13" s="68">
        <v>7562.5</v>
      </c>
      <c r="J13" s="68">
        <v>-7277.7777777777774</v>
      </c>
      <c r="K13" s="67">
        <v>0</v>
      </c>
      <c r="L13" s="67">
        <v>0</v>
      </c>
      <c r="M13" s="67">
        <v>0.24210526315789474</v>
      </c>
      <c r="N13" s="67">
        <v>0.27368421052631581</v>
      </c>
      <c r="O13" s="67">
        <v>0.56521739130434778</v>
      </c>
      <c r="P13" s="67">
        <v>0.23076923076923078</v>
      </c>
      <c r="Q13" s="67">
        <v>0.5</v>
      </c>
    </row>
    <row r="14" spans="1:17" x14ac:dyDescent="0.4">
      <c r="A14" s="69">
        <v>11</v>
      </c>
      <c r="B14" s="66">
        <v>-35.5</v>
      </c>
      <c r="C14" s="66">
        <v>-3.2272727272727271</v>
      </c>
      <c r="D14" s="71">
        <v>1.9090909090909092</v>
      </c>
      <c r="E14" s="67">
        <v>0.36363636363636365</v>
      </c>
      <c r="F14" s="67">
        <v>0.27272727272727271</v>
      </c>
      <c r="G14" s="67">
        <v>0.24509803921568626</v>
      </c>
      <c r="H14" s="67">
        <v>0.17647058823529413</v>
      </c>
      <c r="I14" s="68">
        <v>7568</v>
      </c>
      <c r="J14" s="68">
        <v>-7277.7777777777774</v>
      </c>
      <c r="K14" s="67">
        <v>0</v>
      </c>
      <c r="L14" s="67">
        <v>0</v>
      </c>
      <c r="M14" s="67">
        <v>0.22549019607843138</v>
      </c>
      <c r="N14" s="67">
        <v>0.27450980392156865</v>
      </c>
      <c r="O14" s="67">
        <v>0.56521739130434778</v>
      </c>
      <c r="P14" s="67">
        <v>0.25</v>
      </c>
      <c r="Q14" s="67">
        <v>0.48</v>
      </c>
    </row>
    <row r="15" spans="1:17" x14ac:dyDescent="0.4">
      <c r="A15" s="69">
        <v>12</v>
      </c>
      <c r="B15" s="66">
        <v>-59.5</v>
      </c>
      <c r="C15" s="66">
        <v>-4.958333333333333</v>
      </c>
      <c r="D15" s="71">
        <v>2</v>
      </c>
      <c r="E15" s="67">
        <v>0.33333333333333331</v>
      </c>
      <c r="F15" s="67">
        <v>0.33333333333333331</v>
      </c>
      <c r="G15" s="67">
        <v>0.24324324324324326</v>
      </c>
      <c r="H15" s="67">
        <v>0.17117117117117117</v>
      </c>
      <c r="I15" s="68">
        <v>7451.8518518518522</v>
      </c>
      <c r="J15" s="68">
        <v>-7000</v>
      </c>
      <c r="K15" s="67">
        <v>0</v>
      </c>
      <c r="L15" s="67">
        <v>0</v>
      </c>
      <c r="M15" s="67">
        <v>0.21621621621621623</v>
      </c>
      <c r="N15" s="67">
        <v>0.27027027027027029</v>
      </c>
      <c r="O15" s="67">
        <v>0.58333333333333337</v>
      </c>
      <c r="P15" s="67">
        <v>0.26666666666666666</v>
      </c>
      <c r="Q15" s="67">
        <v>0.48148148148148145</v>
      </c>
    </row>
    <row r="16" spans="1:17" x14ac:dyDescent="0.4">
      <c r="A16" s="69">
        <v>13</v>
      </c>
      <c r="B16" s="66">
        <v>-66.2</v>
      </c>
      <c r="C16" s="66">
        <v>-5.0923076923076929</v>
      </c>
      <c r="D16" s="71">
        <v>2</v>
      </c>
      <c r="E16" s="67">
        <v>0.30769230769230771</v>
      </c>
      <c r="F16" s="67">
        <v>0.30769230769230771</v>
      </c>
      <c r="G16" s="67">
        <v>0.24590163934426229</v>
      </c>
      <c r="H16" s="67">
        <v>0.1721311475409836</v>
      </c>
      <c r="I16" s="68">
        <v>7803.333333333333</v>
      </c>
      <c r="J16" s="68">
        <v>-7457.1428571428569</v>
      </c>
      <c r="K16" s="67">
        <v>0</v>
      </c>
      <c r="L16" s="67">
        <v>0</v>
      </c>
      <c r="M16" s="67">
        <v>0.20491803278688525</v>
      </c>
      <c r="N16" s="67">
        <v>0.27868852459016391</v>
      </c>
      <c r="O16" s="67">
        <v>0.6</v>
      </c>
      <c r="P16" s="67">
        <v>0.23529411764705882</v>
      </c>
      <c r="Q16" s="67">
        <v>0.5</v>
      </c>
    </row>
    <row r="17" spans="1:17" x14ac:dyDescent="0.4">
      <c r="A17" s="69">
        <v>14</v>
      </c>
      <c r="B17" s="66">
        <v>-51.1</v>
      </c>
      <c r="C17" s="66">
        <v>-3.65</v>
      </c>
      <c r="D17" s="71">
        <v>1.9285714285714286</v>
      </c>
      <c r="E17" s="67">
        <v>0.35714285714285715</v>
      </c>
      <c r="F17" s="67">
        <v>0.2857142857142857</v>
      </c>
      <c r="G17" s="67">
        <v>0.25</v>
      </c>
      <c r="H17" s="67">
        <v>0.17424242424242425</v>
      </c>
      <c r="I17" s="68">
        <v>7793.939393939394</v>
      </c>
      <c r="J17" s="68">
        <v>-7395.652173913043</v>
      </c>
      <c r="K17" s="67">
        <v>0</v>
      </c>
      <c r="L17" s="67">
        <v>0</v>
      </c>
      <c r="M17" s="67">
        <v>0.18939393939393939</v>
      </c>
      <c r="N17" s="67">
        <v>0.27272727272727271</v>
      </c>
      <c r="O17" s="67">
        <v>0.6</v>
      </c>
      <c r="P17" s="67">
        <v>0.25</v>
      </c>
      <c r="Q17" s="67">
        <v>0.51515151515151514</v>
      </c>
    </row>
    <row r="18" spans="1:17" x14ac:dyDescent="0.4">
      <c r="A18" s="69">
        <v>15</v>
      </c>
      <c r="B18" s="66">
        <v>-65.2</v>
      </c>
      <c r="C18" s="66">
        <v>-4.3466666666666667</v>
      </c>
      <c r="D18" s="71">
        <v>2</v>
      </c>
      <c r="E18" s="67">
        <v>0.33333333333333331</v>
      </c>
      <c r="F18" s="67">
        <v>0.33333333333333331</v>
      </c>
      <c r="G18" s="67">
        <v>0.25</v>
      </c>
      <c r="H18" s="67">
        <v>0.1736111111111111</v>
      </c>
      <c r="I18" s="68">
        <v>7527.7777777777774</v>
      </c>
      <c r="J18" s="68">
        <v>-7108</v>
      </c>
      <c r="K18" s="67">
        <v>0</v>
      </c>
      <c r="L18" s="67">
        <v>0</v>
      </c>
      <c r="M18" s="67">
        <v>0.1875</v>
      </c>
      <c r="N18" s="67">
        <v>0.25694444444444442</v>
      </c>
      <c r="O18" s="67">
        <v>0.59259259259259256</v>
      </c>
      <c r="P18" s="67">
        <v>0.27027027027027029</v>
      </c>
      <c r="Q18" s="67">
        <v>0.5</v>
      </c>
    </row>
    <row r="19" spans="1:17" x14ac:dyDescent="0.4">
      <c r="A19" s="69">
        <v>16</v>
      </c>
      <c r="B19" s="66">
        <v>-70.600000000000009</v>
      </c>
      <c r="C19" s="66">
        <v>-4.4125000000000005</v>
      </c>
      <c r="D19" s="71">
        <v>2</v>
      </c>
      <c r="E19" s="67">
        <v>0.3125</v>
      </c>
      <c r="F19" s="67">
        <v>0.3125</v>
      </c>
      <c r="G19" s="67">
        <v>0.24025974025974026</v>
      </c>
      <c r="H19" s="67">
        <v>0.16883116883116883</v>
      </c>
      <c r="I19" s="68">
        <v>7540.5405405405409</v>
      </c>
      <c r="J19" s="68">
        <v>-6911.5384615384619</v>
      </c>
      <c r="K19" s="67">
        <v>0</v>
      </c>
      <c r="L19" s="67">
        <v>0</v>
      </c>
      <c r="M19" s="67">
        <v>0.18831168831168832</v>
      </c>
      <c r="N19" s="67">
        <v>0.24025974025974026</v>
      </c>
      <c r="O19" s="67">
        <v>0.58620689655172409</v>
      </c>
      <c r="P19" s="67">
        <v>0.27027027027027029</v>
      </c>
      <c r="Q19" s="67">
        <v>0.48648648648648651</v>
      </c>
    </row>
    <row r="20" spans="1:17" x14ac:dyDescent="0.4">
      <c r="A20" s="69">
        <v>17</v>
      </c>
      <c r="B20" s="66">
        <v>-65.2</v>
      </c>
      <c r="C20" s="66">
        <v>-3.835294117647059</v>
      </c>
      <c r="D20" s="71">
        <v>2</v>
      </c>
      <c r="E20" s="67">
        <v>0.29411764705882354</v>
      </c>
      <c r="F20" s="67">
        <v>0.29411764705882354</v>
      </c>
      <c r="G20" s="67">
        <v>0.24050632911392406</v>
      </c>
      <c r="H20" s="67">
        <v>0.16455696202531644</v>
      </c>
      <c r="I20" s="68">
        <v>7444.7368421052633</v>
      </c>
      <c r="J20" s="68">
        <v>-6911.5384615384619</v>
      </c>
      <c r="K20" s="67">
        <v>0</v>
      </c>
      <c r="L20" s="67">
        <v>0</v>
      </c>
      <c r="M20" s="67">
        <v>0.189873417721519</v>
      </c>
      <c r="N20" s="67">
        <v>0.23417721518987342</v>
      </c>
      <c r="O20" s="67">
        <v>0.56666666666666665</v>
      </c>
      <c r="P20" s="67">
        <v>0.27027027027027029</v>
      </c>
      <c r="Q20" s="67">
        <v>0.47368421052631576</v>
      </c>
    </row>
    <row r="21" spans="1:17" x14ac:dyDescent="0.4">
      <c r="A21" s="69">
        <v>18</v>
      </c>
      <c r="B21" s="66">
        <v>-80.2</v>
      </c>
      <c r="C21" s="66">
        <v>-4.4555555555555557</v>
      </c>
      <c r="D21" s="71">
        <v>2.0555555555555554</v>
      </c>
      <c r="E21" s="67">
        <v>0.27777777777777779</v>
      </c>
      <c r="F21" s="67">
        <v>0.33333333333333331</v>
      </c>
      <c r="G21" s="67">
        <v>0.24390243902439024</v>
      </c>
      <c r="H21" s="67">
        <v>0.16463414634146342</v>
      </c>
      <c r="I21" s="68">
        <v>7202.5</v>
      </c>
      <c r="J21" s="68">
        <v>-6848.1481481481478</v>
      </c>
      <c r="K21" s="67">
        <v>0</v>
      </c>
      <c r="L21" s="67">
        <v>0</v>
      </c>
      <c r="M21" s="67">
        <v>0.18902439024390244</v>
      </c>
      <c r="N21" s="67">
        <v>0.22560975609756098</v>
      </c>
      <c r="O21" s="67">
        <v>0.58064516129032262</v>
      </c>
      <c r="P21" s="67">
        <v>0.27027027027027029</v>
      </c>
      <c r="Q21" s="67">
        <v>0.5</v>
      </c>
    </row>
    <row r="22" spans="1:17" x14ac:dyDescent="0.4">
      <c r="A22" s="69">
        <v>19</v>
      </c>
      <c r="B22" s="66">
        <v>-115.1</v>
      </c>
      <c r="C22" s="66">
        <v>-6.0578947368421048</v>
      </c>
      <c r="D22" s="71">
        <v>2.1052631578947367</v>
      </c>
      <c r="E22" s="67">
        <v>0.26315789473684209</v>
      </c>
      <c r="F22" s="67">
        <v>0.36842105263157893</v>
      </c>
      <c r="G22" s="67">
        <v>0.23837209302325582</v>
      </c>
      <c r="H22" s="67">
        <v>0.1744186046511628</v>
      </c>
      <c r="I22" s="68">
        <v>7095.1219512195121</v>
      </c>
      <c r="J22" s="68">
        <v>-6670</v>
      </c>
      <c r="K22" s="67">
        <v>0</v>
      </c>
      <c r="L22" s="67">
        <v>0</v>
      </c>
      <c r="M22" s="67">
        <v>0.19186046511627908</v>
      </c>
      <c r="N22" s="67">
        <v>0.22674418604651161</v>
      </c>
      <c r="O22" s="67">
        <v>0.54545454545454541</v>
      </c>
      <c r="P22" s="67">
        <v>0.28205128205128205</v>
      </c>
      <c r="Q22" s="67">
        <v>0.51219512195121952</v>
      </c>
    </row>
    <row r="23" spans="1:17" x14ac:dyDescent="0.4">
      <c r="A23" s="69">
        <v>20</v>
      </c>
      <c r="B23" s="66">
        <v>-88.8</v>
      </c>
      <c r="C23" s="66">
        <v>-4.4399999999999995</v>
      </c>
      <c r="D23" s="71">
        <v>2.0499999999999998</v>
      </c>
      <c r="E23" s="67">
        <v>0.3</v>
      </c>
      <c r="F23" s="67">
        <v>0.35</v>
      </c>
      <c r="G23" s="67">
        <v>0.24444444444444444</v>
      </c>
      <c r="H23" s="67">
        <v>0.17777777777777778</v>
      </c>
      <c r="I23" s="68">
        <v>7134.090909090909</v>
      </c>
      <c r="J23" s="68">
        <v>-6525</v>
      </c>
      <c r="K23" s="67">
        <v>0</v>
      </c>
      <c r="L23" s="67">
        <v>0</v>
      </c>
      <c r="M23" s="67">
        <v>0.18333333333333332</v>
      </c>
      <c r="N23" s="67">
        <v>0.23333333333333334</v>
      </c>
      <c r="O23" s="67">
        <v>0.54545454545454541</v>
      </c>
      <c r="P23" s="67">
        <v>0.2857142857142857</v>
      </c>
      <c r="Q23" s="67">
        <v>0.52272727272727271</v>
      </c>
    </row>
    <row r="24" spans="1:17" x14ac:dyDescent="0.4">
      <c r="A24" s="69">
        <v>21</v>
      </c>
      <c r="B24" s="66">
        <v>-111.4</v>
      </c>
      <c r="C24" s="66">
        <v>-5.3047619047619055</v>
      </c>
      <c r="D24" s="71">
        <v>2.0952380952380953</v>
      </c>
      <c r="E24" s="67">
        <v>0.2857142857142857</v>
      </c>
      <c r="F24" s="67">
        <v>0.38095238095238093</v>
      </c>
      <c r="G24" s="67">
        <v>0.24468085106382978</v>
      </c>
      <c r="H24" s="67">
        <v>0.18085106382978725</v>
      </c>
      <c r="I24" s="68">
        <v>7336.95652173913</v>
      </c>
      <c r="J24" s="68">
        <v>-6647.0588235294117</v>
      </c>
      <c r="K24" s="67">
        <v>0</v>
      </c>
      <c r="L24" s="67">
        <v>0</v>
      </c>
      <c r="M24" s="67">
        <v>0.18617021276595744</v>
      </c>
      <c r="N24" s="67">
        <v>0.23404255319148937</v>
      </c>
      <c r="O24" s="67">
        <v>0.54285714285714282</v>
      </c>
      <c r="P24" s="67">
        <v>0.29545454545454547</v>
      </c>
      <c r="Q24" s="67">
        <v>0.5</v>
      </c>
    </row>
    <row r="25" spans="1:17" x14ac:dyDescent="0.4">
      <c r="A25" s="69">
        <v>22</v>
      </c>
      <c r="B25" s="66">
        <v>-142.80000000000001</v>
      </c>
      <c r="C25" s="66">
        <v>-6.4909090909090912</v>
      </c>
      <c r="D25" s="71">
        <v>2.1363636363636362</v>
      </c>
      <c r="E25" s="67">
        <v>0.27272727272727271</v>
      </c>
      <c r="F25" s="67">
        <v>0.40909090909090912</v>
      </c>
      <c r="G25" s="67">
        <v>0.25510204081632654</v>
      </c>
      <c r="H25" s="67">
        <v>0.18367346938775511</v>
      </c>
      <c r="I25" s="68">
        <v>7004</v>
      </c>
      <c r="J25" s="68">
        <v>-6530.5555555555557</v>
      </c>
      <c r="K25" s="67">
        <v>0</v>
      </c>
      <c r="L25" s="67">
        <v>0</v>
      </c>
      <c r="M25" s="67">
        <v>0.18367346938775511</v>
      </c>
      <c r="N25" s="67">
        <v>0.22448979591836735</v>
      </c>
      <c r="O25" s="67">
        <v>0.52777777777777779</v>
      </c>
      <c r="P25" s="67">
        <v>0.29545454545454547</v>
      </c>
      <c r="Q25" s="67">
        <v>0.5</v>
      </c>
    </row>
  </sheetData>
  <phoneticPr fontId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758231-5E7B-4898-B2DE-74C995AE30F8}">
  <sheetPr codeName="Sheet6"/>
  <dimension ref="A1:Q78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144</v>
      </c>
      <c r="B1" s="70" t="s">
        <v>144</v>
      </c>
      <c r="C1" s="70" t="s">
        <v>144</v>
      </c>
      <c r="D1" s="71" t="s">
        <v>144</v>
      </c>
      <c r="E1" s="70" t="s">
        <v>144</v>
      </c>
      <c r="F1" s="70" t="s">
        <v>144</v>
      </c>
      <c r="G1" s="70" t="s">
        <v>144</v>
      </c>
      <c r="H1" s="70" t="s">
        <v>144</v>
      </c>
      <c r="I1" s="70" t="s">
        <v>144</v>
      </c>
      <c r="J1" s="70" t="s">
        <v>144</v>
      </c>
      <c r="K1" s="70" t="s">
        <v>144</v>
      </c>
      <c r="L1" s="70" t="s">
        <v>144</v>
      </c>
      <c r="M1" s="70" t="s">
        <v>144</v>
      </c>
      <c r="N1" s="70" t="s">
        <v>144</v>
      </c>
      <c r="O1" s="70" t="s">
        <v>144</v>
      </c>
      <c r="P1" s="70" t="s">
        <v>144</v>
      </c>
      <c r="Q1" s="70" t="s">
        <v>144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161</v>
      </c>
      <c r="G2" s="70" t="s">
        <v>146</v>
      </c>
      <c r="H2" s="70" t="s">
        <v>145</v>
      </c>
      <c r="I2" s="70" t="s">
        <v>5</v>
      </c>
      <c r="J2" s="70" t="s">
        <v>17</v>
      </c>
      <c r="K2" s="70" t="s">
        <v>18</v>
      </c>
      <c r="L2" s="70" t="s">
        <v>140</v>
      </c>
      <c r="M2" s="70" t="s">
        <v>123</v>
      </c>
      <c r="N2" s="70" t="s">
        <v>120</v>
      </c>
      <c r="O2" s="70" t="s">
        <v>126</v>
      </c>
      <c r="P2" s="70" t="s">
        <v>147</v>
      </c>
      <c r="Q2" s="70" t="s">
        <v>143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0</v>
      </c>
      <c r="C4" s="66">
        <v>0</v>
      </c>
      <c r="D4" s="71">
        <v>2</v>
      </c>
      <c r="E4" s="67">
        <v>0.33333333333333331</v>
      </c>
      <c r="F4" s="67">
        <v>0.33333333333333331</v>
      </c>
      <c r="G4" s="67">
        <v>0.3</v>
      </c>
      <c r="H4" s="67">
        <v>0.23333333333333334</v>
      </c>
      <c r="I4" s="68">
        <v>8144.4444444444443</v>
      </c>
      <c r="J4" s="68">
        <v>-6471.4285714285716</v>
      </c>
      <c r="K4" s="67">
        <v>0.33333333333333331</v>
      </c>
      <c r="L4" s="67">
        <v>0.33333333333333331</v>
      </c>
      <c r="M4" s="67">
        <v>0.36666666666666664</v>
      </c>
      <c r="N4" s="67">
        <v>0.2</v>
      </c>
      <c r="O4" s="67">
        <v>0.45454545454545453</v>
      </c>
      <c r="P4" s="67">
        <v>0.33333333333333331</v>
      </c>
      <c r="Q4" s="67">
        <v>0.22222222222222221</v>
      </c>
    </row>
    <row r="5" spans="1:17" x14ac:dyDescent="0.4">
      <c r="A5" s="69">
        <v>2</v>
      </c>
      <c r="B5" s="66">
        <v>3.5527136788005009E-15</v>
      </c>
      <c r="C5" s="66">
        <v>5.9211894646675012E-16</v>
      </c>
      <c r="D5" s="71">
        <v>2</v>
      </c>
      <c r="E5" s="67">
        <v>0.33333333333333331</v>
      </c>
      <c r="F5" s="67">
        <v>0.33333333333333331</v>
      </c>
      <c r="G5" s="67">
        <v>0.2807017543859649</v>
      </c>
      <c r="H5" s="67">
        <v>0.19298245614035087</v>
      </c>
      <c r="I5" s="68">
        <v>8431.25</v>
      </c>
      <c r="J5" s="68">
        <v>-6654.545454545455</v>
      </c>
      <c r="K5" s="67">
        <v>0.16666666666666666</v>
      </c>
      <c r="L5" s="67">
        <v>0.16666666666666666</v>
      </c>
      <c r="M5" s="67">
        <v>0.40350877192982454</v>
      </c>
      <c r="N5" s="67">
        <v>0.21052631578947367</v>
      </c>
      <c r="O5" s="67">
        <v>0.47826086956521741</v>
      </c>
      <c r="P5" s="67">
        <v>0.25</v>
      </c>
      <c r="Q5" s="67">
        <v>0.3125</v>
      </c>
    </row>
    <row r="6" spans="1:17" x14ac:dyDescent="0.4">
      <c r="A6" s="69">
        <v>3</v>
      </c>
      <c r="B6" s="66">
        <v>0</v>
      </c>
      <c r="C6" s="66">
        <v>0</v>
      </c>
      <c r="D6" s="71">
        <v>2</v>
      </c>
      <c r="E6" s="67">
        <v>0.33333333333333331</v>
      </c>
      <c r="F6" s="67">
        <v>0.33333333333333331</v>
      </c>
      <c r="G6" s="67">
        <v>0.27777777777777779</v>
      </c>
      <c r="H6" s="67">
        <v>0.17777777777777778</v>
      </c>
      <c r="I6" s="68">
        <v>8212</v>
      </c>
      <c r="J6" s="68">
        <v>-8425</v>
      </c>
      <c r="K6" s="67">
        <v>0.1111111111111111</v>
      </c>
      <c r="L6" s="67">
        <v>0.1111111111111111</v>
      </c>
      <c r="M6" s="67">
        <v>0.32222222222222224</v>
      </c>
      <c r="N6" s="67">
        <v>0.18888888888888888</v>
      </c>
      <c r="O6" s="67">
        <v>0.44827586206896552</v>
      </c>
      <c r="P6" s="67">
        <v>0.41176470588235292</v>
      </c>
      <c r="Q6" s="67">
        <v>0.36</v>
      </c>
    </row>
    <row r="7" spans="1:17" x14ac:dyDescent="0.4">
      <c r="A7" s="69">
        <v>4</v>
      </c>
      <c r="B7" s="66">
        <v>0</v>
      </c>
      <c r="C7" s="66">
        <v>0</v>
      </c>
      <c r="D7" s="71">
        <v>2</v>
      </c>
      <c r="E7" s="67">
        <v>0.33333333333333331</v>
      </c>
      <c r="F7" s="67">
        <v>0.33333333333333331</v>
      </c>
      <c r="G7" s="67">
        <v>0.29059829059829062</v>
      </c>
      <c r="H7" s="67">
        <v>0.19658119658119658</v>
      </c>
      <c r="I7" s="68">
        <v>9064.7058823529405</v>
      </c>
      <c r="J7" s="68">
        <v>-9934.782608695652</v>
      </c>
      <c r="K7" s="67">
        <v>0.16666666666666666</v>
      </c>
      <c r="L7" s="67">
        <v>0.16666666666666666</v>
      </c>
      <c r="M7" s="67">
        <v>0.3247863247863248</v>
      </c>
      <c r="N7" s="67">
        <v>0.1623931623931624</v>
      </c>
      <c r="O7" s="67">
        <v>0.5</v>
      </c>
      <c r="P7" s="67">
        <v>0.42105263157894735</v>
      </c>
      <c r="Q7" s="67">
        <v>0.3235294117647059</v>
      </c>
    </row>
    <row r="8" spans="1:17" x14ac:dyDescent="0.4">
      <c r="A8" s="69">
        <v>5</v>
      </c>
      <c r="B8" s="66">
        <v>0</v>
      </c>
      <c r="C8" s="66">
        <v>0</v>
      </c>
      <c r="D8" s="71">
        <v>2</v>
      </c>
      <c r="E8" s="67">
        <v>0.33333333333333331</v>
      </c>
      <c r="F8" s="67">
        <v>0.33333333333333331</v>
      </c>
      <c r="G8" s="67">
        <v>0.29710144927536231</v>
      </c>
      <c r="H8" s="67">
        <v>0.18115942028985507</v>
      </c>
      <c r="I8" s="68">
        <v>8243.9024390243903</v>
      </c>
      <c r="J8" s="68">
        <v>-9244</v>
      </c>
      <c r="K8" s="67">
        <v>0.13333333333333333</v>
      </c>
      <c r="L8" s="67">
        <v>0.13333333333333333</v>
      </c>
      <c r="M8" s="67">
        <v>0.31159420289855072</v>
      </c>
      <c r="N8" s="67">
        <v>0.13768115942028986</v>
      </c>
      <c r="O8" s="67">
        <v>0.55813953488372092</v>
      </c>
      <c r="P8" s="67">
        <v>0.42105263157894735</v>
      </c>
      <c r="Q8" s="67">
        <v>0.3902439024390244</v>
      </c>
    </row>
    <row r="9" spans="1:17" x14ac:dyDescent="0.4">
      <c r="A9" s="69">
        <v>6</v>
      </c>
      <c r="B9" s="66">
        <v>0</v>
      </c>
      <c r="C9" s="66">
        <v>0</v>
      </c>
      <c r="D9" s="71">
        <v>2</v>
      </c>
      <c r="E9" s="67">
        <v>0.33333333333333331</v>
      </c>
      <c r="F9" s="67">
        <v>0.33333333333333331</v>
      </c>
      <c r="G9" s="67">
        <v>0.30246913580246915</v>
      </c>
      <c r="H9" s="67">
        <v>0.19135802469135801</v>
      </c>
      <c r="I9" s="68">
        <v>7802.0408163265311</v>
      </c>
      <c r="J9" s="68">
        <v>-8583.8709677419356</v>
      </c>
      <c r="K9" s="67">
        <v>0.1111111111111111</v>
      </c>
      <c r="L9" s="67">
        <v>0.1111111111111111</v>
      </c>
      <c r="M9" s="67">
        <v>0.30864197530864196</v>
      </c>
      <c r="N9" s="67">
        <v>0.16666666666666666</v>
      </c>
      <c r="O9" s="67">
        <v>0.6</v>
      </c>
      <c r="P9" s="67">
        <v>0.37037037037037035</v>
      </c>
      <c r="Q9" s="67">
        <v>0.36734693877551022</v>
      </c>
    </row>
    <row r="10" spans="1:17" x14ac:dyDescent="0.4">
      <c r="A10" s="69">
        <v>7</v>
      </c>
      <c r="B10" s="66">
        <v>7.1054273576010019E-15</v>
      </c>
      <c r="C10" s="66">
        <v>3.3835368369528578E-16</v>
      </c>
      <c r="D10" s="71">
        <v>2</v>
      </c>
      <c r="E10" s="67">
        <v>0.33333333333333331</v>
      </c>
      <c r="F10" s="67">
        <v>0.33333333333333331</v>
      </c>
      <c r="G10" s="67">
        <v>0.30256410256410254</v>
      </c>
      <c r="H10" s="67">
        <v>0.17948717948717949</v>
      </c>
      <c r="I10" s="68">
        <v>7872.8813559322034</v>
      </c>
      <c r="J10" s="68">
        <v>-8954.2857142857138</v>
      </c>
      <c r="K10" s="67">
        <v>9.5238095238095233E-2</v>
      </c>
      <c r="L10" s="67">
        <v>9.5238095238095233E-2</v>
      </c>
      <c r="M10" s="67">
        <v>0.29743589743589743</v>
      </c>
      <c r="N10" s="67">
        <v>0.17948717948717949</v>
      </c>
      <c r="O10" s="67">
        <v>0.58620689655172409</v>
      </c>
      <c r="P10" s="67">
        <v>0.42857142857142855</v>
      </c>
      <c r="Q10" s="67">
        <v>0.40677966101694918</v>
      </c>
    </row>
    <row r="11" spans="1:17" x14ac:dyDescent="0.4">
      <c r="A11" s="69">
        <v>8</v>
      </c>
      <c r="B11" s="66">
        <v>7.1054273576010019E-15</v>
      </c>
      <c r="C11" s="66">
        <v>2.9605947323337506E-16</v>
      </c>
      <c r="D11" s="71">
        <v>2</v>
      </c>
      <c r="E11" s="67">
        <v>0.33333333333333331</v>
      </c>
      <c r="F11" s="67">
        <v>0.33333333333333331</v>
      </c>
      <c r="G11" s="67">
        <v>0.30092592592592593</v>
      </c>
      <c r="H11" s="67">
        <v>0.18518518518518517</v>
      </c>
      <c r="I11" s="68">
        <v>7818.4615384615381</v>
      </c>
      <c r="J11" s="68">
        <v>-8627.5</v>
      </c>
      <c r="K11" s="67">
        <v>8.3333333333333329E-2</v>
      </c>
      <c r="L11" s="67">
        <v>8.3333333333333329E-2</v>
      </c>
      <c r="M11" s="67">
        <v>0.28703703703703703</v>
      </c>
      <c r="N11" s="67">
        <v>0.18981481481481483</v>
      </c>
      <c r="O11" s="67">
        <v>0.59677419354838712</v>
      </c>
      <c r="P11" s="67">
        <v>0.41463414634146339</v>
      </c>
      <c r="Q11" s="67">
        <v>0.38461538461538464</v>
      </c>
    </row>
    <row r="12" spans="1:17" x14ac:dyDescent="0.4">
      <c r="A12" s="69">
        <v>9</v>
      </c>
      <c r="B12" s="66">
        <v>6.7723604502134549E-15</v>
      </c>
      <c r="C12" s="66">
        <v>2.5082816482272053E-16</v>
      </c>
      <c r="D12" s="71">
        <v>2</v>
      </c>
      <c r="E12" s="67">
        <v>0.33333333333333331</v>
      </c>
      <c r="F12" s="67">
        <v>0.33333333333333331</v>
      </c>
      <c r="G12" s="67">
        <v>0.30452674897119342</v>
      </c>
      <c r="H12" s="67">
        <v>0.18930041152263374</v>
      </c>
      <c r="I12" s="68">
        <v>7662.1621621621625</v>
      </c>
      <c r="J12" s="68">
        <v>-8258.6956521739139</v>
      </c>
      <c r="K12" s="67">
        <v>7.407407407407407E-2</v>
      </c>
      <c r="L12" s="67">
        <v>7.407407407407407E-2</v>
      </c>
      <c r="M12" s="67">
        <v>0.27983539094650206</v>
      </c>
      <c r="N12" s="67">
        <v>0.18518518518518517</v>
      </c>
      <c r="O12" s="67">
        <v>0.6029411764705882</v>
      </c>
      <c r="P12" s="67">
        <v>0.44444444444444442</v>
      </c>
      <c r="Q12" s="67">
        <v>0.3783783783783784</v>
      </c>
    </row>
    <row r="13" spans="1:17" x14ac:dyDescent="0.4">
      <c r="A13" s="69">
        <v>10</v>
      </c>
      <c r="B13" s="66">
        <v>8.4376949871511897E-15</v>
      </c>
      <c r="C13" s="66">
        <v>2.8125649957170631E-16</v>
      </c>
      <c r="D13" s="71">
        <v>2</v>
      </c>
      <c r="E13" s="67">
        <v>0.33333333333333331</v>
      </c>
      <c r="F13" s="67">
        <v>0.33333333333333331</v>
      </c>
      <c r="G13" s="67">
        <v>0.2982456140350877</v>
      </c>
      <c r="H13" s="67">
        <v>0.18245614035087721</v>
      </c>
      <c r="I13" s="68">
        <v>7692.9411764705883</v>
      </c>
      <c r="J13" s="68">
        <v>-8292.3076923076915</v>
      </c>
      <c r="K13" s="67">
        <v>6.6666666666666666E-2</v>
      </c>
      <c r="L13" s="67">
        <v>6.6666666666666666E-2</v>
      </c>
      <c r="M13" s="67">
        <v>0.25964912280701752</v>
      </c>
      <c r="N13" s="67">
        <v>0.19298245614035087</v>
      </c>
      <c r="O13" s="67">
        <v>0.59459459459459463</v>
      </c>
      <c r="P13" s="67">
        <v>0.41818181818181815</v>
      </c>
      <c r="Q13" s="67">
        <v>0.38823529411764707</v>
      </c>
    </row>
    <row r="14" spans="1:17" x14ac:dyDescent="0.4">
      <c r="A14" s="69">
        <v>11</v>
      </c>
      <c r="B14" s="66">
        <v>7.1054273576010019E-15</v>
      </c>
      <c r="C14" s="66">
        <v>2.153159805333637E-16</v>
      </c>
      <c r="D14" s="71">
        <v>2</v>
      </c>
      <c r="E14" s="67">
        <v>0.33333333333333331</v>
      </c>
      <c r="F14" s="67">
        <v>0.33333333333333331</v>
      </c>
      <c r="G14" s="67">
        <v>0.30188679245283018</v>
      </c>
      <c r="H14" s="67">
        <v>0.19496855345911951</v>
      </c>
      <c r="I14" s="68">
        <v>7796.875</v>
      </c>
      <c r="J14" s="68">
        <v>-8383.8709677419356</v>
      </c>
      <c r="K14" s="67">
        <v>9.0909090909090912E-2</v>
      </c>
      <c r="L14" s="67">
        <v>9.0909090909090912E-2</v>
      </c>
      <c r="M14" s="67">
        <v>0.24842767295597484</v>
      </c>
      <c r="N14" s="67">
        <v>0.20754716981132076</v>
      </c>
      <c r="O14" s="67">
        <v>0.60759493670886078</v>
      </c>
      <c r="P14" s="67">
        <v>0.42424242424242425</v>
      </c>
      <c r="Q14" s="67">
        <v>0.35416666666666669</v>
      </c>
    </row>
    <row r="15" spans="1:17" x14ac:dyDescent="0.4">
      <c r="A15" s="69">
        <v>12</v>
      </c>
      <c r="B15" s="66">
        <v>7.1054273576010019E-15</v>
      </c>
      <c r="C15" s="66">
        <v>1.9737298215558337E-16</v>
      </c>
      <c r="D15" s="71">
        <v>2</v>
      </c>
      <c r="E15" s="67">
        <v>0.33333333333333331</v>
      </c>
      <c r="F15" s="67">
        <v>0.33333333333333331</v>
      </c>
      <c r="G15" s="67">
        <v>0.29597701149425287</v>
      </c>
      <c r="H15" s="67">
        <v>0.18390804597701149</v>
      </c>
      <c r="I15" s="68">
        <v>7711.6504854368932</v>
      </c>
      <c r="J15" s="68">
        <v>-8278.125</v>
      </c>
      <c r="K15" s="67">
        <v>8.3333333333333329E-2</v>
      </c>
      <c r="L15" s="67">
        <v>8.3333333333333329E-2</v>
      </c>
      <c r="M15" s="67">
        <v>0.25</v>
      </c>
      <c r="N15" s="67">
        <v>0.20977011494252873</v>
      </c>
      <c r="O15" s="67">
        <v>0.57471264367816088</v>
      </c>
      <c r="P15" s="67">
        <v>0.41095890410958902</v>
      </c>
      <c r="Q15" s="67">
        <v>0.37864077669902912</v>
      </c>
    </row>
    <row r="16" spans="1:17" x14ac:dyDescent="0.4">
      <c r="A16" s="69">
        <v>13</v>
      </c>
      <c r="B16" s="66">
        <v>6.2172489379008766E-15</v>
      </c>
      <c r="C16" s="66">
        <v>1.5941663943335581E-16</v>
      </c>
      <c r="D16" s="71">
        <v>2</v>
      </c>
      <c r="E16" s="67">
        <v>0.33333333333333331</v>
      </c>
      <c r="F16" s="67">
        <v>0.33333333333333331</v>
      </c>
      <c r="G16" s="67">
        <v>0.29866666666666669</v>
      </c>
      <c r="H16" s="67">
        <v>0.17866666666666667</v>
      </c>
      <c r="I16" s="68">
        <v>7655.3571428571431</v>
      </c>
      <c r="J16" s="68">
        <v>-8062.686567164179</v>
      </c>
      <c r="K16" s="67">
        <v>7.6923076923076927E-2</v>
      </c>
      <c r="L16" s="67">
        <v>7.6923076923076927E-2</v>
      </c>
      <c r="M16" s="67">
        <v>0.248</v>
      </c>
      <c r="N16" s="67">
        <v>0.21866666666666668</v>
      </c>
      <c r="O16" s="67">
        <v>0.59139784946236562</v>
      </c>
      <c r="P16" s="67">
        <v>0.3902439024390244</v>
      </c>
      <c r="Q16" s="67">
        <v>0.4017857142857143</v>
      </c>
    </row>
    <row r="17" spans="1:17" x14ac:dyDescent="0.4">
      <c r="A17" s="69">
        <v>14</v>
      </c>
      <c r="B17" s="66">
        <v>1.0658141036401503E-14</v>
      </c>
      <c r="C17" s="66">
        <v>2.5376526277146434E-16</v>
      </c>
      <c r="D17" s="71">
        <v>2</v>
      </c>
      <c r="E17" s="67">
        <v>0.33333333333333331</v>
      </c>
      <c r="F17" s="67">
        <v>0.33333333333333331</v>
      </c>
      <c r="G17" s="67">
        <v>0.29353233830845771</v>
      </c>
      <c r="H17" s="67">
        <v>0.17910447761194029</v>
      </c>
      <c r="I17" s="68">
        <v>7859.3220338983047</v>
      </c>
      <c r="J17" s="68">
        <v>-8225</v>
      </c>
      <c r="K17" s="67">
        <v>7.1428571428571425E-2</v>
      </c>
      <c r="L17" s="67">
        <v>7.1428571428571425E-2</v>
      </c>
      <c r="M17" s="67">
        <v>0.2462686567164179</v>
      </c>
      <c r="N17" s="67">
        <v>0.21641791044776118</v>
      </c>
      <c r="O17" s="67">
        <v>0.58585858585858586</v>
      </c>
      <c r="P17" s="67">
        <v>0.37931034482758619</v>
      </c>
      <c r="Q17" s="67">
        <v>0.38983050847457629</v>
      </c>
    </row>
    <row r="18" spans="1:17" x14ac:dyDescent="0.4">
      <c r="A18" s="69">
        <v>15</v>
      </c>
      <c r="B18" s="66">
        <v>1.1379786002407855E-14</v>
      </c>
      <c r="C18" s="66">
        <v>2.528841333868412E-16</v>
      </c>
      <c r="D18" s="71">
        <v>2</v>
      </c>
      <c r="E18" s="67">
        <v>0.33333333333333331</v>
      </c>
      <c r="F18" s="67">
        <v>0.33333333333333331</v>
      </c>
      <c r="G18" s="67">
        <v>0.29629629629629628</v>
      </c>
      <c r="H18" s="67">
        <v>0.17824074074074073</v>
      </c>
      <c r="I18" s="68">
        <v>7854.6875</v>
      </c>
      <c r="J18" s="68">
        <v>-7992.2077922077924</v>
      </c>
      <c r="K18" s="67">
        <v>6.6666666666666666E-2</v>
      </c>
      <c r="L18" s="67">
        <v>6.6666666666666666E-2</v>
      </c>
      <c r="M18" s="67">
        <v>0.24537037037037038</v>
      </c>
      <c r="N18" s="67">
        <v>0.21527777777777779</v>
      </c>
      <c r="O18" s="67">
        <v>0.58490566037735847</v>
      </c>
      <c r="P18" s="67">
        <v>0.38709677419354838</v>
      </c>
      <c r="Q18" s="67">
        <v>0.3984375</v>
      </c>
    </row>
    <row r="19" spans="1:17" x14ac:dyDescent="0.4">
      <c r="A19" s="69">
        <v>16</v>
      </c>
      <c r="B19" s="66">
        <v>1.4210854715202004E-14</v>
      </c>
      <c r="C19" s="66">
        <v>2.9605947323337506E-16</v>
      </c>
      <c r="D19" s="71">
        <v>2</v>
      </c>
      <c r="E19" s="67">
        <v>0.33333333333333331</v>
      </c>
      <c r="F19" s="67">
        <v>0.33333333333333331</v>
      </c>
      <c r="G19" s="67">
        <v>0.2982456140350877</v>
      </c>
      <c r="H19" s="67">
        <v>0.18201754385964913</v>
      </c>
      <c r="I19" s="68">
        <v>7907.3529411764703</v>
      </c>
      <c r="J19" s="68">
        <v>-7968.674698795181</v>
      </c>
      <c r="K19" s="67">
        <v>6.25E-2</v>
      </c>
      <c r="L19" s="67">
        <v>6.25E-2</v>
      </c>
      <c r="M19" s="67">
        <v>0.25438596491228072</v>
      </c>
      <c r="N19" s="67">
        <v>0.21271929824561403</v>
      </c>
      <c r="O19" s="67">
        <v>0.57758620689655171</v>
      </c>
      <c r="P19" s="67">
        <v>0.39175257731958762</v>
      </c>
      <c r="Q19" s="67">
        <v>0.38970588235294118</v>
      </c>
    </row>
    <row r="20" spans="1:17" x14ac:dyDescent="0.4">
      <c r="A20" s="69">
        <v>17</v>
      </c>
      <c r="B20" s="66">
        <v>1.4210854715202004E-14</v>
      </c>
      <c r="C20" s="66">
        <v>2.7864421010200007E-16</v>
      </c>
      <c r="D20" s="71">
        <v>2</v>
      </c>
      <c r="E20" s="67">
        <v>0.33333333333333331</v>
      </c>
      <c r="F20" s="67">
        <v>0.33333333333333331</v>
      </c>
      <c r="G20" s="67">
        <v>0.30041152263374488</v>
      </c>
      <c r="H20" s="67">
        <v>0.17489711934156379</v>
      </c>
      <c r="I20" s="68">
        <v>7965.7534246575342</v>
      </c>
      <c r="J20" s="68">
        <v>-7968.2352941176468</v>
      </c>
      <c r="K20" s="67">
        <v>7.8431372549019607E-2</v>
      </c>
      <c r="L20" s="67">
        <v>7.8431372549019607E-2</v>
      </c>
      <c r="M20" s="67">
        <v>0.25102880658436216</v>
      </c>
      <c r="N20" s="67">
        <v>0.2139917695473251</v>
      </c>
      <c r="O20" s="67">
        <v>0.57377049180327866</v>
      </c>
      <c r="P20" s="67">
        <v>0.40384615384615385</v>
      </c>
      <c r="Q20" s="67">
        <v>0.4178082191780822</v>
      </c>
    </row>
    <row r="21" spans="1:17" x14ac:dyDescent="0.4">
      <c r="A21" s="69">
        <v>18</v>
      </c>
      <c r="B21" s="66">
        <v>1.4210854715202004E-14</v>
      </c>
      <c r="C21" s="66">
        <v>2.631639762074445E-16</v>
      </c>
      <c r="D21" s="71">
        <v>2</v>
      </c>
      <c r="E21" s="67">
        <v>0.33333333333333331</v>
      </c>
      <c r="F21" s="67">
        <v>0.33333333333333331</v>
      </c>
      <c r="G21" s="67">
        <v>0.2982456140350877</v>
      </c>
      <c r="H21" s="67">
        <v>0.17348927875243664</v>
      </c>
      <c r="I21" s="68">
        <v>7864.7058823529414</v>
      </c>
      <c r="J21" s="68">
        <v>-7793.2584269662921</v>
      </c>
      <c r="K21" s="67">
        <v>7.407407407407407E-2</v>
      </c>
      <c r="L21" s="67">
        <v>7.407407407407407E-2</v>
      </c>
      <c r="M21" s="67">
        <v>0.24951267056530213</v>
      </c>
      <c r="N21" s="67">
        <v>0.21442495126705652</v>
      </c>
      <c r="O21" s="67">
        <v>0.5703125</v>
      </c>
      <c r="P21" s="67">
        <v>0.40909090909090912</v>
      </c>
      <c r="Q21" s="67">
        <v>0.41830065359477125</v>
      </c>
    </row>
    <row r="22" spans="1:17" x14ac:dyDescent="0.4">
      <c r="A22" s="69">
        <v>19</v>
      </c>
      <c r="B22" s="66">
        <v>1.4210854715202004E-14</v>
      </c>
      <c r="C22" s="66">
        <v>2.49313240617579E-16</v>
      </c>
      <c r="D22" s="71">
        <v>2</v>
      </c>
      <c r="E22" s="67">
        <v>0.33333333333333331</v>
      </c>
      <c r="F22" s="67">
        <v>0.33333333333333331</v>
      </c>
      <c r="G22" s="67">
        <v>0.3</v>
      </c>
      <c r="H22" s="67">
        <v>0.17222222222222222</v>
      </c>
      <c r="I22" s="68">
        <v>7929.0123456790125</v>
      </c>
      <c r="J22" s="68">
        <v>-7923.6559139784949</v>
      </c>
      <c r="K22" s="67">
        <v>7.0175438596491224E-2</v>
      </c>
      <c r="L22" s="67">
        <v>7.0175438596491224E-2</v>
      </c>
      <c r="M22" s="67">
        <v>0.24629629629629629</v>
      </c>
      <c r="N22" s="67">
        <v>0.21666666666666667</v>
      </c>
      <c r="O22" s="67">
        <v>0.56390977443609025</v>
      </c>
      <c r="P22" s="67">
        <v>0.42735042735042733</v>
      </c>
      <c r="Q22" s="67">
        <v>0.42592592592592593</v>
      </c>
    </row>
    <row r="23" spans="1:17" x14ac:dyDescent="0.4">
      <c r="A23" s="69">
        <v>20</v>
      </c>
      <c r="B23" s="66">
        <v>1.4210854715202004E-14</v>
      </c>
      <c r="C23" s="66">
        <v>2.3684757858670006E-16</v>
      </c>
      <c r="D23" s="71">
        <v>2</v>
      </c>
      <c r="E23" s="67">
        <v>0.33333333333333331</v>
      </c>
      <c r="F23" s="67">
        <v>0.33333333333333331</v>
      </c>
      <c r="G23" s="67">
        <v>0.30017452006980805</v>
      </c>
      <c r="H23" s="67">
        <v>0.17801047120418848</v>
      </c>
      <c r="I23" s="68">
        <v>7907.5581395348836</v>
      </c>
      <c r="J23" s="68">
        <v>-7890.1960784313724</v>
      </c>
      <c r="K23" s="67">
        <v>6.6666666666666666E-2</v>
      </c>
      <c r="L23" s="67">
        <v>6.6666666666666666E-2</v>
      </c>
      <c r="M23" s="67">
        <v>0.24083769633507854</v>
      </c>
      <c r="N23" s="67">
        <v>0.21291448516579406</v>
      </c>
      <c r="O23" s="67">
        <v>0.55797101449275366</v>
      </c>
      <c r="P23" s="67">
        <v>0.44262295081967212</v>
      </c>
      <c r="Q23" s="67">
        <v>0.40697674418604651</v>
      </c>
    </row>
    <row r="24" spans="1:17" x14ac:dyDescent="0.4">
      <c r="A24" s="69">
        <v>21</v>
      </c>
      <c r="B24" s="66">
        <v>9.7699626167013776E-15</v>
      </c>
      <c r="C24" s="66">
        <v>1.5507877169367265E-16</v>
      </c>
      <c r="D24" s="71">
        <v>2</v>
      </c>
      <c r="E24" s="67">
        <v>0.33333333333333331</v>
      </c>
      <c r="F24" s="67">
        <v>0.33333333333333331</v>
      </c>
      <c r="G24" s="67">
        <v>0.30256410256410254</v>
      </c>
      <c r="H24" s="67">
        <v>0.17948717948717949</v>
      </c>
      <c r="I24" s="68">
        <v>7995.4802259887001</v>
      </c>
      <c r="J24" s="68">
        <v>-8018.0952380952385</v>
      </c>
      <c r="K24" s="67">
        <v>7.9365079365079361E-2</v>
      </c>
      <c r="L24" s="67">
        <v>7.9365079365079361E-2</v>
      </c>
      <c r="M24" s="67">
        <v>0.23931623931623933</v>
      </c>
      <c r="N24" s="67">
        <v>0.2153846153846154</v>
      </c>
      <c r="O24" s="67">
        <v>0.55714285714285716</v>
      </c>
      <c r="P24" s="67">
        <v>0.46031746031746029</v>
      </c>
      <c r="Q24" s="67">
        <v>0.40112994350282488</v>
      </c>
    </row>
    <row r="25" spans="1:17" x14ac:dyDescent="0.4">
      <c r="A25" s="69">
        <v>22</v>
      </c>
      <c r="B25" s="66">
        <v>7.1054273576010019E-15</v>
      </c>
      <c r="C25" s="66">
        <v>1.0765799026668185E-16</v>
      </c>
      <c r="D25" s="71">
        <v>2</v>
      </c>
      <c r="E25" s="67">
        <v>0.33333333333333331</v>
      </c>
      <c r="F25" s="67">
        <v>0.33333333333333331</v>
      </c>
      <c r="G25" s="67">
        <v>0.30406504065040652</v>
      </c>
      <c r="H25" s="67">
        <v>0.1821138211382114</v>
      </c>
      <c r="I25" s="68">
        <v>7971.6577540106955</v>
      </c>
      <c r="J25" s="68">
        <v>-7941.0714285714284</v>
      </c>
      <c r="K25" s="67">
        <v>9.0909090909090912E-2</v>
      </c>
      <c r="L25" s="67">
        <v>9.0909090909090912E-2</v>
      </c>
      <c r="M25" s="67">
        <v>0.24390243902439024</v>
      </c>
      <c r="N25" s="67">
        <v>0.216260162601626</v>
      </c>
      <c r="O25" s="67">
        <v>0.57333333333333336</v>
      </c>
      <c r="P25" s="67">
        <v>0.45112781954887216</v>
      </c>
      <c r="Q25" s="67">
        <v>0.39572192513368987</v>
      </c>
    </row>
    <row r="26" spans="1:17" x14ac:dyDescent="0.4">
      <c r="A26" s="69">
        <v>23</v>
      </c>
      <c r="B26" s="66">
        <v>3.5527136788005009E-15</v>
      </c>
      <c r="C26" s="66">
        <v>5.1488604040586971E-17</v>
      </c>
      <c r="D26" s="71">
        <v>2</v>
      </c>
      <c r="E26" s="67">
        <v>0.33333333333333331</v>
      </c>
      <c r="F26" s="67">
        <v>0.33333333333333331</v>
      </c>
      <c r="G26" s="67">
        <v>0.30373831775700932</v>
      </c>
      <c r="H26" s="67">
        <v>0.18380062305295949</v>
      </c>
      <c r="I26" s="68">
        <v>8074.3589743589746</v>
      </c>
      <c r="J26" s="68">
        <v>-8050.8474576271183</v>
      </c>
      <c r="K26" s="67">
        <v>0.10144927536231885</v>
      </c>
      <c r="L26" s="67">
        <v>0.10144927536231885</v>
      </c>
      <c r="M26" s="67">
        <v>0.24454828660436137</v>
      </c>
      <c r="N26" s="67">
        <v>0.22118380062305296</v>
      </c>
      <c r="O26" s="67">
        <v>0.57324840764331209</v>
      </c>
      <c r="P26" s="67">
        <v>0.44366197183098594</v>
      </c>
      <c r="Q26" s="67">
        <v>0.38974358974358975</v>
      </c>
    </row>
    <row r="27" spans="1:17" x14ac:dyDescent="0.4">
      <c r="A27" s="69">
        <v>24</v>
      </c>
      <c r="B27" s="66">
        <v>3.5527136788005009E-15</v>
      </c>
      <c r="C27" s="66">
        <v>4.9343245538895844E-17</v>
      </c>
      <c r="D27" s="71">
        <v>2</v>
      </c>
      <c r="E27" s="67">
        <v>0.33333333333333331</v>
      </c>
      <c r="F27" s="67">
        <v>0.33333333333333331</v>
      </c>
      <c r="G27" s="67">
        <v>0.30222222222222223</v>
      </c>
      <c r="H27" s="67">
        <v>0.18222222222222223</v>
      </c>
      <c r="I27" s="68">
        <v>8148.0392156862745</v>
      </c>
      <c r="J27" s="68">
        <v>-8078.8617886178863</v>
      </c>
      <c r="K27" s="67">
        <v>0.1111111111111111</v>
      </c>
      <c r="L27" s="67">
        <v>0.1111111111111111</v>
      </c>
      <c r="M27" s="67">
        <v>0.24148148148148149</v>
      </c>
      <c r="N27" s="67">
        <v>0.22666666666666666</v>
      </c>
      <c r="O27" s="67">
        <v>0.57055214723926384</v>
      </c>
      <c r="P27" s="67">
        <v>0.43137254901960786</v>
      </c>
      <c r="Q27" s="67">
        <v>0.39215686274509803</v>
      </c>
    </row>
    <row r="28" spans="1:17" x14ac:dyDescent="0.4">
      <c r="A28" s="69">
        <v>25</v>
      </c>
      <c r="B28" s="66">
        <v>3.5527136788005009E-15</v>
      </c>
      <c r="C28" s="66">
        <v>4.7369515717340015E-17</v>
      </c>
      <c r="D28" s="71">
        <v>2</v>
      </c>
      <c r="E28" s="67">
        <v>0.33333333333333331</v>
      </c>
      <c r="F28" s="67">
        <v>0.33333333333333331</v>
      </c>
      <c r="G28" s="67">
        <v>0.30316091954022989</v>
      </c>
      <c r="H28" s="67">
        <v>0.17959770114942528</v>
      </c>
      <c r="I28" s="68">
        <v>8145.9715639810429</v>
      </c>
      <c r="J28" s="68">
        <v>-8060</v>
      </c>
      <c r="K28" s="67">
        <v>0.10666666666666667</v>
      </c>
      <c r="L28" s="67">
        <v>0.10666666666666667</v>
      </c>
      <c r="M28" s="67">
        <v>0.24281609195402298</v>
      </c>
      <c r="N28" s="67">
        <v>0.22557471264367815</v>
      </c>
      <c r="O28" s="67">
        <v>0.57396449704142016</v>
      </c>
      <c r="P28" s="67">
        <v>0.43312101910828027</v>
      </c>
      <c r="Q28" s="67">
        <v>0.40284360189573459</v>
      </c>
    </row>
    <row r="29" spans="1:17" x14ac:dyDescent="0.4">
      <c r="A29" s="69">
        <v>26</v>
      </c>
      <c r="B29" s="66">
        <v>0</v>
      </c>
      <c r="C29" s="66">
        <v>0</v>
      </c>
      <c r="D29" s="71">
        <v>2</v>
      </c>
      <c r="E29" s="67">
        <v>0.33333333333333331</v>
      </c>
      <c r="F29" s="67">
        <v>0.33333333333333331</v>
      </c>
      <c r="G29" s="67">
        <v>0.30027548209366389</v>
      </c>
      <c r="H29" s="67">
        <v>0.1790633608815427</v>
      </c>
      <c r="I29" s="68">
        <v>8187.1559633027518</v>
      </c>
      <c r="J29" s="68">
        <v>-8103.8461538461543</v>
      </c>
      <c r="K29" s="67">
        <v>0.11538461538461539</v>
      </c>
      <c r="L29" s="67">
        <v>0.11538461538461539</v>
      </c>
      <c r="M29" s="67">
        <v>0.24655647382920109</v>
      </c>
      <c r="N29" s="67">
        <v>0.22865013774104684</v>
      </c>
      <c r="O29" s="67">
        <v>0.56983240223463683</v>
      </c>
      <c r="P29" s="67">
        <v>0.42168674698795183</v>
      </c>
      <c r="Q29" s="67">
        <v>0.39908256880733944</v>
      </c>
    </row>
    <row r="30" spans="1:17" x14ac:dyDescent="0.4">
      <c r="A30" s="69">
        <v>27</v>
      </c>
      <c r="B30" s="66">
        <v>0</v>
      </c>
      <c r="C30" s="66">
        <v>0</v>
      </c>
      <c r="D30" s="71">
        <v>2</v>
      </c>
      <c r="E30" s="67">
        <v>0.33333333333333331</v>
      </c>
      <c r="F30" s="67">
        <v>0.33333333333333331</v>
      </c>
      <c r="G30" s="67">
        <v>0.29973118279569894</v>
      </c>
      <c r="H30" s="67">
        <v>0.17876344086021506</v>
      </c>
      <c r="I30" s="68">
        <v>8387.4439461883412</v>
      </c>
      <c r="J30" s="68">
        <v>-8143.6090225563912</v>
      </c>
      <c r="K30" s="67">
        <v>0.12345679012345678</v>
      </c>
      <c r="L30" s="67">
        <v>0.12345679012345678</v>
      </c>
      <c r="M30" s="67">
        <v>0.24596774193548387</v>
      </c>
      <c r="N30" s="67">
        <v>0.22849462365591397</v>
      </c>
      <c r="O30" s="67">
        <v>0.57377049180327866</v>
      </c>
      <c r="P30" s="67">
        <v>0.41764705882352943</v>
      </c>
      <c r="Q30" s="67">
        <v>0.3991031390134529</v>
      </c>
    </row>
    <row r="31" spans="1:17" x14ac:dyDescent="0.4">
      <c r="A31" s="69">
        <v>28</v>
      </c>
      <c r="B31" s="66">
        <v>0</v>
      </c>
      <c r="C31" s="66">
        <v>0</v>
      </c>
      <c r="D31" s="71">
        <v>2</v>
      </c>
      <c r="E31" s="67">
        <v>0.33333333333333331</v>
      </c>
      <c r="F31" s="67">
        <v>0.33333333333333331</v>
      </c>
      <c r="G31" s="67">
        <v>0.29858429858429858</v>
      </c>
      <c r="H31" s="67">
        <v>0.17760617760617761</v>
      </c>
      <c r="I31" s="68">
        <v>8440.0862068965525</v>
      </c>
      <c r="J31" s="68">
        <v>-8165.217391304348</v>
      </c>
      <c r="K31" s="67">
        <v>0.13095238095238096</v>
      </c>
      <c r="L31" s="67">
        <v>0.13095238095238096</v>
      </c>
      <c r="M31" s="67">
        <v>0.24324324324324326</v>
      </c>
      <c r="N31" s="67">
        <v>0.23294723294723294</v>
      </c>
      <c r="O31" s="67">
        <v>0.5714285714285714</v>
      </c>
      <c r="P31" s="67">
        <v>0.40883977900552487</v>
      </c>
      <c r="Q31" s="67">
        <v>0.40086206896551724</v>
      </c>
    </row>
    <row r="32" spans="1:17" x14ac:dyDescent="0.4">
      <c r="A32" s="69">
        <v>29</v>
      </c>
      <c r="B32" s="66">
        <v>-4.2188474935755949E-15</v>
      </c>
      <c r="C32" s="66">
        <v>-4.8492499926156265E-17</v>
      </c>
      <c r="D32" s="71">
        <v>2</v>
      </c>
      <c r="E32" s="67">
        <v>0.33333333333333331</v>
      </c>
      <c r="F32" s="67">
        <v>0.33333333333333331</v>
      </c>
      <c r="G32" s="67">
        <v>0.29850746268656714</v>
      </c>
      <c r="H32" s="67">
        <v>0.17910447761194029</v>
      </c>
      <c r="I32" s="68">
        <v>8358.3333333333339</v>
      </c>
      <c r="J32" s="68">
        <v>-8067.3611111111113</v>
      </c>
      <c r="K32" s="67">
        <v>0.12643678160919541</v>
      </c>
      <c r="L32" s="67">
        <v>0.12643678160919541</v>
      </c>
      <c r="M32" s="67">
        <v>0.24004975124378108</v>
      </c>
      <c r="N32" s="67">
        <v>0.23383084577114427</v>
      </c>
      <c r="O32" s="67">
        <v>0.5803108808290155</v>
      </c>
      <c r="P32" s="67">
        <v>0.41489361702127658</v>
      </c>
      <c r="Q32" s="67">
        <v>0.39583333333333331</v>
      </c>
    </row>
    <row r="33" spans="1:17" x14ac:dyDescent="0.4">
      <c r="A33" s="69">
        <v>30</v>
      </c>
      <c r="B33" s="66">
        <v>-7.1054273576010019E-15</v>
      </c>
      <c r="C33" s="66">
        <v>-7.8949192862233357E-17</v>
      </c>
      <c r="D33" s="71">
        <v>2</v>
      </c>
      <c r="E33" s="67">
        <v>0.33333333333333331</v>
      </c>
      <c r="F33" s="67">
        <v>0.33333333333333331</v>
      </c>
      <c r="G33" s="67">
        <v>0.29863692688971499</v>
      </c>
      <c r="H33" s="67">
        <v>0.17967781908302355</v>
      </c>
      <c r="I33" s="68">
        <v>8522.8215767634847</v>
      </c>
      <c r="J33" s="68">
        <v>-8342.7586206896558</v>
      </c>
      <c r="K33" s="67">
        <v>0.13333333333333333</v>
      </c>
      <c r="L33" s="67">
        <v>0.13333333333333333</v>
      </c>
      <c r="M33" s="67">
        <v>0.23915737298636927</v>
      </c>
      <c r="N33" s="67">
        <v>0.23296158612143741</v>
      </c>
      <c r="O33" s="67">
        <v>0.5803108808290155</v>
      </c>
      <c r="P33" s="67">
        <v>0.41489361702127658</v>
      </c>
      <c r="Q33" s="67">
        <v>0.39419087136929459</v>
      </c>
    </row>
    <row r="34" spans="1:17" x14ac:dyDescent="0.4">
      <c r="A34" s="69">
        <v>31</v>
      </c>
      <c r="B34" s="66">
        <v>-7.1054273576010019E-15</v>
      </c>
      <c r="C34" s="66">
        <v>-7.6402444705387123E-17</v>
      </c>
      <c r="D34" s="71">
        <v>2</v>
      </c>
      <c r="E34" s="67">
        <v>0.33333333333333331</v>
      </c>
      <c r="F34" s="67">
        <v>0.33333333333333331</v>
      </c>
      <c r="G34" s="67">
        <v>0.29951690821256038</v>
      </c>
      <c r="H34" s="67">
        <v>0.17753623188405798</v>
      </c>
      <c r="I34" s="68">
        <v>8632.6612903225814</v>
      </c>
      <c r="J34" s="68">
        <v>-8262.5850340136058</v>
      </c>
      <c r="K34" s="67">
        <v>0.12903225806451613</v>
      </c>
      <c r="L34" s="67">
        <v>0.12903225806451613</v>
      </c>
      <c r="M34" s="67">
        <v>0.2391304347826087</v>
      </c>
      <c r="N34" s="67">
        <v>0.2391304347826087</v>
      </c>
      <c r="O34" s="67">
        <v>0.58080808080808077</v>
      </c>
      <c r="P34" s="67">
        <v>0.41414141414141414</v>
      </c>
      <c r="Q34" s="67">
        <v>0.40322580645161288</v>
      </c>
    </row>
    <row r="35" spans="1:17" x14ac:dyDescent="0.4">
      <c r="A35" s="69">
        <v>32</v>
      </c>
      <c r="B35" s="66">
        <v>-5.3290705182007514E-15</v>
      </c>
      <c r="C35" s="66">
        <v>-5.5511151231257827E-17</v>
      </c>
      <c r="D35" s="71">
        <v>2</v>
      </c>
      <c r="E35" s="67">
        <v>0.33333333333333331</v>
      </c>
      <c r="F35" s="67">
        <v>0.33333333333333331</v>
      </c>
      <c r="G35" s="67">
        <v>0.29929577464788731</v>
      </c>
      <c r="H35" s="67">
        <v>0.1795774647887324</v>
      </c>
      <c r="I35" s="68">
        <v>8567.0588235294126</v>
      </c>
      <c r="J35" s="68">
        <v>-8145.751633986928</v>
      </c>
      <c r="K35" s="67">
        <v>0.125</v>
      </c>
      <c r="L35" s="67">
        <v>0.125</v>
      </c>
      <c r="M35" s="67">
        <v>0.23708920187793428</v>
      </c>
      <c r="N35" s="67">
        <v>0.24178403755868544</v>
      </c>
      <c r="O35" s="67">
        <v>0.58415841584158412</v>
      </c>
      <c r="P35" s="67">
        <v>0.40291262135922329</v>
      </c>
      <c r="Q35" s="67">
        <v>0.396078431372549</v>
      </c>
    </row>
    <row r="36" spans="1:17" x14ac:dyDescent="0.4">
      <c r="A36" s="69">
        <v>33</v>
      </c>
      <c r="B36" s="66">
        <v>-1.0658141036401503E-14</v>
      </c>
      <c r="C36" s="66">
        <v>-1.0765799026668185E-16</v>
      </c>
      <c r="D36" s="71">
        <v>2</v>
      </c>
      <c r="E36" s="67">
        <v>0.33333333333333331</v>
      </c>
      <c r="F36" s="67">
        <v>0.33333333333333331</v>
      </c>
      <c r="G36" s="67">
        <v>0.29896907216494845</v>
      </c>
      <c r="H36" s="67">
        <v>0.17869415807560138</v>
      </c>
      <c r="I36" s="68">
        <v>8541.3793103448279</v>
      </c>
      <c r="J36" s="68">
        <v>-8096.1538461538457</v>
      </c>
      <c r="K36" s="67">
        <v>0.12121212121212122</v>
      </c>
      <c r="L36" s="67">
        <v>0.12121212121212122</v>
      </c>
      <c r="M36" s="67">
        <v>0.23482245131729668</v>
      </c>
      <c r="N36" s="67">
        <v>0.24513172966781213</v>
      </c>
      <c r="O36" s="67">
        <v>0.59024390243902436</v>
      </c>
      <c r="P36" s="67">
        <v>0.39719626168224298</v>
      </c>
      <c r="Q36" s="67">
        <v>0.39846743295019155</v>
      </c>
    </row>
    <row r="37" spans="1:17" x14ac:dyDescent="0.4">
      <c r="A37" s="69">
        <v>34</v>
      </c>
      <c r="B37" s="66">
        <v>-1.4210854715202004E-14</v>
      </c>
      <c r="C37" s="66">
        <v>-1.3932210505100003E-16</v>
      </c>
      <c r="D37" s="71">
        <v>2</v>
      </c>
      <c r="E37" s="67">
        <v>0.33333333333333331</v>
      </c>
      <c r="F37" s="67">
        <v>0.33333333333333331</v>
      </c>
      <c r="G37" s="67">
        <v>0.2969094922737307</v>
      </c>
      <c r="H37" s="67">
        <v>0.17880794701986755</v>
      </c>
      <c r="I37" s="68">
        <v>8488.1040892193305</v>
      </c>
      <c r="J37" s="68">
        <v>-8043.2098765432102</v>
      </c>
      <c r="K37" s="67">
        <v>0.12745098039215685</v>
      </c>
      <c r="L37" s="67">
        <v>0.12745098039215685</v>
      </c>
      <c r="M37" s="67">
        <v>0.23509933774834438</v>
      </c>
      <c r="N37" s="67">
        <v>0.24613686534216336</v>
      </c>
      <c r="O37" s="67">
        <v>0.58685446009389675</v>
      </c>
      <c r="P37" s="67">
        <v>0.39013452914798208</v>
      </c>
      <c r="Q37" s="67">
        <v>0.39405204460966542</v>
      </c>
    </row>
    <row r="38" spans="1:17" x14ac:dyDescent="0.4">
      <c r="A38" s="69">
        <v>35</v>
      </c>
      <c r="B38" s="66">
        <v>-1.4210854715202004E-14</v>
      </c>
      <c r="C38" s="66">
        <v>-1.3534147347811433E-16</v>
      </c>
      <c r="D38" s="71">
        <v>2</v>
      </c>
      <c r="E38" s="67">
        <v>0.33333333333333331</v>
      </c>
      <c r="F38" s="67">
        <v>0.33333333333333331</v>
      </c>
      <c r="G38" s="67">
        <v>0.2978494623655914</v>
      </c>
      <c r="H38" s="67">
        <v>0.17956989247311828</v>
      </c>
      <c r="I38" s="68">
        <v>8472.9241877256318</v>
      </c>
      <c r="J38" s="68">
        <v>-8056.8862275449101</v>
      </c>
      <c r="K38" s="67">
        <v>0.13333333333333333</v>
      </c>
      <c r="L38" s="67">
        <v>0.13333333333333333</v>
      </c>
      <c r="M38" s="67">
        <v>0.23978494623655913</v>
      </c>
      <c r="N38" s="67">
        <v>0.24408602150537634</v>
      </c>
      <c r="O38" s="67">
        <v>0.57847533632286996</v>
      </c>
      <c r="P38" s="67">
        <v>0.3964757709251101</v>
      </c>
      <c r="Q38" s="67">
        <v>0.39350180505415161</v>
      </c>
    </row>
    <row r="39" spans="1:17" x14ac:dyDescent="0.4">
      <c r="A39" s="69">
        <v>36</v>
      </c>
      <c r="B39" s="66">
        <v>-2.1316282072803006E-14</v>
      </c>
      <c r="C39" s="66">
        <v>-1.9737298215558337E-16</v>
      </c>
      <c r="D39" s="71">
        <v>2</v>
      </c>
      <c r="E39" s="67">
        <v>0.33333333333333331</v>
      </c>
      <c r="F39" s="67">
        <v>0.33333333333333331</v>
      </c>
      <c r="G39" s="67">
        <v>0.29746835443037972</v>
      </c>
      <c r="H39" s="67">
        <v>0.17721518987341772</v>
      </c>
      <c r="I39" s="68">
        <v>8512.056737588653</v>
      </c>
      <c r="J39" s="68">
        <v>-8043.4523809523807</v>
      </c>
      <c r="K39" s="67">
        <v>0.1388888888888889</v>
      </c>
      <c r="L39" s="67">
        <v>0.1388888888888889</v>
      </c>
      <c r="M39" s="67">
        <v>0.24261603375527427</v>
      </c>
      <c r="N39" s="67">
        <v>0.24261603375527427</v>
      </c>
      <c r="O39" s="67">
        <v>0.57391304347826089</v>
      </c>
      <c r="P39" s="67">
        <v>0.39565217391304347</v>
      </c>
      <c r="Q39" s="67">
        <v>0.40070921985815605</v>
      </c>
    </row>
    <row r="40" spans="1:17" x14ac:dyDescent="0.4">
      <c r="A40" s="69">
        <v>37</v>
      </c>
      <c r="B40" s="66">
        <v>-2.1316282072803006E-14</v>
      </c>
      <c r="C40" s="66">
        <v>-1.9203857723245952E-16</v>
      </c>
      <c r="D40" s="71">
        <v>2</v>
      </c>
      <c r="E40" s="67">
        <v>0.33333333333333331</v>
      </c>
      <c r="F40" s="67">
        <v>0.33333333333333331</v>
      </c>
      <c r="G40" s="67">
        <v>0.29846153846153844</v>
      </c>
      <c r="H40" s="67">
        <v>0.17948717948717949</v>
      </c>
      <c r="I40" s="68">
        <v>8552.9209621993123</v>
      </c>
      <c r="J40" s="68">
        <v>-8058.2857142857147</v>
      </c>
      <c r="K40" s="67">
        <v>0.13513513513513514</v>
      </c>
      <c r="L40" s="67">
        <v>0.13513513513513514</v>
      </c>
      <c r="M40" s="67">
        <v>0.24</v>
      </c>
      <c r="N40" s="67">
        <v>0.24923076923076923</v>
      </c>
      <c r="O40" s="67">
        <v>0.57264957264957261</v>
      </c>
      <c r="P40" s="67">
        <v>0.40329218106995884</v>
      </c>
      <c r="Q40" s="67">
        <v>0.3951890034364261</v>
      </c>
    </row>
    <row r="41" spans="1:17" x14ac:dyDescent="0.4">
      <c r="A41" s="69">
        <v>38</v>
      </c>
      <c r="B41" s="66">
        <v>-2.1316282072803006E-14</v>
      </c>
      <c r="C41" s="66">
        <v>-1.8698493046318425E-16</v>
      </c>
      <c r="D41" s="71">
        <v>2</v>
      </c>
      <c r="E41" s="67">
        <v>0.33333333333333331</v>
      </c>
      <c r="F41" s="67">
        <v>0.33333333333333331</v>
      </c>
      <c r="G41" s="67">
        <v>0.29940119760479039</v>
      </c>
      <c r="H41" s="67">
        <v>0.17864271457085829</v>
      </c>
      <c r="I41" s="68">
        <v>8511.3333333333339</v>
      </c>
      <c r="J41" s="68">
        <v>-7970.3910614525139</v>
      </c>
      <c r="K41" s="67">
        <v>0.13157894736842105</v>
      </c>
      <c r="L41" s="67">
        <v>0.13157894736842105</v>
      </c>
      <c r="M41" s="67">
        <v>0.23952095808383234</v>
      </c>
      <c r="N41" s="67">
        <v>0.249500998003992</v>
      </c>
      <c r="O41" s="67">
        <v>0.58333333333333337</v>
      </c>
      <c r="P41" s="67">
        <v>0.40400000000000003</v>
      </c>
      <c r="Q41" s="67">
        <v>0.4</v>
      </c>
    </row>
    <row r="42" spans="1:17" x14ac:dyDescent="0.4">
      <c r="A42" s="69">
        <v>39</v>
      </c>
      <c r="B42" s="66">
        <v>-1.865174681370263E-14</v>
      </c>
      <c r="C42" s="66">
        <v>-1.5941663943335581E-16</v>
      </c>
      <c r="D42" s="71">
        <v>2</v>
      </c>
      <c r="E42" s="67">
        <v>0.33333333333333331</v>
      </c>
      <c r="F42" s="67">
        <v>0.33333333333333331</v>
      </c>
      <c r="G42" s="67">
        <v>0.29855072463768118</v>
      </c>
      <c r="H42" s="67">
        <v>0.17874396135265699</v>
      </c>
      <c r="I42" s="68">
        <v>8526.8608414239479</v>
      </c>
      <c r="J42" s="68">
        <v>-7971.8918918918916</v>
      </c>
      <c r="K42" s="67">
        <v>0.12820512820512819</v>
      </c>
      <c r="L42" s="67">
        <v>0.12820512820512819</v>
      </c>
      <c r="M42" s="67">
        <v>0.23768115942028986</v>
      </c>
      <c r="N42" s="67">
        <v>0.24927536231884059</v>
      </c>
      <c r="O42" s="67">
        <v>0.58130081300813008</v>
      </c>
      <c r="P42" s="67">
        <v>0.40310077519379844</v>
      </c>
      <c r="Q42" s="67">
        <v>0.39805825242718446</v>
      </c>
    </row>
    <row r="43" spans="1:17" x14ac:dyDescent="0.4">
      <c r="A43" s="69">
        <v>40</v>
      </c>
      <c r="B43" s="66">
        <v>-2.4868995751603507E-14</v>
      </c>
      <c r="C43" s="66">
        <v>-2.0724163126336256E-16</v>
      </c>
      <c r="D43" s="71">
        <v>2</v>
      </c>
      <c r="E43" s="67">
        <v>0.33333333333333331</v>
      </c>
      <c r="F43" s="67">
        <v>0.33333333333333331</v>
      </c>
      <c r="G43" s="67">
        <v>0.29868913857677903</v>
      </c>
      <c r="H43" s="67">
        <v>0.17883895131086142</v>
      </c>
      <c r="I43" s="68">
        <v>8548.9028213166148</v>
      </c>
      <c r="J43" s="68">
        <v>-8061.2565445026175</v>
      </c>
      <c r="K43" s="67">
        <v>0.125</v>
      </c>
      <c r="L43" s="67">
        <v>0.125</v>
      </c>
      <c r="M43" s="67">
        <v>0.23876404494382023</v>
      </c>
      <c r="N43" s="67">
        <v>0.25</v>
      </c>
      <c r="O43" s="67">
        <v>0.58431372549019611</v>
      </c>
      <c r="P43" s="67">
        <v>0.4044943820224719</v>
      </c>
      <c r="Q43" s="67">
        <v>0.39811912225705332</v>
      </c>
    </row>
    <row r="44" spans="1:17" x14ac:dyDescent="0.4">
      <c r="A44" s="69">
        <v>41</v>
      </c>
      <c r="B44" s="66">
        <v>-2.8421709430404007E-14</v>
      </c>
      <c r="C44" s="66">
        <v>-2.3107080837726838E-16</v>
      </c>
      <c r="D44" s="71">
        <v>2</v>
      </c>
      <c r="E44" s="67">
        <v>0.33333333333333331</v>
      </c>
      <c r="F44" s="67">
        <v>0.33333333333333331</v>
      </c>
      <c r="G44" s="67">
        <v>0.2982456140350877</v>
      </c>
      <c r="H44" s="67">
        <v>0.17820867959372114</v>
      </c>
      <c r="I44" s="68">
        <v>8606.5015479876165</v>
      </c>
      <c r="J44" s="68">
        <v>-8095.8549222797928</v>
      </c>
      <c r="K44" s="67">
        <v>0.13008130081300814</v>
      </c>
      <c r="L44" s="67">
        <v>0.13008130081300814</v>
      </c>
      <c r="M44" s="67">
        <v>0.23822714681440443</v>
      </c>
      <c r="N44" s="67">
        <v>0.24838411819021236</v>
      </c>
      <c r="O44" s="67">
        <v>0.57751937984496127</v>
      </c>
      <c r="P44" s="67">
        <v>0.40892193308550184</v>
      </c>
      <c r="Q44" s="67">
        <v>0.39938080495356038</v>
      </c>
    </row>
    <row r="45" spans="1:17" x14ac:dyDescent="0.4">
      <c r="A45" s="69">
        <v>42</v>
      </c>
      <c r="B45" s="66">
        <v>-2.6645352591003757E-14</v>
      </c>
      <c r="C45" s="66">
        <v>-2.1147105230955362E-16</v>
      </c>
      <c r="D45" s="71">
        <v>2</v>
      </c>
      <c r="E45" s="67">
        <v>0.33333333333333331</v>
      </c>
      <c r="F45" s="67">
        <v>0.33333333333333331</v>
      </c>
      <c r="G45" s="67">
        <v>0.29579982126899018</v>
      </c>
      <c r="H45" s="67">
        <v>0.17515638963360142</v>
      </c>
      <c r="I45" s="68">
        <v>8548.9425981873119</v>
      </c>
      <c r="J45" s="68">
        <v>-8021.9387755102043</v>
      </c>
      <c r="K45" s="67">
        <v>0.12698412698412698</v>
      </c>
      <c r="L45" s="67">
        <v>0.12698412698412698</v>
      </c>
      <c r="M45" s="67">
        <v>0.23949955317247543</v>
      </c>
      <c r="N45" s="67">
        <v>0.25201072386058981</v>
      </c>
      <c r="O45" s="67">
        <v>0.57089552238805974</v>
      </c>
      <c r="P45" s="67">
        <v>0.40425531914893614</v>
      </c>
      <c r="Q45" s="67">
        <v>0.40483383685800606</v>
      </c>
    </row>
    <row r="46" spans="1:17" x14ac:dyDescent="0.4">
      <c r="A46" s="69">
        <v>43</v>
      </c>
      <c r="B46" s="66">
        <v>-2.8421709430404007E-14</v>
      </c>
      <c r="C46" s="66">
        <v>-2.2032332891786052E-16</v>
      </c>
      <c r="D46" s="71">
        <v>2</v>
      </c>
      <c r="E46" s="67">
        <v>0.33333333333333331</v>
      </c>
      <c r="F46" s="67">
        <v>0.33333333333333331</v>
      </c>
      <c r="G46" s="67">
        <v>0.29610389610389609</v>
      </c>
      <c r="H46" s="67">
        <v>0.1748917748917749</v>
      </c>
      <c r="I46" s="68">
        <v>8503.5087719298244</v>
      </c>
      <c r="J46" s="68">
        <v>-7950</v>
      </c>
      <c r="K46" s="67">
        <v>0.12403100775193798</v>
      </c>
      <c r="L46" s="67">
        <v>0.12403100775193798</v>
      </c>
      <c r="M46" s="67">
        <v>0.23463203463203464</v>
      </c>
      <c r="N46" s="67">
        <v>0.25800865800865802</v>
      </c>
      <c r="O46" s="67">
        <v>0.5719557195571956</v>
      </c>
      <c r="P46" s="67">
        <v>0.40268456375838924</v>
      </c>
      <c r="Q46" s="67">
        <v>0.4064327485380117</v>
      </c>
    </row>
    <row r="47" spans="1:17" x14ac:dyDescent="0.4">
      <c r="A47" s="69">
        <v>44</v>
      </c>
      <c r="B47" s="66">
        <v>-2.8421709430404007E-14</v>
      </c>
      <c r="C47" s="66">
        <v>-2.153159805333637E-16</v>
      </c>
      <c r="D47" s="71">
        <v>2</v>
      </c>
      <c r="E47" s="67">
        <v>0.33333333333333331</v>
      </c>
      <c r="F47" s="67">
        <v>0.33333333333333331</v>
      </c>
      <c r="G47" s="67">
        <v>0.2970464135021097</v>
      </c>
      <c r="H47" s="67">
        <v>0.17468354430379746</v>
      </c>
      <c r="I47" s="68">
        <v>8463.068181818182</v>
      </c>
      <c r="J47" s="68">
        <v>-7928.5024154589373</v>
      </c>
      <c r="K47" s="67">
        <v>0.12121212121212122</v>
      </c>
      <c r="L47" s="67">
        <v>0.12121212121212122</v>
      </c>
      <c r="M47" s="67">
        <v>0.2320675105485232</v>
      </c>
      <c r="N47" s="67">
        <v>0.25907172995780592</v>
      </c>
      <c r="O47" s="67">
        <v>0.57454545454545458</v>
      </c>
      <c r="P47" s="67">
        <v>0.40390879478827363</v>
      </c>
      <c r="Q47" s="67">
        <v>0.40909090909090912</v>
      </c>
    </row>
    <row r="48" spans="1:17" x14ac:dyDescent="0.4">
      <c r="A48" s="69">
        <v>45</v>
      </c>
      <c r="B48" s="66">
        <v>-3.0198066269804258E-14</v>
      </c>
      <c r="C48" s="66">
        <v>-2.2368937977632781E-16</v>
      </c>
      <c r="D48" s="71">
        <v>2</v>
      </c>
      <c r="E48" s="67">
        <v>0.33333333333333331</v>
      </c>
      <c r="F48" s="67">
        <v>0.33333333333333331</v>
      </c>
      <c r="G48" s="67">
        <v>0.29729729729729731</v>
      </c>
      <c r="H48" s="67">
        <v>0.17362817362817362</v>
      </c>
      <c r="I48" s="68">
        <v>8351.7906336088163</v>
      </c>
      <c r="J48" s="68">
        <v>-7823.5849056603774</v>
      </c>
      <c r="K48" s="67">
        <v>0.11851851851851852</v>
      </c>
      <c r="L48" s="67">
        <v>0.11851851851851852</v>
      </c>
      <c r="M48" s="67">
        <v>0.23013923013923013</v>
      </c>
      <c r="N48" s="67">
        <v>0.25716625716625718</v>
      </c>
      <c r="O48" s="67">
        <v>0.57651245551601427</v>
      </c>
      <c r="P48" s="67">
        <v>0.40764331210191085</v>
      </c>
      <c r="Q48" s="67">
        <v>0.41322314049586778</v>
      </c>
    </row>
    <row r="49" spans="1:17" x14ac:dyDescent="0.4">
      <c r="A49" s="69">
        <v>46</v>
      </c>
      <c r="B49" s="66">
        <v>-2.5757174171303632E-14</v>
      </c>
      <c r="C49" s="66">
        <v>-1.8664618964712776E-16</v>
      </c>
      <c r="D49" s="71">
        <v>2</v>
      </c>
      <c r="E49" s="67">
        <v>0.33333333333333331</v>
      </c>
      <c r="F49" s="67">
        <v>0.33333333333333331</v>
      </c>
      <c r="G49" s="67">
        <v>0.29496402877697842</v>
      </c>
      <c r="H49" s="67">
        <v>0.17346123101518784</v>
      </c>
      <c r="I49" s="68">
        <v>8327.1002710027096</v>
      </c>
      <c r="J49" s="68">
        <v>-7822.5806451612907</v>
      </c>
      <c r="K49" s="67">
        <v>0.11594202898550725</v>
      </c>
      <c r="L49" s="67">
        <v>0.11594202898550725</v>
      </c>
      <c r="M49" s="67">
        <v>0.23341326938449242</v>
      </c>
      <c r="N49" s="67">
        <v>0.25659472422062352</v>
      </c>
      <c r="O49" s="67">
        <v>0.56849315068493156</v>
      </c>
      <c r="P49" s="67">
        <v>0.40186915887850466</v>
      </c>
      <c r="Q49" s="67">
        <v>0.40921409214092141</v>
      </c>
    </row>
    <row r="50" spans="1:17" x14ac:dyDescent="0.4">
      <c r="A50" s="69">
        <v>47</v>
      </c>
      <c r="B50" s="66">
        <v>-2.3980817331903381E-14</v>
      </c>
      <c r="C50" s="66">
        <v>-1.7007671866598143E-16</v>
      </c>
      <c r="D50" s="71">
        <v>2</v>
      </c>
      <c r="E50" s="67">
        <v>0.33333333333333331</v>
      </c>
      <c r="F50" s="67">
        <v>0.33333333333333331</v>
      </c>
      <c r="G50" s="67">
        <v>0.29411764705882354</v>
      </c>
      <c r="H50" s="67">
        <v>0.17254901960784313</v>
      </c>
      <c r="I50" s="68">
        <v>8288.5333333333328</v>
      </c>
      <c r="J50" s="68">
        <v>-7786.363636363636</v>
      </c>
      <c r="K50" s="67">
        <v>0.11347517730496454</v>
      </c>
      <c r="L50" s="67">
        <v>0.11347517730496454</v>
      </c>
      <c r="M50" s="67">
        <v>0.23372549019607844</v>
      </c>
      <c r="N50" s="67">
        <v>0.25803921568627453</v>
      </c>
      <c r="O50" s="67">
        <v>0.56711409395973156</v>
      </c>
      <c r="P50" s="67">
        <v>0.40121580547112462</v>
      </c>
      <c r="Q50" s="67">
        <v>0.41066666666666668</v>
      </c>
    </row>
    <row r="51" spans="1:17" x14ac:dyDescent="0.4">
      <c r="A51" s="69">
        <v>48</v>
      </c>
      <c r="B51" s="66">
        <v>-2.1316282072803006E-14</v>
      </c>
      <c r="C51" s="66">
        <v>-1.4802973661668753E-16</v>
      </c>
      <c r="D51" s="71">
        <v>2</v>
      </c>
      <c r="E51" s="67">
        <v>0.33333333333333331</v>
      </c>
      <c r="F51" s="67">
        <v>0.33333333333333331</v>
      </c>
      <c r="G51" s="67">
        <v>0.29484218629715164</v>
      </c>
      <c r="H51" s="67">
        <v>0.17321016166281755</v>
      </c>
      <c r="I51" s="68">
        <v>8333.4203655352485</v>
      </c>
      <c r="J51" s="68">
        <v>-7788.8888888888887</v>
      </c>
      <c r="K51" s="67">
        <v>0.11805555555555555</v>
      </c>
      <c r="L51" s="67">
        <v>0.11805555555555555</v>
      </c>
      <c r="M51" s="67">
        <v>0.23556581986143188</v>
      </c>
      <c r="N51" s="67">
        <v>0.25789068514241725</v>
      </c>
      <c r="O51" s="67">
        <v>0.55882352941176472</v>
      </c>
      <c r="P51" s="67">
        <v>0.40895522388059702</v>
      </c>
      <c r="Q51" s="67">
        <v>0.40992167101827676</v>
      </c>
    </row>
    <row r="52" spans="1:17" x14ac:dyDescent="0.4">
      <c r="A52" s="69">
        <v>49</v>
      </c>
      <c r="B52" s="66">
        <v>-2.1316282072803006E-14</v>
      </c>
      <c r="C52" s="66">
        <v>-1.450087215836939E-16</v>
      </c>
      <c r="D52" s="71">
        <v>2</v>
      </c>
      <c r="E52" s="67">
        <v>0.33333333333333331</v>
      </c>
      <c r="F52" s="67">
        <v>0.33333333333333331</v>
      </c>
      <c r="G52" s="67">
        <v>0.29460895975702356</v>
      </c>
      <c r="H52" s="67">
        <v>0.17312072892938496</v>
      </c>
      <c r="I52" s="68">
        <v>8398.9690721649476</v>
      </c>
      <c r="J52" s="68">
        <v>-7939.4736842105267</v>
      </c>
      <c r="K52" s="67">
        <v>0.12244897959183673</v>
      </c>
      <c r="L52" s="67">
        <v>0.12244897959183673</v>
      </c>
      <c r="M52" s="67">
        <v>0.23690205011389523</v>
      </c>
      <c r="N52" s="67">
        <v>0.25664388762338647</v>
      </c>
      <c r="O52" s="67">
        <v>0.55128205128205132</v>
      </c>
      <c r="P52" s="67">
        <v>0.41420118343195267</v>
      </c>
      <c r="Q52" s="67">
        <v>0.40979381443298968</v>
      </c>
    </row>
    <row r="53" spans="1:17" x14ac:dyDescent="0.4">
      <c r="A53" s="69">
        <v>50</v>
      </c>
      <c r="B53" s="66">
        <v>-2.1316282072803006E-14</v>
      </c>
      <c r="C53" s="66">
        <v>-1.4210854715202004E-16</v>
      </c>
      <c r="D53" s="71">
        <v>2</v>
      </c>
      <c r="E53" s="67">
        <v>0.33333333333333331</v>
      </c>
      <c r="F53" s="67">
        <v>0.33333333333333331</v>
      </c>
      <c r="G53" s="67">
        <v>0.29315476190476192</v>
      </c>
      <c r="H53" s="67">
        <v>0.17261904761904762</v>
      </c>
      <c r="I53" s="68">
        <v>8369.5431472081218</v>
      </c>
      <c r="J53" s="68">
        <v>-7939.6551724137935</v>
      </c>
      <c r="K53" s="67">
        <v>0.12</v>
      </c>
      <c r="L53" s="67">
        <v>0.12</v>
      </c>
      <c r="M53" s="67">
        <v>0.23586309523809523</v>
      </c>
      <c r="N53" s="67">
        <v>0.25744047619047616</v>
      </c>
      <c r="O53" s="67">
        <v>0.5457413249211357</v>
      </c>
      <c r="P53" s="67">
        <v>0.41618497109826591</v>
      </c>
      <c r="Q53" s="67">
        <v>0.40862944162436549</v>
      </c>
    </row>
    <row r="54" spans="1:17" x14ac:dyDescent="0.4">
      <c r="A54" s="69">
        <v>51</v>
      </c>
      <c r="B54" s="66">
        <v>-2.8421709430404007E-14</v>
      </c>
      <c r="C54" s="66">
        <v>-1.8576280673466672E-16</v>
      </c>
      <c r="D54" s="71">
        <v>2</v>
      </c>
      <c r="E54" s="67">
        <v>0.33333333333333331</v>
      </c>
      <c r="F54" s="67">
        <v>0.33333333333333331</v>
      </c>
      <c r="G54" s="67">
        <v>0.29304029304029305</v>
      </c>
      <c r="H54" s="67">
        <v>0.17216117216117216</v>
      </c>
      <c r="I54" s="68">
        <v>8396</v>
      </c>
      <c r="J54" s="68">
        <v>-8017.0212765957449</v>
      </c>
      <c r="K54" s="67">
        <v>0.12418300653594772</v>
      </c>
      <c r="L54" s="67">
        <v>0.12418300653594772</v>
      </c>
      <c r="M54" s="67">
        <v>0.23663003663003662</v>
      </c>
      <c r="N54" s="67">
        <v>0.25567765567765566</v>
      </c>
      <c r="O54" s="67">
        <v>0.54489164086687303</v>
      </c>
      <c r="P54" s="67">
        <v>0.41833810888252149</v>
      </c>
      <c r="Q54" s="67">
        <v>0.41</v>
      </c>
    </row>
    <row r="55" spans="1:17" x14ac:dyDescent="0.4">
      <c r="A55" s="69">
        <v>52</v>
      </c>
      <c r="B55" s="66">
        <v>-2.9309887850104133E-14</v>
      </c>
      <c r="C55" s="66">
        <v>-1.8788389647502649E-16</v>
      </c>
      <c r="D55" s="71">
        <v>2</v>
      </c>
      <c r="E55" s="67">
        <v>0.33333333333333331</v>
      </c>
      <c r="F55" s="67">
        <v>0.33333333333333331</v>
      </c>
      <c r="G55" s="67">
        <v>0.29292929292929293</v>
      </c>
      <c r="H55" s="67">
        <v>0.17243867243867245</v>
      </c>
      <c r="I55" s="68">
        <v>8337.4384236453207</v>
      </c>
      <c r="J55" s="68">
        <v>-7953.1380753138073</v>
      </c>
      <c r="K55" s="67">
        <v>0.12179487179487179</v>
      </c>
      <c r="L55" s="67">
        <v>0.12179487179487179</v>
      </c>
      <c r="M55" s="67">
        <v>0.23809523809523808</v>
      </c>
      <c r="N55" s="67">
        <v>0.25396825396825395</v>
      </c>
      <c r="O55" s="67">
        <v>0.54545454545454541</v>
      </c>
      <c r="P55" s="67">
        <v>0.42045454545454547</v>
      </c>
      <c r="Q55" s="67">
        <v>0.40886699507389163</v>
      </c>
    </row>
    <row r="56" spans="1:17" x14ac:dyDescent="0.4">
      <c r="A56" s="69">
        <v>53</v>
      </c>
      <c r="B56" s="66">
        <v>-3.1974423109204508E-14</v>
      </c>
      <c r="C56" s="66">
        <v>-2.0109700068682081E-16</v>
      </c>
      <c r="D56" s="71">
        <v>2</v>
      </c>
      <c r="E56" s="67">
        <v>0.33333333333333331</v>
      </c>
      <c r="F56" s="67">
        <v>0.33333333333333331</v>
      </c>
      <c r="G56" s="67">
        <v>0.29307909604519772</v>
      </c>
      <c r="H56" s="67">
        <v>0.17090395480225989</v>
      </c>
      <c r="I56" s="68">
        <v>8356.3855421686749</v>
      </c>
      <c r="J56" s="68">
        <v>-7989.2561983471078</v>
      </c>
      <c r="K56" s="67">
        <v>0.11949685534591195</v>
      </c>
      <c r="L56" s="67">
        <v>0.11949685534591195</v>
      </c>
      <c r="M56" s="67">
        <v>0.23799435028248589</v>
      </c>
      <c r="N56" s="67">
        <v>0.25141242937853109</v>
      </c>
      <c r="O56" s="67">
        <v>0.54896142433234418</v>
      </c>
      <c r="P56" s="67">
        <v>0.42134831460674155</v>
      </c>
      <c r="Q56" s="67">
        <v>0.41445783132530123</v>
      </c>
    </row>
    <row r="57" spans="1:17" x14ac:dyDescent="0.4">
      <c r="A57" s="69">
        <v>54</v>
      </c>
      <c r="B57" s="66">
        <v>-3.5527136788005009E-14</v>
      </c>
      <c r="C57" s="66">
        <v>-2.1930331350620375E-16</v>
      </c>
      <c r="D57" s="71">
        <v>2</v>
      </c>
      <c r="E57" s="67">
        <v>0.33333333333333331</v>
      </c>
      <c r="F57" s="67">
        <v>0.33333333333333331</v>
      </c>
      <c r="G57" s="67">
        <v>0.29183955739972339</v>
      </c>
      <c r="H57" s="67">
        <v>0.17081604426002767</v>
      </c>
      <c r="I57" s="68">
        <v>8332.7014218009481</v>
      </c>
      <c r="J57" s="68">
        <v>-7944.1295546558704</v>
      </c>
      <c r="K57" s="67">
        <v>0.11728395061728394</v>
      </c>
      <c r="L57" s="67">
        <v>0.11728395061728394</v>
      </c>
      <c r="M57" s="67">
        <v>0.23720608575380359</v>
      </c>
      <c r="N57" s="67">
        <v>0.24896265560165975</v>
      </c>
      <c r="O57" s="67">
        <v>0.54810495626822153</v>
      </c>
      <c r="P57" s="67">
        <v>0.42499999999999999</v>
      </c>
      <c r="Q57" s="67">
        <v>0.41232227488151657</v>
      </c>
    </row>
    <row r="58" spans="1:17" x14ac:dyDescent="0.4">
      <c r="A58" s="69">
        <v>55</v>
      </c>
      <c r="B58" s="66">
        <v>-3.5527136788005009E-14</v>
      </c>
      <c r="C58" s="66">
        <v>-2.153159805333637E-16</v>
      </c>
      <c r="D58" s="71">
        <v>2</v>
      </c>
      <c r="E58" s="67">
        <v>0.33333333333333331</v>
      </c>
      <c r="F58" s="67">
        <v>0.33333333333333331</v>
      </c>
      <c r="G58" s="67">
        <v>0.29149519890260633</v>
      </c>
      <c r="H58" s="67">
        <v>0.17146776406035666</v>
      </c>
      <c r="I58" s="68">
        <v>8346.3529411764703</v>
      </c>
      <c r="J58" s="68">
        <v>-7972</v>
      </c>
      <c r="K58" s="67">
        <v>0.12121212121212122</v>
      </c>
      <c r="L58" s="67">
        <v>0.12121212121212122</v>
      </c>
      <c r="M58" s="67">
        <v>0.23731138545953362</v>
      </c>
      <c r="N58" s="67">
        <v>0.24828532235939643</v>
      </c>
      <c r="O58" s="67">
        <v>0.54624277456647397</v>
      </c>
      <c r="P58" s="67">
        <v>0.425414364640884</v>
      </c>
      <c r="Q58" s="67">
        <v>0.40941176470588236</v>
      </c>
    </row>
    <row r="59" spans="1:17" x14ac:dyDescent="0.4">
      <c r="A59" s="69">
        <v>56</v>
      </c>
      <c r="B59" s="66">
        <v>-3.5527136788005009E-14</v>
      </c>
      <c r="C59" s="66">
        <v>-2.1147105230955362E-16</v>
      </c>
      <c r="D59" s="71">
        <v>2</v>
      </c>
      <c r="E59" s="67">
        <v>0.33333333333333331</v>
      </c>
      <c r="F59" s="67">
        <v>0.33333333333333331</v>
      </c>
      <c r="G59" s="67">
        <v>0.28950863213811423</v>
      </c>
      <c r="H59" s="67">
        <v>0.17131474103585656</v>
      </c>
      <c r="I59" s="68">
        <v>8341.7431192660551</v>
      </c>
      <c r="J59" s="68">
        <v>-7925.1937984496126</v>
      </c>
      <c r="K59" s="67">
        <v>0.11904761904761904</v>
      </c>
      <c r="L59" s="67">
        <v>0.11904761904761904</v>
      </c>
      <c r="M59" s="67">
        <v>0.23904382470119523</v>
      </c>
      <c r="N59" s="67">
        <v>0.24966799468791501</v>
      </c>
      <c r="O59" s="67">
        <v>0.54166666666666663</v>
      </c>
      <c r="P59" s="67">
        <v>0.42021276595744683</v>
      </c>
      <c r="Q59" s="67">
        <v>0.40596330275229359</v>
      </c>
    </row>
    <row r="60" spans="1:17" x14ac:dyDescent="0.4">
      <c r="A60" s="69">
        <v>57</v>
      </c>
      <c r="B60" s="66">
        <v>-3.5527136788005009E-14</v>
      </c>
      <c r="C60" s="66">
        <v>-2.077610338479825E-16</v>
      </c>
      <c r="D60" s="71">
        <v>2</v>
      </c>
      <c r="E60" s="67">
        <v>0.33333333333333331</v>
      </c>
      <c r="F60" s="67">
        <v>0.33333333333333331</v>
      </c>
      <c r="G60" s="67">
        <v>0.29002624671916011</v>
      </c>
      <c r="H60" s="67">
        <v>0.17125984251968504</v>
      </c>
      <c r="I60" s="68">
        <v>8290.4977375565613</v>
      </c>
      <c r="J60" s="68">
        <v>-7888.5057471264372</v>
      </c>
      <c r="K60" s="67">
        <v>0.11695906432748537</v>
      </c>
      <c r="L60" s="67">
        <v>0.11695906432748537</v>
      </c>
      <c r="M60" s="67">
        <v>0.23818897637795275</v>
      </c>
      <c r="N60" s="67">
        <v>0.24803149606299213</v>
      </c>
      <c r="O60" s="67">
        <v>0.54545454545454541</v>
      </c>
      <c r="P60" s="67">
        <v>0.42328042328042326</v>
      </c>
      <c r="Q60" s="67">
        <v>0.40723981900452488</v>
      </c>
    </row>
    <row r="61" spans="1:17" x14ac:dyDescent="0.4">
      <c r="A61" s="69">
        <v>58</v>
      </c>
      <c r="B61" s="66">
        <v>-3.5527136788005009E-14</v>
      </c>
      <c r="C61" s="66">
        <v>-2.0417894705750005E-16</v>
      </c>
      <c r="D61" s="71">
        <v>2</v>
      </c>
      <c r="E61" s="67">
        <v>0.33333333333333331</v>
      </c>
      <c r="F61" s="67">
        <v>0.33333333333333331</v>
      </c>
      <c r="G61" s="67">
        <v>0.29069767441860467</v>
      </c>
      <c r="H61" s="67">
        <v>0.17118863049095606</v>
      </c>
      <c r="I61" s="68">
        <v>8229.7777777777774</v>
      </c>
      <c r="J61" s="68">
        <v>-7834.3396226415098</v>
      </c>
      <c r="K61" s="67">
        <v>0.11494252873563218</v>
      </c>
      <c r="L61" s="67">
        <v>0.11494252873563218</v>
      </c>
      <c r="M61" s="67">
        <v>0.23708010335917312</v>
      </c>
      <c r="N61" s="67">
        <v>0.24935400516795866</v>
      </c>
      <c r="O61" s="67">
        <v>0.54495912806539515</v>
      </c>
      <c r="P61" s="67">
        <v>0.42746113989637308</v>
      </c>
      <c r="Q61" s="67">
        <v>0.40888888888888891</v>
      </c>
    </row>
    <row r="62" spans="1:17" x14ac:dyDescent="0.4">
      <c r="A62" s="69">
        <v>59</v>
      </c>
      <c r="B62" s="66">
        <v>-4.2632564145606011E-14</v>
      </c>
      <c r="C62" s="66">
        <v>-2.4086194432545769E-16</v>
      </c>
      <c r="D62" s="71">
        <v>2</v>
      </c>
      <c r="E62" s="67">
        <v>0.33333333333333331</v>
      </c>
      <c r="F62" s="67">
        <v>0.33333333333333331</v>
      </c>
      <c r="G62" s="67">
        <v>0.29118773946360155</v>
      </c>
      <c r="H62" s="67">
        <v>0.17241379310344829</v>
      </c>
      <c r="I62" s="68">
        <v>8244.9561403508778</v>
      </c>
      <c r="J62" s="68">
        <v>-7854.8148148148148</v>
      </c>
      <c r="K62" s="67">
        <v>0.11864406779661017</v>
      </c>
      <c r="L62" s="67">
        <v>0.11864406779661017</v>
      </c>
      <c r="M62" s="67">
        <v>0.23690932311621968</v>
      </c>
      <c r="N62" s="67">
        <v>0.24968071519795657</v>
      </c>
      <c r="O62" s="67">
        <v>0.54716981132075471</v>
      </c>
      <c r="P62" s="67">
        <v>0.42710997442455245</v>
      </c>
      <c r="Q62" s="67">
        <v>0.4057017543859649</v>
      </c>
    </row>
    <row r="63" spans="1:17" x14ac:dyDescent="0.4">
      <c r="A63" s="69">
        <v>60</v>
      </c>
      <c r="B63" s="66">
        <v>-4.2632564145606011E-14</v>
      </c>
      <c r="C63" s="66">
        <v>-2.3684757858670006E-16</v>
      </c>
      <c r="D63" s="71">
        <v>2</v>
      </c>
      <c r="E63" s="67">
        <v>0.33333333333333331</v>
      </c>
      <c r="F63" s="67">
        <v>0.33333333333333331</v>
      </c>
      <c r="G63" s="67">
        <v>0.29182389937106917</v>
      </c>
      <c r="H63" s="67">
        <v>0.17232704402515722</v>
      </c>
      <c r="I63" s="68">
        <v>8244.1810344827591</v>
      </c>
      <c r="J63" s="68">
        <v>-7844.8905109489051</v>
      </c>
      <c r="K63" s="67">
        <v>0.11666666666666667</v>
      </c>
      <c r="L63" s="67">
        <v>0.11666666666666667</v>
      </c>
      <c r="M63" s="67">
        <v>0.23710691823899371</v>
      </c>
      <c r="N63" s="67">
        <v>0.25094339622641509</v>
      </c>
      <c r="O63" s="67">
        <v>0.55172413793103448</v>
      </c>
      <c r="P63" s="67">
        <v>0.42606516290726815</v>
      </c>
      <c r="Q63" s="67">
        <v>0.40732758620689657</v>
      </c>
    </row>
    <row r="64" spans="1:17" x14ac:dyDescent="0.4">
      <c r="A64" s="69">
        <v>61</v>
      </c>
      <c r="B64" s="66">
        <v>-4.2632564145606011E-14</v>
      </c>
      <c r="C64" s="66">
        <v>-2.3296483139675417E-16</v>
      </c>
      <c r="D64" s="71">
        <v>2</v>
      </c>
      <c r="E64" s="67">
        <v>0.33333333333333331</v>
      </c>
      <c r="F64" s="67">
        <v>0.33333333333333331</v>
      </c>
      <c r="G64" s="67">
        <v>0.29174425822470518</v>
      </c>
      <c r="H64" s="67">
        <v>0.17194289261328369</v>
      </c>
      <c r="I64" s="68">
        <v>8257.8723404255325</v>
      </c>
      <c r="J64" s="68">
        <v>-7916.2454873646211</v>
      </c>
      <c r="K64" s="67">
        <v>0.11475409836065574</v>
      </c>
      <c r="L64" s="67">
        <v>0.11475409836065574</v>
      </c>
      <c r="M64" s="67">
        <v>0.23711980136561142</v>
      </c>
      <c r="N64" s="67">
        <v>0.25139664804469275</v>
      </c>
      <c r="O64" s="67">
        <v>0.55759162303664922</v>
      </c>
      <c r="P64" s="67">
        <v>0.42222222222222222</v>
      </c>
      <c r="Q64" s="67">
        <v>0.40851063829787232</v>
      </c>
    </row>
    <row r="65" spans="1:17" x14ac:dyDescent="0.4">
      <c r="A65" s="69">
        <v>62</v>
      </c>
      <c r="B65" s="66">
        <v>-3.5527136788005009E-14</v>
      </c>
      <c r="C65" s="66">
        <v>-1.9100611176346779E-16</v>
      </c>
      <c r="D65" s="71">
        <v>2</v>
      </c>
      <c r="E65" s="67">
        <v>0.33333333333333331</v>
      </c>
      <c r="F65" s="67">
        <v>0.33333333333333331</v>
      </c>
      <c r="G65" s="67">
        <v>0.2922794117647059</v>
      </c>
      <c r="H65" s="67">
        <v>0.17156862745098039</v>
      </c>
      <c r="I65" s="68">
        <v>8272.9559748427673</v>
      </c>
      <c r="J65" s="68">
        <v>-7906.4285714285716</v>
      </c>
      <c r="K65" s="67">
        <v>0.11290322580645161</v>
      </c>
      <c r="L65" s="67">
        <v>0.11290322580645161</v>
      </c>
      <c r="M65" s="67">
        <v>0.23897058823529413</v>
      </c>
      <c r="N65" s="67">
        <v>0.25</v>
      </c>
      <c r="O65" s="67">
        <v>0.55897435897435899</v>
      </c>
      <c r="P65" s="67">
        <v>0.42156862745098039</v>
      </c>
      <c r="Q65" s="67">
        <v>0.41090146750524109</v>
      </c>
    </row>
    <row r="66" spans="1:17" x14ac:dyDescent="0.4">
      <c r="A66" s="69">
        <v>63</v>
      </c>
      <c r="B66" s="66">
        <v>-4.2632564145606011E-14</v>
      </c>
      <c r="C66" s="66">
        <v>-2.2556912246352386E-16</v>
      </c>
      <c r="D66" s="71">
        <v>2</v>
      </c>
      <c r="E66" s="67">
        <v>0.33333333333333331</v>
      </c>
      <c r="F66" s="67">
        <v>0.33333333333333331</v>
      </c>
      <c r="G66" s="67">
        <v>0.2922705314009662</v>
      </c>
      <c r="H66" s="67">
        <v>0.17028985507246377</v>
      </c>
      <c r="I66" s="68">
        <v>8286.5702479338852</v>
      </c>
      <c r="J66" s="68">
        <v>-7896.0992907801419</v>
      </c>
      <c r="K66" s="67">
        <v>0.1111111111111111</v>
      </c>
      <c r="L66" s="67">
        <v>0.1111111111111111</v>
      </c>
      <c r="M66" s="67">
        <v>0.23973429951690822</v>
      </c>
      <c r="N66" s="67">
        <v>0.24879227053140096</v>
      </c>
      <c r="O66" s="67">
        <v>0.5617128463476071</v>
      </c>
      <c r="P66" s="67">
        <v>0.4199029126213592</v>
      </c>
      <c r="Q66" s="67">
        <v>0.41528925619834711</v>
      </c>
    </row>
    <row r="67" spans="1:17" x14ac:dyDescent="0.4">
      <c r="A67" s="69">
        <v>64</v>
      </c>
      <c r="B67" s="66">
        <v>-4.1910919179599659E-14</v>
      </c>
      <c r="C67" s="66">
        <v>-2.1828603739374822E-16</v>
      </c>
      <c r="D67" s="71">
        <v>2</v>
      </c>
      <c r="E67" s="67">
        <v>0.33333333333333331</v>
      </c>
      <c r="F67" s="67">
        <v>0.33333333333333331</v>
      </c>
      <c r="G67" s="67">
        <v>0.29166666666666669</v>
      </c>
      <c r="H67" s="67">
        <v>0.16964285714285715</v>
      </c>
      <c r="I67" s="68">
        <v>8231.6326530612241</v>
      </c>
      <c r="J67" s="68">
        <v>-7857.1929824561403</v>
      </c>
      <c r="K67" s="67">
        <v>0.109375</v>
      </c>
      <c r="L67" s="67">
        <v>0.109375</v>
      </c>
      <c r="M67" s="67">
        <v>0.24166666666666667</v>
      </c>
      <c r="N67" s="67">
        <v>0.24821428571428572</v>
      </c>
      <c r="O67" s="67">
        <v>0.55418719211822665</v>
      </c>
      <c r="P67" s="67">
        <v>0.41726618705035973</v>
      </c>
      <c r="Q67" s="67">
        <v>0.41632653061224489</v>
      </c>
    </row>
    <row r="68" spans="1:17" x14ac:dyDescent="0.4">
      <c r="A68" s="69">
        <v>65</v>
      </c>
      <c r="B68" s="66">
        <v>-3.5527136788005009E-14</v>
      </c>
      <c r="C68" s="66">
        <v>-1.8219044506669235E-16</v>
      </c>
      <c r="D68" s="71">
        <v>2</v>
      </c>
      <c r="E68" s="67">
        <v>0.33333333333333331</v>
      </c>
      <c r="F68" s="67">
        <v>0.33333333333333331</v>
      </c>
      <c r="G68" s="67">
        <v>0.29246935201401053</v>
      </c>
      <c r="H68" s="67">
        <v>0.16929363689433741</v>
      </c>
      <c r="I68" s="68">
        <v>8289.2215568862284</v>
      </c>
      <c r="J68" s="68">
        <v>-7873.7931034482763</v>
      </c>
      <c r="K68" s="67">
        <v>0.11282051282051282</v>
      </c>
      <c r="L68" s="67">
        <v>0.11282051282051282</v>
      </c>
      <c r="M68" s="67">
        <v>0.24460011675423235</v>
      </c>
      <c r="N68" s="67">
        <v>0.24576765907764156</v>
      </c>
      <c r="O68" s="67">
        <v>0.55369928400954649</v>
      </c>
      <c r="P68" s="67">
        <v>0.42280285035629456</v>
      </c>
      <c r="Q68" s="67">
        <v>0.41916167664670656</v>
      </c>
    </row>
    <row r="69" spans="1:17" x14ac:dyDescent="0.4">
      <c r="A69" s="69">
        <v>66</v>
      </c>
      <c r="B69" s="66">
        <v>-3.907985046680551E-14</v>
      </c>
      <c r="C69" s="66">
        <v>-1.9737298215558337E-16</v>
      </c>
      <c r="D69" s="71">
        <v>2</v>
      </c>
      <c r="E69" s="67">
        <v>0.33333333333333331</v>
      </c>
      <c r="F69" s="67">
        <v>0.33333333333333331</v>
      </c>
      <c r="G69" s="67">
        <v>0.29231658001155403</v>
      </c>
      <c r="H69" s="67">
        <v>0.16868861929520509</v>
      </c>
      <c r="I69" s="68">
        <v>8271.3438735177861</v>
      </c>
      <c r="J69" s="68">
        <v>-7851.0273972602736</v>
      </c>
      <c r="K69" s="67">
        <v>0.1111111111111111</v>
      </c>
      <c r="L69" s="67">
        <v>0.1111111111111111</v>
      </c>
      <c r="M69" s="67">
        <v>0.24610051993067592</v>
      </c>
      <c r="N69" s="67">
        <v>0.24610051993067592</v>
      </c>
      <c r="O69" s="67">
        <v>0.55164319248826288</v>
      </c>
      <c r="P69" s="67">
        <v>0.42018779342723006</v>
      </c>
      <c r="Q69" s="67">
        <v>0.42094861660079053</v>
      </c>
    </row>
    <row r="70" spans="1:17" x14ac:dyDescent="0.4">
      <c r="A70" s="69">
        <v>67</v>
      </c>
      <c r="B70" s="66">
        <v>-3.907985046680551E-14</v>
      </c>
      <c r="C70" s="66">
        <v>-1.9442711675027617E-16</v>
      </c>
      <c r="D70" s="71">
        <v>2</v>
      </c>
      <c r="E70" s="67">
        <v>0.33333333333333331</v>
      </c>
      <c r="F70" s="67">
        <v>0.33333333333333331</v>
      </c>
      <c r="G70" s="67">
        <v>0.29287749287749287</v>
      </c>
      <c r="H70" s="67">
        <v>0.16923076923076924</v>
      </c>
      <c r="I70" s="68">
        <v>8226.8482490272381</v>
      </c>
      <c r="J70" s="68">
        <v>-7789.8989898989903</v>
      </c>
      <c r="K70" s="67">
        <v>0.10945273631840796</v>
      </c>
      <c r="L70" s="67">
        <v>0.10945273631840796</v>
      </c>
      <c r="M70" s="67">
        <v>0.249002849002849</v>
      </c>
      <c r="N70" s="67">
        <v>0.24444444444444444</v>
      </c>
      <c r="O70" s="67">
        <v>0.54919908466819223</v>
      </c>
      <c r="P70" s="67">
        <v>0.41958041958041958</v>
      </c>
      <c r="Q70" s="67">
        <v>0.42023346303501946</v>
      </c>
    </row>
    <row r="71" spans="1:17" x14ac:dyDescent="0.4">
      <c r="A71" s="69">
        <v>68</v>
      </c>
      <c r="B71" s="66">
        <v>-3.907985046680551E-14</v>
      </c>
      <c r="C71" s="66">
        <v>-1.9156789444512506E-16</v>
      </c>
      <c r="D71" s="71">
        <v>2</v>
      </c>
      <c r="E71" s="67">
        <v>0.33333333333333331</v>
      </c>
      <c r="F71" s="67">
        <v>0.33333333333333331</v>
      </c>
      <c r="G71" s="67">
        <v>0.29222972972972971</v>
      </c>
      <c r="H71" s="67">
        <v>0.17004504504504506</v>
      </c>
      <c r="I71" s="68">
        <v>8188.8246628131019</v>
      </c>
      <c r="J71" s="68">
        <v>-7731.7880794701987</v>
      </c>
      <c r="K71" s="67">
        <v>0.10784313725490197</v>
      </c>
      <c r="L71" s="67">
        <v>0.10784313725490197</v>
      </c>
      <c r="M71" s="67">
        <v>0.25</v>
      </c>
      <c r="N71" s="67">
        <v>0.24380630630630631</v>
      </c>
      <c r="O71" s="67">
        <v>0.54504504504504503</v>
      </c>
      <c r="P71" s="67">
        <v>0.42032332563510394</v>
      </c>
      <c r="Q71" s="67">
        <v>0.41618497109826591</v>
      </c>
    </row>
    <row r="72" spans="1:17" x14ac:dyDescent="0.4">
      <c r="A72" s="69">
        <v>69</v>
      </c>
      <c r="B72" s="66">
        <v>-4.2632564145606011E-14</v>
      </c>
      <c r="C72" s="66">
        <v>-2.0595441616234788E-16</v>
      </c>
      <c r="D72" s="71">
        <v>2</v>
      </c>
      <c r="E72" s="67">
        <v>0.33333333333333331</v>
      </c>
      <c r="F72" s="67">
        <v>0.33333333333333331</v>
      </c>
      <c r="G72" s="67">
        <v>0.29104062326099056</v>
      </c>
      <c r="H72" s="67">
        <v>0.16917084028937118</v>
      </c>
      <c r="I72" s="68">
        <v>8184.8948374760994</v>
      </c>
      <c r="J72" s="68">
        <v>-7712.8289473684208</v>
      </c>
      <c r="K72" s="67">
        <v>0.1111111111111111</v>
      </c>
      <c r="L72" s="67">
        <v>0.1111111111111111</v>
      </c>
      <c r="M72" s="67">
        <v>0.24930439621591541</v>
      </c>
      <c r="N72" s="67">
        <v>0.24429604897050641</v>
      </c>
      <c r="O72" s="67">
        <v>0.5424107142857143</v>
      </c>
      <c r="P72" s="67">
        <v>0.4191343963553531</v>
      </c>
      <c r="Q72" s="67">
        <v>0.4168260038240918</v>
      </c>
    </row>
    <row r="73" spans="1:17" x14ac:dyDescent="0.4">
      <c r="A73" s="69">
        <v>70</v>
      </c>
      <c r="B73" s="66">
        <v>-4.0856207306205761E-14</v>
      </c>
      <c r="C73" s="66">
        <v>-1.9455336812478934E-16</v>
      </c>
      <c r="D73" s="71">
        <v>2</v>
      </c>
      <c r="E73" s="67">
        <v>0.33333333333333331</v>
      </c>
      <c r="F73" s="67">
        <v>0.33333333333333331</v>
      </c>
      <c r="G73" s="67">
        <v>0.29152915291529152</v>
      </c>
      <c r="H73" s="67">
        <v>0.1694169416941694</v>
      </c>
      <c r="I73" s="68">
        <v>8170.7547169811323</v>
      </c>
      <c r="J73" s="68">
        <v>-7715.5844155844152</v>
      </c>
      <c r="K73" s="67">
        <v>0.11428571428571428</v>
      </c>
      <c r="L73" s="67">
        <v>0.11428571428571428</v>
      </c>
      <c r="M73" s="67">
        <v>0.24972497249724973</v>
      </c>
      <c r="N73" s="67">
        <v>0.24532453245324531</v>
      </c>
      <c r="O73" s="67">
        <v>0.54185022026431717</v>
      </c>
      <c r="P73" s="67">
        <v>0.42152466367713004</v>
      </c>
      <c r="Q73" s="67">
        <v>0.41509433962264153</v>
      </c>
    </row>
    <row r="74" spans="1:17" x14ac:dyDescent="0.4">
      <c r="A74" s="69">
        <v>71</v>
      </c>
      <c r="B74" s="66">
        <v>-3.907985046680551E-14</v>
      </c>
      <c r="C74" s="66">
        <v>-1.8347347636997893E-16</v>
      </c>
      <c r="D74" s="71">
        <v>2</v>
      </c>
      <c r="E74" s="67">
        <v>0.33333333333333331</v>
      </c>
      <c r="F74" s="67">
        <v>0.33333333333333331</v>
      </c>
      <c r="G74" s="67">
        <v>0.29207383279044519</v>
      </c>
      <c r="H74" s="67">
        <v>0.17046688382193267</v>
      </c>
      <c r="I74" s="68">
        <v>8153.7174721189594</v>
      </c>
      <c r="J74" s="68">
        <v>-7724.8407643312103</v>
      </c>
      <c r="K74" s="67">
        <v>0.11267605633802817</v>
      </c>
      <c r="L74" s="67">
        <v>0.11267605633802817</v>
      </c>
      <c r="M74" s="67">
        <v>0.24755700325732899</v>
      </c>
      <c r="N74" s="67">
        <v>0.24755700325732899</v>
      </c>
      <c r="O74" s="67">
        <v>0.54166666666666663</v>
      </c>
      <c r="P74" s="67">
        <v>0.4232456140350877</v>
      </c>
      <c r="Q74" s="67">
        <v>0.41263940520446096</v>
      </c>
    </row>
    <row r="75" spans="1:17" x14ac:dyDescent="0.4">
      <c r="A75" s="69">
        <v>72</v>
      </c>
      <c r="B75" s="66">
        <v>-3.907985046680551E-14</v>
      </c>
      <c r="C75" s="66">
        <v>-1.8092523364261809E-16</v>
      </c>
      <c r="D75" s="71">
        <v>2</v>
      </c>
      <c r="E75" s="67">
        <v>0.33333333333333331</v>
      </c>
      <c r="F75" s="67">
        <v>0.33333333333333331</v>
      </c>
      <c r="G75" s="67">
        <v>0.29260450160771706</v>
      </c>
      <c r="H75" s="67">
        <v>0.17041800643086816</v>
      </c>
      <c r="I75" s="68">
        <v>8174.9084249084253</v>
      </c>
      <c r="J75" s="68">
        <v>-7755.9748427672957</v>
      </c>
      <c r="K75" s="67">
        <v>0.1111111111111111</v>
      </c>
      <c r="L75" s="67">
        <v>0.1111111111111111</v>
      </c>
      <c r="M75" s="67">
        <v>0.24758842443729903</v>
      </c>
      <c r="N75" s="67">
        <v>0.24866023579849947</v>
      </c>
      <c r="O75" s="67">
        <v>0.54112554112554112</v>
      </c>
      <c r="P75" s="67">
        <v>0.42672413793103448</v>
      </c>
      <c r="Q75" s="67">
        <v>0.41391941391941389</v>
      </c>
    </row>
    <row r="76" spans="1:17" x14ac:dyDescent="0.4">
      <c r="A76" s="69">
        <v>73</v>
      </c>
      <c r="B76" s="66">
        <v>-3.5527136788005009E-14</v>
      </c>
      <c r="C76" s="66">
        <v>-1.6222436889500003E-16</v>
      </c>
      <c r="D76" s="71">
        <v>2</v>
      </c>
      <c r="E76" s="67">
        <v>0.33333333333333331</v>
      </c>
      <c r="F76" s="67">
        <v>0.33333333333333331</v>
      </c>
      <c r="G76" s="67">
        <v>0.29312169312169312</v>
      </c>
      <c r="H76" s="67">
        <v>0.17089947089947091</v>
      </c>
      <c r="I76" s="68">
        <v>8197.2924187725639</v>
      </c>
      <c r="J76" s="68">
        <v>-7707.1207430340555</v>
      </c>
      <c r="K76" s="67">
        <v>0.1095890410958904</v>
      </c>
      <c r="L76" s="67">
        <v>0.1095890410958904</v>
      </c>
      <c r="M76" s="67">
        <v>0.24656084656084656</v>
      </c>
      <c r="N76" s="67">
        <v>0.24656084656084656</v>
      </c>
      <c r="O76" s="67">
        <v>0.5429184549356223</v>
      </c>
      <c r="P76" s="67">
        <v>0.42489270386266093</v>
      </c>
      <c r="Q76" s="67">
        <v>0.41335740072202165</v>
      </c>
    </row>
    <row r="77" spans="1:17" x14ac:dyDescent="0.4">
      <c r="A77" s="69">
        <v>74</v>
      </c>
      <c r="B77" s="66">
        <v>-3.6193270602780103E-14</v>
      </c>
      <c r="C77" s="66">
        <v>-1.6303275046297345E-16</v>
      </c>
      <c r="D77" s="71">
        <v>2</v>
      </c>
      <c r="E77" s="67">
        <v>0.33333333333333331</v>
      </c>
      <c r="F77" s="67">
        <v>0.33333333333333331</v>
      </c>
      <c r="G77" s="67">
        <v>0.29304029304029305</v>
      </c>
      <c r="H77" s="67">
        <v>0.1695447409733124</v>
      </c>
      <c r="I77" s="68">
        <v>8187.8571428571431</v>
      </c>
      <c r="J77" s="68">
        <v>-7691.358024691358</v>
      </c>
      <c r="K77" s="67">
        <v>0.10810810810810811</v>
      </c>
      <c r="L77" s="67">
        <v>0.10810810810810811</v>
      </c>
      <c r="M77" s="67">
        <v>0.24646781789638933</v>
      </c>
      <c r="N77" s="67">
        <v>0.24594453165881738</v>
      </c>
      <c r="O77" s="67">
        <v>0.54564755838641188</v>
      </c>
      <c r="P77" s="67">
        <v>0.42553191489361702</v>
      </c>
      <c r="Q77" s="67">
        <v>0.41785714285714287</v>
      </c>
    </row>
    <row r="78" spans="1:17" x14ac:dyDescent="0.4">
      <c r="A78" s="69">
        <v>75</v>
      </c>
      <c r="B78" s="66">
        <v>-3.5527136788005009E-14</v>
      </c>
      <c r="C78" s="66">
        <v>-1.5789838572446671E-16</v>
      </c>
      <c r="D78" s="71">
        <v>2</v>
      </c>
      <c r="E78" s="67">
        <v>0.33333333333333331</v>
      </c>
      <c r="F78" s="67">
        <v>0.33333333333333331</v>
      </c>
      <c r="G78" s="67">
        <v>0.2930232558139535</v>
      </c>
      <c r="H78" s="67">
        <v>0.17054263565891473</v>
      </c>
      <c r="I78" s="68">
        <v>8202.4691358024684</v>
      </c>
      <c r="J78" s="68">
        <v>-7713.939393939394</v>
      </c>
      <c r="K78" s="67">
        <v>0.10666666666666667</v>
      </c>
      <c r="L78" s="67">
        <v>0.10666666666666667</v>
      </c>
      <c r="M78" s="67">
        <v>0.24754521963824289</v>
      </c>
      <c r="N78" s="67">
        <v>0.24702842377260981</v>
      </c>
      <c r="O78" s="67">
        <v>0.54279749478079331</v>
      </c>
      <c r="P78" s="67">
        <v>0.42468619246861927</v>
      </c>
      <c r="Q78" s="67">
        <v>0.41446208112874777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ワークシート</vt:lpstr>
      </vt:variant>
      <vt:variant>
        <vt:i4>25</vt:i4>
      </vt:variant>
      <vt:variant>
        <vt:lpstr>グラフ</vt:lpstr>
      </vt:variant>
      <vt:variant>
        <vt:i4>16</vt:i4>
      </vt:variant>
      <vt:variant>
        <vt:lpstr>名前付き一覧</vt:lpstr>
      </vt:variant>
      <vt:variant>
        <vt:i4>429</vt:i4>
      </vt:variant>
    </vt:vector>
  </HeadingPairs>
  <TitlesOfParts>
    <vt:vector size="470" baseType="lpstr">
      <vt:lpstr>Template1</vt:lpstr>
      <vt:lpstr>Cache</vt:lpstr>
      <vt:lpstr>Template2</vt:lpstr>
      <vt:lpstr>Players</vt:lpstr>
      <vt:lpstr>ランキング</vt:lpstr>
      <vt:lpstr>全体</vt:lpstr>
      <vt:lpstr>たかの</vt:lpstr>
      <vt:lpstr>だいち</vt:lpstr>
      <vt:lpstr>ただ</vt:lpstr>
      <vt:lpstr>りくと</vt:lpstr>
      <vt:lpstr>れんたろう</vt:lpstr>
      <vt:lpstr>まっつん</vt:lpstr>
      <vt:lpstr>のり</vt:lpstr>
      <vt:lpstr>ぱぱ</vt:lpstr>
      <vt:lpstr>ほたに</vt:lpstr>
      <vt:lpstr>ほたに2</vt:lpstr>
      <vt:lpstr>ぱぱ2</vt:lpstr>
      <vt:lpstr>のり2</vt:lpstr>
      <vt:lpstr>まっつん2</vt:lpstr>
      <vt:lpstr>れんたろう2</vt:lpstr>
      <vt:lpstr>りくと2</vt:lpstr>
      <vt:lpstr>ただ2</vt:lpstr>
      <vt:lpstr>だいち2</vt:lpstr>
      <vt:lpstr>たかの2</vt:lpstr>
      <vt:lpstr>全体2</vt:lpstr>
      <vt:lpstr>通算スコア</vt:lpstr>
      <vt:lpstr>平均スコア</vt:lpstr>
      <vt:lpstr>平均順位</vt:lpstr>
      <vt:lpstr>トップ率</vt:lpstr>
      <vt:lpstr>ラス率</vt:lpstr>
      <vt:lpstr>アガリ率</vt:lpstr>
      <vt:lpstr>放銃率</vt:lpstr>
      <vt:lpstr>平均アガリ点</vt:lpstr>
      <vt:lpstr>平均放銃点</vt:lpstr>
      <vt:lpstr>ふっとび率</vt:lpstr>
      <vt:lpstr>ふっとばし率</vt:lpstr>
      <vt:lpstr>リーチ率</vt:lpstr>
      <vt:lpstr>副露率</vt:lpstr>
      <vt:lpstr>リーチ成功率</vt:lpstr>
      <vt:lpstr>副露成功率</vt:lpstr>
      <vt:lpstr>ツモ率</vt:lpstr>
      <vt:lpstr>だいち!アガリ数</vt:lpstr>
      <vt:lpstr>たかの!アガリ数</vt:lpstr>
      <vt:lpstr>ただ!アガリ数</vt:lpstr>
      <vt:lpstr>のり!アガリ数</vt:lpstr>
      <vt:lpstr>ぱぱ!アガリ数</vt:lpstr>
      <vt:lpstr>ほたに!アガリ数</vt:lpstr>
      <vt:lpstr>まっつん!アガリ数</vt:lpstr>
      <vt:lpstr>りくと!アガリ数</vt:lpstr>
      <vt:lpstr>れんたろう!アガリ数</vt:lpstr>
      <vt:lpstr>全体!アガリ数</vt:lpstr>
      <vt:lpstr>アガリ数</vt:lpstr>
      <vt:lpstr>だいち!アガリ率</vt:lpstr>
      <vt:lpstr>たかの!アガリ率</vt:lpstr>
      <vt:lpstr>ただ!アガリ率</vt:lpstr>
      <vt:lpstr>のり!アガリ率</vt:lpstr>
      <vt:lpstr>ぱぱ!アガリ率</vt:lpstr>
      <vt:lpstr>ほたに!アガリ率</vt:lpstr>
      <vt:lpstr>まっつん!アガリ率</vt:lpstr>
      <vt:lpstr>りくと!アガリ率</vt:lpstr>
      <vt:lpstr>れんたろう!アガリ率</vt:lpstr>
      <vt:lpstr>全体!アガリ率</vt:lpstr>
      <vt:lpstr>アガリ率</vt:lpstr>
      <vt:lpstr>だいち!チョンボ数</vt:lpstr>
      <vt:lpstr>たかの!チョンボ数</vt:lpstr>
      <vt:lpstr>ただ!チョンボ数</vt:lpstr>
      <vt:lpstr>のり!チョンボ数</vt:lpstr>
      <vt:lpstr>ぱぱ!チョンボ数</vt:lpstr>
      <vt:lpstr>ほたに!チョンボ数</vt:lpstr>
      <vt:lpstr>まっつん!チョンボ数</vt:lpstr>
      <vt:lpstr>りくと!チョンボ数</vt:lpstr>
      <vt:lpstr>れんたろう!チョンボ数</vt:lpstr>
      <vt:lpstr>全体!チョンボ数</vt:lpstr>
      <vt:lpstr>チョンボ数</vt:lpstr>
      <vt:lpstr>だいち!チョンボ率</vt:lpstr>
      <vt:lpstr>たかの!チョンボ率</vt:lpstr>
      <vt:lpstr>ただ!チョンボ率</vt:lpstr>
      <vt:lpstr>のり!チョンボ率</vt:lpstr>
      <vt:lpstr>ぱぱ!チョンボ率</vt:lpstr>
      <vt:lpstr>ほたに!チョンボ率</vt:lpstr>
      <vt:lpstr>まっつん!チョンボ率</vt:lpstr>
      <vt:lpstr>りくと!チョンボ率</vt:lpstr>
      <vt:lpstr>れんたろう!チョンボ率</vt:lpstr>
      <vt:lpstr>全体!チョンボ率</vt:lpstr>
      <vt:lpstr>チョンボ率</vt:lpstr>
      <vt:lpstr>だいち!ツモ数</vt:lpstr>
      <vt:lpstr>たかの!ツモ数</vt:lpstr>
      <vt:lpstr>ただ!ツモ数</vt:lpstr>
      <vt:lpstr>のり!ツモ数</vt:lpstr>
      <vt:lpstr>ぱぱ!ツモ数</vt:lpstr>
      <vt:lpstr>ほたに!ツモ数</vt:lpstr>
      <vt:lpstr>まっつん!ツモ数</vt:lpstr>
      <vt:lpstr>りくと!ツモ数</vt:lpstr>
      <vt:lpstr>れんたろう!ツモ数</vt:lpstr>
      <vt:lpstr>全体!ツモ数</vt:lpstr>
      <vt:lpstr>ツモ数</vt:lpstr>
      <vt:lpstr>だいち!ツモ率</vt:lpstr>
      <vt:lpstr>たかの!ツモ率</vt:lpstr>
      <vt:lpstr>ただ!ツモ率</vt:lpstr>
      <vt:lpstr>のり!ツモ率</vt:lpstr>
      <vt:lpstr>ぱぱ!ツモ率</vt:lpstr>
      <vt:lpstr>ほたに!ツモ率</vt:lpstr>
      <vt:lpstr>まっつん!ツモ率</vt:lpstr>
      <vt:lpstr>りくと!ツモ率</vt:lpstr>
      <vt:lpstr>れんたろう!ツモ率</vt:lpstr>
      <vt:lpstr>全体!ツモ率</vt:lpstr>
      <vt:lpstr>ツモ率</vt:lpstr>
      <vt:lpstr>だいち!トップ数</vt:lpstr>
      <vt:lpstr>たかの!トップ数</vt:lpstr>
      <vt:lpstr>ただ!トップ数</vt:lpstr>
      <vt:lpstr>のり!トップ数</vt:lpstr>
      <vt:lpstr>ぱぱ!トップ数</vt:lpstr>
      <vt:lpstr>ほたに!トップ数</vt:lpstr>
      <vt:lpstr>まっつん!トップ数</vt:lpstr>
      <vt:lpstr>りくと!トップ数</vt:lpstr>
      <vt:lpstr>れんたろう!トップ数</vt:lpstr>
      <vt:lpstr>全体!トップ数</vt:lpstr>
      <vt:lpstr>トップ数</vt:lpstr>
      <vt:lpstr>だいち!トップ率</vt:lpstr>
      <vt:lpstr>たかの!トップ率</vt:lpstr>
      <vt:lpstr>ただ!トップ率</vt:lpstr>
      <vt:lpstr>のり!トップ率</vt:lpstr>
      <vt:lpstr>ぱぱ!トップ率</vt:lpstr>
      <vt:lpstr>ほたに!トップ率</vt:lpstr>
      <vt:lpstr>まっつん!トップ率</vt:lpstr>
      <vt:lpstr>りくと!トップ率</vt:lpstr>
      <vt:lpstr>れんたろう!トップ率</vt:lpstr>
      <vt:lpstr>全体!トップ率</vt:lpstr>
      <vt:lpstr>トップ率</vt:lpstr>
      <vt:lpstr>だいち!ふっとばし数</vt:lpstr>
      <vt:lpstr>たかの!ふっとばし数</vt:lpstr>
      <vt:lpstr>ただ!ふっとばし数</vt:lpstr>
      <vt:lpstr>のり!ふっとばし数</vt:lpstr>
      <vt:lpstr>ぱぱ!ふっとばし数</vt:lpstr>
      <vt:lpstr>ほたに!ふっとばし数</vt:lpstr>
      <vt:lpstr>まっつん!ふっとばし数</vt:lpstr>
      <vt:lpstr>りくと!ふっとばし数</vt:lpstr>
      <vt:lpstr>れんたろう!ふっとばし数</vt:lpstr>
      <vt:lpstr>全体!ふっとばし数</vt:lpstr>
      <vt:lpstr>ふっとばし数</vt:lpstr>
      <vt:lpstr>だいち!ふっとばし率</vt:lpstr>
      <vt:lpstr>たかの!ふっとばし率</vt:lpstr>
      <vt:lpstr>ただ!ふっとばし率</vt:lpstr>
      <vt:lpstr>のり!ふっとばし率</vt:lpstr>
      <vt:lpstr>ぱぱ!ふっとばし率</vt:lpstr>
      <vt:lpstr>ほたに!ふっとばし率</vt:lpstr>
      <vt:lpstr>まっつん!ふっとばし率</vt:lpstr>
      <vt:lpstr>りくと!ふっとばし率</vt:lpstr>
      <vt:lpstr>れんたろう!ふっとばし率</vt:lpstr>
      <vt:lpstr>全体!ふっとばし率</vt:lpstr>
      <vt:lpstr>ふっとばし率</vt:lpstr>
      <vt:lpstr>だいち!ふっとび数</vt:lpstr>
      <vt:lpstr>たかの!ふっとび数</vt:lpstr>
      <vt:lpstr>ただ!ふっとび数</vt:lpstr>
      <vt:lpstr>のり!ふっとび数</vt:lpstr>
      <vt:lpstr>ぱぱ!ふっとび数</vt:lpstr>
      <vt:lpstr>ほたに!ふっとび数</vt:lpstr>
      <vt:lpstr>まっつん!ふっとび数</vt:lpstr>
      <vt:lpstr>りくと!ふっとび数</vt:lpstr>
      <vt:lpstr>れんたろう!ふっとび数</vt:lpstr>
      <vt:lpstr>全体!ふっとび数</vt:lpstr>
      <vt:lpstr>ふっとび数</vt:lpstr>
      <vt:lpstr>だいち!ふっとび率</vt:lpstr>
      <vt:lpstr>たかの!ふっとび率</vt:lpstr>
      <vt:lpstr>ただ!ふっとび率</vt:lpstr>
      <vt:lpstr>のり!ふっとび率</vt:lpstr>
      <vt:lpstr>ぱぱ!ふっとび率</vt:lpstr>
      <vt:lpstr>ほたに!ふっとび率</vt:lpstr>
      <vt:lpstr>まっつん!ふっとび率</vt:lpstr>
      <vt:lpstr>りくと!ふっとび率</vt:lpstr>
      <vt:lpstr>れんたろう!ふっとび率</vt:lpstr>
      <vt:lpstr>全体!ふっとび率</vt:lpstr>
      <vt:lpstr>ふっとび率</vt:lpstr>
      <vt:lpstr>だいち!ラス数</vt:lpstr>
      <vt:lpstr>たかの!ラス数</vt:lpstr>
      <vt:lpstr>ただ!ラス数</vt:lpstr>
      <vt:lpstr>のり!ラス数</vt:lpstr>
      <vt:lpstr>ぱぱ!ラス数</vt:lpstr>
      <vt:lpstr>ほたに!ラス数</vt:lpstr>
      <vt:lpstr>まっつん!ラス数</vt:lpstr>
      <vt:lpstr>りくと!ラス数</vt:lpstr>
      <vt:lpstr>れんたろう!ラス数</vt:lpstr>
      <vt:lpstr>全体!ラス数</vt:lpstr>
      <vt:lpstr>ラス数</vt:lpstr>
      <vt:lpstr>だいち!ラス率</vt:lpstr>
      <vt:lpstr>たかの!ラス率</vt:lpstr>
      <vt:lpstr>ただ!ラス率</vt:lpstr>
      <vt:lpstr>のり!ラス率</vt:lpstr>
      <vt:lpstr>ぱぱ!ラス率</vt:lpstr>
      <vt:lpstr>ほたに!ラス率</vt:lpstr>
      <vt:lpstr>まっつん!ラス率</vt:lpstr>
      <vt:lpstr>りくと!ラス率</vt:lpstr>
      <vt:lpstr>れんたろう!ラス率</vt:lpstr>
      <vt:lpstr>全体!ラス率</vt:lpstr>
      <vt:lpstr>ラス率</vt:lpstr>
      <vt:lpstr>だいち!リーチ数</vt:lpstr>
      <vt:lpstr>たかの!リーチ数</vt:lpstr>
      <vt:lpstr>ただ!リーチ数</vt:lpstr>
      <vt:lpstr>のり!リーチ数</vt:lpstr>
      <vt:lpstr>ぱぱ!リーチ数</vt:lpstr>
      <vt:lpstr>ほたに!リーチ数</vt:lpstr>
      <vt:lpstr>まっつん!リーチ数</vt:lpstr>
      <vt:lpstr>りくと!リーチ数</vt:lpstr>
      <vt:lpstr>れんたろう!リーチ数</vt:lpstr>
      <vt:lpstr>全体!リーチ数</vt:lpstr>
      <vt:lpstr>リーチ数</vt:lpstr>
      <vt:lpstr>だいち!リーチ成功数</vt:lpstr>
      <vt:lpstr>たかの!リーチ成功数</vt:lpstr>
      <vt:lpstr>ただ!リーチ成功数</vt:lpstr>
      <vt:lpstr>のり!リーチ成功数</vt:lpstr>
      <vt:lpstr>ぱぱ!リーチ成功数</vt:lpstr>
      <vt:lpstr>ほたに!リーチ成功数</vt:lpstr>
      <vt:lpstr>まっつん!リーチ成功数</vt:lpstr>
      <vt:lpstr>りくと!リーチ成功数</vt:lpstr>
      <vt:lpstr>れんたろう!リーチ成功数</vt:lpstr>
      <vt:lpstr>全体!リーチ成功数</vt:lpstr>
      <vt:lpstr>リーチ成功数</vt:lpstr>
      <vt:lpstr>だいち!リーチ成功率</vt:lpstr>
      <vt:lpstr>たかの!リーチ成功率</vt:lpstr>
      <vt:lpstr>ただ!リーチ成功率</vt:lpstr>
      <vt:lpstr>のり!リーチ成功率</vt:lpstr>
      <vt:lpstr>ぱぱ!リーチ成功率</vt:lpstr>
      <vt:lpstr>ほたに!リーチ成功率</vt:lpstr>
      <vt:lpstr>まっつん!リーチ成功率</vt:lpstr>
      <vt:lpstr>りくと!リーチ成功率</vt:lpstr>
      <vt:lpstr>れんたろう!リーチ成功率</vt:lpstr>
      <vt:lpstr>全体!リーチ成功率</vt:lpstr>
      <vt:lpstr>リーチ成功率</vt:lpstr>
      <vt:lpstr>だいち!リーチ率</vt:lpstr>
      <vt:lpstr>たかの!リーチ率</vt:lpstr>
      <vt:lpstr>ただ!リーチ率</vt:lpstr>
      <vt:lpstr>のり!リーチ率</vt:lpstr>
      <vt:lpstr>ぱぱ!リーチ率</vt:lpstr>
      <vt:lpstr>ほたに!リーチ率</vt:lpstr>
      <vt:lpstr>まっつん!リーチ率</vt:lpstr>
      <vt:lpstr>りくと!リーチ率</vt:lpstr>
      <vt:lpstr>れんたろう!リーチ率</vt:lpstr>
      <vt:lpstr>全体!リーチ率</vt:lpstr>
      <vt:lpstr>リーチ率</vt:lpstr>
      <vt:lpstr>だいち!ロン数</vt:lpstr>
      <vt:lpstr>たかの!ロン数</vt:lpstr>
      <vt:lpstr>ただ!ロン数</vt:lpstr>
      <vt:lpstr>のり!ロン数</vt:lpstr>
      <vt:lpstr>ぱぱ!ロン数</vt:lpstr>
      <vt:lpstr>ほたに!ロン数</vt:lpstr>
      <vt:lpstr>まっつん!ロン数</vt:lpstr>
      <vt:lpstr>りくと!ロン数</vt:lpstr>
      <vt:lpstr>れんたろう!ロン数</vt:lpstr>
      <vt:lpstr>全体!ロン数</vt:lpstr>
      <vt:lpstr>ロン数</vt:lpstr>
      <vt:lpstr>だいち!ロン率</vt:lpstr>
      <vt:lpstr>たかの!ロン率</vt:lpstr>
      <vt:lpstr>ただ!ロン率</vt:lpstr>
      <vt:lpstr>のり!ロン率</vt:lpstr>
      <vt:lpstr>ぱぱ!ロン率</vt:lpstr>
      <vt:lpstr>ほたに!ロン率</vt:lpstr>
      <vt:lpstr>まっつん!ロン率</vt:lpstr>
      <vt:lpstr>りくと!ロン率</vt:lpstr>
      <vt:lpstr>れんたろう!ロン率</vt:lpstr>
      <vt:lpstr>全体!ロン率</vt:lpstr>
      <vt:lpstr>ロン率</vt:lpstr>
      <vt:lpstr>だいち!逆転数</vt:lpstr>
      <vt:lpstr>たかの!逆転数</vt:lpstr>
      <vt:lpstr>ただ!逆転数</vt:lpstr>
      <vt:lpstr>のり!逆転数</vt:lpstr>
      <vt:lpstr>ぱぱ!逆転数</vt:lpstr>
      <vt:lpstr>ほたに!逆転数</vt:lpstr>
      <vt:lpstr>まっつん!逆転数</vt:lpstr>
      <vt:lpstr>りくと!逆転数</vt:lpstr>
      <vt:lpstr>れんたろう!逆転数</vt:lpstr>
      <vt:lpstr>全体!逆転数</vt:lpstr>
      <vt:lpstr>逆転数</vt:lpstr>
      <vt:lpstr>だいち!逆転率</vt:lpstr>
      <vt:lpstr>たかの!逆転率</vt:lpstr>
      <vt:lpstr>ただ!逆転率</vt:lpstr>
      <vt:lpstr>のり!逆転率</vt:lpstr>
      <vt:lpstr>ぱぱ!逆転率</vt:lpstr>
      <vt:lpstr>ほたに!逆転率</vt:lpstr>
      <vt:lpstr>まっつん!逆転率</vt:lpstr>
      <vt:lpstr>りくと!逆転率</vt:lpstr>
      <vt:lpstr>れんたろう!逆転率</vt:lpstr>
      <vt:lpstr>全体!逆転率</vt:lpstr>
      <vt:lpstr>逆転率</vt:lpstr>
      <vt:lpstr>だいち!最大ドラ数</vt:lpstr>
      <vt:lpstr>たかの!最大ドラ数</vt:lpstr>
      <vt:lpstr>ただ!最大ドラ数</vt:lpstr>
      <vt:lpstr>のり!最大ドラ数</vt:lpstr>
      <vt:lpstr>ぱぱ!最大ドラ数</vt:lpstr>
      <vt:lpstr>ほたに!最大ドラ数</vt:lpstr>
      <vt:lpstr>まっつん!最大ドラ数</vt:lpstr>
      <vt:lpstr>りくと!最大ドラ数</vt:lpstr>
      <vt:lpstr>れんたろう!最大ドラ数</vt:lpstr>
      <vt:lpstr>全体!最大ドラ数</vt:lpstr>
      <vt:lpstr>最大ドラ数</vt:lpstr>
      <vt:lpstr>だいち!最大点数</vt:lpstr>
      <vt:lpstr>たかの!最大点数</vt:lpstr>
      <vt:lpstr>ただ!最大点数</vt:lpstr>
      <vt:lpstr>のり!最大点数</vt:lpstr>
      <vt:lpstr>ぱぱ!最大点数</vt:lpstr>
      <vt:lpstr>ほたに!最大点数</vt:lpstr>
      <vt:lpstr>まっつん!最大点数</vt:lpstr>
      <vt:lpstr>りくと!最大点数</vt:lpstr>
      <vt:lpstr>れんたろう!最大点数</vt:lpstr>
      <vt:lpstr>全体!最大点数</vt:lpstr>
      <vt:lpstr>最大点数</vt:lpstr>
      <vt:lpstr>だいち!総局数</vt:lpstr>
      <vt:lpstr>たかの!総局数</vt:lpstr>
      <vt:lpstr>ただ!総局数</vt:lpstr>
      <vt:lpstr>のり!総局数</vt:lpstr>
      <vt:lpstr>ぱぱ!総局数</vt:lpstr>
      <vt:lpstr>ほたに!総局数</vt:lpstr>
      <vt:lpstr>まっつん!総局数</vt:lpstr>
      <vt:lpstr>りくと!総局数</vt:lpstr>
      <vt:lpstr>れんたろう!総局数</vt:lpstr>
      <vt:lpstr>全体!総局数</vt:lpstr>
      <vt:lpstr>総局数</vt:lpstr>
      <vt:lpstr>だいち!対戦数</vt:lpstr>
      <vt:lpstr>たかの!対戦数</vt:lpstr>
      <vt:lpstr>ただ!対戦数</vt:lpstr>
      <vt:lpstr>のり!対戦数</vt:lpstr>
      <vt:lpstr>ぱぱ!対戦数</vt:lpstr>
      <vt:lpstr>ほたに!対戦数</vt:lpstr>
      <vt:lpstr>まっつん!対戦数</vt:lpstr>
      <vt:lpstr>りくと!対戦数</vt:lpstr>
      <vt:lpstr>れんたろう!対戦数</vt:lpstr>
      <vt:lpstr>全体!対戦数</vt:lpstr>
      <vt:lpstr>対戦数</vt:lpstr>
      <vt:lpstr>だいち!通算スコア</vt:lpstr>
      <vt:lpstr>たかの!通算スコア</vt:lpstr>
      <vt:lpstr>ただ!通算スコア</vt:lpstr>
      <vt:lpstr>のり!通算スコア</vt:lpstr>
      <vt:lpstr>ぱぱ!通算スコア</vt:lpstr>
      <vt:lpstr>ほたに!通算スコア</vt:lpstr>
      <vt:lpstr>まっつん!通算スコア</vt:lpstr>
      <vt:lpstr>りくと!通算スコア</vt:lpstr>
      <vt:lpstr>れんたろう!通算スコア</vt:lpstr>
      <vt:lpstr>全体!通算スコア</vt:lpstr>
      <vt:lpstr>通算スコア</vt:lpstr>
      <vt:lpstr>だいち!副露数</vt:lpstr>
      <vt:lpstr>たかの!副露数</vt:lpstr>
      <vt:lpstr>ただ!副露数</vt:lpstr>
      <vt:lpstr>のり!副露数</vt:lpstr>
      <vt:lpstr>ぱぱ!副露数</vt:lpstr>
      <vt:lpstr>ほたに!副露数</vt:lpstr>
      <vt:lpstr>まっつん!副露数</vt:lpstr>
      <vt:lpstr>りくと!副露数</vt:lpstr>
      <vt:lpstr>れんたろう!副露数</vt:lpstr>
      <vt:lpstr>全体!副露数</vt:lpstr>
      <vt:lpstr>副露数</vt:lpstr>
      <vt:lpstr>だいち!副露成功数</vt:lpstr>
      <vt:lpstr>たかの!副露成功数</vt:lpstr>
      <vt:lpstr>ただ!副露成功数</vt:lpstr>
      <vt:lpstr>のり!副露成功数</vt:lpstr>
      <vt:lpstr>ぱぱ!副露成功数</vt:lpstr>
      <vt:lpstr>ほたに!副露成功数</vt:lpstr>
      <vt:lpstr>まっつん!副露成功数</vt:lpstr>
      <vt:lpstr>りくと!副露成功数</vt:lpstr>
      <vt:lpstr>れんたろう!副露成功数</vt:lpstr>
      <vt:lpstr>全体!副露成功数</vt:lpstr>
      <vt:lpstr>副露成功数</vt:lpstr>
      <vt:lpstr>だいち!副露成功率</vt:lpstr>
      <vt:lpstr>たかの!副露成功率</vt:lpstr>
      <vt:lpstr>ただ!副露成功率</vt:lpstr>
      <vt:lpstr>のり!副露成功率</vt:lpstr>
      <vt:lpstr>ぱぱ!副露成功率</vt:lpstr>
      <vt:lpstr>ほたに!副露成功率</vt:lpstr>
      <vt:lpstr>まっつん!副露成功率</vt:lpstr>
      <vt:lpstr>りくと!副露成功率</vt:lpstr>
      <vt:lpstr>れんたろう!副露成功率</vt:lpstr>
      <vt:lpstr>全体!副露成功率</vt:lpstr>
      <vt:lpstr>副露成功率</vt:lpstr>
      <vt:lpstr>だいち!副露率</vt:lpstr>
      <vt:lpstr>たかの!副露率</vt:lpstr>
      <vt:lpstr>ただ!副露率</vt:lpstr>
      <vt:lpstr>のり!副露率</vt:lpstr>
      <vt:lpstr>ぱぱ!副露率</vt:lpstr>
      <vt:lpstr>ほたに!副露率</vt:lpstr>
      <vt:lpstr>まっつん!副露率</vt:lpstr>
      <vt:lpstr>りくと!副露率</vt:lpstr>
      <vt:lpstr>れんたろう!副露率</vt:lpstr>
      <vt:lpstr>全体!副露率</vt:lpstr>
      <vt:lpstr>副露率</vt:lpstr>
      <vt:lpstr>だいち!平均アガリ点</vt:lpstr>
      <vt:lpstr>たかの!平均アガリ点</vt:lpstr>
      <vt:lpstr>ただ!平均アガリ点</vt:lpstr>
      <vt:lpstr>のり!平均アガリ点</vt:lpstr>
      <vt:lpstr>ぱぱ!平均アガリ点</vt:lpstr>
      <vt:lpstr>ほたに!平均アガリ点</vt:lpstr>
      <vt:lpstr>まっつん!平均アガリ点</vt:lpstr>
      <vt:lpstr>りくと!平均アガリ点</vt:lpstr>
      <vt:lpstr>れんたろう!平均アガリ点</vt:lpstr>
      <vt:lpstr>全体!平均アガリ点</vt:lpstr>
      <vt:lpstr>平均アガリ点</vt:lpstr>
      <vt:lpstr>だいち!平均スコア</vt:lpstr>
      <vt:lpstr>たかの!平均スコア</vt:lpstr>
      <vt:lpstr>ただ!平均スコア</vt:lpstr>
      <vt:lpstr>のり!平均スコア</vt:lpstr>
      <vt:lpstr>ぱぱ!平均スコア</vt:lpstr>
      <vt:lpstr>ほたに!平均スコア</vt:lpstr>
      <vt:lpstr>まっつん!平均スコア</vt:lpstr>
      <vt:lpstr>りくと!平均スコア</vt:lpstr>
      <vt:lpstr>れんたろう!平均スコア</vt:lpstr>
      <vt:lpstr>全体!平均スコア</vt:lpstr>
      <vt:lpstr>平均スコア</vt:lpstr>
      <vt:lpstr>だいち!平均順位</vt:lpstr>
      <vt:lpstr>たかの!平均順位</vt:lpstr>
      <vt:lpstr>ただ!平均順位</vt:lpstr>
      <vt:lpstr>のり!平均順位</vt:lpstr>
      <vt:lpstr>ぱぱ!平均順位</vt:lpstr>
      <vt:lpstr>ほたに!平均順位</vt:lpstr>
      <vt:lpstr>まっつん!平均順位</vt:lpstr>
      <vt:lpstr>りくと!平均順位</vt:lpstr>
      <vt:lpstr>れんたろう!平均順位</vt:lpstr>
      <vt:lpstr>全体!平均順位</vt:lpstr>
      <vt:lpstr>平均順位</vt:lpstr>
      <vt:lpstr>だいち!平均放銃点</vt:lpstr>
      <vt:lpstr>たかの!平均放銃点</vt:lpstr>
      <vt:lpstr>ただ!平均放銃点</vt:lpstr>
      <vt:lpstr>のり!平均放銃点</vt:lpstr>
      <vt:lpstr>ぱぱ!平均放銃点</vt:lpstr>
      <vt:lpstr>ほたに!平均放銃点</vt:lpstr>
      <vt:lpstr>まっつん!平均放銃点</vt:lpstr>
      <vt:lpstr>りくと!平均放銃点</vt:lpstr>
      <vt:lpstr>れんたろう!平均放銃点</vt:lpstr>
      <vt:lpstr>全体!平均放銃点</vt:lpstr>
      <vt:lpstr>平均放銃点</vt:lpstr>
      <vt:lpstr>だいち!放銃数</vt:lpstr>
      <vt:lpstr>たかの!放銃数</vt:lpstr>
      <vt:lpstr>ただ!放銃数</vt:lpstr>
      <vt:lpstr>のり!放銃数</vt:lpstr>
      <vt:lpstr>ぱぱ!放銃数</vt:lpstr>
      <vt:lpstr>ほたに!放銃数</vt:lpstr>
      <vt:lpstr>まっつん!放銃数</vt:lpstr>
      <vt:lpstr>りくと!放銃数</vt:lpstr>
      <vt:lpstr>れんたろう!放銃数</vt:lpstr>
      <vt:lpstr>全体!放銃数</vt:lpstr>
      <vt:lpstr>放銃数</vt:lpstr>
      <vt:lpstr>だいち!放銃率</vt:lpstr>
      <vt:lpstr>たかの!放銃率</vt:lpstr>
      <vt:lpstr>ただ!放銃率</vt:lpstr>
      <vt:lpstr>のり!放銃率</vt:lpstr>
      <vt:lpstr>ぱぱ!放銃率</vt:lpstr>
      <vt:lpstr>ほたに!放銃率</vt:lpstr>
      <vt:lpstr>まっつん!放銃率</vt:lpstr>
      <vt:lpstr>りくと!放銃率</vt:lpstr>
      <vt:lpstr>れんたろう!放銃率</vt:lpstr>
      <vt:lpstr>全体!放銃率</vt:lpstr>
      <vt:lpstr>放銃率</vt:lpstr>
      <vt:lpstr>だいち!連続アガリ</vt:lpstr>
      <vt:lpstr>たかの!連続アガリ</vt:lpstr>
      <vt:lpstr>ただ!連続アガリ</vt:lpstr>
      <vt:lpstr>のり!連続アガリ</vt:lpstr>
      <vt:lpstr>ぱぱ!連続アガリ</vt:lpstr>
      <vt:lpstr>ほたに!連続アガリ</vt:lpstr>
      <vt:lpstr>まっつん!連続アガリ</vt:lpstr>
      <vt:lpstr>りくと!連続アガリ</vt:lpstr>
      <vt:lpstr>れんたろう!連続アガリ</vt:lpstr>
      <vt:lpstr>全体!連続アガリ</vt:lpstr>
      <vt:lpstr>連続アガリ</vt:lpstr>
      <vt:lpstr>だいち!連続無放銃</vt:lpstr>
      <vt:lpstr>たかの!連続無放銃</vt:lpstr>
      <vt:lpstr>ただ!連続無放銃</vt:lpstr>
      <vt:lpstr>のり!連続無放銃</vt:lpstr>
      <vt:lpstr>ぱぱ!連続無放銃</vt:lpstr>
      <vt:lpstr>ほたに!連続無放銃</vt:lpstr>
      <vt:lpstr>まっつん!連続無放銃</vt:lpstr>
      <vt:lpstr>りくと!連続無放銃</vt:lpstr>
      <vt:lpstr>れんたろう!連続無放銃</vt:lpstr>
      <vt:lpstr>全体!連続無放銃</vt:lpstr>
      <vt:lpstr>連続無放銃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2019-10-12T18:13:07Z</dcterms:modified>
</cp:coreProperties>
</file>