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0D688631-7A93-4F39-AE5C-A7F67BB04D93}" xr6:coauthVersionLast="36" xr6:coauthVersionMax="36" xr10:uidLastSave="{00000000-0000-0000-0000-000000000000}"/>
  <bookViews>
    <workbookView xWindow="0" yWindow="0" windowWidth="28800" windowHeight="13050" activeTab="3" xr2:uid="{4FDB0271-42AC-4C1F-BA12-2E989A379038}"/>
  </bookViews>
  <sheets>
    <sheet name="Template" sheetId="2228" r:id="rId1"/>
    <sheet name="Cache" sheetId="2227" r:id="rId2"/>
    <sheet name="全体" sheetId="2950" r:id="rId3"/>
    <sheet name="集計" sheetId="2964" r:id="rId4"/>
    <sheet name="だいち" sheetId="2951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" i="2950" l="1"/>
  <c r="H51" i="2951" l="1"/>
  <c r="H50" i="2951"/>
  <c r="H49" i="2951"/>
  <c r="H48" i="2951"/>
  <c r="H47" i="2951"/>
  <c r="H28" i="2951"/>
  <c r="H46" i="2951"/>
  <c r="H45" i="2951"/>
  <c r="H44" i="2951"/>
  <c r="H43" i="2951"/>
  <c r="H42" i="2951"/>
  <c r="H41" i="2951"/>
  <c r="H40" i="2951"/>
  <c r="H39" i="2951"/>
  <c r="H38" i="2951"/>
  <c r="H37" i="2951"/>
  <c r="H27" i="2951"/>
  <c r="H36" i="2951"/>
  <c r="H35" i="2951"/>
  <c r="H22" i="2951"/>
  <c r="H21" i="2951"/>
  <c r="H26" i="2951"/>
  <c r="H8" i="2951"/>
  <c r="H34" i="2951"/>
  <c r="H20" i="2951"/>
  <c r="C27" i="2951"/>
  <c r="H13" i="2951"/>
  <c r="H25" i="2951"/>
  <c r="H33" i="2951"/>
  <c r="H14" i="2951"/>
  <c r="C23" i="2951"/>
  <c r="H32" i="2951"/>
  <c r="C22" i="2951"/>
  <c r="H15" i="2951"/>
  <c r="B21" i="2951"/>
  <c r="H31" i="2951"/>
  <c r="H30" i="2951"/>
  <c r="C19" i="2951"/>
  <c r="H19" i="2951"/>
  <c r="H24" i="2951"/>
  <c r="H17" i="2951"/>
  <c r="B16" i="2951"/>
  <c r="B20" i="2951" s="1"/>
  <c r="H29" i="2951"/>
  <c r="C15" i="2951"/>
  <c r="H18" i="2951"/>
  <c r="C14" i="2951"/>
  <c r="H23" i="2951"/>
  <c r="C13" i="2951"/>
  <c r="H16" i="2951"/>
  <c r="C12" i="2951"/>
  <c r="H4" i="2951"/>
  <c r="C11" i="2951"/>
  <c r="H12" i="2951"/>
  <c r="C10" i="2951"/>
  <c r="H11" i="2951"/>
  <c r="C9" i="2951"/>
  <c r="H9" i="2951"/>
  <c r="C8" i="2951"/>
  <c r="N7" i="2951"/>
  <c r="H6" i="2951"/>
  <c r="C7" i="2951"/>
  <c r="N6" i="2951"/>
  <c r="H2" i="2951"/>
  <c r="B6" i="2951"/>
  <c r="N5" i="2951"/>
  <c r="H7" i="2951"/>
  <c r="B5" i="2951"/>
  <c r="N4" i="2951"/>
  <c r="H3" i="2951"/>
  <c r="N3" i="2951"/>
  <c r="H10" i="2951"/>
  <c r="N2" i="2951"/>
  <c r="H5" i="2951"/>
  <c r="H51" i="2950"/>
  <c r="H50" i="2950"/>
  <c r="H49" i="2950"/>
  <c r="H48" i="2950"/>
  <c r="H47" i="2950"/>
  <c r="H46" i="2950"/>
  <c r="H45" i="2950"/>
  <c r="H44" i="2950"/>
  <c r="H43" i="2950"/>
  <c r="H42" i="2950"/>
  <c r="H41" i="2950"/>
  <c r="H40" i="2950"/>
  <c r="H39" i="2950"/>
  <c r="H38" i="2950"/>
  <c r="H37" i="2950"/>
  <c r="H36" i="2950"/>
  <c r="H35" i="2950"/>
  <c r="H34" i="2950"/>
  <c r="H33" i="2950"/>
  <c r="H32" i="2950"/>
  <c r="H31" i="2950"/>
  <c r="H30" i="2950"/>
  <c r="H29" i="2950"/>
  <c r="H28" i="2950"/>
  <c r="H27" i="2950"/>
  <c r="C27" i="2950"/>
  <c r="H26" i="2950"/>
  <c r="H25" i="2950"/>
  <c r="H24" i="2950"/>
  <c r="H23" i="2950"/>
  <c r="C23" i="2950"/>
  <c r="H22" i="2950"/>
  <c r="C22" i="2950"/>
  <c r="H21" i="2950"/>
  <c r="B21" i="2950"/>
  <c r="H20" i="2950"/>
  <c r="H19" i="2950"/>
  <c r="C19" i="2950"/>
  <c r="H18" i="2950"/>
  <c r="H17" i="2950"/>
  <c r="H16" i="2950"/>
  <c r="B16" i="2950"/>
  <c r="C17" i="2950" s="1"/>
  <c r="H15" i="2950"/>
  <c r="C15" i="2950"/>
  <c r="H14" i="2950"/>
  <c r="C14" i="2950"/>
  <c r="H13" i="2950"/>
  <c r="C13" i="2950"/>
  <c r="H12" i="2950"/>
  <c r="C12" i="2950"/>
  <c r="H11" i="2950"/>
  <c r="C11" i="2950"/>
  <c r="H10" i="2950"/>
  <c r="C10" i="2950"/>
  <c r="H9" i="2950"/>
  <c r="C9" i="2950"/>
  <c r="H8" i="2950"/>
  <c r="C8" i="2950"/>
  <c r="H7" i="2950"/>
  <c r="C7" i="2950"/>
  <c r="H6" i="2950"/>
  <c r="B6" i="2950"/>
  <c r="H5" i="2950"/>
  <c r="B5" i="2950"/>
  <c r="H4" i="2950"/>
  <c r="H3" i="2950"/>
  <c r="C16" i="2951" l="1"/>
  <c r="C17" i="2951"/>
  <c r="C18" i="2951"/>
  <c r="C16" i="2950"/>
  <c r="C18" i="2950"/>
  <c r="B20" i="2950"/>
  <c r="C27" i="2228" l="1"/>
  <c r="C13" i="2228" l="1"/>
  <c r="C12" i="2228"/>
  <c r="C19" i="2228" l="1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<sst xmlns="http://schemas.openxmlformats.org/spreadsheetml/2006/main" count="678" uniqueCount="210">
  <si>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</si>
  <si>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</si>
  <si>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</si>
  <si>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</si>
  <si>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</si>
  <si>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</si>
  <si>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</si>
  <si>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</si>
  <si>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</si>
  <si>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</si>
  <si>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</si>
  <si>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</si>
  <si>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</si>
  <si>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</si>
  <si>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</si>
  <si>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</si>
  <si>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</si>
  <si>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</si>
  <si>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</si>
  <si>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</si>
  <si>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</si>
  <si>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</si>
  <si>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</si>
  <si>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</si>
  <si>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</si>
  <si>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</si>
  <si>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</si>
  <si>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</si>
  <si>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</si>
  <si>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</si>
  <si>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</si>
  <si>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</si>
  <si>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</si>
  <si>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</si>
  <si>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</si>
  <si>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</si>
  <si>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</si>
  <si>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</si>
  <si>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</si>
  <si>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</si>
  <si>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</si>
  <si>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</si>
  <si>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</si>
  <si>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</si>
  <si>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</si>
  <si>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</si>
  <si>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</si>
  <si>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</si>
  <si>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</si>
  <si>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</si>
  <si>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</si>
  <si>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</si>
  <si>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</si>
  <si>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</si>
  <si>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</si>
  <si>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</si>
  <si>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</si>
  <si>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</si>
  <si>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</si>
  <si>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</si>
  <si>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</si>
  <si>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</si>
  <si>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</si>
  <si>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</si>
  <si>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</si>
  <si>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</si>
  <si>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</si>
  <si>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</si>
  <si>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</si>
  <si>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</si>
  <si>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</si>
  <si>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</si>
  <si>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</si>
  <si>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</si>
  <si>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</si>
  <si>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</si>
  <si>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</si>
  <si>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</si>
  <si>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</si>
  <si>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</si>
  <si>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</si>
  <si>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</si>
  <si>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</si>
  <si>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</si>
  <si>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</si>
  <si>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</si>
  <si>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</si>
  <si>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</si>
  <si>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</si>
  <si>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</si>
  <si>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</si>
  <si>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</si>
  <si>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</si>
  <si>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</si>
  <si>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</si>
  <si>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</si>
  <si>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</si>
  <si>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</si>
  <si>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</si>
  <si>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</si>
  <si>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</si>
  <si>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</si>
  <si>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</si>
  <si>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</si>
  <si>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</si>
  <si>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</si>
  <si>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</si>
  <si>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</si>
  <si>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</si>
  <si>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</si>
  <si>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</si>
  <si>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</si>
  <si>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</si>
  <si>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</si>
  <si>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</si>
  <si>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</si>
  <si>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</si>
  <si>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</si>
  <si>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</si>
  <si>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</si>
  <si>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</si>
  <si>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</si>
  <si>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</si>
  <si>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</si>
  <si>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</si>
  <si>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</si>
  <si>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2018-10-02.xlsm</t>
  </si>
  <si>
    <t>だいち</t>
  </si>
  <si>
    <t>2018-10-05.xlsm</t>
  </si>
  <si>
    <t>2018-10-06.xlsm</t>
  </si>
  <si>
    <t>2018-10-07.xlsm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</si>
  <si>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</si>
  <si>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</si>
  <si>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</si>
  <si>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</si>
  <si>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</si>
  <si>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</si>
  <si>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</si>
  <si>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</si>
  <si>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</si>
  <si>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</si>
  <si>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</si>
  <si>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</si>
  <si>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</si>
  <si>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</si>
  <si>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</si>
  <si>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</si>
  <si>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</si>
  <si>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</si>
  <si>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</si>
  <si>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</si>
  <si>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</si>
  <si>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</si>
  <si>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</si>
  <si>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</si>
  <si>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</si>
  <si>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</si>
  <si>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</si>
  <si>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</si>
  <si>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親</t>
    <rPh sb="0" eb="1">
      <t>オヤ</t>
    </rPh>
    <phoneticPr fontId="1"/>
  </si>
  <si>
    <t>親アガリ</t>
    <rPh sb="0" eb="1">
      <t>オヤ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</si>
  <si>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</si>
  <si>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</si>
  <si>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</si>
  <si>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</si>
  <si>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</si>
  <si>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</si>
  <si>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</si>
  <si>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</si>
  <si>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</si>
  <si>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</si>
  <si>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</si>
  <si>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コード</t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</si>
  <si>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</si>
  <si>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</si>
  <si>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</si>
  <si>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</si>
  <si>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</si>
  <si>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</si>
  <si>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</si>
  <si>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</si>
  <si>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</si>
  <si>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</si>
  <si>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</si>
  <si>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</si>
  <si>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</si>
  <si>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</si>
  <si>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</si>
  <si>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</si>
  <si>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</si>
  <si>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</si>
  <si>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</si>
  <si>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</si>
  <si>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</si>
  <si>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</si>
  <si>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</si>
  <si>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</si>
  <si>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</si>
  <si>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</si>
  <si>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</si>
  <si>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全体</t>
  </si>
  <si>
    <t>ふっとび</t>
  </si>
  <si>
    <t>ふっとばし</t>
  </si>
  <si>
    <t>リーチ</t>
  </si>
  <si>
    <t>アガリ</t>
  </si>
  <si>
    <t>ツモ</t>
  </si>
  <si>
    <t>ロン</t>
  </si>
  <si>
    <t>newアガリ</t>
  </si>
  <si>
    <t>チョンボ</t>
  </si>
  <si>
    <t>日付</t>
    <rPh sb="0" eb="2">
      <t>ヒヅケ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</si>
</sst>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\ &quot;回&quot;"/>
    <numFmt numFmtId="177" formatCode="\+0;\-0;\±0"/>
    <numFmt numFmtId="178" formatCode="\+0.0;\-0.0;\±0"/>
    <numFmt numFmtId="180" formatCode="0.00\ &quot;位&quot;"/>
    <numFmt numFmtId="181" formatCode="0.0%"/>
    <numFmt numFmtId="182" formatCode="yyyy/mm/dd"/>
    <numFmt numFmtId="183" formatCode="yyyy/mm/dd\ hh:mm"/>
    <numFmt numFmtId="184" formatCode="0\ &quot;個&quot;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2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7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1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1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0" fontId="0" fillId="0" borderId="29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4" fontId="0" fillId="0" borderId="30" xfId="0" applyNumberFormat="1" applyBorder="1" applyAlignment="1">
      <alignment horizontal="center" vertical="center" shrinkToFit="1"/>
    </xf>
    <xf numFmtId="184" fontId="0" fillId="0" borderId="31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80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だいち!$J$2:$J$166</c:f>
              <c:numCache>
                <c:formatCode>General</c:formatCode>
                <c:ptCount val="1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</c:numCache>
            </c:numRef>
          </c:xVal>
          <c:yVal>
            <c:numRef>
              <c:f>だいち!$K$2:$K$166</c:f>
              <c:numCache>
                <c:formatCode>\+0;\-0;\±0</c:formatCode>
                <c:ptCount val="165"/>
                <c:pt idx="0">
                  <c:v>0</c:v>
                </c:pt>
                <c:pt idx="1">
                  <c:v>14</c:v>
                </c:pt>
                <c:pt idx="2">
                  <c:v>13</c:v>
                </c:pt>
                <c:pt idx="3">
                  <c:v>28.1</c:v>
                </c:pt>
                <c:pt idx="4">
                  <c:v>112.30000000000001</c:v>
                </c:pt>
                <c:pt idx="5">
                  <c:v>142.80000000000001</c:v>
                </c:pt>
                <c:pt idx="6">
                  <c:v>95.800000000000011</c:v>
                </c:pt>
                <c:pt idx="7">
                  <c:v>90.700000000000017</c:v>
                </c:pt>
                <c:pt idx="8">
                  <c:v>55.700000000000017</c:v>
                </c:pt>
                <c:pt idx="9">
                  <c:v>15.700000000000017</c:v>
                </c:pt>
                <c:pt idx="10">
                  <c:v>-15.799999999999983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70.300000000000011</c:v>
                </c:pt>
                <c:pt idx="14">
                  <c:v>27.300000000000011</c:v>
                </c:pt>
                <c:pt idx="15">
                  <c:v>-8.6999999999999886</c:v>
                </c:pt>
                <c:pt idx="16">
                  <c:v>-7.099999999999989</c:v>
                </c:pt>
                <c:pt idx="17">
                  <c:v>-28.499999999999986</c:v>
                </c:pt>
                <c:pt idx="18">
                  <c:v>-14.599999999999985</c:v>
                </c:pt>
                <c:pt idx="19">
                  <c:v>41.600000000000016</c:v>
                </c:pt>
                <c:pt idx="20">
                  <c:v>66.800000000000011</c:v>
                </c:pt>
                <c:pt idx="21">
                  <c:v>122.30000000000001</c:v>
                </c:pt>
                <c:pt idx="22">
                  <c:v>96.800000000000011</c:v>
                </c:pt>
                <c:pt idx="23">
                  <c:v>120.50000000000001</c:v>
                </c:pt>
                <c:pt idx="24">
                  <c:v>114.00000000000001</c:v>
                </c:pt>
                <c:pt idx="25">
                  <c:v>81.300000000000011</c:v>
                </c:pt>
                <c:pt idx="26">
                  <c:v>104.20000000000002</c:v>
                </c:pt>
                <c:pt idx="27">
                  <c:v>68.200000000000017</c:v>
                </c:pt>
                <c:pt idx="28">
                  <c:v>125.20000000000002</c:v>
                </c:pt>
                <c:pt idx="29">
                  <c:v>116.80000000000001</c:v>
                </c:pt>
                <c:pt idx="30">
                  <c:v>108.4</c:v>
                </c:pt>
                <c:pt idx="31">
                  <c:v>160.69999999999999</c:v>
                </c:pt>
                <c:pt idx="32">
                  <c:v>146.69999999999999</c:v>
                </c:pt>
                <c:pt idx="33">
                  <c:v>206.39999999999998</c:v>
                </c:pt>
                <c:pt idx="34">
                  <c:v>255.39999999999998</c:v>
                </c:pt>
                <c:pt idx="35">
                  <c:v>241.39999999999998</c:v>
                </c:pt>
                <c:pt idx="36">
                  <c:v>237.99999999999997</c:v>
                </c:pt>
                <c:pt idx="37">
                  <c:v>221.89999999999998</c:v>
                </c:pt>
                <c:pt idx="38">
                  <c:v>241.99999999999997</c:v>
                </c:pt>
                <c:pt idx="39">
                  <c:v>192.39999999999998</c:v>
                </c:pt>
                <c:pt idx="40">
                  <c:v>184.2</c:v>
                </c:pt>
                <c:pt idx="41">
                  <c:v>178.2</c:v>
                </c:pt>
                <c:pt idx="42">
                  <c:v>142.79999999999998</c:v>
                </c:pt>
                <c:pt idx="43">
                  <c:v>135.29999999999998</c:v>
                </c:pt>
                <c:pt idx="44">
                  <c:v>143.69999999999999</c:v>
                </c:pt>
                <c:pt idx="45">
                  <c:v>134.29999999999998</c:v>
                </c:pt>
                <c:pt idx="46">
                  <c:v>161.19999999999999</c:v>
                </c:pt>
                <c:pt idx="47">
                  <c:v>141.69999999999999</c:v>
                </c:pt>
                <c:pt idx="48">
                  <c:v>110.6</c:v>
                </c:pt>
                <c:pt idx="49">
                  <c:v>125.8</c:v>
                </c:pt>
                <c:pt idx="50">
                  <c:v>120.89999999999999</c:v>
                </c:pt>
                <c:pt idx="51">
                  <c:v>132.69999999999999</c:v>
                </c:pt>
                <c:pt idx="52">
                  <c:v>133.39999999999998</c:v>
                </c:pt>
                <c:pt idx="53">
                  <c:v>127.69999999999997</c:v>
                </c:pt>
                <c:pt idx="54">
                  <c:v>99.699999999999974</c:v>
                </c:pt>
                <c:pt idx="55">
                  <c:v>116.39999999999998</c:v>
                </c:pt>
                <c:pt idx="56">
                  <c:v>110.39999999999998</c:v>
                </c:pt>
                <c:pt idx="57">
                  <c:v>140.99999999999997</c:v>
                </c:pt>
                <c:pt idx="58">
                  <c:v>156.79999999999998</c:v>
                </c:pt>
                <c:pt idx="59">
                  <c:v>212.79999999999998</c:v>
                </c:pt>
                <c:pt idx="60">
                  <c:v>218.1</c:v>
                </c:pt>
                <c:pt idx="61">
                  <c:v>173</c:v>
                </c:pt>
                <c:pt idx="62">
                  <c:v>193.1</c:v>
                </c:pt>
                <c:pt idx="63">
                  <c:v>128.1</c:v>
                </c:pt>
                <c:pt idx="64">
                  <c:v>123.1</c:v>
                </c:pt>
                <c:pt idx="65">
                  <c:v>124.1</c:v>
                </c:pt>
                <c:pt idx="66">
                  <c:v>154.69999999999999</c:v>
                </c:pt>
                <c:pt idx="67">
                  <c:v>135.69999999999999</c:v>
                </c:pt>
                <c:pt idx="68">
                  <c:v>126.79999999999998</c:v>
                </c:pt>
                <c:pt idx="69">
                  <c:v>127.69999999999999</c:v>
                </c:pt>
                <c:pt idx="70">
                  <c:v>159</c:v>
                </c:pt>
                <c:pt idx="71">
                  <c:v>186.4</c:v>
                </c:pt>
                <c:pt idx="72">
                  <c:v>179</c:v>
                </c:pt>
                <c:pt idx="73">
                  <c:v>196.3</c:v>
                </c:pt>
                <c:pt idx="74">
                  <c:v>182.4</c:v>
                </c:pt>
                <c:pt idx="75">
                  <c:v>221.4</c:v>
                </c:pt>
                <c:pt idx="76">
                  <c:v>226.6</c:v>
                </c:pt>
                <c:pt idx="77">
                  <c:v>212.9</c:v>
                </c:pt>
                <c:pt idx="78">
                  <c:v>218</c:v>
                </c:pt>
                <c:pt idx="79">
                  <c:v>248.9</c:v>
                </c:pt>
                <c:pt idx="80">
                  <c:v>287.89999999999998</c:v>
                </c:pt>
                <c:pt idx="81">
                  <c:v>309.39999999999998</c:v>
                </c:pt>
                <c:pt idx="82">
                  <c:v>339.9</c:v>
                </c:pt>
                <c:pt idx="83">
                  <c:v>398.7</c:v>
                </c:pt>
                <c:pt idx="84">
                  <c:v>409.8</c:v>
                </c:pt>
                <c:pt idx="85">
                  <c:v>411.40000000000003</c:v>
                </c:pt>
                <c:pt idx="86">
                  <c:v>391.00000000000006</c:v>
                </c:pt>
                <c:pt idx="87">
                  <c:v>393.50000000000006</c:v>
                </c:pt>
                <c:pt idx="88">
                  <c:v>349.00000000000006</c:v>
                </c:pt>
                <c:pt idx="89">
                  <c:v>348.40000000000003</c:v>
                </c:pt>
                <c:pt idx="90">
                  <c:v>373.8</c:v>
                </c:pt>
                <c:pt idx="91">
                  <c:v>383.5</c:v>
                </c:pt>
                <c:pt idx="92">
                  <c:v>403.6</c:v>
                </c:pt>
                <c:pt idx="93">
                  <c:v>445.70000000000005</c:v>
                </c:pt>
                <c:pt idx="94">
                  <c:v>439.70000000000005</c:v>
                </c:pt>
                <c:pt idx="95">
                  <c:v>403.20000000000005</c:v>
                </c:pt>
                <c:pt idx="96">
                  <c:v>364.70000000000005</c:v>
                </c:pt>
                <c:pt idx="97">
                  <c:v>374.80000000000007</c:v>
                </c:pt>
                <c:pt idx="98">
                  <c:v>372.80000000000007</c:v>
                </c:pt>
                <c:pt idx="99">
                  <c:v>415.30000000000007</c:v>
                </c:pt>
                <c:pt idx="100">
                  <c:v>409.70000000000005</c:v>
                </c:pt>
                <c:pt idx="101">
                  <c:v>402.30000000000007</c:v>
                </c:pt>
                <c:pt idx="102">
                  <c:v>365.30000000000007</c:v>
                </c:pt>
                <c:pt idx="103">
                  <c:v>347.50000000000006</c:v>
                </c:pt>
                <c:pt idx="104">
                  <c:v>373.50000000000006</c:v>
                </c:pt>
                <c:pt idx="105">
                  <c:v>417.10000000000008</c:v>
                </c:pt>
                <c:pt idx="106">
                  <c:v>424.10000000000008</c:v>
                </c:pt>
                <c:pt idx="107">
                  <c:v>413.80000000000007</c:v>
                </c:pt>
                <c:pt idx="108">
                  <c:v>398.30000000000007</c:v>
                </c:pt>
                <c:pt idx="109">
                  <c:v>380.00000000000006</c:v>
                </c:pt>
                <c:pt idx="110">
                  <c:v>403.00000000000006</c:v>
                </c:pt>
                <c:pt idx="111">
                  <c:v>421.50000000000006</c:v>
                </c:pt>
                <c:pt idx="112">
                  <c:v>416.10000000000008</c:v>
                </c:pt>
                <c:pt idx="113">
                  <c:v>471.10000000000008</c:v>
                </c:pt>
                <c:pt idx="114">
                  <c:v>487.2000000000001</c:v>
                </c:pt>
                <c:pt idx="115">
                  <c:v>450.2000000000001</c:v>
                </c:pt>
                <c:pt idx="116">
                  <c:v>465.7000000000001</c:v>
                </c:pt>
                <c:pt idx="117">
                  <c:v>480.00000000000011</c:v>
                </c:pt>
                <c:pt idx="118">
                  <c:v>491.60000000000014</c:v>
                </c:pt>
                <c:pt idx="119">
                  <c:v>507.50000000000011</c:v>
                </c:pt>
                <c:pt idx="120">
                  <c:v>471.00000000000011</c:v>
                </c:pt>
                <c:pt idx="121">
                  <c:v>508.50000000000011</c:v>
                </c:pt>
                <c:pt idx="122">
                  <c:v>463.00000000000011</c:v>
                </c:pt>
                <c:pt idx="123">
                  <c:v>475.2000000000001</c:v>
                </c:pt>
                <c:pt idx="124">
                  <c:v>456.7000000000001</c:v>
                </c:pt>
                <c:pt idx="125">
                  <c:v>497.10000000000008</c:v>
                </c:pt>
                <c:pt idx="126">
                  <c:v>523.20000000000005</c:v>
                </c:pt>
                <c:pt idx="127">
                  <c:v>531.70000000000005</c:v>
                </c:pt>
                <c:pt idx="128">
                  <c:v>574</c:v>
                </c:pt>
                <c:pt idx="129">
                  <c:v>599</c:v>
                </c:pt>
                <c:pt idx="130">
                  <c:v>610</c:v>
                </c:pt>
                <c:pt idx="131">
                  <c:v>650</c:v>
                </c:pt>
                <c:pt idx="132">
                  <c:v>631.20000000000005</c:v>
                </c:pt>
                <c:pt idx="133">
                  <c:v>667.80000000000007</c:v>
                </c:pt>
                <c:pt idx="134">
                  <c:v>675.6</c:v>
                </c:pt>
                <c:pt idx="135">
                  <c:v>742.7</c:v>
                </c:pt>
                <c:pt idx="136">
                  <c:v>747.90000000000009</c:v>
                </c:pt>
                <c:pt idx="137">
                  <c:v>763.10000000000014</c:v>
                </c:pt>
                <c:pt idx="138">
                  <c:v>786.30000000000018</c:v>
                </c:pt>
                <c:pt idx="139">
                  <c:v>806.9000000000002</c:v>
                </c:pt>
                <c:pt idx="140">
                  <c:v>814.20000000000016</c:v>
                </c:pt>
                <c:pt idx="141">
                  <c:v>819.00000000000011</c:v>
                </c:pt>
                <c:pt idx="142">
                  <c:v>823.10000000000014</c:v>
                </c:pt>
                <c:pt idx="143">
                  <c:v>812.10000000000014</c:v>
                </c:pt>
                <c:pt idx="144">
                  <c:v>823.60000000000014</c:v>
                </c:pt>
                <c:pt idx="145">
                  <c:v>811.70000000000016</c:v>
                </c:pt>
                <c:pt idx="146">
                  <c:v>827.30000000000018</c:v>
                </c:pt>
                <c:pt idx="147">
                  <c:v>841.9000000000002</c:v>
                </c:pt>
                <c:pt idx="148">
                  <c:v>806.9000000000002</c:v>
                </c:pt>
                <c:pt idx="149">
                  <c:v>777.30000000000018</c:v>
                </c:pt>
                <c:pt idx="150">
                  <c:v>783.10000000000014</c:v>
                </c:pt>
                <c:pt idx="151">
                  <c:v>770.10000000000014</c:v>
                </c:pt>
                <c:pt idx="152">
                  <c:v>760.10000000000014</c:v>
                </c:pt>
                <c:pt idx="153">
                  <c:v>803.70000000000016</c:v>
                </c:pt>
                <c:pt idx="154">
                  <c:v>799.00000000000011</c:v>
                </c:pt>
                <c:pt idx="155">
                  <c:v>812.40000000000009</c:v>
                </c:pt>
                <c:pt idx="156">
                  <c:v>798.40000000000009</c:v>
                </c:pt>
                <c:pt idx="157">
                  <c:v>804.50000000000011</c:v>
                </c:pt>
                <c:pt idx="158">
                  <c:v>823.20000000000016</c:v>
                </c:pt>
                <c:pt idx="159">
                  <c:v>846.00000000000011</c:v>
                </c:pt>
                <c:pt idx="160">
                  <c:v>841.20000000000016</c:v>
                </c:pt>
                <c:pt idx="161">
                  <c:v>872.70000000000016</c:v>
                </c:pt>
                <c:pt idx="162">
                  <c:v>888.80000000000018</c:v>
                </c:pt>
                <c:pt idx="163">
                  <c:v>900.10000000000014</c:v>
                </c:pt>
                <c:pt idx="164">
                  <c:v>923.40000000000009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93-4C8C-8C3D-3147DC076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1076.25</c:v>
                </c:pt>
                <c:pt idx="1">
                  <c:v>1101.9607843137255</c:v>
                </c:pt>
                <c:pt idx="2">
                  <c:v>1217.7304964539007</c:v>
                </c:pt>
                <c:pt idx="3">
                  <c:v>1270.0787401574803</c:v>
                </c:pt>
                <c:pt idx="4">
                  <c:v>1126.851851851852</c:v>
                </c:pt>
                <c:pt idx="5">
                  <c:v>1486.9047619047619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24-455A-99FA-9985BD5B4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5" bestFit="1" customWidth="1"/>
    <col min="6" max="6" width="11" style="16" bestFit="1" customWidth="1"/>
    <col min="7" max="8" width="9" style="1" customWidth="1"/>
    <col min="9" max="9" width="3.5" style="1" customWidth="1"/>
    <col min="10" max="10" width="3.5" style="8" customWidth="1"/>
    <col min="11" max="11" width="9" style="10" customWidth="1"/>
    <col min="12" max="12" width="3.5" style="1" customWidth="1"/>
    <col min="13" max="14" width="9" style="1" customWidth="1"/>
    <col min="15" max="16" width="3.5" style="1" customWidth="1"/>
    <col min="17" max="16384" width="9" style="1"/>
  </cols>
  <sheetData>
    <row r="1" spans="1:16" x14ac:dyDescent="0.4">
      <c r="A1" s="38" t="s">
        <v>0</v>
      </c>
      <c r="B1" s="67"/>
      <c r="C1" s="68"/>
      <c r="E1" s="48" t="s">
        <v>172</v>
      </c>
      <c r="F1" s="29" t="s">
        <v>116</v>
      </c>
      <c r="G1" s="44" t="s">
        <v>117</v>
      </c>
      <c r="H1" s="2" t="s">
        <v>118</v>
      </c>
      <c r="J1" s="3" t="s">
        <v>16</v>
      </c>
      <c r="K1" s="4" t="s">
        <v>120</v>
      </c>
      <c r="M1" s="3" t="s">
        <v>167</v>
      </c>
      <c r="N1" s="2" t="s">
        <v>169</v>
      </c>
      <c r="O1" s="22" t="s">
        <v>170</v>
      </c>
      <c r="P1" s="18" t="s">
        <v>168</v>
      </c>
    </row>
    <row r="2" spans="1:16" x14ac:dyDescent="0.4">
      <c r="A2" s="39" t="s">
        <v>9</v>
      </c>
      <c r="B2" s="63">
        <v>0</v>
      </c>
      <c r="C2" s="64"/>
      <c r="E2" s="49" t="s">
        <v>63</v>
      </c>
      <c r="F2" s="45" t="s">
        <v>17</v>
      </c>
      <c r="G2" s="31">
        <v>0</v>
      </c>
      <c r="H2" s="6">
        <f t="shared" ref="H2:H33" si="0">IF(B$25=0,0,G2/B$25)</f>
        <v>0</v>
      </c>
      <c r="J2" s="5">
        <v>0</v>
      </c>
      <c r="K2" s="7">
        <v>0</v>
      </c>
      <c r="M2" s="5" t="s">
        <v>161</v>
      </c>
      <c r="N2" s="26">
        <f t="shared" ref="N2:N7" si="1">IF(P2=0,0,O2/P2)</f>
        <v>0</v>
      </c>
      <c r="O2" s="23">
        <v>0</v>
      </c>
      <c r="P2" s="21">
        <v>0</v>
      </c>
    </row>
    <row r="3" spans="1:16" x14ac:dyDescent="0.4">
      <c r="A3" s="40" t="s">
        <v>8</v>
      </c>
      <c r="B3" s="69">
        <v>0</v>
      </c>
      <c r="C3" s="70"/>
      <c r="E3" s="50" t="s">
        <v>64</v>
      </c>
      <c r="F3" s="46" t="s">
        <v>18</v>
      </c>
      <c r="G3" s="32">
        <v>0</v>
      </c>
      <c r="H3" s="9">
        <f t="shared" si="0"/>
        <v>0</v>
      </c>
      <c r="M3" s="8" t="s">
        <v>162</v>
      </c>
      <c r="N3" s="27">
        <f t="shared" si="1"/>
        <v>0</v>
      </c>
      <c r="O3" s="24">
        <v>0</v>
      </c>
      <c r="P3" s="19">
        <v>0</v>
      </c>
    </row>
    <row r="4" spans="1:16" x14ac:dyDescent="0.4">
      <c r="A4" s="40" t="s">
        <v>6</v>
      </c>
      <c r="B4" s="71">
        <v>0</v>
      </c>
      <c r="C4" s="72"/>
      <c r="E4" s="50" t="s">
        <v>65</v>
      </c>
      <c r="F4" s="46" t="s">
        <v>19</v>
      </c>
      <c r="G4" s="32">
        <v>0</v>
      </c>
      <c r="H4" s="9">
        <f t="shared" si="0"/>
        <v>0</v>
      </c>
      <c r="M4" s="8" t="s">
        <v>163</v>
      </c>
      <c r="N4" s="27">
        <f t="shared" si="1"/>
        <v>0</v>
      </c>
      <c r="O4" s="24">
        <v>0</v>
      </c>
      <c r="P4" s="19">
        <v>0</v>
      </c>
    </row>
    <row r="5" spans="1:16" x14ac:dyDescent="0.4">
      <c r="A5" s="40" t="s">
        <v>7</v>
      </c>
      <c r="B5" s="71">
        <f>IF(B$2=0,0,B$4/B$2)</f>
        <v>0</v>
      </c>
      <c r="C5" s="72"/>
      <c r="E5" s="50" t="s">
        <v>66</v>
      </c>
      <c r="F5" s="46" t="s">
        <v>20</v>
      </c>
      <c r="G5" s="32">
        <v>0</v>
      </c>
      <c r="H5" s="9">
        <f t="shared" si="0"/>
        <v>0</v>
      </c>
      <c r="M5" s="8" t="s">
        <v>164</v>
      </c>
      <c r="N5" s="27">
        <f t="shared" si="1"/>
        <v>0</v>
      </c>
      <c r="O5" s="24">
        <v>0</v>
      </c>
      <c r="P5" s="19">
        <v>0</v>
      </c>
    </row>
    <row r="6" spans="1:16" x14ac:dyDescent="0.4">
      <c r="A6" s="40" t="s">
        <v>1</v>
      </c>
      <c r="B6" s="61">
        <f>IF(B$2=0,0,(B$7*1+B$8*2+B$9*3)/B$2)</f>
        <v>0</v>
      </c>
      <c r="C6" s="62"/>
      <c r="E6" s="50" t="s">
        <v>67</v>
      </c>
      <c r="F6" s="46" t="s">
        <v>21</v>
      </c>
      <c r="G6" s="32">
        <v>0</v>
      </c>
      <c r="H6" s="9">
        <f t="shared" si="0"/>
        <v>0</v>
      </c>
      <c r="M6" s="8" t="s">
        <v>165</v>
      </c>
      <c r="N6" s="27">
        <f t="shared" si="1"/>
        <v>0</v>
      </c>
      <c r="O6" s="24">
        <v>0</v>
      </c>
      <c r="P6" s="19">
        <v>0</v>
      </c>
    </row>
    <row r="7" spans="1:16" x14ac:dyDescent="0.4">
      <c r="A7" s="40" t="s">
        <v>2</v>
      </c>
      <c r="B7" s="32">
        <v>0</v>
      </c>
      <c r="C7" s="9">
        <f>IF(B$2=0,0,B7/B$2)</f>
        <v>0</v>
      </c>
      <c r="E7" s="50" t="s">
        <v>68</v>
      </c>
      <c r="F7" s="46" t="s">
        <v>12</v>
      </c>
      <c r="G7" s="32">
        <v>0</v>
      </c>
      <c r="H7" s="9">
        <f t="shared" si="0"/>
        <v>0</v>
      </c>
      <c r="M7" s="13" t="s">
        <v>166</v>
      </c>
      <c r="N7" s="28">
        <f t="shared" si="1"/>
        <v>0</v>
      </c>
      <c r="O7" s="25">
        <v>0</v>
      </c>
      <c r="P7" s="20">
        <v>0</v>
      </c>
    </row>
    <row r="8" spans="1:16" x14ac:dyDescent="0.4">
      <c r="A8" s="40" t="s">
        <v>3</v>
      </c>
      <c r="B8" s="32">
        <v>0</v>
      </c>
      <c r="C8" s="9">
        <f t="shared" ref="C8:C9" si="2">IF(B$2=0,0,B8/B$2)</f>
        <v>0</v>
      </c>
      <c r="E8" s="50" t="s">
        <v>69</v>
      </c>
      <c r="F8" s="46" t="s">
        <v>22</v>
      </c>
      <c r="G8" s="32">
        <v>0</v>
      </c>
      <c r="H8" s="9">
        <f t="shared" si="0"/>
        <v>0</v>
      </c>
    </row>
    <row r="9" spans="1:16" x14ac:dyDescent="0.4">
      <c r="A9" s="41" t="s">
        <v>4</v>
      </c>
      <c r="B9" s="33">
        <v>0</v>
      </c>
      <c r="C9" s="11">
        <f t="shared" si="2"/>
        <v>0</v>
      </c>
      <c r="E9" s="50" t="s">
        <v>70</v>
      </c>
      <c r="F9" s="46" t="s">
        <v>23</v>
      </c>
      <c r="G9" s="32">
        <v>0</v>
      </c>
      <c r="H9" s="9">
        <f t="shared" si="0"/>
        <v>0</v>
      </c>
    </row>
    <row r="10" spans="1:16" x14ac:dyDescent="0.4">
      <c r="A10" s="41" t="s">
        <v>15</v>
      </c>
      <c r="B10" s="33">
        <v>0</v>
      </c>
      <c r="C10" s="11">
        <f>IF(B$2=0,0,B10/B$2)</f>
        <v>0</v>
      </c>
      <c r="E10" s="50" t="s">
        <v>71</v>
      </c>
      <c r="F10" s="46" t="s">
        <v>24</v>
      </c>
      <c r="G10" s="32">
        <v>0</v>
      </c>
      <c r="H10" s="9">
        <f t="shared" si="0"/>
        <v>0</v>
      </c>
    </row>
    <row r="11" spans="1:16" x14ac:dyDescent="0.4">
      <c r="A11" s="42" t="s">
        <v>171</v>
      </c>
      <c r="B11" s="34">
        <v>0</v>
      </c>
      <c r="C11" s="14">
        <f>IF(B$2=0,0,B11/B$2)</f>
        <v>0</v>
      </c>
      <c r="E11" s="50" t="s">
        <v>72</v>
      </c>
      <c r="F11" s="46" t="s">
        <v>25</v>
      </c>
      <c r="G11" s="32">
        <v>0</v>
      </c>
      <c r="H11" s="9">
        <f t="shared" si="0"/>
        <v>0</v>
      </c>
    </row>
    <row r="12" spans="1:16" x14ac:dyDescent="0.4">
      <c r="A12" s="43" t="s">
        <v>123</v>
      </c>
      <c r="B12" s="35">
        <v>0</v>
      </c>
      <c r="C12" s="17">
        <f>IF(B$24=0,0,B12/B$24)</f>
        <v>0</v>
      </c>
      <c r="E12" s="50" t="s">
        <v>73</v>
      </c>
      <c r="F12" s="46" t="s">
        <v>26</v>
      </c>
      <c r="G12" s="32">
        <v>0</v>
      </c>
      <c r="H12" s="9">
        <f t="shared" si="0"/>
        <v>0</v>
      </c>
    </row>
    <row r="13" spans="1:16" x14ac:dyDescent="0.4">
      <c r="A13" s="40" t="s">
        <v>119</v>
      </c>
      <c r="B13" s="32">
        <v>0</v>
      </c>
      <c r="C13" s="9">
        <f>IF(B$24=0,0,B13/B$24)</f>
        <v>0</v>
      </c>
      <c r="E13" s="50" t="s">
        <v>74</v>
      </c>
      <c r="F13" s="46" t="s">
        <v>27</v>
      </c>
      <c r="G13" s="32">
        <v>0</v>
      </c>
      <c r="H13" s="9">
        <f t="shared" si="0"/>
        <v>0</v>
      </c>
    </row>
    <row r="14" spans="1:16" x14ac:dyDescent="0.4">
      <c r="A14" s="39" t="s">
        <v>124</v>
      </c>
      <c r="B14" s="31">
        <v>0</v>
      </c>
      <c r="C14" s="6">
        <f>IF(B$12=0,0,B14/B$12)</f>
        <v>0</v>
      </c>
      <c r="E14" s="50" t="s">
        <v>75</v>
      </c>
      <c r="F14" s="46" t="s">
        <v>28</v>
      </c>
      <c r="G14" s="32">
        <v>0</v>
      </c>
      <c r="H14" s="9">
        <f t="shared" si="0"/>
        <v>0</v>
      </c>
    </row>
    <row r="15" spans="1:16" x14ac:dyDescent="0.4">
      <c r="A15" s="39" t="s">
        <v>125</v>
      </c>
      <c r="B15" s="31">
        <v>0</v>
      </c>
      <c r="C15" s="6">
        <f>IF(B$13=0,0,B15/B$13)</f>
        <v>0</v>
      </c>
      <c r="E15" s="50" t="s">
        <v>76</v>
      </c>
      <c r="F15" s="46" t="s">
        <v>29</v>
      </c>
      <c r="G15" s="32">
        <v>0</v>
      </c>
      <c r="H15" s="9">
        <f t="shared" si="0"/>
        <v>0</v>
      </c>
    </row>
    <row r="16" spans="1:16" x14ac:dyDescent="0.4">
      <c r="A16" s="39" t="s">
        <v>10</v>
      </c>
      <c r="B16" s="31">
        <f>B18+B17</f>
        <v>0</v>
      </c>
      <c r="C16" s="6">
        <f>IF(B$3=0,0,B16/B$3)</f>
        <v>0</v>
      </c>
      <c r="E16" s="50" t="s">
        <v>77</v>
      </c>
      <c r="F16" s="46" t="s">
        <v>30</v>
      </c>
      <c r="G16" s="32">
        <v>0</v>
      </c>
      <c r="H16" s="9">
        <f t="shared" si="0"/>
        <v>0</v>
      </c>
    </row>
    <row r="17" spans="1:8" x14ac:dyDescent="0.4">
      <c r="A17" s="40" t="s">
        <v>12</v>
      </c>
      <c r="B17" s="32">
        <v>0</v>
      </c>
      <c r="C17" s="9">
        <f>IF(B$16=0,0,B17/B$16)</f>
        <v>0</v>
      </c>
      <c r="E17" s="50" t="s">
        <v>78</v>
      </c>
      <c r="F17" s="46" t="s">
        <v>31</v>
      </c>
      <c r="G17" s="32">
        <v>0</v>
      </c>
      <c r="H17" s="9">
        <f t="shared" si="0"/>
        <v>0</v>
      </c>
    </row>
    <row r="18" spans="1:8" x14ac:dyDescent="0.4">
      <c r="A18" s="40" t="s">
        <v>11</v>
      </c>
      <c r="B18" s="32">
        <v>0</v>
      </c>
      <c r="C18" s="9">
        <f>IF(B$16=0,0,B18/B$16)</f>
        <v>0</v>
      </c>
      <c r="E18" s="50" t="s">
        <v>79</v>
      </c>
      <c r="F18" s="46" t="s">
        <v>32</v>
      </c>
      <c r="G18" s="32">
        <v>0</v>
      </c>
      <c r="H18" s="9">
        <f t="shared" si="0"/>
        <v>0</v>
      </c>
    </row>
    <row r="19" spans="1:8" x14ac:dyDescent="0.4">
      <c r="A19" s="40" t="s">
        <v>13</v>
      </c>
      <c r="B19" s="32">
        <v>0</v>
      </c>
      <c r="C19" s="9">
        <f>IF(B$3=0,0,B19/B$3)</f>
        <v>0</v>
      </c>
      <c r="E19" s="50" t="s">
        <v>80</v>
      </c>
      <c r="F19" s="46" t="s">
        <v>33</v>
      </c>
      <c r="G19" s="32">
        <v>0</v>
      </c>
      <c r="H19" s="9">
        <f t="shared" si="0"/>
        <v>0</v>
      </c>
    </row>
    <row r="20" spans="1:8" x14ac:dyDescent="0.4">
      <c r="A20" s="40" t="s">
        <v>5</v>
      </c>
      <c r="B20" s="36">
        <f>IF(B$16=0,0,C20/B$16)</f>
        <v>0</v>
      </c>
      <c r="C20" s="12">
        <v>0</v>
      </c>
      <c r="E20" s="50" t="s">
        <v>81</v>
      </c>
      <c r="F20" s="46" t="s">
        <v>34</v>
      </c>
      <c r="G20" s="32">
        <v>0</v>
      </c>
      <c r="H20" s="9">
        <f t="shared" si="0"/>
        <v>0</v>
      </c>
    </row>
    <row r="21" spans="1:8" x14ac:dyDescent="0.4">
      <c r="A21" s="42" t="s">
        <v>14</v>
      </c>
      <c r="B21" s="37">
        <f>IF(B$19=0,0,C21/B$19)</f>
        <v>0</v>
      </c>
      <c r="C21" s="30">
        <v>0</v>
      </c>
      <c r="E21" s="50" t="s">
        <v>82</v>
      </c>
      <c r="F21" s="46" t="s">
        <v>35</v>
      </c>
      <c r="G21" s="32">
        <v>0</v>
      </c>
      <c r="H21" s="9">
        <f t="shared" si="0"/>
        <v>0</v>
      </c>
    </row>
    <row r="22" spans="1:8" x14ac:dyDescent="0.4">
      <c r="A22" s="39" t="s">
        <v>159</v>
      </c>
      <c r="B22" s="31">
        <v>0</v>
      </c>
      <c r="C22" s="6">
        <f>IF(B$3=0,0,B22/B$3)</f>
        <v>0</v>
      </c>
      <c r="E22" s="50" t="s">
        <v>83</v>
      </c>
      <c r="F22" s="46" t="s">
        <v>36</v>
      </c>
      <c r="G22" s="32">
        <v>0</v>
      </c>
      <c r="H22" s="9">
        <f t="shared" si="0"/>
        <v>0</v>
      </c>
    </row>
    <row r="23" spans="1:8" x14ac:dyDescent="0.4">
      <c r="A23" s="42" t="s">
        <v>160</v>
      </c>
      <c r="B23" s="34">
        <v>0</v>
      </c>
      <c r="C23" s="14">
        <f>IF(B$22=0,0,B23/B$22)</f>
        <v>0</v>
      </c>
      <c r="E23" s="50" t="s">
        <v>84</v>
      </c>
      <c r="F23" s="46" t="s">
        <v>37</v>
      </c>
      <c r="G23" s="32">
        <v>0</v>
      </c>
      <c r="H23" s="9">
        <f t="shared" si="0"/>
        <v>0</v>
      </c>
    </row>
    <row r="24" spans="1:8" x14ac:dyDescent="0.4">
      <c r="A24" s="39" t="s">
        <v>121</v>
      </c>
      <c r="B24" s="63">
        <v>0</v>
      </c>
      <c r="C24" s="64"/>
      <c r="E24" s="50" t="s">
        <v>85</v>
      </c>
      <c r="F24" s="46" t="s">
        <v>38</v>
      </c>
      <c r="G24" s="32">
        <v>0</v>
      </c>
      <c r="H24" s="9">
        <f t="shared" si="0"/>
        <v>0</v>
      </c>
    </row>
    <row r="25" spans="1:8" x14ac:dyDescent="0.4">
      <c r="A25" s="42" t="s">
        <v>122</v>
      </c>
      <c r="B25" s="65">
        <v>0</v>
      </c>
      <c r="C25" s="66"/>
      <c r="E25" s="50" t="s">
        <v>86</v>
      </c>
      <c r="F25" s="46" t="s">
        <v>39</v>
      </c>
      <c r="G25" s="32">
        <v>0</v>
      </c>
      <c r="H25" s="9">
        <f t="shared" si="0"/>
        <v>0</v>
      </c>
    </row>
    <row r="26" spans="1:8" x14ac:dyDescent="0.4">
      <c r="A26" s="55" t="s">
        <v>173</v>
      </c>
      <c r="B26" s="59">
        <v>0</v>
      </c>
      <c r="C26" s="60"/>
      <c r="E26" s="50" t="s">
        <v>87</v>
      </c>
      <c r="F26" s="46" t="s">
        <v>40</v>
      </c>
      <c r="G26" s="32">
        <v>0</v>
      </c>
      <c r="H26" s="9">
        <f t="shared" si="0"/>
        <v>0</v>
      </c>
    </row>
    <row r="27" spans="1:8" x14ac:dyDescent="0.4">
      <c r="A27" s="42" t="s">
        <v>174</v>
      </c>
      <c r="B27" s="56">
        <v>0</v>
      </c>
      <c r="C27" s="14">
        <f>IF(B$3=0,0,B27/B$3)</f>
        <v>0</v>
      </c>
      <c r="E27" s="50" t="s">
        <v>88</v>
      </c>
      <c r="F27" s="46" t="s">
        <v>41</v>
      </c>
      <c r="G27" s="32">
        <v>0</v>
      </c>
      <c r="H27" s="9">
        <f t="shared" si="0"/>
        <v>0</v>
      </c>
    </row>
    <row r="28" spans="1:8" x14ac:dyDescent="0.4">
      <c r="E28" s="50" t="s">
        <v>89</v>
      </c>
      <c r="F28" s="46" t="s">
        <v>42</v>
      </c>
      <c r="G28" s="32">
        <v>0</v>
      </c>
      <c r="H28" s="9">
        <f t="shared" si="0"/>
        <v>0</v>
      </c>
    </row>
    <row r="29" spans="1:8" x14ac:dyDescent="0.4">
      <c r="E29" s="50" t="s">
        <v>90</v>
      </c>
      <c r="F29" s="46" t="s">
        <v>43</v>
      </c>
      <c r="G29" s="32">
        <v>0</v>
      </c>
      <c r="H29" s="9">
        <f t="shared" si="0"/>
        <v>0</v>
      </c>
    </row>
    <row r="30" spans="1:8" x14ac:dyDescent="0.4">
      <c r="E30" s="50" t="s">
        <v>91</v>
      </c>
      <c r="F30" s="46" t="s">
        <v>44</v>
      </c>
      <c r="G30" s="32">
        <v>0</v>
      </c>
      <c r="H30" s="9">
        <f t="shared" si="0"/>
        <v>0</v>
      </c>
    </row>
    <row r="31" spans="1:8" x14ac:dyDescent="0.4">
      <c r="E31" s="50" t="s">
        <v>92</v>
      </c>
      <c r="F31" s="46" t="s">
        <v>45</v>
      </c>
      <c r="G31" s="32">
        <v>0</v>
      </c>
      <c r="H31" s="9">
        <f t="shared" si="0"/>
        <v>0</v>
      </c>
    </row>
    <row r="32" spans="1:8" x14ac:dyDescent="0.4">
      <c r="E32" s="50" t="s">
        <v>93</v>
      </c>
      <c r="F32" s="46" t="s">
        <v>46</v>
      </c>
      <c r="G32" s="32">
        <v>0</v>
      </c>
      <c r="H32" s="9">
        <f t="shared" si="0"/>
        <v>0</v>
      </c>
    </row>
    <row r="33" spans="5:8" x14ac:dyDescent="0.4">
      <c r="E33" s="50" t="s">
        <v>94</v>
      </c>
      <c r="F33" s="46" t="s">
        <v>47</v>
      </c>
      <c r="G33" s="32">
        <v>0</v>
      </c>
      <c r="H33" s="9">
        <f t="shared" si="0"/>
        <v>0</v>
      </c>
    </row>
    <row r="34" spans="5:8" x14ac:dyDescent="0.4">
      <c r="E34" s="50" t="s">
        <v>95</v>
      </c>
      <c r="F34" s="46" t="s">
        <v>48</v>
      </c>
      <c r="G34" s="32">
        <v>0</v>
      </c>
      <c r="H34" s="9">
        <f t="shared" ref="H34:H51" si="3">IF(B$25=0,0,G34/B$25)</f>
        <v>0</v>
      </c>
    </row>
    <row r="35" spans="5:8" x14ac:dyDescent="0.4">
      <c r="E35" s="50" t="s">
        <v>96</v>
      </c>
      <c r="F35" s="46" t="s">
        <v>49</v>
      </c>
      <c r="G35" s="32">
        <v>0</v>
      </c>
      <c r="H35" s="9">
        <f t="shared" si="3"/>
        <v>0</v>
      </c>
    </row>
    <row r="36" spans="5:8" x14ac:dyDescent="0.4">
      <c r="E36" s="50" t="s">
        <v>97</v>
      </c>
      <c r="F36" s="46" t="s">
        <v>50</v>
      </c>
      <c r="G36" s="32">
        <v>0</v>
      </c>
      <c r="H36" s="9">
        <f t="shared" si="3"/>
        <v>0</v>
      </c>
    </row>
    <row r="37" spans="5:8" x14ac:dyDescent="0.4">
      <c r="E37" s="50" t="s">
        <v>98</v>
      </c>
      <c r="F37" s="46" t="s">
        <v>51</v>
      </c>
      <c r="G37" s="32">
        <v>0</v>
      </c>
      <c r="H37" s="9">
        <f t="shared" si="3"/>
        <v>0</v>
      </c>
    </row>
    <row r="38" spans="5:8" x14ac:dyDescent="0.4">
      <c r="E38" s="50" t="s">
        <v>99</v>
      </c>
      <c r="F38" s="46" t="s">
        <v>52</v>
      </c>
      <c r="G38" s="32">
        <v>0</v>
      </c>
      <c r="H38" s="9">
        <f t="shared" si="3"/>
        <v>0</v>
      </c>
    </row>
    <row r="39" spans="5:8" x14ac:dyDescent="0.4">
      <c r="E39" s="50" t="s">
        <v>100</v>
      </c>
      <c r="F39" s="46" t="s">
        <v>53</v>
      </c>
      <c r="G39" s="32">
        <v>0</v>
      </c>
      <c r="H39" s="9">
        <f t="shared" si="3"/>
        <v>0</v>
      </c>
    </row>
    <row r="40" spans="5:8" x14ac:dyDescent="0.4">
      <c r="E40" s="50" t="s">
        <v>101</v>
      </c>
      <c r="F40" s="46" t="s">
        <v>54</v>
      </c>
      <c r="G40" s="32">
        <v>0</v>
      </c>
      <c r="H40" s="9">
        <f t="shared" si="3"/>
        <v>0</v>
      </c>
    </row>
    <row r="41" spans="5:8" x14ac:dyDescent="0.4">
      <c r="E41" s="50" t="s">
        <v>102</v>
      </c>
      <c r="F41" s="46" t="s">
        <v>55</v>
      </c>
      <c r="G41" s="32">
        <v>0</v>
      </c>
      <c r="H41" s="9">
        <f t="shared" si="3"/>
        <v>0</v>
      </c>
    </row>
    <row r="42" spans="5:8" x14ac:dyDescent="0.4">
      <c r="E42" s="50" t="s">
        <v>103</v>
      </c>
      <c r="F42" s="46" t="s">
        <v>56</v>
      </c>
      <c r="G42" s="32">
        <v>0</v>
      </c>
      <c r="H42" s="9">
        <f t="shared" si="3"/>
        <v>0</v>
      </c>
    </row>
    <row r="43" spans="5:8" x14ac:dyDescent="0.4">
      <c r="E43" s="50" t="s">
        <v>104</v>
      </c>
      <c r="F43" s="46" t="s">
        <v>57</v>
      </c>
      <c r="G43" s="32">
        <v>0</v>
      </c>
      <c r="H43" s="9">
        <f t="shared" si="3"/>
        <v>0</v>
      </c>
    </row>
    <row r="44" spans="5:8" x14ac:dyDescent="0.4">
      <c r="E44" s="50" t="s">
        <v>105</v>
      </c>
      <c r="F44" s="46" t="s">
        <v>58</v>
      </c>
      <c r="G44" s="32">
        <v>0</v>
      </c>
      <c r="H44" s="9">
        <f t="shared" si="3"/>
        <v>0</v>
      </c>
    </row>
    <row r="45" spans="5:8" x14ac:dyDescent="0.4">
      <c r="E45" s="50" t="s">
        <v>106</v>
      </c>
      <c r="F45" s="46" t="s">
        <v>113</v>
      </c>
      <c r="G45" s="32">
        <v>0</v>
      </c>
      <c r="H45" s="9">
        <f t="shared" si="3"/>
        <v>0</v>
      </c>
    </row>
    <row r="46" spans="5:8" x14ac:dyDescent="0.4">
      <c r="E46" s="50" t="s">
        <v>107</v>
      </c>
      <c r="F46" s="46" t="s">
        <v>114</v>
      </c>
      <c r="G46" s="32">
        <v>0</v>
      </c>
      <c r="H46" s="9">
        <f t="shared" si="3"/>
        <v>0</v>
      </c>
    </row>
    <row r="47" spans="5:8" x14ac:dyDescent="0.4">
      <c r="E47" s="50" t="s">
        <v>108</v>
      </c>
      <c r="F47" s="46" t="s">
        <v>115</v>
      </c>
      <c r="G47" s="32">
        <v>0</v>
      </c>
      <c r="H47" s="9">
        <f t="shared" si="3"/>
        <v>0</v>
      </c>
    </row>
    <row r="48" spans="5:8" x14ac:dyDescent="0.4">
      <c r="E48" s="50" t="s">
        <v>109</v>
      </c>
      <c r="F48" s="46" t="s">
        <v>59</v>
      </c>
      <c r="G48" s="32">
        <v>0</v>
      </c>
      <c r="H48" s="9">
        <f t="shared" si="3"/>
        <v>0</v>
      </c>
    </row>
    <row r="49" spans="5:8" x14ac:dyDescent="0.4">
      <c r="E49" s="50" t="s">
        <v>110</v>
      </c>
      <c r="F49" s="46" t="s">
        <v>60</v>
      </c>
      <c r="G49" s="32">
        <v>0</v>
      </c>
      <c r="H49" s="9">
        <f t="shared" si="3"/>
        <v>0</v>
      </c>
    </row>
    <row r="50" spans="5:8" x14ac:dyDescent="0.4">
      <c r="E50" s="50" t="s">
        <v>111</v>
      </c>
      <c r="F50" s="46" t="s">
        <v>61</v>
      </c>
      <c r="G50" s="32">
        <v>0</v>
      </c>
      <c r="H50" s="9">
        <f t="shared" si="3"/>
        <v>0</v>
      </c>
    </row>
    <row r="51" spans="5:8" x14ac:dyDescent="0.4">
      <c r="E51" s="51" t="s">
        <v>112</v>
      </c>
      <c r="F51" s="47" t="s">
        <v>62</v>
      </c>
      <c r="G51" s="34">
        <v>0</v>
      </c>
      <c r="H51" s="14">
        <f t="shared" si="3"/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6"/>
  <sheetViews>
    <sheetView workbookViewId="0"/>
  </sheetViews>
  <sheetFormatPr defaultColWidth="9" defaultRowHeight="18.75" x14ac:dyDescent="0.4"/>
  <cols>
    <col min="1" max="1" width="16.375" style="53" bestFit="1" customWidth="1"/>
    <col min="2" max="2" width="16.875" style="54" bestFit="1" customWidth="1"/>
    <col min="3" max="16384" width="9" style="53"/>
  </cols>
  <sheetData>
    <row r="1" spans="1:14" x14ac:dyDescent="0.4">
      <c r="A1" s="52">
        <v>32874</v>
      </c>
      <c r="B1" s="52">
        <v>2958465</v>
      </c>
    </row>
    <row r="2" spans="1:14" x14ac:dyDescent="0.4">
      <c r="A2" s="53" t="s">
        <v>126</v>
      </c>
      <c r="B2" s="54">
        <v>43454.62740740741</v>
      </c>
      <c r="C2" s="53" t="s">
        <v>147</v>
      </c>
    </row>
    <row r="3" spans="1:14" x14ac:dyDescent="0.4">
      <c r="A3" s="53" t="s">
        <v>128</v>
      </c>
      <c r="B3" s="54">
        <v>43454.62740740741</v>
      </c>
      <c r="C3" s="53" t="s">
        <v>147</v>
      </c>
    </row>
    <row r="4" spans="1:14" x14ac:dyDescent="0.4">
      <c r="A4" s="53" t="s">
        <v>129</v>
      </c>
      <c r="B4" s="54">
        <v>43454.62740740741</v>
      </c>
      <c r="C4" s="53" t="s">
        <v>147</v>
      </c>
    </row>
    <row r="5" spans="1:14" x14ac:dyDescent="0.4">
      <c r="A5" s="53" t="s">
        <v>130</v>
      </c>
      <c r="B5" s="54">
        <v>43454.62740740741</v>
      </c>
      <c r="C5" s="53" t="s">
        <v>147</v>
      </c>
      <c r="D5" s="53" t="s">
        <v>148</v>
      </c>
      <c r="E5" s="53" t="s">
        <v>149</v>
      </c>
      <c r="F5" s="53" t="s">
        <v>150</v>
      </c>
      <c r="G5" s="53" t="s">
        <v>151</v>
      </c>
    </row>
    <row r="6" spans="1:14" x14ac:dyDescent="0.4">
      <c r="A6" s="53" t="s">
        <v>131</v>
      </c>
      <c r="B6" s="54">
        <v>43454.62740740741</v>
      </c>
      <c r="C6" s="53" t="s">
        <v>147</v>
      </c>
    </row>
    <row r="7" spans="1:14" x14ac:dyDescent="0.4">
      <c r="A7" s="53" t="s">
        <v>132</v>
      </c>
      <c r="B7" s="54">
        <v>43454.62740740741</v>
      </c>
      <c r="C7" s="53" t="s">
        <v>147</v>
      </c>
      <c r="D7" s="53" t="s">
        <v>148</v>
      </c>
      <c r="E7" s="53" t="s">
        <v>149</v>
      </c>
    </row>
    <row r="8" spans="1:14" x14ac:dyDescent="0.4">
      <c r="A8" s="53" t="s">
        <v>133</v>
      </c>
      <c r="B8" s="54">
        <v>43492.671666666669</v>
      </c>
      <c r="C8" s="53" t="s">
        <v>147</v>
      </c>
      <c r="D8" s="53" t="s">
        <v>148</v>
      </c>
    </row>
    <row r="9" spans="1:14" x14ac:dyDescent="0.4">
      <c r="A9" s="53" t="s">
        <v>134</v>
      </c>
      <c r="B9" s="54">
        <v>43454.62740740741</v>
      </c>
      <c r="C9" s="53" t="s">
        <v>147</v>
      </c>
      <c r="D9" s="53" t="s">
        <v>148</v>
      </c>
      <c r="E9" s="53" t="s">
        <v>149</v>
      </c>
      <c r="F9" s="53" t="s">
        <v>150</v>
      </c>
    </row>
    <row r="10" spans="1:14" x14ac:dyDescent="0.4">
      <c r="A10" s="53" t="s">
        <v>135</v>
      </c>
      <c r="B10" s="54">
        <v>43454.62740740741</v>
      </c>
      <c r="C10" s="53" t="s">
        <v>147</v>
      </c>
      <c r="D10" s="53" t="s">
        <v>148</v>
      </c>
      <c r="E10" s="53" t="s">
        <v>149</v>
      </c>
    </row>
    <row r="11" spans="1:14" x14ac:dyDescent="0.4">
      <c r="A11" s="53" t="s">
        <v>136</v>
      </c>
      <c r="B11" s="54">
        <v>43454.62740740741</v>
      </c>
      <c r="C11" s="53" t="s">
        <v>147</v>
      </c>
      <c r="D11" s="53" t="s">
        <v>148</v>
      </c>
      <c r="E11" s="53" t="s">
        <v>149</v>
      </c>
      <c r="F11" s="53" t="s">
        <v>150</v>
      </c>
      <c r="G11" s="53" t="s">
        <v>151</v>
      </c>
      <c r="H11" s="53" t="s">
        <v>152</v>
      </c>
      <c r="I11" s="53" t="s">
        <v>153</v>
      </c>
    </row>
    <row r="12" spans="1:14" x14ac:dyDescent="0.4">
      <c r="A12" s="53" t="s">
        <v>137</v>
      </c>
      <c r="B12" s="54">
        <v>43454.62740740741</v>
      </c>
      <c r="C12" s="53" t="s">
        <v>147</v>
      </c>
      <c r="D12" s="53" t="s">
        <v>148</v>
      </c>
    </row>
    <row r="13" spans="1:14" x14ac:dyDescent="0.4">
      <c r="A13" s="53" t="s">
        <v>138</v>
      </c>
      <c r="B13" s="54">
        <v>43454.62740740741</v>
      </c>
      <c r="C13" s="53" t="s">
        <v>147</v>
      </c>
      <c r="D13" s="53" t="s">
        <v>148</v>
      </c>
      <c r="E13" s="53" t="s">
        <v>149</v>
      </c>
      <c r="F13" s="53" t="s">
        <v>150</v>
      </c>
      <c r="G13" s="53" t="s">
        <v>151</v>
      </c>
      <c r="H13" s="53" t="s">
        <v>152</v>
      </c>
      <c r="I13" s="53" t="s">
        <v>153</v>
      </c>
      <c r="J13" s="53" t="s">
        <v>154</v>
      </c>
      <c r="K13" s="53" t="s">
        <v>155</v>
      </c>
      <c r="L13" s="53" t="s">
        <v>156</v>
      </c>
      <c r="M13" s="53" t="s">
        <v>157</v>
      </c>
      <c r="N13" s="53" t="s">
        <v>158</v>
      </c>
    </row>
    <row r="14" spans="1:14" x14ac:dyDescent="0.4">
      <c r="A14" s="53" t="s">
        <v>139</v>
      </c>
      <c r="B14" s="54">
        <v>43454.62740740741</v>
      </c>
      <c r="C14" s="53" t="s">
        <v>147</v>
      </c>
      <c r="D14" s="53" t="s">
        <v>148</v>
      </c>
      <c r="E14" s="53" t="s">
        <v>149</v>
      </c>
    </row>
    <row r="15" spans="1:14" x14ac:dyDescent="0.4">
      <c r="A15" s="53" t="s">
        <v>140</v>
      </c>
      <c r="B15" s="54">
        <v>43454.62740740741</v>
      </c>
      <c r="C15" s="53" t="s">
        <v>147</v>
      </c>
      <c r="D15" s="53" t="s">
        <v>148</v>
      </c>
      <c r="E15" s="53" t="s">
        <v>149</v>
      </c>
    </row>
    <row r="16" spans="1:14" x14ac:dyDescent="0.4">
      <c r="A16" s="53" t="s">
        <v>141</v>
      </c>
      <c r="B16" s="54">
        <v>43454.62740740741</v>
      </c>
      <c r="C16" s="53" t="s">
        <v>147</v>
      </c>
      <c r="D16" s="53" t="s">
        <v>148</v>
      </c>
      <c r="E16" s="53" t="s">
        <v>149</v>
      </c>
    </row>
    <row r="17" spans="1:9" x14ac:dyDescent="0.4">
      <c r="A17" s="53" t="s">
        <v>142</v>
      </c>
      <c r="B17" s="54">
        <v>43471.701018518521</v>
      </c>
      <c r="C17" s="53" t="s">
        <v>147</v>
      </c>
      <c r="D17" s="53" t="s">
        <v>148</v>
      </c>
      <c r="E17" s="53" t="s">
        <v>149</v>
      </c>
      <c r="F17" s="53" t="s">
        <v>150</v>
      </c>
      <c r="G17" s="53" t="s">
        <v>151</v>
      </c>
      <c r="H17" s="53" t="s">
        <v>152</v>
      </c>
    </row>
    <row r="18" spans="1:9" x14ac:dyDescent="0.4">
      <c r="A18" s="53" t="s">
        <v>143</v>
      </c>
      <c r="B18" s="54">
        <v>43454.62740740741</v>
      </c>
      <c r="C18" s="53" t="s">
        <v>147</v>
      </c>
      <c r="D18" s="53" t="s">
        <v>148</v>
      </c>
      <c r="E18" s="53" t="s">
        <v>149</v>
      </c>
      <c r="F18" s="53" t="s">
        <v>150</v>
      </c>
      <c r="G18" s="53" t="s">
        <v>151</v>
      </c>
      <c r="H18" s="53" t="s">
        <v>152</v>
      </c>
    </row>
    <row r="19" spans="1:9" x14ac:dyDescent="0.4">
      <c r="A19" s="53" t="s">
        <v>144</v>
      </c>
      <c r="B19" s="54">
        <v>43454.62740740741</v>
      </c>
      <c r="C19" s="53" t="s">
        <v>147</v>
      </c>
      <c r="D19" s="53" t="s">
        <v>148</v>
      </c>
    </row>
    <row r="20" spans="1:9" x14ac:dyDescent="0.4">
      <c r="A20" s="53" t="s">
        <v>145</v>
      </c>
      <c r="B20" s="54">
        <v>43471.701018518521</v>
      </c>
      <c r="C20" s="53" t="s">
        <v>147</v>
      </c>
      <c r="D20" s="53" t="s">
        <v>148</v>
      </c>
      <c r="E20" s="53" t="s">
        <v>149</v>
      </c>
    </row>
    <row r="21" spans="1:9" x14ac:dyDescent="0.4">
      <c r="A21" s="53" t="s">
        <v>146</v>
      </c>
      <c r="B21" s="54">
        <v>43484.832372685189</v>
      </c>
      <c r="C21" s="53" t="s">
        <v>147</v>
      </c>
      <c r="D21" s="53" t="s">
        <v>148</v>
      </c>
      <c r="E21" s="53" t="s">
        <v>149</v>
      </c>
      <c r="F21" s="53" t="s">
        <v>150</v>
      </c>
    </row>
    <row r="22" spans="1:9" x14ac:dyDescent="0.4">
      <c r="A22" s="53" t="s">
        <v>175</v>
      </c>
      <c r="B22" s="54">
        <v>43454.62740740741</v>
      </c>
      <c r="C22" s="53" t="s">
        <v>147</v>
      </c>
      <c r="D22" s="53" t="s">
        <v>148</v>
      </c>
      <c r="E22" s="53" t="s">
        <v>149</v>
      </c>
      <c r="F22" s="53" t="s">
        <v>150</v>
      </c>
    </row>
    <row r="23" spans="1:9" x14ac:dyDescent="0.4">
      <c r="A23" s="53" t="s">
        <v>176</v>
      </c>
      <c r="B23" s="54">
        <v>43454.62740740741</v>
      </c>
      <c r="C23" s="53" t="s">
        <v>147</v>
      </c>
      <c r="D23" s="53" t="s">
        <v>148</v>
      </c>
      <c r="E23" s="53" t="s">
        <v>149</v>
      </c>
      <c r="F23" s="53" t="s">
        <v>150</v>
      </c>
      <c r="G23" s="53" t="s">
        <v>151</v>
      </c>
      <c r="H23" s="53" t="s">
        <v>152</v>
      </c>
      <c r="I23" s="53" t="s">
        <v>153</v>
      </c>
    </row>
    <row r="24" spans="1:9" x14ac:dyDescent="0.4">
      <c r="A24" s="53" t="s">
        <v>177</v>
      </c>
      <c r="B24" s="54">
        <v>43454.62740740741</v>
      </c>
      <c r="C24" s="53" t="s">
        <v>147</v>
      </c>
      <c r="D24" s="53" t="s">
        <v>148</v>
      </c>
      <c r="E24" s="53" t="s">
        <v>149</v>
      </c>
    </row>
    <row r="25" spans="1:9" x14ac:dyDescent="0.4">
      <c r="A25" s="53" t="s">
        <v>178</v>
      </c>
      <c r="B25" s="54">
        <v>43454.62740740741</v>
      </c>
      <c r="C25" s="53" t="s">
        <v>147</v>
      </c>
      <c r="D25" s="53" t="s">
        <v>148</v>
      </c>
      <c r="E25" s="53" t="s">
        <v>149</v>
      </c>
      <c r="F25" s="53" t="s">
        <v>150</v>
      </c>
      <c r="G25" s="53" t="s">
        <v>151</v>
      </c>
      <c r="H25" s="53" t="s">
        <v>152</v>
      </c>
    </row>
    <row r="26" spans="1:9" x14ac:dyDescent="0.4">
      <c r="A26" s="53" t="s">
        <v>179</v>
      </c>
      <c r="B26" s="54">
        <v>43454.62740740741</v>
      </c>
      <c r="C26" s="53" t="s">
        <v>147</v>
      </c>
      <c r="D26" s="53" t="s">
        <v>148</v>
      </c>
    </row>
    <row r="27" spans="1:9" x14ac:dyDescent="0.4">
      <c r="A27" s="53" t="s">
        <v>180</v>
      </c>
      <c r="B27" s="54">
        <v>43454.62740740741</v>
      </c>
      <c r="C27" s="53" t="s">
        <v>147</v>
      </c>
      <c r="D27" s="53" t="s">
        <v>148</v>
      </c>
    </row>
    <row r="28" spans="1:9" x14ac:dyDescent="0.4">
      <c r="A28" s="53" t="s">
        <v>181</v>
      </c>
      <c r="B28" s="54">
        <v>43454.62740740741</v>
      </c>
      <c r="C28" s="53" t="s">
        <v>147</v>
      </c>
      <c r="D28" s="53" t="s">
        <v>148</v>
      </c>
      <c r="E28" s="53" t="s">
        <v>149</v>
      </c>
      <c r="F28" s="53" t="s">
        <v>150</v>
      </c>
    </row>
    <row r="29" spans="1:9" x14ac:dyDescent="0.4">
      <c r="A29" s="53" t="s">
        <v>182</v>
      </c>
      <c r="B29" s="54">
        <v>43455.084918981483</v>
      </c>
      <c r="C29" s="53" t="s">
        <v>147</v>
      </c>
      <c r="D29" s="53" t="s">
        <v>148</v>
      </c>
      <c r="E29" s="53" t="s">
        <v>149</v>
      </c>
      <c r="F29" s="53" t="s">
        <v>150</v>
      </c>
      <c r="G29" s="53" t="s">
        <v>151</v>
      </c>
      <c r="H29" s="53" t="s">
        <v>152</v>
      </c>
    </row>
    <row r="30" spans="1:9" x14ac:dyDescent="0.4">
      <c r="A30" s="53" t="s">
        <v>183</v>
      </c>
      <c r="B30" s="54">
        <v>43456.147789351853</v>
      </c>
      <c r="C30" s="53" t="s">
        <v>147</v>
      </c>
      <c r="D30" s="53" t="s">
        <v>148</v>
      </c>
      <c r="E30" s="53" t="s">
        <v>149</v>
      </c>
      <c r="F30" s="53" t="s">
        <v>150</v>
      </c>
      <c r="G30" s="53" t="s">
        <v>151</v>
      </c>
    </row>
    <row r="31" spans="1:9" x14ac:dyDescent="0.4">
      <c r="A31" s="53" t="s">
        <v>184</v>
      </c>
      <c r="B31" s="54">
        <v>43471.8909375</v>
      </c>
      <c r="C31" s="53" t="s">
        <v>147</v>
      </c>
      <c r="D31" s="53" t="s">
        <v>148</v>
      </c>
      <c r="E31" s="53" t="s">
        <v>149</v>
      </c>
      <c r="F31" s="53" t="s">
        <v>150</v>
      </c>
    </row>
    <row r="32" spans="1:9" x14ac:dyDescent="0.4">
      <c r="A32" s="53" t="s">
        <v>185</v>
      </c>
      <c r="B32" s="54">
        <v>43475.056238425925</v>
      </c>
      <c r="C32" s="53" t="s">
        <v>147</v>
      </c>
    </row>
    <row r="33" spans="1:10" x14ac:dyDescent="0.4">
      <c r="A33" s="53" t="s">
        <v>186</v>
      </c>
      <c r="B33" s="54">
        <v>43478.456446759257</v>
      </c>
      <c r="C33" s="53" t="s">
        <v>147</v>
      </c>
      <c r="D33" s="53" t="s">
        <v>148</v>
      </c>
      <c r="E33" s="53" t="s">
        <v>149</v>
      </c>
    </row>
    <row r="34" spans="1:10" x14ac:dyDescent="0.4">
      <c r="A34" s="53" t="s">
        <v>187</v>
      </c>
      <c r="B34" s="54">
        <v>43479.152256944442</v>
      </c>
      <c r="C34" s="53" t="s">
        <v>147</v>
      </c>
      <c r="D34" s="53" t="s">
        <v>148</v>
      </c>
      <c r="E34" s="53" t="s">
        <v>149</v>
      </c>
      <c r="F34" s="53" t="s">
        <v>150</v>
      </c>
      <c r="G34" s="53" t="s">
        <v>151</v>
      </c>
      <c r="H34" s="53" t="s">
        <v>152</v>
      </c>
      <c r="I34" s="53" t="s">
        <v>153</v>
      </c>
      <c r="J34" s="53" t="s">
        <v>154</v>
      </c>
    </row>
    <row r="35" spans="1:10" x14ac:dyDescent="0.4">
      <c r="A35" s="53" t="s">
        <v>188</v>
      </c>
      <c r="B35" s="54">
        <v>43480.04891203704</v>
      </c>
      <c r="C35" s="53" t="s">
        <v>147</v>
      </c>
      <c r="D35" s="53" t="s">
        <v>148</v>
      </c>
      <c r="E35" s="53" t="s">
        <v>149</v>
      </c>
      <c r="F35" s="53" t="s">
        <v>150</v>
      </c>
      <c r="G35" s="53" t="s">
        <v>151</v>
      </c>
      <c r="H35" s="53" t="s">
        <v>152</v>
      </c>
      <c r="I35" s="53" t="s">
        <v>153</v>
      </c>
      <c r="J35" s="53" t="s">
        <v>154</v>
      </c>
    </row>
    <row r="36" spans="1:10" x14ac:dyDescent="0.4">
      <c r="A36" s="53" t="s">
        <v>189</v>
      </c>
      <c r="B36" s="54">
        <v>43481.046527777777</v>
      </c>
      <c r="C36" s="53" t="s">
        <v>147</v>
      </c>
      <c r="D36" s="53" t="s">
        <v>148</v>
      </c>
      <c r="E36" s="53" t="s">
        <v>149</v>
      </c>
    </row>
    <row r="37" spans="1:10" x14ac:dyDescent="0.4">
      <c r="A37" s="53" t="s">
        <v>190</v>
      </c>
      <c r="B37" s="54">
        <v>43482.020208333335</v>
      </c>
      <c r="C37" s="53" t="s">
        <v>147</v>
      </c>
      <c r="D37" s="53" t="s">
        <v>148</v>
      </c>
    </row>
    <row r="38" spans="1:10" x14ac:dyDescent="0.4">
      <c r="A38" s="53" t="s">
        <v>191</v>
      </c>
      <c r="B38" s="54">
        <v>43483.045300925929</v>
      </c>
      <c r="C38" s="53" t="s">
        <v>147</v>
      </c>
      <c r="D38" s="53" t="s">
        <v>148</v>
      </c>
      <c r="E38" s="53" t="s">
        <v>149</v>
      </c>
      <c r="F38" s="53" t="s">
        <v>150</v>
      </c>
      <c r="G38" s="53" t="s">
        <v>151</v>
      </c>
    </row>
    <row r="39" spans="1:10" x14ac:dyDescent="0.4">
      <c r="A39" s="53" t="s">
        <v>192</v>
      </c>
      <c r="B39" s="54">
        <v>43484.815625000003</v>
      </c>
      <c r="C39" s="53" t="s">
        <v>147</v>
      </c>
      <c r="D39" s="53" t="s">
        <v>148</v>
      </c>
      <c r="E39" s="53" t="s">
        <v>149</v>
      </c>
      <c r="F39" s="53" t="s">
        <v>150</v>
      </c>
      <c r="G39" s="53" t="s">
        <v>151</v>
      </c>
      <c r="H39" s="53" t="s">
        <v>152</v>
      </c>
    </row>
    <row r="40" spans="1:10" x14ac:dyDescent="0.4">
      <c r="A40" s="53" t="s">
        <v>193</v>
      </c>
      <c r="B40" s="54">
        <v>43485.111226851855</v>
      </c>
      <c r="C40" s="53" t="s">
        <v>147</v>
      </c>
      <c r="D40" s="53" t="s">
        <v>148</v>
      </c>
      <c r="E40" s="53" t="s">
        <v>149</v>
      </c>
      <c r="F40" s="53" t="s">
        <v>150</v>
      </c>
    </row>
    <row r="41" spans="1:10" x14ac:dyDescent="0.4">
      <c r="A41" s="53" t="s">
        <v>194</v>
      </c>
      <c r="B41" s="54">
        <v>43486.066643518519</v>
      </c>
      <c r="C41" s="53" t="s">
        <v>147</v>
      </c>
      <c r="D41" s="53" t="s">
        <v>148</v>
      </c>
      <c r="E41" s="53" t="s">
        <v>149</v>
      </c>
      <c r="F41" s="53" t="s">
        <v>150</v>
      </c>
    </row>
    <row r="42" spans="1:10" x14ac:dyDescent="0.4">
      <c r="A42" s="53" t="s">
        <v>195</v>
      </c>
      <c r="B42" s="54">
        <v>43487.036203703705</v>
      </c>
      <c r="C42" s="53" t="s">
        <v>147</v>
      </c>
      <c r="D42" s="53" t="s">
        <v>148</v>
      </c>
      <c r="E42" s="53" t="s">
        <v>149</v>
      </c>
      <c r="F42" s="53" t="s">
        <v>150</v>
      </c>
      <c r="G42" s="53" t="s">
        <v>151</v>
      </c>
      <c r="H42" s="53" t="s">
        <v>152</v>
      </c>
      <c r="I42" s="53" t="s">
        <v>153</v>
      </c>
    </row>
    <row r="43" spans="1:10" x14ac:dyDescent="0.4">
      <c r="A43" s="53" t="s">
        <v>196</v>
      </c>
      <c r="B43" s="54">
        <v>43488.059837962966</v>
      </c>
      <c r="C43" s="53" t="s">
        <v>147</v>
      </c>
      <c r="D43" s="53" t="s">
        <v>148</v>
      </c>
      <c r="E43" s="53" t="s">
        <v>149</v>
      </c>
      <c r="F43" s="53" t="s">
        <v>150</v>
      </c>
      <c r="G43" s="53" t="s">
        <v>151</v>
      </c>
      <c r="H43" s="53" t="s">
        <v>152</v>
      </c>
      <c r="I43" s="53" t="s">
        <v>153</v>
      </c>
    </row>
    <row r="44" spans="1:10" x14ac:dyDescent="0.4">
      <c r="A44" s="53" t="s">
        <v>197</v>
      </c>
      <c r="B44" s="54">
        <v>43489.041319444441</v>
      </c>
      <c r="C44" s="53" t="s">
        <v>147</v>
      </c>
      <c r="D44" s="53" t="s">
        <v>148</v>
      </c>
      <c r="E44" s="53" t="s">
        <v>149</v>
      </c>
    </row>
    <row r="45" spans="1:10" x14ac:dyDescent="0.4">
      <c r="A45" s="53" t="s">
        <v>198</v>
      </c>
      <c r="B45" s="54">
        <v>43491.152187500003</v>
      </c>
      <c r="C45" s="53" t="s">
        <v>147</v>
      </c>
      <c r="D45" s="53" t="s">
        <v>148</v>
      </c>
      <c r="E45" s="53" t="s">
        <v>149</v>
      </c>
      <c r="F45" s="53" t="s">
        <v>150</v>
      </c>
      <c r="G45" s="53" t="s">
        <v>151</v>
      </c>
      <c r="H45" s="53" t="s">
        <v>152</v>
      </c>
    </row>
    <row r="46" spans="1:10" x14ac:dyDescent="0.4">
      <c r="A46" s="53" t="s">
        <v>199</v>
      </c>
      <c r="B46" s="54">
        <v>43492.105717592596</v>
      </c>
      <c r="C46" s="53" t="s">
        <v>147</v>
      </c>
      <c r="D46" s="53" t="s">
        <v>148</v>
      </c>
      <c r="E46" s="53" t="s">
        <v>149</v>
      </c>
      <c r="F46" s="53" t="s">
        <v>150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6015B-CC38-4F9A-86D3-8B11074C6D5B}">
  <sheetPr codeName="Sheet4"/>
  <dimension ref="A1:H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5" bestFit="1" customWidth="1"/>
    <col min="6" max="6" width="11" style="16" bestFit="1" customWidth="1"/>
    <col min="7" max="8" width="9" style="1" customWidth="1"/>
    <col min="9" max="16384" width="9" style="1"/>
  </cols>
  <sheetData>
    <row r="1" spans="1:8" x14ac:dyDescent="0.4">
      <c r="A1" s="38" t="s">
        <v>0</v>
      </c>
      <c r="B1" s="67" t="s">
        <v>200</v>
      </c>
      <c r="C1" s="68"/>
      <c r="E1" s="48" t="s">
        <v>172</v>
      </c>
      <c r="F1" s="58" t="s">
        <v>116</v>
      </c>
      <c r="G1" s="57" t="s">
        <v>117</v>
      </c>
      <c r="H1" s="58" t="s">
        <v>118</v>
      </c>
    </row>
    <row r="2" spans="1:8" x14ac:dyDescent="0.4">
      <c r="A2" s="39" t="s">
        <v>9</v>
      </c>
      <c r="B2" s="63">
        <v>558</v>
      </c>
      <c r="C2" s="64"/>
      <c r="E2" s="49" t="s">
        <v>63</v>
      </c>
      <c r="F2" s="45" t="s">
        <v>17</v>
      </c>
      <c r="G2" s="31">
        <v>461</v>
      </c>
      <c r="H2" s="6">
        <f>IF(B$25=0,0,G2/B$25)</f>
        <v>0.54044548651817115</v>
      </c>
    </row>
    <row r="3" spans="1:8" x14ac:dyDescent="0.4">
      <c r="A3" s="40" t="s">
        <v>8</v>
      </c>
      <c r="B3" s="69">
        <v>4233</v>
      </c>
      <c r="C3" s="70"/>
      <c r="E3" s="50" t="s">
        <v>64</v>
      </c>
      <c r="F3" s="46" t="s">
        <v>18</v>
      </c>
      <c r="G3" s="32">
        <v>104</v>
      </c>
      <c r="H3" s="9">
        <f t="shared" ref="H2:H51" si="0">IF(B$25=0,0,G3/B$25)</f>
        <v>0.12192262602579132</v>
      </c>
    </row>
    <row r="4" spans="1:8" x14ac:dyDescent="0.4">
      <c r="A4" s="40" t="s">
        <v>6</v>
      </c>
      <c r="B4" s="71">
        <v>-4.9999999999999858</v>
      </c>
      <c r="C4" s="72"/>
      <c r="E4" s="50" t="s">
        <v>65</v>
      </c>
      <c r="F4" s="46" t="s">
        <v>19</v>
      </c>
      <c r="G4" s="32">
        <v>605</v>
      </c>
      <c r="H4" s="9">
        <f t="shared" si="0"/>
        <v>0.70926143024618993</v>
      </c>
    </row>
    <row r="5" spans="1:8" x14ac:dyDescent="0.4">
      <c r="A5" s="40" t="s">
        <v>7</v>
      </c>
      <c r="B5" s="71">
        <f>IF(B$2=0,0,B$4/B$2)</f>
        <v>-8.9605734767024842E-3</v>
      </c>
      <c r="C5" s="72"/>
      <c r="E5" s="50" t="s">
        <v>66</v>
      </c>
      <c r="F5" s="46" t="s">
        <v>20</v>
      </c>
      <c r="G5" s="32">
        <v>255</v>
      </c>
      <c r="H5" s="9">
        <f t="shared" si="0"/>
        <v>0.2989449003516999</v>
      </c>
    </row>
    <row r="6" spans="1:8" x14ac:dyDescent="0.4">
      <c r="A6" s="40" t="s">
        <v>1</v>
      </c>
      <c r="B6" s="61">
        <f>IF(B$2=0,0,(B$7*1+B$8*2+B$9*3)/B$2)</f>
        <v>2</v>
      </c>
      <c r="C6" s="62"/>
      <c r="E6" s="50" t="s">
        <v>67</v>
      </c>
      <c r="F6" s="46" t="s">
        <v>21</v>
      </c>
      <c r="G6" s="32">
        <v>767</v>
      </c>
      <c r="H6" s="9">
        <f t="shared" si="0"/>
        <v>0.89917936694021106</v>
      </c>
    </row>
    <row r="7" spans="1:8" x14ac:dyDescent="0.4">
      <c r="A7" s="40" t="s">
        <v>2</v>
      </c>
      <c r="B7" s="32">
        <v>186</v>
      </c>
      <c r="C7" s="9">
        <f>IF(B$2=0,0,B7/B$2)</f>
        <v>0.33333333333333331</v>
      </c>
      <c r="E7" s="50" t="s">
        <v>68</v>
      </c>
      <c r="F7" s="46" t="s">
        <v>12</v>
      </c>
      <c r="G7" s="32">
        <v>255</v>
      </c>
      <c r="H7" s="9">
        <f t="shared" si="0"/>
        <v>0.2989449003516999</v>
      </c>
    </row>
    <row r="8" spans="1:8" x14ac:dyDescent="0.4">
      <c r="A8" s="40" t="s">
        <v>3</v>
      </c>
      <c r="B8" s="32">
        <v>186</v>
      </c>
      <c r="C8" s="9">
        <f t="shared" ref="C8:C9" si="1">IF(B$2=0,0,B8/B$2)</f>
        <v>0.33333333333333331</v>
      </c>
      <c r="E8" s="50" t="s">
        <v>69</v>
      </c>
      <c r="F8" s="46" t="s">
        <v>22</v>
      </c>
      <c r="G8" s="32">
        <v>126</v>
      </c>
      <c r="H8" s="9">
        <f t="shared" si="0"/>
        <v>0.1477139507620164</v>
      </c>
    </row>
    <row r="9" spans="1:8" x14ac:dyDescent="0.4">
      <c r="A9" s="41" t="s">
        <v>4</v>
      </c>
      <c r="B9" s="33">
        <v>186</v>
      </c>
      <c r="C9" s="11">
        <f t="shared" si="1"/>
        <v>0.33333333333333331</v>
      </c>
      <c r="E9" s="50" t="s">
        <v>70</v>
      </c>
      <c r="F9" s="46" t="s">
        <v>23</v>
      </c>
      <c r="G9" s="32">
        <v>81</v>
      </c>
      <c r="H9" s="9">
        <f t="shared" si="0"/>
        <v>9.495896834701055E-2</v>
      </c>
    </row>
    <row r="10" spans="1:8" x14ac:dyDescent="0.4">
      <c r="A10" s="41" t="s">
        <v>15</v>
      </c>
      <c r="B10" s="33">
        <v>90</v>
      </c>
      <c r="C10" s="11">
        <f>IF(B$2=0,0,B10/B$2)</f>
        <v>0.16129032258064516</v>
      </c>
      <c r="E10" s="50" t="s">
        <v>71</v>
      </c>
      <c r="F10" s="46" t="s">
        <v>24</v>
      </c>
      <c r="G10" s="32">
        <v>41</v>
      </c>
      <c r="H10" s="9">
        <f t="shared" si="0"/>
        <v>4.8065650644783117E-2</v>
      </c>
    </row>
    <row r="11" spans="1:8" x14ac:dyDescent="0.4">
      <c r="A11" s="42" t="s">
        <v>171</v>
      </c>
      <c r="B11" s="34">
        <v>90</v>
      </c>
      <c r="C11" s="14">
        <f>IF(B$2=0,0,B11/B$2)</f>
        <v>0.16129032258064516</v>
      </c>
      <c r="E11" s="50" t="s">
        <v>72</v>
      </c>
      <c r="F11" s="46" t="s">
        <v>25</v>
      </c>
      <c r="G11" s="32">
        <v>503</v>
      </c>
      <c r="H11" s="9">
        <f t="shared" si="0"/>
        <v>0.58968347010550992</v>
      </c>
    </row>
    <row r="12" spans="1:8" x14ac:dyDescent="0.4">
      <c r="A12" s="43" t="s">
        <v>123</v>
      </c>
      <c r="B12" s="35">
        <v>803</v>
      </c>
      <c r="C12" s="17">
        <f>IF(B$24=0,0,B12/B$24)</f>
        <v>0.28719599427753933</v>
      </c>
      <c r="E12" s="50" t="s">
        <v>73</v>
      </c>
      <c r="F12" s="46" t="s">
        <v>26</v>
      </c>
      <c r="G12" s="32">
        <v>7</v>
      </c>
      <c r="H12" s="9">
        <f t="shared" si="0"/>
        <v>8.2063305978898014E-3</v>
      </c>
    </row>
    <row r="13" spans="1:8" x14ac:dyDescent="0.4">
      <c r="A13" s="40" t="s">
        <v>119</v>
      </c>
      <c r="B13" s="32">
        <v>642</v>
      </c>
      <c r="C13" s="9">
        <f>IF(B$24=0,0,B13/B$24)</f>
        <v>0.2296137339055794</v>
      </c>
      <c r="E13" s="50" t="s">
        <v>74</v>
      </c>
      <c r="F13" s="46" t="s">
        <v>27</v>
      </c>
      <c r="G13" s="32">
        <v>2</v>
      </c>
      <c r="H13" s="9">
        <f t="shared" si="0"/>
        <v>2.3446658851113715E-3</v>
      </c>
    </row>
    <row r="14" spans="1:8" x14ac:dyDescent="0.4">
      <c r="A14" s="39" t="s">
        <v>124</v>
      </c>
      <c r="B14" s="31">
        <v>471</v>
      </c>
      <c r="C14" s="6">
        <f>IF(B$12=0,0,B14/B$12)</f>
        <v>0.58655043586550437</v>
      </c>
      <c r="E14" s="50" t="s">
        <v>75</v>
      </c>
      <c r="F14" s="46" t="s">
        <v>28</v>
      </c>
      <c r="G14" s="32">
        <v>5</v>
      </c>
      <c r="H14" s="9">
        <f t="shared" si="0"/>
        <v>5.8616647127784291E-3</v>
      </c>
    </row>
    <row r="15" spans="1:8" x14ac:dyDescent="0.4">
      <c r="A15" s="39" t="s">
        <v>125</v>
      </c>
      <c r="B15" s="31">
        <v>256</v>
      </c>
      <c r="C15" s="6">
        <f>IF(B$13=0,0,B15/B$13)</f>
        <v>0.39875389408099687</v>
      </c>
      <c r="E15" s="50" t="s">
        <v>76</v>
      </c>
      <c r="F15" s="46" t="s">
        <v>29</v>
      </c>
      <c r="G15" s="32">
        <v>0</v>
      </c>
      <c r="H15" s="9">
        <f t="shared" si="0"/>
        <v>0</v>
      </c>
    </row>
    <row r="16" spans="1:8" x14ac:dyDescent="0.4">
      <c r="A16" s="39" t="s">
        <v>10</v>
      </c>
      <c r="B16" s="31">
        <f>B18+B17</f>
        <v>1294</v>
      </c>
      <c r="C16" s="6">
        <f>IF(B$3=0,0,B16/B$3)</f>
        <v>0.30569336168202221</v>
      </c>
      <c r="E16" s="50" t="s">
        <v>77</v>
      </c>
      <c r="F16" s="46" t="s">
        <v>30</v>
      </c>
      <c r="G16" s="32">
        <v>7</v>
      </c>
      <c r="H16" s="9">
        <f t="shared" si="0"/>
        <v>8.2063305978898014E-3</v>
      </c>
    </row>
    <row r="17" spans="1:8" x14ac:dyDescent="0.4">
      <c r="A17" s="40" t="s">
        <v>12</v>
      </c>
      <c r="B17" s="32">
        <v>532</v>
      </c>
      <c r="C17" s="9">
        <f>IF(B$16=0,0,B17/B$16)</f>
        <v>0.41112828438948995</v>
      </c>
      <c r="E17" s="50" t="s">
        <v>78</v>
      </c>
      <c r="F17" s="46" t="s">
        <v>31</v>
      </c>
      <c r="G17" s="32">
        <v>25</v>
      </c>
      <c r="H17" s="9">
        <f t="shared" si="0"/>
        <v>2.9308323563892145E-2</v>
      </c>
    </row>
    <row r="18" spans="1:8" x14ac:dyDescent="0.4">
      <c r="A18" s="40" t="s">
        <v>11</v>
      </c>
      <c r="B18" s="32">
        <v>762</v>
      </c>
      <c r="C18" s="9">
        <f>IF(B$16=0,0,B18/B$16)</f>
        <v>0.58887171561050999</v>
      </c>
      <c r="E18" s="50" t="s">
        <v>79</v>
      </c>
      <c r="F18" s="46" t="s">
        <v>32</v>
      </c>
      <c r="G18" s="32">
        <v>11</v>
      </c>
      <c r="H18" s="9">
        <f t="shared" si="0"/>
        <v>1.2895662368112544E-2</v>
      </c>
    </row>
    <row r="19" spans="1:8" x14ac:dyDescent="0.4">
      <c r="A19" s="40" t="s">
        <v>13</v>
      </c>
      <c r="B19" s="32">
        <v>744</v>
      </c>
      <c r="C19" s="9">
        <f>IF(B$3=0,0,B19/B$3)</f>
        <v>0.17576187101346563</v>
      </c>
      <c r="E19" s="50" t="s">
        <v>80</v>
      </c>
      <c r="F19" s="46" t="s">
        <v>33</v>
      </c>
      <c r="G19" s="32">
        <v>0</v>
      </c>
      <c r="H19" s="9">
        <f t="shared" si="0"/>
        <v>0</v>
      </c>
    </row>
    <row r="20" spans="1:8" x14ac:dyDescent="0.4">
      <c r="A20" s="40" t="s">
        <v>5</v>
      </c>
      <c r="B20" s="36">
        <f>IF(B$16=0,0,C20/B$16)</f>
        <v>10216.846986089644</v>
      </c>
      <c r="C20" s="12">
        <v>13220600</v>
      </c>
      <c r="E20" s="50" t="s">
        <v>81</v>
      </c>
      <c r="F20" s="46" t="s">
        <v>34</v>
      </c>
      <c r="G20" s="32">
        <v>1</v>
      </c>
      <c r="H20" s="9">
        <f t="shared" si="0"/>
        <v>1.1723329425556857E-3</v>
      </c>
    </row>
    <row r="21" spans="1:8" x14ac:dyDescent="0.4">
      <c r="A21" s="42" t="s">
        <v>14</v>
      </c>
      <c r="B21" s="37">
        <f>IF(B$19=0,0,C21/B$19)</f>
        <v>-9509.0053763440865</v>
      </c>
      <c r="C21" s="30">
        <v>-7074700</v>
      </c>
      <c r="E21" s="50" t="s">
        <v>82</v>
      </c>
      <c r="F21" s="46" t="s">
        <v>35</v>
      </c>
      <c r="G21" s="32">
        <v>22</v>
      </c>
      <c r="H21" s="9">
        <f t="shared" si="0"/>
        <v>2.5791324736225089E-2</v>
      </c>
    </row>
    <row r="22" spans="1:8" x14ac:dyDescent="0.4">
      <c r="A22" s="39" t="s">
        <v>159</v>
      </c>
      <c r="B22" s="31">
        <v>1404</v>
      </c>
      <c r="C22" s="6">
        <f>IF(B$3=0,0,B22/B$3)</f>
        <v>0.3316796598157335</v>
      </c>
      <c r="E22" s="50" t="s">
        <v>83</v>
      </c>
      <c r="F22" s="46" t="s">
        <v>36</v>
      </c>
      <c r="G22" s="32">
        <v>0</v>
      </c>
      <c r="H22" s="9">
        <f t="shared" si="0"/>
        <v>0</v>
      </c>
    </row>
    <row r="23" spans="1:8" x14ac:dyDescent="0.4">
      <c r="A23" s="42" t="s">
        <v>160</v>
      </c>
      <c r="B23" s="34">
        <v>512</v>
      </c>
      <c r="C23" s="14">
        <f>IF(B$22=0,0,B23/B$22)</f>
        <v>0.36467236467236469</v>
      </c>
      <c r="E23" s="50" t="s">
        <v>84</v>
      </c>
      <c r="F23" s="46" t="s">
        <v>37</v>
      </c>
      <c r="G23" s="32">
        <v>37</v>
      </c>
      <c r="H23" s="9">
        <f t="shared" si="0"/>
        <v>4.3376318874560373E-2</v>
      </c>
    </row>
    <row r="24" spans="1:8" x14ac:dyDescent="0.4">
      <c r="A24" s="39" t="s">
        <v>121</v>
      </c>
      <c r="B24" s="63">
        <v>2796</v>
      </c>
      <c r="C24" s="64"/>
      <c r="E24" s="50" t="s">
        <v>85</v>
      </c>
      <c r="F24" s="46" t="s">
        <v>38</v>
      </c>
      <c r="G24" s="32">
        <v>3</v>
      </c>
      <c r="H24" s="9">
        <f t="shared" si="0"/>
        <v>3.5169988276670576E-3</v>
      </c>
    </row>
    <row r="25" spans="1:8" x14ac:dyDescent="0.4">
      <c r="A25" s="42" t="s">
        <v>122</v>
      </c>
      <c r="B25" s="65">
        <v>853</v>
      </c>
      <c r="C25" s="66"/>
      <c r="E25" s="50" t="s">
        <v>86</v>
      </c>
      <c r="F25" s="46" t="s">
        <v>39</v>
      </c>
      <c r="G25" s="32">
        <v>4</v>
      </c>
      <c r="H25" s="9">
        <f t="shared" si="0"/>
        <v>4.6893317702227429E-3</v>
      </c>
    </row>
    <row r="26" spans="1:8" x14ac:dyDescent="0.4">
      <c r="A26" s="55" t="s">
        <v>173</v>
      </c>
      <c r="B26" s="59">
        <v>10</v>
      </c>
      <c r="C26" s="60"/>
      <c r="E26" s="50" t="s">
        <v>87</v>
      </c>
      <c r="F26" s="46" t="s">
        <v>40</v>
      </c>
      <c r="G26" s="32">
        <v>59</v>
      </c>
      <c r="H26" s="9">
        <f t="shared" si="0"/>
        <v>6.9167643610785465E-2</v>
      </c>
    </row>
    <row r="27" spans="1:8" x14ac:dyDescent="0.4">
      <c r="A27" s="42" t="s">
        <v>174</v>
      </c>
      <c r="B27" s="56">
        <v>16</v>
      </c>
      <c r="C27" s="14">
        <f>IF(B$3=0,0,B27/B$3)</f>
        <v>3.7798251830852823E-3</v>
      </c>
      <c r="E27" s="50" t="s">
        <v>88</v>
      </c>
      <c r="F27" s="46" t="s">
        <v>41</v>
      </c>
      <c r="G27" s="32">
        <v>3</v>
      </c>
      <c r="H27" s="9">
        <f t="shared" si="0"/>
        <v>3.5169988276670576E-3</v>
      </c>
    </row>
    <row r="28" spans="1:8" x14ac:dyDescent="0.4">
      <c r="E28" s="50" t="s">
        <v>89</v>
      </c>
      <c r="F28" s="46" t="s">
        <v>42</v>
      </c>
      <c r="G28" s="32">
        <v>1</v>
      </c>
      <c r="H28" s="9">
        <f t="shared" si="0"/>
        <v>1.1723329425556857E-3</v>
      </c>
    </row>
    <row r="29" spans="1:8" x14ac:dyDescent="0.4">
      <c r="E29" s="50" t="s">
        <v>90</v>
      </c>
      <c r="F29" s="46" t="s">
        <v>43</v>
      </c>
      <c r="G29" s="32">
        <v>128</v>
      </c>
      <c r="H29" s="9">
        <f t="shared" si="0"/>
        <v>0.15005861664712777</v>
      </c>
    </row>
    <row r="30" spans="1:8" x14ac:dyDescent="0.4">
      <c r="E30" s="50" t="s">
        <v>91</v>
      </c>
      <c r="F30" s="46" t="s">
        <v>44</v>
      </c>
      <c r="G30" s="32">
        <v>1</v>
      </c>
      <c r="H30" s="9">
        <f t="shared" si="0"/>
        <v>1.1723329425556857E-3</v>
      </c>
    </row>
    <row r="31" spans="1:8" x14ac:dyDescent="0.4">
      <c r="E31" s="50" t="s">
        <v>92</v>
      </c>
      <c r="F31" s="46" t="s">
        <v>45</v>
      </c>
      <c r="G31" s="32">
        <v>14</v>
      </c>
      <c r="H31" s="9">
        <f t="shared" si="0"/>
        <v>1.6412661195779603E-2</v>
      </c>
    </row>
    <row r="32" spans="1:8" x14ac:dyDescent="0.4">
      <c r="E32" s="50" t="s">
        <v>93</v>
      </c>
      <c r="F32" s="46" t="s">
        <v>46</v>
      </c>
      <c r="G32" s="32">
        <v>5</v>
      </c>
      <c r="H32" s="9">
        <f t="shared" si="0"/>
        <v>5.8616647127784291E-3</v>
      </c>
    </row>
    <row r="33" spans="5:8" x14ac:dyDescent="0.4">
      <c r="E33" s="50" t="s">
        <v>94</v>
      </c>
      <c r="F33" s="46" t="s">
        <v>47</v>
      </c>
      <c r="G33" s="32">
        <v>2</v>
      </c>
      <c r="H33" s="9">
        <f t="shared" si="0"/>
        <v>2.3446658851113715E-3</v>
      </c>
    </row>
    <row r="34" spans="5:8" x14ac:dyDescent="0.4">
      <c r="E34" s="50" t="s">
        <v>95</v>
      </c>
      <c r="F34" s="46" t="s">
        <v>48</v>
      </c>
      <c r="G34" s="32">
        <v>0</v>
      </c>
      <c r="H34" s="9">
        <f t="shared" si="0"/>
        <v>0</v>
      </c>
    </row>
    <row r="35" spans="5:8" x14ac:dyDescent="0.4">
      <c r="E35" s="50" t="s">
        <v>96</v>
      </c>
      <c r="F35" s="46" t="s">
        <v>49</v>
      </c>
      <c r="G35" s="32">
        <v>1</v>
      </c>
      <c r="H35" s="9">
        <f t="shared" si="0"/>
        <v>1.1723329425556857E-3</v>
      </c>
    </row>
    <row r="36" spans="5:8" x14ac:dyDescent="0.4">
      <c r="E36" s="50" t="s">
        <v>97</v>
      </c>
      <c r="F36" s="46" t="s">
        <v>50</v>
      </c>
      <c r="G36" s="32">
        <v>0</v>
      </c>
      <c r="H36" s="9">
        <f t="shared" si="0"/>
        <v>0</v>
      </c>
    </row>
    <row r="37" spans="5:8" x14ac:dyDescent="0.4">
      <c r="E37" s="50" t="s">
        <v>98</v>
      </c>
      <c r="F37" s="46" t="s">
        <v>51</v>
      </c>
      <c r="G37" s="32">
        <v>0</v>
      </c>
      <c r="H37" s="9">
        <f t="shared" si="0"/>
        <v>0</v>
      </c>
    </row>
    <row r="38" spans="5:8" x14ac:dyDescent="0.4">
      <c r="E38" s="50" t="s">
        <v>99</v>
      </c>
      <c r="F38" s="46" t="s">
        <v>52</v>
      </c>
      <c r="G38" s="32">
        <v>0</v>
      </c>
      <c r="H38" s="9">
        <f t="shared" si="0"/>
        <v>0</v>
      </c>
    </row>
    <row r="39" spans="5:8" x14ac:dyDescent="0.4">
      <c r="E39" s="50" t="s">
        <v>100</v>
      </c>
      <c r="F39" s="46" t="s">
        <v>53</v>
      </c>
      <c r="G39" s="32">
        <v>0</v>
      </c>
      <c r="H39" s="9">
        <f t="shared" si="0"/>
        <v>0</v>
      </c>
    </row>
    <row r="40" spans="5:8" x14ac:dyDescent="0.4">
      <c r="E40" s="50" t="s">
        <v>101</v>
      </c>
      <c r="F40" s="46" t="s">
        <v>54</v>
      </c>
      <c r="G40" s="32">
        <v>0</v>
      </c>
      <c r="H40" s="9">
        <f t="shared" si="0"/>
        <v>0</v>
      </c>
    </row>
    <row r="41" spans="5:8" x14ac:dyDescent="0.4">
      <c r="E41" s="50" t="s">
        <v>102</v>
      </c>
      <c r="F41" s="46" t="s">
        <v>55</v>
      </c>
      <c r="G41" s="32">
        <v>0</v>
      </c>
      <c r="H41" s="9">
        <f t="shared" si="0"/>
        <v>0</v>
      </c>
    </row>
    <row r="42" spans="5:8" x14ac:dyDescent="0.4">
      <c r="E42" s="50" t="s">
        <v>103</v>
      </c>
      <c r="F42" s="46" t="s">
        <v>56</v>
      </c>
      <c r="G42" s="32">
        <v>0</v>
      </c>
      <c r="H42" s="9">
        <f t="shared" si="0"/>
        <v>0</v>
      </c>
    </row>
    <row r="43" spans="5:8" x14ac:dyDescent="0.4">
      <c r="E43" s="50" t="s">
        <v>104</v>
      </c>
      <c r="F43" s="46" t="s">
        <v>57</v>
      </c>
      <c r="G43" s="32">
        <v>0</v>
      </c>
      <c r="H43" s="9">
        <f t="shared" si="0"/>
        <v>0</v>
      </c>
    </row>
    <row r="44" spans="5:8" x14ac:dyDescent="0.4">
      <c r="E44" s="50" t="s">
        <v>105</v>
      </c>
      <c r="F44" s="46" t="s">
        <v>58</v>
      </c>
      <c r="G44" s="32">
        <v>0</v>
      </c>
      <c r="H44" s="9">
        <f t="shared" si="0"/>
        <v>0</v>
      </c>
    </row>
    <row r="45" spans="5:8" x14ac:dyDescent="0.4">
      <c r="E45" s="50" t="s">
        <v>106</v>
      </c>
      <c r="F45" s="46" t="s">
        <v>113</v>
      </c>
      <c r="G45" s="32">
        <v>0</v>
      </c>
      <c r="H45" s="9">
        <f t="shared" si="0"/>
        <v>0</v>
      </c>
    </row>
    <row r="46" spans="5:8" x14ac:dyDescent="0.4">
      <c r="E46" s="50" t="s">
        <v>107</v>
      </c>
      <c r="F46" s="46" t="s">
        <v>114</v>
      </c>
      <c r="G46" s="32">
        <v>1</v>
      </c>
      <c r="H46" s="9">
        <f t="shared" si="0"/>
        <v>1.1723329425556857E-3</v>
      </c>
    </row>
    <row r="47" spans="5:8" x14ac:dyDescent="0.4">
      <c r="E47" s="50" t="s">
        <v>108</v>
      </c>
      <c r="F47" s="46" t="s">
        <v>115</v>
      </c>
      <c r="G47" s="32">
        <v>0</v>
      </c>
      <c r="H47" s="9">
        <f t="shared" si="0"/>
        <v>0</v>
      </c>
    </row>
    <row r="48" spans="5:8" x14ac:dyDescent="0.4">
      <c r="E48" s="50" t="s">
        <v>109</v>
      </c>
      <c r="F48" s="46" t="s">
        <v>59</v>
      </c>
      <c r="G48" s="32">
        <v>0</v>
      </c>
      <c r="H48" s="9">
        <f t="shared" si="0"/>
        <v>0</v>
      </c>
    </row>
    <row r="49" spans="5:8" x14ac:dyDescent="0.4">
      <c r="E49" s="50" t="s">
        <v>110</v>
      </c>
      <c r="F49" s="46" t="s">
        <v>60</v>
      </c>
      <c r="G49" s="32">
        <v>0</v>
      </c>
      <c r="H49" s="9">
        <f t="shared" si="0"/>
        <v>0</v>
      </c>
    </row>
    <row r="50" spans="5:8" x14ac:dyDescent="0.4">
      <c r="E50" s="50" t="s">
        <v>111</v>
      </c>
      <c r="F50" s="46" t="s">
        <v>61</v>
      </c>
      <c r="G50" s="32">
        <v>0</v>
      </c>
      <c r="H50" s="9">
        <f t="shared" si="0"/>
        <v>0</v>
      </c>
    </row>
    <row r="51" spans="5:8" x14ac:dyDescent="0.4">
      <c r="E51" s="51" t="s">
        <v>112</v>
      </c>
      <c r="F51" s="47" t="s">
        <v>62</v>
      </c>
      <c r="G51" s="34">
        <v>0</v>
      </c>
      <c r="H51" s="14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8B3DC-5E5D-49C8-A83E-774F6063B586}">
  <dimension ref="A2:AB2"/>
  <sheetViews>
    <sheetView tabSelected="1" workbookViewId="0"/>
  </sheetViews>
  <sheetFormatPr defaultRowHeight="18.75" x14ac:dyDescent="0.4"/>
  <cols>
    <col min="2" max="3" width="7.125" bestFit="1" customWidth="1"/>
    <col min="4" max="4" width="7.125" customWidth="1"/>
    <col min="5" max="6" width="11" bestFit="1" customWidth="1"/>
    <col min="8" max="10" width="4.375" bestFit="1" customWidth="1"/>
    <col min="12" max="12" width="11" bestFit="1" customWidth="1"/>
    <col min="13" max="13" width="7.125" bestFit="1" customWidth="1"/>
    <col min="14" max="14" width="5.25" bestFit="1" customWidth="1"/>
    <col min="15" max="15" width="11" bestFit="1" customWidth="1"/>
    <col min="17" max="17" width="7.125" bestFit="1" customWidth="1"/>
    <col min="18" max="20" width="5.25" bestFit="1" customWidth="1"/>
    <col min="21" max="21" width="13" bestFit="1" customWidth="1"/>
    <col min="22" max="22" width="11" bestFit="1" customWidth="1"/>
    <col min="23" max="23" width="3.375" bestFit="1" customWidth="1"/>
    <col min="25" max="25" width="8.875" bestFit="1" customWidth="1"/>
    <col min="26" max="26" width="10.875" bestFit="1" customWidth="1"/>
    <col min="27" max="27" width="11" bestFit="1" customWidth="1"/>
  </cols>
  <sheetData>
    <row r="2" spans="1:28" s="73" customFormat="1" x14ac:dyDescent="0.4">
      <c r="A2" s="73" t="s">
        <v>209</v>
      </c>
      <c r="B2" s="73" t="s">
        <v>9</v>
      </c>
      <c r="C2" s="73" t="s">
        <v>8</v>
      </c>
      <c r="D2" s="73" t="s">
        <v>120</v>
      </c>
      <c r="E2" s="73" t="s">
        <v>6</v>
      </c>
      <c r="F2" s="73" t="s">
        <v>7</v>
      </c>
      <c r="G2" s="73" t="s">
        <v>1</v>
      </c>
      <c r="H2" s="73" t="s">
        <v>2</v>
      </c>
      <c r="I2" s="73" t="s">
        <v>3</v>
      </c>
      <c r="J2" s="73" t="s">
        <v>4</v>
      </c>
      <c r="K2" s="73" t="s">
        <v>201</v>
      </c>
      <c r="L2" s="73" t="s">
        <v>202</v>
      </c>
      <c r="M2" s="73" t="s">
        <v>203</v>
      </c>
      <c r="N2" s="73" t="s">
        <v>119</v>
      </c>
      <c r="O2" s="73" t="s">
        <v>124</v>
      </c>
      <c r="P2" s="73" t="s">
        <v>125</v>
      </c>
      <c r="Q2" s="73" t="s">
        <v>204</v>
      </c>
      <c r="R2" s="73" t="s">
        <v>205</v>
      </c>
      <c r="S2" s="73" t="s">
        <v>206</v>
      </c>
      <c r="T2" s="73" t="s">
        <v>13</v>
      </c>
      <c r="U2" s="73" t="s">
        <v>5</v>
      </c>
      <c r="V2" s="73" t="s">
        <v>14</v>
      </c>
      <c r="W2" s="73" t="s">
        <v>159</v>
      </c>
      <c r="X2" s="73" t="s">
        <v>160</v>
      </c>
      <c r="Y2" s="73" t="s">
        <v>121</v>
      </c>
      <c r="Z2" s="73" t="s">
        <v>207</v>
      </c>
      <c r="AA2" s="73" t="s">
        <v>173</v>
      </c>
      <c r="AB2" s="73" t="s">
        <v>208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95816-0582-4D37-A91E-75DCE74C2B0C}">
  <sheetPr codeName="Sheet5"/>
  <dimension ref="A1:P166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5" bestFit="1" customWidth="1"/>
    <col min="6" max="6" width="11" style="16" bestFit="1" customWidth="1"/>
    <col min="7" max="8" width="9" style="1" customWidth="1"/>
    <col min="9" max="9" width="3.5" style="1" customWidth="1"/>
    <col min="10" max="10" width="3.5" style="8" customWidth="1"/>
    <col min="11" max="11" width="9" style="10" customWidth="1"/>
    <col min="12" max="12" width="3.5" style="1" customWidth="1"/>
    <col min="13" max="14" width="9" style="1" customWidth="1"/>
    <col min="15" max="16" width="3.5" style="1" customWidth="1"/>
    <col min="17" max="16384" width="9" style="1"/>
  </cols>
  <sheetData>
    <row r="1" spans="1:16" x14ac:dyDescent="0.4">
      <c r="A1" s="38" t="s">
        <v>0</v>
      </c>
      <c r="B1" s="67" t="s">
        <v>127</v>
      </c>
      <c r="C1" s="68"/>
      <c r="E1" s="48" t="s">
        <v>172</v>
      </c>
      <c r="F1" s="58" t="s">
        <v>116</v>
      </c>
      <c r="G1" s="57" t="s">
        <v>117</v>
      </c>
      <c r="H1" s="58" t="s">
        <v>118</v>
      </c>
      <c r="J1" s="3" t="s">
        <v>16</v>
      </c>
      <c r="K1" s="4" t="s">
        <v>120</v>
      </c>
      <c r="M1" s="3" t="s">
        <v>167</v>
      </c>
      <c r="N1" s="58" t="s">
        <v>169</v>
      </c>
      <c r="O1" s="22" t="s">
        <v>170</v>
      </c>
      <c r="P1" s="18" t="s">
        <v>117</v>
      </c>
    </row>
    <row r="2" spans="1:16" x14ac:dyDescent="0.4">
      <c r="A2" s="39" t="s">
        <v>9</v>
      </c>
      <c r="B2" s="63">
        <v>164</v>
      </c>
      <c r="C2" s="64"/>
      <c r="E2" s="49" t="s">
        <v>67</v>
      </c>
      <c r="F2" s="45" t="s">
        <v>21</v>
      </c>
      <c r="G2" s="31">
        <v>244</v>
      </c>
      <c r="H2" s="6">
        <f t="shared" ref="H2:H33" si="0">IF(B$25=0,0,G2/B$25)</f>
        <v>0.90370370370370368</v>
      </c>
      <c r="J2" s="5">
        <v>0</v>
      </c>
      <c r="K2" s="7">
        <v>0</v>
      </c>
      <c r="M2" s="5" t="s">
        <v>161</v>
      </c>
      <c r="N2" s="26">
        <f t="shared" ref="N2:N7" si="1">IF(P2=0,0,O2/P2)</f>
        <v>1076.25</v>
      </c>
      <c r="O2" s="23">
        <v>172200</v>
      </c>
      <c r="P2" s="21">
        <v>160</v>
      </c>
    </row>
    <row r="3" spans="1:16" x14ac:dyDescent="0.4">
      <c r="A3" s="40" t="s">
        <v>8</v>
      </c>
      <c r="B3" s="69">
        <v>1225</v>
      </c>
      <c r="C3" s="70"/>
      <c r="E3" s="50" t="s">
        <v>65</v>
      </c>
      <c r="F3" s="46" t="s">
        <v>19</v>
      </c>
      <c r="G3" s="32">
        <v>178</v>
      </c>
      <c r="H3" s="9">
        <f t="shared" si="0"/>
        <v>0.65925925925925921</v>
      </c>
      <c r="J3" s="8">
        <v>1</v>
      </c>
      <c r="K3" s="10">
        <v>14</v>
      </c>
      <c r="M3" s="8" t="s">
        <v>162</v>
      </c>
      <c r="N3" s="27">
        <f t="shared" si="1"/>
        <v>1101.9607843137255</v>
      </c>
      <c r="O3" s="24">
        <v>168600</v>
      </c>
      <c r="P3" s="19">
        <v>153</v>
      </c>
    </row>
    <row r="4" spans="1:16" x14ac:dyDescent="0.4">
      <c r="A4" s="40" t="s">
        <v>6</v>
      </c>
      <c r="B4" s="71">
        <v>923.40000000000009</v>
      </c>
      <c r="C4" s="72"/>
      <c r="E4" s="50" t="s">
        <v>72</v>
      </c>
      <c r="F4" s="46" t="s">
        <v>25</v>
      </c>
      <c r="G4" s="32">
        <v>153</v>
      </c>
      <c r="H4" s="9">
        <f t="shared" si="0"/>
        <v>0.56666666666666665</v>
      </c>
      <c r="J4" s="8">
        <v>2</v>
      </c>
      <c r="K4" s="10">
        <v>13</v>
      </c>
      <c r="M4" s="8" t="s">
        <v>163</v>
      </c>
      <c r="N4" s="27">
        <f t="shared" si="1"/>
        <v>1217.7304964539007</v>
      </c>
      <c r="O4" s="24">
        <v>171700</v>
      </c>
      <c r="P4" s="19">
        <v>141</v>
      </c>
    </row>
    <row r="5" spans="1:16" x14ac:dyDescent="0.4">
      <c r="A5" s="40" t="s">
        <v>7</v>
      </c>
      <c r="B5" s="71">
        <f>IF(B$2=0,0,B$4/B$2)</f>
        <v>5.6304878048780491</v>
      </c>
      <c r="C5" s="72"/>
      <c r="E5" s="50" t="s">
        <v>63</v>
      </c>
      <c r="F5" s="46" t="s">
        <v>17</v>
      </c>
      <c r="G5" s="32">
        <v>136</v>
      </c>
      <c r="H5" s="9">
        <f t="shared" si="0"/>
        <v>0.50370370370370365</v>
      </c>
      <c r="J5" s="8">
        <v>3</v>
      </c>
      <c r="K5" s="10">
        <v>28.1</v>
      </c>
      <c r="M5" s="8" t="s">
        <v>164</v>
      </c>
      <c r="N5" s="27">
        <f t="shared" si="1"/>
        <v>1270.0787401574803</v>
      </c>
      <c r="O5" s="24">
        <v>161300</v>
      </c>
      <c r="P5" s="19">
        <v>127</v>
      </c>
    </row>
    <row r="6" spans="1:16" x14ac:dyDescent="0.4">
      <c r="A6" s="40" t="s">
        <v>1</v>
      </c>
      <c r="B6" s="61">
        <f>IF(B$2=0,0,(B$7*1+B$8*2+B$9*3)/B$2)</f>
        <v>1.7987804878048781</v>
      </c>
      <c r="C6" s="62"/>
      <c r="E6" s="50" t="s">
        <v>68</v>
      </c>
      <c r="F6" s="46" t="s">
        <v>12</v>
      </c>
      <c r="G6" s="32">
        <v>75</v>
      </c>
      <c r="H6" s="9">
        <f t="shared" si="0"/>
        <v>0.27777777777777779</v>
      </c>
      <c r="J6" s="8">
        <v>4</v>
      </c>
      <c r="K6" s="10">
        <v>112.30000000000001</v>
      </c>
      <c r="M6" s="8" t="s">
        <v>165</v>
      </c>
      <c r="N6" s="27">
        <f t="shared" si="1"/>
        <v>1126.851851851852</v>
      </c>
      <c r="O6" s="24">
        <v>121700</v>
      </c>
      <c r="P6" s="19">
        <v>108</v>
      </c>
    </row>
    <row r="7" spans="1:16" x14ac:dyDescent="0.4">
      <c r="A7" s="40" t="s">
        <v>2</v>
      </c>
      <c r="B7" s="32">
        <v>70</v>
      </c>
      <c r="C7" s="9">
        <f>IF(B$2=0,0,B7/B$2)</f>
        <v>0.42682926829268292</v>
      </c>
      <c r="E7" s="50" t="s">
        <v>66</v>
      </c>
      <c r="F7" s="46" t="s">
        <v>20</v>
      </c>
      <c r="G7" s="32">
        <v>68</v>
      </c>
      <c r="H7" s="9">
        <f t="shared" si="0"/>
        <v>0.25185185185185183</v>
      </c>
      <c r="J7" s="8">
        <v>5</v>
      </c>
      <c r="K7" s="10">
        <v>142.80000000000001</v>
      </c>
      <c r="M7" s="13" t="s">
        <v>166</v>
      </c>
      <c r="N7" s="28">
        <f t="shared" si="1"/>
        <v>1486.9047619047619</v>
      </c>
      <c r="O7" s="25">
        <v>124900</v>
      </c>
      <c r="P7" s="20">
        <v>84</v>
      </c>
    </row>
    <row r="8" spans="1:16" x14ac:dyDescent="0.4">
      <c r="A8" s="40" t="s">
        <v>3</v>
      </c>
      <c r="B8" s="32">
        <v>57</v>
      </c>
      <c r="C8" s="9">
        <f t="shared" ref="C8:C9" si="2">IF(B$2=0,0,B8/B$2)</f>
        <v>0.34756097560975607</v>
      </c>
      <c r="E8" s="50" t="s">
        <v>90</v>
      </c>
      <c r="F8" s="46" t="s">
        <v>43</v>
      </c>
      <c r="G8" s="32">
        <v>50</v>
      </c>
      <c r="H8" s="9">
        <f t="shared" si="0"/>
        <v>0.18518518518518517</v>
      </c>
      <c r="J8" s="8">
        <v>6</v>
      </c>
      <c r="K8" s="10">
        <v>95.800000000000011</v>
      </c>
    </row>
    <row r="9" spans="1:16" x14ac:dyDescent="0.4">
      <c r="A9" s="41" t="s">
        <v>4</v>
      </c>
      <c r="B9" s="33">
        <v>37</v>
      </c>
      <c r="C9" s="11">
        <f t="shared" si="2"/>
        <v>0.22560975609756098</v>
      </c>
      <c r="E9" s="50" t="s">
        <v>69</v>
      </c>
      <c r="F9" s="46" t="s">
        <v>22</v>
      </c>
      <c r="G9" s="32">
        <v>44</v>
      </c>
      <c r="H9" s="9">
        <f t="shared" si="0"/>
        <v>0.16296296296296298</v>
      </c>
      <c r="J9" s="8">
        <v>7</v>
      </c>
      <c r="K9" s="10">
        <v>90.700000000000017</v>
      </c>
    </row>
    <row r="10" spans="1:16" x14ac:dyDescent="0.4">
      <c r="A10" s="41" t="s">
        <v>15</v>
      </c>
      <c r="B10" s="33">
        <v>18</v>
      </c>
      <c r="C10" s="11">
        <f>IF(B$2=0,0,B10/B$2)</f>
        <v>0.10975609756097561</v>
      </c>
      <c r="E10" s="50" t="s">
        <v>64</v>
      </c>
      <c r="F10" s="46" t="s">
        <v>18</v>
      </c>
      <c r="G10" s="32">
        <v>28</v>
      </c>
      <c r="H10" s="9">
        <f t="shared" si="0"/>
        <v>0.1037037037037037</v>
      </c>
      <c r="J10" s="8">
        <v>8</v>
      </c>
      <c r="K10" s="10">
        <v>55.700000000000017</v>
      </c>
    </row>
    <row r="11" spans="1:16" x14ac:dyDescent="0.4">
      <c r="A11" s="42" t="s">
        <v>171</v>
      </c>
      <c r="B11" s="34">
        <v>32</v>
      </c>
      <c r="C11" s="14">
        <f>IF(B$2=0,0,B11/B$2)</f>
        <v>0.1951219512195122</v>
      </c>
      <c r="E11" s="50" t="s">
        <v>70</v>
      </c>
      <c r="F11" s="46" t="s">
        <v>23</v>
      </c>
      <c r="G11" s="32">
        <v>22</v>
      </c>
      <c r="H11" s="9">
        <f t="shared" si="0"/>
        <v>8.1481481481481488E-2</v>
      </c>
      <c r="J11" s="8">
        <v>9</v>
      </c>
      <c r="K11" s="10">
        <v>15.700000000000017</v>
      </c>
    </row>
    <row r="12" spans="1:16" x14ac:dyDescent="0.4">
      <c r="A12" s="43" t="s">
        <v>123</v>
      </c>
      <c r="B12" s="35">
        <v>217</v>
      </c>
      <c r="C12" s="17">
        <f>IF(B$24=0,0,B12/B$24)</f>
        <v>0.28477690288713908</v>
      </c>
      <c r="E12" s="50" t="s">
        <v>71</v>
      </c>
      <c r="F12" s="46" t="s">
        <v>24</v>
      </c>
      <c r="G12" s="32">
        <v>17</v>
      </c>
      <c r="H12" s="9">
        <f t="shared" si="0"/>
        <v>6.2962962962962957E-2</v>
      </c>
      <c r="J12" s="8">
        <v>10</v>
      </c>
      <c r="K12" s="10">
        <v>-15.799999999999983</v>
      </c>
    </row>
    <row r="13" spans="1:16" x14ac:dyDescent="0.4">
      <c r="A13" s="40" t="s">
        <v>119</v>
      </c>
      <c r="B13" s="32">
        <v>170</v>
      </c>
      <c r="C13" s="9">
        <f>IF(B$24=0,0,B13/B$24)</f>
        <v>0.2230971128608924</v>
      </c>
      <c r="E13" s="50" t="s">
        <v>87</v>
      </c>
      <c r="F13" s="46" t="s">
        <v>40</v>
      </c>
      <c r="G13" s="32">
        <v>14</v>
      </c>
      <c r="H13" s="9">
        <f t="shared" si="0"/>
        <v>5.185185185185185E-2</v>
      </c>
      <c r="J13" s="8">
        <v>11</v>
      </c>
      <c r="K13" s="10">
        <v>1.5000000000000178</v>
      </c>
    </row>
    <row r="14" spans="1:16" x14ac:dyDescent="0.4">
      <c r="A14" s="39" t="s">
        <v>124</v>
      </c>
      <c r="B14" s="31">
        <v>139</v>
      </c>
      <c r="C14" s="6">
        <f>IF(B$12=0,0,B14/B$12)</f>
        <v>0.64055299539170507</v>
      </c>
      <c r="E14" s="50" t="s">
        <v>84</v>
      </c>
      <c r="F14" s="46" t="s">
        <v>37</v>
      </c>
      <c r="G14" s="32">
        <v>9</v>
      </c>
      <c r="H14" s="9">
        <f t="shared" si="0"/>
        <v>3.3333333333333333E-2</v>
      </c>
      <c r="J14" s="8">
        <v>12</v>
      </c>
      <c r="K14" s="10">
        <v>14.300000000000018</v>
      </c>
    </row>
    <row r="15" spans="1:16" x14ac:dyDescent="0.4">
      <c r="A15" s="39" t="s">
        <v>125</v>
      </c>
      <c r="B15" s="31">
        <v>83</v>
      </c>
      <c r="C15" s="6">
        <f>IF(B$13=0,0,B15/B$13)</f>
        <v>0.48823529411764705</v>
      </c>
      <c r="E15" s="50" t="s">
        <v>82</v>
      </c>
      <c r="F15" s="46" t="s">
        <v>35</v>
      </c>
      <c r="G15" s="32">
        <v>6</v>
      </c>
      <c r="H15" s="9">
        <f t="shared" si="0"/>
        <v>2.2222222222222223E-2</v>
      </c>
      <c r="J15" s="8">
        <v>13</v>
      </c>
      <c r="K15" s="10">
        <v>70.300000000000011</v>
      </c>
    </row>
    <row r="16" spans="1:16" x14ac:dyDescent="0.4">
      <c r="A16" s="39" t="s">
        <v>10</v>
      </c>
      <c r="B16" s="31">
        <f>B18+B17</f>
        <v>429</v>
      </c>
      <c r="C16" s="6">
        <f>IF(B$3=0,0,B16/B$3)</f>
        <v>0.35020408163265304</v>
      </c>
      <c r="E16" s="50" t="s">
        <v>73</v>
      </c>
      <c r="F16" s="46" t="s">
        <v>26</v>
      </c>
      <c r="G16" s="32">
        <v>3</v>
      </c>
      <c r="H16" s="9">
        <f t="shared" si="0"/>
        <v>1.1111111111111112E-2</v>
      </c>
      <c r="J16" s="8">
        <v>14</v>
      </c>
      <c r="K16" s="10">
        <v>27.300000000000011</v>
      </c>
    </row>
    <row r="17" spans="1:11" x14ac:dyDescent="0.4">
      <c r="A17" s="40" t="s">
        <v>12</v>
      </c>
      <c r="B17" s="32">
        <v>163</v>
      </c>
      <c r="C17" s="9">
        <f>IF(B$16=0,0,B17/B$16)</f>
        <v>0.37995337995337997</v>
      </c>
      <c r="E17" s="50" t="s">
        <v>77</v>
      </c>
      <c r="F17" s="46" t="s">
        <v>30</v>
      </c>
      <c r="G17" s="32">
        <v>3</v>
      </c>
      <c r="H17" s="9">
        <f t="shared" si="0"/>
        <v>1.1111111111111112E-2</v>
      </c>
      <c r="J17" s="8">
        <v>15</v>
      </c>
      <c r="K17" s="10">
        <v>-8.6999999999999886</v>
      </c>
    </row>
    <row r="18" spans="1:11" x14ac:dyDescent="0.4">
      <c r="A18" s="40" t="s">
        <v>11</v>
      </c>
      <c r="B18" s="32">
        <v>266</v>
      </c>
      <c r="C18" s="9">
        <f>IF(B$16=0,0,B18/B$16)</f>
        <v>0.62004662004662003</v>
      </c>
      <c r="E18" s="50" t="s">
        <v>75</v>
      </c>
      <c r="F18" s="46" t="s">
        <v>28</v>
      </c>
      <c r="G18" s="32">
        <v>2</v>
      </c>
      <c r="H18" s="9">
        <f t="shared" si="0"/>
        <v>7.4074074074074077E-3</v>
      </c>
      <c r="J18" s="8">
        <v>16</v>
      </c>
      <c r="K18" s="10">
        <v>-7.099999999999989</v>
      </c>
    </row>
    <row r="19" spans="1:11" x14ac:dyDescent="0.4">
      <c r="A19" s="40" t="s">
        <v>13</v>
      </c>
      <c r="B19" s="32">
        <v>177</v>
      </c>
      <c r="C19" s="9">
        <f>IF(B$3=0,0,B19/B$3)</f>
        <v>0.14448979591836736</v>
      </c>
      <c r="E19" s="50" t="s">
        <v>79</v>
      </c>
      <c r="F19" s="46" t="s">
        <v>32</v>
      </c>
      <c r="G19" s="32">
        <v>2</v>
      </c>
      <c r="H19" s="9">
        <f t="shared" si="0"/>
        <v>7.4074074074074077E-3</v>
      </c>
      <c r="J19" s="8">
        <v>17</v>
      </c>
      <c r="K19" s="10">
        <v>-28.499999999999986</v>
      </c>
    </row>
    <row r="20" spans="1:11" x14ac:dyDescent="0.4">
      <c r="A20" s="40" t="s">
        <v>5</v>
      </c>
      <c r="B20" s="36">
        <f>IF(B$16=0,0,C20/B$16)</f>
        <v>9893.0069930069931</v>
      </c>
      <c r="C20" s="12">
        <v>4244100</v>
      </c>
      <c r="E20" s="50" t="s">
        <v>88</v>
      </c>
      <c r="F20" s="46" t="s">
        <v>41</v>
      </c>
      <c r="G20" s="32">
        <v>2</v>
      </c>
      <c r="H20" s="9">
        <f t="shared" si="0"/>
        <v>7.4074074074074077E-3</v>
      </c>
      <c r="J20" s="8">
        <v>18</v>
      </c>
      <c r="K20" s="10">
        <v>-14.599999999999985</v>
      </c>
    </row>
    <row r="21" spans="1:11" x14ac:dyDescent="0.4">
      <c r="A21" s="42" t="s">
        <v>14</v>
      </c>
      <c r="B21" s="37">
        <f>IF(B$19=0,0,C21/B$19)</f>
        <v>-9502.2598870056499</v>
      </c>
      <c r="C21" s="30">
        <v>-1681900</v>
      </c>
      <c r="E21" s="50" t="s">
        <v>92</v>
      </c>
      <c r="F21" s="46" t="s">
        <v>45</v>
      </c>
      <c r="G21" s="32">
        <v>2</v>
      </c>
      <c r="H21" s="9">
        <f t="shared" si="0"/>
        <v>7.4074074074074077E-3</v>
      </c>
      <c r="J21" s="8">
        <v>19</v>
      </c>
      <c r="K21" s="10">
        <v>41.600000000000016</v>
      </c>
    </row>
    <row r="22" spans="1:11" x14ac:dyDescent="0.4">
      <c r="A22" s="39" t="s">
        <v>159</v>
      </c>
      <c r="B22" s="31">
        <v>426</v>
      </c>
      <c r="C22" s="6">
        <f>IF(B$3=0,0,B22/B$3)</f>
        <v>0.34775510204081633</v>
      </c>
      <c r="E22" s="50" t="s">
        <v>93</v>
      </c>
      <c r="F22" s="46" t="s">
        <v>46</v>
      </c>
      <c r="G22" s="32">
        <v>2</v>
      </c>
      <c r="H22" s="9">
        <f t="shared" si="0"/>
        <v>7.4074074074074077E-3</v>
      </c>
      <c r="J22" s="8">
        <v>20</v>
      </c>
      <c r="K22" s="10">
        <v>66.800000000000011</v>
      </c>
    </row>
    <row r="23" spans="1:11" x14ac:dyDescent="0.4">
      <c r="A23" s="42" t="s">
        <v>160</v>
      </c>
      <c r="B23" s="34">
        <v>177</v>
      </c>
      <c r="C23" s="14">
        <f>IF(B$22=0,0,B23/B$22)</f>
        <v>0.41549295774647887</v>
      </c>
      <c r="E23" s="50" t="s">
        <v>74</v>
      </c>
      <c r="F23" s="46" t="s">
        <v>27</v>
      </c>
      <c r="G23" s="32">
        <v>1</v>
      </c>
      <c r="H23" s="9">
        <f t="shared" si="0"/>
        <v>3.7037037037037038E-3</v>
      </c>
      <c r="J23" s="8">
        <v>21</v>
      </c>
      <c r="K23" s="10">
        <v>122.30000000000001</v>
      </c>
    </row>
    <row r="24" spans="1:11" x14ac:dyDescent="0.4">
      <c r="A24" s="39" t="s">
        <v>121</v>
      </c>
      <c r="B24" s="63">
        <v>762</v>
      </c>
      <c r="C24" s="64"/>
      <c r="E24" s="50" t="s">
        <v>78</v>
      </c>
      <c r="F24" s="46" t="s">
        <v>31</v>
      </c>
      <c r="G24" s="32">
        <v>1</v>
      </c>
      <c r="H24" s="9">
        <f t="shared" si="0"/>
        <v>3.7037037037037038E-3</v>
      </c>
      <c r="J24" s="8">
        <v>22</v>
      </c>
      <c r="K24" s="10">
        <v>96.800000000000011</v>
      </c>
    </row>
    <row r="25" spans="1:11" x14ac:dyDescent="0.4">
      <c r="A25" s="42" t="s">
        <v>122</v>
      </c>
      <c r="B25" s="65">
        <v>270</v>
      </c>
      <c r="C25" s="66"/>
      <c r="E25" s="50" t="s">
        <v>86</v>
      </c>
      <c r="F25" s="46" t="s">
        <v>39</v>
      </c>
      <c r="G25" s="32">
        <v>1</v>
      </c>
      <c r="H25" s="9">
        <f t="shared" si="0"/>
        <v>3.7037037037037038E-3</v>
      </c>
      <c r="J25" s="8">
        <v>23</v>
      </c>
      <c r="K25" s="10">
        <v>120.50000000000001</v>
      </c>
    </row>
    <row r="26" spans="1:11" x14ac:dyDescent="0.4">
      <c r="A26" s="55" t="s">
        <v>173</v>
      </c>
      <c r="B26" s="59">
        <v>10</v>
      </c>
      <c r="C26" s="60"/>
      <c r="E26" s="50" t="s">
        <v>91</v>
      </c>
      <c r="F26" s="46" t="s">
        <v>44</v>
      </c>
      <c r="G26" s="32">
        <v>1</v>
      </c>
      <c r="H26" s="9">
        <f t="shared" si="0"/>
        <v>3.7037037037037038E-3</v>
      </c>
      <c r="J26" s="8">
        <v>24</v>
      </c>
      <c r="K26" s="10">
        <v>114.00000000000001</v>
      </c>
    </row>
    <row r="27" spans="1:11" x14ac:dyDescent="0.4">
      <c r="A27" s="42" t="s">
        <v>174</v>
      </c>
      <c r="B27" s="56">
        <v>1</v>
      </c>
      <c r="C27" s="14">
        <f>IF(B$3=0,0,B27/B$3)</f>
        <v>8.1632653061224493E-4</v>
      </c>
      <c r="E27" s="50" t="s">
        <v>96</v>
      </c>
      <c r="F27" s="46" t="s">
        <v>49</v>
      </c>
      <c r="G27" s="32">
        <v>1</v>
      </c>
      <c r="H27" s="9">
        <f t="shared" si="0"/>
        <v>3.7037037037037038E-3</v>
      </c>
      <c r="J27" s="8">
        <v>25</v>
      </c>
      <c r="K27" s="10">
        <v>81.300000000000011</v>
      </c>
    </row>
    <row r="28" spans="1:11" x14ac:dyDescent="0.4">
      <c r="E28" s="50" t="s">
        <v>107</v>
      </c>
      <c r="F28" s="46" t="s">
        <v>114</v>
      </c>
      <c r="G28" s="32">
        <v>1</v>
      </c>
      <c r="H28" s="9">
        <f t="shared" si="0"/>
        <v>3.7037037037037038E-3</v>
      </c>
      <c r="J28" s="8">
        <v>26</v>
      </c>
      <c r="K28" s="10">
        <v>104.20000000000002</v>
      </c>
    </row>
    <row r="29" spans="1:11" x14ac:dyDescent="0.4">
      <c r="E29" s="50" t="s">
        <v>76</v>
      </c>
      <c r="F29" s="46" t="s">
        <v>29</v>
      </c>
      <c r="G29" s="32">
        <v>0</v>
      </c>
      <c r="H29" s="9">
        <f t="shared" si="0"/>
        <v>0</v>
      </c>
      <c r="J29" s="8">
        <v>27</v>
      </c>
      <c r="K29" s="10">
        <v>68.200000000000017</v>
      </c>
    </row>
    <row r="30" spans="1:11" x14ac:dyDescent="0.4">
      <c r="E30" s="50" t="s">
        <v>80</v>
      </c>
      <c r="F30" s="46" t="s">
        <v>33</v>
      </c>
      <c r="G30" s="32">
        <v>0</v>
      </c>
      <c r="H30" s="9">
        <f t="shared" si="0"/>
        <v>0</v>
      </c>
      <c r="J30" s="8">
        <v>28</v>
      </c>
      <c r="K30" s="10">
        <v>125.20000000000002</v>
      </c>
    </row>
    <row r="31" spans="1:11" x14ac:dyDescent="0.4">
      <c r="E31" s="50" t="s">
        <v>81</v>
      </c>
      <c r="F31" s="46" t="s">
        <v>34</v>
      </c>
      <c r="G31" s="32">
        <v>0</v>
      </c>
      <c r="H31" s="9">
        <f t="shared" si="0"/>
        <v>0</v>
      </c>
      <c r="J31" s="8">
        <v>29</v>
      </c>
      <c r="K31" s="10">
        <v>116.80000000000001</v>
      </c>
    </row>
    <row r="32" spans="1:11" x14ac:dyDescent="0.4">
      <c r="E32" s="50" t="s">
        <v>83</v>
      </c>
      <c r="F32" s="46" t="s">
        <v>36</v>
      </c>
      <c r="G32" s="32">
        <v>0</v>
      </c>
      <c r="H32" s="9">
        <f t="shared" si="0"/>
        <v>0</v>
      </c>
      <c r="J32" s="8">
        <v>30</v>
      </c>
      <c r="K32" s="10">
        <v>108.4</v>
      </c>
    </row>
    <row r="33" spans="5:11" x14ac:dyDescent="0.4">
      <c r="E33" s="50" t="s">
        <v>85</v>
      </c>
      <c r="F33" s="46" t="s">
        <v>38</v>
      </c>
      <c r="G33" s="32">
        <v>0</v>
      </c>
      <c r="H33" s="9">
        <f t="shared" si="0"/>
        <v>0</v>
      </c>
      <c r="J33" s="8">
        <v>31</v>
      </c>
      <c r="K33" s="10">
        <v>160.69999999999999</v>
      </c>
    </row>
    <row r="34" spans="5:11" x14ac:dyDescent="0.4">
      <c r="E34" s="50" t="s">
        <v>89</v>
      </c>
      <c r="F34" s="46" t="s">
        <v>42</v>
      </c>
      <c r="G34" s="32">
        <v>0</v>
      </c>
      <c r="H34" s="9">
        <f t="shared" ref="H34:H51" si="3">IF(B$25=0,0,G34/B$25)</f>
        <v>0</v>
      </c>
      <c r="J34" s="8">
        <v>32</v>
      </c>
      <c r="K34" s="10">
        <v>146.69999999999999</v>
      </c>
    </row>
    <row r="35" spans="5:11" x14ac:dyDescent="0.4">
      <c r="E35" s="50" t="s">
        <v>94</v>
      </c>
      <c r="F35" s="46" t="s">
        <v>47</v>
      </c>
      <c r="G35" s="32">
        <v>0</v>
      </c>
      <c r="H35" s="9">
        <f t="shared" si="3"/>
        <v>0</v>
      </c>
      <c r="J35" s="8">
        <v>33</v>
      </c>
      <c r="K35" s="10">
        <v>206.39999999999998</v>
      </c>
    </row>
    <row r="36" spans="5:11" x14ac:dyDescent="0.4">
      <c r="E36" s="50" t="s">
        <v>95</v>
      </c>
      <c r="F36" s="46" t="s">
        <v>48</v>
      </c>
      <c r="G36" s="32">
        <v>0</v>
      </c>
      <c r="H36" s="9">
        <f t="shared" si="3"/>
        <v>0</v>
      </c>
      <c r="J36" s="8">
        <v>34</v>
      </c>
      <c r="K36" s="10">
        <v>255.39999999999998</v>
      </c>
    </row>
    <row r="37" spans="5:11" x14ac:dyDescent="0.4">
      <c r="E37" s="50" t="s">
        <v>97</v>
      </c>
      <c r="F37" s="46" t="s">
        <v>50</v>
      </c>
      <c r="G37" s="32">
        <v>0</v>
      </c>
      <c r="H37" s="9">
        <f t="shared" si="3"/>
        <v>0</v>
      </c>
      <c r="J37" s="8">
        <v>35</v>
      </c>
      <c r="K37" s="10">
        <v>241.39999999999998</v>
      </c>
    </row>
    <row r="38" spans="5:11" x14ac:dyDescent="0.4">
      <c r="E38" s="50" t="s">
        <v>98</v>
      </c>
      <c r="F38" s="46" t="s">
        <v>51</v>
      </c>
      <c r="G38" s="32">
        <v>0</v>
      </c>
      <c r="H38" s="9">
        <f t="shared" si="3"/>
        <v>0</v>
      </c>
      <c r="J38" s="8">
        <v>36</v>
      </c>
      <c r="K38" s="10">
        <v>237.99999999999997</v>
      </c>
    </row>
    <row r="39" spans="5:11" x14ac:dyDescent="0.4">
      <c r="E39" s="50" t="s">
        <v>99</v>
      </c>
      <c r="F39" s="46" t="s">
        <v>52</v>
      </c>
      <c r="G39" s="32">
        <v>0</v>
      </c>
      <c r="H39" s="9">
        <f t="shared" si="3"/>
        <v>0</v>
      </c>
      <c r="J39" s="8">
        <v>37</v>
      </c>
      <c r="K39" s="10">
        <v>221.89999999999998</v>
      </c>
    </row>
    <row r="40" spans="5:11" x14ac:dyDescent="0.4">
      <c r="E40" s="50" t="s">
        <v>100</v>
      </c>
      <c r="F40" s="46" t="s">
        <v>53</v>
      </c>
      <c r="G40" s="32">
        <v>0</v>
      </c>
      <c r="H40" s="9">
        <f t="shared" si="3"/>
        <v>0</v>
      </c>
      <c r="J40" s="8">
        <v>38</v>
      </c>
      <c r="K40" s="10">
        <v>241.99999999999997</v>
      </c>
    </row>
    <row r="41" spans="5:11" x14ac:dyDescent="0.4">
      <c r="E41" s="50" t="s">
        <v>101</v>
      </c>
      <c r="F41" s="46" t="s">
        <v>54</v>
      </c>
      <c r="G41" s="32">
        <v>0</v>
      </c>
      <c r="H41" s="9">
        <f t="shared" si="3"/>
        <v>0</v>
      </c>
      <c r="J41" s="8">
        <v>39</v>
      </c>
      <c r="K41" s="10">
        <v>192.39999999999998</v>
      </c>
    </row>
    <row r="42" spans="5:11" x14ac:dyDescent="0.4">
      <c r="E42" s="50" t="s">
        <v>102</v>
      </c>
      <c r="F42" s="46" t="s">
        <v>55</v>
      </c>
      <c r="G42" s="32">
        <v>0</v>
      </c>
      <c r="H42" s="9">
        <f t="shared" si="3"/>
        <v>0</v>
      </c>
      <c r="J42" s="8">
        <v>40</v>
      </c>
      <c r="K42" s="10">
        <v>184.2</v>
      </c>
    </row>
    <row r="43" spans="5:11" x14ac:dyDescent="0.4">
      <c r="E43" s="50" t="s">
        <v>103</v>
      </c>
      <c r="F43" s="46" t="s">
        <v>56</v>
      </c>
      <c r="G43" s="32">
        <v>0</v>
      </c>
      <c r="H43" s="9">
        <f t="shared" si="3"/>
        <v>0</v>
      </c>
      <c r="J43" s="8">
        <v>41</v>
      </c>
      <c r="K43" s="10">
        <v>178.2</v>
      </c>
    </row>
    <row r="44" spans="5:11" x14ac:dyDescent="0.4">
      <c r="E44" s="50" t="s">
        <v>104</v>
      </c>
      <c r="F44" s="46" t="s">
        <v>57</v>
      </c>
      <c r="G44" s="32">
        <v>0</v>
      </c>
      <c r="H44" s="9">
        <f t="shared" si="3"/>
        <v>0</v>
      </c>
      <c r="J44" s="8">
        <v>42</v>
      </c>
      <c r="K44" s="10">
        <v>142.79999999999998</v>
      </c>
    </row>
    <row r="45" spans="5:11" x14ac:dyDescent="0.4">
      <c r="E45" s="50" t="s">
        <v>105</v>
      </c>
      <c r="F45" s="46" t="s">
        <v>58</v>
      </c>
      <c r="G45" s="32">
        <v>0</v>
      </c>
      <c r="H45" s="9">
        <f t="shared" si="3"/>
        <v>0</v>
      </c>
      <c r="J45" s="8">
        <v>43</v>
      </c>
      <c r="K45" s="10">
        <v>135.29999999999998</v>
      </c>
    </row>
    <row r="46" spans="5:11" x14ac:dyDescent="0.4">
      <c r="E46" s="50" t="s">
        <v>106</v>
      </c>
      <c r="F46" s="46" t="s">
        <v>113</v>
      </c>
      <c r="G46" s="32">
        <v>0</v>
      </c>
      <c r="H46" s="9">
        <f t="shared" si="3"/>
        <v>0</v>
      </c>
      <c r="J46" s="8">
        <v>44</v>
      </c>
      <c r="K46" s="10">
        <v>143.69999999999999</v>
      </c>
    </row>
    <row r="47" spans="5:11" x14ac:dyDescent="0.4">
      <c r="E47" s="50" t="s">
        <v>108</v>
      </c>
      <c r="F47" s="46" t="s">
        <v>115</v>
      </c>
      <c r="G47" s="32">
        <v>0</v>
      </c>
      <c r="H47" s="9">
        <f t="shared" si="3"/>
        <v>0</v>
      </c>
      <c r="J47" s="8">
        <v>45</v>
      </c>
      <c r="K47" s="10">
        <v>134.29999999999998</v>
      </c>
    </row>
    <row r="48" spans="5:11" x14ac:dyDescent="0.4">
      <c r="E48" s="50" t="s">
        <v>109</v>
      </c>
      <c r="F48" s="46" t="s">
        <v>59</v>
      </c>
      <c r="G48" s="32">
        <v>0</v>
      </c>
      <c r="H48" s="9">
        <f t="shared" si="3"/>
        <v>0</v>
      </c>
      <c r="J48" s="8">
        <v>46</v>
      </c>
      <c r="K48" s="10">
        <v>161.19999999999999</v>
      </c>
    </row>
    <row r="49" spans="5:11" x14ac:dyDescent="0.4">
      <c r="E49" s="50" t="s">
        <v>110</v>
      </c>
      <c r="F49" s="46" t="s">
        <v>60</v>
      </c>
      <c r="G49" s="32">
        <v>0</v>
      </c>
      <c r="H49" s="9">
        <f t="shared" si="3"/>
        <v>0</v>
      </c>
      <c r="J49" s="8">
        <v>47</v>
      </c>
      <c r="K49" s="10">
        <v>141.69999999999999</v>
      </c>
    </row>
    <row r="50" spans="5:11" x14ac:dyDescent="0.4">
      <c r="E50" s="50" t="s">
        <v>111</v>
      </c>
      <c r="F50" s="46" t="s">
        <v>61</v>
      </c>
      <c r="G50" s="32">
        <v>0</v>
      </c>
      <c r="H50" s="9">
        <f t="shared" si="3"/>
        <v>0</v>
      </c>
      <c r="J50" s="8">
        <v>48</v>
      </c>
      <c r="K50" s="10">
        <v>110.6</v>
      </c>
    </row>
    <row r="51" spans="5:11" x14ac:dyDescent="0.4">
      <c r="E51" s="51" t="s">
        <v>112</v>
      </c>
      <c r="F51" s="47" t="s">
        <v>62</v>
      </c>
      <c r="G51" s="34">
        <v>0</v>
      </c>
      <c r="H51" s="14">
        <f t="shared" si="3"/>
        <v>0</v>
      </c>
      <c r="J51" s="8">
        <v>49</v>
      </c>
      <c r="K51" s="10">
        <v>125.8</v>
      </c>
    </row>
    <row r="52" spans="5:11" x14ac:dyDescent="0.4">
      <c r="J52" s="8">
        <v>50</v>
      </c>
      <c r="K52" s="10">
        <v>120.89999999999999</v>
      </c>
    </row>
    <row r="53" spans="5:11" x14ac:dyDescent="0.4">
      <c r="J53" s="8">
        <v>51</v>
      </c>
      <c r="K53" s="10">
        <v>132.69999999999999</v>
      </c>
    </row>
    <row r="54" spans="5:11" x14ac:dyDescent="0.4">
      <c r="J54" s="8">
        <v>52</v>
      </c>
      <c r="K54" s="10">
        <v>133.39999999999998</v>
      </c>
    </row>
    <row r="55" spans="5:11" x14ac:dyDescent="0.4">
      <c r="J55" s="8">
        <v>53</v>
      </c>
      <c r="K55" s="10">
        <v>127.69999999999997</v>
      </c>
    </row>
    <row r="56" spans="5:11" x14ac:dyDescent="0.4">
      <c r="J56" s="8">
        <v>54</v>
      </c>
      <c r="K56" s="10">
        <v>99.699999999999974</v>
      </c>
    </row>
    <row r="57" spans="5:11" x14ac:dyDescent="0.4">
      <c r="J57" s="8">
        <v>55</v>
      </c>
      <c r="K57" s="10">
        <v>116.39999999999998</v>
      </c>
    </row>
    <row r="58" spans="5:11" x14ac:dyDescent="0.4">
      <c r="J58" s="8">
        <v>56</v>
      </c>
      <c r="K58" s="10">
        <v>110.39999999999998</v>
      </c>
    </row>
    <row r="59" spans="5:11" x14ac:dyDescent="0.4">
      <c r="J59" s="8">
        <v>57</v>
      </c>
      <c r="K59" s="10">
        <v>140.99999999999997</v>
      </c>
    </row>
    <row r="60" spans="5:11" x14ac:dyDescent="0.4">
      <c r="J60" s="8">
        <v>58</v>
      </c>
      <c r="K60" s="10">
        <v>156.79999999999998</v>
      </c>
    </row>
    <row r="61" spans="5:11" x14ac:dyDescent="0.4">
      <c r="J61" s="8">
        <v>59</v>
      </c>
      <c r="K61" s="10">
        <v>212.79999999999998</v>
      </c>
    </row>
    <row r="62" spans="5:11" x14ac:dyDescent="0.4">
      <c r="J62" s="8">
        <v>60</v>
      </c>
      <c r="K62" s="10">
        <v>218.1</v>
      </c>
    </row>
    <row r="63" spans="5:11" x14ac:dyDescent="0.4">
      <c r="J63" s="8">
        <v>61</v>
      </c>
      <c r="K63" s="10">
        <v>173</v>
      </c>
    </row>
    <row r="64" spans="5:11" x14ac:dyDescent="0.4">
      <c r="J64" s="8">
        <v>62</v>
      </c>
      <c r="K64" s="10">
        <v>193.1</v>
      </c>
    </row>
    <row r="65" spans="10:11" x14ac:dyDescent="0.4">
      <c r="J65" s="8">
        <v>63</v>
      </c>
      <c r="K65" s="10">
        <v>128.1</v>
      </c>
    </row>
    <row r="66" spans="10:11" x14ac:dyDescent="0.4">
      <c r="J66" s="8">
        <v>64</v>
      </c>
      <c r="K66" s="10">
        <v>123.1</v>
      </c>
    </row>
    <row r="67" spans="10:11" x14ac:dyDescent="0.4">
      <c r="J67" s="8">
        <v>65</v>
      </c>
      <c r="K67" s="10">
        <v>124.1</v>
      </c>
    </row>
    <row r="68" spans="10:11" x14ac:dyDescent="0.4">
      <c r="J68" s="8">
        <v>66</v>
      </c>
      <c r="K68" s="10">
        <v>154.69999999999999</v>
      </c>
    </row>
    <row r="69" spans="10:11" x14ac:dyDescent="0.4">
      <c r="J69" s="8">
        <v>67</v>
      </c>
      <c r="K69" s="10">
        <v>135.69999999999999</v>
      </c>
    </row>
    <row r="70" spans="10:11" x14ac:dyDescent="0.4">
      <c r="J70" s="8">
        <v>68</v>
      </c>
      <c r="K70" s="10">
        <v>126.79999999999998</v>
      </c>
    </row>
    <row r="71" spans="10:11" x14ac:dyDescent="0.4">
      <c r="J71" s="8">
        <v>69</v>
      </c>
      <c r="K71" s="10">
        <v>127.69999999999999</v>
      </c>
    </row>
    <row r="72" spans="10:11" x14ac:dyDescent="0.4">
      <c r="J72" s="8">
        <v>70</v>
      </c>
      <c r="K72" s="10">
        <v>159</v>
      </c>
    </row>
    <row r="73" spans="10:11" x14ac:dyDescent="0.4">
      <c r="J73" s="8">
        <v>71</v>
      </c>
      <c r="K73" s="10">
        <v>186.4</v>
      </c>
    </row>
    <row r="74" spans="10:11" x14ac:dyDescent="0.4">
      <c r="J74" s="8">
        <v>72</v>
      </c>
      <c r="K74" s="10">
        <v>179</v>
      </c>
    </row>
    <row r="75" spans="10:11" x14ac:dyDescent="0.4">
      <c r="J75" s="8">
        <v>73</v>
      </c>
      <c r="K75" s="10">
        <v>196.3</v>
      </c>
    </row>
    <row r="76" spans="10:11" x14ac:dyDescent="0.4">
      <c r="J76" s="8">
        <v>74</v>
      </c>
      <c r="K76" s="10">
        <v>182.4</v>
      </c>
    </row>
    <row r="77" spans="10:11" x14ac:dyDescent="0.4">
      <c r="J77" s="8">
        <v>75</v>
      </c>
      <c r="K77" s="10">
        <v>221.4</v>
      </c>
    </row>
    <row r="78" spans="10:11" x14ac:dyDescent="0.4">
      <c r="J78" s="8">
        <v>76</v>
      </c>
      <c r="K78" s="10">
        <v>226.6</v>
      </c>
    </row>
    <row r="79" spans="10:11" x14ac:dyDescent="0.4">
      <c r="J79" s="8">
        <v>77</v>
      </c>
      <c r="K79" s="10">
        <v>212.9</v>
      </c>
    </row>
    <row r="80" spans="10:11" x14ac:dyDescent="0.4">
      <c r="J80" s="8">
        <v>78</v>
      </c>
      <c r="K80" s="10">
        <v>218</v>
      </c>
    </row>
    <row r="81" spans="10:11" x14ac:dyDescent="0.4">
      <c r="J81" s="8">
        <v>79</v>
      </c>
      <c r="K81" s="10">
        <v>248.9</v>
      </c>
    </row>
    <row r="82" spans="10:11" x14ac:dyDescent="0.4">
      <c r="J82" s="8">
        <v>80</v>
      </c>
      <c r="K82" s="10">
        <v>287.89999999999998</v>
      </c>
    </row>
    <row r="83" spans="10:11" x14ac:dyDescent="0.4">
      <c r="J83" s="8">
        <v>81</v>
      </c>
      <c r="K83" s="10">
        <v>309.39999999999998</v>
      </c>
    </row>
    <row r="84" spans="10:11" x14ac:dyDescent="0.4">
      <c r="J84" s="8">
        <v>82</v>
      </c>
      <c r="K84" s="10">
        <v>339.9</v>
      </c>
    </row>
    <row r="85" spans="10:11" x14ac:dyDescent="0.4">
      <c r="J85" s="8">
        <v>83</v>
      </c>
      <c r="K85" s="10">
        <v>398.7</v>
      </c>
    </row>
    <row r="86" spans="10:11" x14ac:dyDescent="0.4">
      <c r="J86" s="8">
        <v>84</v>
      </c>
      <c r="K86" s="10">
        <v>409.8</v>
      </c>
    </row>
    <row r="87" spans="10:11" x14ac:dyDescent="0.4">
      <c r="J87" s="8">
        <v>85</v>
      </c>
      <c r="K87" s="10">
        <v>411.40000000000003</v>
      </c>
    </row>
    <row r="88" spans="10:11" x14ac:dyDescent="0.4">
      <c r="J88" s="8">
        <v>86</v>
      </c>
      <c r="K88" s="10">
        <v>391.00000000000006</v>
      </c>
    </row>
    <row r="89" spans="10:11" x14ac:dyDescent="0.4">
      <c r="J89" s="8">
        <v>87</v>
      </c>
      <c r="K89" s="10">
        <v>393.50000000000006</v>
      </c>
    </row>
    <row r="90" spans="10:11" x14ac:dyDescent="0.4">
      <c r="J90" s="8">
        <v>88</v>
      </c>
      <c r="K90" s="10">
        <v>349.00000000000006</v>
      </c>
    </row>
    <row r="91" spans="10:11" x14ac:dyDescent="0.4">
      <c r="J91" s="8">
        <v>89</v>
      </c>
      <c r="K91" s="10">
        <v>348.40000000000003</v>
      </c>
    </row>
    <row r="92" spans="10:11" x14ac:dyDescent="0.4">
      <c r="J92" s="8">
        <v>90</v>
      </c>
      <c r="K92" s="10">
        <v>373.8</v>
      </c>
    </row>
    <row r="93" spans="10:11" x14ac:dyDescent="0.4">
      <c r="J93" s="8">
        <v>91</v>
      </c>
      <c r="K93" s="10">
        <v>383.5</v>
      </c>
    </row>
    <row r="94" spans="10:11" x14ac:dyDescent="0.4">
      <c r="J94" s="8">
        <v>92</v>
      </c>
      <c r="K94" s="10">
        <v>403.6</v>
      </c>
    </row>
    <row r="95" spans="10:11" x14ac:dyDescent="0.4">
      <c r="J95" s="8">
        <v>93</v>
      </c>
      <c r="K95" s="10">
        <v>445.70000000000005</v>
      </c>
    </row>
    <row r="96" spans="10:11" x14ac:dyDescent="0.4">
      <c r="J96" s="8">
        <v>94</v>
      </c>
      <c r="K96" s="10">
        <v>439.70000000000005</v>
      </c>
    </row>
    <row r="97" spans="10:11" x14ac:dyDescent="0.4">
      <c r="J97" s="8">
        <v>95</v>
      </c>
      <c r="K97" s="10">
        <v>403.20000000000005</v>
      </c>
    </row>
    <row r="98" spans="10:11" x14ac:dyDescent="0.4">
      <c r="J98" s="8">
        <v>96</v>
      </c>
      <c r="K98" s="10">
        <v>364.70000000000005</v>
      </c>
    </row>
    <row r="99" spans="10:11" x14ac:dyDescent="0.4">
      <c r="J99" s="8">
        <v>97</v>
      </c>
      <c r="K99" s="10">
        <v>374.80000000000007</v>
      </c>
    </row>
    <row r="100" spans="10:11" x14ac:dyDescent="0.4">
      <c r="J100" s="8">
        <v>98</v>
      </c>
      <c r="K100" s="10">
        <v>372.80000000000007</v>
      </c>
    </row>
    <row r="101" spans="10:11" x14ac:dyDescent="0.4">
      <c r="J101" s="8">
        <v>99</v>
      </c>
      <c r="K101" s="10">
        <v>415.30000000000007</v>
      </c>
    </row>
    <row r="102" spans="10:11" x14ac:dyDescent="0.4">
      <c r="J102" s="8">
        <v>100</v>
      </c>
      <c r="K102" s="10">
        <v>409.70000000000005</v>
      </c>
    </row>
    <row r="103" spans="10:11" x14ac:dyDescent="0.4">
      <c r="J103" s="8">
        <v>101</v>
      </c>
      <c r="K103" s="10">
        <v>402.30000000000007</v>
      </c>
    </row>
    <row r="104" spans="10:11" x14ac:dyDescent="0.4">
      <c r="J104" s="8">
        <v>102</v>
      </c>
      <c r="K104" s="10">
        <v>365.30000000000007</v>
      </c>
    </row>
    <row r="105" spans="10:11" x14ac:dyDescent="0.4">
      <c r="J105" s="8">
        <v>103</v>
      </c>
      <c r="K105" s="10">
        <v>347.50000000000006</v>
      </c>
    </row>
    <row r="106" spans="10:11" x14ac:dyDescent="0.4">
      <c r="J106" s="8">
        <v>104</v>
      </c>
      <c r="K106" s="10">
        <v>373.50000000000006</v>
      </c>
    </row>
    <row r="107" spans="10:11" x14ac:dyDescent="0.4">
      <c r="J107" s="8">
        <v>105</v>
      </c>
      <c r="K107" s="10">
        <v>417.10000000000008</v>
      </c>
    </row>
    <row r="108" spans="10:11" x14ac:dyDescent="0.4">
      <c r="J108" s="8">
        <v>106</v>
      </c>
      <c r="K108" s="10">
        <v>424.10000000000008</v>
      </c>
    </row>
    <row r="109" spans="10:11" x14ac:dyDescent="0.4">
      <c r="J109" s="8">
        <v>107</v>
      </c>
      <c r="K109" s="10">
        <v>413.80000000000007</v>
      </c>
    </row>
    <row r="110" spans="10:11" x14ac:dyDescent="0.4">
      <c r="J110" s="8">
        <v>108</v>
      </c>
      <c r="K110" s="10">
        <v>398.30000000000007</v>
      </c>
    </row>
    <row r="111" spans="10:11" x14ac:dyDescent="0.4">
      <c r="J111" s="8">
        <v>109</v>
      </c>
      <c r="K111" s="10">
        <v>380.00000000000006</v>
      </c>
    </row>
    <row r="112" spans="10:11" x14ac:dyDescent="0.4">
      <c r="J112" s="8">
        <v>110</v>
      </c>
      <c r="K112" s="10">
        <v>403.00000000000006</v>
      </c>
    </row>
    <row r="113" spans="10:11" x14ac:dyDescent="0.4">
      <c r="J113" s="8">
        <v>111</v>
      </c>
      <c r="K113" s="10">
        <v>421.50000000000006</v>
      </c>
    </row>
    <row r="114" spans="10:11" x14ac:dyDescent="0.4">
      <c r="J114" s="8">
        <v>112</v>
      </c>
      <c r="K114" s="10">
        <v>416.10000000000008</v>
      </c>
    </row>
    <row r="115" spans="10:11" x14ac:dyDescent="0.4">
      <c r="J115" s="8">
        <v>113</v>
      </c>
      <c r="K115" s="10">
        <v>471.10000000000008</v>
      </c>
    </row>
    <row r="116" spans="10:11" x14ac:dyDescent="0.4">
      <c r="J116" s="8">
        <v>114</v>
      </c>
      <c r="K116" s="10">
        <v>487.2000000000001</v>
      </c>
    </row>
    <row r="117" spans="10:11" x14ac:dyDescent="0.4">
      <c r="J117" s="8">
        <v>115</v>
      </c>
      <c r="K117" s="10">
        <v>450.2000000000001</v>
      </c>
    </row>
    <row r="118" spans="10:11" x14ac:dyDescent="0.4">
      <c r="J118" s="8">
        <v>116</v>
      </c>
      <c r="K118" s="10">
        <v>465.7000000000001</v>
      </c>
    </row>
    <row r="119" spans="10:11" x14ac:dyDescent="0.4">
      <c r="J119" s="8">
        <v>117</v>
      </c>
      <c r="K119" s="10">
        <v>480.00000000000011</v>
      </c>
    </row>
    <row r="120" spans="10:11" x14ac:dyDescent="0.4">
      <c r="J120" s="8">
        <v>118</v>
      </c>
      <c r="K120" s="10">
        <v>491.60000000000014</v>
      </c>
    </row>
    <row r="121" spans="10:11" x14ac:dyDescent="0.4">
      <c r="J121" s="8">
        <v>119</v>
      </c>
      <c r="K121" s="10">
        <v>507.50000000000011</v>
      </c>
    </row>
    <row r="122" spans="10:11" x14ac:dyDescent="0.4">
      <c r="J122" s="8">
        <v>120</v>
      </c>
      <c r="K122" s="10">
        <v>471.00000000000011</v>
      </c>
    </row>
    <row r="123" spans="10:11" x14ac:dyDescent="0.4">
      <c r="J123" s="8">
        <v>121</v>
      </c>
      <c r="K123" s="10">
        <v>508.50000000000011</v>
      </c>
    </row>
    <row r="124" spans="10:11" x14ac:dyDescent="0.4">
      <c r="J124" s="8">
        <v>122</v>
      </c>
      <c r="K124" s="10">
        <v>463.00000000000011</v>
      </c>
    </row>
    <row r="125" spans="10:11" x14ac:dyDescent="0.4">
      <c r="J125" s="8">
        <v>123</v>
      </c>
      <c r="K125" s="10">
        <v>475.2000000000001</v>
      </c>
    </row>
    <row r="126" spans="10:11" x14ac:dyDescent="0.4">
      <c r="J126" s="8">
        <v>124</v>
      </c>
      <c r="K126" s="10">
        <v>456.7000000000001</v>
      </c>
    </row>
    <row r="127" spans="10:11" x14ac:dyDescent="0.4">
      <c r="J127" s="8">
        <v>125</v>
      </c>
      <c r="K127" s="10">
        <v>497.10000000000008</v>
      </c>
    </row>
    <row r="128" spans="10:11" x14ac:dyDescent="0.4">
      <c r="J128" s="8">
        <v>126</v>
      </c>
      <c r="K128" s="10">
        <v>523.20000000000005</v>
      </c>
    </row>
    <row r="129" spans="10:11" x14ac:dyDescent="0.4">
      <c r="J129" s="8">
        <v>127</v>
      </c>
      <c r="K129" s="10">
        <v>531.70000000000005</v>
      </c>
    </row>
    <row r="130" spans="10:11" x14ac:dyDescent="0.4">
      <c r="J130" s="8">
        <v>128</v>
      </c>
      <c r="K130" s="10">
        <v>574</v>
      </c>
    </row>
    <row r="131" spans="10:11" x14ac:dyDescent="0.4">
      <c r="J131" s="8">
        <v>129</v>
      </c>
      <c r="K131" s="10">
        <v>599</v>
      </c>
    </row>
    <row r="132" spans="10:11" x14ac:dyDescent="0.4">
      <c r="J132" s="8">
        <v>130</v>
      </c>
      <c r="K132" s="10">
        <v>610</v>
      </c>
    </row>
    <row r="133" spans="10:11" x14ac:dyDescent="0.4">
      <c r="J133" s="8">
        <v>131</v>
      </c>
      <c r="K133" s="10">
        <v>650</v>
      </c>
    </row>
    <row r="134" spans="10:11" x14ac:dyDescent="0.4">
      <c r="J134" s="8">
        <v>132</v>
      </c>
      <c r="K134" s="10">
        <v>631.20000000000005</v>
      </c>
    </row>
    <row r="135" spans="10:11" x14ac:dyDescent="0.4">
      <c r="J135" s="8">
        <v>133</v>
      </c>
      <c r="K135" s="10">
        <v>667.80000000000007</v>
      </c>
    </row>
    <row r="136" spans="10:11" x14ac:dyDescent="0.4">
      <c r="J136" s="8">
        <v>134</v>
      </c>
      <c r="K136" s="10">
        <v>675.6</v>
      </c>
    </row>
    <row r="137" spans="10:11" x14ac:dyDescent="0.4">
      <c r="J137" s="8">
        <v>135</v>
      </c>
      <c r="K137" s="10">
        <v>742.7</v>
      </c>
    </row>
    <row r="138" spans="10:11" x14ac:dyDescent="0.4">
      <c r="J138" s="8">
        <v>136</v>
      </c>
      <c r="K138" s="10">
        <v>747.90000000000009</v>
      </c>
    </row>
    <row r="139" spans="10:11" x14ac:dyDescent="0.4">
      <c r="J139" s="8">
        <v>137</v>
      </c>
      <c r="K139" s="10">
        <v>763.10000000000014</v>
      </c>
    </row>
    <row r="140" spans="10:11" x14ac:dyDescent="0.4">
      <c r="J140" s="8">
        <v>138</v>
      </c>
      <c r="K140" s="10">
        <v>786.30000000000018</v>
      </c>
    </row>
    <row r="141" spans="10:11" x14ac:dyDescent="0.4">
      <c r="J141" s="8">
        <v>139</v>
      </c>
      <c r="K141" s="10">
        <v>806.9000000000002</v>
      </c>
    </row>
    <row r="142" spans="10:11" x14ac:dyDescent="0.4">
      <c r="J142" s="8">
        <v>140</v>
      </c>
      <c r="K142" s="10">
        <v>814.20000000000016</v>
      </c>
    </row>
    <row r="143" spans="10:11" x14ac:dyDescent="0.4">
      <c r="J143" s="8">
        <v>141</v>
      </c>
      <c r="K143" s="10">
        <v>819.00000000000011</v>
      </c>
    </row>
    <row r="144" spans="10:11" x14ac:dyDescent="0.4">
      <c r="J144" s="8">
        <v>142</v>
      </c>
      <c r="K144" s="10">
        <v>823.10000000000014</v>
      </c>
    </row>
    <row r="145" spans="10:11" x14ac:dyDescent="0.4">
      <c r="J145" s="8">
        <v>143</v>
      </c>
      <c r="K145" s="10">
        <v>812.10000000000014</v>
      </c>
    </row>
    <row r="146" spans="10:11" x14ac:dyDescent="0.4">
      <c r="J146" s="8">
        <v>144</v>
      </c>
      <c r="K146" s="10">
        <v>823.60000000000014</v>
      </c>
    </row>
    <row r="147" spans="10:11" x14ac:dyDescent="0.4">
      <c r="J147" s="8">
        <v>145</v>
      </c>
      <c r="K147" s="10">
        <v>811.70000000000016</v>
      </c>
    </row>
    <row r="148" spans="10:11" x14ac:dyDescent="0.4">
      <c r="J148" s="8">
        <v>146</v>
      </c>
      <c r="K148" s="10">
        <v>827.30000000000018</v>
      </c>
    </row>
    <row r="149" spans="10:11" x14ac:dyDescent="0.4">
      <c r="J149" s="8">
        <v>147</v>
      </c>
      <c r="K149" s="10">
        <v>841.9000000000002</v>
      </c>
    </row>
    <row r="150" spans="10:11" x14ac:dyDescent="0.4">
      <c r="J150" s="8">
        <v>148</v>
      </c>
      <c r="K150" s="10">
        <v>806.9000000000002</v>
      </c>
    </row>
    <row r="151" spans="10:11" x14ac:dyDescent="0.4">
      <c r="J151" s="8">
        <v>149</v>
      </c>
      <c r="K151" s="10">
        <v>777.30000000000018</v>
      </c>
    </row>
    <row r="152" spans="10:11" x14ac:dyDescent="0.4">
      <c r="J152" s="8">
        <v>150</v>
      </c>
      <c r="K152" s="10">
        <v>783.10000000000014</v>
      </c>
    </row>
    <row r="153" spans="10:11" x14ac:dyDescent="0.4">
      <c r="J153" s="8">
        <v>151</v>
      </c>
      <c r="K153" s="10">
        <v>770.10000000000014</v>
      </c>
    </row>
    <row r="154" spans="10:11" x14ac:dyDescent="0.4">
      <c r="J154" s="8">
        <v>152</v>
      </c>
      <c r="K154" s="10">
        <v>760.10000000000014</v>
      </c>
    </row>
    <row r="155" spans="10:11" x14ac:dyDescent="0.4">
      <c r="J155" s="8">
        <v>153</v>
      </c>
      <c r="K155" s="10">
        <v>803.70000000000016</v>
      </c>
    </row>
    <row r="156" spans="10:11" x14ac:dyDescent="0.4">
      <c r="J156" s="8">
        <v>154</v>
      </c>
      <c r="K156" s="10">
        <v>799.00000000000011</v>
      </c>
    </row>
    <row r="157" spans="10:11" x14ac:dyDescent="0.4">
      <c r="J157" s="8">
        <v>155</v>
      </c>
      <c r="K157" s="10">
        <v>812.40000000000009</v>
      </c>
    </row>
    <row r="158" spans="10:11" x14ac:dyDescent="0.4">
      <c r="J158" s="8">
        <v>156</v>
      </c>
      <c r="K158" s="10">
        <v>798.40000000000009</v>
      </c>
    </row>
    <row r="159" spans="10:11" x14ac:dyDescent="0.4">
      <c r="J159" s="8">
        <v>157</v>
      </c>
      <c r="K159" s="10">
        <v>804.50000000000011</v>
      </c>
    </row>
    <row r="160" spans="10:11" x14ac:dyDescent="0.4">
      <c r="J160" s="8">
        <v>158</v>
      </c>
      <c r="K160" s="10">
        <v>823.20000000000016</v>
      </c>
    </row>
    <row r="161" spans="10:11" x14ac:dyDescent="0.4">
      <c r="J161" s="8">
        <v>159</v>
      </c>
      <c r="K161" s="10">
        <v>846.00000000000011</v>
      </c>
    </row>
    <row r="162" spans="10:11" x14ac:dyDescent="0.4">
      <c r="J162" s="8">
        <v>160</v>
      </c>
      <c r="K162" s="10">
        <v>841.20000000000016</v>
      </c>
    </row>
    <row r="163" spans="10:11" x14ac:dyDescent="0.4">
      <c r="J163" s="8">
        <v>161</v>
      </c>
      <c r="K163" s="10">
        <v>872.70000000000016</v>
      </c>
    </row>
    <row r="164" spans="10:11" x14ac:dyDescent="0.4">
      <c r="J164" s="8">
        <v>162</v>
      </c>
      <c r="K164" s="10">
        <v>888.80000000000018</v>
      </c>
    </row>
    <row r="165" spans="10:11" x14ac:dyDescent="0.4">
      <c r="J165" s="8">
        <v>163</v>
      </c>
      <c r="K165" s="10">
        <v>900.10000000000014</v>
      </c>
    </row>
    <row r="166" spans="10:11" x14ac:dyDescent="0.4">
      <c r="J166" s="8">
        <v>164</v>
      </c>
      <c r="K166" s="10">
        <v>923.40000000000009</v>
      </c>
    </row>
  </sheetData>
  <sortState ref="E2:H166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Template</vt:lpstr>
      <vt:lpstr>Cache</vt:lpstr>
      <vt:lpstr>全体</vt:lpstr>
      <vt:lpstr>集計</vt:lpstr>
      <vt:lpstr>だいち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2019-01-27T10:09:10Z</dcterms:modified>
</cp:coreProperties>
</file>