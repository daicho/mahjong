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4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5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6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B7213324-59C8-4886-B091-BF3BE1843AD5}" xr6:coauthVersionLast="36" xr6:coauthVersionMax="36" xr10:uidLastSave="{00000000-0000-0000-0000-000000000000}"/>
  <bookViews>
    <workbookView xWindow="0" yWindow="0" windowWidth="28800" windowHeight="13056" tabRatio="663" firstSheet="30" activeTab="30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全体1" sheetId="3305" state="hidden" r:id="rId5"/>
    <sheet name="全体2" sheetId="3306" state="hidden" r:id="rId6"/>
    <sheet name="だいち1" sheetId="3307" state="hidden" r:id="rId7"/>
    <sheet name="だいち2" sheetId="3308" state="hidden" r:id="rId8"/>
    <sheet name="かこたろう1" sheetId="3309" state="hidden" r:id="rId9"/>
    <sheet name="かこたろう2" sheetId="3310" state="hidden" r:id="rId10"/>
    <sheet name="ともき1" sheetId="3311" state="hidden" r:id="rId11"/>
    <sheet name="ともき2" sheetId="3312" state="hidden" r:id="rId12"/>
    <sheet name="りくと1" sheetId="3313" state="hidden" r:id="rId13"/>
    <sheet name="りくと2" sheetId="3314" state="hidden" r:id="rId14"/>
    <sheet name="いっしー1" sheetId="3315" state="hidden" r:id="rId15"/>
    <sheet name="いっしー2" sheetId="3316" state="hidden" r:id="rId16"/>
    <sheet name="がくと1" sheetId="3317" state="hidden" r:id="rId17"/>
    <sheet name="がくと2" sheetId="3318" state="hidden" r:id="rId18"/>
    <sheet name="たかの1" sheetId="3319" state="hidden" r:id="rId19"/>
    <sheet name="たかの2" sheetId="3320" state="hidden" r:id="rId20"/>
    <sheet name="ただ1" sheetId="3321" state="hidden" r:id="rId21"/>
    <sheet name="ただ2" sheetId="3322" state="hidden" r:id="rId22"/>
    <sheet name="やがさき1" sheetId="3323" state="hidden" r:id="rId23"/>
    <sheet name="やがさき2" sheetId="3324" state="hidden" r:id="rId24"/>
    <sheet name="れんたろう1" sheetId="3325" state="hidden" r:id="rId25"/>
    <sheet name="れんたろう2" sheetId="3326" state="hidden" r:id="rId26"/>
    <sheet name="あさひ1" sheetId="3327" state="hidden" r:id="rId27"/>
    <sheet name="あさひ2" sheetId="3328" state="hidden" r:id="rId28"/>
    <sheet name="まっつん1" sheetId="3329" state="hidden" r:id="rId29"/>
    <sheet name="まっつん2" sheetId="3330" state="hidden" r:id="rId30"/>
    <sheet name="通算スコア" sheetId="3331" r:id="rId31"/>
    <sheet name="平均スコア" sheetId="3182" r:id="rId32"/>
    <sheet name="平均順位" sheetId="3183" r:id="rId33"/>
    <sheet name="トップ率" sheetId="3185" r:id="rId34"/>
    <sheet name="アガリ率" sheetId="3189" r:id="rId35"/>
    <sheet name="放銃率" sheetId="3190" r:id="rId36"/>
    <sheet name="平均アガリ点" sheetId="3191" r:id="rId37"/>
    <sheet name="平均放銃点" sheetId="3192" r:id="rId38"/>
    <sheet name="ふっとび率" sheetId="3193" r:id="rId39"/>
    <sheet name="ふっとばし率" sheetId="3195" r:id="rId40"/>
    <sheet name="リーチ率" sheetId="3255" r:id="rId41"/>
    <sheet name="副露率" sheetId="3256" r:id="rId42"/>
    <sheet name="リーチ成功率" sheetId="3257" r:id="rId43"/>
    <sheet name="副露成功率" sheetId="3258" r:id="rId44"/>
    <sheet name="ツモ率" sheetId="3196" r:id="rId45"/>
    <sheet name="親アガリ率" sheetId="3197" r:id="rId4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329" l="1"/>
  <c r="H50" i="3329"/>
  <c r="H49" i="3329"/>
  <c r="H48" i="3329"/>
  <c r="H47" i="3329"/>
  <c r="H46" i="3329"/>
  <c r="H45" i="3329"/>
  <c r="H44" i="3329"/>
  <c r="H43" i="3329"/>
  <c r="H42" i="3329"/>
  <c r="H41" i="3329"/>
  <c r="H40" i="3329"/>
  <c r="H39" i="3329"/>
  <c r="H38" i="3329"/>
  <c r="H37" i="3329"/>
  <c r="H36" i="3329"/>
  <c r="H35" i="3329"/>
  <c r="H34" i="3329"/>
  <c r="H33" i="3329"/>
  <c r="H32" i="3329"/>
  <c r="H31" i="3329"/>
  <c r="H30" i="3329"/>
  <c r="H29" i="3329"/>
  <c r="H28" i="3329"/>
  <c r="H27" i="3329"/>
  <c r="C27" i="3329"/>
  <c r="H26" i="3329"/>
  <c r="H25" i="3329"/>
  <c r="H24" i="3329"/>
  <c r="H23" i="3329"/>
  <c r="C23" i="3329"/>
  <c r="H22" i="3329"/>
  <c r="C22" i="3329"/>
  <c r="H21" i="3329"/>
  <c r="B21" i="3329"/>
  <c r="H20" i="3329"/>
  <c r="H19" i="3329"/>
  <c r="C19" i="3329"/>
  <c r="H18" i="3329"/>
  <c r="H17" i="3329"/>
  <c r="H16" i="3329"/>
  <c r="B16" i="3329"/>
  <c r="C17" i="3329" s="1"/>
  <c r="H15" i="3329"/>
  <c r="C15" i="3329"/>
  <c r="H14" i="3329"/>
  <c r="C14" i="3329"/>
  <c r="H13" i="3329"/>
  <c r="C13" i="3329"/>
  <c r="H12" i="3329"/>
  <c r="C12" i="3329"/>
  <c r="H11" i="3329"/>
  <c r="C11" i="3329"/>
  <c r="H10" i="3329"/>
  <c r="C10" i="3329"/>
  <c r="H9" i="3329"/>
  <c r="C9" i="3329"/>
  <c r="H8" i="3329"/>
  <c r="C8" i="3329"/>
  <c r="N7" i="3329"/>
  <c r="H7" i="3329"/>
  <c r="C7" i="3329"/>
  <c r="N6" i="3329"/>
  <c r="H6" i="3329"/>
  <c r="B6" i="3329"/>
  <c r="N5" i="3329"/>
  <c r="H5" i="3329"/>
  <c r="B5" i="3329"/>
  <c r="N4" i="3329"/>
  <c r="H4" i="3329"/>
  <c r="N3" i="3329"/>
  <c r="H3" i="3329"/>
  <c r="N2" i="3329"/>
  <c r="H2" i="3329"/>
  <c r="C16" i="3329" l="1"/>
  <c r="C18" i="3329"/>
  <c r="B20" i="3329"/>
  <c r="H51" i="3327" l="1"/>
  <c r="H50" i="3327"/>
  <c r="H49" i="3327"/>
  <c r="H48" i="3327"/>
  <c r="H47" i="3327"/>
  <c r="H46" i="3327"/>
  <c r="H45" i="3327"/>
  <c r="H44" i="3327"/>
  <c r="H43" i="3327"/>
  <c r="H42" i="3327"/>
  <c r="H41" i="3327"/>
  <c r="H40" i="3327"/>
  <c r="H39" i="3327"/>
  <c r="H38" i="3327"/>
  <c r="H37" i="3327"/>
  <c r="H36" i="3327"/>
  <c r="H35" i="3327"/>
  <c r="H34" i="3327"/>
  <c r="H33" i="3327"/>
  <c r="H32" i="3327"/>
  <c r="H31" i="3327"/>
  <c r="H30" i="3327"/>
  <c r="H29" i="3327"/>
  <c r="H28" i="3327"/>
  <c r="H27" i="3327"/>
  <c r="C27" i="3327"/>
  <c r="H26" i="3327"/>
  <c r="H25" i="3327"/>
  <c r="H24" i="3327"/>
  <c r="H23" i="3327"/>
  <c r="C23" i="3327"/>
  <c r="H22" i="3327"/>
  <c r="C22" i="3327"/>
  <c r="H21" i="3327"/>
  <c r="B21" i="3327"/>
  <c r="H20" i="3327"/>
  <c r="H19" i="3327"/>
  <c r="C19" i="3327"/>
  <c r="H18" i="3327"/>
  <c r="H17" i="3327"/>
  <c r="H16" i="3327"/>
  <c r="B16" i="3327"/>
  <c r="C17" i="3327" s="1"/>
  <c r="H15" i="3327"/>
  <c r="C15" i="3327"/>
  <c r="H14" i="3327"/>
  <c r="C14" i="3327"/>
  <c r="H13" i="3327"/>
  <c r="C13" i="3327"/>
  <c r="H12" i="3327"/>
  <c r="C12" i="3327"/>
  <c r="H11" i="3327"/>
  <c r="C11" i="3327"/>
  <c r="H10" i="3327"/>
  <c r="C10" i="3327"/>
  <c r="H9" i="3327"/>
  <c r="C9" i="3327"/>
  <c r="H8" i="3327"/>
  <c r="C8" i="3327"/>
  <c r="N7" i="3327"/>
  <c r="H7" i="3327"/>
  <c r="C7" i="3327"/>
  <c r="N6" i="3327"/>
  <c r="H6" i="3327"/>
  <c r="B6" i="3327"/>
  <c r="N5" i="3327"/>
  <c r="H5" i="3327"/>
  <c r="B5" i="3327"/>
  <c r="N4" i="3327"/>
  <c r="H4" i="3327"/>
  <c r="N3" i="3327"/>
  <c r="H3" i="3327"/>
  <c r="N2" i="3327"/>
  <c r="H2" i="3327"/>
  <c r="C16" i="3327" l="1"/>
  <c r="C18" i="3327"/>
  <c r="B20" i="3327"/>
  <c r="H51" i="3325" l="1"/>
  <c r="H50" i="3325"/>
  <c r="H49" i="3325"/>
  <c r="H48" i="3325"/>
  <c r="H47" i="3325"/>
  <c r="H46" i="3325"/>
  <c r="H45" i="3325"/>
  <c r="H44" i="3325"/>
  <c r="H43" i="3325"/>
  <c r="H42" i="3325"/>
  <c r="H41" i="3325"/>
  <c r="H40" i="3325"/>
  <c r="H39" i="3325"/>
  <c r="H38" i="3325"/>
  <c r="H37" i="3325"/>
  <c r="H36" i="3325"/>
  <c r="H35" i="3325"/>
  <c r="H34" i="3325"/>
  <c r="H33" i="3325"/>
  <c r="H32" i="3325"/>
  <c r="H31" i="3325"/>
  <c r="H30" i="3325"/>
  <c r="H29" i="3325"/>
  <c r="H28" i="3325"/>
  <c r="H27" i="3325"/>
  <c r="C27" i="3325"/>
  <c r="H26" i="3325"/>
  <c r="H25" i="3325"/>
  <c r="H24" i="3325"/>
  <c r="H23" i="3325"/>
  <c r="C23" i="3325"/>
  <c r="H22" i="3325"/>
  <c r="C22" i="3325"/>
  <c r="H21" i="3325"/>
  <c r="B21" i="3325"/>
  <c r="H20" i="3325"/>
  <c r="H19" i="3325"/>
  <c r="C19" i="3325"/>
  <c r="H18" i="3325"/>
  <c r="H17" i="3325"/>
  <c r="H16" i="3325"/>
  <c r="B16" i="3325"/>
  <c r="B20" i="3325" s="1"/>
  <c r="H15" i="3325"/>
  <c r="C15" i="3325"/>
  <c r="H14" i="3325"/>
  <c r="C14" i="3325"/>
  <c r="H13" i="3325"/>
  <c r="C13" i="3325"/>
  <c r="H12" i="3325"/>
  <c r="C12" i="3325"/>
  <c r="H11" i="3325"/>
  <c r="C11" i="3325"/>
  <c r="H10" i="3325"/>
  <c r="C10" i="3325"/>
  <c r="H9" i="3325"/>
  <c r="C9" i="3325"/>
  <c r="H8" i="3325"/>
  <c r="C8" i="3325"/>
  <c r="N7" i="3325"/>
  <c r="H7" i="3325"/>
  <c r="C7" i="3325"/>
  <c r="N6" i="3325"/>
  <c r="H6" i="3325"/>
  <c r="B6" i="3325"/>
  <c r="N5" i="3325"/>
  <c r="H5" i="3325"/>
  <c r="B5" i="3325"/>
  <c r="N4" i="3325"/>
  <c r="H4" i="3325"/>
  <c r="N3" i="3325"/>
  <c r="H3" i="3325"/>
  <c r="N2" i="3325"/>
  <c r="H2" i="3325"/>
  <c r="C18" i="3325" l="1"/>
  <c r="C16" i="3325"/>
  <c r="C17" i="3325"/>
  <c r="H51" i="3323" l="1"/>
  <c r="H50" i="3323"/>
  <c r="H49" i="3323"/>
  <c r="H48" i="3323"/>
  <c r="H47" i="3323"/>
  <c r="H46" i="3323"/>
  <c r="H45" i="3323"/>
  <c r="H44" i="3323"/>
  <c r="H43" i="3323"/>
  <c r="H42" i="3323"/>
  <c r="H41" i="3323"/>
  <c r="H40" i="3323"/>
  <c r="H39" i="3323"/>
  <c r="H38" i="3323"/>
  <c r="H37" i="3323"/>
  <c r="H36" i="3323"/>
  <c r="H35" i="3323"/>
  <c r="H34" i="3323"/>
  <c r="H33" i="3323"/>
  <c r="H32" i="3323"/>
  <c r="H31" i="3323"/>
  <c r="H30" i="3323"/>
  <c r="H29" i="3323"/>
  <c r="H28" i="3323"/>
  <c r="H27" i="3323"/>
  <c r="C27" i="3323"/>
  <c r="H26" i="3323"/>
  <c r="H25" i="3323"/>
  <c r="H24" i="3323"/>
  <c r="H23" i="3323"/>
  <c r="C23" i="3323"/>
  <c r="H22" i="3323"/>
  <c r="C22" i="3323"/>
  <c r="H21" i="3323"/>
  <c r="B21" i="3323"/>
  <c r="H20" i="3323"/>
  <c r="H19" i="3323"/>
  <c r="C19" i="3323"/>
  <c r="H18" i="3323"/>
  <c r="H17" i="3323"/>
  <c r="H16" i="3323"/>
  <c r="B16" i="3323"/>
  <c r="C18" i="3323" s="1"/>
  <c r="H15" i="3323"/>
  <c r="C15" i="3323"/>
  <c r="H14" i="3323"/>
  <c r="C14" i="3323"/>
  <c r="H13" i="3323"/>
  <c r="C13" i="3323"/>
  <c r="H12" i="3323"/>
  <c r="C12" i="3323"/>
  <c r="H11" i="3323"/>
  <c r="C11" i="3323"/>
  <c r="H10" i="3323"/>
  <c r="C10" i="3323"/>
  <c r="H9" i="3323"/>
  <c r="C9" i="3323"/>
  <c r="H8" i="3323"/>
  <c r="C8" i="3323"/>
  <c r="N7" i="3323"/>
  <c r="H7" i="3323"/>
  <c r="C7" i="3323"/>
  <c r="N6" i="3323"/>
  <c r="H6" i="3323"/>
  <c r="B6" i="3323"/>
  <c r="N5" i="3323"/>
  <c r="H5" i="3323"/>
  <c r="B5" i="3323"/>
  <c r="N4" i="3323"/>
  <c r="H4" i="3323"/>
  <c r="N3" i="3323"/>
  <c r="H3" i="3323"/>
  <c r="N2" i="3323"/>
  <c r="H2" i="3323"/>
  <c r="C16" i="3323" l="1"/>
  <c r="B20" i="3323"/>
  <c r="C17" i="3323"/>
  <c r="H51" i="3321" l="1"/>
  <c r="H50" i="3321"/>
  <c r="H49" i="3321"/>
  <c r="H48" i="3321"/>
  <c r="H47" i="3321"/>
  <c r="H46" i="3321"/>
  <c r="H45" i="3321"/>
  <c r="H44" i="3321"/>
  <c r="H43" i="3321"/>
  <c r="H42" i="3321"/>
  <c r="H41" i="3321"/>
  <c r="H40" i="3321"/>
  <c r="H39" i="3321"/>
  <c r="H38" i="3321"/>
  <c r="H37" i="3321"/>
  <c r="H36" i="3321"/>
  <c r="H35" i="3321"/>
  <c r="H34" i="3321"/>
  <c r="H33" i="3321"/>
  <c r="H32" i="3321"/>
  <c r="H31" i="3321"/>
  <c r="H30" i="3321"/>
  <c r="H29" i="3321"/>
  <c r="H28" i="3321"/>
  <c r="H27" i="3321"/>
  <c r="C27" i="3321"/>
  <c r="H26" i="3321"/>
  <c r="H25" i="3321"/>
  <c r="H24" i="3321"/>
  <c r="H23" i="3321"/>
  <c r="C23" i="3321"/>
  <c r="H22" i="3321"/>
  <c r="C22" i="3321"/>
  <c r="H21" i="3321"/>
  <c r="B21" i="3321"/>
  <c r="H20" i="3321"/>
  <c r="H19" i="3321"/>
  <c r="C19" i="3321"/>
  <c r="H18" i="3321"/>
  <c r="H17" i="3321"/>
  <c r="H16" i="3321"/>
  <c r="B16" i="3321"/>
  <c r="C18" i="3321" s="1"/>
  <c r="H15" i="3321"/>
  <c r="C15" i="3321"/>
  <c r="H14" i="3321"/>
  <c r="C14" i="3321"/>
  <c r="H13" i="3321"/>
  <c r="C13" i="3321"/>
  <c r="H12" i="3321"/>
  <c r="C12" i="3321"/>
  <c r="H11" i="3321"/>
  <c r="C11" i="3321"/>
  <c r="H10" i="3321"/>
  <c r="C10" i="3321"/>
  <c r="H9" i="3321"/>
  <c r="C9" i="3321"/>
  <c r="H8" i="3321"/>
  <c r="C8" i="3321"/>
  <c r="N7" i="3321"/>
  <c r="H7" i="3321"/>
  <c r="C7" i="3321"/>
  <c r="N6" i="3321"/>
  <c r="H6" i="3321"/>
  <c r="B6" i="3321"/>
  <c r="N5" i="3321"/>
  <c r="H5" i="3321"/>
  <c r="B5" i="3321"/>
  <c r="N4" i="3321"/>
  <c r="H4" i="3321"/>
  <c r="N3" i="3321"/>
  <c r="H3" i="3321"/>
  <c r="N2" i="3321"/>
  <c r="H2" i="3321"/>
  <c r="H51" i="3319"/>
  <c r="H50" i="3319"/>
  <c r="H49" i="3319"/>
  <c r="H48" i="3319"/>
  <c r="H47" i="3319"/>
  <c r="H46" i="3319"/>
  <c r="H45" i="3319"/>
  <c r="H44" i="3319"/>
  <c r="H43" i="3319"/>
  <c r="H42" i="3319"/>
  <c r="H41" i="3319"/>
  <c r="H40" i="3319"/>
  <c r="H39" i="3319"/>
  <c r="H38" i="3319"/>
  <c r="H37" i="3319"/>
  <c r="H36" i="3319"/>
  <c r="H35" i="3319"/>
  <c r="H34" i="3319"/>
  <c r="H33" i="3319"/>
  <c r="H32" i="3319"/>
  <c r="H31" i="3319"/>
  <c r="H30" i="3319"/>
  <c r="H29" i="3319"/>
  <c r="H28" i="3319"/>
  <c r="H27" i="3319"/>
  <c r="C27" i="3319"/>
  <c r="H26" i="3319"/>
  <c r="H25" i="3319"/>
  <c r="H24" i="3319"/>
  <c r="H23" i="3319"/>
  <c r="C23" i="3319"/>
  <c r="H22" i="3319"/>
  <c r="C22" i="3319"/>
  <c r="H21" i="3319"/>
  <c r="B21" i="3319"/>
  <c r="H20" i="3319"/>
  <c r="H19" i="3319"/>
  <c r="C19" i="3319"/>
  <c r="H18" i="3319"/>
  <c r="H17" i="3319"/>
  <c r="H16" i="3319"/>
  <c r="B16" i="3319"/>
  <c r="C18" i="3319" s="1"/>
  <c r="H15" i="3319"/>
  <c r="C15" i="3319"/>
  <c r="H14" i="3319"/>
  <c r="C14" i="3319"/>
  <c r="H13" i="3319"/>
  <c r="C13" i="3319"/>
  <c r="H12" i="3319"/>
  <c r="C12" i="3319"/>
  <c r="H11" i="3319"/>
  <c r="C11" i="3319"/>
  <c r="H10" i="3319"/>
  <c r="C10" i="3319"/>
  <c r="H9" i="3319"/>
  <c r="C9" i="3319"/>
  <c r="H8" i="3319"/>
  <c r="C8" i="3319"/>
  <c r="N7" i="3319"/>
  <c r="H7" i="3319"/>
  <c r="C7" i="3319"/>
  <c r="N6" i="3319"/>
  <c r="H6" i="3319"/>
  <c r="B6" i="3319"/>
  <c r="N5" i="3319"/>
  <c r="H5" i="3319"/>
  <c r="B5" i="3319"/>
  <c r="N4" i="3319"/>
  <c r="H4" i="3319"/>
  <c r="N3" i="3319"/>
  <c r="H3" i="3319"/>
  <c r="N2" i="3319"/>
  <c r="H2" i="3319"/>
  <c r="C16" i="3321" l="1"/>
  <c r="B20" i="3321"/>
  <c r="C17" i="3321"/>
  <c r="C16" i="3319"/>
  <c r="B20" i="3319"/>
  <c r="C17" i="3319"/>
  <c r="H51" i="3317" l="1"/>
  <c r="H50" i="3317"/>
  <c r="H49" i="3317"/>
  <c r="H48" i="3317"/>
  <c r="H47" i="3317"/>
  <c r="H46" i="3317"/>
  <c r="H45" i="3317"/>
  <c r="H44" i="3317"/>
  <c r="H43" i="3317"/>
  <c r="H42" i="3317"/>
  <c r="H41" i="3317"/>
  <c r="H40" i="3317"/>
  <c r="H39" i="3317"/>
  <c r="H38" i="3317"/>
  <c r="H37" i="3317"/>
  <c r="H36" i="3317"/>
  <c r="H35" i="3317"/>
  <c r="H34" i="3317"/>
  <c r="H33" i="3317"/>
  <c r="H32" i="3317"/>
  <c r="H31" i="3317"/>
  <c r="H30" i="3317"/>
  <c r="H29" i="3317"/>
  <c r="H28" i="3317"/>
  <c r="H27" i="3317"/>
  <c r="C27" i="3317"/>
  <c r="H26" i="3317"/>
  <c r="H25" i="3317"/>
  <c r="H24" i="3317"/>
  <c r="H23" i="3317"/>
  <c r="C23" i="3317"/>
  <c r="H22" i="3317"/>
  <c r="C22" i="3317"/>
  <c r="H21" i="3317"/>
  <c r="B21" i="3317"/>
  <c r="H20" i="3317"/>
  <c r="H19" i="3317"/>
  <c r="C19" i="3317"/>
  <c r="H18" i="3317"/>
  <c r="H17" i="3317"/>
  <c r="H16" i="3317"/>
  <c r="B16" i="3317"/>
  <c r="C17" i="3317" s="1"/>
  <c r="H15" i="3317"/>
  <c r="C15" i="3317"/>
  <c r="H14" i="3317"/>
  <c r="C14" i="3317"/>
  <c r="H13" i="3317"/>
  <c r="C13" i="3317"/>
  <c r="H12" i="3317"/>
  <c r="C12" i="3317"/>
  <c r="H11" i="3317"/>
  <c r="C11" i="3317"/>
  <c r="H10" i="3317"/>
  <c r="C10" i="3317"/>
  <c r="H9" i="3317"/>
  <c r="C9" i="3317"/>
  <c r="H8" i="3317"/>
  <c r="C8" i="3317"/>
  <c r="N7" i="3317"/>
  <c r="H7" i="3317"/>
  <c r="C7" i="3317"/>
  <c r="N6" i="3317"/>
  <c r="H6" i="3317"/>
  <c r="B6" i="3317"/>
  <c r="N5" i="3317"/>
  <c r="H5" i="3317"/>
  <c r="B5" i="3317"/>
  <c r="N4" i="3317"/>
  <c r="H4" i="3317"/>
  <c r="N3" i="3317"/>
  <c r="H3" i="3317"/>
  <c r="N2" i="3317"/>
  <c r="H2" i="3317"/>
  <c r="C18" i="3317" l="1"/>
  <c r="C16" i="3317"/>
  <c r="B20" i="3317"/>
  <c r="H51" i="3315" l="1"/>
  <c r="H50" i="3315"/>
  <c r="H49" i="3315"/>
  <c r="H48" i="3315"/>
  <c r="H47" i="3315"/>
  <c r="H46" i="3315"/>
  <c r="H45" i="3315"/>
  <c r="H44" i="3315"/>
  <c r="H43" i="3315"/>
  <c r="H42" i="3315"/>
  <c r="H41" i="3315"/>
  <c r="H40" i="3315"/>
  <c r="H39" i="3315"/>
  <c r="H38" i="3315"/>
  <c r="H37" i="3315"/>
  <c r="H36" i="3315"/>
  <c r="H35" i="3315"/>
  <c r="H34" i="3315"/>
  <c r="H33" i="3315"/>
  <c r="H32" i="3315"/>
  <c r="H31" i="3315"/>
  <c r="H30" i="3315"/>
  <c r="H29" i="3315"/>
  <c r="H28" i="3315"/>
  <c r="H27" i="3315"/>
  <c r="C27" i="3315"/>
  <c r="H26" i="3315"/>
  <c r="H25" i="3315"/>
  <c r="H24" i="3315"/>
  <c r="H23" i="3315"/>
  <c r="C23" i="3315"/>
  <c r="H22" i="3315"/>
  <c r="C22" i="3315"/>
  <c r="H21" i="3315"/>
  <c r="B21" i="3315"/>
  <c r="H20" i="3315"/>
  <c r="H19" i="3315"/>
  <c r="C19" i="3315"/>
  <c r="H18" i="3315"/>
  <c r="H17" i="3315"/>
  <c r="H16" i="3315"/>
  <c r="B16" i="3315"/>
  <c r="C17" i="3315" s="1"/>
  <c r="H15" i="3315"/>
  <c r="C15" i="3315"/>
  <c r="H14" i="3315"/>
  <c r="C14" i="3315"/>
  <c r="H13" i="3315"/>
  <c r="C13" i="3315"/>
  <c r="H12" i="3315"/>
  <c r="C12" i="3315"/>
  <c r="H11" i="3315"/>
  <c r="C11" i="3315"/>
  <c r="H10" i="3315"/>
  <c r="C10" i="3315"/>
  <c r="H9" i="3315"/>
  <c r="C9" i="3315"/>
  <c r="H8" i="3315"/>
  <c r="C8" i="3315"/>
  <c r="N7" i="3315"/>
  <c r="H7" i="3315"/>
  <c r="C7" i="3315"/>
  <c r="N6" i="3315"/>
  <c r="H6" i="3315"/>
  <c r="B6" i="3315"/>
  <c r="N5" i="3315"/>
  <c r="H5" i="3315"/>
  <c r="B5" i="3315"/>
  <c r="N4" i="3315"/>
  <c r="H4" i="3315"/>
  <c r="N3" i="3315"/>
  <c r="H3" i="3315"/>
  <c r="N2" i="3315"/>
  <c r="H2" i="3315"/>
  <c r="H51" i="3313"/>
  <c r="H50" i="3313"/>
  <c r="H49" i="3313"/>
  <c r="H48" i="3313"/>
  <c r="H47" i="3313"/>
  <c r="H46" i="3313"/>
  <c r="H45" i="3313"/>
  <c r="H44" i="3313"/>
  <c r="H43" i="3313"/>
  <c r="H42" i="3313"/>
  <c r="H41" i="3313"/>
  <c r="H40" i="3313"/>
  <c r="H39" i="3313"/>
  <c r="H38" i="3313"/>
  <c r="H37" i="3313"/>
  <c r="H36" i="3313"/>
  <c r="H35" i="3313"/>
  <c r="H34" i="3313"/>
  <c r="H33" i="3313"/>
  <c r="H32" i="3313"/>
  <c r="H31" i="3313"/>
  <c r="H30" i="3313"/>
  <c r="H29" i="3313"/>
  <c r="H28" i="3313"/>
  <c r="H27" i="3313"/>
  <c r="C27" i="3313"/>
  <c r="H26" i="3313"/>
  <c r="H25" i="3313"/>
  <c r="H24" i="3313"/>
  <c r="H23" i="3313"/>
  <c r="C23" i="3313"/>
  <c r="H22" i="3313"/>
  <c r="C22" i="3313"/>
  <c r="H21" i="3313"/>
  <c r="B21" i="3313"/>
  <c r="H20" i="3313"/>
  <c r="H19" i="3313"/>
  <c r="C19" i="3313"/>
  <c r="H18" i="3313"/>
  <c r="H17" i="3313"/>
  <c r="H16" i="3313"/>
  <c r="B16" i="3313"/>
  <c r="C17" i="3313" s="1"/>
  <c r="H15" i="3313"/>
  <c r="C15" i="3313"/>
  <c r="H14" i="3313"/>
  <c r="C14" i="3313"/>
  <c r="H13" i="3313"/>
  <c r="C13" i="3313"/>
  <c r="H12" i="3313"/>
  <c r="C12" i="3313"/>
  <c r="H11" i="3313"/>
  <c r="C11" i="3313"/>
  <c r="H10" i="3313"/>
  <c r="C10" i="3313"/>
  <c r="H9" i="3313"/>
  <c r="C9" i="3313"/>
  <c r="H8" i="3313"/>
  <c r="C8" i="3313"/>
  <c r="N7" i="3313"/>
  <c r="H7" i="3313"/>
  <c r="C7" i="3313"/>
  <c r="N6" i="3313"/>
  <c r="H6" i="3313"/>
  <c r="B6" i="3313"/>
  <c r="N5" i="3313"/>
  <c r="H5" i="3313"/>
  <c r="B5" i="3313"/>
  <c r="N4" i="3313"/>
  <c r="H4" i="3313"/>
  <c r="N3" i="3313"/>
  <c r="H3" i="3313"/>
  <c r="N2" i="3313"/>
  <c r="H2" i="3313"/>
  <c r="C16" i="3315" l="1"/>
  <c r="C18" i="3315"/>
  <c r="B20" i="3315"/>
  <c r="C16" i="3313"/>
  <c r="C18" i="3313"/>
  <c r="B20" i="3313"/>
  <c r="H51" i="3311" l="1"/>
  <c r="H50" i="3311"/>
  <c r="H49" i="3311"/>
  <c r="H48" i="3311"/>
  <c r="H47" i="3311"/>
  <c r="H46" i="3311"/>
  <c r="H45" i="3311"/>
  <c r="H44" i="3311"/>
  <c r="H43" i="3311"/>
  <c r="H42" i="3311"/>
  <c r="H41" i="3311"/>
  <c r="H40" i="3311"/>
  <c r="H39" i="3311"/>
  <c r="H38" i="3311"/>
  <c r="H37" i="3311"/>
  <c r="H36" i="3311"/>
  <c r="H35" i="3311"/>
  <c r="H34" i="3311"/>
  <c r="H33" i="3311"/>
  <c r="H32" i="3311"/>
  <c r="H31" i="3311"/>
  <c r="H30" i="3311"/>
  <c r="H29" i="3311"/>
  <c r="H28" i="3311"/>
  <c r="H27" i="3311"/>
  <c r="C27" i="3311"/>
  <c r="H26" i="3311"/>
  <c r="H25" i="3311"/>
  <c r="H24" i="3311"/>
  <c r="H23" i="3311"/>
  <c r="C23" i="3311"/>
  <c r="H22" i="3311"/>
  <c r="C22" i="3311"/>
  <c r="H21" i="3311"/>
  <c r="B21" i="3311"/>
  <c r="H20" i="3311"/>
  <c r="H19" i="3311"/>
  <c r="C19" i="3311"/>
  <c r="H18" i="3311"/>
  <c r="H17" i="3311"/>
  <c r="H16" i="3311"/>
  <c r="B16" i="3311"/>
  <c r="C18" i="3311" s="1"/>
  <c r="H15" i="3311"/>
  <c r="C15" i="3311"/>
  <c r="H14" i="3311"/>
  <c r="C14" i="3311"/>
  <c r="H13" i="3311"/>
  <c r="C13" i="3311"/>
  <c r="H12" i="3311"/>
  <c r="C12" i="3311"/>
  <c r="H11" i="3311"/>
  <c r="C11" i="3311"/>
  <c r="H10" i="3311"/>
  <c r="C10" i="3311"/>
  <c r="H9" i="3311"/>
  <c r="C9" i="3311"/>
  <c r="H8" i="3311"/>
  <c r="C8" i="3311"/>
  <c r="N7" i="3311"/>
  <c r="H7" i="3311"/>
  <c r="C7" i="3311"/>
  <c r="N6" i="3311"/>
  <c r="H6" i="3311"/>
  <c r="B6" i="3311"/>
  <c r="N5" i="3311"/>
  <c r="H5" i="3311"/>
  <c r="B5" i="3311"/>
  <c r="N4" i="3311"/>
  <c r="H4" i="3311"/>
  <c r="N3" i="3311"/>
  <c r="H3" i="3311"/>
  <c r="N2" i="3311"/>
  <c r="H2" i="3311"/>
  <c r="H51" i="3309"/>
  <c r="H50" i="3309"/>
  <c r="H49" i="3309"/>
  <c r="H48" i="3309"/>
  <c r="H47" i="3309"/>
  <c r="H46" i="3309"/>
  <c r="H45" i="3309"/>
  <c r="H44" i="3309"/>
  <c r="H43" i="3309"/>
  <c r="H42" i="3309"/>
  <c r="H41" i="3309"/>
  <c r="H40" i="3309"/>
  <c r="H39" i="3309"/>
  <c r="H38" i="3309"/>
  <c r="H37" i="3309"/>
  <c r="H36" i="3309"/>
  <c r="H35" i="3309"/>
  <c r="H34" i="3309"/>
  <c r="H33" i="3309"/>
  <c r="H32" i="3309"/>
  <c r="H31" i="3309"/>
  <c r="H30" i="3309"/>
  <c r="H29" i="3309"/>
  <c r="H28" i="3309"/>
  <c r="H27" i="3309"/>
  <c r="C27" i="3309"/>
  <c r="H26" i="3309"/>
  <c r="H25" i="3309"/>
  <c r="H24" i="3309"/>
  <c r="H23" i="3309"/>
  <c r="C23" i="3309"/>
  <c r="H22" i="3309"/>
  <c r="C22" i="3309"/>
  <c r="H21" i="3309"/>
  <c r="B21" i="3309"/>
  <c r="H20" i="3309"/>
  <c r="H19" i="3309"/>
  <c r="C19" i="3309"/>
  <c r="H18" i="3309"/>
  <c r="H17" i="3309"/>
  <c r="H16" i="3309"/>
  <c r="B16" i="3309"/>
  <c r="C17" i="3309" s="1"/>
  <c r="H15" i="3309"/>
  <c r="C15" i="3309"/>
  <c r="H14" i="3309"/>
  <c r="C14" i="3309"/>
  <c r="H13" i="3309"/>
  <c r="C13" i="3309"/>
  <c r="H12" i="3309"/>
  <c r="C12" i="3309"/>
  <c r="H11" i="3309"/>
  <c r="C11" i="3309"/>
  <c r="H10" i="3309"/>
  <c r="C10" i="3309"/>
  <c r="H9" i="3309"/>
  <c r="C9" i="3309"/>
  <c r="H8" i="3309"/>
  <c r="C8" i="3309"/>
  <c r="N7" i="3309"/>
  <c r="H7" i="3309"/>
  <c r="C7" i="3309"/>
  <c r="N6" i="3309"/>
  <c r="H6" i="3309"/>
  <c r="B6" i="3309"/>
  <c r="N5" i="3309"/>
  <c r="H5" i="3309"/>
  <c r="B5" i="3309"/>
  <c r="N4" i="3309"/>
  <c r="H4" i="3309"/>
  <c r="N3" i="3309"/>
  <c r="H3" i="3309"/>
  <c r="N2" i="3309"/>
  <c r="H2" i="3309"/>
  <c r="H51" i="3307"/>
  <c r="H50" i="3307"/>
  <c r="H49" i="3307"/>
  <c r="H48" i="3307"/>
  <c r="H47" i="3307"/>
  <c r="H46" i="3307"/>
  <c r="H45" i="3307"/>
  <c r="H44" i="3307"/>
  <c r="H43" i="3307"/>
  <c r="H42" i="3307"/>
  <c r="H41" i="3307"/>
  <c r="H40" i="3307"/>
  <c r="H39" i="3307"/>
  <c r="H38" i="3307"/>
  <c r="H37" i="3307"/>
  <c r="H36" i="3307"/>
  <c r="H35" i="3307"/>
  <c r="H34" i="3307"/>
  <c r="H33" i="3307"/>
  <c r="H32" i="3307"/>
  <c r="H31" i="3307"/>
  <c r="H30" i="3307"/>
  <c r="H29" i="3307"/>
  <c r="H28" i="3307"/>
  <c r="H27" i="3307"/>
  <c r="C27" i="3307"/>
  <c r="H26" i="3307"/>
  <c r="H25" i="3307"/>
  <c r="H24" i="3307"/>
  <c r="H23" i="3307"/>
  <c r="C23" i="3307"/>
  <c r="H22" i="3307"/>
  <c r="C22" i="3307"/>
  <c r="H21" i="3307"/>
  <c r="B21" i="3307"/>
  <c r="H20" i="3307"/>
  <c r="H19" i="3307"/>
  <c r="C19" i="3307"/>
  <c r="H18" i="3307"/>
  <c r="H17" i="3307"/>
  <c r="H16" i="3307"/>
  <c r="B16" i="3307"/>
  <c r="C17" i="3307" s="1"/>
  <c r="H15" i="3307"/>
  <c r="C15" i="3307"/>
  <c r="H14" i="3307"/>
  <c r="C14" i="3307"/>
  <c r="H13" i="3307"/>
  <c r="C13" i="3307"/>
  <c r="H12" i="3307"/>
  <c r="C12" i="3307"/>
  <c r="H11" i="3307"/>
  <c r="C11" i="3307"/>
  <c r="H10" i="3307"/>
  <c r="C10" i="3307"/>
  <c r="H9" i="3307"/>
  <c r="C9" i="3307"/>
  <c r="H8" i="3307"/>
  <c r="C8" i="3307"/>
  <c r="N7" i="3307"/>
  <c r="H7" i="3307"/>
  <c r="C7" i="3307"/>
  <c r="N6" i="3307"/>
  <c r="H6" i="3307"/>
  <c r="B6" i="3307"/>
  <c r="N5" i="3307"/>
  <c r="H5" i="3307"/>
  <c r="B5" i="3307"/>
  <c r="N4" i="3307"/>
  <c r="H4" i="3307"/>
  <c r="N3" i="3307"/>
  <c r="H3" i="3307"/>
  <c r="N2" i="3307"/>
  <c r="H2" i="3307"/>
  <c r="H51" i="3305"/>
  <c r="H50" i="3305"/>
  <c r="H49" i="3305"/>
  <c r="H48" i="3305"/>
  <c r="H47" i="3305"/>
  <c r="H46" i="3305"/>
  <c r="H45" i="3305"/>
  <c r="H44" i="3305"/>
  <c r="H43" i="3305"/>
  <c r="H42" i="3305"/>
  <c r="H41" i="3305"/>
  <c r="H40" i="3305"/>
  <c r="H39" i="3305"/>
  <c r="H38" i="3305"/>
  <c r="H37" i="3305"/>
  <c r="H36" i="3305"/>
  <c r="H35" i="3305"/>
  <c r="H34" i="3305"/>
  <c r="H33" i="3305"/>
  <c r="H32" i="3305"/>
  <c r="H31" i="3305"/>
  <c r="H30" i="3305"/>
  <c r="H29" i="3305"/>
  <c r="H28" i="3305"/>
  <c r="H27" i="3305"/>
  <c r="C27" i="3305"/>
  <c r="H26" i="3305"/>
  <c r="H25" i="3305"/>
  <c r="H24" i="3305"/>
  <c r="H23" i="3305"/>
  <c r="C23" i="3305"/>
  <c r="H22" i="3305"/>
  <c r="C22" i="3305"/>
  <c r="H21" i="3305"/>
  <c r="B21" i="3305"/>
  <c r="H20" i="3305"/>
  <c r="H19" i="3305"/>
  <c r="C19" i="3305"/>
  <c r="H18" i="3305"/>
  <c r="H17" i="3305"/>
  <c r="H16" i="3305"/>
  <c r="B16" i="3305"/>
  <c r="C18" i="3305" s="1"/>
  <c r="H15" i="3305"/>
  <c r="C15" i="3305"/>
  <c r="H14" i="3305"/>
  <c r="C14" i="3305"/>
  <c r="H13" i="3305"/>
  <c r="C13" i="3305"/>
  <c r="H12" i="3305"/>
  <c r="C12" i="3305"/>
  <c r="H11" i="3305"/>
  <c r="C11" i="3305"/>
  <c r="H10" i="3305"/>
  <c r="C10" i="3305"/>
  <c r="H9" i="3305"/>
  <c r="C9" i="3305"/>
  <c r="H8" i="3305"/>
  <c r="C8" i="3305"/>
  <c r="N7" i="3305"/>
  <c r="H7" i="3305"/>
  <c r="C7" i="3305"/>
  <c r="N6" i="3305"/>
  <c r="H6" i="3305"/>
  <c r="B6" i="3305"/>
  <c r="N5" i="3305"/>
  <c r="H5" i="3305"/>
  <c r="B5" i="3305"/>
  <c r="N4" i="3305"/>
  <c r="H4" i="3305"/>
  <c r="N3" i="3305"/>
  <c r="H3" i="3305"/>
  <c r="N2" i="3305"/>
  <c r="H2" i="3305"/>
  <c r="C16" i="3309" l="1"/>
  <c r="B20" i="3305"/>
  <c r="C16" i="3311"/>
  <c r="B20" i="3311"/>
  <c r="C17" i="3311"/>
  <c r="C18" i="3309"/>
  <c r="B20" i="3309"/>
  <c r="C16" i="3307"/>
  <c r="C18" i="3307"/>
  <c r="B20" i="3307"/>
  <c r="C16" i="3305"/>
  <c r="C17" i="3305"/>
  <c r="C27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<sst xmlns="http://schemas.openxmlformats.org/spreadsheetml/2006/main" count="2722" uniqueCount="226">
  <si>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</si>
  <si>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</si>
  <si>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</si>
  <si>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</si>
  <si>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</si>
  <si>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</si>
  <si>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</si>
  <si>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</si>
  <si>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</si>
  <si>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</si>
  <si>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</si>
  <si>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</si>
  <si>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</si>
  <si>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</si>
  <si>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</si>
  <si>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</si>
  <si>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</si>
  <si>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</si>
  <si>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</si>
  <si>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</si>
  <si>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</si>
  <si>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</si>
  <si>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</si>
  <si>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</si>
  <si>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</si>
  <si>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</si>
  <si>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</si>
  <si>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</si>
  <si>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</si>
  <si>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</si>
  <si>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</si>
  <si>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</si>
  <si>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</si>
  <si>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</si>
  <si>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</si>
  <si>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</si>
  <si>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</si>
  <si>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</si>
  <si>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</si>
  <si>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</si>
  <si>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</si>
  <si>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</si>
  <si>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</si>
  <si>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</si>
  <si>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</si>
  <si>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</si>
  <si>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</si>
  <si>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</si>
  <si>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</si>
  <si>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</si>
  <si>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</si>
  <si>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</si>
  <si>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</si>
  <si>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</si>
  <si>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</si>
  <si>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</si>
  <si>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</si>
  <si>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</si>
  <si>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</si>
  <si>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</si>
  <si>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</si>
  <si>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</si>
  <si>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</si>
  <si>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</si>
  <si>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</si>
  <si>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</si>
  <si>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</si>
  <si>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</si>
  <si>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</si>
  <si>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</si>
  <si>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</si>
  <si>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</si>
  <si>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</si>
  <si>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</si>
  <si>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</si>
  <si>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</si>
  <si>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</si>
  <si>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</si>
  <si>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</si>
  <si>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</si>
  <si>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</si>
  <si>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</si>
  <si>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</si>
  <si>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</si>
  <si>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</si>
  <si>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</si>
  <si>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</si>
  <si>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</si>
  <si>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</si>
  <si>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</si>
  <si>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</si>
  <si>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</si>
  <si>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</si>
  <si>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</si>
  <si>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</si>
  <si>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</si>
  <si>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</si>
  <si>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</si>
  <si>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</si>
  <si>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</si>
  <si>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</si>
  <si>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</si>
  <si>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</si>
  <si>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</si>
  <si>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</si>
  <si>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</si>
  <si>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</si>
  <si>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</si>
  <si>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</si>
  <si>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</si>
  <si>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</si>
  <si>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</si>
  <si>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</si>
  <si>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</si>
  <si>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</si>
  <si>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</si>
  <si>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</si>
  <si>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</si>
  <si>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</si>
  <si>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</si>
  <si>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</si>
  <si>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</si>
  <si>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</si>
  <si>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</si>
  <si>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</si>
  <si>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</si>
  <si>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</si>
  <si>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</si>
  <si>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</si>
  <si>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</si>
  <si>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</si>
  <si>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</si>
  <si>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</si>
  <si>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</si>
  <si>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</si>
  <si>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</si>
  <si>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</si>
  <si>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</si>
  <si>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</si>
  <si>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</si>
  <si>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</si>
  <si>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</si>
  <si>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</si>
  <si>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</si>
  <si>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</si>
  <si>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</si>
  <si>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</si>
  <si>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</si>
  <si>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</si>
  <si>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</si>
  <si>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</si>
  <si>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</si>
  <si>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</si>
  <si>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</si>
  <si>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</si>
  <si>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</si>
  <si>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</si>
  <si>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</si>
  <si>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</si>
  <si>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</si>
  <si>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</si>
  <si>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</si>
  <si>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</si>
  <si>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</si>
  <si>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</si>
  <si>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</si>
  <si>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</si>
  <si>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</si>
  <si>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</si>
  <si>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</si>
  <si>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</si>
  <si>
    <t>2019-01-25.xlsm</t>
  </si>
  <si>
    <t>2019-01-26.xlsm</t>
  </si>
  <si>
    <t>全体</t>
  </si>
  <si>
    <t>2019-01-27.xlsm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</si>
  <si>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</si>
  <si>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</si>
  <si>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</si>
  <si>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</si>
  <si>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</si>
  <si>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</si>
  <si>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</si>
  <si>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</si>
  <si>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</si>
  <si>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</si>
  <si>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</si>
  <si>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</si>
  <si>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</si>
  <si>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</si>
  <si>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</si>
  <si>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</si>
  <si>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</si>
  <si>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</si>
  <si>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</si>
  <si>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</si>
  <si>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</si>
  <si>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</si>
  <si>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</si>
  <si>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</si>
  <si>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</si>
  <si>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</si>
  <si>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</si>
  <si>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</si>
  <si>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</si>
  <si>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</si>
  <si>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</si>
  <si>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</si>
  <si>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</si>
  <si>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</si>
  <si>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</si>
  <si>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</si>
  <si>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</si>
  <si>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</si>
  <si>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</si>
  <si>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</si>
  <si>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</si>
  <si>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</si>
  <si>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</si>
  <si>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あさひ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</si>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</sst>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2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0" fontId="0" fillId="0" borderId="29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3" fontId="0" fillId="0" borderId="30" xfId="0" applyNumberFormat="1" applyBorder="1" applyAlignment="1">
      <alignment horizontal="center" vertical="center" shrinkToFit="1"/>
    </xf>
    <xf numFmtId="183" fontId="0" fillId="0" borderId="31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4.xml"/><Relationship Id="rId42" Type="http://schemas.openxmlformats.org/officeDocument/2006/relationships/chartsheet" Target="chartsheets/sheet1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3.xml"/><Relationship Id="rId38" Type="http://schemas.openxmlformats.org/officeDocument/2006/relationships/chartsheet" Target="chartsheets/sheet8.xml"/><Relationship Id="rId46" Type="http://schemas.openxmlformats.org/officeDocument/2006/relationships/chartsheet" Target="chartsheets/sheet1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2.xml"/><Relationship Id="rId37" Type="http://schemas.openxmlformats.org/officeDocument/2006/relationships/chartsheet" Target="chartsheets/sheet7.xml"/><Relationship Id="rId40" Type="http://schemas.openxmlformats.org/officeDocument/2006/relationships/chartsheet" Target="chartsheets/sheet10.xml"/><Relationship Id="rId45" Type="http://schemas.openxmlformats.org/officeDocument/2006/relationships/chartsheet" Target="chartsheets/sheet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.xml"/><Relationship Id="rId44" Type="http://schemas.openxmlformats.org/officeDocument/2006/relationships/chartsheet" Target="chartsheets/sheet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5.xml"/><Relationship Id="rId43" Type="http://schemas.openxmlformats.org/officeDocument/2006/relationships/chartsheet" Target="chartsheets/sheet1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全体1!$K$2:$K$9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14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38.9</c:v>
                </c:pt>
                <c:pt idx="6">
                  <c:v>0</c:v>
                </c:pt>
                <c:pt idx="7">
                  <c:v>15.1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6B-498F-9AA8-6A4526E15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全体1!$N$2:$N$7</c:f>
              <c:numCache>
                <c:formatCode>0</c:formatCode>
                <c:ptCount val="6"/>
                <c:pt idx="0">
                  <c:v>-10.810810810810811</c:v>
                </c:pt>
                <c:pt idx="1">
                  <c:v>-3.766478342749529</c:v>
                </c:pt>
                <c:pt idx="2">
                  <c:v>10.16260162601626</c:v>
                </c:pt>
                <c:pt idx="3">
                  <c:v>2.2522522522522523</c:v>
                </c:pt>
                <c:pt idx="4">
                  <c:v>2.6455026455026456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A-4D17-886A-371B1F945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14</c:v>
                </c:pt>
                <c:pt idx="2">
                  <c:v>13</c:v>
                </c:pt>
                <c:pt idx="3">
                  <c:v>28.1</c:v>
                </c:pt>
                <c:pt idx="4">
                  <c:v>112.30000000000001</c:v>
                </c:pt>
                <c:pt idx="5">
                  <c:v>142.80000000000001</c:v>
                </c:pt>
                <c:pt idx="6">
                  <c:v>95.800000000000011</c:v>
                </c:pt>
                <c:pt idx="7">
                  <c:v>90.700000000000017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F-46BB-AC26-12D5544B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だいち1!$N$2:$N$7</c:f>
              <c:numCache>
                <c:formatCode>0</c:formatCode>
                <c:ptCount val="6"/>
                <c:pt idx="0">
                  <c:v>1035.5828220858896</c:v>
                </c:pt>
                <c:pt idx="1">
                  <c:v>992.9487179487179</c:v>
                </c:pt>
                <c:pt idx="2">
                  <c:v>1046.5277777777778</c:v>
                </c:pt>
                <c:pt idx="3">
                  <c:v>1240.7692307692307</c:v>
                </c:pt>
                <c:pt idx="4">
                  <c:v>907.20720720720726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B-46BF-8E0A-342351E3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-21</c:v>
                </c:pt>
                <c:pt idx="2">
                  <c:v>-58.4</c:v>
                </c:pt>
                <c:pt idx="3">
                  <c:v>-82.6</c:v>
                </c:pt>
                <c:pt idx="4">
                  <c:v>-128.1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3-4CC5-B850-E1585E001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かこたろう1!$N$2:$N$7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7-4835-9622-45629BD6D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7</c:v>
                </c:pt>
                <c:pt idx="2">
                  <c:v>-23.5</c:v>
                </c:pt>
                <c:pt idx="3">
                  <c:v>-25.5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F5-436B-9A23-E1FDEFF8C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ともき1!$N$2:$N$7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4-4FD9-924C-535C34752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りくと1!$K$2:$K$9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39.9</c:v>
                </c:pt>
                <c:pt idx="2">
                  <c:v>-0.89999999999999858</c:v>
                </c:pt>
                <c:pt idx="3">
                  <c:v>-35.4</c:v>
                </c:pt>
                <c:pt idx="4">
                  <c:v>3.6000000000000014</c:v>
                </c:pt>
                <c:pt idx="5">
                  <c:v>13.600000000000001</c:v>
                </c:pt>
                <c:pt idx="6">
                  <c:v>45.6</c:v>
                </c:pt>
                <c:pt idx="7">
                  <c:v>97.1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4-4264-AC57-8C3B0167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りくと1!$N$2:$N$7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C6-4526-AC99-70BE1C47E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-38.9</c:v>
                </c:pt>
                <c:pt idx="2">
                  <c:v>-13.2</c:v>
                </c:pt>
                <c:pt idx="3">
                  <c:v>-56.7</c:v>
                </c:pt>
                <c:pt idx="4">
                  <c:v>-52.7</c:v>
                </c:pt>
                <c:pt idx="5">
                  <c:v>-44.7</c:v>
                </c:pt>
                <c:pt idx="6">
                  <c:v>-49.6</c:v>
                </c:pt>
                <c:pt idx="7">
                  <c:v>-46.6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F-462E-9C7E-3BC191CD7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いっしー1!$N$2:$N$7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6D-47D0-8EC5-B0E0D01A6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-40.700000000000003</c:v>
                </c:pt>
                <c:pt idx="2">
                  <c:v>-80.7</c:v>
                </c:pt>
                <c:pt idx="3">
                  <c:v>-87.9</c:v>
                </c:pt>
                <c:pt idx="4">
                  <c:v>-107.2</c:v>
                </c:pt>
                <c:pt idx="5">
                  <c:v>-85.4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E-4D65-97B2-A908FEE1F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がくと1!$N$2:$N$7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26-4A25-9528-785F21A62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たかの1!$K$2:$K$9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67.2</c:v>
                </c:pt>
                <c:pt idx="2">
                  <c:v>58.5</c:v>
                </c:pt>
                <c:pt idx="3">
                  <c:v>81.099999999999994</c:v>
                </c:pt>
                <c:pt idx="4">
                  <c:v>56.699999999999996</c:v>
                </c:pt>
                <c:pt idx="5">
                  <c:v>121.69999999999999</c:v>
                </c:pt>
                <c:pt idx="6">
                  <c:v>123.19999999999999</c:v>
                </c:pt>
                <c:pt idx="7">
                  <c:v>125.99999999999999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56-4C88-823F-7236D745F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たかの1!$N$2:$N$7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3-47EE-AF83-7B0A26C49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-35.700000000000003</c:v>
                </c:pt>
                <c:pt idx="2">
                  <c:v>-44.300000000000004</c:v>
                </c:pt>
                <c:pt idx="3">
                  <c:v>-79.7</c:v>
                </c:pt>
                <c:pt idx="4">
                  <c:v>-111.30000000000001</c:v>
                </c:pt>
                <c:pt idx="5">
                  <c:v>-133.30000000000001</c:v>
                </c:pt>
                <c:pt idx="6">
                  <c:v>-98.800000000000011</c:v>
                </c:pt>
                <c:pt idx="7">
                  <c:v>-103.20000000000002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0D-461F-BD53-6B8DD55BF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ただ1!$N$2:$N$7</c:f>
              <c:numCache>
                <c:formatCode>0</c:formatCode>
                <c:ptCount val="6"/>
                <c:pt idx="0">
                  <c:v>3038.4615384615386</c:v>
                </c:pt>
                <c:pt idx="1">
                  <c:v>106.55737704918033</c:v>
                </c:pt>
                <c:pt idx="2">
                  <c:v>494.64285714285717</c:v>
                </c:pt>
                <c:pt idx="3">
                  <c:v>-1160.3773584905659</c:v>
                </c:pt>
                <c:pt idx="4">
                  <c:v>100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2E-4C6C-8E24-5E7E24DF3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やがさき1!$K$2:$K$9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-14.4</c:v>
                </c:pt>
                <c:pt idx="2">
                  <c:v>36.6</c:v>
                </c:pt>
                <c:pt idx="3">
                  <c:v>-2.7999999999999972</c:v>
                </c:pt>
                <c:pt idx="4">
                  <c:v>-43.3</c:v>
                </c:pt>
                <c:pt idx="5">
                  <c:v>8.2000000000000028</c:v>
                </c:pt>
                <c:pt idx="6">
                  <c:v>22.200000000000003</c:v>
                </c:pt>
                <c:pt idx="7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D-415D-8B0D-F490F71AC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やがさき1!$N$2:$N$7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89-4B16-A88B-F37A55087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3.9</c:v>
                </c:pt>
                <c:pt idx="2">
                  <c:v>-32.9</c:v>
                </c:pt>
                <c:pt idx="3">
                  <c:v>-68.099999999999994</c:v>
                </c:pt>
                <c:pt idx="4">
                  <c:v>-34.099999999999994</c:v>
                </c:pt>
                <c:pt idx="5">
                  <c:v>-78.099999999999994</c:v>
                </c:pt>
                <c:pt idx="6">
                  <c:v>-113.1</c:v>
                </c:pt>
                <c:pt idx="7">
                  <c:v>-143.4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7-4E54-8367-FA5BCF942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れんたろう1!$N$2:$N$7</c:f>
              <c:numCache>
                <c:formatCode>0</c:formatCode>
                <c:ptCount val="6"/>
                <c:pt idx="0">
                  <c:v>-1647.457627118644</c:v>
                </c:pt>
                <c:pt idx="1">
                  <c:v>-1205.0847457627119</c:v>
                </c:pt>
                <c:pt idx="2">
                  <c:v>-3166.0714285714284</c:v>
                </c:pt>
                <c:pt idx="3">
                  <c:v>-759.61538461538464</c:v>
                </c:pt>
                <c:pt idx="4">
                  <c:v>-866.66666666666663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0F-4B7E-80F9-EA7D13B2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27.3</c:v>
                </c:pt>
                <c:pt idx="2">
                  <c:v>69.3</c:v>
                </c:pt>
                <c:pt idx="3">
                  <c:v>56.3</c:v>
                </c:pt>
                <c:pt idx="4">
                  <c:v>63.5</c:v>
                </c:pt>
                <c:pt idx="5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1-4954-A861-C01426E89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あさひ1!$N$2:$N$7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BF-44F0-BE64-7111BF103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まっつん1!$J$2:$J$9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まっつん1!$K$2:$K$9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B4-46BF-950A-C170BC62C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まっつん1!$N$2:$N$7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7E-48AE-873E-D2688E14C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まっつん2!$B$3:$B$22</c:f>
              <c:numCache>
                <c:formatCode>\+0.0;\-0.0;\±0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  <c:pt idx="8">
                  <c:v>-2.4999999999999964</c:v>
                </c:pt>
                <c:pt idx="9">
                  <c:v>-7.3999999999999968</c:v>
                </c:pt>
                <c:pt idx="10">
                  <c:v>-21.299999999999997</c:v>
                </c:pt>
                <c:pt idx="11">
                  <c:v>-66</c:v>
                </c:pt>
                <c:pt idx="12">
                  <c:v>-40.799999999999997</c:v>
                </c:pt>
                <c:pt idx="13">
                  <c:v>-9.0999999999999943</c:v>
                </c:pt>
                <c:pt idx="14">
                  <c:v>-4.7999999999999945</c:v>
                </c:pt>
                <c:pt idx="15">
                  <c:v>-42.199999999999996</c:v>
                </c:pt>
                <c:pt idx="16">
                  <c:v>-24.599999999999994</c:v>
                </c:pt>
                <c:pt idx="17">
                  <c:v>-37.799999999999997</c:v>
                </c:pt>
                <c:pt idx="18">
                  <c:v>-57.4</c:v>
                </c:pt>
                <c:pt idx="19">
                  <c:v>-57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まっつん2!$C$3:$C$22</c:f>
              <c:numCache>
                <c:formatCode>\+0.0;\-0.0;\±0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-11.649999999999999</c:v>
                </c:pt>
                <c:pt idx="3">
                  <c:v>-4.8666666666666663</c:v>
                </c:pt>
                <c:pt idx="4">
                  <c:v>1.5250000000000004</c:v>
                </c:pt>
                <c:pt idx="5">
                  <c:v>2.12</c:v>
                </c:pt>
                <c:pt idx="6">
                  <c:v>0.70000000000000018</c:v>
                </c:pt>
                <c:pt idx="7">
                  <c:v>4.0285714285714294</c:v>
                </c:pt>
                <c:pt idx="8">
                  <c:v>-0.31249999999999956</c:v>
                </c:pt>
                <c:pt idx="9">
                  <c:v>-0.82222222222222185</c:v>
                </c:pt>
                <c:pt idx="10">
                  <c:v>-2.13</c:v>
                </c:pt>
                <c:pt idx="11">
                  <c:v>-6</c:v>
                </c:pt>
                <c:pt idx="12">
                  <c:v>-3.4</c:v>
                </c:pt>
                <c:pt idx="13">
                  <c:v>-0.69999999999999951</c:v>
                </c:pt>
                <c:pt idx="14">
                  <c:v>-0.34285714285714247</c:v>
                </c:pt>
                <c:pt idx="15">
                  <c:v>-2.813333333333333</c:v>
                </c:pt>
                <c:pt idx="16">
                  <c:v>-1.5374999999999996</c:v>
                </c:pt>
                <c:pt idx="17">
                  <c:v>-2.2235294117647055</c:v>
                </c:pt>
                <c:pt idx="18">
                  <c:v>-3.1888888888888887</c:v>
                </c:pt>
                <c:pt idx="19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78-456D-A867-3CC484A1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まっつん2!$D$4:$D$22</c:f>
              <c:numCache>
                <c:formatCode>0.00\ "位"</c:formatCode>
                <c:ptCount val="19"/>
                <c:pt idx="0">
                  <c:v>2</c:v>
                </c:pt>
                <c:pt idx="1">
                  <c:v>2.5</c:v>
                </c:pt>
                <c:pt idx="2">
                  <c:v>2.3333333333333335</c:v>
                </c:pt>
                <c:pt idx="3">
                  <c:v>2.25</c:v>
                </c:pt>
                <c:pt idx="4">
                  <c:v>2.2000000000000002</c:v>
                </c:pt>
                <c:pt idx="5">
                  <c:v>2.3333333333333335</c:v>
                </c:pt>
                <c:pt idx="6">
                  <c:v>2.1428571428571428</c:v>
                </c:pt>
                <c:pt idx="7">
                  <c:v>2.25</c:v>
                </c:pt>
                <c:pt idx="8">
                  <c:v>2.2222222222222223</c:v>
                </c:pt>
                <c:pt idx="9">
                  <c:v>2.2999999999999998</c:v>
                </c:pt>
                <c:pt idx="10">
                  <c:v>2.3636363636363638</c:v>
                </c:pt>
                <c:pt idx="11">
                  <c:v>2.25</c:v>
                </c:pt>
                <c:pt idx="12">
                  <c:v>2.1538461538461537</c:v>
                </c:pt>
                <c:pt idx="13">
                  <c:v>2.0714285714285716</c:v>
                </c:pt>
                <c:pt idx="14">
                  <c:v>2.1333333333333333</c:v>
                </c:pt>
                <c:pt idx="15">
                  <c:v>2.0625</c:v>
                </c:pt>
                <c:pt idx="16">
                  <c:v>2.1176470588235294</c:v>
                </c:pt>
                <c:pt idx="17">
                  <c:v>2.1666666666666665</c:v>
                </c:pt>
                <c:pt idx="18">
                  <c:v>2.1578947368421053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まっつん2!$E$4:$E$22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0.1</c:v>
                </c:pt>
                <c:pt idx="10">
                  <c:v>9.0909090909090912E-2</c:v>
                </c:pt>
                <c:pt idx="11">
                  <c:v>0.16666666666666666</c:v>
                </c:pt>
                <c:pt idx="12">
                  <c:v>0.23076923076923078</c:v>
                </c:pt>
                <c:pt idx="13">
                  <c:v>0.2857142857142857</c:v>
                </c:pt>
                <c:pt idx="14">
                  <c:v>0.26666666666666666</c:v>
                </c:pt>
                <c:pt idx="15">
                  <c:v>0.3125</c:v>
                </c:pt>
                <c:pt idx="16">
                  <c:v>0.29411764705882354</c:v>
                </c:pt>
                <c:pt idx="17">
                  <c:v>0.27777777777777779</c:v>
                </c:pt>
                <c:pt idx="18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まっつん2!$F$4:$F$22</c:f>
              <c:numCache>
                <c:formatCode>0.0%</c:formatCode>
                <c:ptCount val="19"/>
                <c:pt idx="0">
                  <c:v>0.2857142857142857</c:v>
                </c:pt>
                <c:pt idx="1">
                  <c:v>0.14285714285714285</c:v>
                </c:pt>
                <c:pt idx="2">
                  <c:v>0.25</c:v>
                </c:pt>
                <c:pt idx="3">
                  <c:v>0.27586206896551724</c:v>
                </c:pt>
                <c:pt idx="4">
                  <c:v>0.27272727272727271</c:v>
                </c:pt>
                <c:pt idx="5">
                  <c:v>0.20930232558139536</c:v>
                </c:pt>
                <c:pt idx="6">
                  <c:v>0.22916666666666666</c:v>
                </c:pt>
                <c:pt idx="7">
                  <c:v>0.21052631578947367</c:v>
                </c:pt>
                <c:pt idx="8">
                  <c:v>0.22727272727272727</c:v>
                </c:pt>
                <c:pt idx="9">
                  <c:v>0.23076923076923078</c:v>
                </c:pt>
                <c:pt idx="10">
                  <c:v>0.21176470588235294</c:v>
                </c:pt>
                <c:pt idx="11">
                  <c:v>0.23404255319148937</c:v>
                </c:pt>
                <c:pt idx="12">
                  <c:v>0.25714285714285712</c:v>
                </c:pt>
                <c:pt idx="13">
                  <c:v>0.25438596491228072</c:v>
                </c:pt>
                <c:pt idx="14">
                  <c:v>0.24576271186440679</c:v>
                </c:pt>
                <c:pt idx="15">
                  <c:v>0.26400000000000001</c:v>
                </c:pt>
                <c:pt idx="16">
                  <c:v>0.26119402985074625</c:v>
                </c:pt>
                <c:pt idx="17">
                  <c:v>0.25874125874125875</c:v>
                </c:pt>
                <c:pt idx="18">
                  <c:v>0.26490066225165565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まっつん2!$G$4:$G$22</c:f>
              <c:numCache>
                <c:formatCode>0.0%</c:formatCode>
                <c:ptCount val="19"/>
                <c:pt idx="0">
                  <c:v>0</c:v>
                </c:pt>
                <c:pt idx="1">
                  <c:v>0.21428571428571427</c:v>
                </c:pt>
                <c:pt idx="2">
                  <c:v>0.20833333333333334</c:v>
                </c:pt>
                <c:pt idx="3">
                  <c:v>0.20689655172413793</c:v>
                </c:pt>
                <c:pt idx="4">
                  <c:v>0.18181818181818182</c:v>
                </c:pt>
                <c:pt idx="5">
                  <c:v>0.16279069767441862</c:v>
                </c:pt>
                <c:pt idx="6">
                  <c:v>0.14583333333333334</c:v>
                </c:pt>
                <c:pt idx="7">
                  <c:v>0.17543859649122806</c:v>
                </c:pt>
                <c:pt idx="8">
                  <c:v>0.16666666666666666</c:v>
                </c:pt>
                <c:pt idx="9">
                  <c:v>0.15384615384615385</c:v>
                </c:pt>
                <c:pt idx="10">
                  <c:v>0.17647058823529413</c:v>
                </c:pt>
                <c:pt idx="11">
                  <c:v>0.15957446808510639</c:v>
                </c:pt>
                <c:pt idx="12">
                  <c:v>0.16190476190476191</c:v>
                </c:pt>
                <c:pt idx="13">
                  <c:v>0.16666666666666666</c:v>
                </c:pt>
                <c:pt idx="14">
                  <c:v>0.17796610169491525</c:v>
                </c:pt>
                <c:pt idx="15">
                  <c:v>0.192</c:v>
                </c:pt>
                <c:pt idx="16">
                  <c:v>0.17910447761194029</c:v>
                </c:pt>
                <c:pt idx="17">
                  <c:v>0.16783216783216784</c:v>
                </c:pt>
                <c:pt idx="18">
                  <c:v>0.17218543046357615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まっつん2!$H$4:$H$22</c:f>
              <c:numCache>
                <c:formatCode>0</c:formatCode>
                <c:ptCount val="19"/>
                <c:pt idx="0">
                  <c:v>13000</c:v>
                </c:pt>
                <c:pt idx="1">
                  <c:v>13000</c:v>
                </c:pt>
                <c:pt idx="2">
                  <c:v>9650</c:v>
                </c:pt>
                <c:pt idx="3">
                  <c:v>10237.5</c:v>
                </c:pt>
                <c:pt idx="4">
                  <c:v>9988.8888888888887</c:v>
                </c:pt>
                <c:pt idx="5">
                  <c:v>9988.8888888888887</c:v>
                </c:pt>
                <c:pt idx="6">
                  <c:v>10354.545454545454</c:v>
                </c:pt>
                <c:pt idx="7">
                  <c:v>10158.333333333334</c:v>
                </c:pt>
                <c:pt idx="8">
                  <c:v>9073.3333333333339</c:v>
                </c:pt>
                <c:pt idx="9">
                  <c:v>8566.6666666666661</c:v>
                </c:pt>
                <c:pt idx="10">
                  <c:v>8566.6666666666661</c:v>
                </c:pt>
                <c:pt idx="11">
                  <c:v>8427.2727272727279</c:v>
                </c:pt>
                <c:pt idx="12">
                  <c:v>9088.8888888888887</c:v>
                </c:pt>
                <c:pt idx="13">
                  <c:v>9703.4482758620688</c:v>
                </c:pt>
                <c:pt idx="14">
                  <c:v>9703.4482758620688</c:v>
                </c:pt>
                <c:pt idx="15">
                  <c:v>10090.90909090909</c:v>
                </c:pt>
                <c:pt idx="16">
                  <c:v>10022.857142857143</c:v>
                </c:pt>
                <c:pt idx="17">
                  <c:v>9729.72972972973</c:v>
                </c:pt>
                <c:pt idx="18">
                  <c:v>9597.5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5F-4672-B192-230FDF93D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まっつん2!$I$4:$I$22</c:f>
              <c:numCache>
                <c:formatCode>0</c:formatCode>
                <c:ptCount val="19"/>
                <c:pt idx="0">
                  <c:v>0</c:v>
                </c:pt>
                <c:pt idx="1">
                  <c:v>-8000</c:v>
                </c:pt>
                <c:pt idx="2">
                  <c:v>-7940</c:v>
                </c:pt>
                <c:pt idx="3">
                  <c:v>-7416.666666666667</c:v>
                </c:pt>
                <c:pt idx="4">
                  <c:v>-7416.666666666667</c:v>
                </c:pt>
                <c:pt idx="5">
                  <c:v>-6914.2857142857147</c:v>
                </c:pt>
                <c:pt idx="6">
                  <c:v>-6914.2857142857147</c:v>
                </c:pt>
                <c:pt idx="7">
                  <c:v>-6560</c:v>
                </c:pt>
                <c:pt idx="8">
                  <c:v>-6200</c:v>
                </c:pt>
                <c:pt idx="9">
                  <c:v>-6350</c:v>
                </c:pt>
                <c:pt idx="10">
                  <c:v>-7726.666666666667</c:v>
                </c:pt>
                <c:pt idx="11">
                  <c:v>-7726.666666666667</c:v>
                </c:pt>
                <c:pt idx="12">
                  <c:v>-7364.7058823529414</c:v>
                </c:pt>
                <c:pt idx="13">
                  <c:v>-7494.7368421052633</c:v>
                </c:pt>
                <c:pt idx="14">
                  <c:v>-8109.5238095238092</c:v>
                </c:pt>
                <c:pt idx="15">
                  <c:v>-8429.1666666666661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-8165.3846153846152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2-4746-94E9-E980F7C5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まっつん2!$J$4:$J$22</c:f>
              <c:numCache>
                <c:formatCode>0.0%</c:formatCode>
                <c:ptCount val="19"/>
                <c:pt idx="0">
                  <c:v>0</c:v>
                </c:pt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0.1</c:v>
                </c:pt>
                <c:pt idx="10">
                  <c:v>0.18181818181818182</c:v>
                </c:pt>
                <c:pt idx="11">
                  <c:v>0.16666666666666666</c:v>
                </c:pt>
                <c:pt idx="12">
                  <c:v>0.15384615384615385</c:v>
                </c:pt>
                <c:pt idx="13">
                  <c:v>0.14285714285714285</c:v>
                </c:pt>
                <c:pt idx="14">
                  <c:v>0.2</c:v>
                </c:pt>
                <c:pt idx="15">
                  <c:v>0.1875</c:v>
                </c:pt>
                <c:pt idx="16">
                  <c:v>0.17647058823529413</c:v>
                </c:pt>
                <c:pt idx="17">
                  <c:v>0.16666666666666666</c:v>
                </c:pt>
                <c:pt idx="18">
                  <c:v>0.15789473684210525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F-4237-831E-CF7DF6A6C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まっつん2!$K$4:$K$22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0.1</c:v>
                </c:pt>
                <c:pt idx="10">
                  <c:v>9.0909090909090912E-2</c:v>
                </c:pt>
                <c:pt idx="11">
                  <c:v>8.3333333333333329E-2</c:v>
                </c:pt>
                <c:pt idx="12">
                  <c:v>0.15384615384615385</c:v>
                </c:pt>
                <c:pt idx="13">
                  <c:v>0.14285714285714285</c:v>
                </c:pt>
                <c:pt idx="14">
                  <c:v>0.13333333333333333</c:v>
                </c:pt>
                <c:pt idx="15">
                  <c:v>0.125</c:v>
                </c:pt>
                <c:pt idx="16">
                  <c:v>0.11764705882352941</c:v>
                </c:pt>
                <c:pt idx="17">
                  <c:v>0.1111111111111111</c:v>
                </c:pt>
                <c:pt idx="18">
                  <c:v>0.10526315789473684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E-4A00-BDF4-C06CBDF3A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まっつん2!$L$4:$L$22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4.1666666666666664E-2</c:v>
                </c:pt>
                <c:pt idx="3">
                  <c:v>6.8965517241379309E-2</c:v>
                </c:pt>
                <c:pt idx="4">
                  <c:v>6.0606060606060608E-2</c:v>
                </c:pt>
                <c:pt idx="5">
                  <c:v>6.9767441860465115E-2</c:v>
                </c:pt>
                <c:pt idx="6">
                  <c:v>6.25E-2</c:v>
                </c:pt>
                <c:pt idx="7">
                  <c:v>7.0175438596491224E-2</c:v>
                </c:pt>
                <c:pt idx="8">
                  <c:v>7.575757575757576E-2</c:v>
                </c:pt>
                <c:pt idx="9">
                  <c:v>0.10256410256410256</c:v>
                </c:pt>
                <c:pt idx="10">
                  <c:v>9.4117647058823528E-2</c:v>
                </c:pt>
                <c:pt idx="11">
                  <c:v>0.11702127659574468</c:v>
                </c:pt>
                <c:pt idx="12">
                  <c:v>0.16190476190476191</c:v>
                </c:pt>
                <c:pt idx="13">
                  <c:v>0.17543859649122806</c:v>
                </c:pt>
                <c:pt idx="14">
                  <c:v>0.1864406779661017</c:v>
                </c:pt>
                <c:pt idx="15">
                  <c:v>0.2</c:v>
                </c:pt>
                <c:pt idx="16">
                  <c:v>0.19402985074626866</c:v>
                </c:pt>
                <c:pt idx="17">
                  <c:v>0.18181818181818182</c:v>
                </c:pt>
                <c:pt idx="18">
                  <c:v>0.17880794701986755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2D-4279-B701-960696B2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まっつん2!$M$4:$M$22</c:f>
              <c:numCache>
                <c:formatCode>0.0%</c:formatCode>
                <c:ptCount val="19"/>
                <c:pt idx="0">
                  <c:v>0.8571428571428571</c:v>
                </c:pt>
                <c:pt idx="1">
                  <c:v>0.5</c:v>
                </c:pt>
                <c:pt idx="2">
                  <c:v>0.54166666666666663</c:v>
                </c:pt>
                <c:pt idx="3">
                  <c:v>0.51724137931034486</c:v>
                </c:pt>
                <c:pt idx="4">
                  <c:v>0.48484848484848486</c:v>
                </c:pt>
                <c:pt idx="5">
                  <c:v>0.48837209302325579</c:v>
                </c:pt>
                <c:pt idx="6">
                  <c:v>0.47916666666666669</c:v>
                </c:pt>
                <c:pt idx="7">
                  <c:v>0.43859649122807015</c:v>
                </c:pt>
                <c:pt idx="8">
                  <c:v>0.46969696969696972</c:v>
                </c:pt>
                <c:pt idx="9">
                  <c:v>0.47435897435897434</c:v>
                </c:pt>
                <c:pt idx="10">
                  <c:v>0.47058823529411764</c:v>
                </c:pt>
                <c:pt idx="11">
                  <c:v>0.43617021276595747</c:v>
                </c:pt>
                <c:pt idx="12">
                  <c:v>0.40952380952380951</c:v>
                </c:pt>
                <c:pt idx="13">
                  <c:v>0.41228070175438597</c:v>
                </c:pt>
                <c:pt idx="14">
                  <c:v>0.39830508474576271</c:v>
                </c:pt>
                <c:pt idx="15">
                  <c:v>0.39200000000000002</c:v>
                </c:pt>
                <c:pt idx="16">
                  <c:v>0.38059701492537312</c:v>
                </c:pt>
                <c:pt idx="17">
                  <c:v>0.3776223776223776</c:v>
                </c:pt>
                <c:pt idx="18">
                  <c:v>0.38410596026490068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B-4B05-B949-C410BE47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まっつん2!$N$4:$N$22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0.25</c:v>
                </c:pt>
                <c:pt idx="8">
                  <c:v>0.4</c:v>
                </c:pt>
                <c:pt idx="9">
                  <c:v>0.5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0.58823529411764708</c:v>
                </c:pt>
                <c:pt idx="13">
                  <c:v>0.6</c:v>
                </c:pt>
                <c:pt idx="14">
                  <c:v>0.54545454545454541</c:v>
                </c:pt>
                <c:pt idx="15">
                  <c:v>0.56000000000000005</c:v>
                </c:pt>
                <c:pt idx="16">
                  <c:v>0.53846153846153844</c:v>
                </c:pt>
                <c:pt idx="17">
                  <c:v>0.53846153846153844</c:v>
                </c:pt>
                <c:pt idx="18">
                  <c:v>0.51851851851851849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3-42EA-9422-BA946FB1D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まっつん2!$O$4:$O$22</c:f>
              <c:numCache>
                <c:formatCode>0.0%</c:formatCode>
                <c:ptCount val="19"/>
                <c:pt idx="0">
                  <c:v>0.33333333333333331</c:v>
                </c:pt>
                <c:pt idx="1">
                  <c:v>0.2857142857142857</c:v>
                </c:pt>
                <c:pt idx="2">
                  <c:v>0.46153846153846156</c:v>
                </c:pt>
                <c:pt idx="3">
                  <c:v>0.46666666666666667</c:v>
                </c:pt>
                <c:pt idx="4">
                  <c:v>0.5</c:v>
                </c:pt>
                <c:pt idx="5">
                  <c:v>0.38095238095238093</c:v>
                </c:pt>
                <c:pt idx="6">
                  <c:v>0.43478260869565216</c:v>
                </c:pt>
                <c:pt idx="7">
                  <c:v>0.4</c:v>
                </c:pt>
                <c:pt idx="8">
                  <c:v>0.38709677419354838</c:v>
                </c:pt>
                <c:pt idx="9">
                  <c:v>0.32432432432432434</c:v>
                </c:pt>
                <c:pt idx="10">
                  <c:v>0.3</c:v>
                </c:pt>
                <c:pt idx="11">
                  <c:v>0.31707317073170732</c:v>
                </c:pt>
                <c:pt idx="12">
                  <c:v>0.32558139534883723</c:v>
                </c:pt>
                <c:pt idx="13">
                  <c:v>0.2978723404255319</c:v>
                </c:pt>
                <c:pt idx="14">
                  <c:v>0.2978723404255319</c:v>
                </c:pt>
                <c:pt idx="15">
                  <c:v>0.30612244897959184</c:v>
                </c:pt>
                <c:pt idx="16">
                  <c:v>0.33333333333333331</c:v>
                </c:pt>
                <c:pt idx="17">
                  <c:v>0.33333333333333331</c:v>
                </c:pt>
                <c:pt idx="18">
                  <c:v>0.36206896551724138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FD-4C30-9511-5624A3FC1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まっつん2!$P$4:$P$22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9.0909090909090912E-2</c:v>
                </c:pt>
                <c:pt idx="7">
                  <c:v>8.3333333333333329E-2</c:v>
                </c:pt>
                <c:pt idx="8">
                  <c:v>6.6666666666666666E-2</c:v>
                </c:pt>
                <c:pt idx="9">
                  <c:v>0.16666666666666666</c:v>
                </c:pt>
                <c:pt idx="10">
                  <c:v>0.16666666666666666</c:v>
                </c:pt>
                <c:pt idx="11">
                  <c:v>0.18181818181818182</c:v>
                </c:pt>
                <c:pt idx="12">
                  <c:v>0.22222222222222221</c:v>
                </c:pt>
                <c:pt idx="13">
                  <c:v>0.2413793103448276</c:v>
                </c:pt>
                <c:pt idx="14">
                  <c:v>0.2413793103448276</c:v>
                </c:pt>
                <c:pt idx="15">
                  <c:v>0.24242424242424243</c:v>
                </c:pt>
                <c:pt idx="16">
                  <c:v>0.25714285714285712</c:v>
                </c:pt>
                <c:pt idx="17">
                  <c:v>0.29729729729729731</c:v>
                </c:pt>
                <c:pt idx="18">
                  <c:v>0.27500000000000002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7-4762-8D88-43DC2EDF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まっつん2!$A$4:$A$22</c:f>
              <c:numCache>
                <c:formatCode>0\ "回"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まっつん2!$Q$4:$Q$22</c:f>
              <c:numCache>
                <c:formatCode>0.0%</c:formatCode>
                <c:ptCount val="19"/>
                <c:pt idx="0">
                  <c:v>0.5</c:v>
                </c:pt>
                <c:pt idx="1">
                  <c:v>0.33333333333333331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0.14285714285714285</c:v>
                </c:pt>
                <c:pt idx="5">
                  <c:v>0.1</c:v>
                </c:pt>
                <c:pt idx="6">
                  <c:v>0.18181818181818182</c:v>
                </c:pt>
                <c:pt idx="7">
                  <c:v>0.15384615384615385</c:v>
                </c:pt>
                <c:pt idx="8">
                  <c:v>0.1875</c:v>
                </c:pt>
                <c:pt idx="9">
                  <c:v>0.15</c:v>
                </c:pt>
                <c:pt idx="10">
                  <c:v>0.13636363636363635</c:v>
                </c:pt>
                <c:pt idx="11">
                  <c:v>0.15384615384615385</c:v>
                </c:pt>
                <c:pt idx="12">
                  <c:v>0.22580645161290322</c:v>
                </c:pt>
                <c:pt idx="13">
                  <c:v>0.25714285714285712</c:v>
                </c:pt>
                <c:pt idx="14">
                  <c:v>0.25714285714285712</c:v>
                </c:pt>
                <c:pt idx="15">
                  <c:v>0.27027027027027029</c:v>
                </c:pt>
                <c:pt idx="16">
                  <c:v>0.27500000000000002</c:v>
                </c:pt>
                <c:pt idx="17">
                  <c:v>0.26190476190476192</c:v>
                </c:pt>
                <c:pt idx="18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F0-4059-AB0B-595260F00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tabSelected="1"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32C81E-5673-45F2-9FDF-927CD4EA12FA}">
  <sheetPr codeName="グラフ10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9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99E9DE-5AF8-4904-8266-F174EBBBF591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C80A16-E094-44AD-B3F3-2403193BA58D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06308B-A0DA-42A2-9575-5D97240F1DFD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4635DA-A667-4DFD-8442-855830549BDE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4B8B5A-83DD-488D-9FF3-9420B1D56176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CB421D-181E-4C0C-BB07-B481481B63C6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F6C145-1F05-46D7-9A7D-B935BAA2957E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81A24C-8E42-4923-B2D7-97636255C653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22B3AB-6ED2-4E4E-B32A-304C097E6AE5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40E8C3-717D-4DB7-AD8E-50A4EA95C5BC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227D3E-55BD-4983-B83C-B45240692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AB3F2C-37C7-4C96-AB5D-2088D6FE1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080B41-54C2-4AF2-9242-68332B43AB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1FCD613-0D98-45EC-9A5A-92A313C3BA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C511AA-4252-4063-AF67-D994D0C11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326D99-BD20-4A05-8D3F-11C7DF737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8996CF-ACA8-4358-BEE5-1944ADAB90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D20599-1C2B-4CD5-BD40-C6F729BAF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47737E-D651-46B2-A962-746A647E9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DE9A82-1B63-45EE-B4C2-1A1E1B230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EC60B7-803E-418B-8399-2B4D2D262B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B5B404-202E-4D2A-84E0-E10E928A8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96B9C4-8443-4BE5-8843-F401EB582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B789C4-2C03-44A6-BD7C-5DEB865EF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38E9DB-FF2E-44B1-BCD4-FBEBB4E01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867B25-68E7-4C41-9C1E-A5408E7D85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FF1C78-492A-4A94-9F1D-BE6228B8E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D0A820-16EF-44D7-BAC8-54DE161F0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F67CEE-AC2D-4924-8D87-E7CD951E7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6727792-B271-4A95-BC1B-F08476083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0AE7D6C-AABB-47A6-AE32-78A7ABF90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C8B652-103D-4360-A414-CE9A0B6DC7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211BFE-10FE-4DDA-A8DD-0EFA7C96C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78A301-DABE-456D-845D-2054929AA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A00A8A-1316-4443-9D04-EDBE2BDF8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3687DA-6BE0-4797-8BD7-21ABB1566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4743132-4E28-4D26-9060-F2166BA2BD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E711735-C220-41D4-85FA-32D8C9D838D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902B648-18E0-4D11-83CA-E78A5EB5C3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323D341-F745-4850-AC35-534686D21D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2279AA2-8B07-448C-AD8A-2DCB2982D8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C327C7D-65B4-473E-ABBB-1A930451E1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97DD724-5506-4CA4-BB54-07F132DDC3D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F904657-2750-4A1B-AAAA-B3204FCA1FE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7658E63-52DB-48C1-B79B-4A10A3C6C4C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F2FB9AF-F0DE-4B77-8852-FD424B251E4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1A494A3-C30D-46E4-AFA0-854E0660D5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A14BE3D-0817-4176-B64A-342EE0209CF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93C556B-3BBB-4C6B-B7B9-2E2A6C271D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4093AF2-B58D-4215-ADF4-3301890CD4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BF801DF-26C3-4D15-8CBB-C7E334D0E2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7BFBA19-9D48-41BD-81CB-B4C821E169B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3.5" style="1" customWidth="1"/>
    <col min="10" max="10" width="3.5" style="8" customWidth="1"/>
    <col min="11" max="11" width="9" style="10" customWidth="1"/>
    <col min="12" max="12" width="3.5" style="1" customWidth="1"/>
    <col min="13" max="14" width="9" style="1" customWidth="1"/>
    <col min="15" max="16" width="3.5" style="1" customWidth="1"/>
    <col min="17" max="16384" width="9" style="1"/>
  </cols>
  <sheetData>
    <row r="1" spans="1:16" x14ac:dyDescent="0.45">
      <c r="A1" s="38" t="s">
        <v>0</v>
      </c>
      <c r="B1" s="123"/>
      <c r="C1" s="124"/>
      <c r="E1" s="48" t="s">
        <v>162</v>
      </c>
      <c r="F1" s="29" t="s">
        <v>120</v>
      </c>
      <c r="G1" s="44" t="s">
        <v>121</v>
      </c>
      <c r="H1" s="2" t="s">
        <v>122</v>
      </c>
      <c r="J1" s="3" t="s">
        <v>20</v>
      </c>
      <c r="K1" s="4" t="s">
        <v>125</v>
      </c>
      <c r="M1" s="3" t="s">
        <v>156</v>
      </c>
      <c r="N1" s="2" t="s">
        <v>158</v>
      </c>
      <c r="O1" s="22" t="s">
        <v>159</v>
      </c>
      <c r="P1" s="18" t="s">
        <v>157</v>
      </c>
    </row>
    <row r="2" spans="1:16" x14ac:dyDescent="0.45">
      <c r="A2" s="39" t="s">
        <v>9</v>
      </c>
      <c r="B2" s="119">
        <v>0</v>
      </c>
      <c r="C2" s="120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J2" s="5">
        <v>0</v>
      </c>
      <c r="K2" s="7">
        <v>0</v>
      </c>
      <c r="M2" s="5" t="s">
        <v>150</v>
      </c>
      <c r="N2" s="26">
        <f t="shared" ref="N2:N7" si="1">IF(P2=0,0,O2/P2)</f>
        <v>0</v>
      </c>
      <c r="O2" s="23">
        <v>0</v>
      </c>
      <c r="P2" s="21">
        <v>0</v>
      </c>
    </row>
    <row r="3" spans="1:16" x14ac:dyDescent="0.45">
      <c r="A3" s="40" t="s">
        <v>8</v>
      </c>
      <c r="B3" s="125">
        <v>0</v>
      </c>
      <c r="C3" s="126"/>
      <c r="E3" s="50" t="s">
        <v>68</v>
      </c>
      <c r="F3" s="46" t="s">
        <v>22</v>
      </c>
      <c r="G3" s="32">
        <v>0</v>
      </c>
      <c r="H3" s="9">
        <f t="shared" si="0"/>
        <v>0</v>
      </c>
      <c r="M3" s="8" t="s">
        <v>151</v>
      </c>
      <c r="N3" s="27">
        <f t="shared" si="1"/>
        <v>0</v>
      </c>
      <c r="O3" s="24">
        <v>0</v>
      </c>
      <c r="P3" s="19">
        <v>0</v>
      </c>
    </row>
    <row r="4" spans="1:16" x14ac:dyDescent="0.45">
      <c r="A4" s="40" t="s">
        <v>6</v>
      </c>
      <c r="B4" s="127">
        <v>0</v>
      </c>
      <c r="C4" s="128"/>
      <c r="E4" s="50" t="s">
        <v>69</v>
      </c>
      <c r="F4" s="46" t="s">
        <v>23</v>
      </c>
      <c r="G4" s="32">
        <v>0</v>
      </c>
      <c r="H4" s="9">
        <f t="shared" si="0"/>
        <v>0</v>
      </c>
      <c r="M4" s="8" t="s">
        <v>152</v>
      </c>
      <c r="N4" s="27">
        <f t="shared" si="1"/>
        <v>0</v>
      </c>
      <c r="O4" s="24">
        <v>0</v>
      </c>
      <c r="P4" s="19">
        <v>0</v>
      </c>
    </row>
    <row r="5" spans="1:16" x14ac:dyDescent="0.45">
      <c r="A5" s="40" t="s">
        <v>7</v>
      </c>
      <c r="B5" s="127">
        <f>IF(B$2=0,0,B$4/B$2)</f>
        <v>0</v>
      </c>
      <c r="C5" s="128"/>
      <c r="E5" s="50" t="s">
        <v>70</v>
      </c>
      <c r="F5" s="46" t="s">
        <v>24</v>
      </c>
      <c r="G5" s="32">
        <v>0</v>
      </c>
      <c r="H5" s="9">
        <f t="shared" si="0"/>
        <v>0</v>
      </c>
      <c r="M5" s="8" t="s">
        <v>153</v>
      </c>
      <c r="N5" s="27">
        <f t="shared" si="1"/>
        <v>0</v>
      </c>
      <c r="O5" s="24">
        <v>0</v>
      </c>
      <c r="P5" s="19">
        <v>0</v>
      </c>
    </row>
    <row r="6" spans="1:16" x14ac:dyDescent="0.45">
      <c r="A6" s="40" t="s">
        <v>1</v>
      </c>
      <c r="B6" s="117">
        <f>IF(B$2=0,0,(B$7*1+B$8*2+B$9*3)/B$2)</f>
        <v>0</v>
      </c>
      <c r="C6" s="118"/>
      <c r="E6" s="50" t="s">
        <v>71</v>
      </c>
      <c r="F6" s="46" t="s">
        <v>25</v>
      </c>
      <c r="G6" s="32">
        <v>0</v>
      </c>
      <c r="H6" s="9">
        <f t="shared" si="0"/>
        <v>0</v>
      </c>
      <c r="M6" s="8" t="s">
        <v>154</v>
      </c>
      <c r="N6" s="27">
        <f t="shared" si="1"/>
        <v>0</v>
      </c>
      <c r="O6" s="24">
        <v>0</v>
      </c>
      <c r="P6" s="19">
        <v>0</v>
      </c>
    </row>
    <row r="7" spans="1:16" x14ac:dyDescent="0.45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M7" s="13" t="s">
        <v>155</v>
      </c>
      <c r="N7" s="28">
        <f t="shared" si="1"/>
        <v>0</v>
      </c>
      <c r="O7" s="25">
        <v>0</v>
      </c>
      <c r="P7" s="20">
        <v>0</v>
      </c>
    </row>
    <row r="8" spans="1:16" x14ac:dyDescent="0.45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</row>
    <row r="9" spans="1:16" x14ac:dyDescent="0.45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</row>
    <row r="10" spans="1:16" x14ac:dyDescent="0.45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</row>
    <row r="11" spans="1:16" x14ac:dyDescent="0.45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</row>
    <row r="12" spans="1:16" x14ac:dyDescent="0.45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</row>
    <row r="13" spans="1:16" x14ac:dyDescent="0.45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</row>
    <row r="14" spans="1:16" x14ac:dyDescent="0.45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</row>
    <row r="15" spans="1:16" x14ac:dyDescent="0.45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</row>
    <row r="16" spans="1:16" x14ac:dyDescent="0.45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</row>
    <row r="17" spans="1:8" x14ac:dyDescent="0.45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</row>
    <row r="18" spans="1:8" x14ac:dyDescent="0.45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</row>
    <row r="19" spans="1:8" x14ac:dyDescent="0.45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</row>
    <row r="20" spans="1:8" x14ac:dyDescent="0.45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</row>
    <row r="21" spans="1:8" x14ac:dyDescent="0.45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</row>
    <row r="22" spans="1:8" x14ac:dyDescent="0.45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</row>
    <row r="23" spans="1:8" x14ac:dyDescent="0.45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</row>
    <row r="24" spans="1:8" x14ac:dyDescent="0.45">
      <c r="A24" s="39" t="s">
        <v>126</v>
      </c>
      <c r="B24" s="119">
        <v>0</v>
      </c>
      <c r="C24" s="120"/>
      <c r="E24" s="50" t="s">
        <v>89</v>
      </c>
      <c r="F24" s="46" t="s">
        <v>42</v>
      </c>
      <c r="G24" s="32">
        <v>0</v>
      </c>
      <c r="H24" s="9">
        <f t="shared" si="0"/>
        <v>0</v>
      </c>
    </row>
    <row r="25" spans="1:8" x14ac:dyDescent="0.45">
      <c r="A25" s="42" t="s">
        <v>127</v>
      </c>
      <c r="B25" s="121">
        <v>0</v>
      </c>
      <c r="C25" s="122"/>
      <c r="E25" s="50" t="s">
        <v>90</v>
      </c>
      <c r="F25" s="46" t="s">
        <v>43</v>
      </c>
      <c r="G25" s="32">
        <v>0</v>
      </c>
      <c r="H25" s="9">
        <f t="shared" si="0"/>
        <v>0</v>
      </c>
    </row>
    <row r="26" spans="1:8" x14ac:dyDescent="0.45">
      <c r="A26" s="55" t="s">
        <v>164</v>
      </c>
      <c r="B26" s="115">
        <v>0</v>
      </c>
      <c r="C26" s="116"/>
      <c r="E26" s="50" t="s">
        <v>91</v>
      </c>
      <c r="F26" s="46" t="s">
        <v>44</v>
      </c>
      <c r="G26" s="32">
        <v>0</v>
      </c>
      <c r="H26" s="9">
        <f t="shared" si="0"/>
        <v>0</v>
      </c>
    </row>
    <row r="27" spans="1:8" x14ac:dyDescent="0.45">
      <c r="A27" s="42" t="s">
        <v>165</v>
      </c>
      <c r="B27" s="56">
        <v>0</v>
      </c>
      <c r="C27" s="14">
        <f>IF(B$3=0,0,B27/B$3)</f>
        <v>0</v>
      </c>
      <c r="E27" s="50" t="s">
        <v>92</v>
      </c>
      <c r="F27" s="46" t="s">
        <v>45</v>
      </c>
      <c r="G27" s="32">
        <v>0</v>
      </c>
      <c r="H27" s="9">
        <f t="shared" si="0"/>
        <v>0</v>
      </c>
    </row>
    <row r="28" spans="1:8" x14ac:dyDescent="0.45">
      <c r="E28" s="50" t="s">
        <v>93</v>
      </c>
      <c r="F28" s="46" t="s">
        <v>46</v>
      </c>
      <c r="G28" s="32">
        <v>0</v>
      </c>
      <c r="H28" s="9">
        <f t="shared" si="0"/>
        <v>0</v>
      </c>
    </row>
    <row r="29" spans="1:8" x14ac:dyDescent="0.45">
      <c r="E29" s="50" t="s">
        <v>94</v>
      </c>
      <c r="F29" s="46" t="s">
        <v>47</v>
      </c>
      <c r="G29" s="32">
        <v>0</v>
      </c>
      <c r="H29" s="9">
        <f t="shared" si="0"/>
        <v>0</v>
      </c>
    </row>
    <row r="30" spans="1:8" x14ac:dyDescent="0.45">
      <c r="E30" s="50" t="s">
        <v>95</v>
      </c>
      <c r="F30" s="46" t="s">
        <v>48</v>
      </c>
      <c r="G30" s="32">
        <v>0</v>
      </c>
      <c r="H30" s="9">
        <f t="shared" si="0"/>
        <v>0</v>
      </c>
    </row>
    <row r="31" spans="1:8" x14ac:dyDescent="0.45">
      <c r="E31" s="50" t="s">
        <v>96</v>
      </c>
      <c r="F31" s="46" t="s">
        <v>49</v>
      </c>
      <c r="G31" s="32">
        <v>0</v>
      </c>
      <c r="H31" s="9">
        <f t="shared" si="0"/>
        <v>0</v>
      </c>
    </row>
    <row r="32" spans="1:8" x14ac:dyDescent="0.45">
      <c r="E32" s="50" t="s">
        <v>97</v>
      </c>
      <c r="F32" s="46" t="s">
        <v>50</v>
      </c>
      <c r="G32" s="32">
        <v>0</v>
      </c>
      <c r="H32" s="9">
        <f t="shared" si="0"/>
        <v>0</v>
      </c>
    </row>
    <row r="33" spans="5:8" x14ac:dyDescent="0.45">
      <c r="E33" s="50" t="s">
        <v>98</v>
      </c>
      <c r="F33" s="46" t="s">
        <v>51</v>
      </c>
      <c r="G33" s="32">
        <v>0</v>
      </c>
      <c r="H33" s="9">
        <f t="shared" si="0"/>
        <v>0</v>
      </c>
    </row>
    <row r="34" spans="5:8" x14ac:dyDescent="0.45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</row>
    <row r="35" spans="5:8" x14ac:dyDescent="0.45">
      <c r="E35" s="50" t="s">
        <v>100</v>
      </c>
      <c r="F35" s="46" t="s">
        <v>53</v>
      </c>
      <c r="G35" s="32">
        <v>0</v>
      </c>
      <c r="H35" s="9">
        <f t="shared" si="3"/>
        <v>0</v>
      </c>
    </row>
    <row r="36" spans="5:8" x14ac:dyDescent="0.45">
      <c r="E36" s="50" t="s">
        <v>101</v>
      </c>
      <c r="F36" s="46" t="s">
        <v>54</v>
      </c>
      <c r="G36" s="32">
        <v>0</v>
      </c>
      <c r="H36" s="9">
        <f t="shared" si="3"/>
        <v>0</v>
      </c>
    </row>
    <row r="37" spans="5:8" x14ac:dyDescent="0.45">
      <c r="E37" s="50" t="s">
        <v>102</v>
      </c>
      <c r="F37" s="46" t="s">
        <v>55</v>
      </c>
      <c r="G37" s="32">
        <v>0</v>
      </c>
      <c r="H37" s="9">
        <f t="shared" si="3"/>
        <v>0</v>
      </c>
    </row>
    <row r="38" spans="5:8" x14ac:dyDescent="0.45">
      <c r="E38" s="50" t="s">
        <v>103</v>
      </c>
      <c r="F38" s="46" t="s">
        <v>56</v>
      </c>
      <c r="G38" s="32">
        <v>0</v>
      </c>
      <c r="H38" s="9">
        <f t="shared" si="3"/>
        <v>0</v>
      </c>
    </row>
    <row r="39" spans="5:8" x14ac:dyDescent="0.45">
      <c r="E39" s="50" t="s">
        <v>104</v>
      </c>
      <c r="F39" s="46" t="s">
        <v>57</v>
      </c>
      <c r="G39" s="32">
        <v>0</v>
      </c>
      <c r="H39" s="9">
        <f t="shared" si="3"/>
        <v>0</v>
      </c>
    </row>
    <row r="40" spans="5:8" x14ac:dyDescent="0.45">
      <c r="E40" s="50" t="s">
        <v>105</v>
      </c>
      <c r="F40" s="46" t="s">
        <v>58</v>
      </c>
      <c r="G40" s="32">
        <v>0</v>
      </c>
      <c r="H40" s="9">
        <f t="shared" si="3"/>
        <v>0</v>
      </c>
    </row>
    <row r="41" spans="5:8" x14ac:dyDescent="0.45">
      <c r="E41" s="50" t="s">
        <v>106</v>
      </c>
      <c r="F41" s="46" t="s">
        <v>59</v>
      </c>
      <c r="G41" s="32">
        <v>0</v>
      </c>
      <c r="H41" s="9">
        <f t="shared" si="3"/>
        <v>0</v>
      </c>
    </row>
    <row r="42" spans="5:8" x14ac:dyDescent="0.45">
      <c r="E42" s="50" t="s">
        <v>107</v>
      </c>
      <c r="F42" s="46" t="s">
        <v>60</v>
      </c>
      <c r="G42" s="32">
        <v>0</v>
      </c>
      <c r="H42" s="9">
        <f t="shared" si="3"/>
        <v>0</v>
      </c>
    </row>
    <row r="43" spans="5:8" x14ac:dyDescent="0.45">
      <c r="E43" s="50" t="s">
        <v>108</v>
      </c>
      <c r="F43" s="46" t="s">
        <v>61</v>
      </c>
      <c r="G43" s="32">
        <v>0</v>
      </c>
      <c r="H43" s="9">
        <f t="shared" si="3"/>
        <v>0</v>
      </c>
    </row>
    <row r="44" spans="5:8" x14ac:dyDescent="0.45">
      <c r="E44" s="50" t="s">
        <v>109</v>
      </c>
      <c r="F44" s="46" t="s">
        <v>62</v>
      </c>
      <c r="G44" s="32">
        <v>0</v>
      </c>
      <c r="H44" s="9">
        <f t="shared" si="3"/>
        <v>0</v>
      </c>
    </row>
    <row r="45" spans="5:8" x14ac:dyDescent="0.45">
      <c r="E45" s="50" t="s">
        <v>110</v>
      </c>
      <c r="F45" s="46" t="s">
        <v>117</v>
      </c>
      <c r="G45" s="32">
        <v>0</v>
      </c>
      <c r="H45" s="9">
        <f t="shared" si="3"/>
        <v>0</v>
      </c>
    </row>
    <row r="46" spans="5:8" x14ac:dyDescent="0.45">
      <c r="E46" s="50" t="s">
        <v>111</v>
      </c>
      <c r="F46" s="46" t="s">
        <v>118</v>
      </c>
      <c r="G46" s="32">
        <v>0</v>
      </c>
      <c r="H46" s="9">
        <f t="shared" si="3"/>
        <v>0</v>
      </c>
    </row>
    <row r="47" spans="5:8" x14ac:dyDescent="0.45">
      <c r="E47" s="50" t="s">
        <v>112</v>
      </c>
      <c r="F47" s="46" t="s">
        <v>119</v>
      </c>
      <c r="G47" s="32">
        <v>0</v>
      </c>
      <c r="H47" s="9">
        <f t="shared" si="3"/>
        <v>0</v>
      </c>
    </row>
    <row r="48" spans="5:8" x14ac:dyDescent="0.45">
      <c r="E48" s="50" t="s">
        <v>113</v>
      </c>
      <c r="F48" s="46" t="s">
        <v>63</v>
      </c>
      <c r="G48" s="32">
        <v>0</v>
      </c>
      <c r="H48" s="9">
        <f t="shared" si="3"/>
        <v>0</v>
      </c>
    </row>
    <row r="49" spans="5:8" x14ac:dyDescent="0.45">
      <c r="E49" s="50" t="s">
        <v>114</v>
      </c>
      <c r="F49" s="46" t="s">
        <v>64</v>
      </c>
      <c r="G49" s="32">
        <v>0</v>
      </c>
      <c r="H49" s="9">
        <f t="shared" si="3"/>
        <v>0</v>
      </c>
    </row>
    <row r="50" spans="5:8" x14ac:dyDescent="0.45">
      <c r="E50" s="50" t="s">
        <v>115</v>
      </c>
      <c r="F50" s="46" t="s">
        <v>65</v>
      </c>
      <c r="G50" s="32">
        <v>0</v>
      </c>
      <c r="H50" s="9">
        <f t="shared" si="3"/>
        <v>0</v>
      </c>
    </row>
    <row r="51" spans="5:8" x14ac:dyDescent="0.45">
      <c r="E51" s="51" t="s">
        <v>116</v>
      </c>
      <c r="F51" s="47" t="s">
        <v>66</v>
      </c>
      <c r="G51" s="34">
        <v>0</v>
      </c>
      <c r="H51" s="14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7"/>
  <sheetViews>
    <sheetView workbookViewId="0"/>
  </sheetViews>
  <sheetFormatPr defaultColWidth="9" defaultRowHeight="18" x14ac:dyDescent="0.45"/>
  <cols>
    <col min="1" max="1" width="16.3984375" style="53" bestFit="1" customWidth="1"/>
    <col min="2" max="2" width="16.8984375" style="54" bestFit="1" customWidth="1"/>
    <col min="3" max="16384" width="9" style="53"/>
  </cols>
  <sheetData>
    <row r="1" spans="1:14" x14ac:dyDescent="0.45">
      <c r="A1" s="52">
        <v>32874</v>
      </c>
      <c r="B1" s="52">
        <v>2958465</v>
      </c>
    </row>
    <row r="2" spans="1:14" x14ac:dyDescent="0.45">
      <c r="A2" s="53" t="s">
        <v>178</v>
      </c>
      <c r="B2" s="54">
        <v>43472.765682870369</v>
      </c>
      <c r="C2" s="53" t="s">
        <v>140</v>
      </c>
    </row>
    <row r="3" spans="1:14" x14ac:dyDescent="0.45">
      <c r="A3" s="53" t="s">
        <v>181</v>
      </c>
      <c r="B3" s="54">
        <v>43472.765682870369</v>
      </c>
      <c r="C3" s="53" t="s">
        <v>140</v>
      </c>
    </row>
    <row r="4" spans="1:14" x14ac:dyDescent="0.45">
      <c r="A4" s="53" t="s">
        <v>182</v>
      </c>
      <c r="B4" s="54">
        <v>43472.765682870369</v>
      </c>
      <c r="C4" s="53" t="s">
        <v>140</v>
      </c>
    </row>
    <row r="5" spans="1:14" x14ac:dyDescent="0.45">
      <c r="A5" s="53" t="s">
        <v>183</v>
      </c>
      <c r="B5" s="54">
        <v>43472.765682870369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5">
      <c r="A6" s="53" t="s">
        <v>185</v>
      </c>
      <c r="B6" s="54">
        <v>43472.765682870369</v>
      </c>
      <c r="C6" s="53" t="s">
        <v>140</v>
      </c>
    </row>
    <row r="7" spans="1:14" x14ac:dyDescent="0.45">
      <c r="A7" s="53" t="s">
        <v>186</v>
      </c>
      <c r="B7" s="54">
        <v>43472.765682870369</v>
      </c>
      <c r="C7" s="53" t="s">
        <v>140</v>
      </c>
      <c r="D7" s="53" t="s">
        <v>141</v>
      </c>
      <c r="E7" s="53" t="s">
        <v>142</v>
      </c>
    </row>
    <row r="8" spans="1:14" x14ac:dyDescent="0.45">
      <c r="A8" s="53" t="s">
        <v>187</v>
      </c>
      <c r="B8" s="54">
        <v>43492.926504629628</v>
      </c>
      <c r="C8" s="53" t="s">
        <v>140</v>
      </c>
      <c r="D8" s="53" t="s">
        <v>141</v>
      </c>
    </row>
    <row r="9" spans="1:14" x14ac:dyDescent="0.45">
      <c r="A9" s="53" t="s">
        <v>188</v>
      </c>
      <c r="B9" s="54">
        <v>43472.765682870369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5">
      <c r="A10" s="53" t="s">
        <v>189</v>
      </c>
      <c r="B10" s="54">
        <v>43472.765682870369</v>
      </c>
      <c r="C10" s="53" t="s">
        <v>140</v>
      </c>
      <c r="D10" s="53" t="s">
        <v>141</v>
      </c>
      <c r="E10" s="53" t="s">
        <v>142</v>
      </c>
    </row>
    <row r="11" spans="1:14" x14ac:dyDescent="0.45">
      <c r="A11" s="53" t="s">
        <v>190</v>
      </c>
      <c r="B11" s="54">
        <v>43472.765682870369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5">
      <c r="A12" s="53" t="s">
        <v>191</v>
      </c>
      <c r="B12" s="54">
        <v>43472.765682870369</v>
      </c>
      <c r="C12" s="53" t="s">
        <v>140</v>
      </c>
      <c r="D12" s="53" t="s">
        <v>141</v>
      </c>
    </row>
    <row r="13" spans="1:14" x14ac:dyDescent="0.45">
      <c r="A13" s="53" t="s">
        <v>192</v>
      </c>
      <c r="B13" s="54">
        <v>43472.765682870369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193</v>
      </c>
      <c r="K13" s="53" t="s">
        <v>194</v>
      </c>
      <c r="L13" s="53" t="s">
        <v>195</v>
      </c>
      <c r="M13" s="53" t="s">
        <v>196</v>
      </c>
      <c r="N13" s="53" t="s">
        <v>197</v>
      </c>
    </row>
    <row r="14" spans="1:14" x14ac:dyDescent="0.45">
      <c r="A14" s="53" t="s">
        <v>198</v>
      </c>
      <c r="B14" s="54">
        <v>43472.765682870369</v>
      </c>
      <c r="C14" s="53" t="s">
        <v>140</v>
      </c>
      <c r="D14" s="53" t="s">
        <v>141</v>
      </c>
      <c r="E14" s="53" t="s">
        <v>142</v>
      </c>
    </row>
    <row r="15" spans="1:14" x14ac:dyDescent="0.45">
      <c r="A15" s="53" t="s">
        <v>199</v>
      </c>
      <c r="B15" s="54">
        <v>43472.765682870369</v>
      </c>
      <c r="C15" s="53" t="s">
        <v>140</v>
      </c>
      <c r="D15" s="53" t="s">
        <v>141</v>
      </c>
      <c r="E15" s="53" t="s">
        <v>142</v>
      </c>
    </row>
    <row r="16" spans="1:14" x14ac:dyDescent="0.45">
      <c r="A16" s="53" t="s">
        <v>200</v>
      </c>
      <c r="B16" s="54">
        <v>43472.765682870369</v>
      </c>
      <c r="C16" s="53" t="s">
        <v>140</v>
      </c>
      <c r="D16" s="53" t="s">
        <v>141</v>
      </c>
      <c r="E16" s="53" t="s">
        <v>142</v>
      </c>
    </row>
    <row r="17" spans="1:9" x14ac:dyDescent="0.45">
      <c r="A17" s="53" t="s">
        <v>201</v>
      </c>
      <c r="B17" s="54">
        <v>43472.765682870369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5">
      <c r="A18" s="53" t="s">
        <v>202</v>
      </c>
      <c r="B18" s="54">
        <v>43472.765682870369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5">
      <c r="A19" s="53" t="s">
        <v>203</v>
      </c>
      <c r="B19" s="54">
        <v>43472.765682870369</v>
      </c>
      <c r="C19" s="53" t="s">
        <v>140</v>
      </c>
      <c r="D19" s="53" t="s">
        <v>141</v>
      </c>
    </row>
    <row r="20" spans="1:9" x14ac:dyDescent="0.45">
      <c r="A20" s="53" t="s">
        <v>204</v>
      </c>
      <c r="B20" s="54">
        <v>43472.765682870369</v>
      </c>
      <c r="C20" s="53" t="s">
        <v>140</v>
      </c>
      <c r="D20" s="53" t="s">
        <v>141</v>
      </c>
      <c r="E20" s="53" t="s">
        <v>142</v>
      </c>
    </row>
    <row r="21" spans="1:9" x14ac:dyDescent="0.45">
      <c r="A21" s="53" t="s">
        <v>205</v>
      </c>
      <c r="B21" s="54">
        <v>43486.376875000002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5">
      <c r="A22" s="53" t="s">
        <v>206</v>
      </c>
      <c r="B22" s="54">
        <v>43472.765682870369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5">
      <c r="A23" s="53" t="s">
        <v>207</v>
      </c>
      <c r="B23" s="54">
        <v>43472.765682870369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5">
      <c r="A24" s="53" t="s">
        <v>208</v>
      </c>
      <c r="B24" s="54">
        <v>43472.765682870369</v>
      </c>
      <c r="C24" s="53" t="s">
        <v>140</v>
      </c>
      <c r="D24" s="53" t="s">
        <v>141</v>
      </c>
      <c r="E24" s="53" t="s">
        <v>142</v>
      </c>
    </row>
    <row r="25" spans="1:9" x14ac:dyDescent="0.45">
      <c r="A25" s="53" t="s">
        <v>209</v>
      </c>
      <c r="B25" s="54">
        <v>43472.765682870369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5">
      <c r="A26" s="53" t="s">
        <v>210</v>
      </c>
      <c r="B26" s="54">
        <v>43472.765682870369</v>
      </c>
      <c r="C26" s="53" t="s">
        <v>140</v>
      </c>
      <c r="D26" s="53" t="s">
        <v>141</v>
      </c>
    </row>
    <row r="27" spans="1:9" x14ac:dyDescent="0.45">
      <c r="A27" s="53" t="s">
        <v>211</v>
      </c>
      <c r="B27" s="54">
        <v>43472.765682870369</v>
      </c>
      <c r="C27" s="53" t="s">
        <v>140</v>
      </c>
      <c r="D27" s="53" t="s">
        <v>141</v>
      </c>
    </row>
    <row r="28" spans="1:9" x14ac:dyDescent="0.45">
      <c r="A28" s="53" t="s">
        <v>212</v>
      </c>
      <c r="B28" s="54">
        <v>43472.765682870369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5">
      <c r="A29" s="53" t="s">
        <v>213</v>
      </c>
      <c r="B29" s="54">
        <v>43472.765682870369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5">
      <c r="A30" s="53" t="s">
        <v>214</v>
      </c>
      <c r="B30" s="54">
        <v>43472.765682870369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5">
      <c r="A31" s="53" t="s">
        <v>215</v>
      </c>
      <c r="B31" s="54">
        <v>43472.765682870369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5">
      <c r="A32" s="53" t="s">
        <v>216</v>
      </c>
      <c r="B32" s="54">
        <v>43476.556539351855</v>
      </c>
      <c r="C32" s="53" t="s">
        <v>140</v>
      </c>
    </row>
    <row r="33" spans="1:10" x14ac:dyDescent="0.45">
      <c r="A33" s="53" t="s">
        <v>217</v>
      </c>
      <c r="B33" s="54">
        <v>43480.364594907405</v>
      </c>
      <c r="C33" s="53" t="s">
        <v>140</v>
      </c>
      <c r="D33" s="53" t="s">
        <v>141</v>
      </c>
      <c r="E33" s="53" t="s">
        <v>142</v>
      </c>
    </row>
    <row r="34" spans="1:10" x14ac:dyDescent="0.45">
      <c r="A34" s="53" t="s">
        <v>219</v>
      </c>
      <c r="B34" s="54">
        <v>43480.364594907405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193</v>
      </c>
    </row>
    <row r="35" spans="1:10" x14ac:dyDescent="0.45">
      <c r="A35" s="53" t="s">
        <v>220</v>
      </c>
      <c r="B35" s="54">
        <v>43480.364594907405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193</v>
      </c>
    </row>
    <row r="36" spans="1:10" x14ac:dyDescent="0.45">
      <c r="A36" s="53" t="s">
        <v>221</v>
      </c>
      <c r="B36" s="54">
        <v>43483.396608796298</v>
      </c>
      <c r="C36" s="53" t="s">
        <v>140</v>
      </c>
      <c r="D36" s="53" t="s">
        <v>141</v>
      </c>
      <c r="E36" s="53" t="s">
        <v>142</v>
      </c>
    </row>
    <row r="37" spans="1:10" x14ac:dyDescent="0.45">
      <c r="A37" s="53" t="s">
        <v>222</v>
      </c>
      <c r="B37" s="54">
        <v>43483.396608796298</v>
      </c>
      <c r="C37" s="53" t="s">
        <v>140</v>
      </c>
      <c r="D37" s="53" t="s">
        <v>141</v>
      </c>
    </row>
    <row r="38" spans="1:10" x14ac:dyDescent="0.45">
      <c r="A38" s="53" t="s">
        <v>223</v>
      </c>
      <c r="B38" s="54">
        <v>43483.396608796298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5">
      <c r="A39" s="53" t="s">
        <v>224</v>
      </c>
      <c r="B39" s="54">
        <v>43486.376875000002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5">
      <c r="A40" s="53" t="s">
        <v>225</v>
      </c>
      <c r="B40" s="54">
        <v>43486.376875000002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5">
      <c r="A41" s="53" t="s">
        <v>167</v>
      </c>
      <c r="B41" s="54">
        <v>43486.376875000002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5">
      <c r="A42" s="53" t="s">
        <v>168</v>
      </c>
      <c r="B42" s="54">
        <v>43488.434178240743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5">
      <c r="A43" s="53" t="s">
        <v>169</v>
      </c>
      <c r="B43" s="54">
        <v>43488.434178240743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5">
      <c r="A44" s="53" t="s">
        <v>170</v>
      </c>
      <c r="B44" s="54">
        <v>43489.37259259259</v>
      </c>
      <c r="C44" s="53" t="s">
        <v>140</v>
      </c>
      <c r="D44" s="53" t="s">
        <v>141</v>
      </c>
      <c r="E44" s="53" t="s">
        <v>142</v>
      </c>
    </row>
    <row r="45" spans="1:10" x14ac:dyDescent="0.45">
      <c r="A45" s="53" t="s">
        <v>171</v>
      </c>
      <c r="B45" s="54">
        <v>43492.926504629628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5">
      <c r="A46" s="53" t="s">
        <v>172</v>
      </c>
      <c r="B46" s="54">
        <v>43492.926504629628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5">
      <c r="A47" s="53" t="s">
        <v>174</v>
      </c>
      <c r="B47" s="54">
        <v>43492.926504629628</v>
      </c>
      <c r="C47" s="53" t="s">
        <v>140</v>
      </c>
      <c r="D47" s="53" t="s">
        <v>141</v>
      </c>
      <c r="E47" s="53" t="s">
        <v>142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/>
      <c r="B1" s="111"/>
      <c r="C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" x14ac:dyDescent="0.45"/>
  <sheetData>
    <row r="1" spans="1:1" x14ac:dyDescent="0.45">
      <c r="A1" t="s">
        <v>173</v>
      </c>
    </row>
    <row r="2" spans="1:1" x14ac:dyDescent="0.45">
      <c r="A2" t="s">
        <v>133</v>
      </c>
    </row>
    <row r="3" spans="1:1" x14ac:dyDescent="0.45">
      <c r="A3" t="s">
        <v>179</v>
      </c>
    </row>
    <row r="4" spans="1:1" x14ac:dyDescent="0.45">
      <c r="A4" t="s">
        <v>180</v>
      </c>
    </row>
    <row r="5" spans="1:1" x14ac:dyDescent="0.45">
      <c r="A5" t="s">
        <v>134</v>
      </c>
    </row>
    <row r="6" spans="1:1" x14ac:dyDescent="0.45">
      <c r="A6" t="s">
        <v>135</v>
      </c>
    </row>
    <row r="7" spans="1:1" x14ac:dyDescent="0.45">
      <c r="A7" t="s">
        <v>184</v>
      </c>
    </row>
    <row r="8" spans="1:1" x14ac:dyDescent="0.45">
      <c r="A8" t="s">
        <v>136</v>
      </c>
    </row>
    <row r="9" spans="1:1" x14ac:dyDescent="0.45">
      <c r="A9" t="s">
        <v>137</v>
      </c>
    </row>
    <row r="10" spans="1:1" x14ac:dyDescent="0.45">
      <c r="A10" t="s">
        <v>138</v>
      </c>
    </row>
    <row r="11" spans="1:1" x14ac:dyDescent="0.45">
      <c r="A11" t="s">
        <v>139</v>
      </c>
    </row>
    <row r="12" spans="1:1" x14ac:dyDescent="0.45">
      <c r="A12" t="s">
        <v>218</v>
      </c>
    </row>
    <row r="13" spans="1:1" x14ac:dyDescent="0.45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A0D0-2817-4836-86E2-DF89148E5B07}">
  <sheetPr codeName="Sheet4"/>
  <dimension ref="A1:P569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173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567</v>
      </c>
      <c r="C2" s="120"/>
      <c r="E2" s="102" t="s">
        <v>67</v>
      </c>
      <c r="F2" s="98" t="s">
        <v>21</v>
      </c>
      <c r="G2" s="85">
        <v>479</v>
      </c>
      <c r="H2" s="61">
        <f t="shared" ref="H2:H51" si="0">IF(B$25=0,0,G2/B$25)</f>
        <v>0.54555808656036442</v>
      </c>
      <c r="J2" s="60">
        <v>0</v>
      </c>
      <c r="K2" s="62">
        <v>0</v>
      </c>
      <c r="M2" s="60" t="s">
        <v>150</v>
      </c>
      <c r="N2" s="81">
        <f t="shared" ref="N2:N7" si="1">IF(P2=0,0,O2/P2)</f>
        <v>-10.810810810810811</v>
      </c>
      <c r="O2" s="78">
        <v>-6000</v>
      </c>
      <c r="P2" s="76">
        <v>555</v>
      </c>
    </row>
    <row r="3" spans="1:16" x14ac:dyDescent="0.45">
      <c r="A3" s="94" t="s">
        <v>8</v>
      </c>
      <c r="B3" s="125">
        <v>4311</v>
      </c>
      <c r="C3" s="126"/>
      <c r="E3" s="103" t="s">
        <v>68</v>
      </c>
      <c r="F3" s="99" t="s">
        <v>22</v>
      </c>
      <c r="G3" s="86">
        <v>109</v>
      </c>
      <c r="H3" s="64">
        <f t="shared" si="0"/>
        <v>0.12414578587699317</v>
      </c>
      <c r="J3" s="63">
        <v>1</v>
      </c>
      <c r="K3" s="65">
        <v>14</v>
      </c>
      <c r="M3" s="63" t="s">
        <v>151</v>
      </c>
      <c r="N3" s="82">
        <f t="shared" si="1"/>
        <v>-3.766478342749529</v>
      </c>
      <c r="O3" s="79">
        <v>-2000</v>
      </c>
      <c r="P3" s="74">
        <v>531</v>
      </c>
    </row>
    <row r="4" spans="1:16" x14ac:dyDescent="0.45">
      <c r="A4" s="94" t="s">
        <v>6</v>
      </c>
      <c r="B4" s="127">
        <v>-4.9999999999999858</v>
      </c>
      <c r="C4" s="128"/>
      <c r="E4" s="103" t="s">
        <v>69</v>
      </c>
      <c r="F4" s="99" t="s">
        <v>23</v>
      </c>
      <c r="G4" s="86">
        <v>624</v>
      </c>
      <c r="H4" s="64">
        <f t="shared" si="0"/>
        <v>0.71070615034168561</v>
      </c>
      <c r="J4" s="63">
        <v>2</v>
      </c>
      <c r="K4" s="65">
        <v>-7</v>
      </c>
      <c r="M4" s="63" t="s">
        <v>152</v>
      </c>
      <c r="N4" s="82">
        <f t="shared" si="1"/>
        <v>10.16260162601626</v>
      </c>
      <c r="O4" s="79">
        <v>5000</v>
      </c>
      <c r="P4" s="74">
        <v>492</v>
      </c>
    </row>
    <row r="5" spans="1:16" x14ac:dyDescent="0.45">
      <c r="A5" s="94" t="s">
        <v>7</v>
      </c>
      <c r="B5" s="127">
        <f>IF(B$2=0,0,B$4/B$2)</f>
        <v>-8.8183421516754602E-3</v>
      </c>
      <c r="C5" s="128"/>
      <c r="E5" s="103" t="s">
        <v>70</v>
      </c>
      <c r="F5" s="99" t="s">
        <v>24</v>
      </c>
      <c r="G5" s="86">
        <v>258</v>
      </c>
      <c r="H5" s="64">
        <f t="shared" si="0"/>
        <v>0.29384965831435078</v>
      </c>
      <c r="J5" s="63">
        <v>3</v>
      </c>
      <c r="K5" s="65">
        <v>0</v>
      </c>
      <c r="M5" s="63" t="s">
        <v>153</v>
      </c>
      <c r="N5" s="82">
        <f t="shared" si="1"/>
        <v>2.2522522522522523</v>
      </c>
      <c r="O5" s="79">
        <v>1000</v>
      </c>
      <c r="P5" s="74">
        <v>444</v>
      </c>
    </row>
    <row r="6" spans="1:16" x14ac:dyDescent="0.45">
      <c r="A6" s="94" t="s">
        <v>1</v>
      </c>
      <c r="B6" s="117">
        <f>IF(B$2=0,0,(B$7*1+B$8*2+B$9*3)/B$2)</f>
        <v>2</v>
      </c>
      <c r="C6" s="118"/>
      <c r="E6" s="103" t="s">
        <v>71</v>
      </c>
      <c r="F6" s="99" t="s">
        <v>25</v>
      </c>
      <c r="G6" s="86">
        <v>788</v>
      </c>
      <c r="H6" s="64">
        <f t="shared" si="0"/>
        <v>0.89749430523917995</v>
      </c>
      <c r="J6" s="63">
        <v>4</v>
      </c>
      <c r="K6" s="65">
        <v>-1</v>
      </c>
      <c r="M6" s="63" t="s">
        <v>154</v>
      </c>
      <c r="N6" s="82">
        <f t="shared" si="1"/>
        <v>2.6455026455026456</v>
      </c>
      <c r="O6" s="79">
        <v>1000</v>
      </c>
      <c r="P6" s="74">
        <v>378</v>
      </c>
    </row>
    <row r="7" spans="1:16" x14ac:dyDescent="0.45">
      <c r="A7" s="94" t="s">
        <v>2</v>
      </c>
      <c r="B7" s="86">
        <v>189</v>
      </c>
      <c r="C7" s="64">
        <f>IF(B$2=0,0,B7/B$2)</f>
        <v>0.33333333333333331</v>
      </c>
      <c r="E7" s="103" t="s">
        <v>72</v>
      </c>
      <c r="F7" s="99" t="s">
        <v>12</v>
      </c>
      <c r="G7" s="86">
        <v>264</v>
      </c>
      <c r="H7" s="64">
        <f t="shared" si="0"/>
        <v>0.30068337129840544</v>
      </c>
      <c r="J7" s="63">
        <v>5</v>
      </c>
      <c r="K7" s="65">
        <v>38.9</v>
      </c>
      <c r="M7" s="68" t="s">
        <v>155</v>
      </c>
      <c r="N7" s="83">
        <f t="shared" si="1"/>
        <v>-13.468013468013469</v>
      </c>
      <c r="O7" s="80">
        <v>-4000</v>
      </c>
      <c r="P7" s="75">
        <v>297</v>
      </c>
    </row>
    <row r="8" spans="1:16" x14ac:dyDescent="0.45">
      <c r="A8" s="94" t="s">
        <v>3</v>
      </c>
      <c r="B8" s="86">
        <v>189</v>
      </c>
      <c r="C8" s="64">
        <f t="shared" ref="C8:C9" si="2">IF(B$2=0,0,B8/B$2)</f>
        <v>0.33333333333333331</v>
      </c>
      <c r="E8" s="103" t="s">
        <v>73</v>
      </c>
      <c r="F8" s="99" t="s">
        <v>26</v>
      </c>
      <c r="G8" s="86">
        <v>129</v>
      </c>
      <c r="H8" s="64">
        <f t="shared" si="0"/>
        <v>0.14692482915717539</v>
      </c>
      <c r="J8" s="63">
        <v>6</v>
      </c>
      <c r="K8" s="65">
        <v>0</v>
      </c>
    </row>
    <row r="9" spans="1:16" x14ac:dyDescent="0.45">
      <c r="A9" s="95" t="s">
        <v>4</v>
      </c>
      <c r="B9" s="87">
        <v>189</v>
      </c>
      <c r="C9" s="66">
        <f t="shared" si="2"/>
        <v>0.33333333333333331</v>
      </c>
      <c r="E9" s="103" t="s">
        <v>74</v>
      </c>
      <c r="F9" s="99" t="s">
        <v>27</v>
      </c>
      <c r="G9" s="86">
        <v>84</v>
      </c>
      <c r="H9" s="64">
        <f t="shared" si="0"/>
        <v>9.5671981776765377E-2</v>
      </c>
      <c r="J9" s="63">
        <v>7</v>
      </c>
      <c r="K9" s="65">
        <v>15.1</v>
      </c>
    </row>
    <row r="10" spans="1:16" x14ac:dyDescent="0.45">
      <c r="A10" s="95" t="s">
        <v>19</v>
      </c>
      <c r="B10" s="87">
        <v>92</v>
      </c>
      <c r="C10" s="66">
        <f>IF(B$2=0,0,B10/B$2)</f>
        <v>0.16225749559082892</v>
      </c>
      <c r="E10" s="103" t="s">
        <v>75</v>
      </c>
      <c r="F10" s="99" t="s">
        <v>28</v>
      </c>
      <c r="G10" s="86">
        <v>42</v>
      </c>
      <c r="H10" s="64">
        <f t="shared" si="0"/>
        <v>4.7835990888382689E-2</v>
      </c>
      <c r="J10" s="63">
        <v>8</v>
      </c>
      <c r="K10" s="65">
        <v>-25.699999999999996</v>
      </c>
    </row>
    <row r="11" spans="1:16" x14ac:dyDescent="0.45">
      <c r="A11" s="96" t="s">
        <v>160</v>
      </c>
      <c r="B11" s="88">
        <v>92</v>
      </c>
      <c r="C11" s="69">
        <f>IF(B$2=0,0,B11/B$2)</f>
        <v>0.16225749559082892</v>
      </c>
      <c r="E11" s="103" t="s">
        <v>76</v>
      </c>
      <c r="F11" s="99" t="s">
        <v>29</v>
      </c>
      <c r="G11" s="86">
        <v>515</v>
      </c>
      <c r="H11" s="64">
        <f t="shared" si="0"/>
        <v>0.58656036446469251</v>
      </c>
      <c r="J11" s="63">
        <v>9</v>
      </c>
      <c r="K11" s="65">
        <v>3.5527136788005009E-15</v>
      </c>
    </row>
    <row r="12" spans="1:16" x14ac:dyDescent="0.45">
      <c r="A12" s="97" t="s">
        <v>128</v>
      </c>
      <c r="B12" s="89">
        <v>827</v>
      </c>
      <c r="C12" s="72">
        <f>IF(B$24=0,0,B12/B$24)</f>
        <v>0.28775226165622825</v>
      </c>
      <c r="E12" s="103" t="s">
        <v>77</v>
      </c>
      <c r="F12" s="99" t="s">
        <v>30</v>
      </c>
      <c r="G12" s="86">
        <v>7</v>
      </c>
      <c r="H12" s="64">
        <f t="shared" si="0"/>
        <v>7.972665148063782E-3</v>
      </c>
      <c r="J12" s="63">
        <v>10</v>
      </c>
      <c r="K12" s="65">
        <v>84.2</v>
      </c>
    </row>
    <row r="13" spans="1:16" x14ac:dyDescent="0.45">
      <c r="A13" s="94" t="s">
        <v>123</v>
      </c>
      <c r="B13" s="86">
        <v>657</v>
      </c>
      <c r="C13" s="64">
        <f>IF(B$24=0,0,B13/B$24)</f>
        <v>0.22860125260960334</v>
      </c>
      <c r="E13" s="103" t="s">
        <v>78</v>
      </c>
      <c r="F13" s="99" t="s">
        <v>31</v>
      </c>
      <c r="G13" s="86">
        <v>2</v>
      </c>
      <c r="H13" s="64">
        <f t="shared" si="0"/>
        <v>2.2779043280182231E-3</v>
      </c>
      <c r="J13" s="63">
        <v>11</v>
      </c>
      <c r="K13" s="65">
        <v>43.5</v>
      </c>
    </row>
    <row r="14" spans="1:16" x14ac:dyDescent="0.45">
      <c r="A14" s="93" t="s">
        <v>130</v>
      </c>
      <c r="B14" s="85">
        <v>488</v>
      </c>
      <c r="C14" s="61">
        <f>IF(B$12=0,0,B14/B$12)</f>
        <v>0.59008464328899635</v>
      </c>
      <c r="E14" s="103" t="s">
        <v>79</v>
      </c>
      <c r="F14" s="99" t="s">
        <v>32</v>
      </c>
      <c r="G14" s="86">
        <v>6</v>
      </c>
      <c r="H14" s="64">
        <f t="shared" si="0"/>
        <v>6.8337129840546698E-3</v>
      </c>
      <c r="J14" s="63">
        <v>12</v>
      </c>
      <c r="K14" s="65">
        <v>0</v>
      </c>
    </row>
    <row r="15" spans="1:16" x14ac:dyDescent="0.45">
      <c r="A15" s="93" t="s">
        <v>131</v>
      </c>
      <c r="B15" s="85">
        <v>261</v>
      </c>
      <c r="C15" s="61">
        <f>IF(B$13=0,0,B15/B$13)</f>
        <v>0.39726027397260272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30.5</v>
      </c>
    </row>
    <row r="16" spans="1:16" x14ac:dyDescent="0.45">
      <c r="A16" s="93" t="s">
        <v>10</v>
      </c>
      <c r="B16" s="85">
        <f>B18+B17</f>
        <v>1319</v>
      </c>
      <c r="C16" s="61">
        <f>IF(B$3=0,0,B16/B$3)</f>
        <v>0.30596149385293436</v>
      </c>
      <c r="E16" s="103" t="s">
        <v>81</v>
      </c>
      <c r="F16" s="99" t="s">
        <v>34</v>
      </c>
      <c r="G16" s="86">
        <v>7</v>
      </c>
      <c r="H16" s="64">
        <f t="shared" si="0"/>
        <v>7.972665148063782E-3</v>
      </c>
      <c r="J16" s="63">
        <v>14</v>
      </c>
      <c r="K16" s="65">
        <v>-4</v>
      </c>
    </row>
    <row r="17" spans="1:11" x14ac:dyDescent="0.45">
      <c r="A17" s="94" t="s">
        <v>12</v>
      </c>
      <c r="B17" s="86">
        <v>544</v>
      </c>
      <c r="C17" s="64">
        <f>IF(B$16=0,0,B17/B$16)</f>
        <v>0.41243366186504926</v>
      </c>
      <c r="E17" s="103" t="s">
        <v>82</v>
      </c>
      <c r="F17" s="99" t="s">
        <v>35</v>
      </c>
      <c r="G17" s="86">
        <v>25</v>
      </c>
      <c r="H17" s="64">
        <f t="shared" si="0"/>
        <v>2.847380410022779E-2</v>
      </c>
      <c r="J17" s="63">
        <v>15</v>
      </c>
      <c r="K17" s="65">
        <v>0</v>
      </c>
    </row>
    <row r="18" spans="1:11" x14ac:dyDescent="0.45">
      <c r="A18" s="94" t="s">
        <v>11</v>
      </c>
      <c r="B18" s="86">
        <v>775</v>
      </c>
      <c r="C18" s="64">
        <f>IF(B$16=0,0,B18/B$16)</f>
        <v>0.58756633813495074</v>
      </c>
      <c r="E18" s="103" t="s">
        <v>83</v>
      </c>
      <c r="F18" s="99" t="s">
        <v>36</v>
      </c>
      <c r="G18" s="86">
        <v>11</v>
      </c>
      <c r="H18" s="64">
        <f t="shared" si="0"/>
        <v>1.2528473804100227E-2</v>
      </c>
      <c r="J18" s="63">
        <v>16</v>
      </c>
      <c r="K18" s="65">
        <v>-47</v>
      </c>
    </row>
    <row r="19" spans="1:11" x14ac:dyDescent="0.45">
      <c r="A19" s="94" t="s">
        <v>13</v>
      </c>
      <c r="B19" s="86">
        <v>757</v>
      </c>
      <c r="C19" s="64">
        <f>IF(B$3=0,0,B19/B$3)</f>
        <v>0.17559730920900024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-8</v>
      </c>
    </row>
    <row r="20" spans="1:11" x14ac:dyDescent="0.45">
      <c r="A20" s="94" t="s">
        <v>5</v>
      </c>
      <c r="B20" s="90">
        <f>IF(B$16=0,0,C20/B$16)</f>
        <v>10187.642153146324</v>
      </c>
      <c r="C20" s="67">
        <v>13437500</v>
      </c>
      <c r="E20" s="103" t="s">
        <v>85</v>
      </c>
      <c r="F20" s="99" t="s">
        <v>38</v>
      </c>
      <c r="G20" s="86">
        <v>1</v>
      </c>
      <c r="H20" s="64">
        <f t="shared" si="0"/>
        <v>1.1389521640091116E-3</v>
      </c>
      <c r="J20" s="63">
        <v>18</v>
      </c>
      <c r="K20" s="65">
        <v>0</v>
      </c>
    </row>
    <row r="21" spans="1:11" x14ac:dyDescent="0.45">
      <c r="A21" s="96" t="s">
        <v>14</v>
      </c>
      <c r="B21" s="91">
        <f>IF(B$19=0,0,C21/B$19)</f>
        <v>-9454.4253632760901</v>
      </c>
      <c r="C21" s="84">
        <v>-7157000</v>
      </c>
      <c r="E21" s="103" t="s">
        <v>86</v>
      </c>
      <c r="F21" s="99" t="s">
        <v>39</v>
      </c>
      <c r="G21" s="86">
        <v>22</v>
      </c>
      <c r="H21" s="64">
        <f t="shared" si="0"/>
        <v>2.5056947608200455E-2</v>
      </c>
      <c r="J21" s="63">
        <v>19</v>
      </c>
      <c r="K21" s="65">
        <v>-5.0999999999999996</v>
      </c>
    </row>
    <row r="22" spans="1:11" x14ac:dyDescent="0.45">
      <c r="A22" s="93" t="s">
        <v>147</v>
      </c>
      <c r="B22" s="85">
        <v>1430</v>
      </c>
      <c r="C22" s="61">
        <f>IF(B$3=0,0,B22/B$3)</f>
        <v>0.33170958014381813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4.9000000000000004</v>
      </c>
    </row>
    <row r="23" spans="1:11" x14ac:dyDescent="0.45">
      <c r="A23" s="96" t="s">
        <v>148</v>
      </c>
      <c r="B23" s="88">
        <v>521</v>
      </c>
      <c r="C23" s="69">
        <f>IF(B$22=0,0,B23/B$22)</f>
        <v>0.36433566433566433</v>
      </c>
      <c r="E23" s="103" t="s">
        <v>88</v>
      </c>
      <c r="F23" s="99" t="s">
        <v>41</v>
      </c>
      <c r="G23" s="86">
        <v>38</v>
      </c>
      <c r="H23" s="64">
        <f t="shared" si="0"/>
        <v>4.328018223234624E-2</v>
      </c>
      <c r="J23" s="63">
        <v>21</v>
      </c>
      <c r="K23" s="65">
        <v>0</v>
      </c>
    </row>
    <row r="24" spans="1:11" x14ac:dyDescent="0.45">
      <c r="A24" s="93" t="s">
        <v>126</v>
      </c>
      <c r="B24" s="119">
        <v>2874</v>
      </c>
      <c r="C24" s="120"/>
      <c r="E24" s="103" t="s">
        <v>89</v>
      </c>
      <c r="F24" s="99" t="s">
        <v>42</v>
      </c>
      <c r="G24" s="86">
        <v>3</v>
      </c>
      <c r="H24" s="64">
        <f t="shared" si="0"/>
        <v>3.4168564920273349E-3</v>
      </c>
      <c r="J24" s="63">
        <v>22</v>
      </c>
      <c r="K24" s="65">
        <v>-35</v>
      </c>
    </row>
    <row r="25" spans="1:11" x14ac:dyDescent="0.45">
      <c r="A25" s="96" t="s">
        <v>127</v>
      </c>
      <c r="B25" s="121">
        <v>878</v>
      </c>
      <c r="C25" s="122"/>
      <c r="E25" s="103" t="s">
        <v>90</v>
      </c>
      <c r="F25" s="99" t="s">
        <v>43</v>
      </c>
      <c r="G25" s="86">
        <v>4</v>
      </c>
      <c r="H25" s="64">
        <f t="shared" si="0"/>
        <v>4.5558086560364463E-3</v>
      </c>
      <c r="J25" s="63">
        <v>23</v>
      </c>
      <c r="K25" s="65">
        <v>-3</v>
      </c>
    </row>
    <row r="26" spans="1:11" x14ac:dyDescent="0.45">
      <c r="A26" s="105" t="s">
        <v>164</v>
      </c>
      <c r="B26" s="115">
        <v>10</v>
      </c>
      <c r="C26" s="116"/>
      <c r="E26" s="103" t="s">
        <v>91</v>
      </c>
      <c r="F26" s="99" t="s">
        <v>44</v>
      </c>
      <c r="G26" s="86">
        <v>60</v>
      </c>
      <c r="H26" s="64">
        <f t="shared" si="0"/>
        <v>6.8337129840546698E-2</v>
      </c>
      <c r="J26" s="63">
        <v>24</v>
      </c>
      <c r="K26" s="65">
        <v>0</v>
      </c>
    </row>
    <row r="27" spans="1:11" x14ac:dyDescent="0.45">
      <c r="A27" s="96" t="s">
        <v>165</v>
      </c>
      <c r="B27" s="106">
        <v>16</v>
      </c>
      <c r="C27" s="69">
        <f>IF(B$3=0,0,B27/B$3)</f>
        <v>3.7114358617490141E-3</v>
      </c>
      <c r="E27" s="103" t="s">
        <v>92</v>
      </c>
      <c r="F27" s="99" t="s">
        <v>45</v>
      </c>
      <c r="G27" s="86">
        <v>3</v>
      </c>
      <c r="H27" s="64">
        <f t="shared" si="0"/>
        <v>3.4168564920273349E-3</v>
      </c>
      <c r="J27" s="63">
        <v>25</v>
      </c>
      <c r="K27" s="65">
        <v>-40</v>
      </c>
    </row>
    <row r="28" spans="1:11" x14ac:dyDescent="0.45">
      <c r="E28" s="103" t="s">
        <v>93</v>
      </c>
      <c r="F28" s="99" t="s">
        <v>46</v>
      </c>
      <c r="G28" s="86">
        <v>1</v>
      </c>
      <c r="H28" s="64">
        <f t="shared" si="0"/>
        <v>1.1389521640091116E-3</v>
      </c>
      <c r="J28" s="63">
        <v>26</v>
      </c>
      <c r="K28" s="65">
        <v>11.5</v>
      </c>
    </row>
    <row r="29" spans="1:11" x14ac:dyDescent="0.45">
      <c r="E29" s="103" t="s">
        <v>94</v>
      </c>
      <c r="F29" s="99" t="s">
        <v>47</v>
      </c>
      <c r="G29" s="86">
        <v>131</v>
      </c>
      <c r="H29" s="64">
        <f t="shared" si="0"/>
        <v>0.14920273348519361</v>
      </c>
      <c r="J29" s="63">
        <v>27</v>
      </c>
      <c r="K29" s="65">
        <v>0</v>
      </c>
    </row>
    <row r="30" spans="1:11" x14ac:dyDescent="0.45">
      <c r="E30" s="103" t="s">
        <v>95</v>
      </c>
      <c r="F30" s="99" t="s">
        <v>48</v>
      </c>
      <c r="G30" s="86">
        <v>1</v>
      </c>
      <c r="H30" s="64">
        <f t="shared" si="0"/>
        <v>1.1389521640091116E-3</v>
      </c>
      <c r="J30" s="63">
        <v>28</v>
      </c>
      <c r="K30" s="65">
        <v>-31.5</v>
      </c>
    </row>
    <row r="31" spans="1:11" x14ac:dyDescent="0.45">
      <c r="E31" s="103" t="s">
        <v>96</v>
      </c>
      <c r="F31" s="99" t="s">
        <v>49</v>
      </c>
      <c r="G31" s="86">
        <v>14</v>
      </c>
      <c r="H31" s="64">
        <f t="shared" si="0"/>
        <v>1.5945330296127564E-2</v>
      </c>
      <c r="J31" s="63">
        <v>29</v>
      </c>
      <c r="K31" s="65">
        <v>35.700000000000003</v>
      </c>
    </row>
    <row r="32" spans="1:11" x14ac:dyDescent="0.45">
      <c r="E32" s="103" t="s">
        <v>97</v>
      </c>
      <c r="F32" s="99" t="s">
        <v>50</v>
      </c>
      <c r="G32" s="86">
        <v>5</v>
      </c>
      <c r="H32" s="64">
        <f t="shared" si="0"/>
        <v>5.6947608200455585E-3</v>
      </c>
      <c r="J32" s="63">
        <v>30</v>
      </c>
      <c r="K32" s="65">
        <v>0</v>
      </c>
    </row>
    <row r="33" spans="5:11" x14ac:dyDescent="0.45">
      <c r="E33" s="103" t="s">
        <v>98</v>
      </c>
      <c r="F33" s="99" t="s">
        <v>51</v>
      </c>
      <c r="G33" s="86">
        <v>2</v>
      </c>
      <c r="H33" s="64">
        <f t="shared" si="0"/>
        <v>2.2779043280182231E-3</v>
      </c>
      <c r="J33" s="63">
        <v>31</v>
      </c>
      <c r="K33" s="65">
        <v>17.3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8.6000000000000014</v>
      </c>
    </row>
    <row r="35" spans="5:11" x14ac:dyDescent="0.45">
      <c r="E35" s="103" t="s">
        <v>100</v>
      </c>
      <c r="F35" s="99" t="s">
        <v>53</v>
      </c>
      <c r="G35" s="86">
        <v>1</v>
      </c>
      <c r="H35" s="64">
        <f t="shared" si="0"/>
        <v>1.1389521640091116E-3</v>
      </c>
      <c r="J35" s="63">
        <v>33</v>
      </c>
      <c r="K35" s="65">
        <v>1.7763568394002505E-15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12.800000000000002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35.400000000000006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7.1054273576010019E-15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56.000000000000007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31.600000000000009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7.1054273576010019E-15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-42.999999999999993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22.000000000000007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7.1054273576010019E-15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-35.999999999999993</v>
      </c>
    </row>
    <row r="46" spans="5:11" x14ac:dyDescent="0.45">
      <c r="E46" s="103" t="s">
        <v>111</v>
      </c>
      <c r="F46" s="99" t="s">
        <v>118</v>
      </c>
      <c r="G46" s="86">
        <v>1</v>
      </c>
      <c r="H46" s="64">
        <f t="shared" si="0"/>
        <v>1.1389521640091116E-3</v>
      </c>
      <c r="J46" s="63">
        <v>44</v>
      </c>
      <c r="K46" s="65">
        <v>-34.499999999999993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7.1054273576010019E-15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1.6000000000000072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4.4000000000000075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7.1054273576010019E-15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-21.399999999999991</v>
      </c>
    </row>
    <row r="52" spans="5:11" x14ac:dyDescent="0.45">
      <c r="J52" s="63">
        <v>50</v>
      </c>
      <c r="K52" s="65">
        <v>-52.899999999999991</v>
      </c>
    </row>
    <row r="53" spans="5:11" x14ac:dyDescent="0.45">
      <c r="J53" s="63">
        <v>51</v>
      </c>
      <c r="K53" s="65">
        <v>7.1054273576010019E-15</v>
      </c>
    </row>
    <row r="54" spans="5:11" x14ac:dyDescent="0.45">
      <c r="J54" s="63">
        <v>52</v>
      </c>
      <c r="K54" s="65">
        <v>13.900000000000007</v>
      </c>
    </row>
    <row r="55" spans="5:11" x14ac:dyDescent="0.45">
      <c r="J55" s="63">
        <v>53</v>
      </c>
      <c r="K55" s="65">
        <v>1.2000000000000082</v>
      </c>
    </row>
    <row r="56" spans="5:11" x14ac:dyDescent="0.45">
      <c r="J56" s="63">
        <v>54</v>
      </c>
      <c r="K56" s="65">
        <v>8.2156503822261584E-15</v>
      </c>
    </row>
    <row r="57" spans="5:11" x14ac:dyDescent="0.45">
      <c r="J57" s="63">
        <v>55</v>
      </c>
      <c r="K57" s="65">
        <v>56.20000000000001</v>
      </c>
    </row>
    <row r="58" spans="5:11" x14ac:dyDescent="0.45">
      <c r="J58" s="63">
        <v>56</v>
      </c>
      <c r="K58" s="65">
        <v>18.800000000000011</v>
      </c>
    </row>
    <row r="59" spans="5:11" x14ac:dyDescent="0.45">
      <c r="J59" s="63">
        <v>57</v>
      </c>
      <c r="K59" s="65">
        <v>1.0658141036401503E-14</v>
      </c>
    </row>
    <row r="60" spans="5:11" x14ac:dyDescent="0.45">
      <c r="J60" s="63">
        <v>58</v>
      </c>
      <c r="K60" s="65">
        <v>25.20000000000001</v>
      </c>
    </row>
    <row r="61" spans="5:11" x14ac:dyDescent="0.45">
      <c r="J61" s="63">
        <v>59</v>
      </c>
      <c r="K61" s="65">
        <v>1.0000000000000107</v>
      </c>
    </row>
    <row r="62" spans="5:11" x14ac:dyDescent="0.45">
      <c r="J62" s="63">
        <v>60</v>
      </c>
      <c r="K62" s="65">
        <v>1.0658141036401503E-14</v>
      </c>
    </row>
    <row r="63" spans="5:11" x14ac:dyDescent="0.45">
      <c r="J63" s="63">
        <v>61</v>
      </c>
      <c r="K63" s="65">
        <v>55.500000000000014</v>
      </c>
    </row>
    <row r="64" spans="5:11" x14ac:dyDescent="0.45">
      <c r="J64" s="63">
        <v>62</v>
      </c>
      <c r="K64" s="65">
        <v>10.000000000000014</v>
      </c>
    </row>
    <row r="65" spans="10:11" x14ac:dyDescent="0.45">
      <c r="J65" s="63">
        <v>63</v>
      </c>
      <c r="K65" s="65">
        <v>1.4210854715202004E-14</v>
      </c>
    </row>
    <row r="66" spans="10:11" x14ac:dyDescent="0.45">
      <c r="J66" s="63">
        <v>64</v>
      </c>
      <c r="K66" s="65">
        <v>-25.499999999999986</v>
      </c>
    </row>
    <row r="67" spans="10:11" x14ac:dyDescent="0.45">
      <c r="J67" s="63">
        <v>65</v>
      </c>
      <c r="K67" s="65">
        <v>-64.399999999999977</v>
      </c>
    </row>
    <row r="68" spans="10:11" x14ac:dyDescent="0.45">
      <c r="J68" s="63">
        <v>66</v>
      </c>
      <c r="K68" s="65">
        <v>2.8421709430404007E-14</v>
      </c>
    </row>
    <row r="69" spans="10:11" x14ac:dyDescent="0.45">
      <c r="J69" s="63">
        <v>67</v>
      </c>
      <c r="K69" s="65">
        <v>23.700000000000028</v>
      </c>
    </row>
    <row r="70" spans="10:11" x14ac:dyDescent="0.45">
      <c r="J70" s="63">
        <v>68</v>
      </c>
      <c r="K70" s="65">
        <v>-11.099999999999969</v>
      </c>
    </row>
    <row r="71" spans="10:11" x14ac:dyDescent="0.45">
      <c r="J71" s="63">
        <v>69</v>
      </c>
      <c r="K71" s="65">
        <v>3.0198066269804258E-14</v>
      </c>
    </row>
    <row r="72" spans="10:11" x14ac:dyDescent="0.45">
      <c r="J72" s="63">
        <v>70</v>
      </c>
      <c r="K72" s="65">
        <v>-6.4999999999999698</v>
      </c>
    </row>
    <row r="73" spans="10:11" x14ac:dyDescent="0.45">
      <c r="J73" s="63">
        <v>71</v>
      </c>
      <c r="K73" s="65">
        <v>-49.999999999999972</v>
      </c>
    </row>
    <row r="74" spans="10:11" x14ac:dyDescent="0.45">
      <c r="J74" s="63">
        <v>72</v>
      </c>
      <c r="K74" s="65">
        <v>2.8421709430404007E-14</v>
      </c>
    </row>
    <row r="75" spans="10:11" x14ac:dyDescent="0.45">
      <c r="J75" s="63">
        <v>73</v>
      </c>
      <c r="K75" s="65">
        <v>-32.699999999999974</v>
      </c>
    </row>
    <row r="76" spans="10:11" x14ac:dyDescent="0.45">
      <c r="J76" s="63">
        <v>74</v>
      </c>
      <c r="K76" s="65">
        <v>-16.199999999999974</v>
      </c>
    </row>
    <row r="77" spans="10:11" x14ac:dyDescent="0.45">
      <c r="J77" s="63">
        <v>75</v>
      </c>
      <c r="K77" s="65">
        <v>2.4868995751603507E-14</v>
      </c>
    </row>
    <row r="78" spans="10:11" x14ac:dyDescent="0.45">
      <c r="J78" s="63">
        <v>76</v>
      </c>
      <c r="K78" s="65">
        <v>22.900000000000023</v>
      </c>
    </row>
    <row r="79" spans="10:11" x14ac:dyDescent="0.45">
      <c r="J79" s="63">
        <v>77</v>
      </c>
      <c r="K79" s="65">
        <v>14.500000000000023</v>
      </c>
    </row>
    <row r="80" spans="10:11" x14ac:dyDescent="0.45">
      <c r="J80" s="63">
        <v>78</v>
      </c>
      <c r="K80" s="65">
        <v>2.3092638912203256E-14</v>
      </c>
    </row>
    <row r="81" spans="10:11" x14ac:dyDescent="0.45">
      <c r="J81" s="63">
        <v>79</v>
      </c>
      <c r="K81" s="65">
        <v>-35.999999999999979</v>
      </c>
    </row>
    <row r="82" spans="10:11" x14ac:dyDescent="0.45">
      <c r="J82" s="63">
        <v>80</v>
      </c>
      <c r="K82" s="65">
        <v>24.500000000000021</v>
      </c>
    </row>
    <row r="83" spans="10:11" x14ac:dyDescent="0.45">
      <c r="J83" s="63">
        <v>81</v>
      </c>
      <c r="K83" s="65">
        <v>2.1316282072803006E-14</v>
      </c>
    </row>
    <row r="84" spans="10:11" x14ac:dyDescent="0.45">
      <c r="J84" s="63">
        <v>82</v>
      </c>
      <c r="K84" s="65">
        <v>57.000000000000021</v>
      </c>
    </row>
    <row r="85" spans="10:11" x14ac:dyDescent="0.45">
      <c r="J85" s="63">
        <v>83</v>
      </c>
      <c r="K85" s="65">
        <v>40.500000000000021</v>
      </c>
    </row>
    <row r="86" spans="10:11" x14ac:dyDescent="0.45">
      <c r="J86" s="63">
        <v>84</v>
      </c>
      <c r="K86" s="65">
        <v>2.1316282072803006E-14</v>
      </c>
    </row>
    <row r="87" spans="10:11" x14ac:dyDescent="0.45">
      <c r="J87" s="63">
        <v>85</v>
      </c>
      <c r="K87" s="65">
        <v>-8.399999999999979</v>
      </c>
    </row>
    <row r="88" spans="10:11" x14ac:dyDescent="0.45">
      <c r="J88" s="63">
        <v>86</v>
      </c>
      <c r="K88" s="65">
        <v>18.300000000000018</v>
      </c>
    </row>
    <row r="89" spans="10:11" x14ac:dyDescent="0.45">
      <c r="J89" s="63">
        <v>87</v>
      </c>
      <c r="K89" s="65">
        <v>1.7763568394002505E-14</v>
      </c>
    </row>
    <row r="90" spans="10:11" x14ac:dyDescent="0.45">
      <c r="J90" s="63">
        <v>88</v>
      </c>
      <c r="K90" s="65">
        <v>-8.3999999999999826</v>
      </c>
    </row>
    <row r="91" spans="10:11" x14ac:dyDescent="0.45">
      <c r="J91" s="63">
        <v>89</v>
      </c>
      <c r="K91" s="65">
        <v>18.300000000000018</v>
      </c>
    </row>
    <row r="92" spans="10:11" x14ac:dyDescent="0.45">
      <c r="J92" s="63">
        <v>90</v>
      </c>
      <c r="K92" s="65">
        <v>1.7763568394002505E-14</v>
      </c>
    </row>
    <row r="93" spans="10:11" x14ac:dyDescent="0.45">
      <c r="J93" s="63">
        <v>91</v>
      </c>
      <c r="K93" s="65">
        <v>52.300000000000011</v>
      </c>
    </row>
    <row r="94" spans="10:11" x14ac:dyDescent="0.45">
      <c r="J94" s="63">
        <v>92</v>
      </c>
      <c r="K94" s="65">
        <v>14.400000000000013</v>
      </c>
    </row>
    <row r="95" spans="10:11" x14ac:dyDescent="0.45">
      <c r="J95" s="63">
        <v>93</v>
      </c>
      <c r="K95" s="65">
        <v>1.2434497875801753E-14</v>
      </c>
    </row>
    <row r="96" spans="10:11" x14ac:dyDescent="0.45">
      <c r="J96" s="63">
        <v>94</v>
      </c>
      <c r="K96" s="65">
        <v>-13.999999999999988</v>
      </c>
    </row>
    <row r="97" spans="10:11" x14ac:dyDescent="0.45">
      <c r="J97" s="63">
        <v>95</v>
      </c>
      <c r="K97" s="65">
        <v>-50.999999999999986</v>
      </c>
    </row>
    <row r="98" spans="10:11" x14ac:dyDescent="0.45">
      <c r="J98" s="63">
        <v>96</v>
      </c>
      <c r="K98" s="65">
        <v>1.4210854715202004E-14</v>
      </c>
    </row>
    <row r="99" spans="10:11" x14ac:dyDescent="0.45">
      <c r="J99" s="63">
        <v>97</v>
      </c>
      <c r="K99" s="65">
        <v>59.700000000000017</v>
      </c>
    </row>
    <row r="100" spans="10:11" x14ac:dyDescent="0.45">
      <c r="J100" s="63">
        <v>98</v>
      </c>
      <c r="K100" s="65">
        <v>39.40000000000002</v>
      </c>
    </row>
    <row r="101" spans="10:11" x14ac:dyDescent="0.45">
      <c r="J101" s="63">
        <v>99</v>
      </c>
      <c r="K101" s="65">
        <v>2.1316282072803006E-14</v>
      </c>
    </row>
    <row r="102" spans="10:11" x14ac:dyDescent="0.45">
      <c r="J102" s="63">
        <v>100</v>
      </c>
      <c r="K102" s="65">
        <v>49.000000000000021</v>
      </c>
    </row>
    <row r="103" spans="10:11" x14ac:dyDescent="0.45">
      <c r="J103" s="63">
        <v>101</v>
      </c>
      <c r="K103" s="65">
        <v>40.500000000000021</v>
      </c>
    </row>
    <row r="104" spans="10:11" x14ac:dyDescent="0.45">
      <c r="J104" s="63">
        <v>102</v>
      </c>
      <c r="K104" s="65">
        <v>2.1316282072803006E-14</v>
      </c>
    </row>
    <row r="105" spans="10:11" x14ac:dyDescent="0.45">
      <c r="J105" s="63">
        <v>103</v>
      </c>
      <c r="K105" s="65">
        <v>-13.999999999999979</v>
      </c>
    </row>
    <row r="106" spans="10:11" x14ac:dyDescent="0.45">
      <c r="J106" s="63">
        <v>104</v>
      </c>
      <c r="K106" s="65">
        <v>-51.499999999999979</v>
      </c>
    </row>
    <row r="107" spans="10:11" x14ac:dyDescent="0.45">
      <c r="J107" s="63">
        <v>105</v>
      </c>
      <c r="K107" s="65">
        <v>2.1316282072803006E-14</v>
      </c>
    </row>
    <row r="108" spans="10:11" x14ac:dyDescent="0.45">
      <c r="J108" s="63">
        <v>106</v>
      </c>
      <c r="K108" s="65">
        <v>-3.3999999999999786</v>
      </c>
    </row>
    <row r="109" spans="10:11" x14ac:dyDescent="0.45">
      <c r="J109" s="63">
        <v>107</v>
      </c>
      <c r="K109" s="65">
        <v>-13.999999999999979</v>
      </c>
    </row>
    <row r="110" spans="10:11" x14ac:dyDescent="0.45">
      <c r="J110" s="63">
        <v>108</v>
      </c>
      <c r="K110" s="65">
        <v>2.1316282072803006E-14</v>
      </c>
    </row>
    <row r="111" spans="10:11" x14ac:dyDescent="0.45">
      <c r="J111" s="63">
        <v>109</v>
      </c>
      <c r="K111" s="65">
        <v>-16.09999999999998</v>
      </c>
    </row>
    <row r="112" spans="10:11" x14ac:dyDescent="0.45">
      <c r="J112" s="63">
        <v>110</v>
      </c>
      <c r="K112" s="65">
        <v>-15.799999999999979</v>
      </c>
    </row>
    <row r="113" spans="10:11" x14ac:dyDescent="0.45">
      <c r="J113" s="63">
        <v>111</v>
      </c>
      <c r="K113" s="65">
        <v>2.1316282072803006E-14</v>
      </c>
    </row>
    <row r="114" spans="10:11" x14ac:dyDescent="0.45">
      <c r="J114" s="63">
        <v>112</v>
      </c>
      <c r="K114" s="65">
        <v>20.100000000000023</v>
      </c>
    </row>
    <row r="115" spans="10:11" x14ac:dyDescent="0.45">
      <c r="J115" s="63">
        <v>113</v>
      </c>
      <c r="K115" s="65">
        <v>34.800000000000026</v>
      </c>
    </row>
    <row r="116" spans="10:11" x14ac:dyDescent="0.45">
      <c r="J116" s="63">
        <v>114</v>
      </c>
      <c r="K116" s="65">
        <v>2.8421709430404007E-14</v>
      </c>
    </row>
    <row r="117" spans="10:11" x14ac:dyDescent="0.45">
      <c r="J117" s="63">
        <v>115</v>
      </c>
      <c r="K117" s="65">
        <v>-49.599999999999973</v>
      </c>
    </row>
    <row r="118" spans="10:11" x14ac:dyDescent="0.45">
      <c r="J118" s="63">
        <v>116</v>
      </c>
      <c r="K118" s="65">
        <v>-2.599999999999973</v>
      </c>
    </row>
    <row r="119" spans="10:11" x14ac:dyDescent="0.45">
      <c r="J119" s="63">
        <v>117</v>
      </c>
      <c r="K119" s="65">
        <v>2.708944180085382E-14</v>
      </c>
    </row>
    <row r="120" spans="10:11" x14ac:dyDescent="0.45">
      <c r="J120" s="63">
        <v>118</v>
      </c>
      <c r="K120" s="65">
        <v>-8.1999999999999726</v>
      </c>
    </row>
    <row r="121" spans="10:11" x14ac:dyDescent="0.45">
      <c r="J121" s="63">
        <v>119</v>
      </c>
      <c r="K121" s="65">
        <v>-48.999999999999972</v>
      </c>
    </row>
    <row r="122" spans="10:11" x14ac:dyDescent="0.45">
      <c r="J122" s="63">
        <v>120</v>
      </c>
      <c r="K122" s="65">
        <v>2.8421709430404007E-14</v>
      </c>
    </row>
    <row r="123" spans="10:11" x14ac:dyDescent="0.45">
      <c r="J123" s="63">
        <v>121</v>
      </c>
      <c r="K123" s="65">
        <v>-5.9999999999999716</v>
      </c>
    </row>
    <row r="124" spans="10:11" x14ac:dyDescent="0.45">
      <c r="J124" s="63">
        <v>122</v>
      </c>
      <c r="K124" s="65">
        <v>-11.499999999999972</v>
      </c>
    </row>
    <row r="125" spans="10:11" x14ac:dyDescent="0.45">
      <c r="J125" s="63">
        <v>123</v>
      </c>
      <c r="K125" s="65">
        <v>2.8421709430404007E-14</v>
      </c>
    </row>
    <row r="126" spans="10:11" x14ac:dyDescent="0.45">
      <c r="J126" s="63">
        <v>124</v>
      </c>
      <c r="K126" s="65">
        <v>-35.39999999999997</v>
      </c>
    </row>
    <row r="127" spans="10:11" x14ac:dyDescent="0.45">
      <c r="J127" s="63">
        <v>125</v>
      </c>
      <c r="K127" s="65">
        <v>-11.499999999999972</v>
      </c>
    </row>
    <row r="128" spans="10:11" x14ac:dyDescent="0.45">
      <c r="J128" s="63">
        <v>126</v>
      </c>
      <c r="K128" s="65">
        <v>2.8421709430404007E-14</v>
      </c>
    </row>
    <row r="129" spans="10:11" x14ac:dyDescent="0.45">
      <c r="J129" s="63">
        <v>127</v>
      </c>
      <c r="K129" s="65">
        <v>-7.4999999999999716</v>
      </c>
    </row>
    <row r="130" spans="10:11" x14ac:dyDescent="0.45">
      <c r="J130" s="63">
        <v>128</v>
      </c>
      <c r="K130" s="65">
        <v>-4.4999999999999716</v>
      </c>
    </row>
    <row r="131" spans="10:11" x14ac:dyDescent="0.45">
      <c r="J131" s="63">
        <v>129</v>
      </c>
      <c r="K131" s="65">
        <v>2.8421709430404007E-14</v>
      </c>
    </row>
    <row r="132" spans="10:11" x14ac:dyDescent="0.45">
      <c r="J132" s="63">
        <v>130</v>
      </c>
      <c r="K132" s="65">
        <v>8.4000000000000288</v>
      </c>
    </row>
    <row r="133" spans="10:11" x14ac:dyDescent="0.45">
      <c r="J133" s="63">
        <v>131</v>
      </c>
      <c r="K133" s="65">
        <v>22.900000000000027</v>
      </c>
    </row>
    <row r="134" spans="10:11" x14ac:dyDescent="0.45">
      <c r="J134" s="63">
        <v>132</v>
      </c>
      <c r="K134" s="65">
        <v>2.8421709430404007E-14</v>
      </c>
    </row>
    <row r="135" spans="10:11" x14ac:dyDescent="0.45">
      <c r="J135" s="63">
        <v>133</v>
      </c>
      <c r="K135" s="65">
        <v>-9.3999999999999719</v>
      </c>
    </row>
    <row r="136" spans="10:11" x14ac:dyDescent="0.45">
      <c r="J136" s="63">
        <v>134</v>
      </c>
      <c r="K136" s="65">
        <v>0.70000000000002771</v>
      </c>
    </row>
    <row r="137" spans="10:11" x14ac:dyDescent="0.45">
      <c r="J137" s="63">
        <v>135</v>
      </c>
      <c r="K137" s="65">
        <v>2.7755575615628914E-14</v>
      </c>
    </row>
    <row r="138" spans="10:11" x14ac:dyDescent="0.45">
      <c r="J138" s="63">
        <v>136</v>
      </c>
      <c r="K138" s="65">
        <v>26.900000000000027</v>
      </c>
    </row>
    <row r="139" spans="10:11" x14ac:dyDescent="0.45">
      <c r="J139" s="63">
        <v>137</v>
      </c>
      <c r="K139" s="65">
        <v>-7.9999999999999716</v>
      </c>
    </row>
    <row r="140" spans="10:11" x14ac:dyDescent="0.45">
      <c r="J140" s="63">
        <v>138</v>
      </c>
      <c r="K140" s="65">
        <v>2.8421709430404007E-14</v>
      </c>
    </row>
    <row r="141" spans="10:11" x14ac:dyDescent="0.45">
      <c r="J141" s="63">
        <v>139</v>
      </c>
      <c r="K141" s="65">
        <v>-19.499999999999972</v>
      </c>
    </row>
    <row r="142" spans="10:11" x14ac:dyDescent="0.45">
      <c r="J142" s="63">
        <v>140</v>
      </c>
      <c r="K142" s="65">
        <v>-24.199999999999971</v>
      </c>
    </row>
    <row r="143" spans="10:11" x14ac:dyDescent="0.45">
      <c r="J143" s="63">
        <v>141</v>
      </c>
      <c r="K143" s="65">
        <v>2.8421709430404007E-14</v>
      </c>
    </row>
    <row r="144" spans="10:11" x14ac:dyDescent="0.45">
      <c r="J144" s="63">
        <v>142</v>
      </c>
      <c r="K144" s="65">
        <v>-31.099999999999973</v>
      </c>
    </row>
    <row r="145" spans="10:11" x14ac:dyDescent="0.45">
      <c r="J145" s="63">
        <v>143</v>
      </c>
      <c r="K145" s="65">
        <v>-61.299999999999969</v>
      </c>
    </row>
    <row r="146" spans="10:11" x14ac:dyDescent="0.45">
      <c r="J146" s="63">
        <v>144</v>
      </c>
      <c r="K146" s="65">
        <v>2.8421709430404007E-14</v>
      </c>
    </row>
    <row r="147" spans="10:11" x14ac:dyDescent="0.45">
      <c r="J147" s="63">
        <v>145</v>
      </c>
      <c r="K147" s="65">
        <v>15.200000000000028</v>
      </c>
    </row>
    <row r="148" spans="10:11" x14ac:dyDescent="0.45">
      <c r="J148" s="63">
        <v>146</v>
      </c>
      <c r="K148" s="65">
        <v>-8.599999999999973</v>
      </c>
    </row>
    <row r="149" spans="10:11" x14ac:dyDescent="0.45">
      <c r="J149" s="63">
        <v>147</v>
      </c>
      <c r="K149" s="65">
        <v>2.6645352591003757E-14</v>
      </c>
    </row>
    <row r="150" spans="10:11" x14ac:dyDescent="0.45">
      <c r="J150" s="63">
        <v>148</v>
      </c>
      <c r="K150" s="65">
        <v>-4.8999999999999737</v>
      </c>
    </row>
    <row r="151" spans="10:11" x14ac:dyDescent="0.45">
      <c r="J151" s="63">
        <v>149</v>
      </c>
      <c r="K151" s="65">
        <v>-15.799999999999976</v>
      </c>
    </row>
    <row r="152" spans="10:11" x14ac:dyDescent="0.45">
      <c r="J152" s="63">
        <v>150</v>
      </c>
      <c r="K152" s="65">
        <v>-1.9999999999999751</v>
      </c>
    </row>
    <row r="153" spans="10:11" x14ac:dyDescent="0.45">
      <c r="J153" s="63">
        <v>151</v>
      </c>
      <c r="K153" s="65">
        <v>9.8000000000000256</v>
      </c>
    </row>
    <row r="154" spans="10:11" x14ac:dyDescent="0.45">
      <c r="J154" s="63">
        <v>152</v>
      </c>
      <c r="K154" s="65">
        <v>13.700000000000026</v>
      </c>
    </row>
    <row r="155" spans="10:11" x14ac:dyDescent="0.45">
      <c r="J155" s="63">
        <v>153</v>
      </c>
      <c r="K155" s="65">
        <v>-1.9999999999999734</v>
      </c>
    </row>
    <row r="156" spans="10:11" x14ac:dyDescent="0.45">
      <c r="J156" s="63">
        <v>154</v>
      </c>
      <c r="K156" s="65">
        <v>-1.2999999999999734</v>
      </c>
    </row>
    <row r="157" spans="10:11" x14ac:dyDescent="0.45">
      <c r="J157" s="63">
        <v>155</v>
      </c>
      <c r="K157" s="65">
        <v>40.900000000000027</v>
      </c>
    </row>
    <row r="158" spans="10:11" x14ac:dyDescent="0.45">
      <c r="J158" s="63">
        <v>156</v>
      </c>
      <c r="K158" s="65">
        <v>-1.9999999999999716</v>
      </c>
    </row>
    <row r="159" spans="10:11" x14ac:dyDescent="0.45">
      <c r="J159" s="63">
        <v>157</v>
      </c>
      <c r="K159" s="65">
        <v>-7.6999999999999709</v>
      </c>
    </row>
    <row r="160" spans="10:11" x14ac:dyDescent="0.45">
      <c r="J160" s="63">
        <v>158</v>
      </c>
      <c r="K160" s="65">
        <v>-10.499999999999972</v>
      </c>
    </row>
    <row r="161" spans="10:11" x14ac:dyDescent="0.45">
      <c r="J161" s="63">
        <v>159</v>
      </c>
      <c r="K161" s="65">
        <v>-1.9999999999999716</v>
      </c>
    </row>
    <row r="162" spans="10:11" x14ac:dyDescent="0.45">
      <c r="J162" s="63">
        <v>160</v>
      </c>
      <c r="K162" s="65">
        <v>-29.999999999999972</v>
      </c>
    </row>
    <row r="163" spans="10:11" x14ac:dyDescent="0.45">
      <c r="J163" s="63">
        <v>161</v>
      </c>
      <c r="K163" s="65">
        <v>-83.999999999999972</v>
      </c>
    </row>
    <row r="164" spans="10:11" x14ac:dyDescent="0.45">
      <c r="J164" s="63">
        <v>162</v>
      </c>
      <c r="K164" s="65">
        <v>-1.9999999999999716</v>
      </c>
    </row>
    <row r="165" spans="10:11" x14ac:dyDescent="0.45">
      <c r="J165" s="63">
        <v>163</v>
      </c>
      <c r="K165" s="65">
        <v>14.700000000000028</v>
      </c>
    </row>
    <row r="166" spans="10:11" x14ac:dyDescent="0.45">
      <c r="J166" s="63">
        <v>164</v>
      </c>
      <c r="K166" s="65">
        <v>-21.999999999999975</v>
      </c>
    </row>
    <row r="167" spans="10:11" x14ac:dyDescent="0.45">
      <c r="J167" s="63">
        <v>165</v>
      </c>
      <c r="K167" s="65">
        <v>-1.9999999999999751</v>
      </c>
    </row>
    <row r="168" spans="10:11" x14ac:dyDescent="0.45">
      <c r="J168" s="63">
        <v>166</v>
      </c>
      <c r="K168" s="65">
        <v>-7.9999999999999751</v>
      </c>
    </row>
    <row r="169" spans="10:11" x14ac:dyDescent="0.45">
      <c r="J169" s="63">
        <v>167</v>
      </c>
      <c r="K169" s="65">
        <v>-13.899999999999975</v>
      </c>
    </row>
    <row r="170" spans="10:11" x14ac:dyDescent="0.45">
      <c r="J170" s="63">
        <v>168</v>
      </c>
      <c r="K170" s="65">
        <v>-2.9999999999999751</v>
      </c>
    </row>
    <row r="171" spans="10:11" x14ac:dyDescent="0.45">
      <c r="J171" s="63">
        <v>169</v>
      </c>
      <c r="K171" s="65">
        <v>27.600000000000026</v>
      </c>
    </row>
    <row r="172" spans="10:11" x14ac:dyDescent="0.45">
      <c r="J172" s="63">
        <v>170</v>
      </c>
      <c r="K172" s="65">
        <v>33.800000000000026</v>
      </c>
    </row>
    <row r="173" spans="10:11" x14ac:dyDescent="0.45">
      <c r="J173" s="63">
        <v>171</v>
      </c>
      <c r="K173" s="65">
        <v>-2.9999999999999716</v>
      </c>
    </row>
    <row r="174" spans="10:11" x14ac:dyDescent="0.45">
      <c r="J174" s="63">
        <v>172</v>
      </c>
      <c r="K174" s="65">
        <v>12.800000000000029</v>
      </c>
    </row>
    <row r="175" spans="10:11" x14ac:dyDescent="0.45">
      <c r="J175" s="63">
        <v>173</v>
      </c>
      <c r="K175" s="65">
        <v>-32.299999999999969</v>
      </c>
    </row>
    <row r="176" spans="10:11" x14ac:dyDescent="0.45">
      <c r="J176" s="63">
        <v>174</v>
      </c>
      <c r="K176" s="65">
        <v>-2.999999999999968</v>
      </c>
    </row>
    <row r="177" spans="10:11" x14ac:dyDescent="0.45">
      <c r="J177" s="63">
        <v>175</v>
      </c>
      <c r="K177" s="65">
        <v>53.000000000000028</v>
      </c>
    </row>
    <row r="178" spans="10:11" x14ac:dyDescent="0.45">
      <c r="J178" s="63">
        <v>176</v>
      </c>
      <c r="K178" s="65">
        <v>3.5000000000000284</v>
      </c>
    </row>
    <row r="179" spans="10:11" x14ac:dyDescent="0.45">
      <c r="J179" s="63">
        <v>177</v>
      </c>
      <c r="K179" s="65">
        <v>-2.9999999999999716</v>
      </c>
    </row>
    <row r="180" spans="10:11" x14ac:dyDescent="0.45">
      <c r="J180" s="63">
        <v>178</v>
      </c>
      <c r="K180" s="65">
        <v>2.3000000000000282</v>
      </c>
    </row>
    <row r="181" spans="10:11" x14ac:dyDescent="0.45">
      <c r="J181" s="63">
        <v>179</v>
      </c>
      <c r="K181" s="65">
        <v>7.6000000000000281</v>
      </c>
    </row>
    <row r="182" spans="10:11" x14ac:dyDescent="0.45">
      <c r="J182" s="63">
        <v>180</v>
      </c>
      <c r="K182" s="65">
        <v>-2.9999999999999716</v>
      </c>
    </row>
    <row r="183" spans="10:11" x14ac:dyDescent="0.45">
      <c r="J183" s="63">
        <v>181</v>
      </c>
      <c r="K183" s="65">
        <v>-38.199999999999974</v>
      </c>
    </row>
    <row r="184" spans="10:11" x14ac:dyDescent="0.45">
      <c r="J184" s="63">
        <v>182</v>
      </c>
      <c r="K184" s="65">
        <v>-20.499999999999975</v>
      </c>
    </row>
    <row r="185" spans="10:11" x14ac:dyDescent="0.45">
      <c r="J185" s="63">
        <v>183</v>
      </c>
      <c r="K185" s="65">
        <v>-2.9999999999999751</v>
      </c>
    </row>
    <row r="186" spans="10:11" x14ac:dyDescent="0.45">
      <c r="J186" s="63">
        <v>184</v>
      </c>
      <c r="K186" s="65">
        <v>-48.09999999999998</v>
      </c>
    </row>
    <row r="187" spans="10:11" x14ac:dyDescent="0.45">
      <c r="J187" s="63">
        <v>185</v>
      </c>
      <c r="K187" s="65">
        <v>-42.999999999999979</v>
      </c>
    </row>
    <row r="188" spans="10:11" x14ac:dyDescent="0.45">
      <c r="J188" s="63">
        <v>186</v>
      </c>
      <c r="K188" s="65">
        <v>-2.9999999999999787</v>
      </c>
    </row>
    <row r="189" spans="10:11" x14ac:dyDescent="0.45">
      <c r="J189" s="63">
        <v>187</v>
      </c>
      <c r="K189" s="65">
        <v>31.000000000000021</v>
      </c>
    </row>
    <row r="190" spans="10:11" x14ac:dyDescent="0.45">
      <c r="J190" s="63">
        <v>188</v>
      </c>
      <c r="K190" s="65">
        <v>7.5000000000000213</v>
      </c>
    </row>
    <row r="191" spans="10:11" x14ac:dyDescent="0.45">
      <c r="J191" s="63">
        <v>189</v>
      </c>
      <c r="K191" s="65">
        <v>-2.9999999999999787</v>
      </c>
    </row>
    <row r="192" spans="10:11" x14ac:dyDescent="0.45">
      <c r="J192" s="63">
        <v>190</v>
      </c>
      <c r="K192" s="65">
        <v>17.100000000000023</v>
      </c>
    </row>
    <row r="193" spans="10:11" x14ac:dyDescent="0.45">
      <c r="J193" s="63">
        <v>191</v>
      </c>
      <c r="K193" s="65">
        <v>4.2000000000000224</v>
      </c>
    </row>
    <row r="194" spans="10:11" x14ac:dyDescent="0.45">
      <c r="J194" s="63">
        <v>192</v>
      </c>
      <c r="K194" s="65">
        <v>-2.9999999999999778</v>
      </c>
    </row>
    <row r="195" spans="10:11" x14ac:dyDescent="0.45">
      <c r="J195" s="63">
        <v>193</v>
      </c>
      <c r="K195" s="65">
        <v>-67.999999999999972</v>
      </c>
    </row>
    <row r="196" spans="10:11" x14ac:dyDescent="0.45">
      <c r="J196" s="63">
        <v>194</v>
      </c>
      <c r="K196" s="65">
        <v>-76.299999999999969</v>
      </c>
    </row>
    <row r="197" spans="10:11" x14ac:dyDescent="0.45">
      <c r="J197" s="63">
        <v>195</v>
      </c>
      <c r="K197" s="65">
        <v>-2.9999999999999716</v>
      </c>
    </row>
    <row r="198" spans="10:11" x14ac:dyDescent="0.45">
      <c r="J198" s="63">
        <v>196</v>
      </c>
      <c r="K198" s="65">
        <v>-7.9999999999999716</v>
      </c>
    </row>
    <row r="199" spans="10:11" x14ac:dyDescent="0.45">
      <c r="J199" s="63">
        <v>197</v>
      </c>
      <c r="K199" s="65">
        <v>-51.999999999999972</v>
      </c>
    </row>
    <row r="200" spans="10:11" x14ac:dyDescent="0.45">
      <c r="J200" s="63">
        <v>198</v>
      </c>
      <c r="K200" s="65">
        <v>-2.9999999999999716</v>
      </c>
    </row>
    <row r="201" spans="10:11" x14ac:dyDescent="0.45">
      <c r="J201" s="63">
        <v>199</v>
      </c>
      <c r="K201" s="65">
        <v>-1.9999999999999716</v>
      </c>
    </row>
    <row r="202" spans="10:11" x14ac:dyDescent="0.45">
      <c r="J202" s="63">
        <v>200</v>
      </c>
      <c r="K202" s="65">
        <v>-36.999999999999972</v>
      </c>
    </row>
    <row r="203" spans="10:11" x14ac:dyDescent="0.45">
      <c r="J203" s="63">
        <v>201</v>
      </c>
      <c r="K203" s="65">
        <v>-2.9999999999999716</v>
      </c>
    </row>
    <row r="204" spans="10:11" x14ac:dyDescent="0.45">
      <c r="J204" s="63">
        <v>202</v>
      </c>
      <c r="K204" s="65">
        <v>27.60000000000003</v>
      </c>
    </row>
    <row r="205" spans="10:11" x14ac:dyDescent="0.45">
      <c r="J205" s="63">
        <v>203</v>
      </c>
      <c r="K205" s="65">
        <v>-2.6999999999999709</v>
      </c>
    </row>
    <row r="206" spans="10:11" x14ac:dyDescent="0.45">
      <c r="J206" s="63">
        <v>204</v>
      </c>
      <c r="K206" s="65">
        <v>-2.9999999999999707</v>
      </c>
    </row>
    <row r="207" spans="10:11" x14ac:dyDescent="0.45">
      <c r="J207" s="63">
        <v>205</v>
      </c>
      <c r="K207" s="65">
        <v>-21.999999999999972</v>
      </c>
    </row>
    <row r="208" spans="10:11" x14ac:dyDescent="0.45">
      <c r="J208" s="63">
        <v>206</v>
      </c>
      <c r="K208" s="65">
        <v>41.000000000000028</v>
      </c>
    </row>
    <row r="209" spans="10:11" x14ac:dyDescent="0.45">
      <c r="J209" s="63">
        <v>207</v>
      </c>
      <c r="K209" s="65">
        <v>-2.9999999999999716</v>
      </c>
    </row>
    <row r="210" spans="10:11" x14ac:dyDescent="0.45">
      <c r="J210" s="63">
        <v>208</v>
      </c>
      <c r="K210" s="65">
        <v>-11.899999999999972</v>
      </c>
    </row>
    <row r="211" spans="10:11" x14ac:dyDescent="0.45">
      <c r="J211" s="63">
        <v>209</v>
      </c>
      <c r="K211" s="65">
        <v>-8.7999999999999723</v>
      </c>
    </row>
    <row r="212" spans="10:11" x14ac:dyDescent="0.45">
      <c r="J212" s="63">
        <v>210</v>
      </c>
      <c r="K212" s="65">
        <v>-2.9999999999999725</v>
      </c>
    </row>
    <row r="213" spans="10:11" x14ac:dyDescent="0.45">
      <c r="J213" s="63">
        <v>211</v>
      </c>
      <c r="K213" s="65">
        <v>-2.0999999999999726</v>
      </c>
    </row>
    <row r="214" spans="10:11" x14ac:dyDescent="0.45">
      <c r="J214" s="63">
        <v>212</v>
      </c>
      <c r="K214" s="65">
        <v>-1.8999999999999726</v>
      </c>
    </row>
    <row r="215" spans="10:11" x14ac:dyDescent="0.45">
      <c r="J215" s="63">
        <v>213</v>
      </c>
      <c r="K215" s="65">
        <v>-2.9999999999999725</v>
      </c>
    </row>
    <row r="216" spans="10:11" x14ac:dyDescent="0.45">
      <c r="J216" s="63">
        <v>214</v>
      </c>
      <c r="K216" s="65">
        <v>28.300000000000026</v>
      </c>
    </row>
    <row r="217" spans="10:11" x14ac:dyDescent="0.45">
      <c r="J217" s="63">
        <v>215</v>
      </c>
      <c r="K217" s="65">
        <v>31.100000000000026</v>
      </c>
    </row>
    <row r="218" spans="10:11" x14ac:dyDescent="0.45">
      <c r="J218" s="63">
        <v>216</v>
      </c>
      <c r="K218" s="65">
        <v>-2.9999999999999751</v>
      </c>
    </row>
    <row r="219" spans="10:11" x14ac:dyDescent="0.45">
      <c r="J219" s="63">
        <v>217</v>
      </c>
      <c r="K219" s="65">
        <v>-47.999999999999972</v>
      </c>
    </row>
    <row r="220" spans="10:11" x14ac:dyDescent="0.45">
      <c r="J220" s="63">
        <v>218</v>
      </c>
      <c r="K220" s="65">
        <v>-4.3999999999999702</v>
      </c>
    </row>
    <row r="221" spans="10:11" x14ac:dyDescent="0.45">
      <c r="J221" s="63">
        <v>219</v>
      </c>
      <c r="K221" s="65">
        <v>-2.9999999999999702</v>
      </c>
    </row>
    <row r="222" spans="10:11" x14ac:dyDescent="0.45">
      <c r="J222" s="63">
        <v>220</v>
      </c>
      <c r="K222" s="65">
        <v>24.400000000000027</v>
      </c>
    </row>
    <row r="223" spans="10:11" x14ac:dyDescent="0.45">
      <c r="J223" s="63">
        <v>221</v>
      </c>
      <c r="K223" s="65">
        <v>23.000000000000028</v>
      </c>
    </row>
    <row r="224" spans="10:11" x14ac:dyDescent="0.45">
      <c r="J224" s="63">
        <v>222</v>
      </c>
      <c r="K224" s="65">
        <v>-2.9999999999999716</v>
      </c>
    </row>
    <row r="225" spans="10:11" x14ac:dyDescent="0.45">
      <c r="J225" s="63">
        <v>223</v>
      </c>
      <c r="K225" s="65">
        <v>-10.399999999999972</v>
      </c>
    </row>
    <row r="226" spans="10:11" x14ac:dyDescent="0.45">
      <c r="J226" s="63">
        <v>224</v>
      </c>
      <c r="K226" s="65">
        <v>-49.099999999999973</v>
      </c>
    </row>
    <row r="227" spans="10:11" x14ac:dyDescent="0.45">
      <c r="J227" s="63">
        <v>225</v>
      </c>
      <c r="K227" s="65">
        <v>-2.9999999999999716</v>
      </c>
    </row>
    <row r="228" spans="10:11" x14ac:dyDescent="0.45">
      <c r="J228" s="63">
        <v>226</v>
      </c>
      <c r="K228" s="65">
        <v>14.300000000000029</v>
      </c>
    </row>
    <row r="229" spans="10:11" x14ac:dyDescent="0.45">
      <c r="J229" s="63">
        <v>227</v>
      </c>
      <c r="K229" s="65">
        <v>-17.799999999999972</v>
      </c>
    </row>
    <row r="230" spans="10:11" x14ac:dyDescent="0.45">
      <c r="J230" s="63">
        <v>228</v>
      </c>
      <c r="K230" s="65">
        <v>-2.9999999999999716</v>
      </c>
    </row>
    <row r="231" spans="10:11" x14ac:dyDescent="0.45">
      <c r="J231" s="63">
        <v>229</v>
      </c>
      <c r="K231" s="65">
        <v>-16.89999999999997</v>
      </c>
    </row>
    <row r="232" spans="10:11" x14ac:dyDescent="0.45">
      <c r="J232" s="63">
        <v>230</v>
      </c>
      <c r="K232" s="65">
        <v>-34.099999999999966</v>
      </c>
    </row>
    <row r="233" spans="10:11" x14ac:dyDescent="0.45">
      <c r="J233" s="63">
        <v>231</v>
      </c>
      <c r="K233" s="65">
        <v>-2.9999999999999645</v>
      </c>
    </row>
    <row r="234" spans="10:11" x14ac:dyDescent="0.45">
      <c r="J234" s="63">
        <v>232</v>
      </c>
      <c r="K234" s="65">
        <v>36.000000000000036</v>
      </c>
    </row>
    <row r="235" spans="10:11" x14ac:dyDescent="0.45">
      <c r="J235" s="63">
        <v>233</v>
      </c>
      <c r="K235" s="65">
        <v>-3.3999999999999631</v>
      </c>
    </row>
    <row r="236" spans="10:11" x14ac:dyDescent="0.45">
      <c r="J236" s="63">
        <v>234</v>
      </c>
      <c r="K236" s="65">
        <v>-2.9999999999999631</v>
      </c>
    </row>
    <row r="237" spans="10:11" x14ac:dyDescent="0.45">
      <c r="J237" s="63">
        <v>235</v>
      </c>
      <c r="K237" s="65">
        <v>2.200000000000037</v>
      </c>
    </row>
    <row r="238" spans="10:11" x14ac:dyDescent="0.45">
      <c r="J238" s="63">
        <v>236</v>
      </c>
      <c r="K238" s="65">
        <v>-7.7999999999999634</v>
      </c>
    </row>
    <row r="239" spans="10:11" x14ac:dyDescent="0.45">
      <c r="J239" s="63">
        <v>237</v>
      </c>
      <c r="K239" s="65">
        <v>-2.9999999999999636</v>
      </c>
    </row>
    <row r="240" spans="10:11" x14ac:dyDescent="0.45">
      <c r="J240" s="63">
        <v>238</v>
      </c>
      <c r="K240" s="65">
        <v>-16.699999999999964</v>
      </c>
    </row>
    <row r="241" spans="10:11" x14ac:dyDescent="0.45">
      <c r="J241" s="63">
        <v>239</v>
      </c>
      <c r="K241" s="65">
        <v>-31.499999999999964</v>
      </c>
    </row>
    <row r="242" spans="10:11" x14ac:dyDescent="0.45">
      <c r="J242" s="63">
        <v>240</v>
      </c>
      <c r="K242" s="65">
        <v>-2.9999999999999645</v>
      </c>
    </row>
    <row r="243" spans="10:11" x14ac:dyDescent="0.45">
      <c r="J243" s="63">
        <v>241</v>
      </c>
      <c r="K243" s="65">
        <v>-24.999999999999964</v>
      </c>
    </row>
    <row r="244" spans="10:11" x14ac:dyDescent="0.45">
      <c r="J244" s="63">
        <v>242</v>
      </c>
      <c r="K244" s="65">
        <v>-46.899999999999963</v>
      </c>
    </row>
    <row r="245" spans="10:11" x14ac:dyDescent="0.45">
      <c r="J245" s="63">
        <v>243</v>
      </c>
      <c r="K245" s="65">
        <v>-2.9999999999999645</v>
      </c>
    </row>
    <row r="246" spans="10:11" x14ac:dyDescent="0.45">
      <c r="J246" s="63">
        <v>244</v>
      </c>
      <c r="K246" s="65">
        <v>2.1000000000000352</v>
      </c>
    </row>
    <row r="247" spans="10:11" x14ac:dyDescent="0.45">
      <c r="J247" s="63">
        <v>245</v>
      </c>
      <c r="K247" s="65">
        <v>12.400000000000036</v>
      </c>
    </row>
    <row r="248" spans="10:11" x14ac:dyDescent="0.45">
      <c r="J248" s="63">
        <v>246</v>
      </c>
      <c r="K248" s="65">
        <v>-2.9999999999999627</v>
      </c>
    </row>
    <row r="249" spans="10:11" x14ac:dyDescent="0.45">
      <c r="J249" s="63">
        <v>247</v>
      </c>
      <c r="K249" s="65">
        <v>27.900000000000034</v>
      </c>
    </row>
    <row r="250" spans="10:11" x14ac:dyDescent="0.45">
      <c r="J250" s="63">
        <v>248</v>
      </c>
      <c r="K250" s="65">
        <v>34.000000000000036</v>
      </c>
    </row>
    <row r="251" spans="10:11" x14ac:dyDescent="0.45">
      <c r="J251" s="63">
        <v>249</v>
      </c>
      <c r="K251" s="65">
        <v>-2.9999999999999645</v>
      </c>
    </row>
    <row r="252" spans="10:11" x14ac:dyDescent="0.45">
      <c r="J252" s="63">
        <v>250</v>
      </c>
      <c r="K252" s="65">
        <v>36.000000000000036</v>
      </c>
    </row>
    <row r="253" spans="10:11" x14ac:dyDescent="0.45">
      <c r="J253" s="63">
        <v>251</v>
      </c>
      <c r="K253" s="65">
        <v>-6.9999999999999645</v>
      </c>
    </row>
    <row r="254" spans="10:11" x14ac:dyDescent="0.45">
      <c r="J254" s="63">
        <v>252</v>
      </c>
      <c r="K254" s="65">
        <v>-2.9999999999999645</v>
      </c>
    </row>
    <row r="255" spans="10:11" x14ac:dyDescent="0.45">
      <c r="J255" s="63">
        <v>253</v>
      </c>
      <c r="K255" s="65">
        <v>18.500000000000036</v>
      </c>
    </row>
    <row r="256" spans="10:11" x14ac:dyDescent="0.45">
      <c r="J256" s="63">
        <v>254</v>
      </c>
      <c r="K256" s="65">
        <v>-21.499999999999964</v>
      </c>
    </row>
    <row r="257" spans="10:11" x14ac:dyDescent="0.45">
      <c r="J257" s="63">
        <v>255</v>
      </c>
      <c r="K257" s="65">
        <v>-2.9999999999999645</v>
      </c>
    </row>
    <row r="258" spans="10:11" x14ac:dyDescent="0.45">
      <c r="J258" s="63">
        <v>256</v>
      </c>
      <c r="K258" s="65">
        <v>27.500000000000036</v>
      </c>
    </row>
    <row r="259" spans="10:11" x14ac:dyDescent="0.45">
      <c r="J259" s="63">
        <v>257</v>
      </c>
      <c r="K259" s="65">
        <v>16.700000000000035</v>
      </c>
    </row>
    <row r="260" spans="10:11" x14ac:dyDescent="0.45">
      <c r="J260" s="63">
        <v>258</v>
      </c>
      <c r="K260" s="65">
        <v>-2.9999999999999645</v>
      </c>
    </row>
    <row r="261" spans="10:11" x14ac:dyDescent="0.45">
      <c r="J261" s="63">
        <v>259</v>
      </c>
      <c r="K261" s="65">
        <v>55.800000000000033</v>
      </c>
    </row>
    <row r="262" spans="10:11" x14ac:dyDescent="0.45">
      <c r="J262" s="63">
        <v>260</v>
      </c>
      <c r="K262" s="65">
        <v>21.300000000000033</v>
      </c>
    </row>
    <row r="263" spans="10:11" x14ac:dyDescent="0.45">
      <c r="J263" s="63">
        <v>261</v>
      </c>
      <c r="K263" s="65">
        <v>-2.999999999999968</v>
      </c>
    </row>
    <row r="264" spans="10:11" x14ac:dyDescent="0.45">
      <c r="J264" s="63">
        <v>262</v>
      </c>
      <c r="K264" s="65">
        <v>8.1000000000000316</v>
      </c>
    </row>
    <row r="265" spans="10:11" x14ac:dyDescent="0.45">
      <c r="J265" s="63">
        <v>263</v>
      </c>
      <c r="K265" s="65">
        <v>-17.999999999999972</v>
      </c>
    </row>
    <row r="266" spans="10:11" x14ac:dyDescent="0.45">
      <c r="J266" s="63">
        <v>264</v>
      </c>
      <c r="K266" s="65">
        <v>-2.9999999999999716</v>
      </c>
    </row>
    <row r="267" spans="10:11" x14ac:dyDescent="0.45">
      <c r="J267" s="63">
        <v>265</v>
      </c>
      <c r="K267" s="65">
        <v>-1.3999999999999715</v>
      </c>
    </row>
    <row r="268" spans="10:11" x14ac:dyDescent="0.45">
      <c r="J268" s="63">
        <v>266</v>
      </c>
      <c r="K268" s="65">
        <v>20.200000000000031</v>
      </c>
    </row>
    <row r="269" spans="10:11" x14ac:dyDescent="0.45">
      <c r="J269" s="63">
        <v>267</v>
      </c>
      <c r="K269" s="65">
        <v>-2.999999999999968</v>
      </c>
    </row>
    <row r="270" spans="10:11" x14ac:dyDescent="0.45">
      <c r="J270" s="63">
        <v>268</v>
      </c>
      <c r="K270" s="65">
        <v>-23.399999999999967</v>
      </c>
    </row>
    <row r="271" spans="10:11" x14ac:dyDescent="0.45">
      <c r="J271" s="63">
        <v>269</v>
      </c>
      <c r="K271" s="65">
        <v>-8.799999999999967</v>
      </c>
    </row>
    <row r="272" spans="10:11" x14ac:dyDescent="0.45">
      <c r="J272" s="63">
        <v>270</v>
      </c>
      <c r="K272" s="65">
        <v>-2.9999999999999671</v>
      </c>
    </row>
    <row r="273" spans="10:11" x14ac:dyDescent="0.45">
      <c r="J273" s="63">
        <v>271</v>
      </c>
      <c r="K273" s="65">
        <v>-0.49999999999996714</v>
      </c>
    </row>
    <row r="274" spans="10:11" x14ac:dyDescent="0.45">
      <c r="J274" s="63">
        <v>272</v>
      </c>
      <c r="K274" s="65">
        <v>0.10000000000003284</v>
      </c>
    </row>
    <row r="275" spans="10:11" x14ac:dyDescent="0.45">
      <c r="J275" s="63">
        <v>273</v>
      </c>
      <c r="K275" s="65">
        <v>-2.9999999999999667</v>
      </c>
    </row>
    <row r="276" spans="10:11" x14ac:dyDescent="0.45">
      <c r="J276" s="63">
        <v>274</v>
      </c>
      <c r="K276" s="65">
        <v>-45.399999999999963</v>
      </c>
    </row>
    <row r="277" spans="10:11" x14ac:dyDescent="0.45">
      <c r="J277" s="63">
        <v>275</v>
      </c>
      <c r="K277" s="65">
        <v>-6.1999999999999602</v>
      </c>
    </row>
    <row r="278" spans="10:11" x14ac:dyDescent="0.45">
      <c r="J278" s="63">
        <v>276</v>
      </c>
      <c r="K278" s="65">
        <v>-2.99999999999996</v>
      </c>
    </row>
    <row r="279" spans="10:11" x14ac:dyDescent="0.45">
      <c r="J279" s="63">
        <v>277</v>
      </c>
      <c r="K279" s="65">
        <v>-47.499999999999957</v>
      </c>
    </row>
    <row r="280" spans="10:11" x14ac:dyDescent="0.45">
      <c r="J280" s="63">
        <v>278</v>
      </c>
      <c r="K280" s="65">
        <v>-29.999999999999957</v>
      </c>
    </row>
    <row r="281" spans="10:11" x14ac:dyDescent="0.45">
      <c r="J281" s="63">
        <v>279</v>
      </c>
      <c r="K281" s="65">
        <v>-2.9999999999999574</v>
      </c>
    </row>
    <row r="282" spans="10:11" x14ac:dyDescent="0.45">
      <c r="J282" s="63">
        <v>280</v>
      </c>
      <c r="K282" s="65">
        <v>-3.5999999999999575</v>
      </c>
    </row>
    <row r="283" spans="10:11" x14ac:dyDescent="0.45">
      <c r="J283" s="63">
        <v>281</v>
      </c>
      <c r="K283" s="65">
        <v>-41.099999999999959</v>
      </c>
    </row>
    <row r="284" spans="10:11" x14ac:dyDescent="0.45">
      <c r="J284" s="63">
        <v>282</v>
      </c>
      <c r="K284" s="65">
        <v>-2.9999999999999574</v>
      </c>
    </row>
    <row r="285" spans="10:11" x14ac:dyDescent="0.45">
      <c r="J285" s="63">
        <v>283</v>
      </c>
      <c r="K285" s="65">
        <v>22.400000000000041</v>
      </c>
    </row>
    <row r="286" spans="10:11" x14ac:dyDescent="0.45">
      <c r="J286" s="63">
        <v>284</v>
      </c>
      <c r="K286" s="65">
        <v>-4.9999999999999574</v>
      </c>
    </row>
    <row r="287" spans="10:11" x14ac:dyDescent="0.45">
      <c r="J287" s="63">
        <v>285</v>
      </c>
      <c r="K287" s="65">
        <v>-2.9999999999999574</v>
      </c>
    </row>
    <row r="288" spans="10:11" x14ac:dyDescent="0.45">
      <c r="J288" s="63">
        <v>286</v>
      </c>
      <c r="K288" s="65">
        <v>6.7000000000000419</v>
      </c>
    </row>
    <row r="289" spans="10:11" x14ac:dyDescent="0.45">
      <c r="J289" s="63">
        <v>287</v>
      </c>
      <c r="K289" s="65">
        <v>-34.69999999999996</v>
      </c>
    </row>
    <row r="290" spans="10:11" x14ac:dyDescent="0.45">
      <c r="J290" s="63">
        <v>288</v>
      </c>
      <c r="K290" s="65">
        <v>-2.9999999999999574</v>
      </c>
    </row>
    <row r="291" spans="10:11" x14ac:dyDescent="0.45">
      <c r="J291" s="63">
        <v>289</v>
      </c>
      <c r="K291" s="65">
        <v>17.100000000000044</v>
      </c>
    </row>
    <row r="292" spans="10:11" x14ac:dyDescent="0.45">
      <c r="J292" s="63">
        <v>290</v>
      </c>
      <c r="K292" s="65">
        <v>-17.599999999999959</v>
      </c>
    </row>
    <row r="293" spans="10:11" x14ac:dyDescent="0.45">
      <c r="J293" s="63">
        <v>291</v>
      </c>
      <c r="K293" s="65">
        <v>-2.9999999999999591</v>
      </c>
    </row>
    <row r="294" spans="10:11" x14ac:dyDescent="0.45">
      <c r="J294" s="63">
        <v>292</v>
      </c>
      <c r="K294" s="65">
        <v>-50.69999999999996</v>
      </c>
    </row>
    <row r="295" spans="10:11" x14ac:dyDescent="0.45">
      <c r="J295" s="63">
        <v>293</v>
      </c>
      <c r="K295" s="65">
        <v>-49.999999999999957</v>
      </c>
    </row>
    <row r="296" spans="10:11" x14ac:dyDescent="0.45">
      <c r="J296" s="63">
        <v>294</v>
      </c>
      <c r="K296" s="65">
        <v>-2.9999999999999574</v>
      </c>
    </row>
    <row r="297" spans="10:11" x14ac:dyDescent="0.45">
      <c r="J297" s="63">
        <v>295</v>
      </c>
      <c r="K297" s="65">
        <v>-17.999999999999957</v>
      </c>
    </row>
    <row r="298" spans="10:11" x14ac:dyDescent="0.45">
      <c r="J298" s="63">
        <v>296</v>
      </c>
      <c r="K298" s="65">
        <v>-6.7999999999999581</v>
      </c>
    </row>
    <row r="299" spans="10:11" x14ac:dyDescent="0.45">
      <c r="J299" s="63">
        <v>297</v>
      </c>
      <c r="K299" s="65">
        <v>-2.9999999999999583</v>
      </c>
    </row>
    <row r="300" spans="10:11" x14ac:dyDescent="0.45">
      <c r="J300" s="63">
        <v>298</v>
      </c>
      <c r="K300" s="65">
        <v>39.100000000000044</v>
      </c>
    </row>
    <row r="301" spans="10:11" x14ac:dyDescent="0.45">
      <c r="J301" s="63">
        <v>299</v>
      </c>
      <c r="K301" s="65">
        <v>2.8000000000000469</v>
      </c>
    </row>
    <row r="302" spans="10:11" x14ac:dyDescent="0.45">
      <c r="J302" s="63">
        <v>300</v>
      </c>
      <c r="K302" s="65">
        <v>-2.9999999999999529</v>
      </c>
    </row>
    <row r="303" spans="10:11" x14ac:dyDescent="0.45">
      <c r="J303" s="63">
        <v>301</v>
      </c>
      <c r="K303" s="65">
        <v>-8.9999999999999538</v>
      </c>
    </row>
    <row r="304" spans="10:11" x14ac:dyDescent="0.45">
      <c r="J304" s="63">
        <v>302</v>
      </c>
      <c r="K304" s="65">
        <v>-59.899999999999949</v>
      </c>
    </row>
    <row r="305" spans="10:11" x14ac:dyDescent="0.45">
      <c r="J305" s="63">
        <v>303</v>
      </c>
      <c r="K305" s="65">
        <v>-2.9999999999999503</v>
      </c>
    </row>
    <row r="306" spans="10:11" x14ac:dyDescent="0.45">
      <c r="J306" s="63">
        <v>304</v>
      </c>
      <c r="K306" s="65">
        <v>-39.49999999999995</v>
      </c>
    </row>
    <row r="307" spans="10:11" x14ac:dyDescent="0.45">
      <c r="J307" s="63">
        <v>305</v>
      </c>
      <c r="K307" s="65">
        <v>-51.49999999999995</v>
      </c>
    </row>
    <row r="308" spans="10:11" x14ac:dyDescent="0.45">
      <c r="J308" s="63">
        <v>306</v>
      </c>
      <c r="K308" s="65">
        <v>-2.9999999999999503</v>
      </c>
    </row>
    <row r="309" spans="10:11" x14ac:dyDescent="0.45">
      <c r="J309" s="63">
        <v>307</v>
      </c>
      <c r="K309" s="65">
        <v>-41.49999999999995</v>
      </c>
    </row>
    <row r="310" spans="10:11" x14ac:dyDescent="0.45">
      <c r="J310" s="63">
        <v>308</v>
      </c>
      <c r="K310" s="65">
        <v>6.5000000000000497</v>
      </c>
    </row>
    <row r="311" spans="10:11" x14ac:dyDescent="0.45">
      <c r="J311" s="63">
        <v>309</v>
      </c>
      <c r="K311" s="65">
        <v>-2.9999999999999503</v>
      </c>
    </row>
    <row r="312" spans="10:11" x14ac:dyDescent="0.45">
      <c r="J312" s="63">
        <v>310</v>
      </c>
      <c r="K312" s="65">
        <v>7.1000000000000494</v>
      </c>
    </row>
    <row r="313" spans="10:11" x14ac:dyDescent="0.45">
      <c r="J313" s="63">
        <v>311</v>
      </c>
      <c r="K313" s="65">
        <v>-5.6999999999999513</v>
      </c>
    </row>
    <row r="314" spans="10:11" x14ac:dyDescent="0.45">
      <c r="J314" s="63">
        <v>312</v>
      </c>
      <c r="K314" s="65">
        <v>-2.9999999999999512</v>
      </c>
    </row>
    <row r="315" spans="10:11" x14ac:dyDescent="0.45">
      <c r="J315" s="63">
        <v>313</v>
      </c>
      <c r="K315" s="65">
        <v>-4.9999999999999512</v>
      </c>
    </row>
    <row r="316" spans="10:11" x14ac:dyDescent="0.45">
      <c r="J316" s="63">
        <v>314</v>
      </c>
      <c r="K316" s="65">
        <v>35.00000000000005</v>
      </c>
    </row>
    <row r="317" spans="10:11" x14ac:dyDescent="0.45">
      <c r="J317" s="63">
        <v>315</v>
      </c>
      <c r="K317" s="65">
        <v>-2.9999999999999503</v>
      </c>
    </row>
    <row r="318" spans="10:11" x14ac:dyDescent="0.45">
      <c r="J318" s="63">
        <v>316</v>
      </c>
      <c r="K318" s="65">
        <v>39.50000000000005</v>
      </c>
    </row>
    <row r="319" spans="10:11" x14ac:dyDescent="0.45">
      <c r="J319" s="63">
        <v>317</v>
      </c>
      <c r="K319" s="65">
        <v>36.100000000000051</v>
      </c>
    </row>
    <row r="320" spans="10:11" x14ac:dyDescent="0.45">
      <c r="J320" s="63">
        <v>318</v>
      </c>
      <c r="K320" s="65">
        <v>-2.9999999999999503</v>
      </c>
    </row>
    <row r="321" spans="10:11" x14ac:dyDescent="0.45">
      <c r="J321" s="63">
        <v>319</v>
      </c>
      <c r="K321" s="65">
        <v>-8.5999999999999499</v>
      </c>
    </row>
    <row r="322" spans="10:11" x14ac:dyDescent="0.45">
      <c r="J322" s="63">
        <v>320</v>
      </c>
      <c r="K322" s="65">
        <v>62.000000000000043</v>
      </c>
    </row>
    <row r="323" spans="10:11" x14ac:dyDescent="0.45">
      <c r="J323" s="63">
        <v>321</v>
      </c>
      <c r="K323" s="65">
        <v>-2.9999999999999574</v>
      </c>
    </row>
    <row r="324" spans="10:11" x14ac:dyDescent="0.45">
      <c r="J324" s="63">
        <v>322</v>
      </c>
      <c r="K324" s="65">
        <v>-10.399999999999958</v>
      </c>
    </row>
    <row r="325" spans="10:11" x14ac:dyDescent="0.45">
      <c r="J325" s="63">
        <v>323</v>
      </c>
      <c r="K325" s="65">
        <v>20.100000000000044</v>
      </c>
    </row>
    <row r="326" spans="10:11" x14ac:dyDescent="0.45">
      <c r="J326" s="63">
        <v>324</v>
      </c>
      <c r="K326" s="65">
        <v>-2.9999999999999574</v>
      </c>
    </row>
    <row r="327" spans="10:11" x14ac:dyDescent="0.45">
      <c r="J327" s="63">
        <v>325</v>
      </c>
      <c r="K327" s="65">
        <v>-39.999999999999957</v>
      </c>
    </row>
    <row r="328" spans="10:11" x14ac:dyDescent="0.45">
      <c r="J328" s="63">
        <v>326</v>
      </c>
      <c r="K328" s="65">
        <v>-5.5999999999999588</v>
      </c>
    </row>
    <row r="329" spans="10:11" x14ac:dyDescent="0.45">
      <c r="J329" s="63">
        <v>327</v>
      </c>
      <c r="K329" s="65">
        <v>-2.9999999999999587</v>
      </c>
    </row>
    <row r="330" spans="10:11" x14ac:dyDescent="0.45">
      <c r="J330" s="63">
        <v>328</v>
      </c>
      <c r="K330" s="65">
        <v>-20.799999999999958</v>
      </c>
    </row>
    <row r="331" spans="10:11" x14ac:dyDescent="0.45">
      <c r="J331" s="63">
        <v>329</v>
      </c>
      <c r="K331" s="65">
        <v>-10.299999999999958</v>
      </c>
    </row>
    <row r="332" spans="10:11" x14ac:dyDescent="0.45">
      <c r="J332" s="63">
        <v>330</v>
      </c>
      <c r="K332" s="65">
        <v>-2.9999999999999583</v>
      </c>
    </row>
    <row r="333" spans="10:11" x14ac:dyDescent="0.45">
      <c r="J333" s="63">
        <v>331</v>
      </c>
      <c r="K333" s="65">
        <v>23.000000000000043</v>
      </c>
    </row>
    <row r="334" spans="10:11" x14ac:dyDescent="0.45">
      <c r="J334" s="63">
        <v>332</v>
      </c>
      <c r="K334" s="65">
        <v>32.100000000000044</v>
      </c>
    </row>
    <row r="335" spans="10:11" x14ac:dyDescent="0.45">
      <c r="J335" s="63">
        <v>333</v>
      </c>
      <c r="K335" s="65">
        <v>-2.9999999999999574</v>
      </c>
    </row>
    <row r="336" spans="10:11" x14ac:dyDescent="0.45">
      <c r="J336" s="63">
        <v>334</v>
      </c>
      <c r="K336" s="65">
        <v>40.600000000000044</v>
      </c>
    </row>
    <row r="337" spans="10:11" x14ac:dyDescent="0.45">
      <c r="J337" s="63">
        <v>335</v>
      </c>
      <c r="K337" s="65">
        <v>35.400000000000041</v>
      </c>
    </row>
    <row r="338" spans="10:11" x14ac:dyDescent="0.45">
      <c r="J338" s="63">
        <v>336</v>
      </c>
      <c r="K338" s="65">
        <v>-2.9999999999999574</v>
      </c>
    </row>
    <row r="339" spans="10:11" x14ac:dyDescent="0.45">
      <c r="J339" s="63">
        <v>337</v>
      </c>
      <c r="K339" s="65">
        <v>4.0000000000000426</v>
      </c>
    </row>
    <row r="340" spans="10:11" x14ac:dyDescent="0.45">
      <c r="J340" s="63">
        <v>338</v>
      </c>
      <c r="K340" s="65">
        <v>36.000000000000043</v>
      </c>
    </row>
    <row r="341" spans="10:11" x14ac:dyDescent="0.45">
      <c r="J341" s="63">
        <v>339</v>
      </c>
      <c r="K341" s="65">
        <v>-2.9999999999999574</v>
      </c>
    </row>
    <row r="342" spans="10:11" x14ac:dyDescent="0.45">
      <c r="J342" s="63">
        <v>340</v>
      </c>
      <c r="K342" s="65">
        <v>-13.299999999999958</v>
      </c>
    </row>
    <row r="343" spans="10:11" x14ac:dyDescent="0.45">
      <c r="J343" s="63">
        <v>341</v>
      </c>
      <c r="K343" s="65">
        <v>-8.0999999999999588</v>
      </c>
    </row>
    <row r="344" spans="10:11" x14ac:dyDescent="0.45">
      <c r="J344" s="63">
        <v>342</v>
      </c>
      <c r="K344" s="65">
        <v>-2.9999999999999591</v>
      </c>
    </row>
    <row r="345" spans="10:11" x14ac:dyDescent="0.45">
      <c r="J345" s="63">
        <v>343</v>
      </c>
      <c r="K345" s="65">
        <v>-18.499999999999957</v>
      </c>
    </row>
    <row r="346" spans="10:11" x14ac:dyDescent="0.45">
      <c r="J346" s="63">
        <v>344</v>
      </c>
      <c r="K346" s="65">
        <v>-52.999999999999957</v>
      </c>
    </row>
    <row r="347" spans="10:11" x14ac:dyDescent="0.45">
      <c r="J347" s="63">
        <v>345</v>
      </c>
      <c r="K347" s="65">
        <v>-2.9999999999999574</v>
      </c>
    </row>
    <row r="348" spans="10:11" x14ac:dyDescent="0.45">
      <c r="J348" s="63">
        <v>346</v>
      </c>
      <c r="K348" s="65">
        <v>-21.299999999999958</v>
      </c>
    </row>
    <row r="349" spans="10:11" x14ac:dyDescent="0.45">
      <c r="J349" s="63">
        <v>347</v>
      </c>
      <c r="K349" s="65">
        <v>-6.0999999999999588</v>
      </c>
    </row>
    <row r="350" spans="10:11" x14ac:dyDescent="0.45">
      <c r="J350" s="63">
        <v>348</v>
      </c>
      <c r="K350" s="65">
        <v>-2.9999999999999587</v>
      </c>
    </row>
    <row r="351" spans="10:11" x14ac:dyDescent="0.45">
      <c r="J351" s="63">
        <v>349</v>
      </c>
      <c r="K351" s="65">
        <v>20.000000000000043</v>
      </c>
    </row>
    <row r="352" spans="10:11" x14ac:dyDescent="0.45">
      <c r="J352" s="63">
        <v>350</v>
      </c>
      <c r="K352" s="65">
        <v>14.100000000000042</v>
      </c>
    </row>
    <row r="353" spans="10:11" x14ac:dyDescent="0.45">
      <c r="J353" s="63">
        <v>351</v>
      </c>
      <c r="K353" s="65">
        <v>-2.9999999999999591</v>
      </c>
    </row>
    <row r="354" spans="10:11" x14ac:dyDescent="0.45">
      <c r="J354" s="63">
        <v>352</v>
      </c>
      <c r="K354" s="65">
        <v>24.30000000000004</v>
      </c>
    </row>
    <row r="355" spans="10:11" x14ac:dyDescent="0.45">
      <c r="J355" s="63">
        <v>353</v>
      </c>
      <c r="K355" s="65">
        <v>5.1000000000000405</v>
      </c>
    </row>
    <row r="356" spans="10:11" x14ac:dyDescent="0.45">
      <c r="J356" s="63">
        <v>354</v>
      </c>
      <c r="K356" s="65">
        <v>-2.9999999999999591</v>
      </c>
    </row>
    <row r="357" spans="10:11" x14ac:dyDescent="0.45">
      <c r="J357" s="63">
        <v>355</v>
      </c>
      <c r="K357" s="65">
        <v>-33.499999999999957</v>
      </c>
    </row>
    <row r="358" spans="10:11" x14ac:dyDescent="0.45">
      <c r="J358" s="63">
        <v>356</v>
      </c>
      <c r="K358" s="65">
        <v>15.500000000000043</v>
      </c>
    </row>
    <row r="359" spans="10:11" x14ac:dyDescent="0.45">
      <c r="J359" s="63">
        <v>357</v>
      </c>
      <c r="K359" s="65">
        <v>-2.9999999999999574</v>
      </c>
    </row>
    <row r="360" spans="10:11" x14ac:dyDescent="0.45">
      <c r="J360" s="63">
        <v>358</v>
      </c>
      <c r="K360" s="65">
        <v>15.500000000000043</v>
      </c>
    </row>
    <row r="361" spans="10:11" x14ac:dyDescent="0.45">
      <c r="J361" s="63">
        <v>359</v>
      </c>
      <c r="K361" s="65">
        <v>4.400000000000043</v>
      </c>
    </row>
    <row r="362" spans="10:11" x14ac:dyDescent="0.45">
      <c r="J362" s="63">
        <v>360</v>
      </c>
      <c r="K362" s="65">
        <v>-2.9999999999999574</v>
      </c>
    </row>
    <row r="363" spans="10:11" x14ac:dyDescent="0.45">
      <c r="J363" s="63">
        <v>361</v>
      </c>
      <c r="K363" s="65">
        <v>-8.3999999999999577</v>
      </c>
    </row>
    <row r="364" spans="10:11" x14ac:dyDescent="0.45">
      <c r="J364" s="63">
        <v>362</v>
      </c>
      <c r="K364" s="65">
        <v>6.400000000000043</v>
      </c>
    </row>
    <row r="365" spans="10:11" x14ac:dyDescent="0.45">
      <c r="J365" s="63">
        <v>363</v>
      </c>
      <c r="K365" s="65">
        <v>-2.9999999999999574</v>
      </c>
    </row>
    <row r="366" spans="10:11" x14ac:dyDescent="0.45">
      <c r="J366" s="63">
        <v>364</v>
      </c>
      <c r="K366" s="65">
        <v>52.000000000000043</v>
      </c>
    </row>
    <row r="367" spans="10:11" x14ac:dyDescent="0.45">
      <c r="J367" s="63">
        <v>365</v>
      </c>
      <c r="K367" s="65">
        <v>34.000000000000043</v>
      </c>
    </row>
    <row r="368" spans="10:11" x14ac:dyDescent="0.45">
      <c r="J368" s="63">
        <v>366</v>
      </c>
      <c r="K368" s="65">
        <v>-2.9999999999999574</v>
      </c>
    </row>
    <row r="369" spans="10:11" x14ac:dyDescent="0.45">
      <c r="J369" s="63">
        <v>367</v>
      </c>
      <c r="K369" s="65">
        <v>39.000000000000043</v>
      </c>
    </row>
    <row r="370" spans="10:11" x14ac:dyDescent="0.45">
      <c r="J370" s="63">
        <v>368</v>
      </c>
      <c r="K370" s="65">
        <v>-0.99999999999995737</v>
      </c>
    </row>
    <row r="371" spans="10:11" x14ac:dyDescent="0.45">
      <c r="J371" s="63">
        <v>369</v>
      </c>
      <c r="K371" s="65">
        <v>-2.9999999999999574</v>
      </c>
    </row>
    <row r="372" spans="10:11" x14ac:dyDescent="0.45">
      <c r="J372" s="63">
        <v>370</v>
      </c>
      <c r="K372" s="65">
        <v>-15.999999999999957</v>
      </c>
    </row>
    <row r="373" spans="10:11" x14ac:dyDescent="0.45">
      <c r="J373" s="63">
        <v>371</v>
      </c>
      <c r="K373" s="65">
        <v>-23.199999999999957</v>
      </c>
    </row>
    <row r="374" spans="10:11" x14ac:dyDescent="0.45">
      <c r="J374" s="63">
        <v>372</v>
      </c>
      <c r="K374" s="65">
        <v>-2.9999999999999574</v>
      </c>
    </row>
    <row r="375" spans="10:11" x14ac:dyDescent="0.45">
      <c r="J375" s="63">
        <v>373</v>
      </c>
      <c r="K375" s="65">
        <v>-50.399999999999956</v>
      </c>
    </row>
    <row r="376" spans="10:11" x14ac:dyDescent="0.45">
      <c r="J376" s="63">
        <v>374</v>
      </c>
      <c r="K376" s="65">
        <v>-17.999999999999957</v>
      </c>
    </row>
    <row r="377" spans="10:11" x14ac:dyDescent="0.45">
      <c r="J377" s="63">
        <v>375</v>
      </c>
      <c r="K377" s="65">
        <v>-2.9999999999999574</v>
      </c>
    </row>
    <row r="378" spans="10:11" x14ac:dyDescent="0.45">
      <c r="J378" s="63">
        <v>376</v>
      </c>
      <c r="K378" s="65">
        <v>40.900000000000041</v>
      </c>
    </row>
    <row r="379" spans="10:11" x14ac:dyDescent="0.45">
      <c r="J379" s="63">
        <v>377</v>
      </c>
      <c r="K379" s="65">
        <v>35.30000000000004</v>
      </c>
    </row>
    <row r="380" spans="10:11" x14ac:dyDescent="0.45">
      <c r="J380" s="63">
        <v>378</v>
      </c>
      <c r="K380" s="65">
        <v>-2.9999999999999574</v>
      </c>
    </row>
    <row r="381" spans="10:11" x14ac:dyDescent="0.45">
      <c r="J381" s="63">
        <v>379</v>
      </c>
      <c r="K381" s="65">
        <v>13.100000000000044</v>
      </c>
    </row>
    <row r="382" spans="10:11" x14ac:dyDescent="0.45">
      <c r="J382" s="63">
        <v>380</v>
      </c>
      <c r="K382" s="65">
        <v>-12.899999999999956</v>
      </c>
    </row>
    <row r="383" spans="10:11" x14ac:dyDescent="0.45">
      <c r="J383" s="63">
        <v>381</v>
      </c>
      <c r="K383" s="65">
        <v>-2.9999999999999556</v>
      </c>
    </row>
    <row r="384" spans="10:11" x14ac:dyDescent="0.45">
      <c r="J384" s="63">
        <v>382</v>
      </c>
      <c r="K384" s="65">
        <v>-39.999999999999957</v>
      </c>
    </row>
    <row r="385" spans="10:11" x14ac:dyDescent="0.45">
      <c r="J385" s="63">
        <v>383</v>
      </c>
      <c r="K385" s="65">
        <v>-34.799999999999955</v>
      </c>
    </row>
    <row r="386" spans="10:11" x14ac:dyDescent="0.45">
      <c r="J386" s="63">
        <v>384</v>
      </c>
      <c r="K386" s="65">
        <v>-2.9999999999999574</v>
      </c>
    </row>
    <row r="387" spans="10:11" x14ac:dyDescent="0.45">
      <c r="J387" s="63">
        <v>385</v>
      </c>
      <c r="K387" s="65">
        <v>12.500000000000043</v>
      </c>
    </row>
    <row r="388" spans="10:11" x14ac:dyDescent="0.45">
      <c r="J388" s="63">
        <v>386</v>
      </c>
      <c r="K388" s="65">
        <v>4.8000000000000425</v>
      </c>
    </row>
    <row r="389" spans="10:11" x14ac:dyDescent="0.45">
      <c r="J389" s="63">
        <v>387</v>
      </c>
      <c r="K389" s="65">
        <v>-2.9999999999999583</v>
      </c>
    </row>
    <row r="390" spans="10:11" x14ac:dyDescent="0.45">
      <c r="J390" s="63">
        <v>388</v>
      </c>
      <c r="K390" s="65">
        <v>5.700000000000041</v>
      </c>
    </row>
    <row r="391" spans="10:11" x14ac:dyDescent="0.45">
      <c r="J391" s="63">
        <v>389</v>
      </c>
      <c r="K391" s="65">
        <v>16.30000000000004</v>
      </c>
    </row>
    <row r="392" spans="10:11" x14ac:dyDescent="0.45">
      <c r="J392" s="63">
        <v>390</v>
      </c>
      <c r="K392" s="65">
        <v>-2.9999999999999609</v>
      </c>
    </row>
    <row r="393" spans="10:11" x14ac:dyDescent="0.45">
      <c r="J393" s="63">
        <v>391</v>
      </c>
      <c r="K393" s="65">
        <v>17.700000000000038</v>
      </c>
    </row>
    <row r="394" spans="10:11" x14ac:dyDescent="0.45">
      <c r="J394" s="63">
        <v>392</v>
      </c>
      <c r="K394" s="65">
        <v>-24.799999999999962</v>
      </c>
    </row>
    <row r="395" spans="10:11" x14ac:dyDescent="0.45">
      <c r="J395" s="63">
        <v>393</v>
      </c>
      <c r="K395" s="65">
        <v>-2.9999999999999609</v>
      </c>
    </row>
    <row r="396" spans="10:11" x14ac:dyDescent="0.45">
      <c r="J396" s="63">
        <v>394</v>
      </c>
      <c r="K396" s="65">
        <v>11.30000000000004</v>
      </c>
    </row>
    <row r="397" spans="10:11" x14ac:dyDescent="0.45">
      <c r="J397" s="63">
        <v>395</v>
      </c>
      <c r="K397" s="65">
        <v>4.50000000000004</v>
      </c>
    </row>
    <row r="398" spans="10:11" x14ac:dyDescent="0.45">
      <c r="J398" s="63">
        <v>396</v>
      </c>
      <c r="K398" s="65">
        <v>-2.99999999999996</v>
      </c>
    </row>
    <row r="399" spans="10:11" x14ac:dyDescent="0.45">
      <c r="J399" s="63">
        <v>397</v>
      </c>
      <c r="K399" s="65">
        <v>8.6000000000000405</v>
      </c>
    </row>
    <row r="400" spans="10:11" x14ac:dyDescent="0.45">
      <c r="J400" s="63">
        <v>398</v>
      </c>
      <c r="K400" s="65">
        <v>27.200000000000042</v>
      </c>
    </row>
    <row r="401" spans="10:11" x14ac:dyDescent="0.45">
      <c r="J401" s="63">
        <v>399</v>
      </c>
      <c r="K401" s="65">
        <v>-2.9999999999999574</v>
      </c>
    </row>
    <row r="402" spans="10:11" x14ac:dyDescent="0.45">
      <c r="J402" s="63">
        <v>400</v>
      </c>
      <c r="K402" s="65">
        <v>4.2000000000000428</v>
      </c>
    </row>
    <row r="403" spans="10:11" x14ac:dyDescent="0.45">
      <c r="J403" s="63">
        <v>401</v>
      </c>
      <c r="K403" s="65">
        <v>-14.799999999999958</v>
      </c>
    </row>
    <row r="404" spans="10:11" x14ac:dyDescent="0.45">
      <c r="J404" s="63">
        <v>402</v>
      </c>
      <c r="K404" s="65">
        <v>-3.9999999999999574</v>
      </c>
    </row>
    <row r="405" spans="10:11" x14ac:dyDescent="0.45">
      <c r="J405" s="63">
        <v>403</v>
      </c>
      <c r="K405" s="65">
        <v>19.500000000000043</v>
      </c>
    </row>
    <row r="406" spans="10:11" x14ac:dyDescent="0.45">
      <c r="J406" s="63">
        <v>404</v>
      </c>
      <c r="K406" s="65">
        <v>14.600000000000042</v>
      </c>
    </row>
    <row r="407" spans="10:11" x14ac:dyDescent="0.45">
      <c r="J407" s="63">
        <v>405</v>
      </c>
      <c r="K407" s="65">
        <v>-3.9999999999999591</v>
      </c>
    </row>
    <row r="408" spans="10:11" x14ac:dyDescent="0.45">
      <c r="J408" s="63">
        <v>406</v>
      </c>
      <c r="K408" s="65">
        <v>11.900000000000039</v>
      </c>
    </row>
    <row r="409" spans="10:11" x14ac:dyDescent="0.45">
      <c r="J409" s="63">
        <v>407</v>
      </c>
      <c r="K409" s="65">
        <v>13.100000000000039</v>
      </c>
    </row>
    <row r="410" spans="10:11" x14ac:dyDescent="0.45">
      <c r="J410" s="63">
        <v>408</v>
      </c>
      <c r="K410" s="65">
        <v>-3.9999999999999627</v>
      </c>
    </row>
    <row r="411" spans="10:11" x14ac:dyDescent="0.45">
      <c r="J411" s="63">
        <v>409</v>
      </c>
      <c r="K411" s="65">
        <v>-40.499999999999964</v>
      </c>
    </row>
    <row r="412" spans="10:11" x14ac:dyDescent="0.45">
      <c r="J412" s="63">
        <v>410</v>
      </c>
      <c r="K412" s="65">
        <v>-15.999999999999964</v>
      </c>
    </row>
    <row r="413" spans="10:11" x14ac:dyDescent="0.45">
      <c r="J413" s="63">
        <v>411</v>
      </c>
      <c r="K413" s="65">
        <v>-3.9999999999999645</v>
      </c>
    </row>
    <row r="414" spans="10:11" x14ac:dyDescent="0.45">
      <c r="J414" s="63">
        <v>412</v>
      </c>
      <c r="K414" s="65">
        <v>33.500000000000036</v>
      </c>
    </row>
    <row r="415" spans="10:11" x14ac:dyDescent="0.45">
      <c r="J415" s="63">
        <v>413</v>
      </c>
      <c r="K415" s="65">
        <v>-3.4999999999999645</v>
      </c>
    </row>
    <row r="416" spans="10:11" x14ac:dyDescent="0.45">
      <c r="J416" s="63">
        <v>414</v>
      </c>
      <c r="K416" s="65">
        <v>-3.9999999999999645</v>
      </c>
    </row>
    <row r="417" spans="10:11" x14ac:dyDescent="0.45">
      <c r="J417" s="63">
        <v>415</v>
      </c>
      <c r="K417" s="65">
        <v>-49.499999999999964</v>
      </c>
    </row>
    <row r="418" spans="10:11" x14ac:dyDescent="0.45">
      <c r="J418" s="63">
        <v>416</v>
      </c>
      <c r="K418" s="65">
        <v>-44.999999999999964</v>
      </c>
    </row>
    <row r="419" spans="10:11" x14ac:dyDescent="0.45">
      <c r="J419" s="63">
        <v>417</v>
      </c>
      <c r="K419" s="65">
        <v>-3.9999999999999645</v>
      </c>
    </row>
    <row r="420" spans="10:11" x14ac:dyDescent="0.45">
      <c r="J420" s="63">
        <v>418</v>
      </c>
      <c r="K420" s="65">
        <v>8.2000000000000348</v>
      </c>
    </row>
    <row r="421" spans="10:11" x14ac:dyDescent="0.45">
      <c r="J421" s="63">
        <v>419</v>
      </c>
      <c r="K421" s="65">
        <v>1.8000000000000345</v>
      </c>
    </row>
    <row r="422" spans="10:11" x14ac:dyDescent="0.45">
      <c r="J422" s="63">
        <v>420</v>
      </c>
      <c r="K422" s="65">
        <v>-3.9999999999999654</v>
      </c>
    </row>
    <row r="423" spans="10:11" x14ac:dyDescent="0.45">
      <c r="J423" s="63">
        <v>421</v>
      </c>
      <c r="K423" s="65">
        <v>-22.499999999999964</v>
      </c>
    </row>
    <row r="424" spans="10:11" x14ac:dyDescent="0.45">
      <c r="J424" s="63">
        <v>422</v>
      </c>
      <c r="K424" s="65">
        <v>-5.6999999999999638</v>
      </c>
    </row>
    <row r="425" spans="10:11" x14ac:dyDescent="0.45">
      <c r="J425" s="63">
        <v>423</v>
      </c>
      <c r="K425" s="65">
        <v>-3.9999999999999636</v>
      </c>
    </row>
    <row r="426" spans="10:11" x14ac:dyDescent="0.45">
      <c r="J426" s="63">
        <v>424</v>
      </c>
      <c r="K426" s="65">
        <v>36.400000000000034</v>
      </c>
    </row>
    <row r="427" spans="10:11" x14ac:dyDescent="0.45">
      <c r="J427" s="63">
        <v>425</v>
      </c>
      <c r="K427" s="65">
        <v>11.000000000000036</v>
      </c>
    </row>
    <row r="428" spans="10:11" x14ac:dyDescent="0.45">
      <c r="J428" s="63">
        <v>426</v>
      </c>
      <c r="K428" s="65">
        <v>-3.9999999999999645</v>
      </c>
    </row>
    <row r="429" spans="10:11" x14ac:dyDescent="0.45">
      <c r="J429" s="63">
        <v>427</v>
      </c>
      <c r="K429" s="65">
        <v>22.100000000000037</v>
      </c>
    </row>
    <row r="430" spans="10:11" x14ac:dyDescent="0.45">
      <c r="J430" s="63">
        <v>428</v>
      </c>
      <c r="K430" s="65">
        <v>-27.499999999999964</v>
      </c>
    </row>
    <row r="431" spans="10:11" x14ac:dyDescent="0.45">
      <c r="J431" s="63">
        <v>429</v>
      </c>
      <c r="K431" s="65">
        <v>-3.9999999999999645</v>
      </c>
    </row>
    <row r="432" spans="10:11" x14ac:dyDescent="0.45">
      <c r="J432" s="63">
        <v>430</v>
      </c>
      <c r="K432" s="65">
        <v>4.5000000000000355</v>
      </c>
    </row>
    <row r="433" spans="10:11" x14ac:dyDescent="0.45">
      <c r="J433" s="63">
        <v>431</v>
      </c>
      <c r="K433" s="65">
        <v>29.200000000000035</v>
      </c>
    </row>
    <row r="434" spans="10:11" x14ac:dyDescent="0.45">
      <c r="J434" s="63">
        <v>432</v>
      </c>
      <c r="K434" s="65">
        <v>-3.999999999999968</v>
      </c>
    </row>
    <row r="435" spans="10:11" x14ac:dyDescent="0.45">
      <c r="J435" s="63">
        <v>433</v>
      </c>
      <c r="K435" s="65">
        <v>0.8000000000000318</v>
      </c>
    </row>
    <row r="436" spans="10:11" x14ac:dyDescent="0.45">
      <c r="J436" s="63">
        <v>434</v>
      </c>
      <c r="K436" s="65">
        <v>-14.999999999999968</v>
      </c>
    </row>
    <row r="437" spans="10:11" x14ac:dyDescent="0.45">
      <c r="J437" s="63">
        <v>435</v>
      </c>
      <c r="K437" s="65">
        <v>-3.999999999999968</v>
      </c>
    </row>
    <row r="438" spans="10:11" x14ac:dyDescent="0.45">
      <c r="J438" s="63">
        <v>436</v>
      </c>
      <c r="K438" s="65">
        <v>38.300000000000026</v>
      </c>
    </row>
    <row r="439" spans="10:11" x14ac:dyDescent="0.45">
      <c r="J439" s="63">
        <v>437</v>
      </c>
      <c r="K439" s="65">
        <v>30.500000000000025</v>
      </c>
    </row>
    <row r="440" spans="10:11" x14ac:dyDescent="0.45">
      <c r="J440" s="63">
        <v>438</v>
      </c>
      <c r="K440" s="65">
        <v>-3.9999999999999751</v>
      </c>
    </row>
    <row r="441" spans="10:11" x14ac:dyDescent="0.45">
      <c r="J441" s="63">
        <v>439</v>
      </c>
      <c r="K441" s="65">
        <v>21.000000000000025</v>
      </c>
    </row>
    <row r="442" spans="10:11" x14ac:dyDescent="0.45">
      <c r="J442" s="63">
        <v>440</v>
      </c>
      <c r="K442" s="65">
        <v>15.700000000000024</v>
      </c>
    </row>
    <row r="443" spans="10:11" x14ac:dyDescent="0.45">
      <c r="J443" s="63">
        <v>441</v>
      </c>
      <c r="K443" s="65">
        <v>-3.9999999999999751</v>
      </c>
    </row>
    <row r="444" spans="10:11" x14ac:dyDescent="0.45">
      <c r="J444" s="63">
        <v>442</v>
      </c>
      <c r="K444" s="65">
        <v>7.0000000000000249</v>
      </c>
    </row>
    <row r="445" spans="10:11" x14ac:dyDescent="0.45">
      <c r="J445" s="63">
        <v>443</v>
      </c>
      <c r="K445" s="65">
        <v>-24.799999999999972</v>
      </c>
    </row>
    <row r="446" spans="10:11" x14ac:dyDescent="0.45">
      <c r="J446" s="63">
        <v>444</v>
      </c>
      <c r="K446" s="65">
        <v>-3.9999999999999716</v>
      </c>
    </row>
    <row r="447" spans="10:11" x14ac:dyDescent="0.45">
      <c r="J447" s="63">
        <v>445</v>
      </c>
      <c r="K447" s="65">
        <v>36.000000000000028</v>
      </c>
    </row>
    <row r="448" spans="10:11" x14ac:dyDescent="0.45">
      <c r="J448" s="63">
        <v>446</v>
      </c>
      <c r="K448" s="65">
        <v>-8.4999999999999716</v>
      </c>
    </row>
    <row r="449" spans="10:11" x14ac:dyDescent="0.45">
      <c r="J449" s="63">
        <v>447</v>
      </c>
      <c r="K449" s="65">
        <v>-3.9999999999999716</v>
      </c>
    </row>
    <row r="450" spans="10:11" x14ac:dyDescent="0.45">
      <c r="J450" s="63">
        <v>448</v>
      </c>
      <c r="K450" s="65">
        <v>20.000000000000028</v>
      </c>
    </row>
    <row r="451" spans="10:11" x14ac:dyDescent="0.45">
      <c r="J451" s="63">
        <v>449</v>
      </c>
      <c r="K451" s="65">
        <v>-14.499999999999972</v>
      </c>
    </row>
    <row r="452" spans="10:11" x14ac:dyDescent="0.45">
      <c r="J452" s="63">
        <v>450</v>
      </c>
      <c r="K452" s="65">
        <v>-3.9999999999999716</v>
      </c>
    </row>
    <row r="453" spans="10:11" x14ac:dyDescent="0.45">
      <c r="J453" s="63">
        <v>451</v>
      </c>
      <c r="K453" s="65">
        <v>-22.799999999999972</v>
      </c>
    </row>
    <row r="454" spans="10:11" x14ac:dyDescent="0.45">
      <c r="J454" s="63">
        <v>452</v>
      </c>
      <c r="K454" s="65">
        <v>-32.799999999999969</v>
      </c>
    </row>
    <row r="455" spans="10:11" x14ac:dyDescent="0.45">
      <c r="J455" s="63">
        <v>453</v>
      </c>
      <c r="K455" s="65">
        <v>-3.999999999999968</v>
      </c>
    </row>
    <row r="456" spans="10:11" x14ac:dyDescent="0.45">
      <c r="J456" s="63">
        <v>454</v>
      </c>
      <c r="K456" s="65">
        <v>32.600000000000037</v>
      </c>
    </row>
    <row r="457" spans="10:11" x14ac:dyDescent="0.45">
      <c r="J457" s="63">
        <v>455</v>
      </c>
      <c r="K457" s="65">
        <v>31.500000000000036</v>
      </c>
    </row>
    <row r="458" spans="10:11" x14ac:dyDescent="0.45">
      <c r="J458" s="63">
        <v>456</v>
      </c>
      <c r="K458" s="65">
        <v>-3.9999999999999645</v>
      </c>
    </row>
    <row r="459" spans="10:11" x14ac:dyDescent="0.45">
      <c r="J459" s="63">
        <v>457</v>
      </c>
      <c r="K459" s="65">
        <v>3.8000000000000353</v>
      </c>
    </row>
    <row r="460" spans="10:11" x14ac:dyDescent="0.45">
      <c r="J460" s="63">
        <v>458</v>
      </c>
      <c r="K460" s="65">
        <v>-32.39999999999997</v>
      </c>
    </row>
    <row r="461" spans="10:11" x14ac:dyDescent="0.45">
      <c r="J461" s="63">
        <v>459</v>
      </c>
      <c r="K461" s="65">
        <v>-3.9999999999999716</v>
      </c>
    </row>
    <row r="462" spans="10:11" x14ac:dyDescent="0.45">
      <c r="J462" s="63">
        <v>460</v>
      </c>
      <c r="K462" s="65">
        <v>63.100000000000023</v>
      </c>
    </row>
    <row r="463" spans="10:11" x14ac:dyDescent="0.45">
      <c r="J463" s="63">
        <v>461</v>
      </c>
      <c r="K463" s="65">
        <v>22.800000000000026</v>
      </c>
    </row>
    <row r="464" spans="10:11" x14ac:dyDescent="0.45">
      <c r="J464" s="63">
        <v>462</v>
      </c>
      <c r="K464" s="65">
        <v>-3.9999999999999751</v>
      </c>
    </row>
    <row r="465" spans="10:11" x14ac:dyDescent="0.45">
      <c r="J465" s="63">
        <v>463</v>
      </c>
      <c r="K465" s="65">
        <v>-5.9999999999999751</v>
      </c>
    </row>
    <row r="466" spans="10:11" x14ac:dyDescent="0.45">
      <c r="J466" s="63">
        <v>464</v>
      </c>
      <c r="K466" s="65">
        <v>-21.399999999999974</v>
      </c>
    </row>
    <row r="467" spans="10:11" x14ac:dyDescent="0.45">
      <c r="J467" s="63">
        <v>465</v>
      </c>
      <c r="K467" s="65">
        <v>-3.9999999999999751</v>
      </c>
    </row>
    <row r="468" spans="10:11" x14ac:dyDescent="0.45">
      <c r="J468" s="63">
        <v>466</v>
      </c>
      <c r="K468" s="65">
        <v>1.200000000000025</v>
      </c>
    </row>
    <row r="469" spans="10:11" x14ac:dyDescent="0.45">
      <c r="J469" s="63">
        <v>467</v>
      </c>
      <c r="K469" s="65">
        <v>-29.499999999999975</v>
      </c>
    </row>
    <row r="470" spans="10:11" x14ac:dyDescent="0.45">
      <c r="J470" s="63">
        <v>468</v>
      </c>
      <c r="K470" s="65">
        <v>-3.9999999999999751</v>
      </c>
    </row>
    <row r="471" spans="10:11" x14ac:dyDescent="0.45">
      <c r="J471" s="63">
        <v>469</v>
      </c>
      <c r="K471" s="65">
        <v>11.200000000000024</v>
      </c>
    </row>
    <row r="472" spans="10:11" x14ac:dyDescent="0.45">
      <c r="J472" s="63">
        <v>470</v>
      </c>
      <c r="K472" s="65">
        <v>6.3000000000000238</v>
      </c>
    </row>
    <row r="473" spans="10:11" x14ac:dyDescent="0.45">
      <c r="J473" s="63">
        <v>471</v>
      </c>
      <c r="K473" s="65">
        <v>-3.9999999999999769</v>
      </c>
    </row>
    <row r="474" spans="10:11" x14ac:dyDescent="0.45">
      <c r="J474" s="63">
        <v>472</v>
      </c>
      <c r="K474" s="65">
        <v>19.200000000000024</v>
      </c>
    </row>
    <row r="475" spans="10:11" x14ac:dyDescent="0.45">
      <c r="J475" s="63">
        <v>473</v>
      </c>
      <c r="K475" s="65">
        <v>5.3000000000000238</v>
      </c>
    </row>
    <row r="476" spans="10:11" x14ac:dyDescent="0.45">
      <c r="J476" s="63">
        <v>474</v>
      </c>
      <c r="K476" s="65">
        <v>-3.9999999999999769</v>
      </c>
    </row>
    <row r="477" spans="10:11" x14ac:dyDescent="0.45">
      <c r="J477" s="63">
        <v>475</v>
      </c>
      <c r="K477" s="65">
        <v>16.600000000000023</v>
      </c>
    </row>
    <row r="478" spans="10:11" x14ac:dyDescent="0.45">
      <c r="J478" s="63">
        <v>476</v>
      </c>
      <c r="K478" s="65">
        <v>-28.09999999999998</v>
      </c>
    </row>
    <row r="479" spans="10:11" x14ac:dyDescent="0.45">
      <c r="J479" s="63">
        <v>477</v>
      </c>
      <c r="K479" s="65">
        <v>-3.9999999999999787</v>
      </c>
    </row>
    <row r="480" spans="10:11" x14ac:dyDescent="0.45">
      <c r="J480" s="63">
        <v>478</v>
      </c>
      <c r="K480" s="65">
        <v>3.3000000000000211</v>
      </c>
    </row>
    <row r="481" spans="10:11" x14ac:dyDescent="0.45">
      <c r="J481" s="63">
        <v>479</v>
      </c>
      <c r="K481" s="65">
        <v>28.500000000000021</v>
      </c>
    </row>
    <row r="482" spans="10:11" x14ac:dyDescent="0.45">
      <c r="J482" s="63">
        <v>480</v>
      </c>
      <c r="K482" s="65">
        <v>-3.9999999999999787</v>
      </c>
    </row>
    <row r="483" spans="10:11" x14ac:dyDescent="0.45">
      <c r="J483" s="63">
        <v>481</v>
      </c>
      <c r="K483" s="65">
        <v>0.80000000000002114</v>
      </c>
    </row>
    <row r="484" spans="10:11" x14ac:dyDescent="0.45">
      <c r="J484" s="63">
        <v>482</v>
      </c>
      <c r="K484" s="65">
        <v>32.500000000000021</v>
      </c>
    </row>
    <row r="485" spans="10:11" x14ac:dyDescent="0.45">
      <c r="J485" s="63">
        <v>483</v>
      </c>
      <c r="K485" s="65">
        <v>-3.9999999999999787</v>
      </c>
    </row>
    <row r="486" spans="10:11" x14ac:dyDescent="0.45">
      <c r="J486" s="63">
        <v>484</v>
      </c>
      <c r="K486" s="65">
        <v>0.10000000000002096</v>
      </c>
    </row>
    <row r="487" spans="10:11" x14ac:dyDescent="0.45">
      <c r="J487" s="63">
        <v>485</v>
      </c>
      <c r="K487" s="65">
        <v>4.4000000000000208</v>
      </c>
    </row>
    <row r="488" spans="10:11" x14ac:dyDescent="0.45">
      <c r="J488" s="63">
        <v>486</v>
      </c>
      <c r="K488" s="65">
        <v>-3.9999999999999796</v>
      </c>
    </row>
    <row r="489" spans="10:11" x14ac:dyDescent="0.45">
      <c r="J489" s="63">
        <v>487</v>
      </c>
      <c r="K489" s="65">
        <v>-14.999999999999979</v>
      </c>
    </row>
    <row r="490" spans="10:11" x14ac:dyDescent="0.45">
      <c r="J490" s="63">
        <v>488</v>
      </c>
      <c r="K490" s="65">
        <v>-5.4999999999999787</v>
      </c>
    </row>
    <row r="491" spans="10:11" x14ac:dyDescent="0.45">
      <c r="J491" s="63">
        <v>489</v>
      </c>
      <c r="K491" s="65">
        <v>-4.9999999999999787</v>
      </c>
    </row>
    <row r="492" spans="10:11" x14ac:dyDescent="0.45">
      <c r="J492" s="63">
        <v>490</v>
      </c>
      <c r="K492" s="65">
        <v>6.5000000000000213</v>
      </c>
    </row>
    <row r="493" spans="10:11" x14ac:dyDescent="0.45">
      <c r="J493" s="63">
        <v>491</v>
      </c>
      <c r="K493" s="65">
        <v>-4.5999999999999783</v>
      </c>
    </row>
    <row r="494" spans="10:11" x14ac:dyDescent="0.45">
      <c r="J494" s="63">
        <v>492</v>
      </c>
      <c r="K494" s="65">
        <v>-4.9999999999999787</v>
      </c>
    </row>
    <row r="495" spans="10:11" x14ac:dyDescent="0.45">
      <c r="J495" s="63">
        <v>493</v>
      </c>
      <c r="K495" s="65">
        <v>-16.899999999999977</v>
      </c>
    </row>
    <row r="496" spans="10:11" x14ac:dyDescent="0.45">
      <c r="J496" s="63">
        <v>494</v>
      </c>
      <c r="K496" s="65">
        <v>-22.099999999999977</v>
      </c>
    </row>
    <row r="497" spans="10:11" x14ac:dyDescent="0.45">
      <c r="J497" s="63">
        <v>495</v>
      </c>
      <c r="K497" s="65">
        <v>-4.9999999999999751</v>
      </c>
    </row>
    <row r="498" spans="10:11" x14ac:dyDescent="0.45">
      <c r="J498" s="63">
        <v>496</v>
      </c>
      <c r="K498" s="65">
        <v>10.600000000000025</v>
      </c>
    </row>
    <row r="499" spans="10:11" x14ac:dyDescent="0.45">
      <c r="J499" s="63">
        <v>497</v>
      </c>
      <c r="K499" s="65">
        <v>-26.799999999999976</v>
      </c>
    </row>
    <row r="500" spans="10:11" x14ac:dyDescent="0.45">
      <c r="J500" s="63">
        <v>498</v>
      </c>
      <c r="K500" s="65">
        <v>-4.9999999999999751</v>
      </c>
    </row>
    <row r="501" spans="10:11" x14ac:dyDescent="0.45">
      <c r="J501" s="63">
        <v>499</v>
      </c>
      <c r="K501" s="65">
        <v>9.6000000000000245</v>
      </c>
    </row>
    <row r="502" spans="10:11" x14ac:dyDescent="0.45">
      <c r="J502" s="63">
        <v>500</v>
      </c>
      <c r="K502" s="65">
        <v>-2.1999999999999762</v>
      </c>
    </row>
    <row r="503" spans="10:11" x14ac:dyDescent="0.45">
      <c r="J503" s="63">
        <v>501</v>
      </c>
      <c r="K503" s="65">
        <v>-4.999999999999976</v>
      </c>
    </row>
    <row r="504" spans="10:11" x14ac:dyDescent="0.45">
      <c r="J504" s="63">
        <v>502</v>
      </c>
      <c r="K504" s="65">
        <v>-39.999999999999979</v>
      </c>
    </row>
    <row r="505" spans="10:11" x14ac:dyDescent="0.45">
      <c r="J505" s="63">
        <v>503</v>
      </c>
      <c r="K505" s="65">
        <v>-4.9999999999999787</v>
      </c>
    </row>
    <row r="506" spans="10:11" x14ac:dyDescent="0.45">
      <c r="J506" s="63">
        <v>504</v>
      </c>
      <c r="K506" s="65">
        <v>-4.9999999999999787</v>
      </c>
    </row>
    <row r="507" spans="10:11" x14ac:dyDescent="0.45">
      <c r="J507" s="63">
        <v>505</v>
      </c>
      <c r="K507" s="65">
        <v>-34.59999999999998</v>
      </c>
    </row>
    <row r="508" spans="10:11" x14ac:dyDescent="0.45">
      <c r="J508" s="63">
        <v>506</v>
      </c>
      <c r="K508" s="65">
        <v>-82.699999999999989</v>
      </c>
    </row>
    <row r="509" spans="10:11" x14ac:dyDescent="0.45">
      <c r="J509" s="63">
        <v>507</v>
      </c>
      <c r="K509" s="65">
        <v>-4.9999999999999858</v>
      </c>
    </row>
    <row r="510" spans="10:11" x14ac:dyDescent="0.45">
      <c r="J510" s="63">
        <v>508</v>
      </c>
      <c r="K510" s="65">
        <v>0.80000000000001403</v>
      </c>
    </row>
    <row r="511" spans="10:11" x14ac:dyDescent="0.45">
      <c r="J511" s="63">
        <v>509</v>
      </c>
      <c r="K511" s="65">
        <v>-1.7999999999999861</v>
      </c>
    </row>
    <row r="512" spans="10:11" x14ac:dyDescent="0.45">
      <c r="J512" s="63">
        <v>510</v>
      </c>
      <c r="K512" s="65">
        <v>-4.9999999999999858</v>
      </c>
    </row>
    <row r="513" spans="10:11" x14ac:dyDescent="0.45">
      <c r="J513" s="63">
        <v>511</v>
      </c>
      <c r="K513" s="65">
        <v>-17.999999999999986</v>
      </c>
    </row>
    <row r="514" spans="10:11" x14ac:dyDescent="0.45">
      <c r="J514" s="63">
        <v>512</v>
      </c>
      <c r="K514" s="65">
        <v>-30.499999999999986</v>
      </c>
    </row>
    <row r="515" spans="10:11" x14ac:dyDescent="0.45">
      <c r="J515" s="63">
        <v>513</v>
      </c>
      <c r="K515" s="65">
        <v>-4.9999999999999858</v>
      </c>
    </row>
    <row r="516" spans="10:11" x14ac:dyDescent="0.45">
      <c r="J516" s="63">
        <v>514</v>
      </c>
      <c r="K516" s="65">
        <v>-14.999999999999986</v>
      </c>
    </row>
    <row r="517" spans="10:11" x14ac:dyDescent="0.45">
      <c r="J517" s="63">
        <v>515</v>
      </c>
      <c r="K517" s="65">
        <v>44.500000000000014</v>
      </c>
    </row>
    <row r="518" spans="10:11" x14ac:dyDescent="0.45">
      <c r="J518" s="63">
        <v>516</v>
      </c>
      <c r="K518" s="65">
        <v>-4.9999999999999858</v>
      </c>
    </row>
    <row r="519" spans="10:11" x14ac:dyDescent="0.45">
      <c r="J519" s="63">
        <v>517</v>
      </c>
      <c r="K519" s="65">
        <v>38.600000000000016</v>
      </c>
    </row>
    <row r="520" spans="10:11" x14ac:dyDescent="0.45">
      <c r="J520" s="63">
        <v>518</v>
      </c>
      <c r="K520" s="65">
        <v>10.100000000000016</v>
      </c>
    </row>
    <row r="521" spans="10:11" x14ac:dyDescent="0.45">
      <c r="J521" s="63">
        <v>519</v>
      </c>
      <c r="K521" s="65">
        <v>-4.999999999999984</v>
      </c>
    </row>
    <row r="522" spans="10:11" x14ac:dyDescent="0.45">
      <c r="J522" s="63">
        <v>520</v>
      </c>
      <c r="K522" s="65">
        <v>-9.6999999999999851</v>
      </c>
    </row>
    <row r="523" spans="10:11" x14ac:dyDescent="0.45">
      <c r="J523" s="63">
        <v>521</v>
      </c>
      <c r="K523" s="65">
        <v>7.9000000000000163</v>
      </c>
    </row>
    <row r="524" spans="10:11" x14ac:dyDescent="0.45">
      <c r="J524" s="63">
        <v>522</v>
      </c>
      <c r="K524" s="65">
        <v>-4.999999999999984</v>
      </c>
    </row>
    <row r="525" spans="10:11" x14ac:dyDescent="0.45">
      <c r="J525" s="63">
        <v>523</v>
      </c>
      <c r="K525" s="65">
        <v>6.500000000000016</v>
      </c>
    </row>
    <row r="526" spans="10:11" x14ac:dyDescent="0.45">
      <c r="J526" s="63">
        <v>524</v>
      </c>
      <c r="K526" s="65">
        <v>-6.6999999999999833</v>
      </c>
    </row>
    <row r="527" spans="10:11" x14ac:dyDescent="0.45">
      <c r="J527" s="63">
        <v>525</v>
      </c>
      <c r="K527" s="65">
        <v>-4.9999999999999831</v>
      </c>
    </row>
    <row r="528" spans="10:11" x14ac:dyDescent="0.45">
      <c r="J528" s="63">
        <v>526</v>
      </c>
      <c r="K528" s="65">
        <v>8.4000000000000163</v>
      </c>
    </row>
    <row r="529" spans="10:11" x14ac:dyDescent="0.45">
      <c r="J529" s="63">
        <v>527</v>
      </c>
      <c r="K529" s="65">
        <v>20.700000000000017</v>
      </c>
    </row>
    <row r="530" spans="10:11" x14ac:dyDescent="0.45">
      <c r="J530" s="63">
        <v>528</v>
      </c>
      <c r="K530" s="65">
        <v>-4.9999999999999822</v>
      </c>
    </row>
    <row r="531" spans="10:11" x14ac:dyDescent="0.45">
      <c r="J531" s="63">
        <v>529</v>
      </c>
      <c r="K531" s="65">
        <v>-18.999999999999982</v>
      </c>
    </row>
    <row r="532" spans="10:11" x14ac:dyDescent="0.45">
      <c r="J532" s="63">
        <v>530</v>
      </c>
      <c r="K532" s="65">
        <v>-78.299999999999983</v>
      </c>
    </row>
    <row r="533" spans="10:11" x14ac:dyDescent="0.45">
      <c r="J533" s="63">
        <v>531</v>
      </c>
      <c r="K533" s="65">
        <v>-4.9999999999999858</v>
      </c>
    </row>
    <row r="534" spans="10:11" x14ac:dyDescent="0.45">
      <c r="J534" s="63">
        <v>532</v>
      </c>
      <c r="K534" s="65">
        <v>1.1000000000000139</v>
      </c>
    </row>
    <row r="535" spans="10:11" x14ac:dyDescent="0.45">
      <c r="J535" s="63">
        <v>533</v>
      </c>
      <c r="K535" s="65">
        <v>-5.8999999999999861</v>
      </c>
    </row>
    <row r="536" spans="10:11" x14ac:dyDescent="0.45">
      <c r="J536" s="63">
        <v>534</v>
      </c>
      <c r="K536" s="65">
        <v>-4.9999999999999858</v>
      </c>
    </row>
    <row r="537" spans="10:11" x14ac:dyDescent="0.45">
      <c r="J537" s="63">
        <v>535</v>
      </c>
      <c r="K537" s="65">
        <v>13.700000000000014</v>
      </c>
    </row>
    <row r="538" spans="10:11" x14ac:dyDescent="0.45">
      <c r="J538" s="63">
        <v>536</v>
      </c>
      <c r="K538" s="65">
        <v>-1.1999999999999869</v>
      </c>
    </row>
    <row r="539" spans="10:11" x14ac:dyDescent="0.45">
      <c r="J539" s="63">
        <v>537</v>
      </c>
      <c r="K539" s="65">
        <v>-4.9999999999999867</v>
      </c>
    </row>
    <row r="540" spans="10:11" x14ac:dyDescent="0.45">
      <c r="J540" s="63">
        <v>538</v>
      </c>
      <c r="K540" s="65">
        <v>17.800000000000015</v>
      </c>
    </row>
    <row r="541" spans="10:11" x14ac:dyDescent="0.45">
      <c r="J541" s="63">
        <v>539</v>
      </c>
      <c r="K541" s="65">
        <v>19.500000000000014</v>
      </c>
    </row>
    <row r="542" spans="10:11" x14ac:dyDescent="0.45">
      <c r="J542" s="63">
        <v>540</v>
      </c>
      <c r="K542" s="65">
        <v>-4.9999999999999858</v>
      </c>
    </row>
    <row r="543" spans="10:11" x14ac:dyDescent="0.45">
      <c r="J543" s="63">
        <v>541</v>
      </c>
      <c r="K543" s="65">
        <v>-1.4999999999999858</v>
      </c>
    </row>
    <row r="544" spans="10:11" x14ac:dyDescent="0.45">
      <c r="J544" s="63">
        <v>542</v>
      </c>
      <c r="K544" s="65">
        <v>-9.9999999999999858</v>
      </c>
    </row>
    <row r="545" spans="10:11" x14ac:dyDescent="0.45">
      <c r="J545" s="63">
        <v>543</v>
      </c>
      <c r="K545" s="65">
        <v>-4.9999999999999858</v>
      </c>
    </row>
    <row r="546" spans="10:11" x14ac:dyDescent="0.45">
      <c r="J546" s="63">
        <v>544</v>
      </c>
      <c r="K546" s="65">
        <v>-9.7999999999999865</v>
      </c>
    </row>
    <row r="547" spans="10:11" x14ac:dyDescent="0.45">
      <c r="J547" s="63">
        <v>545</v>
      </c>
      <c r="K547" s="65">
        <v>15.000000000000014</v>
      </c>
    </row>
    <row r="548" spans="10:11" x14ac:dyDescent="0.45">
      <c r="J548" s="63">
        <v>546</v>
      </c>
      <c r="K548" s="65">
        <v>-4.9999999999999858</v>
      </c>
    </row>
    <row r="549" spans="10:11" x14ac:dyDescent="0.45">
      <c r="J549" s="63">
        <v>547</v>
      </c>
      <c r="K549" s="65">
        <v>26.500000000000014</v>
      </c>
    </row>
    <row r="550" spans="10:11" x14ac:dyDescent="0.45">
      <c r="J550" s="63">
        <v>548</v>
      </c>
      <c r="K550" s="65">
        <v>6.9000000000000128</v>
      </c>
    </row>
    <row r="551" spans="10:11" x14ac:dyDescent="0.45">
      <c r="J551" s="63">
        <v>549</v>
      </c>
      <c r="K551" s="65">
        <v>-4.9999999999999876</v>
      </c>
    </row>
    <row r="552" spans="10:11" x14ac:dyDescent="0.45">
      <c r="J552" s="63">
        <v>550</v>
      </c>
      <c r="K552" s="65">
        <v>11.100000000000014</v>
      </c>
    </row>
    <row r="553" spans="10:11" x14ac:dyDescent="0.45">
      <c r="J553" s="63">
        <v>551</v>
      </c>
      <c r="K553" s="65">
        <v>11.500000000000014</v>
      </c>
    </row>
    <row r="554" spans="10:11" x14ac:dyDescent="0.45">
      <c r="J554" s="63">
        <v>552</v>
      </c>
      <c r="K554" s="65">
        <v>-4.9999999999999858</v>
      </c>
    </row>
    <row r="555" spans="10:11" x14ac:dyDescent="0.45">
      <c r="J555" s="63">
        <v>553</v>
      </c>
      <c r="K555" s="65">
        <v>6.3000000000000149</v>
      </c>
    </row>
    <row r="556" spans="10:11" x14ac:dyDescent="0.45">
      <c r="J556" s="63">
        <v>554</v>
      </c>
      <c r="K556" s="65">
        <v>17.100000000000016</v>
      </c>
    </row>
    <row r="557" spans="10:11" x14ac:dyDescent="0.45">
      <c r="J557" s="63">
        <v>555</v>
      </c>
      <c r="K557" s="65">
        <v>-4.9999999999999858</v>
      </c>
    </row>
    <row r="558" spans="10:11" x14ac:dyDescent="0.45">
      <c r="J558" s="63">
        <v>556</v>
      </c>
      <c r="K558" s="65">
        <v>18.300000000000015</v>
      </c>
    </row>
    <row r="559" spans="10:11" x14ac:dyDescent="0.45">
      <c r="J559" s="63">
        <v>557</v>
      </c>
      <c r="K559" s="65">
        <v>6.4000000000000146</v>
      </c>
    </row>
    <row r="560" spans="10:11" x14ac:dyDescent="0.45">
      <c r="J560" s="63">
        <v>558</v>
      </c>
      <c r="K560" s="65">
        <v>-4.9999999999999858</v>
      </c>
    </row>
    <row r="561" spans="10:11" x14ac:dyDescent="0.45">
      <c r="J561" s="63">
        <v>559</v>
      </c>
      <c r="K561" s="65">
        <v>-16.199999999999985</v>
      </c>
    </row>
    <row r="562" spans="10:11" x14ac:dyDescent="0.45">
      <c r="J562" s="63">
        <v>560</v>
      </c>
      <c r="K562" s="65">
        <v>-11.299999999999985</v>
      </c>
    </row>
    <row r="563" spans="10:11" x14ac:dyDescent="0.45">
      <c r="J563" s="63">
        <v>561</v>
      </c>
      <c r="K563" s="65">
        <v>-4.9999999999999849</v>
      </c>
    </row>
    <row r="564" spans="10:11" x14ac:dyDescent="0.45">
      <c r="J564" s="63">
        <v>562</v>
      </c>
      <c r="K564" s="65">
        <v>-6.9999999999999849</v>
      </c>
    </row>
    <row r="565" spans="10:11" x14ac:dyDescent="0.45">
      <c r="J565" s="63">
        <v>563</v>
      </c>
      <c r="K565" s="65">
        <v>-1.3999999999999853</v>
      </c>
    </row>
    <row r="566" spans="10:11" x14ac:dyDescent="0.45">
      <c r="J566" s="63">
        <v>564</v>
      </c>
      <c r="K566" s="65">
        <v>-4.9999999999999849</v>
      </c>
    </row>
    <row r="567" spans="10:11" x14ac:dyDescent="0.45">
      <c r="J567" s="63">
        <v>565</v>
      </c>
      <c r="K567" s="65">
        <v>-44.599999999999987</v>
      </c>
    </row>
    <row r="568" spans="10:11" x14ac:dyDescent="0.45">
      <c r="J568" s="63">
        <v>566</v>
      </c>
      <c r="K568" s="65">
        <v>-80.499999999999986</v>
      </c>
    </row>
    <row r="569" spans="10:11" x14ac:dyDescent="0.45">
      <c r="J569" s="63">
        <v>567</v>
      </c>
      <c r="K569" s="65">
        <v>-4.9999999999999858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08E0F-4C4C-4774-80B3-572553518FC4}">
  <sheetPr codeName="Sheet6"/>
  <dimension ref="A1:Q192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173</v>
      </c>
      <c r="B1" s="111" t="s">
        <v>173</v>
      </c>
      <c r="C1" s="111" t="s">
        <v>173</v>
      </c>
      <c r="D1" s="112" t="s">
        <v>173</v>
      </c>
      <c r="E1" s="111" t="s">
        <v>173</v>
      </c>
      <c r="F1" s="111" t="s">
        <v>173</v>
      </c>
      <c r="G1" s="111" t="s">
        <v>173</v>
      </c>
      <c r="H1" s="111" t="s">
        <v>173</v>
      </c>
      <c r="I1" s="111" t="s">
        <v>173</v>
      </c>
      <c r="J1" s="111" t="s">
        <v>173</v>
      </c>
      <c r="K1" s="111" t="s">
        <v>173</v>
      </c>
      <c r="L1" s="111" t="s">
        <v>173</v>
      </c>
      <c r="M1" s="111" t="s">
        <v>173</v>
      </c>
      <c r="N1" s="111" t="s">
        <v>173</v>
      </c>
      <c r="O1" s="111" t="s">
        <v>173</v>
      </c>
      <c r="P1" s="111" t="s">
        <v>173</v>
      </c>
      <c r="Q1" s="111" t="s">
        <v>173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0</v>
      </c>
      <c r="C4" s="107">
        <v>0</v>
      </c>
      <c r="D4" s="112">
        <v>2</v>
      </c>
      <c r="E4" s="108">
        <v>0.33333333333333331</v>
      </c>
      <c r="F4" s="108">
        <v>0.33333333333333331</v>
      </c>
      <c r="G4" s="108">
        <v>0.33333333333333331</v>
      </c>
      <c r="H4" s="109">
        <v>8200</v>
      </c>
      <c r="I4" s="109">
        <v>-8200</v>
      </c>
      <c r="J4" s="108">
        <v>0</v>
      </c>
      <c r="K4" s="108">
        <v>0</v>
      </c>
      <c r="P4" s="108">
        <v>0</v>
      </c>
      <c r="Q4" s="108">
        <v>0.5</v>
      </c>
    </row>
    <row r="5" spans="1:17" x14ac:dyDescent="0.45">
      <c r="A5" s="110">
        <v>2</v>
      </c>
      <c r="B5" s="107">
        <v>0</v>
      </c>
      <c r="C5" s="107">
        <v>0</v>
      </c>
      <c r="D5" s="112">
        <v>2</v>
      </c>
      <c r="E5" s="108">
        <v>0.33333333333333331</v>
      </c>
      <c r="F5" s="108">
        <v>0.375</v>
      </c>
      <c r="G5" s="108">
        <v>0.29166666666666669</v>
      </c>
      <c r="H5" s="109">
        <v>7766.666666666667</v>
      </c>
      <c r="I5" s="109">
        <v>-5857.1428571428569</v>
      </c>
      <c r="J5" s="108">
        <v>0.16666666666666666</v>
      </c>
      <c r="K5" s="108">
        <v>0.16666666666666666</v>
      </c>
      <c r="P5" s="108">
        <v>0.1111111111111111</v>
      </c>
      <c r="Q5" s="108">
        <v>0.7142857142857143</v>
      </c>
    </row>
    <row r="6" spans="1:17" x14ac:dyDescent="0.45">
      <c r="A6" s="110">
        <v>3</v>
      </c>
      <c r="B6" s="107">
        <v>3.5527136788005009E-15</v>
      </c>
      <c r="C6" s="107">
        <v>3.9474596431116675E-16</v>
      </c>
      <c r="D6" s="112">
        <v>2</v>
      </c>
      <c r="E6" s="108">
        <v>0.33333333333333331</v>
      </c>
      <c r="F6" s="108">
        <v>0.35897435897435898</v>
      </c>
      <c r="G6" s="108">
        <v>0.25641025641025639</v>
      </c>
      <c r="H6" s="109">
        <v>8857.1428571428569</v>
      </c>
      <c r="I6" s="109">
        <v>-8100</v>
      </c>
      <c r="J6" s="108">
        <v>0.22222222222222221</v>
      </c>
      <c r="K6" s="108">
        <v>0.22222222222222221</v>
      </c>
      <c r="P6" s="108">
        <v>0.21428571428571427</v>
      </c>
      <c r="Q6" s="108">
        <v>0.5</v>
      </c>
    </row>
    <row r="7" spans="1:17" x14ac:dyDescent="0.45">
      <c r="A7" s="110">
        <v>4</v>
      </c>
      <c r="B7" s="107">
        <v>0</v>
      </c>
      <c r="C7" s="107">
        <v>0</v>
      </c>
      <c r="D7" s="112">
        <v>2</v>
      </c>
      <c r="E7" s="108">
        <v>0.33333333333333331</v>
      </c>
      <c r="F7" s="108">
        <v>0.33333333333333331</v>
      </c>
      <c r="G7" s="108">
        <v>0.24561403508771928</v>
      </c>
      <c r="H7" s="109">
        <v>10963.157894736842</v>
      </c>
      <c r="I7" s="109">
        <v>-8378.5714285714294</v>
      </c>
      <c r="J7" s="108">
        <v>0.33333333333333331</v>
      </c>
      <c r="K7" s="108">
        <v>0.33333333333333331</v>
      </c>
      <c r="P7" s="108">
        <v>0.21052631578947367</v>
      </c>
      <c r="Q7" s="108">
        <v>0.44444444444444442</v>
      </c>
    </row>
    <row r="8" spans="1:17" x14ac:dyDescent="0.45">
      <c r="A8" s="110">
        <v>5</v>
      </c>
      <c r="B8" s="107">
        <v>0</v>
      </c>
      <c r="C8" s="107">
        <v>0</v>
      </c>
      <c r="D8" s="112">
        <v>2</v>
      </c>
      <c r="E8" s="108">
        <v>0.33333333333333331</v>
      </c>
      <c r="F8" s="108">
        <v>0.33333333333333331</v>
      </c>
      <c r="G8" s="108">
        <v>0.24358974358974358</v>
      </c>
      <c r="H8" s="109">
        <v>10703.846153846154</v>
      </c>
      <c r="I8" s="109">
        <v>-9015.78947368421</v>
      </c>
      <c r="J8" s="108">
        <v>0.33333333333333331</v>
      </c>
      <c r="K8" s="108">
        <v>0.33333333333333331</v>
      </c>
      <c r="P8" s="108">
        <v>0.23076923076923078</v>
      </c>
      <c r="Q8" s="108">
        <v>0.4</v>
      </c>
    </row>
    <row r="9" spans="1:17" x14ac:dyDescent="0.45">
      <c r="A9" s="110">
        <v>6</v>
      </c>
      <c r="B9" s="107">
        <v>0</v>
      </c>
      <c r="C9" s="107">
        <v>0</v>
      </c>
      <c r="D9" s="112">
        <v>2</v>
      </c>
      <c r="E9" s="108">
        <v>0.33333333333333331</v>
      </c>
      <c r="F9" s="108">
        <v>0.33333333333333331</v>
      </c>
      <c r="G9" s="108">
        <v>0.25</v>
      </c>
      <c r="H9" s="109">
        <v>11939.285714285714</v>
      </c>
      <c r="I9" s="109">
        <v>-10823.809523809523</v>
      </c>
      <c r="J9" s="108">
        <v>0.33333333333333331</v>
      </c>
      <c r="K9" s="108">
        <v>0.33333333333333331</v>
      </c>
      <c r="P9" s="108">
        <v>0.21428571428571427</v>
      </c>
      <c r="Q9" s="108">
        <v>0.40740740740740738</v>
      </c>
    </row>
    <row r="10" spans="1:17" x14ac:dyDescent="0.45">
      <c r="A10" s="110">
        <v>7</v>
      </c>
      <c r="B10" s="107">
        <v>0</v>
      </c>
      <c r="C10" s="107">
        <v>0</v>
      </c>
      <c r="D10" s="112">
        <v>2</v>
      </c>
      <c r="E10" s="108">
        <v>0.33333333333333331</v>
      </c>
      <c r="F10" s="108">
        <v>0.33333333333333331</v>
      </c>
      <c r="G10" s="108">
        <v>0.25714285714285712</v>
      </c>
      <c r="H10" s="109">
        <v>10805.714285714286</v>
      </c>
      <c r="I10" s="109">
        <v>-9748.1481481481478</v>
      </c>
      <c r="J10" s="108">
        <v>0.2857142857142857</v>
      </c>
      <c r="K10" s="108">
        <v>0.2857142857142857</v>
      </c>
      <c r="P10" s="108">
        <v>0.2</v>
      </c>
      <c r="Q10" s="108">
        <v>0.35294117647058826</v>
      </c>
    </row>
    <row r="11" spans="1:17" x14ac:dyDescent="0.45">
      <c r="A11" s="110">
        <v>8</v>
      </c>
      <c r="B11" s="107">
        <v>0</v>
      </c>
      <c r="C11" s="107">
        <v>0</v>
      </c>
      <c r="D11" s="112">
        <v>2</v>
      </c>
      <c r="E11" s="108">
        <v>0.33333333333333331</v>
      </c>
      <c r="F11" s="108">
        <v>0.31782945736434109</v>
      </c>
      <c r="G11" s="108">
        <v>0.24031007751937986</v>
      </c>
      <c r="H11" s="109">
        <v>10785.365853658537</v>
      </c>
      <c r="I11" s="109">
        <v>-10167.741935483871</v>
      </c>
      <c r="J11" s="108">
        <v>0.29166666666666669</v>
      </c>
      <c r="K11" s="108">
        <v>0.29166666666666669</v>
      </c>
      <c r="P11" s="108">
        <v>0.21951219512195122</v>
      </c>
      <c r="Q11" s="108">
        <v>0.2857142857142857</v>
      </c>
    </row>
    <row r="12" spans="1:17" x14ac:dyDescent="0.45">
      <c r="A12" s="110">
        <v>9</v>
      </c>
      <c r="B12" s="107">
        <v>0</v>
      </c>
      <c r="C12" s="107">
        <v>0</v>
      </c>
      <c r="D12" s="112">
        <v>2</v>
      </c>
      <c r="E12" s="108">
        <v>0.33333333333333331</v>
      </c>
      <c r="F12" s="108">
        <v>0.30065359477124182</v>
      </c>
      <c r="G12" s="108">
        <v>0.22875816993464052</v>
      </c>
      <c r="H12" s="109">
        <v>10786.95652173913</v>
      </c>
      <c r="I12" s="109">
        <v>-10320</v>
      </c>
      <c r="J12" s="108">
        <v>0.29629629629629628</v>
      </c>
      <c r="K12" s="108">
        <v>0.29629629629629628</v>
      </c>
      <c r="P12" s="108">
        <v>0.21739130434782608</v>
      </c>
      <c r="Q12" s="108">
        <v>0.28000000000000003</v>
      </c>
    </row>
    <row r="13" spans="1:17" x14ac:dyDescent="0.45">
      <c r="A13" s="110">
        <v>10</v>
      </c>
      <c r="B13" s="107">
        <v>0</v>
      </c>
      <c r="C13" s="107">
        <v>0</v>
      </c>
      <c r="D13" s="112">
        <v>2</v>
      </c>
      <c r="E13" s="108">
        <v>0.33333333333333331</v>
      </c>
      <c r="F13" s="108">
        <v>0.28735632183908044</v>
      </c>
      <c r="G13" s="108">
        <v>0.22413793103448276</v>
      </c>
      <c r="H13" s="109">
        <v>11148</v>
      </c>
      <c r="I13" s="109">
        <v>-10830.76923076923</v>
      </c>
      <c r="J13" s="108">
        <v>0.3</v>
      </c>
      <c r="K13" s="108">
        <v>0.3</v>
      </c>
      <c r="P13" s="108">
        <v>0.2</v>
      </c>
      <c r="Q13" s="108">
        <v>0.2807017543859649</v>
      </c>
    </row>
    <row r="14" spans="1:17" x14ac:dyDescent="0.45">
      <c r="A14" s="110">
        <v>11</v>
      </c>
      <c r="B14" s="107">
        <v>1.7763568394002505E-15</v>
      </c>
      <c r="C14" s="107">
        <v>5.3828995133340925E-17</v>
      </c>
      <c r="D14" s="112">
        <v>2</v>
      </c>
      <c r="E14" s="108">
        <v>0.33333333333333331</v>
      </c>
      <c r="F14" s="108">
        <v>0.29107981220657275</v>
      </c>
      <c r="G14" s="108">
        <v>0.20657276995305165</v>
      </c>
      <c r="H14" s="109">
        <v>11622.58064516129</v>
      </c>
      <c r="I14" s="109">
        <v>-10536.363636363636</v>
      </c>
      <c r="J14" s="108">
        <v>0.27272727272727271</v>
      </c>
      <c r="K14" s="108">
        <v>0.27272727272727271</v>
      </c>
      <c r="P14" s="108">
        <v>0.27419354838709675</v>
      </c>
      <c r="Q14" s="108">
        <v>0.31428571428571428</v>
      </c>
    </row>
    <row r="15" spans="1:17" x14ac:dyDescent="0.45">
      <c r="A15" s="110">
        <v>12</v>
      </c>
      <c r="B15" s="107">
        <v>7.1054273576010019E-15</v>
      </c>
      <c r="C15" s="107">
        <v>1.9737298215558337E-16</v>
      </c>
      <c r="D15" s="112">
        <v>2</v>
      </c>
      <c r="E15" s="108">
        <v>0.33333333333333331</v>
      </c>
      <c r="F15" s="108">
        <v>0.29385964912280704</v>
      </c>
      <c r="G15" s="108">
        <v>0.20175438596491227</v>
      </c>
      <c r="H15" s="109">
        <v>11543.283582089553</v>
      </c>
      <c r="I15" s="109">
        <v>-10513.04347826087</v>
      </c>
      <c r="J15" s="108">
        <v>0.27777777777777779</v>
      </c>
      <c r="K15" s="108">
        <v>0.27777777777777779</v>
      </c>
      <c r="P15" s="108">
        <v>0.29850746268656714</v>
      </c>
      <c r="Q15" s="108">
        <v>0.34666666666666668</v>
      </c>
    </row>
    <row r="16" spans="1:17" x14ac:dyDescent="0.45">
      <c r="A16" s="110">
        <v>13</v>
      </c>
      <c r="B16" s="107">
        <v>7.1054273576010019E-15</v>
      </c>
      <c r="C16" s="107">
        <v>1.8219044506669235E-16</v>
      </c>
      <c r="D16" s="112">
        <v>2</v>
      </c>
      <c r="E16" s="108">
        <v>0.33333333333333331</v>
      </c>
      <c r="F16" s="108">
        <v>0.29588014981273408</v>
      </c>
      <c r="G16" s="108">
        <v>0.20224719101123595</v>
      </c>
      <c r="H16" s="109">
        <v>11137.974683544304</v>
      </c>
      <c r="I16" s="109">
        <v>-10222.222222222223</v>
      </c>
      <c r="J16" s="108">
        <v>0.25641025641025639</v>
      </c>
      <c r="K16" s="108">
        <v>0.25641025641025639</v>
      </c>
      <c r="P16" s="108">
        <v>0.30379746835443039</v>
      </c>
      <c r="Q16" s="108">
        <v>0.375</v>
      </c>
    </row>
    <row r="17" spans="1:17" x14ac:dyDescent="0.45">
      <c r="A17" s="110">
        <v>14</v>
      </c>
      <c r="B17" s="107">
        <v>7.1054273576010019E-15</v>
      </c>
      <c r="C17" s="107">
        <v>1.6917684184764289E-16</v>
      </c>
      <c r="D17" s="112">
        <v>2</v>
      </c>
      <c r="E17" s="108">
        <v>0.33333333333333331</v>
      </c>
      <c r="F17" s="108">
        <v>0.2978723404255319</v>
      </c>
      <c r="G17" s="108">
        <v>0.19858156028368795</v>
      </c>
      <c r="H17" s="109">
        <v>11570.238095238095</v>
      </c>
      <c r="I17" s="109">
        <v>-10142.857142857143</v>
      </c>
      <c r="J17" s="108">
        <v>0.26190476190476192</v>
      </c>
      <c r="K17" s="108">
        <v>0.26190476190476192</v>
      </c>
      <c r="P17" s="108">
        <v>0.30952380952380953</v>
      </c>
      <c r="Q17" s="108">
        <v>0.37634408602150538</v>
      </c>
    </row>
    <row r="18" spans="1:17" x14ac:dyDescent="0.45">
      <c r="A18" s="110">
        <v>15</v>
      </c>
      <c r="B18" s="107">
        <v>7.1054273576010019E-15</v>
      </c>
      <c r="C18" s="107">
        <v>1.5789838572446671E-16</v>
      </c>
      <c r="D18" s="112">
        <v>2</v>
      </c>
      <c r="E18" s="108">
        <v>0.33333333333333331</v>
      </c>
      <c r="F18" s="108">
        <v>0.29553264604810997</v>
      </c>
      <c r="G18" s="108">
        <v>0.19931271477663232</v>
      </c>
      <c r="H18" s="109">
        <v>11650</v>
      </c>
      <c r="I18" s="109">
        <v>-10310.344827586207</v>
      </c>
      <c r="J18" s="108">
        <v>0.26666666666666666</v>
      </c>
      <c r="K18" s="108">
        <v>0.26666666666666666</v>
      </c>
      <c r="P18" s="108">
        <v>0.30232558139534882</v>
      </c>
      <c r="Q18" s="108">
        <v>0.38541666666666669</v>
      </c>
    </row>
    <row r="19" spans="1:17" x14ac:dyDescent="0.45">
      <c r="A19" s="110">
        <v>16</v>
      </c>
      <c r="B19" s="107">
        <v>7.1054273576010019E-15</v>
      </c>
      <c r="C19" s="107">
        <v>1.4802973661668753E-16</v>
      </c>
      <c r="D19" s="112">
        <v>2</v>
      </c>
      <c r="E19" s="108">
        <v>0.33333333333333331</v>
      </c>
      <c r="F19" s="108">
        <v>0.29841269841269841</v>
      </c>
      <c r="G19" s="108">
        <v>0.19365079365079366</v>
      </c>
      <c r="H19" s="109">
        <v>11291.489361702128</v>
      </c>
      <c r="I19" s="109">
        <v>-10224.590163934427</v>
      </c>
      <c r="J19" s="108">
        <v>0.25</v>
      </c>
      <c r="K19" s="108">
        <v>0.25</v>
      </c>
      <c r="P19" s="108">
        <v>0.32978723404255317</v>
      </c>
      <c r="Q19" s="108">
        <v>0.39423076923076922</v>
      </c>
    </row>
    <row r="20" spans="1:17" x14ac:dyDescent="0.45">
      <c r="A20" s="110">
        <v>17</v>
      </c>
      <c r="B20" s="107">
        <v>7.1054273576010019E-15</v>
      </c>
      <c r="C20" s="107">
        <v>1.3932210505100003E-16</v>
      </c>
      <c r="D20" s="112">
        <v>2</v>
      </c>
      <c r="E20" s="108">
        <v>0.33333333333333331</v>
      </c>
      <c r="F20" s="108">
        <v>0.3</v>
      </c>
      <c r="G20" s="108">
        <v>0.19090909090909092</v>
      </c>
      <c r="H20" s="109">
        <v>11205.050505050505</v>
      </c>
      <c r="I20" s="109">
        <v>-10152.380952380952</v>
      </c>
      <c r="J20" s="108">
        <v>0.23529411764705882</v>
      </c>
      <c r="K20" s="108">
        <v>0.23529411764705882</v>
      </c>
      <c r="P20" s="108">
        <v>0.34343434343434343</v>
      </c>
      <c r="Q20" s="108">
        <v>0.41284403669724773</v>
      </c>
    </row>
    <row r="21" spans="1:17" x14ac:dyDescent="0.45">
      <c r="A21" s="110">
        <v>18</v>
      </c>
      <c r="B21" s="107">
        <v>8.2156503822261584E-15</v>
      </c>
      <c r="C21" s="107">
        <v>1.5214167374492887E-16</v>
      </c>
      <c r="D21" s="112">
        <v>2</v>
      </c>
      <c r="E21" s="108">
        <v>0.33333333333333331</v>
      </c>
      <c r="F21" s="108">
        <v>0.30027548209366389</v>
      </c>
      <c r="G21" s="108">
        <v>0.19559228650137742</v>
      </c>
      <c r="H21" s="109">
        <v>10655.045871559632</v>
      </c>
      <c r="I21" s="109">
        <v>-9543.6619718309867</v>
      </c>
      <c r="J21" s="108">
        <v>0.22222222222222221</v>
      </c>
      <c r="K21" s="108">
        <v>0.22222222222222221</v>
      </c>
      <c r="P21" s="108">
        <v>0.33027522935779818</v>
      </c>
      <c r="Q21" s="108">
        <v>0.42499999999999999</v>
      </c>
    </row>
    <row r="22" spans="1:17" x14ac:dyDescent="0.45">
      <c r="A22" s="110">
        <v>19</v>
      </c>
      <c r="B22" s="107">
        <v>1.0658141036401503E-14</v>
      </c>
      <c r="C22" s="107">
        <v>1.8698493046318425E-16</v>
      </c>
      <c r="D22" s="112">
        <v>2</v>
      </c>
      <c r="E22" s="108">
        <v>0.33333333333333331</v>
      </c>
      <c r="F22" s="108">
        <v>0.30490956072351422</v>
      </c>
      <c r="G22" s="108">
        <v>0.19379844961240311</v>
      </c>
      <c r="H22" s="109">
        <v>10629.661016949152</v>
      </c>
      <c r="I22" s="109">
        <v>-9796</v>
      </c>
      <c r="J22" s="108">
        <v>0.22807017543859648</v>
      </c>
      <c r="K22" s="108">
        <v>0.22807017543859648</v>
      </c>
      <c r="P22" s="108">
        <v>0.33898305084745761</v>
      </c>
      <c r="Q22" s="108">
        <v>0.432</v>
      </c>
    </row>
    <row r="23" spans="1:17" x14ac:dyDescent="0.45">
      <c r="A23" s="110">
        <v>20</v>
      </c>
      <c r="B23" s="107">
        <v>1.0658141036401503E-14</v>
      </c>
      <c r="C23" s="107">
        <v>1.7763568394002506E-16</v>
      </c>
      <c r="D23" s="112">
        <v>2</v>
      </c>
      <c r="E23" s="108">
        <v>0.33333333333333331</v>
      </c>
      <c r="F23" s="108">
        <v>0.30413625304136255</v>
      </c>
      <c r="G23" s="108">
        <v>0.19464720194647203</v>
      </c>
      <c r="H23" s="109">
        <v>10516</v>
      </c>
      <c r="I23" s="109">
        <v>-9636.25</v>
      </c>
      <c r="J23" s="108">
        <v>0.21666666666666667</v>
      </c>
      <c r="K23" s="108">
        <v>0.21666666666666667</v>
      </c>
      <c r="P23" s="108">
        <v>0.33600000000000002</v>
      </c>
      <c r="Q23" s="108">
        <v>0.41984732824427479</v>
      </c>
    </row>
    <row r="24" spans="1:17" x14ac:dyDescent="0.45">
      <c r="A24" s="110">
        <v>21</v>
      </c>
      <c r="B24" s="107">
        <v>1.4210854715202004E-14</v>
      </c>
      <c r="C24" s="107">
        <v>2.2556912246352386E-16</v>
      </c>
      <c r="D24" s="112">
        <v>2</v>
      </c>
      <c r="E24" s="108">
        <v>0.33333333333333331</v>
      </c>
      <c r="F24" s="108">
        <v>0.30260047281323876</v>
      </c>
      <c r="G24" s="108">
        <v>0.19385342789598109</v>
      </c>
      <c r="H24" s="109">
        <v>10800.78125</v>
      </c>
      <c r="I24" s="109">
        <v>-9645.121951219513</v>
      </c>
      <c r="J24" s="108">
        <v>0.22222222222222221</v>
      </c>
      <c r="K24" s="108">
        <v>0.22222222222222221</v>
      </c>
      <c r="P24" s="108">
        <v>0.3359375</v>
      </c>
      <c r="Q24" s="108">
        <v>0.42537313432835822</v>
      </c>
    </row>
    <row r="25" spans="1:17" x14ac:dyDescent="0.45">
      <c r="A25" s="110">
        <v>22</v>
      </c>
      <c r="B25" s="107">
        <v>2.8421709430404007E-14</v>
      </c>
      <c r="C25" s="107">
        <v>4.306319610667274E-16</v>
      </c>
      <c r="D25" s="112">
        <v>2</v>
      </c>
      <c r="E25" s="108">
        <v>0.33333333333333331</v>
      </c>
      <c r="F25" s="108">
        <v>0.30263157894736842</v>
      </c>
      <c r="G25" s="108">
        <v>0.19956140350877194</v>
      </c>
      <c r="H25" s="109">
        <v>10734.782608695652</v>
      </c>
      <c r="I25" s="109">
        <v>-9580.2197802197807</v>
      </c>
      <c r="J25" s="108">
        <v>0.22727272727272727</v>
      </c>
      <c r="K25" s="108">
        <v>0.22727272727272727</v>
      </c>
      <c r="P25" s="108">
        <v>0.3188405797101449</v>
      </c>
      <c r="Q25" s="108">
        <v>0.43448275862068964</v>
      </c>
    </row>
    <row r="26" spans="1:17" x14ac:dyDescent="0.45">
      <c r="A26" s="110">
        <v>23</v>
      </c>
      <c r="B26" s="107">
        <v>3.0198066269804258E-14</v>
      </c>
      <c r="C26" s="107">
        <v>4.3765313434498927E-16</v>
      </c>
      <c r="D26" s="112">
        <v>2</v>
      </c>
      <c r="E26" s="108">
        <v>0.33333333333333331</v>
      </c>
      <c r="F26" s="108">
        <v>0.3</v>
      </c>
      <c r="G26" s="108">
        <v>0.19166666666666668</v>
      </c>
      <c r="H26" s="109">
        <v>10673.611111111111</v>
      </c>
      <c r="I26" s="109">
        <v>-9563.04347826087</v>
      </c>
      <c r="J26" s="108">
        <v>0.2318840579710145</v>
      </c>
      <c r="K26" s="108">
        <v>0.2318840579710145</v>
      </c>
      <c r="P26" s="108">
        <v>0.34027777777777779</v>
      </c>
      <c r="Q26" s="108">
        <v>0.42483660130718953</v>
      </c>
    </row>
    <row r="27" spans="1:17" x14ac:dyDescent="0.45">
      <c r="A27" s="110">
        <v>24</v>
      </c>
      <c r="B27" s="107">
        <v>2.8421709430404007E-14</v>
      </c>
      <c r="C27" s="107">
        <v>3.9474596431116675E-16</v>
      </c>
      <c r="D27" s="112">
        <v>2</v>
      </c>
      <c r="E27" s="108">
        <v>0.33333333333333331</v>
      </c>
      <c r="F27" s="108">
        <v>0.30081300813008133</v>
      </c>
      <c r="G27" s="108">
        <v>0.19308943089430894</v>
      </c>
      <c r="H27" s="109">
        <v>10777.027027027027</v>
      </c>
      <c r="I27" s="109">
        <v>-9682.105263157895</v>
      </c>
      <c r="J27" s="108">
        <v>0.2361111111111111</v>
      </c>
      <c r="K27" s="108">
        <v>0.2361111111111111</v>
      </c>
      <c r="P27" s="108">
        <v>0.33783783783783783</v>
      </c>
      <c r="Q27" s="108">
        <v>0.42675159235668791</v>
      </c>
    </row>
    <row r="28" spans="1:17" x14ac:dyDescent="0.45">
      <c r="A28" s="110">
        <v>25</v>
      </c>
      <c r="B28" s="107">
        <v>2.4868995751603507E-14</v>
      </c>
      <c r="C28" s="107">
        <v>3.315866100213801E-16</v>
      </c>
      <c r="D28" s="112">
        <v>2</v>
      </c>
      <c r="E28" s="108">
        <v>0.33333333333333331</v>
      </c>
      <c r="F28" s="108">
        <v>0.30057803468208094</v>
      </c>
      <c r="G28" s="108">
        <v>0.18882466281310212</v>
      </c>
      <c r="H28" s="109">
        <v>10966.666666666666</v>
      </c>
      <c r="I28" s="109">
        <v>-9873.4693877551017</v>
      </c>
      <c r="J28" s="108">
        <v>0.22666666666666666</v>
      </c>
      <c r="K28" s="108">
        <v>0.22666666666666666</v>
      </c>
      <c r="P28" s="108">
        <v>0.35256410256410259</v>
      </c>
      <c r="Q28" s="108">
        <v>0.42168674698795183</v>
      </c>
    </row>
    <row r="29" spans="1:17" x14ac:dyDescent="0.45">
      <c r="A29" s="110">
        <v>26</v>
      </c>
      <c r="B29" s="107">
        <v>2.3092638912203256E-14</v>
      </c>
      <c r="C29" s="107">
        <v>2.9605947323337506E-16</v>
      </c>
      <c r="D29" s="112">
        <v>2</v>
      </c>
      <c r="E29" s="108">
        <v>0.33333333333333331</v>
      </c>
      <c r="F29" s="108">
        <v>0.30018416206261511</v>
      </c>
      <c r="G29" s="108">
        <v>0.18968692449355432</v>
      </c>
      <c r="H29" s="109">
        <v>10793.251533742332</v>
      </c>
      <c r="I29" s="109">
        <v>-9811.6504854368941</v>
      </c>
      <c r="J29" s="108">
        <v>0.21794871794871795</v>
      </c>
      <c r="K29" s="108">
        <v>0.21794871794871795</v>
      </c>
      <c r="P29" s="108">
        <v>0.34969325153374231</v>
      </c>
      <c r="Q29" s="108">
        <v>0.41379310344827586</v>
      </c>
    </row>
    <row r="30" spans="1:17" x14ac:dyDescent="0.45">
      <c r="A30" s="110">
        <v>27</v>
      </c>
      <c r="B30" s="107">
        <v>2.1316282072803006E-14</v>
      </c>
      <c r="C30" s="107">
        <v>2.631639762074445E-16</v>
      </c>
      <c r="D30" s="112">
        <v>2</v>
      </c>
      <c r="E30" s="108">
        <v>0.33333333333333331</v>
      </c>
      <c r="F30" s="108">
        <v>0.29749103942652327</v>
      </c>
      <c r="G30" s="108">
        <v>0.18458781362007168</v>
      </c>
      <c r="H30" s="109">
        <v>11031.927710843374</v>
      </c>
      <c r="I30" s="109">
        <v>-9811.6504854368941</v>
      </c>
      <c r="J30" s="108">
        <v>0.22222222222222221</v>
      </c>
      <c r="K30" s="108">
        <v>0.22222222222222221</v>
      </c>
      <c r="P30" s="108">
        <v>0.36144578313253012</v>
      </c>
      <c r="Q30" s="108">
        <v>0.40782122905027934</v>
      </c>
    </row>
    <row r="31" spans="1:17" x14ac:dyDescent="0.45">
      <c r="A31" s="110">
        <v>28</v>
      </c>
      <c r="B31" s="107">
        <v>2.1316282072803006E-14</v>
      </c>
      <c r="C31" s="107">
        <v>2.5376526277146434E-16</v>
      </c>
      <c r="D31" s="112">
        <v>2</v>
      </c>
      <c r="E31" s="108">
        <v>0.33333333333333331</v>
      </c>
      <c r="F31" s="108">
        <v>0.29896907216494845</v>
      </c>
      <c r="G31" s="108">
        <v>0.18384879725085912</v>
      </c>
      <c r="H31" s="109">
        <v>11191.379310344828</v>
      </c>
      <c r="I31" s="109">
        <v>-9930.8411214953267</v>
      </c>
      <c r="J31" s="108">
        <v>0.22619047619047619</v>
      </c>
      <c r="K31" s="108">
        <v>0.22619047619047619</v>
      </c>
      <c r="P31" s="108">
        <v>0.36781609195402298</v>
      </c>
      <c r="Q31" s="108">
        <v>0.41176470588235292</v>
      </c>
    </row>
    <row r="32" spans="1:17" x14ac:dyDescent="0.45">
      <c r="A32" s="110">
        <v>29</v>
      </c>
      <c r="B32" s="107">
        <v>1.7763568394002505E-14</v>
      </c>
      <c r="C32" s="107">
        <v>2.0417894705750005E-16</v>
      </c>
      <c r="D32" s="112">
        <v>2</v>
      </c>
      <c r="E32" s="108">
        <v>0.33333333333333331</v>
      </c>
      <c r="F32" s="108">
        <v>0.30016583747927034</v>
      </c>
      <c r="G32" s="108">
        <v>0.18407960199004975</v>
      </c>
      <c r="H32" s="109">
        <v>11145.85635359116</v>
      </c>
      <c r="I32" s="109">
        <v>-9933.3333333333339</v>
      </c>
      <c r="J32" s="108">
        <v>0.21839080459770116</v>
      </c>
      <c r="K32" s="108">
        <v>0.21839080459770116</v>
      </c>
      <c r="P32" s="108">
        <v>0.37016574585635359</v>
      </c>
      <c r="Q32" s="108">
        <v>0.40206185567010311</v>
      </c>
    </row>
    <row r="33" spans="1:17" x14ac:dyDescent="0.45">
      <c r="A33" s="110">
        <v>30</v>
      </c>
      <c r="B33" s="107">
        <v>1.7763568394002505E-14</v>
      </c>
      <c r="C33" s="107">
        <v>1.9737298215558337E-16</v>
      </c>
      <c r="D33" s="112">
        <v>2</v>
      </c>
      <c r="E33" s="108">
        <v>0.33333333333333331</v>
      </c>
      <c r="F33" s="108">
        <v>0.30128205128205127</v>
      </c>
      <c r="G33" s="108">
        <v>0.18429487179487181</v>
      </c>
      <c r="H33" s="109">
        <v>11103.723404255319</v>
      </c>
      <c r="I33" s="109">
        <v>-9935.652173913044</v>
      </c>
      <c r="J33" s="108">
        <v>0.21111111111111111</v>
      </c>
      <c r="K33" s="108">
        <v>0.21111111111111111</v>
      </c>
      <c r="P33" s="108">
        <v>0.37234042553191488</v>
      </c>
      <c r="Q33" s="108">
        <v>0.39303482587064675</v>
      </c>
    </row>
    <row r="34" spans="1:17" x14ac:dyDescent="0.45">
      <c r="A34" s="110">
        <v>31</v>
      </c>
      <c r="B34" s="107">
        <v>1.2434497875801753E-14</v>
      </c>
      <c r="C34" s="107">
        <v>1.3370427823442746E-16</v>
      </c>
      <c r="D34" s="112">
        <v>2</v>
      </c>
      <c r="E34" s="108">
        <v>0.33333333333333331</v>
      </c>
      <c r="F34" s="108">
        <v>0.30107526881720431</v>
      </c>
      <c r="G34" s="108">
        <v>0.18433179723502305</v>
      </c>
      <c r="H34" s="109">
        <v>11064.795918367347</v>
      </c>
      <c r="I34" s="109">
        <v>-9982.5</v>
      </c>
      <c r="J34" s="108">
        <v>0.21505376344086022</v>
      </c>
      <c r="K34" s="108">
        <v>0.21505376344086022</v>
      </c>
      <c r="P34" s="108">
        <v>0.37244897959183676</v>
      </c>
      <c r="Q34" s="108">
        <v>0.39523809523809522</v>
      </c>
    </row>
    <row r="35" spans="1:17" x14ac:dyDescent="0.45">
      <c r="A35" s="110">
        <v>32</v>
      </c>
      <c r="B35" s="107">
        <v>1.4210854715202004E-14</v>
      </c>
      <c r="C35" s="107">
        <v>1.4802973661668753E-16</v>
      </c>
      <c r="D35" s="112">
        <v>2</v>
      </c>
      <c r="E35" s="108">
        <v>0.33333333333333331</v>
      </c>
      <c r="F35" s="108">
        <v>0.30015082956259426</v>
      </c>
      <c r="G35" s="108">
        <v>0.18250377073906485</v>
      </c>
      <c r="H35" s="109">
        <v>11229.64824120603</v>
      </c>
      <c r="I35" s="109">
        <v>-9999.1735537190089</v>
      </c>
      <c r="J35" s="108">
        <v>0.21875</v>
      </c>
      <c r="K35" s="108">
        <v>0.21875</v>
      </c>
      <c r="P35" s="108">
        <v>0.37688442211055279</v>
      </c>
      <c r="Q35" s="108">
        <v>0.40186915887850466</v>
      </c>
    </row>
    <row r="36" spans="1:17" x14ac:dyDescent="0.45">
      <c r="A36" s="110">
        <v>33</v>
      </c>
      <c r="B36" s="107">
        <v>2.1316282072803006E-14</v>
      </c>
      <c r="C36" s="107">
        <v>2.153159805333637E-16</v>
      </c>
      <c r="D36" s="112">
        <v>2</v>
      </c>
      <c r="E36" s="108">
        <v>0.33333333333333331</v>
      </c>
      <c r="F36" s="108">
        <v>0.30158730158730157</v>
      </c>
      <c r="G36" s="108">
        <v>0.18326118326118326</v>
      </c>
      <c r="H36" s="109">
        <v>11219.138755980861</v>
      </c>
      <c r="I36" s="109">
        <v>-9858.2677165354326</v>
      </c>
      <c r="J36" s="108">
        <v>0.22222222222222221</v>
      </c>
      <c r="K36" s="108">
        <v>0.22222222222222221</v>
      </c>
      <c r="P36" s="108">
        <v>0.37799043062200954</v>
      </c>
      <c r="Q36" s="108">
        <v>0.4107142857142857</v>
      </c>
    </row>
    <row r="37" spans="1:17" x14ac:dyDescent="0.45">
      <c r="A37" s="110">
        <v>34</v>
      </c>
      <c r="B37" s="107">
        <v>2.1316282072803006E-14</v>
      </c>
      <c r="C37" s="107">
        <v>2.0898315757650005E-16</v>
      </c>
      <c r="D37" s="112">
        <v>2</v>
      </c>
      <c r="E37" s="108">
        <v>0.33333333333333331</v>
      </c>
      <c r="F37" s="108">
        <v>0.30070921985815602</v>
      </c>
      <c r="G37" s="108">
        <v>0.18297872340425531</v>
      </c>
      <c r="H37" s="109">
        <v>11258.490566037735</v>
      </c>
      <c r="I37" s="109">
        <v>-9937.9844961240306</v>
      </c>
      <c r="J37" s="108">
        <v>0.22549019607843138</v>
      </c>
      <c r="K37" s="108">
        <v>0.22549019607843138</v>
      </c>
      <c r="P37" s="108">
        <v>0.37735849056603776</v>
      </c>
      <c r="Q37" s="108">
        <v>0.41666666666666669</v>
      </c>
    </row>
    <row r="38" spans="1:17" x14ac:dyDescent="0.45">
      <c r="A38" s="110">
        <v>35</v>
      </c>
      <c r="B38" s="107">
        <v>2.1316282072803006E-14</v>
      </c>
      <c r="C38" s="107">
        <v>2.0301221021717148E-16</v>
      </c>
      <c r="D38" s="112">
        <v>2</v>
      </c>
      <c r="E38" s="108">
        <v>0.33333333333333331</v>
      </c>
      <c r="F38" s="108">
        <v>0.30178326474622769</v>
      </c>
      <c r="G38" s="108">
        <v>0.18106995884773663</v>
      </c>
      <c r="H38" s="109">
        <v>11340</v>
      </c>
      <c r="I38" s="109">
        <v>-10000</v>
      </c>
      <c r="J38" s="108">
        <v>0.22857142857142856</v>
      </c>
      <c r="K38" s="108">
        <v>0.22857142857142856</v>
      </c>
      <c r="P38" s="108">
        <v>0.38636363636363635</v>
      </c>
      <c r="Q38" s="108">
        <v>0.41949152542372881</v>
      </c>
    </row>
    <row r="39" spans="1:17" x14ac:dyDescent="0.45">
      <c r="A39" s="110">
        <v>36</v>
      </c>
      <c r="B39" s="107">
        <v>2.1316282072803006E-14</v>
      </c>
      <c r="C39" s="107">
        <v>1.9737298215558337E-16</v>
      </c>
      <c r="D39" s="112">
        <v>2</v>
      </c>
      <c r="E39" s="108">
        <v>0.33333333333333331</v>
      </c>
      <c r="F39" s="108">
        <v>0.30266666666666664</v>
      </c>
      <c r="G39" s="108">
        <v>0.18133333333333335</v>
      </c>
      <c r="H39" s="109">
        <v>11255.506607929516</v>
      </c>
      <c r="I39" s="109">
        <v>-9942.6470588235297</v>
      </c>
      <c r="J39" s="108">
        <v>0.22222222222222221</v>
      </c>
      <c r="K39" s="108">
        <v>0.22222222222222221</v>
      </c>
      <c r="P39" s="108">
        <v>0.38766519823788548</v>
      </c>
      <c r="Q39" s="108">
        <v>0.41152263374485598</v>
      </c>
    </row>
    <row r="40" spans="1:17" x14ac:dyDescent="0.45">
      <c r="A40" s="110">
        <v>37</v>
      </c>
      <c r="B40" s="107">
        <v>2.1316282072803006E-14</v>
      </c>
      <c r="C40" s="107">
        <v>1.9203857723245952E-16</v>
      </c>
      <c r="D40" s="112">
        <v>2</v>
      </c>
      <c r="E40" s="108">
        <v>0.33333333333333331</v>
      </c>
      <c r="F40" s="108">
        <v>0.30232558139534882</v>
      </c>
      <c r="G40" s="108">
        <v>0.18217054263565891</v>
      </c>
      <c r="H40" s="109">
        <v>11128.632478632479</v>
      </c>
      <c r="I40" s="109">
        <v>-9768.0851063829796</v>
      </c>
      <c r="J40" s="108">
        <v>0.21621621621621623</v>
      </c>
      <c r="K40" s="108">
        <v>0.21621621621621623</v>
      </c>
      <c r="P40" s="108">
        <v>0.38461538461538464</v>
      </c>
      <c r="Q40" s="108">
        <v>0.40239043824701193</v>
      </c>
    </row>
    <row r="41" spans="1:17" x14ac:dyDescent="0.45">
      <c r="A41" s="110">
        <v>38</v>
      </c>
      <c r="B41" s="107">
        <v>2.8421709430404007E-14</v>
      </c>
      <c r="C41" s="107">
        <v>2.49313240617579E-16</v>
      </c>
      <c r="D41" s="112">
        <v>2</v>
      </c>
      <c r="E41" s="108">
        <v>0.33333333333333331</v>
      </c>
      <c r="F41" s="108">
        <v>0.30348258706467662</v>
      </c>
      <c r="G41" s="108">
        <v>0.18034825870646767</v>
      </c>
      <c r="H41" s="109">
        <v>11030.737704918032</v>
      </c>
      <c r="I41" s="109">
        <v>-9673.7931034482754</v>
      </c>
      <c r="J41" s="108">
        <v>0.21929824561403508</v>
      </c>
      <c r="K41" s="108">
        <v>0.21929824561403508</v>
      </c>
      <c r="P41" s="108">
        <v>0.39344262295081966</v>
      </c>
      <c r="Q41" s="108">
        <v>0.4061302681992337</v>
      </c>
    </row>
    <row r="42" spans="1:17" x14ac:dyDescent="0.45">
      <c r="A42" s="110">
        <v>39</v>
      </c>
      <c r="B42" s="107">
        <v>2.708944180085382E-14</v>
      </c>
      <c r="C42" s="107">
        <v>2.3153369060558822E-16</v>
      </c>
      <c r="D42" s="112">
        <v>2</v>
      </c>
      <c r="E42" s="108">
        <v>0.33333333333333331</v>
      </c>
      <c r="F42" s="108">
        <v>0.30483271375464682</v>
      </c>
      <c r="G42" s="108">
        <v>0.1809169764560099</v>
      </c>
      <c r="H42" s="109">
        <v>11146.747967479674</v>
      </c>
      <c r="I42" s="109">
        <v>-9954.1095890410961</v>
      </c>
      <c r="J42" s="108">
        <v>0.22222222222222221</v>
      </c>
      <c r="K42" s="108">
        <v>0.22222222222222221</v>
      </c>
      <c r="P42" s="108">
        <v>0.3902439024390244</v>
      </c>
      <c r="Q42" s="108">
        <v>0.40839694656488551</v>
      </c>
    </row>
    <row r="43" spans="1:17" x14ac:dyDescent="0.45">
      <c r="A43" s="110">
        <v>40</v>
      </c>
      <c r="B43" s="107">
        <v>2.8421709430404007E-14</v>
      </c>
      <c r="C43" s="107">
        <v>2.3684757858670006E-16</v>
      </c>
      <c r="D43" s="112">
        <v>2</v>
      </c>
      <c r="E43" s="108">
        <v>0.33333333333333331</v>
      </c>
      <c r="F43" s="108">
        <v>0.305352798053528</v>
      </c>
      <c r="G43" s="108">
        <v>0.18126520681265207</v>
      </c>
      <c r="H43" s="109">
        <v>11165.737051792828</v>
      </c>
      <c r="I43" s="109">
        <v>-9958.3892617449656</v>
      </c>
      <c r="J43" s="108">
        <v>0.22500000000000001</v>
      </c>
      <c r="K43" s="108">
        <v>0.22500000000000001</v>
      </c>
      <c r="P43" s="108">
        <v>0.39043824701195218</v>
      </c>
      <c r="Q43" s="108">
        <v>0.4157303370786517</v>
      </c>
    </row>
    <row r="44" spans="1:17" x14ac:dyDescent="0.45">
      <c r="A44" s="110">
        <v>41</v>
      </c>
      <c r="B44" s="107">
        <v>2.8421709430404007E-14</v>
      </c>
      <c r="C44" s="107">
        <v>2.3107080837726838E-16</v>
      </c>
      <c r="D44" s="112">
        <v>2</v>
      </c>
      <c r="E44" s="108">
        <v>0.33333333333333331</v>
      </c>
      <c r="F44" s="108">
        <v>0.30595238095238098</v>
      </c>
      <c r="G44" s="108">
        <v>0.18095238095238095</v>
      </c>
      <c r="H44" s="109">
        <v>11034.241245136187</v>
      </c>
      <c r="I44" s="109">
        <v>-9901.3157894736851</v>
      </c>
      <c r="J44" s="108">
        <v>0.21951219512195122</v>
      </c>
      <c r="K44" s="108">
        <v>0.21951219512195122</v>
      </c>
      <c r="P44" s="108">
        <v>0.39299610894941633</v>
      </c>
      <c r="Q44" s="108">
        <v>0.40659340659340659</v>
      </c>
    </row>
    <row r="45" spans="1:17" x14ac:dyDescent="0.45">
      <c r="A45" s="110">
        <v>42</v>
      </c>
      <c r="B45" s="107">
        <v>2.8421709430404007E-14</v>
      </c>
      <c r="C45" s="107">
        <v>2.2556912246352386E-16</v>
      </c>
      <c r="D45" s="112">
        <v>2</v>
      </c>
      <c r="E45" s="108">
        <v>0.33333333333333331</v>
      </c>
      <c r="F45" s="108">
        <v>0.30574712643678159</v>
      </c>
      <c r="G45" s="108">
        <v>0.18045977011494252</v>
      </c>
      <c r="H45" s="109">
        <v>10872.180451127819</v>
      </c>
      <c r="I45" s="109">
        <v>-9764.3312101910833</v>
      </c>
      <c r="J45" s="108">
        <v>0.22222222222222221</v>
      </c>
      <c r="K45" s="108">
        <v>0.22222222222222221</v>
      </c>
      <c r="P45" s="108">
        <v>0.39473684210526316</v>
      </c>
      <c r="Q45" s="108">
        <v>0.40282685512367489</v>
      </c>
    </row>
    <row r="46" spans="1:17" x14ac:dyDescent="0.45">
      <c r="A46" s="110">
        <v>43</v>
      </c>
      <c r="B46" s="107">
        <v>2.8421709430404007E-14</v>
      </c>
      <c r="C46" s="107">
        <v>2.2032332891786052E-16</v>
      </c>
      <c r="D46" s="112">
        <v>2</v>
      </c>
      <c r="E46" s="108">
        <v>0.33333333333333331</v>
      </c>
      <c r="F46" s="108">
        <v>0.30546265328874023</v>
      </c>
      <c r="G46" s="108">
        <v>0.17725752508361203</v>
      </c>
      <c r="H46" s="109">
        <v>10854.014598540147</v>
      </c>
      <c r="I46" s="109">
        <v>-9767.2955974842771</v>
      </c>
      <c r="J46" s="108">
        <v>0.21705426356589147</v>
      </c>
      <c r="K46" s="108">
        <v>0.21705426356589147</v>
      </c>
      <c r="P46" s="108">
        <v>0.4051094890510949</v>
      </c>
      <c r="Q46" s="108">
        <v>0.40068493150684931</v>
      </c>
    </row>
    <row r="47" spans="1:17" x14ac:dyDescent="0.45">
      <c r="A47" s="110">
        <v>44</v>
      </c>
      <c r="B47" s="107">
        <v>2.8421709430404007E-14</v>
      </c>
      <c r="C47" s="107">
        <v>2.153159805333637E-16</v>
      </c>
      <c r="D47" s="112">
        <v>2</v>
      </c>
      <c r="E47" s="108">
        <v>0.33333333333333331</v>
      </c>
      <c r="F47" s="108">
        <v>0.30537634408602149</v>
      </c>
      <c r="G47" s="108">
        <v>0.17741935483870969</v>
      </c>
      <c r="H47" s="109">
        <v>10772.183098591549</v>
      </c>
      <c r="I47" s="109">
        <v>-9686.6666666666661</v>
      </c>
      <c r="J47" s="108">
        <v>0.21212121212121213</v>
      </c>
      <c r="K47" s="108">
        <v>0.21212121212121213</v>
      </c>
      <c r="P47" s="108">
        <v>0.40492957746478875</v>
      </c>
      <c r="Q47" s="108">
        <v>0.39933993399339934</v>
      </c>
    </row>
    <row r="48" spans="1:17" x14ac:dyDescent="0.45">
      <c r="A48" s="110">
        <v>45</v>
      </c>
      <c r="B48" s="107">
        <v>2.7755575615628914E-14</v>
      </c>
      <c r="C48" s="107">
        <v>2.0559685641206603E-16</v>
      </c>
      <c r="D48" s="112">
        <v>2</v>
      </c>
      <c r="E48" s="108">
        <v>0.33333333333333331</v>
      </c>
      <c r="F48" s="108">
        <v>0.30607966457023061</v>
      </c>
      <c r="G48" s="108">
        <v>0.17819706498951782</v>
      </c>
      <c r="H48" s="109">
        <v>10732.876712328767</v>
      </c>
      <c r="I48" s="109">
        <v>-9635.2941176470595</v>
      </c>
      <c r="J48" s="108">
        <v>0.2074074074074074</v>
      </c>
      <c r="K48" s="108">
        <v>0.2074074074074074</v>
      </c>
      <c r="P48" s="108">
        <v>0.4041095890410959</v>
      </c>
      <c r="Q48" s="108">
        <v>0.39549839228295819</v>
      </c>
    </row>
    <row r="49" spans="1:17" x14ac:dyDescent="0.45">
      <c r="A49" s="110">
        <v>46</v>
      </c>
      <c r="B49" s="107">
        <v>2.8421709430404007E-14</v>
      </c>
      <c r="C49" s="107">
        <v>2.0595441616234788E-16</v>
      </c>
      <c r="D49" s="112">
        <v>2</v>
      </c>
      <c r="E49" s="108">
        <v>0.33333333333333331</v>
      </c>
      <c r="F49" s="108">
        <v>0.30650154798761609</v>
      </c>
      <c r="G49" s="108">
        <v>0.17956656346749225</v>
      </c>
      <c r="H49" s="109">
        <v>10689.898989898989</v>
      </c>
      <c r="I49" s="109">
        <v>-9602.8735632183907</v>
      </c>
      <c r="J49" s="108">
        <v>0.21014492753623187</v>
      </c>
      <c r="K49" s="108">
        <v>0.21014492753623187</v>
      </c>
      <c r="P49" s="108">
        <v>0.40067340067340068</v>
      </c>
      <c r="Q49" s="108">
        <v>0.39240506329113922</v>
      </c>
    </row>
    <row r="50" spans="1:17" x14ac:dyDescent="0.45">
      <c r="A50" s="110">
        <v>47</v>
      </c>
      <c r="B50" s="107">
        <v>2.8421709430404007E-14</v>
      </c>
      <c r="C50" s="107">
        <v>2.0157240730782984E-16</v>
      </c>
      <c r="D50" s="112">
        <v>2</v>
      </c>
      <c r="E50" s="108">
        <v>0.33333333333333331</v>
      </c>
      <c r="F50" s="108">
        <v>0.30654761904761907</v>
      </c>
      <c r="G50" s="108">
        <v>0.17956349206349206</v>
      </c>
      <c r="H50" s="109">
        <v>10597.411003236246</v>
      </c>
      <c r="I50" s="109">
        <v>-9483.977900552487</v>
      </c>
      <c r="J50" s="108">
        <v>0.20567375886524822</v>
      </c>
      <c r="K50" s="108">
        <v>0.20567375886524822</v>
      </c>
      <c r="P50" s="108">
        <v>0.39805825242718446</v>
      </c>
      <c r="Q50" s="108">
        <v>0.39209726443769</v>
      </c>
    </row>
    <row r="51" spans="1:17" x14ac:dyDescent="0.45">
      <c r="A51" s="110">
        <v>48</v>
      </c>
      <c r="B51" s="107">
        <v>2.8421709430404007E-14</v>
      </c>
      <c r="C51" s="107">
        <v>1.9737298215558337E-16</v>
      </c>
      <c r="D51" s="112">
        <v>2</v>
      </c>
      <c r="E51" s="108">
        <v>0.33333333333333331</v>
      </c>
      <c r="F51" s="108">
        <v>0.30709426627793973</v>
      </c>
      <c r="G51" s="108">
        <v>0.17784256559766765</v>
      </c>
      <c r="H51" s="109">
        <v>10599.367088607594</v>
      </c>
      <c r="I51" s="109">
        <v>-9511.4754098360663</v>
      </c>
      <c r="J51" s="108">
        <v>0.2013888888888889</v>
      </c>
      <c r="K51" s="108">
        <v>0.2013888888888889</v>
      </c>
      <c r="P51" s="108">
        <v>0.4050632911392405</v>
      </c>
      <c r="Q51" s="108">
        <v>0.38690476190476192</v>
      </c>
    </row>
    <row r="52" spans="1:17" x14ac:dyDescent="0.45">
      <c r="A52" s="110">
        <v>49</v>
      </c>
      <c r="B52" s="107">
        <v>2.6645352591003757E-14</v>
      </c>
      <c r="C52" s="107">
        <v>1.812609019796174E-16</v>
      </c>
      <c r="D52" s="112">
        <v>2</v>
      </c>
      <c r="E52" s="108">
        <v>0.33333333333333331</v>
      </c>
      <c r="F52" s="108">
        <v>0.30666666666666664</v>
      </c>
      <c r="G52" s="108">
        <v>0.17714285714285713</v>
      </c>
      <c r="H52" s="109">
        <v>10531.055900621119</v>
      </c>
      <c r="I52" s="109">
        <v>-9413.9784946236559</v>
      </c>
      <c r="J52" s="108">
        <v>0.19727891156462585</v>
      </c>
      <c r="K52" s="108">
        <v>0.19727891156462585</v>
      </c>
      <c r="P52" s="108">
        <v>0.40683229813664595</v>
      </c>
      <c r="Q52" s="108">
        <v>0.38483965014577259</v>
      </c>
    </row>
    <row r="53" spans="1:17" x14ac:dyDescent="0.45">
      <c r="A53" s="110">
        <v>50</v>
      </c>
      <c r="B53" s="107">
        <v>-1.9999999999999751</v>
      </c>
      <c r="C53" s="107">
        <v>-1.3333333333333168E-2</v>
      </c>
      <c r="D53" s="112">
        <v>2</v>
      </c>
      <c r="E53" s="108">
        <v>0.33333333333333331</v>
      </c>
      <c r="F53" s="108">
        <v>0.30555555555555558</v>
      </c>
      <c r="G53" s="108">
        <v>0.17777777777777778</v>
      </c>
      <c r="H53" s="109">
        <v>10571.515151515152</v>
      </c>
      <c r="I53" s="109">
        <v>-9367.7083333333339</v>
      </c>
      <c r="J53" s="108">
        <v>0.19333333333333333</v>
      </c>
      <c r="K53" s="108">
        <v>0.19333333333333333</v>
      </c>
      <c r="P53" s="108">
        <v>0.40303030303030302</v>
      </c>
      <c r="Q53" s="108">
        <v>0.38243626062322944</v>
      </c>
    </row>
    <row r="54" spans="1:17" x14ac:dyDescent="0.45">
      <c r="A54" s="110">
        <v>51</v>
      </c>
      <c r="B54" s="107">
        <v>-1.9999999999999734</v>
      </c>
      <c r="C54" s="107">
        <v>-1.3071895424836426E-2</v>
      </c>
      <c r="D54" s="112">
        <v>2</v>
      </c>
      <c r="E54" s="108">
        <v>0.33333333333333331</v>
      </c>
      <c r="F54" s="108">
        <v>0.30645161290322581</v>
      </c>
      <c r="G54" s="108">
        <v>0.17831541218637992</v>
      </c>
      <c r="H54" s="109">
        <v>10533.625730994152</v>
      </c>
      <c r="I54" s="109">
        <v>-9454.7738693467345</v>
      </c>
      <c r="J54" s="108">
        <v>0.18954248366013071</v>
      </c>
      <c r="K54" s="108">
        <v>0.18954248366013071</v>
      </c>
      <c r="P54" s="108">
        <v>0.40350877192982454</v>
      </c>
      <c r="Q54" s="108">
        <v>0.38630136986301372</v>
      </c>
    </row>
    <row r="55" spans="1:17" x14ac:dyDescent="0.45">
      <c r="A55" s="110">
        <v>52</v>
      </c>
      <c r="B55" s="107">
        <v>-1.9999999999999716</v>
      </c>
      <c r="C55" s="107">
        <v>-1.2820512820512638E-2</v>
      </c>
      <c r="D55" s="112">
        <v>2</v>
      </c>
      <c r="E55" s="108">
        <v>0.33333333333333331</v>
      </c>
      <c r="F55" s="108">
        <v>0.306948109058927</v>
      </c>
      <c r="G55" s="108">
        <v>0.17854001759014951</v>
      </c>
      <c r="H55" s="109">
        <v>10548.424068767908</v>
      </c>
      <c r="I55" s="109">
        <v>-9473.8916256157627</v>
      </c>
      <c r="J55" s="108">
        <v>0.19230769230769232</v>
      </c>
      <c r="K55" s="108">
        <v>0.19230769230769232</v>
      </c>
      <c r="P55" s="108">
        <v>0.4040114613180516</v>
      </c>
      <c r="Q55" s="108">
        <v>0.39247311827956988</v>
      </c>
    </row>
    <row r="56" spans="1:17" x14ac:dyDescent="0.45">
      <c r="A56" s="110">
        <v>53</v>
      </c>
      <c r="B56" s="107">
        <v>-1.9999999999999716</v>
      </c>
      <c r="C56" s="107">
        <v>-1.257861635220108E-2</v>
      </c>
      <c r="D56" s="112">
        <v>2</v>
      </c>
      <c r="E56" s="108">
        <v>0.33333333333333331</v>
      </c>
      <c r="F56" s="108">
        <v>0.3065630397236615</v>
      </c>
      <c r="G56" s="108">
        <v>0.17789291882556132</v>
      </c>
      <c r="H56" s="109">
        <v>10503.098591549297</v>
      </c>
      <c r="I56" s="109">
        <v>-9458.2524271844668</v>
      </c>
      <c r="J56" s="108">
        <v>0.18867924528301888</v>
      </c>
      <c r="K56" s="108">
        <v>0.18867924528301888</v>
      </c>
      <c r="P56" s="108">
        <v>0.40563380281690142</v>
      </c>
      <c r="Q56" s="108">
        <v>0.38786279683377306</v>
      </c>
    </row>
    <row r="57" spans="1:17" x14ac:dyDescent="0.45">
      <c r="A57" s="110">
        <v>54</v>
      </c>
      <c r="B57" s="107">
        <v>-1.9999999999999716</v>
      </c>
      <c r="C57" s="107">
        <v>-1.2345679012345503E-2</v>
      </c>
      <c r="D57" s="112">
        <v>2</v>
      </c>
      <c r="E57" s="108">
        <v>0.33333333333333331</v>
      </c>
      <c r="F57" s="108">
        <v>0.30703986429177271</v>
      </c>
      <c r="G57" s="108">
        <v>0.17811704834605599</v>
      </c>
      <c r="H57" s="109">
        <v>10592.817679558011</v>
      </c>
      <c r="I57" s="109">
        <v>-9582.8571428571431</v>
      </c>
      <c r="J57" s="108">
        <v>0.19135802469135801</v>
      </c>
      <c r="K57" s="108">
        <v>0.19135802469135801</v>
      </c>
      <c r="P57" s="108">
        <v>0.40607734806629836</v>
      </c>
      <c r="Q57" s="108">
        <v>0.38860103626943004</v>
      </c>
    </row>
    <row r="58" spans="1:17" x14ac:dyDescent="0.45">
      <c r="A58" s="110">
        <v>55</v>
      </c>
      <c r="B58" s="107">
        <v>-1.9999999999999751</v>
      </c>
      <c r="C58" s="107">
        <v>-1.212121212121197E-2</v>
      </c>
      <c r="D58" s="112">
        <v>2</v>
      </c>
      <c r="E58" s="108">
        <v>0.33333333333333331</v>
      </c>
      <c r="F58" s="108">
        <v>0.30743525480367584</v>
      </c>
      <c r="G58" s="108">
        <v>0.17710944026733499</v>
      </c>
      <c r="H58" s="109">
        <v>10602.717391304348</v>
      </c>
      <c r="I58" s="109">
        <v>-9658.4905660377353</v>
      </c>
      <c r="J58" s="108">
        <v>0.19393939393939394</v>
      </c>
      <c r="K58" s="108">
        <v>0.19393939393939394</v>
      </c>
      <c r="P58" s="108">
        <v>0.40760869565217389</v>
      </c>
      <c r="Q58" s="108">
        <v>0.38775510204081631</v>
      </c>
    </row>
    <row r="59" spans="1:17" x14ac:dyDescent="0.45">
      <c r="A59" s="110">
        <v>56</v>
      </c>
      <c r="B59" s="107">
        <v>-2.9999999999999751</v>
      </c>
      <c r="C59" s="107">
        <v>-1.785714285714271E-2</v>
      </c>
      <c r="D59" s="112">
        <v>2</v>
      </c>
      <c r="E59" s="108">
        <v>0.33333333333333331</v>
      </c>
      <c r="F59" s="108">
        <v>0.3045977011494253</v>
      </c>
      <c r="G59" s="108">
        <v>0.17569786535303777</v>
      </c>
      <c r="H59" s="109">
        <v>10577.358490566037</v>
      </c>
      <c r="I59" s="109">
        <v>-9635.5140186915887</v>
      </c>
      <c r="J59" s="108">
        <v>0.19047619047619047</v>
      </c>
      <c r="K59" s="108">
        <v>0.19047619047619047</v>
      </c>
      <c r="P59" s="108">
        <v>0.40700808625336926</v>
      </c>
      <c r="Q59" s="108">
        <v>0.38095238095238093</v>
      </c>
    </row>
    <row r="60" spans="1:17" x14ac:dyDescent="0.45">
      <c r="A60" s="110">
        <v>57</v>
      </c>
      <c r="B60" s="107">
        <v>-2.9999999999999716</v>
      </c>
      <c r="C60" s="107">
        <v>-1.754385964912264E-2</v>
      </c>
      <c r="D60" s="112">
        <v>2</v>
      </c>
      <c r="E60" s="108">
        <v>0.33333333333333331</v>
      </c>
      <c r="F60" s="108">
        <v>0.30522088353413657</v>
      </c>
      <c r="G60" s="108">
        <v>0.17590361445783131</v>
      </c>
      <c r="H60" s="109">
        <v>10588.947368421053</v>
      </c>
      <c r="I60" s="109">
        <v>-9649.3150684931516</v>
      </c>
      <c r="J60" s="108">
        <v>0.19298245614035087</v>
      </c>
      <c r="K60" s="108">
        <v>0.19298245614035087</v>
      </c>
      <c r="P60" s="108">
        <v>0.40789473684210525</v>
      </c>
      <c r="Q60" s="108">
        <v>0.38235294117647056</v>
      </c>
    </row>
    <row r="61" spans="1:17" x14ac:dyDescent="0.45">
      <c r="A61" s="110">
        <v>58</v>
      </c>
      <c r="B61" s="107">
        <v>-2.999999999999968</v>
      </c>
      <c r="C61" s="107">
        <v>-1.7241379310344643E-2</v>
      </c>
      <c r="D61" s="112">
        <v>2</v>
      </c>
      <c r="E61" s="108">
        <v>0.33333333333333331</v>
      </c>
      <c r="F61" s="108">
        <v>0.30562153602533648</v>
      </c>
      <c r="G61" s="108">
        <v>0.17735550277117973</v>
      </c>
      <c r="H61" s="109">
        <v>10551.036269430051</v>
      </c>
      <c r="I61" s="109">
        <v>-9652.2321428571431</v>
      </c>
      <c r="J61" s="108">
        <v>0.19540229885057472</v>
      </c>
      <c r="K61" s="108">
        <v>0.19540229885057472</v>
      </c>
      <c r="P61" s="108">
        <v>0.4015544041450777</v>
      </c>
      <c r="Q61" s="108">
        <v>0.38164251207729466</v>
      </c>
    </row>
    <row r="62" spans="1:17" x14ac:dyDescent="0.45">
      <c r="A62" s="110">
        <v>59</v>
      </c>
      <c r="B62" s="107">
        <v>-2.9999999999999716</v>
      </c>
      <c r="C62" s="107">
        <v>-1.6949152542372722E-2</v>
      </c>
      <c r="D62" s="112">
        <v>2</v>
      </c>
      <c r="E62" s="108">
        <v>0.33333333333333331</v>
      </c>
      <c r="F62" s="108">
        <v>0.3058176100628931</v>
      </c>
      <c r="G62" s="108">
        <v>0.17767295597484276</v>
      </c>
      <c r="H62" s="109">
        <v>10608.483290488432</v>
      </c>
      <c r="I62" s="109">
        <v>-9752.6548672566369</v>
      </c>
      <c r="J62" s="108">
        <v>0.19774011299435029</v>
      </c>
      <c r="K62" s="108">
        <v>0.19774011299435029</v>
      </c>
      <c r="P62" s="108">
        <v>0.40102827763496146</v>
      </c>
      <c r="Q62" s="108">
        <v>0.38609112709832133</v>
      </c>
    </row>
    <row r="63" spans="1:17" x14ac:dyDescent="0.45">
      <c r="A63" s="110">
        <v>60</v>
      </c>
      <c r="B63" s="107">
        <v>-2.9999999999999716</v>
      </c>
      <c r="C63" s="107">
        <v>-1.666666666666651E-2</v>
      </c>
      <c r="D63" s="112">
        <v>2</v>
      </c>
      <c r="E63" s="108">
        <v>0.33333333333333331</v>
      </c>
      <c r="F63" s="108">
        <v>0.30645161290322581</v>
      </c>
      <c r="G63" s="108">
        <v>0.17895545314900155</v>
      </c>
      <c r="H63" s="109">
        <v>10542.105263157895</v>
      </c>
      <c r="I63" s="109">
        <v>-9752.7896995708161</v>
      </c>
      <c r="J63" s="108">
        <v>0.19444444444444445</v>
      </c>
      <c r="K63" s="108">
        <v>0.19444444444444445</v>
      </c>
      <c r="P63" s="108">
        <v>0.39849624060150374</v>
      </c>
      <c r="Q63" s="108">
        <v>0.38641686182669788</v>
      </c>
    </row>
    <row r="64" spans="1:17" x14ac:dyDescent="0.45">
      <c r="A64" s="110">
        <v>61</v>
      </c>
      <c r="B64" s="107">
        <v>-2.9999999999999751</v>
      </c>
      <c r="C64" s="107">
        <v>-1.6393442622950685E-2</v>
      </c>
      <c r="D64" s="112">
        <v>2</v>
      </c>
      <c r="E64" s="108">
        <v>0.33333333333333331</v>
      </c>
      <c r="F64" s="108">
        <v>0.30693815987933637</v>
      </c>
      <c r="G64" s="108">
        <v>0.18099547511312217</v>
      </c>
      <c r="H64" s="109">
        <v>10523.832923832924</v>
      </c>
      <c r="I64" s="109">
        <v>-9738.75</v>
      </c>
      <c r="J64" s="108">
        <v>0.19672131147540983</v>
      </c>
      <c r="K64" s="108">
        <v>0.19672131147540983</v>
      </c>
      <c r="P64" s="108">
        <v>0.3931203931203931</v>
      </c>
      <c r="Q64" s="108">
        <v>0.38620689655172413</v>
      </c>
    </row>
    <row r="65" spans="1:17" x14ac:dyDescent="0.45">
      <c r="A65" s="110">
        <v>62</v>
      </c>
      <c r="B65" s="107">
        <v>-2.9999999999999787</v>
      </c>
      <c r="C65" s="107">
        <v>-1.6129032258064401E-2</v>
      </c>
      <c r="D65" s="112">
        <v>2</v>
      </c>
      <c r="E65" s="108">
        <v>0.33333333333333331</v>
      </c>
      <c r="F65" s="108">
        <v>0.30592592592592593</v>
      </c>
      <c r="G65" s="108">
        <v>0.17925925925925926</v>
      </c>
      <c r="H65" s="109">
        <v>10526.634382566586</v>
      </c>
      <c r="I65" s="109">
        <v>-9744.628099173553</v>
      </c>
      <c r="J65" s="108">
        <v>0.19892473118279569</v>
      </c>
      <c r="K65" s="108">
        <v>0.19892473118279569</v>
      </c>
      <c r="P65" s="108">
        <v>0.39709443099273606</v>
      </c>
      <c r="Q65" s="108">
        <v>0.38600451467268621</v>
      </c>
    </row>
    <row r="66" spans="1:17" x14ac:dyDescent="0.45">
      <c r="A66" s="110">
        <v>63</v>
      </c>
      <c r="B66" s="107">
        <v>-2.9999999999999787</v>
      </c>
      <c r="C66" s="107">
        <v>-1.5873015873015761E-2</v>
      </c>
      <c r="D66" s="112">
        <v>2</v>
      </c>
      <c r="E66" s="108">
        <v>0.33333333333333331</v>
      </c>
      <c r="F66" s="108">
        <v>0.3056768558951965</v>
      </c>
      <c r="G66" s="108">
        <v>0.17758369723435224</v>
      </c>
      <c r="H66" s="109">
        <v>10565.476190476191</v>
      </c>
      <c r="I66" s="109">
        <v>-9795.9016393442616</v>
      </c>
      <c r="J66" s="108">
        <v>0.19576719576719576</v>
      </c>
      <c r="K66" s="108">
        <v>0.19576719576719576</v>
      </c>
      <c r="P66" s="108">
        <v>0.40238095238095239</v>
      </c>
      <c r="Q66" s="108">
        <v>0.38359201773835921</v>
      </c>
    </row>
    <row r="67" spans="1:17" x14ac:dyDescent="0.45">
      <c r="A67" s="110">
        <v>64</v>
      </c>
      <c r="B67" s="107">
        <v>-2.9999999999999778</v>
      </c>
      <c r="C67" s="107">
        <v>-1.5624999999999884E-2</v>
      </c>
      <c r="D67" s="112">
        <v>2</v>
      </c>
      <c r="E67" s="108">
        <v>0.33333333333333331</v>
      </c>
      <c r="F67" s="108">
        <v>0.30632551528073915</v>
      </c>
      <c r="G67" s="108">
        <v>0.17910447761194029</v>
      </c>
      <c r="H67" s="109">
        <v>10541.995359628771</v>
      </c>
      <c r="I67" s="109">
        <v>-9826.5873015873021</v>
      </c>
      <c r="J67" s="108">
        <v>0.19270833333333334</v>
      </c>
      <c r="K67" s="108">
        <v>0.19270833333333334</v>
      </c>
      <c r="P67" s="108">
        <v>0.39907192575406031</v>
      </c>
      <c r="Q67" s="108">
        <v>0.38528138528138528</v>
      </c>
    </row>
    <row r="68" spans="1:17" x14ac:dyDescent="0.45">
      <c r="A68" s="110">
        <v>65</v>
      </c>
      <c r="B68" s="107">
        <v>-2.9999999999999716</v>
      </c>
      <c r="C68" s="107">
        <v>-1.5384615384615238E-2</v>
      </c>
      <c r="D68" s="112">
        <v>2</v>
      </c>
      <c r="E68" s="108">
        <v>0.33333333333333331</v>
      </c>
      <c r="F68" s="108">
        <v>0.3068893528183716</v>
      </c>
      <c r="G68" s="108">
        <v>0.18023660403618649</v>
      </c>
      <c r="H68" s="109">
        <v>10608.843537414967</v>
      </c>
      <c r="I68" s="109">
        <v>-9942.8571428571431</v>
      </c>
      <c r="J68" s="108">
        <v>0.19487179487179487</v>
      </c>
      <c r="K68" s="108">
        <v>0.19487179487179487</v>
      </c>
      <c r="P68" s="108">
        <v>0.3968253968253968</v>
      </c>
      <c r="Q68" s="108">
        <v>0.38983050847457629</v>
      </c>
    </row>
    <row r="69" spans="1:17" x14ac:dyDescent="0.45">
      <c r="A69" s="110">
        <v>66</v>
      </c>
      <c r="B69" s="107">
        <v>-2.9999999999999716</v>
      </c>
      <c r="C69" s="107">
        <v>-1.5151515151515008E-2</v>
      </c>
      <c r="D69" s="112">
        <v>2</v>
      </c>
      <c r="E69" s="108">
        <v>0.33333333333333331</v>
      </c>
      <c r="F69" s="108">
        <v>0.3068893528183716</v>
      </c>
      <c r="G69" s="108">
        <v>0.18023660403618649</v>
      </c>
      <c r="H69" s="109">
        <v>10608.843537414967</v>
      </c>
      <c r="I69" s="109">
        <v>-9942.8571428571431</v>
      </c>
      <c r="J69" s="108">
        <v>0.19696969696969696</v>
      </c>
      <c r="K69" s="108">
        <v>0.19696969696969696</v>
      </c>
      <c r="P69" s="108">
        <v>0.3968253968253968</v>
      </c>
      <c r="Q69" s="108">
        <v>0.38983050847457629</v>
      </c>
    </row>
    <row r="70" spans="1:17" x14ac:dyDescent="0.45">
      <c r="A70" s="110">
        <v>67</v>
      </c>
      <c r="B70" s="107">
        <v>-2.9999999999999716</v>
      </c>
      <c r="C70" s="107">
        <v>-1.4925373134328217E-2</v>
      </c>
      <c r="D70" s="112">
        <v>2</v>
      </c>
      <c r="E70" s="108">
        <v>0.33333333333333331</v>
      </c>
      <c r="F70" s="108">
        <v>0.3068893528183716</v>
      </c>
      <c r="G70" s="108">
        <v>0.18023660403618649</v>
      </c>
      <c r="H70" s="109">
        <v>10608.843537414967</v>
      </c>
      <c r="I70" s="109">
        <v>-9942.8571428571431</v>
      </c>
      <c r="J70" s="108">
        <v>0.19900497512437812</v>
      </c>
      <c r="K70" s="108">
        <v>0.19900497512437812</v>
      </c>
      <c r="P70" s="108">
        <v>0.3968253968253968</v>
      </c>
      <c r="Q70" s="108">
        <v>0.38983050847457629</v>
      </c>
    </row>
    <row r="71" spans="1:17" x14ac:dyDescent="0.45">
      <c r="A71" s="110">
        <v>68</v>
      </c>
      <c r="B71" s="107">
        <v>-2.9999999999999707</v>
      </c>
      <c r="C71" s="107">
        <v>-1.4705882352941032E-2</v>
      </c>
      <c r="D71" s="112">
        <v>2</v>
      </c>
      <c r="E71" s="108">
        <v>0.33333333333333331</v>
      </c>
      <c r="F71" s="108">
        <v>0.3068893528183716</v>
      </c>
      <c r="G71" s="108">
        <v>0.18023660403618649</v>
      </c>
      <c r="H71" s="109">
        <v>10608.843537414967</v>
      </c>
      <c r="I71" s="109">
        <v>-9942.8571428571431</v>
      </c>
      <c r="J71" s="108">
        <v>0.19607843137254902</v>
      </c>
      <c r="K71" s="108">
        <v>0.19607843137254902</v>
      </c>
      <c r="P71" s="108">
        <v>0.3968253968253968</v>
      </c>
      <c r="Q71" s="108">
        <v>0.38983050847457629</v>
      </c>
    </row>
    <row r="72" spans="1:17" x14ac:dyDescent="0.45">
      <c r="A72" s="110">
        <v>69</v>
      </c>
      <c r="B72" s="107">
        <v>-2.9999999999999716</v>
      </c>
      <c r="C72" s="107">
        <v>-1.4492753623188269E-2</v>
      </c>
      <c r="D72" s="112">
        <v>2</v>
      </c>
      <c r="E72" s="108">
        <v>0.33333333333333331</v>
      </c>
      <c r="F72" s="108">
        <v>0.30705394190871371</v>
      </c>
      <c r="G72" s="108">
        <v>0.17980636237897649</v>
      </c>
      <c r="H72" s="109">
        <v>10672.297297297297</v>
      </c>
      <c r="I72" s="109">
        <v>-9996.9230769230762</v>
      </c>
      <c r="J72" s="108">
        <v>0.19806763285024154</v>
      </c>
      <c r="K72" s="108">
        <v>0.19806763285024154</v>
      </c>
      <c r="L72" s="108">
        <v>0.44444444444444442</v>
      </c>
      <c r="M72" s="108">
        <v>0.1111111111111111</v>
      </c>
      <c r="N72" s="108">
        <v>0.75</v>
      </c>
      <c r="O72" s="108">
        <v>0</v>
      </c>
      <c r="P72" s="108">
        <v>0.39864864864864863</v>
      </c>
      <c r="Q72" s="108">
        <v>0.3936842105263158</v>
      </c>
    </row>
    <row r="73" spans="1:17" x14ac:dyDescent="0.45">
      <c r="A73" s="110">
        <v>70</v>
      </c>
      <c r="B73" s="107">
        <v>-2.9999999999999725</v>
      </c>
      <c r="C73" s="107">
        <v>-1.4285714285714155E-2</v>
      </c>
      <c r="D73" s="112">
        <v>2</v>
      </c>
      <c r="E73" s="108">
        <v>0.33333333333333331</v>
      </c>
      <c r="F73" s="108">
        <v>0.3074829931972789</v>
      </c>
      <c r="G73" s="108">
        <v>0.18095238095238095</v>
      </c>
      <c r="H73" s="109">
        <v>10652.654867256637</v>
      </c>
      <c r="I73" s="109">
        <v>-9998.8721804511279</v>
      </c>
      <c r="J73" s="108">
        <v>0.19523809523809524</v>
      </c>
      <c r="K73" s="108">
        <v>0.19523809523809524</v>
      </c>
      <c r="L73" s="108">
        <v>0.36363636363636365</v>
      </c>
      <c r="M73" s="108">
        <v>0.18181818181818182</v>
      </c>
      <c r="N73" s="108">
        <v>0.66666666666666663</v>
      </c>
      <c r="O73" s="108">
        <v>0.16666666666666666</v>
      </c>
      <c r="P73" s="108">
        <v>0.39601769911504425</v>
      </c>
      <c r="Q73" s="108">
        <v>0.39130434782608697</v>
      </c>
    </row>
    <row r="74" spans="1:17" x14ac:dyDescent="0.45">
      <c r="A74" s="110">
        <v>71</v>
      </c>
      <c r="B74" s="107">
        <v>-2.9999999999999725</v>
      </c>
      <c r="C74" s="107">
        <v>-1.4084507042253391E-2</v>
      </c>
      <c r="D74" s="112">
        <v>2</v>
      </c>
      <c r="E74" s="108">
        <v>0.33333333333333331</v>
      </c>
      <c r="F74" s="108">
        <v>0.30789825970548862</v>
      </c>
      <c r="G74" s="108">
        <v>0.18072289156626506</v>
      </c>
      <c r="H74" s="109">
        <v>10613.91304347826</v>
      </c>
      <c r="I74" s="109">
        <v>-9972.5925925925931</v>
      </c>
      <c r="J74" s="108">
        <v>0.19248826291079812</v>
      </c>
      <c r="K74" s="108">
        <v>0.19248826291079812</v>
      </c>
      <c r="L74" s="108">
        <v>0.35087719298245612</v>
      </c>
      <c r="M74" s="108">
        <v>0.17543859649122806</v>
      </c>
      <c r="N74" s="108">
        <v>0.65</v>
      </c>
      <c r="O74" s="108">
        <v>0.3</v>
      </c>
      <c r="P74" s="108">
        <v>0.39782608695652172</v>
      </c>
      <c r="Q74" s="108">
        <v>0.3910386965376782</v>
      </c>
    </row>
    <row r="75" spans="1:17" x14ac:dyDescent="0.45">
      <c r="A75" s="110">
        <v>72</v>
      </c>
      <c r="B75" s="107">
        <v>-2.9999999999999751</v>
      </c>
      <c r="C75" s="107">
        <v>-1.3888888888888774E-2</v>
      </c>
      <c r="D75" s="112">
        <v>2</v>
      </c>
      <c r="E75" s="108">
        <v>0.33333333333333331</v>
      </c>
      <c r="F75" s="108">
        <v>0.30753968253968256</v>
      </c>
      <c r="G75" s="108">
        <v>0.18055555555555555</v>
      </c>
      <c r="H75" s="109">
        <v>10606.236559139785</v>
      </c>
      <c r="I75" s="109">
        <v>-9957.1428571428569</v>
      </c>
      <c r="J75" s="108">
        <v>0.19444444444444445</v>
      </c>
      <c r="K75" s="108">
        <v>0.19444444444444445</v>
      </c>
      <c r="L75" s="108">
        <v>0.33333333333333331</v>
      </c>
      <c r="M75" s="108">
        <v>0.18666666666666668</v>
      </c>
      <c r="N75" s="108">
        <v>0.64</v>
      </c>
      <c r="O75" s="108">
        <v>0.35714285714285715</v>
      </c>
      <c r="P75" s="108">
        <v>0.39784946236559138</v>
      </c>
      <c r="Q75" s="108">
        <v>0.3903420523138833</v>
      </c>
    </row>
    <row r="76" spans="1:17" x14ac:dyDescent="0.45">
      <c r="A76" s="110">
        <v>73</v>
      </c>
      <c r="B76" s="107">
        <v>-2.9999999999999702</v>
      </c>
      <c r="C76" s="107">
        <v>-1.3698630136986165E-2</v>
      </c>
      <c r="D76" s="112">
        <v>2</v>
      </c>
      <c r="E76" s="108">
        <v>0.33333333333333331</v>
      </c>
      <c r="F76" s="108">
        <v>0.30724070450097846</v>
      </c>
      <c r="G76" s="108">
        <v>0.18069145466405739</v>
      </c>
      <c r="H76" s="109">
        <v>10628.450106157112</v>
      </c>
      <c r="I76" s="109">
        <v>-9936.4620938628159</v>
      </c>
      <c r="J76" s="108">
        <v>0.19634703196347031</v>
      </c>
      <c r="K76" s="108">
        <v>0.19634703196347031</v>
      </c>
      <c r="L76" s="108">
        <v>0.33333333333333331</v>
      </c>
      <c r="M76" s="108">
        <v>0.22916666666666666</v>
      </c>
      <c r="N76" s="108">
        <v>0.625</v>
      </c>
      <c r="O76" s="108">
        <v>0.27272727272727271</v>
      </c>
      <c r="P76" s="108">
        <v>0.39702760084925692</v>
      </c>
      <c r="Q76" s="108">
        <v>0.39087301587301587</v>
      </c>
    </row>
    <row r="77" spans="1:17" x14ac:dyDescent="0.45">
      <c r="A77" s="110">
        <v>74</v>
      </c>
      <c r="B77" s="107">
        <v>-2.9999999999999716</v>
      </c>
      <c r="C77" s="107">
        <v>-1.3513513513513386E-2</v>
      </c>
      <c r="D77" s="112">
        <v>2</v>
      </c>
      <c r="E77" s="108">
        <v>0.33333333333333331</v>
      </c>
      <c r="F77" s="108">
        <v>0.30700064226075785</v>
      </c>
      <c r="G77" s="108">
        <v>0.1791907514450867</v>
      </c>
      <c r="H77" s="109">
        <v>10621.757322175732</v>
      </c>
      <c r="I77" s="109">
        <v>-10022.939068100359</v>
      </c>
      <c r="J77" s="108">
        <v>0.19369369369369369</v>
      </c>
      <c r="K77" s="108">
        <v>0.19369369369369369</v>
      </c>
      <c r="L77" s="108">
        <v>0.31666666666666665</v>
      </c>
      <c r="M77" s="108">
        <v>0.24166666666666667</v>
      </c>
      <c r="N77" s="108">
        <v>0.63157894736842102</v>
      </c>
      <c r="O77" s="108">
        <v>0.27586206896551724</v>
      </c>
      <c r="P77" s="108">
        <v>0.40167364016736401</v>
      </c>
      <c r="Q77" s="108">
        <v>0.388671875</v>
      </c>
    </row>
    <row r="78" spans="1:17" x14ac:dyDescent="0.45">
      <c r="A78" s="110">
        <v>75</v>
      </c>
      <c r="B78" s="107">
        <v>-2.9999999999999716</v>
      </c>
      <c r="C78" s="107">
        <v>-1.3333333333333208E-2</v>
      </c>
      <c r="D78" s="112">
        <v>2</v>
      </c>
      <c r="E78" s="108">
        <v>0.33333333333333331</v>
      </c>
      <c r="F78" s="108">
        <v>0.30666666666666664</v>
      </c>
      <c r="G78" s="108">
        <v>0.17904761904761904</v>
      </c>
      <c r="H78" s="109">
        <v>10608.695652173914</v>
      </c>
      <c r="I78" s="109">
        <v>-10020.921985815603</v>
      </c>
      <c r="J78" s="108">
        <v>0.19555555555555557</v>
      </c>
      <c r="K78" s="108">
        <v>0.19555555555555557</v>
      </c>
      <c r="L78" s="108">
        <v>0.32608695652173914</v>
      </c>
      <c r="M78" s="108">
        <v>0.2391304347826087</v>
      </c>
      <c r="N78" s="108">
        <v>0.6</v>
      </c>
      <c r="O78" s="108">
        <v>0.27272727272727271</v>
      </c>
      <c r="P78" s="108">
        <v>0.40165631469979296</v>
      </c>
      <c r="Q78" s="108">
        <v>0.38996138996138996</v>
      </c>
    </row>
    <row r="79" spans="1:17" x14ac:dyDescent="0.45">
      <c r="A79" s="110">
        <v>76</v>
      </c>
      <c r="B79" s="107">
        <v>-2.9999999999999716</v>
      </c>
      <c r="C79" s="107">
        <v>-1.3157894736841981E-2</v>
      </c>
      <c r="D79" s="112">
        <v>2</v>
      </c>
      <c r="E79" s="108">
        <v>0.33333333333333331</v>
      </c>
      <c r="F79" s="108">
        <v>0.30644152595372109</v>
      </c>
      <c r="G79" s="108">
        <v>0.17886178861788618</v>
      </c>
      <c r="H79" s="109">
        <v>10545.102040816326</v>
      </c>
      <c r="I79" s="109">
        <v>-9976.5734265734263</v>
      </c>
      <c r="J79" s="108">
        <v>0.19298245614035087</v>
      </c>
      <c r="K79" s="108">
        <v>0.19298245614035087</v>
      </c>
      <c r="L79" s="108">
        <v>0.30246913580246915</v>
      </c>
      <c r="M79" s="108">
        <v>0.25925925925925924</v>
      </c>
      <c r="N79" s="108">
        <v>0.5714285714285714</v>
      </c>
      <c r="O79" s="108">
        <v>0.30952380952380953</v>
      </c>
      <c r="P79" s="108">
        <v>0.4020408163265306</v>
      </c>
      <c r="Q79" s="108">
        <v>0.38973384030418251</v>
      </c>
    </row>
    <row r="80" spans="1:17" x14ac:dyDescent="0.45">
      <c r="A80" s="110">
        <v>77</v>
      </c>
      <c r="B80" s="107">
        <v>-2.9999999999999645</v>
      </c>
      <c r="C80" s="107">
        <v>-1.2987012987012833E-2</v>
      </c>
      <c r="D80" s="112">
        <v>2</v>
      </c>
      <c r="E80" s="108">
        <v>0.33333333333333331</v>
      </c>
      <c r="F80" s="108">
        <v>0.30622304374614912</v>
      </c>
      <c r="G80" s="108">
        <v>0.17744916820702403</v>
      </c>
      <c r="H80" s="109">
        <v>10556.740442655935</v>
      </c>
      <c r="I80" s="109">
        <v>-9936.4583333333339</v>
      </c>
      <c r="J80" s="108">
        <v>0.19047619047619047</v>
      </c>
      <c r="K80" s="108">
        <v>0.19047619047619047</v>
      </c>
      <c r="L80" s="108">
        <v>0.29032258064516131</v>
      </c>
      <c r="M80" s="108">
        <v>0.26881720430107525</v>
      </c>
      <c r="N80" s="108">
        <v>0.55555555555555558</v>
      </c>
      <c r="O80" s="108">
        <v>0.34</v>
      </c>
      <c r="P80" s="108">
        <v>0.40643863179074446</v>
      </c>
      <c r="Q80" s="108">
        <v>0.38764044943820225</v>
      </c>
    </row>
    <row r="81" spans="1:17" x14ac:dyDescent="0.45">
      <c r="A81" s="110">
        <v>78</v>
      </c>
      <c r="B81" s="107">
        <v>-2.9999999999999631</v>
      </c>
      <c r="C81" s="107">
        <v>-1.2820512820512662E-2</v>
      </c>
      <c r="D81" s="112">
        <v>2</v>
      </c>
      <c r="E81" s="108">
        <v>0.33333333333333331</v>
      </c>
      <c r="F81" s="108">
        <v>0.30642201834862387</v>
      </c>
      <c r="G81" s="108">
        <v>0.1779816513761468</v>
      </c>
      <c r="H81" s="109">
        <v>10560.079840319362</v>
      </c>
      <c r="I81" s="109">
        <v>-9943.6426116838484</v>
      </c>
      <c r="J81" s="108">
        <v>0.19230769230769232</v>
      </c>
      <c r="K81" s="108">
        <v>0.19230769230769232</v>
      </c>
      <c r="L81" s="108">
        <v>0.2878787878787879</v>
      </c>
      <c r="M81" s="108">
        <v>0.25757575757575757</v>
      </c>
      <c r="N81" s="108">
        <v>0.57894736842105265</v>
      </c>
      <c r="O81" s="108">
        <v>0.35294117647058826</v>
      </c>
      <c r="P81" s="108">
        <v>0.40518962075848303</v>
      </c>
      <c r="Q81" s="108">
        <v>0.38661710037174724</v>
      </c>
    </row>
    <row r="82" spans="1:17" x14ac:dyDescent="0.45">
      <c r="A82" s="110">
        <v>79</v>
      </c>
      <c r="B82" s="107">
        <v>-2.9999999999999636</v>
      </c>
      <c r="C82" s="107">
        <v>-1.2658227848101113E-2</v>
      </c>
      <c r="D82" s="112">
        <v>2</v>
      </c>
      <c r="E82" s="108">
        <v>0.33333333333333331</v>
      </c>
      <c r="F82" s="108">
        <v>0.30671506352087113</v>
      </c>
      <c r="G82" s="108">
        <v>0.17725347852389595</v>
      </c>
      <c r="H82" s="109">
        <v>10511.439842209073</v>
      </c>
      <c r="I82" s="109">
        <v>-9916.3822525597261</v>
      </c>
      <c r="J82" s="108">
        <v>0.189873417721519</v>
      </c>
      <c r="K82" s="108">
        <v>0.189873417721519</v>
      </c>
      <c r="L82" s="108">
        <v>0.29166666666666669</v>
      </c>
      <c r="M82" s="108">
        <v>0.25</v>
      </c>
      <c r="N82" s="108">
        <v>0.58730158730158732</v>
      </c>
      <c r="O82" s="108">
        <v>0.35185185185185186</v>
      </c>
      <c r="P82" s="108">
        <v>0.40828402366863903</v>
      </c>
      <c r="Q82" s="108">
        <v>0.38235294117647056</v>
      </c>
    </row>
    <row r="83" spans="1:17" x14ac:dyDescent="0.45">
      <c r="A83" s="110">
        <v>80</v>
      </c>
      <c r="B83" s="107">
        <v>-2.9999999999999645</v>
      </c>
      <c r="C83" s="107">
        <v>-1.2499999999999852E-2</v>
      </c>
      <c r="D83" s="112">
        <v>2</v>
      </c>
      <c r="E83" s="108">
        <v>0.33333333333333331</v>
      </c>
      <c r="F83" s="108">
        <v>0.30640335128665469</v>
      </c>
      <c r="G83" s="108">
        <v>0.17654099341711549</v>
      </c>
      <c r="H83" s="109">
        <v>10551.7578125</v>
      </c>
      <c r="I83" s="109">
        <v>-9907.4576271186434</v>
      </c>
      <c r="J83" s="108">
        <v>0.1875</v>
      </c>
      <c r="K83" s="108">
        <v>0.1875</v>
      </c>
      <c r="L83" s="108">
        <v>0.29059829059829062</v>
      </c>
      <c r="M83" s="108">
        <v>0.24358974358974358</v>
      </c>
      <c r="N83" s="108">
        <v>0.6029411764705882</v>
      </c>
      <c r="O83" s="108">
        <v>0.33333333333333331</v>
      </c>
      <c r="P83" s="108">
        <v>0.41015625</v>
      </c>
      <c r="Q83" s="108">
        <v>0.37818181818181817</v>
      </c>
    </row>
    <row r="84" spans="1:17" x14ac:dyDescent="0.45">
      <c r="A84" s="110">
        <v>81</v>
      </c>
      <c r="B84" s="107">
        <v>-2.9999999999999645</v>
      </c>
      <c r="C84" s="107">
        <v>-1.2345679012345533E-2</v>
      </c>
      <c r="D84" s="112">
        <v>2</v>
      </c>
      <c r="E84" s="108">
        <v>0.33333333333333331</v>
      </c>
      <c r="F84" s="108">
        <v>0.30579964850615116</v>
      </c>
      <c r="G84" s="108">
        <v>0.1751611013473931</v>
      </c>
      <c r="H84" s="109">
        <v>10551.340996168583</v>
      </c>
      <c r="I84" s="109">
        <v>-9898.3277591973238</v>
      </c>
      <c r="J84" s="108">
        <v>0.18518518518518517</v>
      </c>
      <c r="K84" s="108">
        <v>0.18518518518518517</v>
      </c>
      <c r="L84" s="108">
        <v>0.2814814814814815</v>
      </c>
      <c r="M84" s="108">
        <v>0.24444444444444444</v>
      </c>
      <c r="N84" s="108">
        <v>0.59210526315789469</v>
      </c>
      <c r="O84" s="108">
        <v>0.34848484848484851</v>
      </c>
      <c r="P84" s="108">
        <v>0.41379310344827586</v>
      </c>
      <c r="Q84" s="108">
        <v>0.38078291814946619</v>
      </c>
    </row>
    <row r="85" spans="1:17" x14ac:dyDescent="0.45">
      <c r="A85" s="110">
        <v>82</v>
      </c>
      <c r="B85" s="107">
        <v>-2.9999999999999627</v>
      </c>
      <c r="C85" s="107">
        <v>-1.219512195121936E-2</v>
      </c>
      <c r="D85" s="112">
        <v>2</v>
      </c>
      <c r="E85" s="108">
        <v>0.33333333333333331</v>
      </c>
      <c r="F85" s="108">
        <v>0.30613425925925924</v>
      </c>
      <c r="G85" s="108">
        <v>0.17534722222222221</v>
      </c>
      <c r="H85" s="109">
        <v>10531.94706994329</v>
      </c>
      <c r="I85" s="109">
        <v>-9871.9471947194725</v>
      </c>
      <c r="J85" s="108">
        <v>0.18292682926829268</v>
      </c>
      <c r="K85" s="108">
        <v>0.18292682926829268</v>
      </c>
      <c r="L85" s="108">
        <v>0.29209621993127149</v>
      </c>
      <c r="M85" s="108">
        <v>0.24054982817869416</v>
      </c>
      <c r="N85" s="108">
        <v>0.6</v>
      </c>
      <c r="O85" s="108">
        <v>0.34285714285714286</v>
      </c>
      <c r="P85" s="108">
        <v>0.41398865784499056</v>
      </c>
      <c r="Q85" s="108">
        <v>0.37785588752196836</v>
      </c>
    </row>
    <row r="86" spans="1:17" x14ac:dyDescent="0.45">
      <c r="A86" s="110">
        <v>83</v>
      </c>
      <c r="B86" s="107">
        <v>-2.9999999999999645</v>
      </c>
      <c r="C86" s="107">
        <v>-1.2048192771084194E-2</v>
      </c>
      <c r="D86" s="112">
        <v>2</v>
      </c>
      <c r="E86" s="108">
        <v>0.33333333333333331</v>
      </c>
      <c r="F86" s="108">
        <v>0.30616864742501415</v>
      </c>
      <c r="G86" s="108">
        <v>0.17600452744765138</v>
      </c>
      <c r="H86" s="109">
        <v>10424.029574861368</v>
      </c>
      <c r="I86" s="109">
        <v>-9783.2797427652731</v>
      </c>
      <c r="J86" s="108">
        <v>0.18473895582329317</v>
      </c>
      <c r="K86" s="108">
        <v>0.18473895582329317</v>
      </c>
      <c r="L86" s="108">
        <v>0.2818181818181818</v>
      </c>
      <c r="M86" s="108">
        <v>0.24848484848484848</v>
      </c>
      <c r="N86" s="108">
        <v>0.58064516129032262</v>
      </c>
      <c r="O86" s="108">
        <v>0.35365853658536583</v>
      </c>
      <c r="P86" s="108">
        <v>0.41035120147874304</v>
      </c>
      <c r="Q86" s="108">
        <v>0.3797250859106529</v>
      </c>
    </row>
    <row r="87" spans="1:17" x14ac:dyDescent="0.45">
      <c r="A87" s="110">
        <v>84</v>
      </c>
      <c r="B87" s="107">
        <v>-2.9999999999999645</v>
      </c>
      <c r="C87" s="107">
        <v>-1.1904761904761764E-2</v>
      </c>
      <c r="D87" s="112">
        <v>2</v>
      </c>
      <c r="E87" s="108">
        <v>0.33333333333333331</v>
      </c>
      <c r="F87" s="108">
        <v>0.3058361391694725</v>
      </c>
      <c r="G87" s="108">
        <v>0.17620650953984288</v>
      </c>
      <c r="H87" s="109">
        <v>10464.954128440368</v>
      </c>
      <c r="I87" s="109">
        <v>-9836.3057324840756</v>
      </c>
      <c r="J87" s="108">
        <v>0.18650793650793651</v>
      </c>
      <c r="K87" s="108">
        <v>0.18650793650793651</v>
      </c>
      <c r="L87" s="108">
        <v>0.28405797101449276</v>
      </c>
      <c r="M87" s="108">
        <v>0.24637681159420291</v>
      </c>
      <c r="N87" s="108">
        <v>0.58163265306122447</v>
      </c>
      <c r="O87" s="108">
        <v>0.3411764705882353</v>
      </c>
      <c r="P87" s="108">
        <v>0.40917431192660553</v>
      </c>
      <c r="Q87" s="108">
        <v>0.37989778534923341</v>
      </c>
    </row>
    <row r="88" spans="1:17" x14ac:dyDescent="0.45">
      <c r="A88" s="110">
        <v>85</v>
      </c>
      <c r="B88" s="107">
        <v>-2.9999999999999645</v>
      </c>
      <c r="C88" s="107">
        <v>-1.1764705882352802E-2</v>
      </c>
      <c r="D88" s="112">
        <v>2</v>
      </c>
      <c r="E88" s="108">
        <v>0.33333333333333331</v>
      </c>
      <c r="F88" s="108">
        <v>0.30620155038759689</v>
      </c>
      <c r="G88" s="108">
        <v>0.17607973421926909</v>
      </c>
      <c r="H88" s="109">
        <v>10448.282097649186</v>
      </c>
      <c r="I88" s="109">
        <v>-9816.9811320754725</v>
      </c>
      <c r="J88" s="108">
        <v>0.18823529411764706</v>
      </c>
      <c r="K88" s="108">
        <v>0.18823529411764706</v>
      </c>
      <c r="L88" s="108">
        <v>0.28455284552845528</v>
      </c>
      <c r="M88" s="108">
        <v>0.24932249322493225</v>
      </c>
      <c r="N88" s="108">
        <v>0.580952380952381</v>
      </c>
      <c r="O88" s="108">
        <v>0.33695652173913043</v>
      </c>
      <c r="P88" s="108">
        <v>0.41048824593128391</v>
      </c>
      <c r="Q88" s="108">
        <v>0.37983193277310923</v>
      </c>
    </row>
    <row r="89" spans="1:17" x14ac:dyDescent="0.45">
      <c r="A89" s="110">
        <v>86</v>
      </c>
      <c r="B89" s="107">
        <v>-2.9999999999999645</v>
      </c>
      <c r="C89" s="107">
        <v>-1.1627906976744049E-2</v>
      </c>
      <c r="D89" s="112">
        <v>2</v>
      </c>
      <c r="E89" s="108">
        <v>0.33333333333333331</v>
      </c>
      <c r="F89" s="108">
        <v>0.30546448087431693</v>
      </c>
      <c r="G89" s="108">
        <v>0.17540983606557378</v>
      </c>
      <c r="H89" s="109">
        <v>10424.150268336314</v>
      </c>
      <c r="I89" s="109">
        <v>-9791.2772585669791</v>
      </c>
      <c r="J89" s="108">
        <v>0.18604651162790697</v>
      </c>
      <c r="K89" s="108">
        <v>0.18604651162790697</v>
      </c>
      <c r="L89" s="108">
        <v>0.27989821882951654</v>
      </c>
      <c r="M89" s="108">
        <v>0.24427480916030533</v>
      </c>
      <c r="N89" s="108">
        <v>0.59090909090909094</v>
      </c>
      <c r="O89" s="108">
        <v>0.32291666666666669</v>
      </c>
      <c r="P89" s="108">
        <v>0.41144901610017887</v>
      </c>
      <c r="Q89" s="108">
        <v>0.37479270315091212</v>
      </c>
    </row>
    <row r="90" spans="1:17" x14ac:dyDescent="0.45">
      <c r="A90" s="110">
        <v>87</v>
      </c>
      <c r="B90" s="107">
        <v>-2.999999999999968</v>
      </c>
      <c r="C90" s="107">
        <v>-1.1494252873563095E-2</v>
      </c>
      <c r="D90" s="112">
        <v>2</v>
      </c>
      <c r="E90" s="108">
        <v>0.33333333333333331</v>
      </c>
      <c r="F90" s="108">
        <v>0.30569105691056908</v>
      </c>
      <c r="G90" s="108">
        <v>0.17452574525745257</v>
      </c>
      <c r="H90" s="109">
        <v>10507.624113475178</v>
      </c>
      <c r="I90" s="109">
        <v>-9770.8074534161497</v>
      </c>
      <c r="J90" s="108">
        <v>0.18773946360153257</v>
      </c>
      <c r="K90" s="108">
        <v>0.18773946360153257</v>
      </c>
      <c r="L90" s="108">
        <v>0.27941176470588236</v>
      </c>
      <c r="M90" s="108">
        <v>0.24509803921568626</v>
      </c>
      <c r="N90" s="108">
        <v>0.59649122807017541</v>
      </c>
      <c r="O90" s="108">
        <v>0.31</v>
      </c>
      <c r="P90" s="108">
        <v>0.41489361702127658</v>
      </c>
      <c r="Q90" s="108">
        <v>0.37335526315789475</v>
      </c>
    </row>
    <row r="91" spans="1:17" x14ac:dyDescent="0.45">
      <c r="A91" s="110">
        <v>88</v>
      </c>
      <c r="B91" s="107">
        <v>-2.9999999999999716</v>
      </c>
      <c r="C91" s="107">
        <v>-1.1363636363636256E-2</v>
      </c>
      <c r="D91" s="112">
        <v>2</v>
      </c>
      <c r="E91" s="108">
        <v>0.33333333333333331</v>
      </c>
      <c r="F91" s="108">
        <v>0.30577636459989399</v>
      </c>
      <c r="G91" s="108">
        <v>0.17488076311605724</v>
      </c>
      <c r="H91" s="109">
        <v>10478.336221837088</v>
      </c>
      <c r="I91" s="109">
        <v>-9762.424242424242</v>
      </c>
      <c r="J91" s="108">
        <v>0.18560606060606061</v>
      </c>
      <c r="K91" s="108">
        <v>0.18560606060606061</v>
      </c>
      <c r="L91" s="108">
        <v>0.27777777777777779</v>
      </c>
      <c r="M91" s="108">
        <v>0.24444444444444444</v>
      </c>
      <c r="N91" s="108">
        <v>0.6</v>
      </c>
      <c r="O91" s="108">
        <v>0.31818181818181818</v>
      </c>
      <c r="P91" s="108">
        <v>0.41421143847487002</v>
      </c>
      <c r="Q91" s="108">
        <v>0.3762057877813505</v>
      </c>
    </row>
    <row r="92" spans="1:17" x14ac:dyDescent="0.45">
      <c r="A92" s="110">
        <v>89</v>
      </c>
      <c r="B92" s="107">
        <v>-2.999999999999968</v>
      </c>
      <c r="C92" s="107">
        <v>-1.1235955056179655E-2</v>
      </c>
      <c r="D92" s="112">
        <v>2</v>
      </c>
      <c r="E92" s="108">
        <v>0.33333333333333331</v>
      </c>
      <c r="F92" s="108">
        <v>0.30559916274201987</v>
      </c>
      <c r="G92" s="108">
        <v>0.17477760334903192</v>
      </c>
      <c r="H92" s="109">
        <v>10424.486301369863</v>
      </c>
      <c r="I92" s="109">
        <v>-9716.7664670658687</v>
      </c>
      <c r="J92" s="108">
        <v>0.18352059925093633</v>
      </c>
      <c r="K92" s="108">
        <v>0.18352059925093633</v>
      </c>
      <c r="L92" s="108">
        <v>0.28270042194092826</v>
      </c>
      <c r="M92" s="108">
        <v>0.24472573839662448</v>
      </c>
      <c r="N92" s="108">
        <v>0.59701492537313428</v>
      </c>
      <c r="O92" s="108">
        <v>0.31896551724137934</v>
      </c>
      <c r="P92" s="108">
        <v>0.41438356164383561</v>
      </c>
      <c r="Q92" s="108">
        <v>0.37301587301587302</v>
      </c>
    </row>
    <row r="93" spans="1:17" x14ac:dyDescent="0.45">
      <c r="A93" s="110">
        <v>90</v>
      </c>
      <c r="B93" s="107">
        <v>-2.9999999999999671</v>
      </c>
      <c r="C93" s="107">
        <v>-1.111111111111099E-2</v>
      </c>
      <c r="D93" s="112">
        <v>2</v>
      </c>
      <c r="E93" s="108">
        <v>0.33333333333333331</v>
      </c>
      <c r="F93" s="108">
        <v>0.30594315245478038</v>
      </c>
      <c r="G93" s="108">
        <v>0.17467700258397933</v>
      </c>
      <c r="H93" s="109">
        <v>10443.243243243243</v>
      </c>
      <c r="I93" s="109">
        <v>-9692.0118343195263</v>
      </c>
      <c r="J93" s="108">
        <v>0.18148148148148149</v>
      </c>
      <c r="K93" s="108">
        <v>0.18148148148148149</v>
      </c>
      <c r="L93" s="108">
        <v>0.28313253012048195</v>
      </c>
      <c r="M93" s="108">
        <v>0.23895582329317269</v>
      </c>
      <c r="N93" s="108">
        <v>0.60992907801418439</v>
      </c>
      <c r="O93" s="108">
        <v>0.32773109243697479</v>
      </c>
      <c r="P93" s="108">
        <v>0.41554054054054052</v>
      </c>
      <c r="Q93" s="108">
        <v>0.37304075235109718</v>
      </c>
    </row>
    <row r="94" spans="1:17" x14ac:dyDescent="0.45">
      <c r="A94" s="110">
        <v>91</v>
      </c>
      <c r="B94" s="107">
        <v>-2.9999999999999667</v>
      </c>
      <c r="C94" s="107">
        <v>-1.0989010989010867E-2</v>
      </c>
      <c r="D94" s="112">
        <v>2</v>
      </c>
      <c r="E94" s="108">
        <v>0.33333333333333331</v>
      </c>
      <c r="F94" s="108">
        <v>0.30627871362940273</v>
      </c>
      <c r="G94" s="108">
        <v>0.17611026033690658</v>
      </c>
      <c r="H94" s="109">
        <v>10393.666666666666</v>
      </c>
      <c r="I94" s="109">
        <v>-9628.115942028986</v>
      </c>
      <c r="J94" s="108">
        <v>0.17948717948717949</v>
      </c>
      <c r="K94" s="108">
        <v>0.17948717948717949</v>
      </c>
      <c r="L94" s="108">
        <v>0.27777777777777779</v>
      </c>
      <c r="M94" s="108">
        <v>0.2413793103448276</v>
      </c>
      <c r="N94" s="108">
        <v>0.61379310344827587</v>
      </c>
      <c r="O94" s="108">
        <v>0.34920634920634919</v>
      </c>
      <c r="P94" s="108">
        <v>0.41166666666666668</v>
      </c>
      <c r="Q94" s="108">
        <v>0.37151702786377711</v>
      </c>
    </row>
    <row r="95" spans="1:17" x14ac:dyDescent="0.45">
      <c r="A95" s="110">
        <v>92</v>
      </c>
      <c r="B95" s="107">
        <v>-2.99999999999996</v>
      </c>
      <c r="C95" s="107">
        <v>-1.086956521739116E-2</v>
      </c>
      <c r="D95" s="112">
        <v>2</v>
      </c>
      <c r="E95" s="108">
        <v>0.33333333333333331</v>
      </c>
      <c r="F95" s="108">
        <v>0.30676691729323308</v>
      </c>
      <c r="G95" s="108">
        <v>0.17593984962406015</v>
      </c>
      <c r="H95" s="109">
        <v>10404.411764705883</v>
      </c>
      <c r="I95" s="109">
        <v>-9719.9430199430208</v>
      </c>
      <c r="J95" s="108">
        <v>0.18115942028985507</v>
      </c>
      <c r="K95" s="108">
        <v>0.18115942028985507</v>
      </c>
      <c r="L95" s="108">
        <v>0.27060931899641577</v>
      </c>
      <c r="M95" s="108">
        <v>0.24551971326164876</v>
      </c>
      <c r="N95" s="108">
        <v>0.60264900662251653</v>
      </c>
      <c r="O95" s="108">
        <v>0.37226277372262773</v>
      </c>
      <c r="P95" s="108">
        <v>0.41013071895424835</v>
      </c>
      <c r="Q95" s="108">
        <v>0.37082066869300911</v>
      </c>
    </row>
    <row r="96" spans="1:17" x14ac:dyDescent="0.45">
      <c r="A96" s="110">
        <v>93</v>
      </c>
      <c r="B96" s="107">
        <v>-2.9999999999999574</v>
      </c>
      <c r="C96" s="107">
        <v>-1.0752688172042857E-2</v>
      </c>
      <c r="D96" s="112">
        <v>2</v>
      </c>
      <c r="E96" s="108">
        <v>0.33333333333333331</v>
      </c>
      <c r="F96" s="108">
        <v>0.30654761904761907</v>
      </c>
      <c r="G96" s="108">
        <v>0.1765873015873016</v>
      </c>
      <c r="H96" s="109">
        <v>10411.812297734628</v>
      </c>
      <c r="I96" s="109">
        <v>-9763.2022471910113</v>
      </c>
      <c r="J96" s="108">
        <v>0.18279569892473119</v>
      </c>
      <c r="K96" s="108">
        <v>0.18279569892473119</v>
      </c>
      <c r="L96" s="108">
        <v>0.27288428324697755</v>
      </c>
      <c r="M96" s="108">
        <v>0.24525043177892919</v>
      </c>
      <c r="N96" s="108">
        <v>0.60126582278481011</v>
      </c>
      <c r="O96" s="108">
        <v>0.37323943661971831</v>
      </c>
      <c r="P96" s="108">
        <v>0.40776699029126212</v>
      </c>
      <c r="Q96" s="108">
        <v>0.37142857142857144</v>
      </c>
    </row>
    <row r="97" spans="1:17" x14ac:dyDescent="0.45">
      <c r="A97" s="110">
        <v>94</v>
      </c>
      <c r="B97" s="107">
        <v>-2.9999999999999574</v>
      </c>
      <c r="C97" s="107">
        <v>-1.0638297872340274E-2</v>
      </c>
      <c r="D97" s="112">
        <v>2</v>
      </c>
      <c r="E97" s="108">
        <v>0.33333333333333331</v>
      </c>
      <c r="F97" s="108">
        <v>0.30690161527165932</v>
      </c>
      <c r="G97" s="108">
        <v>0.17670093000489476</v>
      </c>
      <c r="H97" s="109">
        <v>10389.792663476874</v>
      </c>
      <c r="I97" s="109">
        <v>-9716.3434903047091</v>
      </c>
      <c r="J97" s="108">
        <v>0.18439716312056736</v>
      </c>
      <c r="K97" s="108">
        <v>0.18439716312056736</v>
      </c>
      <c r="L97" s="108">
        <v>0.2722772277227723</v>
      </c>
      <c r="M97" s="108">
        <v>0.24422442244224424</v>
      </c>
      <c r="N97" s="108">
        <v>0.60606060606060608</v>
      </c>
      <c r="O97" s="108">
        <v>0.3783783783783784</v>
      </c>
      <c r="P97" s="108">
        <v>0.40829346092503987</v>
      </c>
      <c r="Q97" s="108">
        <v>0.37388724035608306</v>
      </c>
    </row>
    <row r="98" spans="1:17" x14ac:dyDescent="0.45">
      <c r="A98" s="110">
        <v>95</v>
      </c>
      <c r="B98" s="107">
        <v>-2.9999999999999574</v>
      </c>
      <c r="C98" s="107">
        <v>-1.0526315789473535E-2</v>
      </c>
      <c r="D98" s="112">
        <v>2</v>
      </c>
      <c r="E98" s="108">
        <v>0.33333333333333331</v>
      </c>
      <c r="F98" s="108">
        <v>0.30672472181906146</v>
      </c>
      <c r="G98" s="108">
        <v>0.17658442186744072</v>
      </c>
      <c r="H98" s="109">
        <v>10395.110410094638</v>
      </c>
      <c r="I98" s="109">
        <v>-9664.9315068493142</v>
      </c>
      <c r="J98" s="108">
        <v>0.18245614035087721</v>
      </c>
      <c r="K98" s="108">
        <v>0.18245614035087721</v>
      </c>
      <c r="L98" s="108">
        <v>0.27301587301587299</v>
      </c>
      <c r="M98" s="108">
        <v>0.24285714285714285</v>
      </c>
      <c r="N98" s="108">
        <v>0.61046511627906974</v>
      </c>
      <c r="O98" s="108">
        <v>0.37908496732026142</v>
      </c>
      <c r="P98" s="108">
        <v>0.40851735015772872</v>
      </c>
      <c r="Q98" s="108">
        <v>0.37243401759530792</v>
      </c>
    </row>
    <row r="99" spans="1:17" x14ac:dyDescent="0.45">
      <c r="A99" s="110">
        <v>96</v>
      </c>
      <c r="B99" s="107">
        <v>-2.9999999999999574</v>
      </c>
      <c r="C99" s="107">
        <v>-1.0416666666666519E-2</v>
      </c>
      <c r="D99" s="112">
        <v>2</v>
      </c>
      <c r="E99" s="108">
        <v>0.33333333333333331</v>
      </c>
      <c r="F99" s="108">
        <v>0.30666666666666664</v>
      </c>
      <c r="G99" s="108">
        <v>0.17714285714285713</v>
      </c>
      <c r="H99" s="109">
        <v>10385.403726708075</v>
      </c>
      <c r="I99" s="109">
        <v>-9659.677419354839</v>
      </c>
      <c r="J99" s="108">
        <v>0.18402777777777779</v>
      </c>
      <c r="K99" s="108">
        <v>0.18402777777777779</v>
      </c>
      <c r="L99" s="108">
        <v>0.27903469079939669</v>
      </c>
      <c r="M99" s="108">
        <v>0.2368024132730015</v>
      </c>
      <c r="N99" s="108">
        <v>0.61081081081081079</v>
      </c>
      <c r="O99" s="108">
        <v>0.37579617834394907</v>
      </c>
      <c r="P99" s="108">
        <v>0.40683229813664595</v>
      </c>
      <c r="Q99" s="108">
        <v>0.37518037518037517</v>
      </c>
    </row>
    <row r="100" spans="1:17" x14ac:dyDescent="0.45">
      <c r="A100" s="110">
        <v>97</v>
      </c>
      <c r="B100" s="107">
        <v>-2.9999999999999591</v>
      </c>
      <c r="C100" s="107">
        <v>-1.0309278350515323E-2</v>
      </c>
      <c r="D100" s="112">
        <v>2</v>
      </c>
      <c r="E100" s="108">
        <v>0.33333333333333331</v>
      </c>
      <c r="F100" s="108">
        <v>0.3068932955618508</v>
      </c>
      <c r="G100" s="108">
        <v>0.17705382436260622</v>
      </c>
      <c r="H100" s="109">
        <v>10382.615384615385</v>
      </c>
      <c r="I100" s="109">
        <v>-9652.7999999999993</v>
      </c>
      <c r="J100" s="108">
        <v>0.18556701030927836</v>
      </c>
      <c r="K100" s="108">
        <v>0.18556701030927836</v>
      </c>
      <c r="L100" s="108">
        <v>0.28193832599118945</v>
      </c>
      <c r="M100" s="108">
        <v>0.23641703377386197</v>
      </c>
      <c r="N100" s="108">
        <v>0.609375</v>
      </c>
      <c r="O100" s="108">
        <v>0.37267080745341613</v>
      </c>
      <c r="P100" s="108">
        <v>0.40769230769230769</v>
      </c>
      <c r="Q100" s="108">
        <v>0.37482117310443491</v>
      </c>
    </row>
    <row r="101" spans="1:17" x14ac:dyDescent="0.45">
      <c r="A101" s="110">
        <v>98</v>
      </c>
      <c r="B101" s="107">
        <v>-2.9999999999999574</v>
      </c>
      <c r="C101" s="107">
        <v>-1.0204081632652916E-2</v>
      </c>
      <c r="D101" s="112">
        <v>2</v>
      </c>
      <c r="E101" s="108">
        <v>0.33333333333333331</v>
      </c>
      <c r="F101" s="108">
        <v>0.30586592178770949</v>
      </c>
      <c r="G101" s="108">
        <v>0.17737430167597765</v>
      </c>
      <c r="H101" s="109">
        <v>10391.019786910198</v>
      </c>
      <c r="I101" s="109">
        <v>-9622.0472440944886</v>
      </c>
      <c r="J101" s="108">
        <v>0.1870748299319728</v>
      </c>
      <c r="K101" s="108">
        <v>0.1870748299319728</v>
      </c>
      <c r="L101" s="108">
        <v>0.27566807313642755</v>
      </c>
      <c r="M101" s="108">
        <v>0.23488045007032349</v>
      </c>
      <c r="N101" s="108">
        <v>0.61224489795918369</v>
      </c>
      <c r="O101" s="108">
        <v>0.3772455089820359</v>
      </c>
      <c r="P101" s="108">
        <v>0.40487062404870622</v>
      </c>
      <c r="Q101" s="108">
        <v>0.37235543018335682</v>
      </c>
    </row>
    <row r="102" spans="1:17" x14ac:dyDescent="0.45">
      <c r="A102" s="110">
        <v>99</v>
      </c>
      <c r="B102" s="107">
        <v>-2.9999999999999583</v>
      </c>
      <c r="C102" s="107">
        <v>-1.010101010100996E-2</v>
      </c>
      <c r="D102" s="112">
        <v>2</v>
      </c>
      <c r="E102" s="108">
        <v>0.33333333333333331</v>
      </c>
      <c r="F102" s="108">
        <v>0.30574712643678159</v>
      </c>
      <c r="G102" s="108">
        <v>0.1774712643678161</v>
      </c>
      <c r="H102" s="109">
        <v>10352.030075187969</v>
      </c>
      <c r="I102" s="109">
        <v>-9567.8756476683939</v>
      </c>
      <c r="J102" s="108">
        <v>0.18518518518518517</v>
      </c>
      <c r="K102" s="108">
        <v>0.18518518518518517</v>
      </c>
      <c r="L102" s="108">
        <v>0.27100271002710025</v>
      </c>
      <c r="M102" s="108">
        <v>0.23712737127371275</v>
      </c>
      <c r="N102" s="108">
        <v>0.62</v>
      </c>
      <c r="O102" s="108">
        <v>0.37714285714285717</v>
      </c>
      <c r="P102" s="108">
        <v>0.40451127819548871</v>
      </c>
      <c r="Q102" s="108">
        <v>0.37186629526462395</v>
      </c>
    </row>
    <row r="103" spans="1:17" x14ac:dyDescent="0.45">
      <c r="A103" s="110">
        <v>100</v>
      </c>
      <c r="B103" s="107">
        <v>-2.9999999999999529</v>
      </c>
      <c r="C103" s="107">
        <v>-9.9999999999998423E-3</v>
      </c>
      <c r="D103" s="112">
        <v>2</v>
      </c>
      <c r="E103" s="108">
        <v>0.33333333333333331</v>
      </c>
      <c r="F103" s="108">
        <v>0.30601092896174864</v>
      </c>
      <c r="G103" s="108">
        <v>0.17714025500910746</v>
      </c>
      <c r="H103" s="109">
        <v>10340.773809523809</v>
      </c>
      <c r="I103" s="109">
        <v>-9583.8046272493575</v>
      </c>
      <c r="J103" s="108">
        <v>0.18666666666666668</v>
      </c>
      <c r="K103" s="108">
        <v>0.18666666666666668</v>
      </c>
      <c r="L103" s="108">
        <v>0.27272727272727271</v>
      </c>
      <c r="M103" s="108">
        <v>0.23847167325428195</v>
      </c>
      <c r="N103" s="108">
        <v>0.61352657004830913</v>
      </c>
      <c r="O103" s="108">
        <v>0.38121546961325969</v>
      </c>
      <c r="P103" s="108">
        <v>0.40476190476190477</v>
      </c>
      <c r="Q103" s="108">
        <v>0.37379310344827588</v>
      </c>
    </row>
    <row r="104" spans="1:17" x14ac:dyDescent="0.45">
      <c r="A104" s="110">
        <v>101</v>
      </c>
      <c r="B104" s="107">
        <v>-2.9999999999999503</v>
      </c>
      <c r="C104" s="107">
        <v>-9.9009900990097363E-3</v>
      </c>
      <c r="D104" s="112">
        <v>2</v>
      </c>
      <c r="E104" s="108">
        <v>0.33333333333333331</v>
      </c>
      <c r="F104" s="108">
        <v>0.30630630630630629</v>
      </c>
      <c r="G104" s="108">
        <v>0.17747747747747747</v>
      </c>
      <c r="H104" s="109">
        <v>10350.588235294117</v>
      </c>
      <c r="I104" s="109">
        <v>-9618.527918781725</v>
      </c>
      <c r="J104" s="108">
        <v>0.18811881188118812</v>
      </c>
      <c r="K104" s="108">
        <v>0.18811881188118812</v>
      </c>
      <c r="L104" s="108">
        <v>0.27330779054916987</v>
      </c>
      <c r="M104" s="108">
        <v>0.23499361430395913</v>
      </c>
      <c r="N104" s="108">
        <v>0.61214953271028039</v>
      </c>
      <c r="O104" s="108">
        <v>0.3858695652173913</v>
      </c>
      <c r="P104" s="108">
        <v>0.40441176470588236</v>
      </c>
      <c r="Q104" s="108">
        <v>0.37789904502046384</v>
      </c>
    </row>
    <row r="105" spans="1:17" x14ac:dyDescent="0.45">
      <c r="A105" s="110">
        <v>102</v>
      </c>
      <c r="B105" s="107">
        <v>-2.9999999999999503</v>
      </c>
      <c r="C105" s="107">
        <v>-9.8039215686272878E-3</v>
      </c>
      <c r="D105" s="112">
        <v>2</v>
      </c>
      <c r="E105" s="108">
        <v>0.33333333333333331</v>
      </c>
      <c r="F105" s="108">
        <v>0.30607685433422699</v>
      </c>
      <c r="G105" s="108">
        <v>0.177390527256479</v>
      </c>
      <c r="H105" s="109">
        <v>10365.547445255474</v>
      </c>
      <c r="I105" s="109">
        <v>-9626.4483627204027</v>
      </c>
      <c r="J105" s="108">
        <v>0.18954248366013071</v>
      </c>
      <c r="K105" s="108">
        <v>0.18954248366013071</v>
      </c>
      <c r="L105" s="108">
        <v>0.27215980024968789</v>
      </c>
      <c r="M105" s="108">
        <v>0.23595505617977527</v>
      </c>
      <c r="N105" s="108">
        <v>0.61009174311926606</v>
      </c>
      <c r="O105" s="108">
        <v>0.38624338624338622</v>
      </c>
      <c r="P105" s="108">
        <v>0.4043795620437956</v>
      </c>
      <c r="Q105" s="108">
        <v>0.37753721244925575</v>
      </c>
    </row>
    <row r="106" spans="1:17" x14ac:dyDescent="0.45">
      <c r="A106" s="110">
        <v>103</v>
      </c>
      <c r="B106" s="107">
        <v>-2.9999999999999503</v>
      </c>
      <c r="C106" s="107">
        <v>-9.7087378640775095E-3</v>
      </c>
      <c r="D106" s="112">
        <v>2</v>
      </c>
      <c r="E106" s="108">
        <v>0.33333333333333331</v>
      </c>
      <c r="F106" s="108">
        <v>0.30618602581219406</v>
      </c>
      <c r="G106" s="108">
        <v>0.17712505562972852</v>
      </c>
      <c r="H106" s="109">
        <v>10407.558139534884</v>
      </c>
      <c r="I106" s="109">
        <v>-9632.4120603015072</v>
      </c>
      <c r="J106" s="108">
        <v>0.19093851132686085</v>
      </c>
      <c r="K106" s="108">
        <v>0.19093851132686085</v>
      </c>
      <c r="L106" s="108">
        <v>0.27407407407407408</v>
      </c>
      <c r="M106" s="108">
        <v>0.23456790123456789</v>
      </c>
      <c r="N106" s="108">
        <v>0.61261261261261257</v>
      </c>
      <c r="O106" s="108">
        <v>0.38421052631578945</v>
      </c>
      <c r="P106" s="108">
        <v>0.40552325581395349</v>
      </c>
      <c r="Q106" s="108">
        <v>0.37870619946091644</v>
      </c>
    </row>
    <row r="107" spans="1:17" x14ac:dyDescent="0.45">
      <c r="A107" s="110">
        <v>104</v>
      </c>
      <c r="B107" s="107">
        <v>-2.9999999999999512</v>
      </c>
      <c r="C107" s="107">
        <v>-9.6153846153844581E-3</v>
      </c>
      <c r="D107" s="112">
        <v>2</v>
      </c>
      <c r="E107" s="108">
        <v>0.33333333333333331</v>
      </c>
      <c r="F107" s="108">
        <v>0.30599647266313934</v>
      </c>
      <c r="G107" s="108">
        <v>0.17680776014109348</v>
      </c>
      <c r="H107" s="109">
        <v>10372.478386167148</v>
      </c>
      <c r="I107" s="109">
        <v>-9620.1995012468833</v>
      </c>
      <c r="J107" s="108">
        <v>0.1891025641025641</v>
      </c>
      <c r="K107" s="108">
        <v>0.1891025641025641</v>
      </c>
      <c r="L107" s="108">
        <v>0.27436823104693142</v>
      </c>
      <c r="M107" s="108">
        <v>0.23345367027677497</v>
      </c>
      <c r="N107" s="108">
        <v>0.60964912280701755</v>
      </c>
      <c r="O107" s="108">
        <v>0.38659793814432991</v>
      </c>
      <c r="P107" s="108">
        <v>0.40634005763688763</v>
      </c>
      <c r="Q107" s="108">
        <v>0.37516688918558078</v>
      </c>
    </row>
    <row r="108" spans="1:17" x14ac:dyDescent="0.45">
      <c r="A108" s="110">
        <v>105</v>
      </c>
      <c r="B108" s="107">
        <v>-2.9999999999999503</v>
      </c>
      <c r="C108" s="107">
        <v>-9.5238095238093651E-3</v>
      </c>
      <c r="D108" s="112">
        <v>2</v>
      </c>
      <c r="E108" s="108">
        <v>0.33333333333333331</v>
      </c>
      <c r="F108" s="108">
        <v>0.30584642233856896</v>
      </c>
      <c r="G108" s="108">
        <v>0.17495636998254799</v>
      </c>
      <c r="H108" s="109">
        <v>10358.773181169758</v>
      </c>
      <c r="I108" s="109">
        <v>-9620.1995012468833</v>
      </c>
      <c r="J108" s="108">
        <v>0.19047619047619047</v>
      </c>
      <c r="K108" s="108">
        <v>0.19047619047619047</v>
      </c>
      <c r="L108" s="108">
        <v>0.27719298245614032</v>
      </c>
      <c r="M108" s="108">
        <v>0.2304093567251462</v>
      </c>
      <c r="N108" s="108">
        <v>0.60759493670886078</v>
      </c>
      <c r="O108" s="108">
        <v>0.39086294416243655</v>
      </c>
      <c r="P108" s="108">
        <v>0.41226818830242512</v>
      </c>
      <c r="Q108" s="108">
        <v>0.37648612945838839</v>
      </c>
    </row>
    <row r="109" spans="1:17" x14ac:dyDescent="0.45">
      <c r="A109" s="110">
        <v>106</v>
      </c>
      <c r="B109" s="107">
        <v>-2.9999999999999503</v>
      </c>
      <c r="C109" s="107">
        <v>-9.4339622641507869E-3</v>
      </c>
      <c r="D109" s="112">
        <v>2</v>
      </c>
      <c r="E109" s="108">
        <v>0.33333333333333331</v>
      </c>
      <c r="F109" s="108">
        <v>0.30663221360895782</v>
      </c>
      <c r="G109" s="108">
        <v>0.17571059431524547</v>
      </c>
      <c r="H109" s="109">
        <v>10341.011235955057</v>
      </c>
      <c r="I109" s="109">
        <v>-9629.9019607843129</v>
      </c>
      <c r="J109" s="108">
        <v>0.1918238993710692</v>
      </c>
      <c r="K109" s="108">
        <v>0.1918238993710692</v>
      </c>
      <c r="L109" s="108">
        <v>0.2768361581920904</v>
      </c>
      <c r="M109" s="108">
        <v>0.23050847457627119</v>
      </c>
      <c r="N109" s="108">
        <v>0.60408163265306125</v>
      </c>
      <c r="O109" s="108">
        <v>0.40196078431372551</v>
      </c>
      <c r="P109" s="108">
        <v>0.4101123595505618</v>
      </c>
      <c r="Q109" s="108">
        <v>0.38070404172099087</v>
      </c>
    </row>
    <row r="110" spans="1:17" x14ac:dyDescent="0.45">
      <c r="A110" s="110">
        <v>107</v>
      </c>
      <c r="B110" s="107">
        <v>-2.9999999999999574</v>
      </c>
      <c r="C110" s="107">
        <v>-9.3457943925232319E-3</v>
      </c>
      <c r="D110" s="112">
        <v>2</v>
      </c>
      <c r="E110" s="108">
        <v>0.33333333333333331</v>
      </c>
      <c r="F110" s="108">
        <v>0.30683760683760686</v>
      </c>
      <c r="G110" s="108">
        <v>0.1752136752136752</v>
      </c>
      <c r="H110" s="109">
        <v>10367.130919220055</v>
      </c>
      <c r="I110" s="109">
        <v>-9683.414634146342</v>
      </c>
      <c r="J110" s="108">
        <v>0.19314641744548286</v>
      </c>
      <c r="K110" s="108">
        <v>0.19314641744548286</v>
      </c>
      <c r="L110" s="108">
        <v>0.28017718715393136</v>
      </c>
      <c r="M110" s="108">
        <v>0.22702104097452935</v>
      </c>
      <c r="N110" s="108">
        <v>0.60079051383399207</v>
      </c>
      <c r="O110" s="108">
        <v>0.40487804878048783</v>
      </c>
      <c r="P110" s="108">
        <v>0.41225626740947074</v>
      </c>
      <c r="Q110" s="108">
        <v>0.38163001293661059</v>
      </c>
    </row>
    <row r="111" spans="1:17" x14ac:dyDescent="0.45">
      <c r="A111" s="110">
        <v>108</v>
      </c>
      <c r="B111" s="107">
        <v>-2.9999999999999574</v>
      </c>
      <c r="C111" s="107">
        <v>-9.2592592592591269E-3</v>
      </c>
      <c r="D111" s="112">
        <v>2</v>
      </c>
      <c r="E111" s="108">
        <v>0.33333333333333331</v>
      </c>
      <c r="F111" s="108">
        <v>0.30658174097664542</v>
      </c>
      <c r="G111" s="108">
        <v>0.17494692144373672</v>
      </c>
      <c r="H111" s="109">
        <v>10379.501385041551</v>
      </c>
      <c r="I111" s="109">
        <v>-9695.6310679611652</v>
      </c>
      <c r="J111" s="108">
        <v>0.19135802469135801</v>
      </c>
      <c r="K111" s="108">
        <v>0.19135802469135801</v>
      </c>
      <c r="L111" s="108">
        <v>0.28104575163398693</v>
      </c>
      <c r="M111" s="108">
        <v>0.22549019607843138</v>
      </c>
      <c r="N111" s="108">
        <v>0.60077519379844957</v>
      </c>
      <c r="O111" s="108">
        <v>0.40096618357487923</v>
      </c>
      <c r="P111" s="108">
        <v>0.41274238227146814</v>
      </c>
      <c r="Q111" s="108">
        <v>0.38174807197943444</v>
      </c>
    </row>
    <row r="112" spans="1:17" x14ac:dyDescent="0.45">
      <c r="A112" s="110">
        <v>109</v>
      </c>
      <c r="B112" s="107">
        <v>-2.9999999999999587</v>
      </c>
      <c r="C112" s="107">
        <v>-9.1743119266053785E-3</v>
      </c>
      <c r="D112" s="112">
        <v>2</v>
      </c>
      <c r="E112" s="108">
        <v>0.33333333333333331</v>
      </c>
      <c r="F112" s="108">
        <v>0.30618212197159567</v>
      </c>
      <c r="G112" s="108">
        <v>0.17585630743525479</v>
      </c>
      <c r="H112" s="109">
        <v>10419.508867667122</v>
      </c>
      <c r="I112" s="109">
        <v>-9795.4869358669839</v>
      </c>
      <c r="J112" s="108">
        <v>0.19266055045871561</v>
      </c>
      <c r="K112" s="108">
        <v>0.19266055045871561</v>
      </c>
      <c r="L112" s="108">
        <v>0.28108672936259144</v>
      </c>
      <c r="M112" s="108">
        <v>0.22466039707419017</v>
      </c>
      <c r="N112" s="108">
        <v>0.59479553903345728</v>
      </c>
      <c r="O112" s="108">
        <v>0.39534883720930231</v>
      </c>
      <c r="P112" s="108">
        <v>0.40927694406548432</v>
      </c>
      <c r="Q112" s="108">
        <v>0.38558786346396967</v>
      </c>
    </row>
    <row r="113" spans="1:17" x14ac:dyDescent="0.45">
      <c r="A113" s="110">
        <v>110</v>
      </c>
      <c r="B113" s="107">
        <v>-2.9999999999999583</v>
      </c>
      <c r="C113" s="107">
        <v>-9.0909090909089638E-3</v>
      </c>
      <c r="D113" s="112">
        <v>2</v>
      </c>
      <c r="E113" s="108">
        <v>0.33333333333333331</v>
      </c>
      <c r="F113" s="108">
        <v>0.30648492358529533</v>
      </c>
      <c r="G113" s="108">
        <v>0.1755472945064023</v>
      </c>
      <c r="H113" s="109">
        <v>10392.587601078167</v>
      </c>
      <c r="I113" s="109">
        <v>-9768.7058823529405</v>
      </c>
      <c r="J113" s="108">
        <v>0.19090909090909092</v>
      </c>
      <c r="K113" s="108">
        <v>0.19090909090909092</v>
      </c>
      <c r="L113" s="108">
        <v>0.2815040650406504</v>
      </c>
      <c r="M113" s="108">
        <v>0.22154471544715448</v>
      </c>
      <c r="N113" s="108">
        <v>0.6028880866425993</v>
      </c>
      <c r="O113" s="108">
        <v>0.39449541284403672</v>
      </c>
      <c r="P113" s="108">
        <v>0.41105121293800539</v>
      </c>
      <c r="Q113" s="108">
        <v>0.38500000000000001</v>
      </c>
    </row>
    <row r="114" spans="1:17" x14ac:dyDescent="0.45">
      <c r="A114" s="110">
        <v>111</v>
      </c>
      <c r="B114" s="107">
        <v>-2.9999999999999574</v>
      </c>
      <c r="C114" s="107">
        <v>-9.0090090090088806E-3</v>
      </c>
      <c r="D114" s="112">
        <v>2</v>
      </c>
      <c r="E114" s="108">
        <v>0.33333333333333331</v>
      </c>
      <c r="F114" s="108">
        <v>0.30643846780766099</v>
      </c>
      <c r="G114" s="108">
        <v>0.17644661776691117</v>
      </c>
      <c r="H114" s="109">
        <v>10403.191489361701</v>
      </c>
      <c r="I114" s="109">
        <v>-9763.5103926096999</v>
      </c>
      <c r="J114" s="108">
        <v>0.19219219219219219</v>
      </c>
      <c r="K114" s="108">
        <v>0.19219219219219219</v>
      </c>
      <c r="L114" s="108">
        <v>0.27925270403146507</v>
      </c>
      <c r="M114" s="108">
        <v>0.22222222222222221</v>
      </c>
      <c r="N114" s="108">
        <v>0.59859154929577463</v>
      </c>
      <c r="O114" s="108">
        <v>0.39380530973451328</v>
      </c>
      <c r="P114" s="108">
        <v>0.40824468085106386</v>
      </c>
      <c r="Q114" s="108">
        <v>0.38594327990135635</v>
      </c>
    </row>
    <row r="115" spans="1:17" x14ac:dyDescent="0.45">
      <c r="A115" s="110">
        <v>112</v>
      </c>
      <c r="B115" s="107">
        <v>-2.9999999999999574</v>
      </c>
      <c r="C115" s="107">
        <v>-8.9285714285713014E-3</v>
      </c>
      <c r="D115" s="112">
        <v>2</v>
      </c>
      <c r="E115" s="108">
        <v>0.33333333333333331</v>
      </c>
      <c r="F115" s="108">
        <v>0.30666666666666664</v>
      </c>
      <c r="G115" s="108">
        <v>0.17656565656565656</v>
      </c>
      <c r="H115" s="109">
        <v>10438.735177865612</v>
      </c>
      <c r="I115" s="109">
        <v>-9806.8649885583527</v>
      </c>
      <c r="J115" s="108">
        <v>0.19345238095238096</v>
      </c>
      <c r="K115" s="108">
        <v>0.19345238095238096</v>
      </c>
      <c r="L115" s="108">
        <v>0.279383429672447</v>
      </c>
      <c r="M115" s="108">
        <v>0.22254335260115607</v>
      </c>
      <c r="N115" s="108">
        <v>0.60689655172413792</v>
      </c>
      <c r="O115" s="108">
        <v>0.38961038961038963</v>
      </c>
      <c r="P115" s="108">
        <v>0.40843214756258234</v>
      </c>
      <c r="Q115" s="108">
        <v>0.38630806845965771</v>
      </c>
    </row>
    <row r="116" spans="1:17" x14ac:dyDescent="0.45">
      <c r="A116" s="110">
        <v>113</v>
      </c>
      <c r="B116" s="107">
        <v>-2.9999999999999574</v>
      </c>
      <c r="C116" s="107">
        <v>-8.8495575221237688E-3</v>
      </c>
      <c r="D116" s="112">
        <v>2</v>
      </c>
      <c r="E116" s="108">
        <v>0.33333333333333331</v>
      </c>
      <c r="F116" s="108">
        <v>0.30676328502415456</v>
      </c>
      <c r="G116" s="108">
        <v>0.17673107890499196</v>
      </c>
      <c r="H116" s="109">
        <v>10455.380577427821</v>
      </c>
      <c r="I116" s="109">
        <v>-9844.1913439635537</v>
      </c>
      <c r="J116" s="108">
        <v>0.19469026548672566</v>
      </c>
      <c r="K116" s="108">
        <v>0.19469026548672566</v>
      </c>
      <c r="L116" s="108">
        <v>0.279847182425979</v>
      </c>
      <c r="M116" s="108">
        <v>0.22063037249283668</v>
      </c>
      <c r="N116" s="108">
        <v>0.60750853242320824</v>
      </c>
      <c r="O116" s="108">
        <v>0.38961038961038963</v>
      </c>
      <c r="P116" s="108">
        <v>0.40813648293963256</v>
      </c>
      <c r="Q116" s="108">
        <v>0.38611449451887941</v>
      </c>
    </row>
    <row r="117" spans="1:17" x14ac:dyDescent="0.45">
      <c r="A117" s="110">
        <v>114</v>
      </c>
      <c r="B117" s="107">
        <v>-2.9999999999999591</v>
      </c>
      <c r="C117" s="107">
        <v>-8.7719298245612833E-3</v>
      </c>
      <c r="D117" s="112">
        <v>2</v>
      </c>
      <c r="E117" s="108">
        <v>0.33333333333333331</v>
      </c>
      <c r="F117" s="108">
        <v>0.30701754385964913</v>
      </c>
      <c r="G117" s="108">
        <v>0.17743221690590111</v>
      </c>
      <c r="H117" s="109">
        <v>10433.766233766233</v>
      </c>
      <c r="I117" s="109">
        <v>-9808.0898876404499</v>
      </c>
      <c r="J117" s="108">
        <v>0.19298245614035087</v>
      </c>
      <c r="K117" s="108">
        <v>0.19298245614035087</v>
      </c>
      <c r="L117" s="108">
        <v>0.28197945845004668</v>
      </c>
      <c r="M117" s="108">
        <v>0.22128851540616246</v>
      </c>
      <c r="N117" s="108">
        <v>0.60264900662251653</v>
      </c>
      <c r="O117" s="108">
        <v>0.3881856540084388</v>
      </c>
      <c r="P117" s="108">
        <v>0.40649350649350652</v>
      </c>
      <c r="Q117" s="108">
        <v>0.38480096501809408</v>
      </c>
    </row>
    <row r="118" spans="1:17" x14ac:dyDescent="0.45">
      <c r="A118" s="110">
        <v>115</v>
      </c>
      <c r="B118" s="107">
        <v>-2.9999999999999574</v>
      </c>
      <c r="C118" s="107">
        <v>-8.6956521739129204E-3</v>
      </c>
      <c r="D118" s="112">
        <v>2</v>
      </c>
      <c r="E118" s="108">
        <v>0.33333333333333331</v>
      </c>
      <c r="F118" s="108">
        <v>0.30720506730007918</v>
      </c>
      <c r="G118" s="108">
        <v>0.17656373713380838</v>
      </c>
      <c r="H118" s="109">
        <v>10456.185567010309</v>
      </c>
      <c r="I118" s="109">
        <v>-9813.0044843049327</v>
      </c>
      <c r="J118" s="108">
        <v>0.19420289855072465</v>
      </c>
      <c r="K118" s="108">
        <v>0.19420289855072465</v>
      </c>
      <c r="L118" s="108">
        <v>0.28282828282828282</v>
      </c>
      <c r="M118" s="108">
        <v>0.21854912764003673</v>
      </c>
      <c r="N118" s="108">
        <v>0.6071428571428571</v>
      </c>
      <c r="O118" s="108">
        <v>0.3907563025210084</v>
      </c>
      <c r="P118" s="108">
        <v>0.40979381443298968</v>
      </c>
      <c r="Q118" s="108">
        <v>0.38562874251497004</v>
      </c>
    </row>
    <row r="119" spans="1:17" x14ac:dyDescent="0.45">
      <c r="A119" s="110">
        <v>116</v>
      </c>
      <c r="B119" s="107">
        <v>-2.9999999999999587</v>
      </c>
      <c r="C119" s="107">
        <v>-8.6206896551722957E-3</v>
      </c>
      <c r="D119" s="112">
        <v>2</v>
      </c>
      <c r="E119" s="108">
        <v>0.33333333333333331</v>
      </c>
      <c r="F119" s="108">
        <v>0.30760233918128654</v>
      </c>
      <c r="G119" s="108">
        <v>0.17621832358674464</v>
      </c>
      <c r="H119" s="109">
        <v>10464.385297845374</v>
      </c>
      <c r="I119" s="109">
        <v>-9812.6106194690274</v>
      </c>
      <c r="J119" s="108">
        <v>0.19252873563218389</v>
      </c>
      <c r="K119" s="108">
        <v>0.19252873563218389</v>
      </c>
      <c r="L119" s="108">
        <v>0.28014184397163122</v>
      </c>
      <c r="M119" s="108">
        <v>0.22429078014184398</v>
      </c>
      <c r="N119" s="108">
        <v>0.61392405063291144</v>
      </c>
      <c r="O119" s="108">
        <v>0.39130434782608697</v>
      </c>
      <c r="P119" s="108">
        <v>0.41191381495564006</v>
      </c>
      <c r="Q119" s="108">
        <v>0.38797169811320753</v>
      </c>
    </row>
    <row r="120" spans="1:17" x14ac:dyDescent="0.45">
      <c r="A120" s="110">
        <v>117</v>
      </c>
      <c r="B120" s="107">
        <v>-2.9999999999999591</v>
      </c>
      <c r="C120" s="107">
        <v>-8.5470085470084299E-3</v>
      </c>
      <c r="D120" s="112">
        <v>2</v>
      </c>
      <c r="E120" s="108">
        <v>0.33333333333333331</v>
      </c>
      <c r="F120" s="108">
        <v>0.30739450251645373</v>
      </c>
      <c r="G120" s="108">
        <v>0.17615176151761516</v>
      </c>
      <c r="H120" s="109">
        <v>10437.027707808564</v>
      </c>
      <c r="I120" s="109">
        <v>-9797.5824175824182</v>
      </c>
      <c r="J120" s="108">
        <v>0.19088319088319089</v>
      </c>
      <c r="K120" s="108">
        <v>0.19088319088319089</v>
      </c>
      <c r="L120" s="108">
        <v>0.28010471204188481</v>
      </c>
      <c r="M120" s="108">
        <v>0.22338568935427575</v>
      </c>
      <c r="N120" s="108">
        <v>0.61370716510903423</v>
      </c>
      <c r="O120" s="108">
        <v>0.390625</v>
      </c>
      <c r="P120" s="108">
        <v>0.41183879093198994</v>
      </c>
      <c r="Q120" s="108">
        <v>0.38641686182669788</v>
      </c>
    </row>
    <row r="121" spans="1:17" x14ac:dyDescent="0.45">
      <c r="A121" s="110">
        <v>118</v>
      </c>
      <c r="B121" s="107">
        <v>-2.9999999999999591</v>
      </c>
      <c r="C121" s="107">
        <v>-8.4745762711863244E-3</v>
      </c>
      <c r="D121" s="112">
        <v>2</v>
      </c>
      <c r="E121" s="108">
        <v>0.33333333333333331</v>
      </c>
      <c r="F121" s="108">
        <v>0.30772171253822628</v>
      </c>
      <c r="G121" s="108">
        <v>0.17698776758409787</v>
      </c>
      <c r="H121" s="109">
        <v>10409.689440993789</v>
      </c>
      <c r="I121" s="109">
        <v>-9776.8898488120958</v>
      </c>
      <c r="J121" s="108">
        <v>0.18926553672316385</v>
      </c>
      <c r="K121" s="108">
        <v>0.18926553672316385</v>
      </c>
      <c r="L121" s="108">
        <v>0.27905004240882103</v>
      </c>
      <c r="M121" s="108">
        <v>0.22222222222222221</v>
      </c>
      <c r="N121" s="108">
        <v>0.61702127659574468</v>
      </c>
      <c r="O121" s="108">
        <v>0.39694656488549618</v>
      </c>
      <c r="P121" s="108">
        <v>0.40993788819875776</v>
      </c>
      <c r="Q121" s="108">
        <v>0.38728323699421963</v>
      </c>
    </row>
    <row r="122" spans="1:17" x14ac:dyDescent="0.45">
      <c r="A122" s="110">
        <v>119</v>
      </c>
      <c r="B122" s="107">
        <v>-2.9999999999999574</v>
      </c>
      <c r="C122" s="107">
        <v>-8.4033613445376951E-3</v>
      </c>
      <c r="D122" s="112">
        <v>2</v>
      </c>
      <c r="E122" s="108">
        <v>0.33333333333333331</v>
      </c>
      <c r="F122" s="108">
        <v>0.30778032036613273</v>
      </c>
      <c r="G122" s="108">
        <v>0.17696414950419528</v>
      </c>
      <c r="H122" s="109">
        <v>10443.370508054522</v>
      </c>
      <c r="I122" s="109">
        <v>-9781.6810344827591</v>
      </c>
      <c r="J122" s="108">
        <v>0.1876750700280112</v>
      </c>
      <c r="K122" s="108">
        <v>0.1876750700280112</v>
      </c>
      <c r="L122" s="108">
        <v>0.28016877637130799</v>
      </c>
      <c r="M122" s="108">
        <v>0.22109704641350211</v>
      </c>
      <c r="N122" s="108">
        <v>0.61746987951807231</v>
      </c>
      <c r="O122" s="108">
        <v>0.39694656488549618</v>
      </c>
      <c r="P122" s="108">
        <v>0.41016109045848825</v>
      </c>
      <c r="Q122" s="108">
        <v>0.38869665513264129</v>
      </c>
    </row>
    <row r="123" spans="1:17" x14ac:dyDescent="0.45">
      <c r="A123" s="110">
        <v>120</v>
      </c>
      <c r="B123" s="107">
        <v>-2.9999999999999574</v>
      </c>
      <c r="C123" s="107">
        <v>-8.3333333333332153E-3</v>
      </c>
      <c r="D123" s="112">
        <v>2</v>
      </c>
      <c r="E123" s="108">
        <v>0.33333333333333331</v>
      </c>
      <c r="F123" s="108">
        <v>0.30760499432463112</v>
      </c>
      <c r="G123" s="108">
        <v>0.17631479379493001</v>
      </c>
      <c r="H123" s="109">
        <v>10430.135301353013</v>
      </c>
      <c r="I123" s="109">
        <v>-9765.2360515021464</v>
      </c>
      <c r="J123" s="108">
        <v>0.18611111111111112</v>
      </c>
      <c r="K123" s="108">
        <v>0.18611111111111112</v>
      </c>
      <c r="L123" s="108">
        <v>0.28026533996683251</v>
      </c>
      <c r="M123" s="108">
        <v>0.22056384742951907</v>
      </c>
      <c r="N123" s="108">
        <v>0.62130177514792895</v>
      </c>
      <c r="O123" s="108">
        <v>0.39473684210526316</v>
      </c>
      <c r="P123" s="108">
        <v>0.41205412054120544</v>
      </c>
      <c r="Q123" s="108">
        <v>0.38558352402745993</v>
      </c>
    </row>
    <row r="124" spans="1:17" x14ac:dyDescent="0.45">
      <c r="A124" s="110">
        <v>121</v>
      </c>
      <c r="B124" s="107">
        <v>-2.9999999999999574</v>
      </c>
      <c r="C124" s="107">
        <v>-8.2644628099172376E-3</v>
      </c>
      <c r="D124" s="112">
        <v>2</v>
      </c>
      <c r="E124" s="108">
        <v>0.33333333333333331</v>
      </c>
      <c r="F124" s="108">
        <v>0.30749063670411986</v>
      </c>
      <c r="G124" s="108">
        <v>0.17677902621722846</v>
      </c>
      <c r="H124" s="109">
        <v>10450.06090133983</v>
      </c>
      <c r="I124" s="109">
        <v>-9750.8474576271183</v>
      </c>
      <c r="J124" s="108">
        <v>0.18457300275482094</v>
      </c>
      <c r="K124" s="108">
        <v>0.18457300275482094</v>
      </c>
      <c r="L124" s="108">
        <v>0.28223844282238442</v>
      </c>
      <c r="M124" s="108">
        <v>0.21897810218978103</v>
      </c>
      <c r="N124" s="108">
        <v>0.61494252873563215</v>
      </c>
      <c r="O124" s="108">
        <v>0.39629629629629631</v>
      </c>
      <c r="P124" s="108">
        <v>0.41047503045066991</v>
      </c>
      <c r="Q124" s="108">
        <v>0.38391845979614947</v>
      </c>
    </row>
    <row r="125" spans="1:17" x14ac:dyDescent="0.45">
      <c r="A125" s="110">
        <v>122</v>
      </c>
      <c r="B125" s="107">
        <v>-2.9999999999999574</v>
      </c>
      <c r="C125" s="107">
        <v>-8.196721311475294E-3</v>
      </c>
      <c r="D125" s="112">
        <v>2</v>
      </c>
      <c r="E125" s="108">
        <v>0.33333333333333331</v>
      </c>
      <c r="F125" s="108">
        <v>0.30766369047619047</v>
      </c>
      <c r="G125" s="108">
        <v>0.17745535714285715</v>
      </c>
      <c r="H125" s="109">
        <v>10483.071342200725</v>
      </c>
      <c r="I125" s="109">
        <v>-9820.5450733752623</v>
      </c>
      <c r="J125" s="108">
        <v>0.18579234972677597</v>
      </c>
      <c r="K125" s="108">
        <v>0.18579234972677597</v>
      </c>
      <c r="L125" s="108">
        <v>0.28297362110311752</v>
      </c>
      <c r="M125" s="108">
        <v>0.21982414068745004</v>
      </c>
      <c r="N125" s="108">
        <v>0.61016949152542377</v>
      </c>
      <c r="O125" s="108">
        <v>0.4</v>
      </c>
      <c r="P125" s="108">
        <v>0.40870616686819833</v>
      </c>
      <c r="Q125" s="108">
        <v>0.38470191226096739</v>
      </c>
    </row>
    <row r="126" spans="1:17" x14ac:dyDescent="0.45">
      <c r="A126" s="110">
        <v>123</v>
      </c>
      <c r="B126" s="107">
        <v>-2.9999999999999574</v>
      </c>
      <c r="C126" s="107">
        <v>-8.1300813008128928E-3</v>
      </c>
      <c r="D126" s="112">
        <v>2</v>
      </c>
      <c r="E126" s="108">
        <v>0.33333333333333331</v>
      </c>
      <c r="F126" s="108">
        <v>0.3077493511308862</v>
      </c>
      <c r="G126" s="108">
        <v>0.17797552836484984</v>
      </c>
      <c r="H126" s="109">
        <v>10500.602409638554</v>
      </c>
      <c r="I126" s="109">
        <v>-9855</v>
      </c>
      <c r="J126" s="108">
        <v>0.18699186991869918</v>
      </c>
      <c r="K126" s="108">
        <v>0.18699186991869918</v>
      </c>
      <c r="L126" s="108">
        <v>0.28333333333333333</v>
      </c>
      <c r="M126" s="108">
        <v>0.21984126984126984</v>
      </c>
      <c r="N126" s="108">
        <v>0.61064425770308128</v>
      </c>
      <c r="O126" s="108">
        <v>0.4007220216606498</v>
      </c>
      <c r="P126" s="108">
        <v>0.40722891566265063</v>
      </c>
      <c r="Q126" s="108">
        <v>0.38452914798206278</v>
      </c>
    </row>
    <row r="127" spans="1:17" x14ac:dyDescent="0.45">
      <c r="A127" s="110">
        <v>124</v>
      </c>
      <c r="B127" s="107">
        <v>-2.9999999999999574</v>
      </c>
      <c r="C127" s="107">
        <v>-8.0645161290321433E-3</v>
      </c>
      <c r="D127" s="112">
        <v>2</v>
      </c>
      <c r="E127" s="108">
        <v>0.33333333333333331</v>
      </c>
      <c r="F127" s="108">
        <v>0.30738304093567254</v>
      </c>
      <c r="G127" s="108">
        <v>0.17726608187134502</v>
      </c>
      <c r="H127" s="109">
        <v>10488.466111771701</v>
      </c>
      <c r="I127" s="109">
        <v>-9822.0618556701029</v>
      </c>
      <c r="J127" s="108">
        <v>0.18548387096774194</v>
      </c>
      <c r="K127" s="108">
        <v>0.18548387096774194</v>
      </c>
      <c r="L127" s="108">
        <v>0.28560431100846806</v>
      </c>
      <c r="M127" s="108">
        <v>0.21939953810623555</v>
      </c>
      <c r="N127" s="108">
        <v>0.61185983827493262</v>
      </c>
      <c r="O127" s="108">
        <v>0.39298245614035088</v>
      </c>
      <c r="P127" s="108">
        <v>0.40903686087990487</v>
      </c>
      <c r="Q127" s="108">
        <v>0.38453038674033146</v>
      </c>
    </row>
    <row r="128" spans="1:17" x14ac:dyDescent="0.45">
      <c r="A128" s="110">
        <v>125</v>
      </c>
      <c r="B128" s="107">
        <v>-2.9999999999999574</v>
      </c>
      <c r="C128" s="107">
        <v>-7.9999999999998857E-3</v>
      </c>
      <c r="D128" s="112">
        <v>2</v>
      </c>
      <c r="E128" s="108">
        <v>0.33333333333333331</v>
      </c>
      <c r="F128" s="108">
        <v>0.30758070366340223</v>
      </c>
      <c r="G128" s="108">
        <v>0.17700398984403337</v>
      </c>
      <c r="H128" s="109">
        <v>10475.353773584906</v>
      </c>
      <c r="I128" s="109">
        <v>-9839.5491803278692</v>
      </c>
      <c r="J128" s="108">
        <v>0.18666666666666668</v>
      </c>
      <c r="K128" s="108">
        <v>0.18666666666666668</v>
      </c>
      <c r="L128" s="108">
        <v>0.28560606060606059</v>
      </c>
      <c r="M128" s="108">
        <v>0.22272727272727272</v>
      </c>
      <c r="N128" s="108">
        <v>0.60742705570291777</v>
      </c>
      <c r="O128" s="108">
        <v>0.39455782312925169</v>
      </c>
      <c r="P128" s="108">
        <v>0.41037735849056606</v>
      </c>
      <c r="Q128" s="108">
        <v>0.38596491228070173</v>
      </c>
    </row>
    <row r="129" spans="1:17" x14ac:dyDescent="0.45">
      <c r="A129" s="110">
        <v>126</v>
      </c>
      <c r="B129" s="107">
        <v>-2.9999999999999574</v>
      </c>
      <c r="C129" s="107">
        <v>-7.9365079365078233E-3</v>
      </c>
      <c r="D129" s="112">
        <v>2</v>
      </c>
      <c r="E129" s="108">
        <v>0.33333333333333331</v>
      </c>
      <c r="F129" s="108">
        <v>0.30813534917206625</v>
      </c>
      <c r="G129" s="108">
        <v>0.17710583153347731</v>
      </c>
      <c r="H129" s="109">
        <v>10438.317757009347</v>
      </c>
      <c r="I129" s="109">
        <v>-9812.3983739837404</v>
      </c>
      <c r="J129" s="108">
        <v>0.18783068783068782</v>
      </c>
      <c r="K129" s="108">
        <v>0.18783068783068782</v>
      </c>
      <c r="L129" s="108">
        <v>0.28560775540641314</v>
      </c>
      <c r="M129" s="108">
        <v>0.22296793437733034</v>
      </c>
      <c r="N129" s="108">
        <v>0.60835509138381205</v>
      </c>
      <c r="O129" s="108">
        <v>0.40133779264214048</v>
      </c>
      <c r="P129" s="108">
        <v>0.41004672897196259</v>
      </c>
      <c r="Q129" s="108">
        <v>0.38628944504896628</v>
      </c>
    </row>
    <row r="130" spans="1:17" x14ac:dyDescent="0.45">
      <c r="A130" s="110">
        <v>127</v>
      </c>
      <c r="B130" s="107">
        <v>-2.9999999999999556</v>
      </c>
      <c r="C130" s="107">
        <v>-7.8740157480313797E-3</v>
      </c>
      <c r="D130" s="112">
        <v>2</v>
      </c>
      <c r="E130" s="108">
        <v>0.33333333333333331</v>
      </c>
      <c r="F130" s="108">
        <v>0.30763740185581728</v>
      </c>
      <c r="G130" s="108">
        <v>0.17701641684511063</v>
      </c>
      <c r="H130" s="109">
        <v>10433.642691415313</v>
      </c>
      <c r="I130" s="109">
        <v>-9803.0241935483864</v>
      </c>
      <c r="J130" s="108">
        <v>0.18635170603674542</v>
      </c>
      <c r="K130" s="108">
        <v>0.18635170603674542</v>
      </c>
      <c r="L130" s="108">
        <v>0.2857142857142857</v>
      </c>
      <c r="M130" s="108">
        <v>0.22197802197802197</v>
      </c>
      <c r="N130" s="108">
        <v>0.60769230769230764</v>
      </c>
      <c r="O130" s="108">
        <v>0.39933993399339934</v>
      </c>
      <c r="P130" s="108">
        <v>0.40951276102088169</v>
      </c>
      <c r="Q130" s="108">
        <v>0.38403451995685006</v>
      </c>
    </row>
    <row r="131" spans="1:17" x14ac:dyDescent="0.45">
      <c r="A131" s="110">
        <v>128</v>
      </c>
      <c r="B131" s="107">
        <v>-2.9999999999999574</v>
      </c>
      <c r="C131" s="107">
        <v>-7.812499999999889E-3</v>
      </c>
      <c r="D131" s="112">
        <v>2</v>
      </c>
      <c r="E131" s="108">
        <v>0.33333333333333331</v>
      </c>
      <c r="F131" s="108">
        <v>0.30774697938877044</v>
      </c>
      <c r="G131" s="108">
        <v>0.17768301350390903</v>
      </c>
      <c r="H131" s="109">
        <v>10428.175519630486</v>
      </c>
      <c r="I131" s="109">
        <v>-9798.6</v>
      </c>
      <c r="J131" s="108">
        <v>0.1875</v>
      </c>
      <c r="K131" s="108">
        <v>0.1875</v>
      </c>
      <c r="L131" s="108">
        <v>0.28467683369644153</v>
      </c>
      <c r="M131" s="108">
        <v>0.22294843863471314</v>
      </c>
      <c r="N131" s="108">
        <v>0.60969387755102045</v>
      </c>
      <c r="O131" s="108">
        <v>0.40065146579804561</v>
      </c>
      <c r="P131" s="108">
        <v>0.407621247113164</v>
      </c>
      <c r="Q131" s="108">
        <v>0.38453276047261009</v>
      </c>
    </row>
    <row r="132" spans="1:17" x14ac:dyDescent="0.45">
      <c r="A132" s="110">
        <v>129</v>
      </c>
      <c r="B132" s="107">
        <v>-2.9999999999999583</v>
      </c>
      <c r="C132" s="107">
        <v>-7.7519379844960164E-3</v>
      </c>
      <c r="D132" s="112">
        <v>2</v>
      </c>
      <c r="E132" s="108">
        <v>0.33333333333333331</v>
      </c>
      <c r="F132" s="108">
        <v>0.30793650793650795</v>
      </c>
      <c r="G132" s="108">
        <v>0.17883597883597885</v>
      </c>
      <c r="H132" s="109">
        <v>10388.545246277205</v>
      </c>
      <c r="I132" s="109">
        <v>-9739.0532544378693</v>
      </c>
      <c r="J132" s="108">
        <v>0.18604651162790697</v>
      </c>
      <c r="K132" s="108">
        <v>0.18604651162790697</v>
      </c>
      <c r="L132" s="108">
        <v>0.2832618025751073</v>
      </c>
      <c r="M132" s="108">
        <v>0.22460658082975679</v>
      </c>
      <c r="N132" s="108">
        <v>0.60606060606060608</v>
      </c>
      <c r="O132" s="108">
        <v>0.40127388535031849</v>
      </c>
      <c r="P132" s="108">
        <v>0.40435280641466209</v>
      </c>
      <c r="Q132" s="108">
        <v>0.38272921108742003</v>
      </c>
    </row>
    <row r="133" spans="1:17" x14ac:dyDescent="0.45">
      <c r="A133" s="110">
        <v>130</v>
      </c>
      <c r="B133" s="107">
        <v>-2.9999999999999609</v>
      </c>
      <c r="C133" s="107">
        <v>-7.6923076923075921E-3</v>
      </c>
      <c r="D133" s="112">
        <v>2</v>
      </c>
      <c r="E133" s="108">
        <v>0.33333333333333331</v>
      </c>
      <c r="F133" s="108">
        <v>0.30785340314136128</v>
      </c>
      <c r="G133" s="108">
        <v>0.17975567190226877</v>
      </c>
      <c r="H133" s="109">
        <v>10395.464852607709</v>
      </c>
      <c r="I133" s="109">
        <v>-9734.5631067961167</v>
      </c>
      <c r="J133" s="108">
        <v>0.18461538461538463</v>
      </c>
      <c r="K133" s="108">
        <v>0.18461538461538463</v>
      </c>
      <c r="L133" s="108">
        <v>0.28081232492997199</v>
      </c>
      <c r="M133" s="108">
        <v>0.22759103641456582</v>
      </c>
      <c r="N133" s="108">
        <v>0.60349127182044893</v>
      </c>
      <c r="O133" s="108">
        <v>0.40615384615384614</v>
      </c>
      <c r="P133" s="108">
        <v>0.40136054421768708</v>
      </c>
      <c r="Q133" s="108">
        <v>0.38185654008438819</v>
      </c>
    </row>
    <row r="134" spans="1:17" x14ac:dyDescent="0.45">
      <c r="A134" s="110">
        <v>131</v>
      </c>
      <c r="B134" s="107">
        <v>-2.9999999999999609</v>
      </c>
      <c r="C134" s="107">
        <v>-7.6335877862594428E-3</v>
      </c>
      <c r="D134" s="112">
        <v>2</v>
      </c>
      <c r="E134" s="108">
        <v>0.33333333333333331</v>
      </c>
      <c r="F134" s="108">
        <v>0.30798611111111113</v>
      </c>
      <c r="G134" s="108">
        <v>0.18020833333333333</v>
      </c>
      <c r="H134" s="109">
        <v>10387.373167981961</v>
      </c>
      <c r="I134" s="109">
        <v>-9738.1502890173415</v>
      </c>
      <c r="J134" s="108">
        <v>0.18575063613231552</v>
      </c>
      <c r="K134" s="108">
        <v>0.18575063613231552</v>
      </c>
      <c r="L134" s="108">
        <v>0.28135828135828134</v>
      </c>
      <c r="M134" s="108">
        <v>0.22661122661122662</v>
      </c>
      <c r="N134" s="108">
        <v>0.60098522167487689</v>
      </c>
      <c r="O134" s="108">
        <v>0.40672782874617736</v>
      </c>
      <c r="P134" s="108">
        <v>0.40022547914317924</v>
      </c>
      <c r="Q134" s="108">
        <v>0.38300104931794332</v>
      </c>
    </row>
    <row r="135" spans="1:17" x14ac:dyDescent="0.45">
      <c r="A135" s="110">
        <v>132</v>
      </c>
      <c r="B135" s="107">
        <v>-2.99999999999996</v>
      </c>
      <c r="C135" s="107">
        <v>-7.5757575757574745E-3</v>
      </c>
      <c r="D135" s="112">
        <v>2</v>
      </c>
      <c r="E135" s="108">
        <v>0.33333333333333331</v>
      </c>
      <c r="F135" s="108">
        <v>0.30787753697970416</v>
      </c>
      <c r="G135" s="108">
        <v>0.18059855521155832</v>
      </c>
      <c r="H135" s="109">
        <v>10408.938547486034</v>
      </c>
      <c r="I135" s="109">
        <v>-9745.7142857142862</v>
      </c>
      <c r="J135" s="108">
        <v>0.18434343434343434</v>
      </c>
      <c r="K135" s="108">
        <v>0.18434343434343434</v>
      </c>
      <c r="L135" s="108">
        <v>0.28231292517006801</v>
      </c>
      <c r="M135" s="108">
        <v>0.22380952380952382</v>
      </c>
      <c r="N135" s="108">
        <v>0.60722891566265058</v>
      </c>
      <c r="O135" s="108">
        <v>0.40425531914893614</v>
      </c>
      <c r="P135" s="108">
        <v>0.39888268156424583</v>
      </c>
      <c r="Q135" s="108">
        <v>0.38149688149688149</v>
      </c>
    </row>
    <row r="136" spans="1:17" x14ac:dyDescent="0.45">
      <c r="A136" s="110">
        <v>133</v>
      </c>
      <c r="B136" s="107">
        <v>-2.9999999999999574</v>
      </c>
      <c r="C136" s="107">
        <v>-7.5187969924810959E-3</v>
      </c>
      <c r="D136" s="112">
        <v>2</v>
      </c>
      <c r="E136" s="108">
        <v>0.33333333333333331</v>
      </c>
      <c r="F136" s="108">
        <v>0.30803418803418803</v>
      </c>
      <c r="G136" s="108">
        <v>0.18119658119658119</v>
      </c>
      <c r="H136" s="109">
        <v>10395.560488346282</v>
      </c>
      <c r="I136" s="109">
        <v>-9718.6792452830196</v>
      </c>
      <c r="J136" s="108">
        <v>0.18295739348370926</v>
      </c>
      <c r="K136" s="108">
        <v>0.18295739348370926</v>
      </c>
      <c r="L136" s="108">
        <v>0.28360215053763443</v>
      </c>
      <c r="M136" s="108">
        <v>0.22379032258064516</v>
      </c>
      <c r="N136" s="108">
        <v>0.61137440758293837</v>
      </c>
      <c r="O136" s="108">
        <v>0.39939939939939939</v>
      </c>
      <c r="P136" s="108">
        <v>0.39733629300776913</v>
      </c>
      <c r="Q136" s="108">
        <v>0.37913223140495866</v>
      </c>
    </row>
    <row r="137" spans="1:17" x14ac:dyDescent="0.45">
      <c r="A137" s="110">
        <v>134</v>
      </c>
      <c r="B137" s="107">
        <v>-3.9999999999999574</v>
      </c>
      <c r="C137" s="107">
        <v>-9.9502487562187995E-3</v>
      </c>
      <c r="D137" s="112">
        <v>2</v>
      </c>
      <c r="E137" s="108">
        <v>0.33333333333333331</v>
      </c>
      <c r="F137" s="108">
        <v>0.30829103214890019</v>
      </c>
      <c r="G137" s="108">
        <v>0.18104906937394247</v>
      </c>
      <c r="H137" s="109">
        <v>10376.070252469814</v>
      </c>
      <c r="I137" s="109">
        <v>-9710.4672897196269</v>
      </c>
      <c r="J137" s="108">
        <v>0.18159203980099503</v>
      </c>
      <c r="K137" s="108">
        <v>0.18159203980099503</v>
      </c>
      <c r="L137" s="108">
        <v>0.28392621870882739</v>
      </c>
      <c r="M137" s="108">
        <v>0.22266139657444006</v>
      </c>
      <c r="N137" s="108">
        <v>0.61252900232018559</v>
      </c>
      <c r="O137" s="108">
        <v>0.40236686390532544</v>
      </c>
      <c r="P137" s="108">
        <v>0.39736553238199779</v>
      </c>
      <c r="Q137" s="108">
        <v>0.37934560327198363</v>
      </c>
    </row>
    <row r="138" spans="1:17" x14ac:dyDescent="0.45">
      <c r="A138" s="110">
        <v>135</v>
      </c>
      <c r="B138" s="107">
        <v>-3.9999999999999591</v>
      </c>
      <c r="C138" s="107">
        <v>-9.8765432098764424E-3</v>
      </c>
      <c r="D138" s="112">
        <v>2</v>
      </c>
      <c r="E138" s="108">
        <v>0.33333333333333331</v>
      </c>
      <c r="F138" s="108">
        <v>0.30784708249496984</v>
      </c>
      <c r="G138" s="108">
        <v>0.18108651911468812</v>
      </c>
      <c r="H138" s="109">
        <v>10365.577342047931</v>
      </c>
      <c r="I138" s="109">
        <v>-9692.7777777777774</v>
      </c>
      <c r="J138" s="108">
        <v>0.18024691358024691</v>
      </c>
      <c r="K138" s="108">
        <v>0.18024691358024691</v>
      </c>
      <c r="L138" s="108">
        <v>0.28478964401294499</v>
      </c>
      <c r="M138" s="108">
        <v>0.22394822006472492</v>
      </c>
      <c r="N138" s="108">
        <v>0.60681818181818181</v>
      </c>
      <c r="O138" s="108">
        <v>0.40173410404624277</v>
      </c>
      <c r="P138" s="108">
        <v>0.39651416122004357</v>
      </c>
      <c r="Q138" s="108">
        <v>0.37791286727456941</v>
      </c>
    </row>
    <row r="139" spans="1:17" x14ac:dyDescent="0.45">
      <c r="A139" s="110">
        <v>136</v>
      </c>
      <c r="B139" s="107">
        <v>-3.9999999999999627</v>
      </c>
      <c r="C139" s="107">
        <v>-9.8039215686273589E-3</v>
      </c>
      <c r="D139" s="112">
        <v>2</v>
      </c>
      <c r="E139" s="108">
        <v>0.33333333333333331</v>
      </c>
      <c r="F139" s="108">
        <v>0.30774343635759388</v>
      </c>
      <c r="G139" s="108">
        <v>0.1807909604519774</v>
      </c>
      <c r="H139" s="109">
        <v>10387.365010799136</v>
      </c>
      <c r="I139" s="109">
        <v>-9662.1323529411766</v>
      </c>
      <c r="J139" s="108">
        <v>0.17892156862745098</v>
      </c>
      <c r="K139" s="108">
        <v>0.17892156862745098</v>
      </c>
      <c r="L139" s="108">
        <v>0.28498727735368956</v>
      </c>
      <c r="M139" s="108">
        <v>0.22582697201017812</v>
      </c>
      <c r="N139" s="108">
        <v>0.6071428571428571</v>
      </c>
      <c r="O139" s="108">
        <v>0.39718309859154932</v>
      </c>
      <c r="P139" s="108">
        <v>0.39740820734341253</v>
      </c>
      <c r="Q139" s="108">
        <v>0.37851405622489959</v>
      </c>
    </row>
    <row r="140" spans="1:17" x14ac:dyDescent="0.45">
      <c r="A140" s="110">
        <v>137</v>
      </c>
      <c r="B140" s="107">
        <v>-3.9999999999999645</v>
      </c>
      <c r="C140" s="107">
        <v>-9.7323600973235145E-3</v>
      </c>
      <c r="D140" s="112">
        <v>2</v>
      </c>
      <c r="E140" s="108">
        <v>0.33333333333333331</v>
      </c>
      <c r="F140" s="108">
        <v>0.30753968253968256</v>
      </c>
      <c r="G140" s="108">
        <v>0.18055555555555555</v>
      </c>
      <c r="H140" s="109">
        <v>10396.451612903225</v>
      </c>
      <c r="I140" s="109">
        <v>-9670.6959706959715</v>
      </c>
      <c r="J140" s="108">
        <v>0.18004866180048662</v>
      </c>
      <c r="K140" s="108">
        <v>0.18004866180048662</v>
      </c>
      <c r="L140" s="108">
        <v>0.28355387523629488</v>
      </c>
      <c r="M140" s="108">
        <v>0.22558286074354128</v>
      </c>
      <c r="N140" s="108">
        <v>0.60888888888888892</v>
      </c>
      <c r="O140" s="108">
        <v>0.39664804469273746</v>
      </c>
      <c r="P140" s="108">
        <v>0.39784946236559138</v>
      </c>
      <c r="Q140" s="108">
        <v>0.37862137862137862</v>
      </c>
    </row>
    <row r="141" spans="1:17" x14ac:dyDescent="0.45">
      <c r="A141" s="110">
        <v>138</v>
      </c>
      <c r="B141" s="107">
        <v>-3.9999999999999645</v>
      </c>
      <c r="C141" s="107">
        <v>-9.6618357487921851E-3</v>
      </c>
      <c r="D141" s="112">
        <v>2</v>
      </c>
      <c r="E141" s="108">
        <v>0.33333333333333331</v>
      </c>
      <c r="F141" s="108">
        <v>0.30766699572227707</v>
      </c>
      <c r="G141" s="108">
        <v>0.18032247449819019</v>
      </c>
      <c r="H141" s="109">
        <v>10402.887700534759</v>
      </c>
      <c r="I141" s="109">
        <v>-9679.1970802919714</v>
      </c>
      <c r="J141" s="108">
        <v>0.18115942028985507</v>
      </c>
      <c r="K141" s="108">
        <v>0.18115942028985507</v>
      </c>
      <c r="L141" s="108">
        <v>0.28277153558052437</v>
      </c>
      <c r="M141" s="108">
        <v>0.22409488139825218</v>
      </c>
      <c r="N141" s="108">
        <v>0.61147902869757176</v>
      </c>
      <c r="O141" s="108">
        <v>0.3955431754874652</v>
      </c>
      <c r="P141" s="108">
        <v>0.39893048128342246</v>
      </c>
      <c r="Q141" s="108">
        <v>0.3797216699801193</v>
      </c>
    </row>
    <row r="142" spans="1:17" x14ac:dyDescent="0.45">
      <c r="A142" s="110">
        <v>139</v>
      </c>
      <c r="B142" s="107">
        <v>-3.9999999999999645</v>
      </c>
      <c r="C142" s="107">
        <v>-9.5923261390886434E-3</v>
      </c>
      <c r="D142" s="112">
        <v>2</v>
      </c>
      <c r="E142" s="108">
        <v>0.33333333333333331</v>
      </c>
      <c r="F142" s="108">
        <v>0.3080957063257948</v>
      </c>
      <c r="G142" s="108">
        <v>0.18026876433956079</v>
      </c>
      <c r="H142" s="109">
        <v>10399.680851063829</v>
      </c>
      <c r="I142" s="109">
        <v>-9713.0909090909099</v>
      </c>
      <c r="J142" s="108">
        <v>0.18225419664268586</v>
      </c>
      <c r="K142" s="108">
        <v>0.18225419664268586</v>
      </c>
      <c r="L142" s="108">
        <v>0.28252788104089221</v>
      </c>
      <c r="M142" s="108">
        <v>0.22490706319702602</v>
      </c>
      <c r="N142" s="108">
        <v>0.61184210526315785</v>
      </c>
      <c r="O142" s="108">
        <v>0.39944903581267216</v>
      </c>
      <c r="P142" s="108">
        <v>0.39893617021276595</v>
      </c>
      <c r="Q142" s="108">
        <v>0.38118811881188119</v>
      </c>
    </row>
    <row r="143" spans="1:17" x14ac:dyDescent="0.45">
      <c r="A143" s="110">
        <v>140</v>
      </c>
      <c r="B143" s="107">
        <v>-3.9999999999999654</v>
      </c>
      <c r="C143" s="107">
        <v>-9.5238095238094414E-3</v>
      </c>
      <c r="D143" s="112">
        <v>2</v>
      </c>
      <c r="E143" s="108">
        <v>0.33333333333333331</v>
      </c>
      <c r="F143" s="108">
        <v>0.30769230769230771</v>
      </c>
      <c r="G143" s="108">
        <v>0.1804608893216488</v>
      </c>
      <c r="H143" s="109">
        <v>10399.683544303798</v>
      </c>
      <c r="I143" s="109">
        <v>-9714.7482014388497</v>
      </c>
      <c r="J143" s="108">
        <v>0.18095238095238095</v>
      </c>
      <c r="K143" s="108">
        <v>0.18095238095238095</v>
      </c>
      <c r="L143" s="108">
        <v>0.28223844282238442</v>
      </c>
      <c r="M143" s="108">
        <v>0.2281021897810219</v>
      </c>
      <c r="N143" s="108">
        <v>0.60775862068965514</v>
      </c>
      <c r="O143" s="108">
        <v>0.39733333333333332</v>
      </c>
      <c r="P143" s="108">
        <v>0.39767932489451474</v>
      </c>
      <c r="Q143" s="108">
        <v>0.38039215686274508</v>
      </c>
    </row>
    <row r="144" spans="1:17" x14ac:dyDescent="0.45">
      <c r="A144" s="110">
        <v>141</v>
      </c>
      <c r="B144" s="107">
        <v>-3.9999999999999636</v>
      </c>
      <c r="C144" s="107">
        <v>-9.4562647754136264E-3</v>
      </c>
      <c r="D144" s="112">
        <v>2</v>
      </c>
      <c r="E144" s="108">
        <v>0.33333333333333331</v>
      </c>
      <c r="F144" s="108">
        <v>0.30732177263969174</v>
      </c>
      <c r="G144" s="108">
        <v>0.18047527296082208</v>
      </c>
      <c r="H144" s="109">
        <v>10382.863113897596</v>
      </c>
      <c r="I144" s="109">
        <v>-9695.5516014234872</v>
      </c>
      <c r="J144" s="108">
        <v>0.17966903073286053</v>
      </c>
      <c r="K144" s="108">
        <v>0.17966903073286053</v>
      </c>
      <c r="L144" s="108">
        <v>0.28205128205128205</v>
      </c>
      <c r="M144" s="108">
        <v>0.22778771615980919</v>
      </c>
      <c r="N144" s="108">
        <v>0.60887949260042284</v>
      </c>
      <c r="O144" s="108">
        <v>0.39528795811518325</v>
      </c>
      <c r="P144" s="108">
        <v>0.39707419017763845</v>
      </c>
      <c r="Q144" s="108">
        <v>0.37924345295829293</v>
      </c>
    </row>
    <row r="145" spans="1:17" x14ac:dyDescent="0.45">
      <c r="A145" s="110">
        <v>142</v>
      </c>
      <c r="B145" s="107">
        <v>-3.9999999999999645</v>
      </c>
      <c r="C145" s="107">
        <v>-9.3896713615022644E-3</v>
      </c>
      <c r="D145" s="112">
        <v>2</v>
      </c>
      <c r="E145" s="108">
        <v>0.33333333333333331</v>
      </c>
      <c r="F145" s="108">
        <v>0.30653907496012761</v>
      </c>
      <c r="G145" s="108">
        <v>0.18022328548644337</v>
      </c>
      <c r="H145" s="109">
        <v>10383.766909469303</v>
      </c>
      <c r="I145" s="109">
        <v>-9707.787610619469</v>
      </c>
      <c r="J145" s="108">
        <v>0.17840375586854459</v>
      </c>
      <c r="K145" s="108">
        <v>0.17840375586854459</v>
      </c>
      <c r="L145" s="108">
        <v>0.28032979976442873</v>
      </c>
      <c r="M145" s="108">
        <v>0.22732626619552415</v>
      </c>
      <c r="N145" s="108">
        <v>0.6071428571428571</v>
      </c>
      <c r="O145" s="108">
        <v>0.39637305699481867</v>
      </c>
      <c r="P145" s="108">
        <v>0.39646201873048909</v>
      </c>
      <c r="Q145" s="108">
        <v>0.37764932562620424</v>
      </c>
    </row>
    <row r="146" spans="1:17" x14ac:dyDescent="0.45">
      <c r="A146" s="110">
        <v>143</v>
      </c>
      <c r="B146" s="107">
        <v>-3.9999999999999645</v>
      </c>
      <c r="C146" s="107">
        <v>-9.3240093240092407E-3</v>
      </c>
      <c r="D146" s="112">
        <v>2</v>
      </c>
      <c r="E146" s="108">
        <v>0.33333333333333331</v>
      </c>
      <c r="F146" s="108">
        <v>0.30642608420386197</v>
      </c>
      <c r="G146" s="108">
        <v>0.18012029123140233</v>
      </c>
      <c r="H146" s="109">
        <v>10388.326446280991</v>
      </c>
      <c r="I146" s="109">
        <v>-9701.2302284710022</v>
      </c>
      <c r="J146" s="108">
        <v>0.17948717948717949</v>
      </c>
      <c r="K146" s="108">
        <v>0.17948717948717949</v>
      </c>
      <c r="L146" s="108">
        <v>0.28222996515679444</v>
      </c>
      <c r="M146" s="108">
        <v>0.22764227642276422</v>
      </c>
      <c r="N146" s="108">
        <v>0.60288065843621397</v>
      </c>
      <c r="O146" s="108">
        <v>0.39795918367346939</v>
      </c>
      <c r="P146" s="108">
        <v>0.39669421487603307</v>
      </c>
      <c r="Q146" s="108">
        <v>0.37667304015296366</v>
      </c>
    </row>
    <row r="147" spans="1:17" x14ac:dyDescent="0.45">
      <c r="A147" s="110">
        <v>144</v>
      </c>
      <c r="B147" s="107">
        <v>-3.999999999999968</v>
      </c>
      <c r="C147" s="107">
        <v>-9.2592592592591859E-3</v>
      </c>
      <c r="D147" s="112">
        <v>2</v>
      </c>
      <c r="E147" s="108">
        <v>0.33333333333333331</v>
      </c>
      <c r="F147" s="108">
        <v>0.30665411173885748</v>
      </c>
      <c r="G147" s="108">
        <v>0.17922159447583177</v>
      </c>
      <c r="H147" s="109">
        <v>10359.365404298875</v>
      </c>
      <c r="I147" s="109">
        <v>-9679.8598949211901</v>
      </c>
      <c r="J147" s="108">
        <v>0.17824074074074073</v>
      </c>
      <c r="K147" s="108">
        <v>0.17824074074074073</v>
      </c>
      <c r="L147" s="108">
        <v>0.28187535734705543</v>
      </c>
      <c r="M147" s="108">
        <v>0.22870211549456831</v>
      </c>
      <c r="N147" s="108">
        <v>0.60243407707910746</v>
      </c>
      <c r="O147" s="108">
        <v>0.40250000000000002</v>
      </c>
      <c r="P147" s="108">
        <v>0.40020470829068577</v>
      </c>
      <c r="Q147" s="108">
        <v>0.37630331753554502</v>
      </c>
    </row>
    <row r="148" spans="1:17" x14ac:dyDescent="0.45">
      <c r="A148" s="110">
        <v>145</v>
      </c>
      <c r="B148" s="107">
        <v>-3.999999999999968</v>
      </c>
      <c r="C148" s="107">
        <v>-9.1954022988505017E-3</v>
      </c>
      <c r="D148" s="112">
        <v>2</v>
      </c>
      <c r="E148" s="108">
        <v>0.33333333333333331</v>
      </c>
      <c r="F148" s="108">
        <v>0.30628109452736318</v>
      </c>
      <c r="G148" s="108">
        <v>0.17972636815920398</v>
      </c>
      <c r="H148" s="109">
        <v>10336.954314720811</v>
      </c>
      <c r="I148" s="109">
        <v>-9647.0588235294126</v>
      </c>
      <c r="J148" s="108">
        <v>0.17701149425287357</v>
      </c>
      <c r="K148" s="108">
        <v>0.17701149425287357</v>
      </c>
      <c r="L148" s="108">
        <v>0.28274311410905001</v>
      </c>
      <c r="M148" s="108">
        <v>0.22878021360314785</v>
      </c>
      <c r="N148" s="108">
        <v>0.60039761431411531</v>
      </c>
      <c r="O148" s="108">
        <v>0.40049140049140047</v>
      </c>
      <c r="P148" s="108">
        <v>0.39796954314720812</v>
      </c>
      <c r="Q148" s="108">
        <v>0.37558685446009388</v>
      </c>
    </row>
    <row r="149" spans="1:17" x14ac:dyDescent="0.45">
      <c r="A149" s="110">
        <v>146</v>
      </c>
      <c r="B149" s="107">
        <v>-3.9999999999999751</v>
      </c>
      <c r="C149" s="107">
        <v>-9.1324200913241449E-3</v>
      </c>
      <c r="D149" s="112">
        <v>2</v>
      </c>
      <c r="E149" s="108">
        <v>0.33333333333333331</v>
      </c>
      <c r="F149" s="108">
        <v>0.30617283950617286</v>
      </c>
      <c r="G149" s="108">
        <v>0.17962962962962964</v>
      </c>
      <c r="H149" s="109">
        <v>10332.762096774193</v>
      </c>
      <c r="I149" s="109">
        <v>-9594.8453608247419</v>
      </c>
      <c r="J149" s="108">
        <v>0.17808219178082191</v>
      </c>
      <c r="K149" s="108">
        <v>0.17808219178082191</v>
      </c>
      <c r="L149" s="108">
        <v>0.28175263449805882</v>
      </c>
      <c r="M149" s="108">
        <v>0.22961730449251247</v>
      </c>
      <c r="N149" s="108">
        <v>0.60039370078740162</v>
      </c>
      <c r="O149" s="108">
        <v>0.40338164251207731</v>
      </c>
      <c r="P149" s="108">
        <v>0.39818548387096775</v>
      </c>
      <c r="Q149" s="108">
        <v>0.37465051258154708</v>
      </c>
    </row>
    <row r="150" spans="1:17" x14ac:dyDescent="0.45">
      <c r="A150" s="110">
        <v>147</v>
      </c>
      <c r="B150" s="107">
        <v>-3.9999999999999751</v>
      </c>
      <c r="C150" s="107">
        <v>-9.0702947845804419E-3</v>
      </c>
      <c r="D150" s="112">
        <v>2</v>
      </c>
      <c r="E150" s="108">
        <v>0.33333333333333331</v>
      </c>
      <c r="F150" s="108">
        <v>0.30637254901960786</v>
      </c>
      <c r="G150" s="108">
        <v>0.17922794117647059</v>
      </c>
      <c r="H150" s="109">
        <v>10354.9</v>
      </c>
      <c r="I150" s="109">
        <v>-9577.7777777777774</v>
      </c>
      <c r="J150" s="108">
        <v>0.17687074829931973</v>
      </c>
      <c r="K150" s="108">
        <v>0.17687074829931973</v>
      </c>
      <c r="L150" s="108">
        <v>0.28188286808976465</v>
      </c>
      <c r="M150" s="108">
        <v>0.22988505747126436</v>
      </c>
      <c r="N150" s="108">
        <v>0.6</v>
      </c>
      <c r="O150" s="108">
        <v>0.40476190476190477</v>
      </c>
      <c r="P150" s="108">
        <v>0.4</v>
      </c>
      <c r="Q150" s="108">
        <v>0.37372802960222018</v>
      </c>
    </row>
    <row r="151" spans="1:17" x14ac:dyDescent="0.45">
      <c r="A151" s="110">
        <v>148</v>
      </c>
      <c r="B151" s="107">
        <v>-3.9999999999999716</v>
      </c>
      <c r="C151" s="107">
        <v>-9.0090090090089447E-3</v>
      </c>
      <c r="D151" s="112">
        <v>2</v>
      </c>
      <c r="E151" s="108">
        <v>0.33333333333333331</v>
      </c>
      <c r="F151" s="108">
        <v>0.306314511232544</v>
      </c>
      <c r="G151" s="108">
        <v>0.17972070431086826</v>
      </c>
      <c r="H151" s="109">
        <v>10345.094152626363</v>
      </c>
      <c r="I151" s="109">
        <v>-9561.3175675675684</v>
      </c>
      <c r="J151" s="108">
        <v>0.17567567567567569</v>
      </c>
      <c r="K151" s="108">
        <v>0.17567567567567569</v>
      </c>
      <c r="L151" s="108">
        <v>0.28217555196553579</v>
      </c>
      <c r="M151" s="108">
        <v>0.23047926763597198</v>
      </c>
      <c r="N151" s="108">
        <v>0.60114503816793896</v>
      </c>
      <c r="O151" s="108">
        <v>0.40186915887850466</v>
      </c>
      <c r="P151" s="108">
        <v>0.39841427155599601</v>
      </c>
      <c r="Q151" s="108">
        <v>0.37305224564619616</v>
      </c>
    </row>
    <row r="152" spans="1:17" x14ac:dyDescent="0.45">
      <c r="A152" s="110">
        <v>149</v>
      </c>
      <c r="B152" s="107">
        <v>-3.9999999999999716</v>
      </c>
      <c r="C152" s="107">
        <v>-8.9485458612974748E-3</v>
      </c>
      <c r="D152" s="112">
        <v>2</v>
      </c>
      <c r="E152" s="108">
        <v>0.33333333333333331</v>
      </c>
      <c r="F152" s="108">
        <v>0.3061594202898551</v>
      </c>
      <c r="G152" s="108">
        <v>0.17934782608695651</v>
      </c>
      <c r="H152" s="109">
        <v>10371.005917159764</v>
      </c>
      <c r="I152" s="109">
        <v>-9579.6296296296296</v>
      </c>
      <c r="J152" s="108">
        <v>0.1767337807606264</v>
      </c>
      <c r="K152" s="108">
        <v>0.1767337807606264</v>
      </c>
      <c r="L152" s="108">
        <v>0.28426666666666667</v>
      </c>
      <c r="M152" s="108">
        <v>0.2288</v>
      </c>
      <c r="N152" s="108">
        <v>0.59849906191369606</v>
      </c>
      <c r="O152" s="108">
        <v>0.40326340326340326</v>
      </c>
      <c r="P152" s="108">
        <v>0.39940828402366862</v>
      </c>
      <c r="Q152" s="108">
        <v>0.37192342752962626</v>
      </c>
    </row>
    <row r="153" spans="1:17" x14ac:dyDescent="0.45">
      <c r="A153" s="110">
        <v>150</v>
      </c>
      <c r="B153" s="107">
        <v>-3.9999999999999716</v>
      </c>
      <c r="C153" s="107">
        <v>-8.8888888888888264E-3</v>
      </c>
      <c r="D153" s="112">
        <v>2</v>
      </c>
      <c r="E153" s="108">
        <v>0.33333333333333331</v>
      </c>
      <c r="F153" s="108">
        <v>0.30598136459272618</v>
      </c>
      <c r="G153" s="108">
        <v>0.17914036669672379</v>
      </c>
      <c r="H153" s="109">
        <v>10369.548133595285</v>
      </c>
      <c r="I153" s="109">
        <v>-9587.7516778523495</v>
      </c>
      <c r="J153" s="108">
        <v>0.17777777777777778</v>
      </c>
      <c r="K153" s="108">
        <v>0.17777777777777778</v>
      </c>
      <c r="L153" s="108">
        <v>0.28306878306878308</v>
      </c>
      <c r="M153" s="108">
        <v>0.23068783068783069</v>
      </c>
      <c r="N153" s="108">
        <v>0.5962616822429907</v>
      </c>
      <c r="O153" s="108">
        <v>0.40596330275229359</v>
      </c>
      <c r="P153" s="108">
        <v>0.39980353634577603</v>
      </c>
      <c r="Q153" s="108">
        <v>0.3720508166969147</v>
      </c>
    </row>
    <row r="154" spans="1:17" x14ac:dyDescent="0.45">
      <c r="A154" s="110">
        <v>151</v>
      </c>
      <c r="B154" s="107">
        <v>-3.999999999999968</v>
      </c>
      <c r="C154" s="107">
        <v>-8.8300220750551165E-3</v>
      </c>
      <c r="D154" s="112">
        <v>2</v>
      </c>
      <c r="E154" s="108">
        <v>0.33333333333333331</v>
      </c>
      <c r="F154" s="108">
        <v>0.30585424133811229</v>
      </c>
      <c r="G154" s="108">
        <v>0.17951015531660694</v>
      </c>
      <c r="H154" s="109">
        <v>10372.36328125</v>
      </c>
      <c r="I154" s="109">
        <v>-9602.9950083194672</v>
      </c>
      <c r="J154" s="108">
        <v>0.17660044150110377</v>
      </c>
      <c r="K154" s="108">
        <v>0.17660044150110377</v>
      </c>
      <c r="L154" s="108">
        <v>0.28205128205128205</v>
      </c>
      <c r="M154" s="108">
        <v>0.22972265829408686</v>
      </c>
      <c r="N154" s="108">
        <v>0.5992578849721707</v>
      </c>
      <c r="O154" s="108">
        <v>0.40774487471526194</v>
      </c>
      <c r="P154" s="108">
        <v>0.3984375</v>
      </c>
      <c r="Q154" s="108">
        <v>0.369702434625789</v>
      </c>
    </row>
    <row r="155" spans="1:17" x14ac:dyDescent="0.45">
      <c r="A155" s="110">
        <v>152</v>
      </c>
      <c r="B155" s="107">
        <v>-3.9999999999999645</v>
      </c>
      <c r="C155" s="107">
        <v>-8.771929824561325E-3</v>
      </c>
      <c r="D155" s="112">
        <v>2</v>
      </c>
      <c r="E155" s="108">
        <v>0.33333333333333331</v>
      </c>
      <c r="F155" s="108">
        <v>0.30582667849748596</v>
      </c>
      <c r="G155" s="108">
        <v>0.17953268263827271</v>
      </c>
      <c r="H155" s="109">
        <v>10319.922630560928</v>
      </c>
      <c r="I155" s="109">
        <v>-9557.1663920922565</v>
      </c>
      <c r="J155" s="108">
        <v>0.17763157894736842</v>
      </c>
      <c r="K155" s="108">
        <v>0.17763157894736842</v>
      </c>
      <c r="L155" s="108">
        <v>0.28086419753086422</v>
      </c>
      <c r="M155" s="108">
        <v>0.22942386831275721</v>
      </c>
      <c r="N155" s="108">
        <v>0.59523809523809523</v>
      </c>
      <c r="O155" s="108">
        <v>0.4103139013452915</v>
      </c>
      <c r="P155" s="108">
        <v>0.39845261121856868</v>
      </c>
      <c r="Q155" s="108">
        <v>0.37232142857142858</v>
      </c>
    </row>
    <row r="156" spans="1:17" x14ac:dyDescent="0.45">
      <c r="A156" s="110">
        <v>153</v>
      </c>
      <c r="B156" s="107">
        <v>-3.9999999999999716</v>
      </c>
      <c r="C156" s="107">
        <v>-8.7145969498910059E-3</v>
      </c>
      <c r="D156" s="112">
        <v>2</v>
      </c>
      <c r="E156" s="108">
        <v>0.33333333333333331</v>
      </c>
      <c r="F156" s="108">
        <v>0.30565371024734983</v>
      </c>
      <c r="G156" s="108">
        <v>0.17962308598351001</v>
      </c>
      <c r="H156" s="109">
        <v>10320.038535645472</v>
      </c>
      <c r="I156" s="109">
        <v>-9573.442622950819</v>
      </c>
      <c r="J156" s="108">
        <v>0.1786492374727669</v>
      </c>
      <c r="K156" s="108">
        <v>0.1786492374727669</v>
      </c>
      <c r="L156" s="108">
        <v>0.28075548749361917</v>
      </c>
      <c r="M156" s="108">
        <v>0.22970903522205208</v>
      </c>
      <c r="N156" s="108">
        <v>0.59272727272727277</v>
      </c>
      <c r="O156" s="108">
        <v>0.40888888888888891</v>
      </c>
      <c r="P156" s="108">
        <v>0.39788053949903662</v>
      </c>
      <c r="Q156" s="108">
        <v>0.37155555555555553</v>
      </c>
    </row>
    <row r="157" spans="1:17" x14ac:dyDescent="0.45">
      <c r="A157" s="110">
        <v>154</v>
      </c>
      <c r="B157" s="107">
        <v>-3.9999999999999751</v>
      </c>
      <c r="C157" s="107">
        <v>-8.6580086580086042E-3</v>
      </c>
      <c r="D157" s="112">
        <v>2</v>
      </c>
      <c r="E157" s="108">
        <v>0.33333333333333331</v>
      </c>
      <c r="F157" s="108">
        <v>0.30584795321637426</v>
      </c>
      <c r="G157" s="108">
        <v>0.17923976608187134</v>
      </c>
      <c r="H157" s="109">
        <v>10319.789674952199</v>
      </c>
      <c r="I157" s="109">
        <v>-9569.4942903752035</v>
      </c>
      <c r="J157" s="108">
        <v>0.17965367965367965</v>
      </c>
      <c r="K157" s="108">
        <v>0.17965367965367965</v>
      </c>
      <c r="L157" s="108">
        <v>0.28139183055975792</v>
      </c>
      <c r="M157" s="108">
        <v>0.22894604135148763</v>
      </c>
      <c r="N157" s="108">
        <v>0.59498207885304655</v>
      </c>
      <c r="O157" s="108">
        <v>0.40748898678414097</v>
      </c>
      <c r="P157" s="108">
        <v>0.39866156787762907</v>
      </c>
      <c r="Q157" s="108">
        <v>0.37246248896734335</v>
      </c>
    </row>
    <row r="158" spans="1:17" x14ac:dyDescent="0.45">
      <c r="A158" s="110">
        <v>155</v>
      </c>
      <c r="B158" s="107">
        <v>-3.9999999999999751</v>
      </c>
      <c r="C158" s="107">
        <v>-8.6021505376343548E-3</v>
      </c>
      <c r="D158" s="112">
        <v>2</v>
      </c>
      <c r="E158" s="108">
        <v>0.33333333333333331</v>
      </c>
      <c r="F158" s="108">
        <v>0.30577313606034234</v>
      </c>
      <c r="G158" s="108">
        <v>0.17957644328401509</v>
      </c>
      <c r="H158" s="109">
        <v>10324.857685009487</v>
      </c>
      <c r="I158" s="109">
        <v>-9592.8917609046857</v>
      </c>
      <c r="J158" s="108">
        <v>0.17849462365591398</v>
      </c>
      <c r="K158" s="108">
        <v>0.17849462365591398</v>
      </c>
      <c r="L158" s="108">
        <v>0.28308457711442786</v>
      </c>
      <c r="M158" s="108">
        <v>0.22686567164179106</v>
      </c>
      <c r="N158" s="108">
        <v>0.59402460456942008</v>
      </c>
      <c r="O158" s="108">
        <v>0.40789473684210525</v>
      </c>
      <c r="P158" s="108">
        <v>0.39753320683111953</v>
      </c>
      <c r="Q158" s="108">
        <v>0.37127845884413307</v>
      </c>
    </row>
    <row r="159" spans="1:17" x14ac:dyDescent="0.45">
      <c r="A159" s="110">
        <v>156</v>
      </c>
      <c r="B159" s="107">
        <v>-3.9999999999999751</v>
      </c>
      <c r="C159" s="107">
        <v>-8.5470085470084941E-3</v>
      </c>
      <c r="D159" s="112">
        <v>2</v>
      </c>
      <c r="E159" s="108">
        <v>0.33333333333333331</v>
      </c>
      <c r="F159" s="108">
        <v>0.3059873344847438</v>
      </c>
      <c r="G159" s="108">
        <v>0.17962003454231434</v>
      </c>
      <c r="H159" s="109">
        <v>10309.125117591722</v>
      </c>
      <c r="I159" s="109">
        <v>-9575.6410256410254</v>
      </c>
      <c r="J159" s="108">
        <v>0.17735042735042736</v>
      </c>
      <c r="K159" s="108">
        <v>0.17735042735042736</v>
      </c>
      <c r="L159" s="108">
        <v>0.28325969563082964</v>
      </c>
      <c r="M159" s="108">
        <v>0.22582228767795778</v>
      </c>
      <c r="N159" s="108">
        <v>0.59618717504332752</v>
      </c>
      <c r="O159" s="108">
        <v>0.40652173913043477</v>
      </c>
      <c r="P159" s="108">
        <v>0.39793038570084666</v>
      </c>
      <c r="Q159" s="108">
        <v>0.37098175499565594</v>
      </c>
    </row>
    <row r="160" spans="1:17" x14ac:dyDescent="0.45">
      <c r="A160" s="110">
        <v>157</v>
      </c>
      <c r="B160" s="107">
        <v>-3.9999999999999769</v>
      </c>
      <c r="C160" s="107">
        <v>-8.4925690021230935E-3</v>
      </c>
      <c r="D160" s="112">
        <v>2</v>
      </c>
      <c r="E160" s="108">
        <v>0.33333333333333331</v>
      </c>
      <c r="F160" s="108">
        <v>0.3059125964010283</v>
      </c>
      <c r="G160" s="108">
        <v>0.17994858611825193</v>
      </c>
      <c r="H160" s="109">
        <v>10278.151260504203</v>
      </c>
      <c r="I160" s="109">
        <v>-9521.4285714285706</v>
      </c>
      <c r="J160" s="108">
        <v>0.17622080679405519</v>
      </c>
      <c r="K160" s="108">
        <v>0.17622080679405519</v>
      </c>
      <c r="L160" s="108">
        <v>0.28439922480620156</v>
      </c>
      <c r="M160" s="108">
        <v>0.22674418604651161</v>
      </c>
      <c r="N160" s="108">
        <v>0.59454855195911416</v>
      </c>
      <c r="O160" s="108">
        <v>0.40384615384615385</v>
      </c>
      <c r="P160" s="108">
        <v>0.3968253968253968</v>
      </c>
      <c r="Q160" s="108">
        <v>0.36982758620689654</v>
      </c>
    </row>
    <row r="161" spans="1:17" x14ac:dyDescent="0.45">
      <c r="A161" s="110">
        <v>158</v>
      </c>
      <c r="B161" s="107">
        <v>-3.9999999999999769</v>
      </c>
      <c r="C161" s="107">
        <v>-8.4388185654007946E-3</v>
      </c>
      <c r="D161" s="112">
        <v>2</v>
      </c>
      <c r="E161" s="108">
        <v>0.33333333333333331</v>
      </c>
      <c r="F161" s="108">
        <v>0.30534351145038169</v>
      </c>
      <c r="G161" s="108">
        <v>0.17924795024031664</v>
      </c>
      <c r="H161" s="109">
        <v>10288.425925925925</v>
      </c>
      <c r="I161" s="109">
        <v>-9507.886435331231</v>
      </c>
      <c r="J161" s="108">
        <v>0.17510548523206751</v>
      </c>
      <c r="K161" s="108">
        <v>0.17510548523206751</v>
      </c>
      <c r="L161" s="108">
        <v>0.28333333333333333</v>
      </c>
      <c r="M161" s="108">
        <v>0.2280952380952381</v>
      </c>
      <c r="N161" s="108">
        <v>0.59495798319327731</v>
      </c>
      <c r="O161" s="108">
        <v>0.39874739039665968</v>
      </c>
      <c r="P161" s="108">
        <v>0.39814814814814814</v>
      </c>
      <c r="Q161" s="108">
        <v>0.36860068259385664</v>
      </c>
    </row>
    <row r="162" spans="1:17" x14ac:dyDescent="0.45">
      <c r="A162" s="110">
        <v>159</v>
      </c>
      <c r="B162" s="107">
        <v>-3.9999999999999787</v>
      </c>
      <c r="C162" s="107">
        <v>-8.3857442348007939E-3</v>
      </c>
      <c r="D162" s="112">
        <v>2</v>
      </c>
      <c r="E162" s="108">
        <v>0.33333333333333331</v>
      </c>
      <c r="F162" s="108">
        <v>0.30522765598650925</v>
      </c>
      <c r="G162" s="108">
        <v>0.17931422147273748</v>
      </c>
      <c r="H162" s="109">
        <v>10282.780847145488</v>
      </c>
      <c r="I162" s="109">
        <v>-9516.6144200626968</v>
      </c>
      <c r="J162" s="108">
        <v>0.1761006289308176</v>
      </c>
      <c r="K162" s="108">
        <v>0.1761006289308176</v>
      </c>
      <c r="L162" s="108">
        <v>0.28194247996228194</v>
      </c>
      <c r="M162" s="108">
        <v>0.23008015087223008</v>
      </c>
      <c r="N162" s="108">
        <v>0.59531772575250841</v>
      </c>
      <c r="O162" s="108">
        <v>0.39959016393442626</v>
      </c>
      <c r="P162" s="108">
        <v>0.39686924493554326</v>
      </c>
      <c r="Q162" s="108">
        <v>0.36810856658184904</v>
      </c>
    </row>
    <row r="163" spans="1:17" x14ac:dyDescent="0.45">
      <c r="A163" s="110">
        <v>160</v>
      </c>
      <c r="B163" s="107">
        <v>-3.9999999999999787</v>
      </c>
      <c r="C163" s="107">
        <v>-8.3333333333332881E-3</v>
      </c>
      <c r="D163" s="112">
        <v>2</v>
      </c>
      <c r="E163" s="108">
        <v>0.33333333333333331</v>
      </c>
      <c r="F163" s="108">
        <v>0.30488145048814502</v>
      </c>
      <c r="G163" s="108">
        <v>0.1790794979079498</v>
      </c>
      <c r="H163" s="109">
        <v>10261.299176578224</v>
      </c>
      <c r="I163" s="109">
        <v>-9502.9595015576324</v>
      </c>
      <c r="J163" s="108">
        <v>0.17499999999999999</v>
      </c>
      <c r="K163" s="108">
        <v>0.17499999999999999</v>
      </c>
      <c r="L163" s="108">
        <v>0.28119180633147112</v>
      </c>
      <c r="M163" s="108">
        <v>0.22951582867783984</v>
      </c>
      <c r="N163" s="108">
        <v>0.59602649006622521</v>
      </c>
      <c r="O163" s="108">
        <v>0.39959432048681542</v>
      </c>
      <c r="P163" s="108">
        <v>0.39707227813357732</v>
      </c>
      <c r="Q163" s="108">
        <v>0.36616161616161619</v>
      </c>
    </row>
    <row r="164" spans="1:17" x14ac:dyDescent="0.45">
      <c r="A164" s="110">
        <v>161</v>
      </c>
      <c r="B164" s="107">
        <v>-3.9999999999999787</v>
      </c>
      <c r="C164" s="107">
        <v>-8.2815734989647588E-3</v>
      </c>
      <c r="D164" s="112">
        <v>2</v>
      </c>
      <c r="E164" s="108">
        <v>0.33333333333333331</v>
      </c>
      <c r="F164" s="108">
        <v>0.30514096185737977</v>
      </c>
      <c r="G164" s="108">
        <v>0.17882808181315643</v>
      </c>
      <c r="H164" s="109">
        <v>10258.061594202898</v>
      </c>
      <c r="I164" s="109">
        <v>-9493.3539412673872</v>
      </c>
      <c r="J164" s="108">
        <v>0.17598343685300208</v>
      </c>
      <c r="K164" s="108">
        <v>0.17598343685300208</v>
      </c>
      <c r="L164" s="108">
        <v>0.28381476386978449</v>
      </c>
      <c r="M164" s="108">
        <v>0.22879413113250802</v>
      </c>
      <c r="N164" s="108">
        <v>0.59612277867528274</v>
      </c>
      <c r="O164" s="108">
        <v>0.39679358717434871</v>
      </c>
      <c r="P164" s="108">
        <v>0.39855072463768115</v>
      </c>
      <c r="Q164" s="108">
        <v>0.3669724770642202</v>
      </c>
    </row>
    <row r="165" spans="1:17" x14ac:dyDescent="0.45">
      <c r="A165" s="110">
        <v>162</v>
      </c>
      <c r="B165" s="107">
        <v>-3.9999999999999796</v>
      </c>
      <c r="C165" s="107">
        <v>-8.2304526748970767E-3</v>
      </c>
      <c r="D165" s="112">
        <v>2</v>
      </c>
      <c r="E165" s="108">
        <v>0.33333333333333331</v>
      </c>
      <c r="F165" s="108">
        <v>0.30507544581618656</v>
      </c>
      <c r="G165" s="108">
        <v>0.17860082304526748</v>
      </c>
      <c r="H165" s="109">
        <v>10254.946043165468</v>
      </c>
      <c r="I165" s="109">
        <v>-9492.1658986175116</v>
      </c>
      <c r="J165" s="108">
        <v>0.17489711934156379</v>
      </c>
      <c r="K165" s="108">
        <v>0.17489711934156379</v>
      </c>
      <c r="L165" s="108">
        <v>0.28351449275362317</v>
      </c>
      <c r="M165" s="108">
        <v>0.23097826086956522</v>
      </c>
      <c r="N165" s="108">
        <v>0.597444089456869</v>
      </c>
      <c r="O165" s="108">
        <v>0.39215686274509803</v>
      </c>
      <c r="P165" s="108">
        <v>0.39928057553956836</v>
      </c>
      <c r="Q165" s="108">
        <v>0.36672185430463577</v>
      </c>
    </row>
    <row r="166" spans="1:17" x14ac:dyDescent="0.45">
      <c r="A166" s="110">
        <v>163</v>
      </c>
      <c r="B166" s="107">
        <v>-4.9999999999999787</v>
      </c>
      <c r="C166" s="107">
        <v>-1.0224948875255581E-2</v>
      </c>
      <c r="D166" s="112">
        <v>2</v>
      </c>
      <c r="E166" s="108">
        <v>0.33333333333333331</v>
      </c>
      <c r="F166" s="108">
        <v>0.30498773507767785</v>
      </c>
      <c r="G166" s="108">
        <v>0.17852275824475333</v>
      </c>
      <c r="H166" s="109">
        <v>10263.181411974978</v>
      </c>
      <c r="I166" s="109">
        <v>-9504.4274809160306</v>
      </c>
      <c r="J166" s="108">
        <v>0.17382413087934559</v>
      </c>
      <c r="K166" s="108">
        <v>0.17382413087934559</v>
      </c>
      <c r="L166" s="108">
        <v>0.28449820788530467</v>
      </c>
      <c r="M166" s="108">
        <v>0.2307347670250896</v>
      </c>
      <c r="N166" s="108">
        <v>0.59685039370078741</v>
      </c>
      <c r="O166" s="108">
        <v>0.39223300970873787</v>
      </c>
      <c r="P166" s="108">
        <v>0.39946380697050937</v>
      </c>
      <c r="Q166" s="108">
        <v>0.36595394736842107</v>
      </c>
    </row>
    <row r="167" spans="1:17" x14ac:dyDescent="0.45">
      <c r="A167" s="110">
        <v>164</v>
      </c>
      <c r="B167" s="107">
        <v>-4.9999999999999787</v>
      </c>
      <c r="C167" s="107">
        <v>-1.0162601626016217E-2</v>
      </c>
      <c r="D167" s="112">
        <v>2</v>
      </c>
      <c r="E167" s="108">
        <v>0.33333333333333331</v>
      </c>
      <c r="F167" s="108">
        <v>0.30517194692661792</v>
      </c>
      <c r="G167" s="108">
        <v>0.17871649065800163</v>
      </c>
      <c r="H167" s="109">
        <v>10252.972493345163</v>
      </c>
      <c r="I167" s="109">
        <v>-9506.060606060606</v>
      </c>
      <c r="J167" s="108">
        <v>0.17276422764227642</v>
      </c>
      <c r="K167" s="108">
        <v>0.17276422764227642</v>
      </c>
      <c r="L167" s="108">
        <v>0.28368794326241137</v>
      </c>
      <c r="M167" s="108">
        <v>0.23182624113475178</v>
      </c>
      <c r="N167" s="108">
        <v>0.59531250000000002</v>
      </c>
      <c r="O167" s="108">
        <v>0.39196940726577439</v>
      </c>
      <c r="P167" s="108">
        <v>0.39929015084294589</v>
      </c>
      <c r="Q167" s="108">
        <v>0.36519607843137253</v>
      </c>
    </row>
    <row r="168" spans="1:17" x14ac:dyDescent="0.45">
      <c r="A168" s="110">
        <v>165</v>
      </c>
      <c r="B168" s="107">
        <v>-4.9999999999999751</v>
      </c>
      <c r="C168" s="107">
        <v>-1.0101010101010052E-2</v>
      </c>
      <c r="D168" s="112">
        <v>2</v>
      </c>
      <c r="E168" s="108">
        <v>0.33333333333333331</v>
      </c>
      <c r="F168" s="108">
        <v>0.30486167069567555</v>
      </c>
      <c r="G168" s="108">
        <v>0.17861939296266452</v>
      </c>
      <c r="H168" s="109">
        <v>10239.823788546255</v>
      </c>
      <c r="I168" s="109">
        <v>-9499.3984962406012</v>
      </c>
      <c r="J168" s="108">
        <v>0.17171717171717171</v>
      </c>
      <c r="K168" s="108">
        <v>0.17171717171717171</v>
      </c>
      <c r="L168" s="108">
        <v>0.28302712160979876</v>
      </c>
      <c r="M168" s="108">
        <v>0.23053368328958881</v>
      </c>
      <c r="N168" s="108">
        <v>0.59814528593508498</v>
      </c>
      <c r="O168" s="108">
        <v>0.39278937381404172</v>
      </c>
      <c r="P168" s="108">
        <v>0.39911894273127752</v>
      </c>
      <c r="Q168" s="108">
        <v>0.36466774716369532</v>
      </c>
    </row>
    <row r="169" spans="1:17" x14ac:dyDescent="0.45">
      <c r="A169" s="110">
        <v>166</v>
      </c>
      <c r="B169" s="107">
        <v>-4.9999999999999751</v>
      </c>
      <c r="C169" s="107">
        <v>-1.0040160642570231E-2</v>
      </c>
      <c r="D169" s="112">
        <v>2</v>
      </c>
      <c r="E169" s="108">
        <v>0.33333333333333331</v>
      </c>
      <c r="F169" s="108">
        <v>0.30522088353413657</v>
      </c>
      <c r="G169" s="108">
        <v>0.17884872824631862</v>
      </c>
      <c r="H169" s="109">
        <v>10233.333333333334</v>
      </c>
      <c r="I169" s="109">
        <v>-9504.3413173652698</v>
      </c>
      <c r="J169" s="108">
        <v>0.17269076305220885</v>
      </c>
      <c r="K169" s="108">
        <v>0.17269076305220885</v>
      </c>
      <c r="L169" s="108">
        <v>0.28416013925152306</v>
      </c>
      <c r="M169" s="108">
        <v>0.2297650130548303</v>
      </c>
      <c r="N169" s="108">
        <v>0.59724349157733536</v>
      </c>
      <c r="O169" s="108">
        <v>0.39393939393939392</v>
      </c>
      <c r="P169" s="108">
        <v>0.39824561403508774</v>
      </c>
      <c r="Q169" s="108">
        <v>0.36591276252019383</v>
      </c>
    </row>
    <row r="170" spans="1:17" x14ac:dyDescent="0.45">
      <c r="A170" s="110">
        <v>167</v>
      </c>
      <c r="B170" s="107">
        <v>-4.999999999999976</v>
      </c>
      <c r="C170" s="107">
        <v>-9.9800399201596321E-3</v>
      </c>
      <c r="D170" s="112">
        <v>2</v>
      </c>
      <c r="E170" s="108">
        <v>0.33333333333333331</v>
      </c>
      <c r="F170" s="108">
        <v>0.3053780617678381</v>
      </c>
      <c r="G170" s="108">
        <v>0.17917997870074548</v>
      </c>
      <c r="H170" s="109">
        <v>10228.073234524847</v>
      </c>
      <c r="I170" s="109">
        <v>-9489.5988112927189</v>
      </c>
      <c r="J170" s="108">
        <v>0.17165668662674652</v>
      </c>
      <c r="K170" s="108">
        <v>0.17165668662674652</v>
      </c>
      <c r="L170" s="108">
        <v>0.2833117723156533</v>
      </c>
      <c r="M170" s="108">
        <v>0.23156532988357051</v>
      </c>
      <c r="N170" s="108">
        <v>0.59817351598173518</v>
      </c>
      <c r="O170" s="108">
        <v>0.39478584729981381</v>
      </c>
      <c r="P170" s="108">
        <v>0.39755884917175238</v>
      </c>
      <c r="Q170" s="108">
        <v>0.36546184738955823</v>
      </c>
    </row>
    <row r="171" spans="1:17" x14ac:dyDescent="0.45">
      <c r="A171" s="110">
        <v>168</v>
      </c>
      <c r="B171" s="107">
        <v>-4.9999999999999787</v>
      </c>
      <c r="C171" s="107">
        <v>-9.9206349206348785E-3</v>
      </c>
      <c r="D171" s="112">
        <v>2</v>
      </c>
      <c r="E171" s="108">
        <v>0.33333333333333331</v>
      </c>
      <c r="F171" s="108">
        <v>0.3054003724394786</v>
      </c>
      <c r="G171" s="108">
        <v>0.17930300611864858</v>
      </c>
      <c r="H171" s="109">
        <v>10250.522648083625</v>
      </c>
      <c r="I171" s="109">
        <v>-9528.93175074184</v>
      </c>
      <c r="J171" s="108">
        <v>0.17261904761904762</v>
      </c>
      <c r="K171" s="108">
        <v>0.17261904761904762</v>
      </c>
      <c r="L171" s="108">
        <v>0.2833763996554694</v>
      </c>
      <c r="M171" s="108">
        <v>0.23126614987080105</v>
      </c>
      <c r="N171" s="108">
        <v>0.59878419452887544</v>
      </c>
      <c r="O171" s="108">
        <v>0.39478584729981381</v>
      </c>
      <c r="P171" s="108">
        <v>0.39721254355400698</v>
      </c>
      <c r="Q171" s="108">
        <v>0.36597110754414125</v>
      </c>
    </row>
    <row r="172" spans="1:17" x14ac:dyDescent="0.45">
      <c r="A172" s="110">
        <v>169</v>
      </c>
      <c r="B172" s="107">
        <v>-4.9999999999999858</v>
      </c>
      <c r="C172" s="107">
        <v>-9.8619329388559881E-3</v>
      </c>
      <c r="D172" s="112">
        <v>2</v>
      </c>
      <c r="E172" s="108">
        <v>0.33333333333333331</v>
      </c>
      <c r="F172" s="108">
        <v>0.30559957739038562</v>
      </c>
      <c r="G172" s="108">
        <v>0.17828843106180667</v>
      </c>
      <c r="H172" s="109">
        <v>10256.093344857391</v>
      </c>
      <c r="I172" s="109">
        <v>-9517.7777777777774</v>
      </c>
      <c r="J172" s="108">
        <v>0.17357001972386588</v>
      </c>
      <c r="K172" s="108">
        <v>0.17357001972386588</v>
      </c>
      <c r="L172" s="108">
        <v>0.28267347807577692</v>
      </c>
      <c r="M172" s="108">
        <v>0.23158790974882928</v>
      </c>
      <c r="N172" s="108">
        <v>0.59638554216867468</v>
      </c>
      <c r="O172" s="108">
        <v>0.3952205882352941</v>
      </c>
      <c r="P172" s="108">
        <v>0.4010371650821089</v>
      </c>
      <c r="Q172" s="108">
        <v>0.36733067729083663</v>
      </c>
    </row>
    <row r="173" spans="1:17" x14ac:dyDescent="0.45">
      <c r="A173" s="110">
        <v>170</v>
      </c>
      <c r="B173" s="107">
        <v>-4.9999999999999858</v>
      </c>
      <c r="C173" s="107">
        <v>-9.8039215686274231E-3</v>
      </c>
      <c r="D173" s="112">
        <v>2</v>
      </c>
      <c r="E173" s="108">
        <v>0.33333333333333331</v>
      </c>
      <c r="F173" s="108">
        <v>0.3057959611854183</v>
      </c>
      <c r="G173" s="108">
        <v>0.17859952793076317</v>
      </c>
      <c r="H173" s="109">
        <v>10222.469982847342</v>
      </c>
      <c r="I173" s="109">
        <v>-9489.8678414096921</v>
      </c>
      <c r="J173" s="108">
        <v>0.17254901960784313</v>
      </c>
      <c r="K173" s="108">
        <v>0.17254901960784313</v>
      </c>
      <c r="L173" s="108">
        <v>0.28409090909090912</v>
      </c>
      <c r="M173" s="108">
        <v>0.23106060606060605</v>
      </c>
      <c r="N173" s="108">
        <v>0.59407407407407409</v>
      </c>
      <c r="O173" s="108">
        <v>0.39708561020036431</v>
      </c>
      <c r="P173" s="108">
        <v>0.40051457975986277</v>
      </c>
      <c r="Q173" s="108">
        <v>0.36708860759493672</v>
      </c>
    </row>
    <row r="174" spans="1:17" x14ac:dyDescent="0.45">
      <c r="A174" s="110">
        <v>171</v>
      </c>
      <c r="B174" s="107">
        <v>-4.9999999999999858</v>
      </c>
      <c r="C174" s="107">
        <v>-9.7465886939570867E-3</v>
      </c>
      <c r="D174" s="112">
        <v>2</v>
      </c>
      <c r="E174" s="108">
        <v>0.33333333333333331</v>
      </c>
      <c r="F174" s="108">
        <v>0.30598958333333331</v>
      </c>
      <c r="G174" s="108">
        <v>0.17864583333333334</v>
      </c>
      <c r="H174" s="109">
        <v>10237.787234042553</v>
      </c>
      <c r="I174" s="109">
        <v>-9516.9096209912532</v>
      </c>
      <c r="J174" s="108">
        <v>0.17153996101364521</v>
      </c>
      <c r="K174" s="108">
        <v>0.17153996101364521</v>
      </c>
      <c r="L174" s="108">
        <v>0.28339575530586769</v>
      </c>
      <c r="M174" s="108">
        <v>0.23137744486059092</v>
      </c>
      <c r="N174" s="108">
        <v>0.59618208516886928</v>
      </c>
      <c r="O174" s="108">
        <v>0.39748201438848924</v>
      </c>
      <c r="P174" s="108">
        <v>0.40085106382978725</v>
      </c>
      <c r="Q174" s="108">
        <v>0.36684996072270226</v>
      </c>
    </row>
    <row r="175" spans="1:17" x14ac:dyDescent="0.45">
      <c r="A175" s="110">
        <v>172</v>
      </c>
      <c r="B175" s="107">
        <v>-4.9999999999999858</v>
      </c>
      <c r="C175" s="107">
        <v>-9.6899224806201271E-3</v>
      </c>
      <c r="D175" s="112">
        <v>2</v>
      </c>
      <c r="E175" s="108">
        <v>0.33333333333333331</v>
      </c>
      <c r="F175" s="108">
        <v>0.3058365758754864</v>
      </c>
      <c r="G175" s="108">
        <v>0.17821011673151751</v>
      </c>
      <c r="H175" s="109">
        <v>10267.514843087361</v>
      </c>
      <c r="I175" s="109">
        <v>-9537.9912663755458</v>
      </c>
      <c r="J175" s="108">
        <v>0.17248062015503876</v>
      </c>
      <c r="K175" s="108">
        <v>0.17248062015503876</v>
      </c>
      <c r="L175" s="108">
        <v>0.28329197684036395</v>
      </c>
      <c r="M175" s="108">
        <v>0.23159636062861869</v>
      </c>
      <c r="N175" s="108">
        <v>0.59708029197080292</v>
      </c>
      <c r="O175" s="108">
        <v>0.39642857142857141</v>
      </c>
      <c r="P175" s="108">
        <v>0.4020356234096692</v>
      </c>
      <c r="Q175" s="108">
        <v>0.3669796557120501</v>
      </c>
    </row>
    <row r="176" spans="1:17" x14ac:dyDescent="0.45">
      <c r="A176" s="110">
        <v>173</v>
      </c>
      <c r="B176" s="107">
        <v>-4.999999999999984</v>
      </c>
      <c r="C176" s="107">
        <v>-9.633911368015384E-3</v>
      </c>
      <c r="D176" s="112">
        <v>2</v>
      </c>
      <c r="E176" s="108">
        <v>0.33333333333333331</v>
      </c>
      <c r="F176" s="108">
        <v>0.30581275720164608</v>
      </c>
      <c r="G176" s="108">
        <v>0.1779835390946502</v>
      </c>
      <c r="H176" s="109">
        <v>10243.734230445752</v>
      </c>
      <c r="I176" s="109">
        <v>-9499.5664739884396</v>
      </c>
      <c r="J176" s="108">
        <v>0.17148362235067438</v>
      </c>
      <c r="K176" s="108">
        <v>0.17148362235067438</v>
      </c>
      <c r="L176" s="108">
        <v>0.28396572827417382</v>
      </c>
      <c r="M176" s="108">
        <v>0.2317421460628315</v>
      </c>
      <c r="N176" s="108">
        <v>0.5933908045977011</v>
      </c>
      <c r="O176" s="108">
        <v>0.39612676056338031</v>
      </c>
      <c r="P176" s="108">
        <v>0.4028595458368377</v>
      </c>
      <c r="Q176" s="108">
        <v>0.36772692009309543</v>
      </c>
    </row>
    <row r="177" spans="1:17" x14ac:dyDescent="0.45">
      <c r="A177" s="110">
        <v>174</v>
      </c>
      <c r="B177" s="107">
        <v>-4.999999999999984</v>
      </c>
      <c r="C177" s="107">
        <v>-9.5785440613026518E-3</v>
      </c>
      <c r="D177" s="112">
        <v>2</v>
      </c>
      <c r="E177" s="108">
        <v>0.33333333333333331</v>
      </c>
      <c r="F177" s="108">
        <v>0.30596060373497058</v>
      </c>
      <c r="G177" s="108">
        <v>0.17856229214632899</v>
      </c>
      <c r="H177" s="109">
        <v>10253.678929765887</v>
      </c>
      <c r="I177" s="109">
        <v>-9514.7564469914032</v>
      </c>
      <c r="J177" s="108">
        <v>0.17049808429118773</v>
      </c>
      <c r="K177" s="108">
        <v>0.17049808429118773</v>
      </c>
      <c r="L177" s="108">
        <v>0.28357605177993528</v>
      </c>
      <c r="M177" s="108">
        <v>0.23260517799352751</v>
      </c>
      <c r="N177" s="108">
        <v>0.59343794579172615</v>
      </c>
      <c r="O177" s="108">
        <v>0.39652173913043476</v>
      </c>
      <c r="P177" s="108">
        <v>0.40133779264214048</v>
      </c>
      <c r="Q177" s="108">
        <v>0.36728395061728397</v>
      </c>
    </row>
    <row r="178" spans="1:17" x14ac:dyDescent="0.45">
      <c r="A178" s="110">
        <v>175</v>
      </c>
      <c r="B178" s="107">
        <v>-4.9999999999999831</v>
      </c>
      <c r="C178" s="107">
        <v>-9.5238095238094917E-3</v>
      </c>
      <c r="D178" s="112">
        <v>2</v>
      </c>
      <c r="E178" s="108">
        <v>0.33333333333333331</v>
      </c>
      <c r="F178" s="108">
        <v>0.30614837398373984</v>
      </c>
      <c r="G178" s="108">
        <v>0.17784552845528456</v>
      </c>
      <c r="H178" s="109">
        <v>10253.278008298756</v>
      </c>
      <c r="I178" s="109">
        <v>-9507.2857142857138</v>
      </c>
      <c r="J178" s="108">
        <v>0.16952380952380952</v>
      </c>
      <c r="K178" s="108">
        <v>0.16952380952380952</v>
      </c>
      <c r="L178" s="108">
        <v>0.28291316526610644</v>
      </c>
      <c r="M178" s="108">
        <v>0.23289315726290516</v>
      </c>
      <c r="N178" s="108">
        <v>0.59405940594059403</v>
      </c>
      <c r="O178" s="108">
        <v>0.39690721649484534</v>
      </c>
      <c r="P178" s="108">
        <v>0.404149377593361</v>
      </c>
      <c r="Q178" s="108">
        <v>0.36704980842911877</v>
      </c>
    </row>
    <row r="179" spans="1:17" x14ac:dyDescent="0.45">
      <c r="A179" s="110">
        <v>176</v>
      </c>
      <c r="B179" s="107">
        <v>-4.9999999999999822</v>
      </c>
      <c r="C179" s="107">
        <v>-9.4696969696969353E-3</v>
      </c>
      <c r="D179" s="112">
        <v>2</v>
      </c>
      <c r="E179" s="108">
        <v>0.33333333333333331</v>
      </c>
      <c r="F179" s="108">
        <v>0.30603992923932272</v>
      </c>
      <c r="G179" s="108">
        <v>0.17765984331564316</v>
      </c>
      <c r="H179" s="109">
        <v>10241.783649876135</v>
      </c>
      <c r="I179" s="109">
        <v>-9492.8876244665717</v>
      </c>
      <c r="J179" s="108">
        <v>0.16856060606060605</v>
      </c>
      <c r="K179" s="108">
        <v>0.16856060606060605</v>
      </c>
      <c r="L179" s="108">
        <v>0.28293650793650793</v>
      </c>
      <c r="M179" s="108">
        <v>0.23214285714285715</v>
      </c>
      <c r="N179" s="108">
        <v>0.5946704067321178</v>
      </c>
      <c r="O179" s="108">
        <v>0.39658119658119656</v>
      </c>
      <c r="P179" s="108">
        <v>0.40462427745664742</v>
      </c>
      <c r="Q179" s="108">
        <v>0.36585365853658536</v>
      </c>
    </row>
    <row r="180" spans="1:17" x14ac:dyDescent="0.45">
      <c r="A180" s="110">
        <v>177</v>
      </c>
      <c r="B180" s="107">
        <v>-4.9999999999999858</v>
      </c>
      <c r="C180" s="107">
        <v>-9.4161958568737963E-3</v>
      </c>
      <c r="D180" s="112">
        <v>2</v>
      </c>
      <c r="E180" s="108">
        <v>0.33333333333333331</v>
      </c>
      <c r="F180" s="108">
        <v>0.30616352201257863</v>
      </c>
      <c r="G180" s="108">
        <v>0.1778616352201258</v>
      </c>
      <c r="H180" s="109">
        <v>10265.8175842235</v>
      </c>
      <c r="I180" s="109">
        <v>-9546.2517680339461</v>
      </c>
      <c r="J180" s="108">
        <v>0.16949152542372881</v>
      </c>
      <c r="K180" s="108">
        <v>0.16949152542372881</v>
      </c>
      <c r="L180" s="108">
        <v>0.28289992119779356</v>
      </c>
      <c r="M180" s="108">
        <v>0.23128447596532703</v>
      </c>
      <c r="N180" s="108">
        <v>0.59610027855153203</v>
      </c>
      <c r="O180" s="108">
        <v>0.39693356047700168</v>
      </c>
      <c r="P180" s="108">
        <v>0.40427280197206245</v>
      </c>
      <c r="Q180" s="108">
        <v>0.36798179059180575</v>
      </c>
    </row>
    <row r="181" spans="1:17" x14ac:dyDescent="0.45">
      <c r="A181" s="110">
        <v>178</v>
      </c>
      <c r="B181" s="107">
        <v>-4.9999999999999858</v>
      </c>
      <c r="C181" s="107">
        <v>-9.3632958801497853E-3</v>
      </c>
      <c r="D181" s="112">
        <v>2</v>
      </c>
      <c r="E181" s="108">
        <v>0.33333333333333331</v>
      </c>
      <c r="F181" s="108">
        <v>0.30586766541822724</v>
      </c>
      <c r="G181" s="108">
        <v>0.17777777777777778</v>
      </c>
      <c r="H181" s="109">
        <v>10259.755102040815</v>
      </c>
      <c r="I181" s="109">
        <v>-9550.7022471910113</v>
      </c>
      <c r="J181" s="108">
        <v>0.16853932584269662</v>
      </c>
      <c r="K181" s="108">
        <v>0.16853932584269662</v>
      </c>
      <c r="L181" s="108">
        <v>0.2834890965732087</v>
      </c>
      <c r="M181" s="108">
        <v>0.23130841121495327</v>
      </c>
      <c r="N181" s="108">
        <v>0.59615384615384615</v>
      </c>
      <c r="O181" s="108">
        <v>0.39393939393939392</v>
      </c>
      <c r="P181" s="108">
        <v>0.40408163265306124</v>
      </c>
      <c r="Q181" s="108">
        <v>0.36671686746987953</v>
      </c>
    </row>
    <row r="182" spans="1:17" x14ac:dyDescent="0.45">
      <c r="A182" s="110">
        <v>179</v>
      </c>
      <c r="B182" s="107">
        <v>-4.9999999999999867</v>
      </c>
      <c r="C182" s="107">
        <v>-9.3109869646182241E-3</v>
      </c>
      <c r="D182" s="112">
        <v>2</v>
      </c>
      <c r="E182" s="108">
        <v>0.33333333333333331</v>
      </c>
      <c r="F182" s="108">
        <v>0.3060312732688012</v>
      </c>
      <c r="G182" s="108">
        <v>0.17696698932737653</v>
      </c>
      <c r="H182" s="109">
        <v>10271.857258718572</v>
      </c>
      <c r="I182" s="109">
        <v>-9541.3744740532966</v>
      </c>
      <c r="J182" s="108">
        <v>0.16759776536312848</v>
      </c>
      <c r="K182" s="108">
        <v>0.16759776536312848</v>
      </c>
      <c r="L182" s="108">
        <v>0.28202160493827161</v>
      </c>
      <c r="M182" s="108">
        <v>0.23148148148148148</v>
      </c>
      <c r="N182" s="108">
        <v>0.59644322845417241</v>
      </c>
      <c r="O182" s="108">
        <v>0.39500000000000002</v>
      </c>
      <c r="P182" s="108">
        <v>0.40713706407137062</v>
      </c>
      <c r="Q182" s="108">
        <v>0.36601796407185627</v>
      </c>
    </row>
    <row r="183" spans="1:17" x14ac:dyDescent="0.45">
      <c r="A183" s="110">
        <v>180</v>
      </c>
      <c r="B183" s="107">
        <v>-4.9999999999999858</v>
      </c>
      <c r="C183" s="107">
        <v>-9.2592592592592327E-3</v>
      </c>
      <c r="D183" s="112">
        <v>2</v>
      </c>
      <c r="E183" s="108">
        <v>0.33333333333333331</v>
      </c>
      <c r="F183" s="108">
        <v>0.30617283950617286</v>
      </c>
      <c r="G183" s="108">
        <v>0.17728395061728394</v>
      </c>
      <c r="H183" s="109">
        <v>10260.645161290322</v>
      </c>
      <c r="I183" s="109">
        <v>-9527.8551532033434</v>
      </c>
      <c r="J183" s="108">
        <v>0.16666666666666666</v>
      </c>
      <c r="K183" s="108">
        <v>0.16666666666666666</v>
      </c>
      <c r="L183" s="108">
        <v>0.28243398392652125</v>
      </c>
      <c r="M183" s="108">
        <v>0.23038652889399158</v>
      </c>
      <c r="N183" s="108">
        <v>0.59756097560975607</v>
      </c>
      <c r="O183" s="108">
        <v>0.39368770764119604</v>
      </c>
      <c r="P183" s="108">
        <v>0.40645161290322579</v>
      </c>
      <c r="Q183" s="108">
        <v>0.36559940431868948</v>
      </c>
    </row>
    <row r="184" spans="1:17" x14ac:dyDescent="0.45">
      <c r="A184" s="110">
        <v>181</v>
      </c>
      <c r="B184" s="107">
        <v>-4.9999999999999858</v>
      </c>
      <c r="C184" s="107">
        <v>-9.2081031307550375E-3</v>
      </c>
      <c r="D184" s="112">
        <v>2</v>
      </c>
      <c r="E184" s="108">
        <v>0.33333333333333331</v>
      </c>
      <c r="F184" s="108">
        <v>0.30612745098039218</v>
      </c>
      <c r="G184" s="108">
        <v>0.1769607843137255</v>
      </c>
      <c r="H184" s="109">
        <v>10252.361889511609</v>
      </c>
      <c r="I184" s="109">
        <v>-9530.4709141274234</v>
      </c>
      <c r="J184" s="108">
        <v>0.16574585635359115</v>
      </c>
      <c r="K184" s="108">
        <v>0.16574585635359115</v>
      </c>
      <c r="L184" s="108">
        <v>0.2833900870223231</v>
      </c>
      <c r="M184" s="108">
        <v>0.22928490351872871</v>
      </c>
      <c r="N184" s="108">
        <v>0.59946595460614149</v>
      </c>
      <c r="O184" s="108">
        <v>0.39273927392739272</v>
      </c>
      <c r="P184" s="108">
        <v>0.40752602081665334</v>
      </c>
      <c r="Q184" s="108">
        <v>0.36511456023651145</v>
      </c>
    </row>
    <row r="185" spans="1:17" x14ac:dyDescent="0.45">
      <c r="A185" s="110">
        <v>182</v>
      </c>
      <c r="B185" s="107">
        <v>-4.9999999999999858</v>
      </c>
      <c r="C185" s="107">
        <v>-9.1575091575091319E-3</v>
      </c>
      <c r="D185" s="112">
        <v>2</v>
      </c>
      <c r="E185" s="108">
        <v>0.33333333333333331</v>
      </c>
      <c r="F185" s="108">
        <v>0.30608272506082723</v>
      </c>
      <c r="G185" s="108">
        <v>0.17712895377128954</v>
      </c>
      <c r="H185" s="109">
        <v>10233.783783783783</v>
      </c>
      <c r="I185" s="109">
        <v>-9529.8076923076915</v>
      </c>
      <c r="J185" s="108">
        <v>0.16483516483516483</v>
      </c>
      <c r="K185" s="108">
        <v>0.16483516483516483</v>
      </c>
      <c r="L185" s="108">
        <v>0.28507295173961839</v>
      </c>
      <c r="M185" s="108">
        <v>0.22933034044145156</v>
      </c>
      <c r="N185" s="108">
        <v>0.59711286089238846</v>
      </c>
      <c r="O185" s="108">
        <v>0.39151712887438828</v>
      </c>
      <c r="P185" s="108">
        <v>0.40699523052464232</v>
      </c>
      <c r="Q185" s="108">
        <v>0.36463683052090978</v>
      </c>
    </row>
    <row r="186" spans="1:17" x14ac:dyDescent="0.45">
      <c r="A186" s="110">
        <v>183</v>
      </c>
      <c r="B186" s="107">
        <v>-4.9999999999999876</v>
      </c>
      <c r="C186" s="107">
        <v>-9.1074681238615431E-3</v>
      </c>
      <c r="D186" s="112">
        <v>2</v>
      </c>
      <c r="E186" s="108">
        <v>0.33333333333333331</v>
      </c>
      <c r="F186" s="108">
        <v>0.30601885424220449</v>
      </c>
      <c r="G186" s="108">
        <v>0.17621464829586658</v>
      </c>
      <c r="H186" s="109">
        <v>10228.593996840442</v>
      </c>
      <c r="I186" s="109">
        <v>-9527.7091906721544</v>
      </c>
      <c r="J186" s="108">
        <v>0.16393442622950818</v>
      </c>
      <c r="K186" s="108">
        <v>0.16393442622950818</v>
      </c>
      <c r="L186" s="108">
        <v>0.28518518518518521</v>
      </c>
      <c r="M186" s="108">
        <v>0.22962962962962963</v>
      </c>
      <c r="N186" s="108">
        <v>0.59610389610389614</v>
      </c>
      <c r="O186" s="108">
        <v>0.39193548387096772</v>
      </c>
      <c r="P186" s="108">
        <v>0.4099526066350711</v>
      </c>
      <c r="Q186" s="108">
        <v>0.36370262390670555</v>
      </c>
    </row>
    <row r="187" spans="1:17" x14ac:dyDescent="0.45">
      <c r="A187" s="110">
        <v>184</v>
      </c>
      <c r="B187" s="107">
        <v>-4.9999999999999858</v>
      </c>
      <c r="C187" s="107">
        <v>-9.0579710144927279E-3</v>
      </c>
      <c r="D187" s="112">
        <v>2</v>
      </c>
      <c r="E187" s="108">
        <v>0.33333333333333331</v>
      </c>
      <c r="F187" s="108">
        <v>0.30617639990386925</v>
      </c>
      <c r="G187" s="108">
        <v>0.17639990386926219</v>
      </c>
      <c r="H187" s="109">
        <v>10215.306122448979</v>
      </c>
      <c r="I187" s="109">
        <v>-9508.9918256130786</v>
      </c>
      <c r="J187" s="108">
        <v>0.16304347826086957</v>
      </c>
      <c r="K187" s="108">
        <v>0.16304347826086957</v>
      </c>
      <c r="L187" s="108">
        <v>0.28450807635829661</v>
      </c>
      <c r="M187" s="108">
        <v>0.23127753303964757</v>
      </c>
      <c r="N187" s="108">
        <v>0.59483870967741936</v>
      </c>
      <c r="O187" s="108">
        <v>0.39523809523809522</v>
      </c>
      <c r="P187" s="108">
        <v>0.40973312401883832</v>
      </c>
      <c r="Q187" s="108">
        <v>0.36376811594202896</v>
      </c>
    </row>
    <row r="188" spans="1:17" x14ac:dyDescent="0.45">
      <c r="A188" s="110">
        <v>185</v>
      </c>
      <c r="B188" s="107">
        <v>-4.9999999999999858</v>
      </c>
      <c r="C188" s="107">
        <v>-9.0090090090089829E-3</v>
      </c>
      <c r="D188" s="112">
        <v>2</v>
      </c>
      <c r="E188" s="108">
        <v>0.33333333333333331</v>
      </c>
      <c r="F188" s="108">
        <v>0.30591320934668575</v>
      </c>
      <c r="G188" s="108">
        <v>0.17620410109680495</v>
      </c>
      <c r="H188" s="109">
        <v>10216.134060795011</v>
      </c>
      <c r="I188" s="109">
        <v>-9497.4289580514214</v>
      </c>
      <c r="J188" s="108">
        <v>0.16216216216216217</v>
      </c>
      <c r="K188" s="108">
        <v>0.16216216216216217</v>
      </c>
      <c r="L188" s="108">
        <v>0.28581791802684076</v>
      </c>
      <c r="M188" s="108">
        <v>0.23104824084149439</v>
      </c>
      <c r="N188" s="108">
        <v>0.59010152284263961</v>
      </c>
      <c r="O188" s="108">
        <v>0.39560439560439559</v>
      </c>
      <c r="P188" s="108">
        <v>0.40997661730319562</v>
      </c>
      <c r="Q188" s="108">
        <v>0.3637670740474479</v>
      </c>
    </row>
    <row r="189" spans="1:17" x14ac:dyDescent="0.45">
      <c r="A189" s="110">
        <v>186</v>
      </c>
      <c r="B189" s="107">
        <v>-4.9999999999999858</v>
      </c>
      <c r="C189" s="107">
        <v>-8.9605734767024842E-3</v>
      </c>
      <c r="D189" s="112">
        <v>2</v>
      </c>
      <c r="E189" s="108">
        <v>0.33333333333333331</v>
      </c>
      <c r="F189" s="108">
        <v>0.30569336168202221</v>
      </c>
      <c r="G189" s="108">
        <v>0.17576187101346563</v>
      </c>
      <c r="H189" s="109">
        <v>10216.846986089644</v>
      </c>
      <c r="I189" s="109">
        <v>-9509.0053763440865</v>
      </c>
      <c r="J189" s="108">
        <v>0.16129032258064516</v>
      </c>
      <c r="K189" s="108">
        <v>0.16129032258064516</v>
      </c>
      <c r="L189" s="108">
        <v>0.28719599427753933</v>
      </c>
      <c r="M189" s="108">
        <v>0.2296137339055794</v>
      </c>
      <c r="N189" s="108">
        <v>0.58655043586550437</v>
      </c>
      <c r="O189" s="108">
        <v>0.39875389408099687</v>
      </c>
      <c r="P189" s="108">
        <v>0.41112828438948995</v>
      </c>
      <c r="Q189" s="108">
        <v>0.36467236467236469</v>
      </c>
    </row>
    <row r="190" spans="1:17" x14ac:dyDescent="0.45">
      <c r="A190" s="110">
        <v>187</v>
      </c>
      <c r="B190" s="107">
        <v>-4.9999999999999849</v>
      </c>
      <c r="C190" s="107">
        <v>-8.9126559714794735E-3</v>
      </c>
      <c r="D190" s="112">
        <v>2</v>
      </c>
      <c r="E190" s="108">
        <v>0.33333333333333331</v>
      </c>
      <c r="F190" s="108">
        <v>0.3058103975535168</v>
      </c>
      <c r="G190" s="108">
        <v>0.1759585979769466</v>
      </c>
      <c r="H190" s="109">
        <v>10198</v>
      </c>
      <c r="I190" s="109">
        <v>-9482.2192513368991</v>
      </c>
      <c r="J190" s="108">
        <v>0.16042780748663102</v>
      </c>
      <c r="K190" s="108">
        <v>0.16042780748663102</v>
      </c>
      <c r="L190" s="108">
        <v>0.28713574982231699</v>
      </c>
      <c r="M190" s="108">
        <v>0.22956645344705046</v>
      </c>
      <c r="N190" s="108">
        <v>0.5866336633663366</v>
      </c>
      <c r="O190" s="108">
        <v>0.39938080495356038</v>
      </c>
      <c r="P190" s="108">
        <v>0.41076923076923078</v>
      </c>
      <c r="Q190" s="108">
        <v>0.36312056737588655</v>
      </c>
    </row>
    <row r="191" spans="1:17" x14ac:dyDescent="0.45">
      <c r="A191" s="110">
        <v>188</v>
      </c>
      <c r="B191" s="107">
        <v>-4.9999999999999849</v>
      </c>
      <c r="C191" s="107">
        <v>-8.8652482269503275E-3</v>
      </c>
      <c r="D191" s="112">
        <v>2</v>
      </c>
      <c r="E191" s="108">
        <v>0.33333333333333331</v>
      </c>
      <c r="F191" s="108">
        <v>0.30596491228070177</v>
      </c>
      <c r="G191" s="108">
        <v>0.17567251461988304</v>
      </c>
      <c r="H191" s="109">
        <v>10194.189602446484</v>
      </c>
      <c r="I191" s="109">
        <v>-9474.4340878828225</v>
      </c>
      <c r="J191" s="108">
        <v>0.15957446808510639</v>
      </c>
      <c r="K191" s="108">
        <v>0.15957446808510639</v>
      </c>
      <c r="L191" s="108">
        <v>0.28752642706131076</v>
      </c>
      <c r="M191" s="108">
        <v>0.22973925299506695</v>
      </c>
      <c r="N191" s="108">
        <v>0.58700980392156865</v>
      </c>
      <c r="O191" s="108">
        <v>0.40030674846625769</v>
      </c>
      <c r="P191" s="108">
        <v>0.4120795107033639</v>
      </c>
      <c r="Q191" s="108">
        <v>0.3624823695345557</v>
      </c>
    </row>
    <row r="192" spans="1:17" x14ac:dyDescent="0.45">
      <c r="A192" s="110">
        <v>189</v>
      </c>
      <c r="B192" s="107">
        <v>-4.9999999999999858</v>
      </c>
      <c r="C192" s="107">
        <v>-8.8183421516754602E-3</v>
      </c>
      <c r="D192" s="112">
        <v>2</v>
      </c>
      <c r="E192" s="108">
        <v>0.33333333333333331</v>
      </c>
      <c r="F192" s="108">
        <v>0.30596149385293436</v>
      </c>
      <c r="G192" s="108">
        <v>0.17559730920900024</v>
      </c>
      <c r="H192" s="109">
        <v>10187.642153146324</v>
      </c>
      <c r="I192" s="109">
        <v>-9454.4253632760901</v>
      </c>
      <c r="J192" s="108">
        <v>0.16225749559082892</v>
      </c>
      <c r="K192" s="108">
        <v>0.16225749559082892</v>
      </c>
      <c r="L192" s="108">
        <v>0.28775226165622825</v>
      </c>
      <c r="M192" s="108">
        <v>0.22860125260960334</v>
      </c>
      <c r="N192" s="108">
        <v>0.59008464328899635</v>
      </c>
      <c r="O192" s="108">
        <v>0.39726027397260272</v>
      </c>
      <c r="P192" s="108">
        <v>0.41243366186504926</v>
      </c>
      <c r="Q192" s="108">
        <v>0.36433566433566433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B9208-8EEB-45D9-AA27-67299A5B3DB0}">
  <sheetPr codeName="Sheet7"/>
  <dimension ref="A1:P169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133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167</v>
      </c>
      <c r="C2" s="120"/>
      <c r="E2" s="102" t="s">
        <v>67</v>
      </c>
      <c r="F2" s="98" t="s">
        <v>21</v>
      </c>
      <c r="G2" s="85">
        <v>137</v>
      </c>
      <c r="H2" s="61">
        <f t="shared" ref="H2:H51" si="0">IF(B$25=0,0,G2/B$25)</f>
        <v>0.5</v>
      </c>
      <c r="J2" s="60">
        <v>0</v>
      </c>
      <c r="K2" s="62">
        <v>0</v>
      </c>
      <c r="M2" s="60" t="s">
        <v>150</v>
      </c>
      <c r="N2" s="81">
        <f t="shared" ref="N2:N7" si="1">IF(P2=0,0,O2/P2)</f>
        <v>1035.5828220858896</v>
      </c>
      <c r="O2" s="78">
        <v>168800</v>
      </c>
      <c r="P2" s="76">
        <v>163</v>
      </c>
    </row>
    <row r="3" spans="1:16" x14ac:dyDescent="0.45">
      <c r="A3" s="94" t="s">
        <v>8</v>
      </c>
      <c r="B3" s="125">
        <v>1251</v>
      </c>
      <c r="C3" s="126"/>
      <c r="E3" s="103" t="s">
        <v>68</v>
      </c>
      <c r="F3" s="99" t="s">
        <v>22</v>
      </c>
      <c r="G3" s="86">
        <v>28</v>
      </c>
      <c r="H3" s="64">
        <f t="shared" si="0"/>
        <v>0.10218978102189781</v>
      </c>
      <c r="J3" s="63">
        <v>1</v>
      </c>
      <c r="K3" s="65">
        <v>14</v>
      </c>
      <c r="M3" s="63" t="s">
        <v>151</v>
      </c>
      <c r="N3" s="82">
        <f t="shared" si="1"/>
        <v>992.9487179487179</v>
      </c>
      <c r="O3" s="79">
        <v>154900</v>
      </c>
      <c r="P3" s="74">
        <v>156</v>
      </c>
    </row>
    <row r="4" spans="1:16" x14ac:dyDescent="0.45">
      <c r="A4" s="94" t="s">
        <v>6</v>
      </c>
      <c r="B4" s="127">
        <v>870.6</v>
      </c>
      <c r="C4" s="128"/>
      <c r="E4" s="103" t="s">
        <v>69</v>
      </c>
      <c r="F4" s="99" t="s">
        <v>23</v>
      </c>
      <c r="G4" s="86">
        <v>180</v>
      </c>
      <c r="H4" s="64">
        <f t="shared" si="0"/>
        <v>0.65693430656934304</v>
      </c>
      <c r="J4" s="63">
        <v>2</v>
      </c>
      <c r="K4" s="65">
        <v>13</v>
      </c>
      <c r="M4" s="63" t="s">
        <v>152</v>
      </c>
      <c r="N4" s="82">
        <f t="shared" si="1"/>
        <v>1046.5277777777778</v>
      </c>
      <c r="O4" s="79">
        <v>150700</v>
      </c>
      <c r="P4" s="74">
        <v>144</v>
      </c>
    </row>
    <row r="5" spans="1:16" x14ac:dyDescent="0.45">
      <c r="A5" s="94" t="s">
        <v>7</v>
      </c>
      <c r="B5" s="127">
        <f>IF(B$2=0,0,B$4/B$2)</f>
        <v>5.2131736526946106</v>
      </c>
      <c r="C5" s="128"/>
      <c r="E5" s="103" t="s">
        <v>70</v>
      </c>
      <c r="F5" s="99" t="s">
        <v>24</v>
      </c>
      <c r="G5" s="86">
        <v>68</v>
      </c>
      <c r="H5" s="64">
        <f t="shared" si="0"/>
        <v>0.24817518248175183</v>
      </c>
      <c r="J5" s="63">
        <v>3</v>
      </c>
      <c r="K5" s="65">
        <v>28.1</v>
      </c>
      <c r="M5" s="63" t="s">
        <v>153</v>
      </c>
      <c r="N5" s="82">
        <f t="shared" si="1"/>
        <v>1240.7692307692307</v>
      </c>
      <c r="O5" s="79">
        <v>161300</v>
      </c>
      <c r="P5" s="74">
        <v>130</v>
      </c>
    </row>
    <row r="6" spans="1:16" x14ac:dyDescent="0.45">
      <c r="A6" s="94" t="s">
        <v>1</v>
      </c>
      <c r="B6" s="117">
        <f>IF(B$2=0,0,(B$7*1+B$8*2+B$9*3)/B$2)</f>
        <v>1.8143712574850299</v>
      </c>
      <c r="C6" s="118"/>
      <c r="E6" s="103" t="s">
        <v>71</v>
      </c>
      <c r="F6" s="99" t="s">
        <v>25</v>
      </c>
      <c r="G6" s="86">
        <v>247</v>
      </c>
      <c r="H6" s="64">
        <f t="shared" si="0"/>
        <v>0.90145985401459849</v>
      </c>
      <c r="J6" s="63">
        <v>4</v>
      </c>
      <c r="K6" s="65">
        <v>112.30000000000001</v>
      </c>
      <c r="M6" s="63" t="s">
        <v>154</v>
      </c>
      <c r="N6" s="82">
        <f t="shared" si="1"/>
        <v>907.20720720720726</v>
      </c>
      <c r="O6" s="79">
        <v>100700</v>
      </c>
      <c r="P6" s="74">
        <v>111</v>
      </c>
    </row>
    <row r="7" spans="1:16" x14ac:dyDescent="0.45">
      <c r="A7" s="94" t="s">
        <v>2</v>
      </c>
      <c r="B7" s="86">
        <v>70</v>
      </c>
      <c r="C7" s="64">
        <f>IF(B$2=0,0,B7/B$2)</f>
        <v>0.41916167664670656</v>
      </c>
      <c r="E7" s="103" t="s">
        <v>72</v>
      </c>
      <c r="F7" s="99" t="s">
        <v>12</v>
      </c>
      <c r="G7" s="86">
        <v>77</v>
      </c>
      <c r="H7" s="64">
        <f t="shared" si="0"/>
        <v>0.28102189781021897</v>
      </c>
      <c r="J7" s="63">
        <v>5</v>
      </c>
      <c r="K7" s="65">
        <v>142.80000000000001</v>
      </c>
      <c r="M7" s="68" t="s">
        <v>155</v>
      </c>
      <c r="N7" s="83">
        <f t="shared" si="1"/>
        <v>1502.3255813953488</v>
      </c>
      <c r="O7" s="80">
        <v>129200</v>
      </c>
      <c r="P7" s="75">
        <v>86</v>
      </c>
    </row>
    <row r="8" spans="1:16" x14ac:dyDescent="0.45">
      <c r="A8" s="94" t="s">
        <v>3</v>
      </c>
      <c r="B8" s="86">
        <v>58</v>
      </c>
      <c r="C8" s="64">
        <f t="shared" ref="C8:C9" si="2">IF(B$2=0,0,B8/B$2)</f>
        <v>0.3473053892215569</v>
      </c>
      <c r="E8" s="103" t="s">
        <v>73</v>
      </c>
      <c r="F8" s="99" t="s">
        <v>26</v>
      </c>
      <c r="G8" s="86">
        <v>45</v>
      </c>
      <c r="H8" s="64">
        <f t="shared" si="0"/>
        <v>0.16423357664233576</v>
      </c>
      <c r="J8" s="63">
        <v>6</v>
      </c>
      <c r="K8" s="65">
        <v>95.800000000000011</v>
      </c>
    </row>
    <row r="9" spans="1:16" x14ac:dyDescent="0.45">
      <c r="A9" s="95" t="s">
        <v>4</v>
      </c>
      <c r="B9" s="87">
        <v>39</v>
      </c>
      <c r="C9" s="66">
        <f t="shared" si="2"/>
        <v>0.23353293413173654</v>
      </c>
      <c r="E9" s="103" t="s">
        <v>74</v>
      </c>
      <c r="F9" s="99" t="s">
        <v>27</v>
      </c>
      <c r="G9" s="86">
        <v>22</v>
      </c>
      <c r="H9" s="64">
        <f t="shared" si="0"/>
        <v>8.0291970802919707E-2</v>
      </c>
      <c r="J9" s="63">
        <v>7</v>
      </c>
      <c r="K9" s="65">
        <v>90.700000000000017</v>
      </c>
    </row>
    <row r="10" spans="1:16" x14ac:dyDescent="0.45">
      <c r="A10" s="95" t="s">
        <v>19</v>
      </c>
      <c r="B10" s="87">
        <v>19</v>
      </c>
      <c r="C10" s="66">
        <f>IF(B$2=0,0,B10/B$2)</f>
        <v>0.11377245508982035</v>
      </c>
      <c r="E10" s="103" t="s">
        <v>75</v>
      </c>
      <c r="F10" s="99" t="s">
        <v>28</v>
      </c>
      <c r="G10" s="86">
        <v>17</v>
      </c>
      <c r="H10" s="64">
        <f t="shared" si="0"/>
        <v>6.2043795620437957E-2</v>
      </c>
      <c r="J10" s="63">
        <v>8</v>
      </c>
      <c r="K10" s="65">
        <v>55.700000000000017</v>
      </c>
    </row>
    <row r="11" spans="1:16" x14ac:dyDescent="0.45">
      <c r="A11" s="96" t="s">
        <v>160</v>
      </c>
      <c r="B11" s="88">
        <v>32</v>
      </c>
      <c r="C11" s="69">
        <f>IF(B$2=0,0,B11/B$2)</f>
        <v>0.19161676646706588</v>
      </c>
      <c r="E11" s="103" t="s">
        <v>76</v>
      </c>
      <c r="F11" s="99" t="s">
        <v>29</v>
      </c>
      <c r="G11" s="86">
        <v>155</v>
      </c>
      <c r="H11" s="64">
        <f t="shared" si="0"/>
        <v>0.56569343065693434</v>
      </c>
      <c r="J11" s="63">
        <v>9</v>
      </c>
      <c r="K11" s="65">
        <v>15.700000000000017</v>
      </c>
    </row>
    <row r="12" spans="1:16" x14ac:dyDescent="0.45">
      <c r="A12" s="97" t="s">
        <v>128</v>
      </c>
      <c r="B12" s="89">
        <v>222</v>
      </c>
      <c r="C12" s="72">
        <f>IF(B$24=0,0,B12/B$24)</f>
        <v>0.28172588832487311</v>
      </c>
      <c r="E12" s="103" t="s">
        <v>77</v>
      </c>
      <c r="F12" s="99" t="s">
        <v>30</v>
      </c>
      <c r="G12" s="86">
        <v>3</v>
      </c>
      <c r="H12" s="64">
        <f t="shared" si="0"/>
        <v>1.0948905109489052E-2</v>
      </c>
      <c r="J12" s="63">
        <v>10</v>
      </c>
      <c r="K12" s="65">
        <v>-15.799999999999983</v>
      </c>
    </row>
    <row r="13" spans="1:16" x14ac:dyDescent="0.45">
      <c r="A13" s="94" t="s">
        <v>123</v>
      </c>
      <c r="B13" s="86">
        <v>177</v>
      </c>
      <c r="C13" s="64">
        <f>IF(B$24=0,0,B13/B$24)</f>
        <v>0.22461928934010153</v>
      </c>
      <c r="E13" s="103" t="s">
        <v>78</v>
      </c>
      <c r="F13" s="99" t="s">
        <v>31</v>
      </c>
      <c r="G13" s="86">
        <v>1</v>
      </c>
      <c r="H13" s="64">
        <f t="shared" si="0"/>
        <v>3.6496350364963502E-3</v>
      </c>
      <c r="J13" s="63">
        <v>11</v>
      </c>
      <c r="K13" s="65">
        <v>1.5000000000000178</v>
      </c>
    </row>
    <row r="14" spans="1:16" x14ac:dyDescent="0.45">
      <c r="A14" s="93" t="s">
        <v>130</v>
      </c>
      <c r="B14" s="85">
        <v>140</v>
      </c>
      <c r="C14" s="61">
        <f>IF(B$12=0,0,B14/B$12)</f>
        <v>0.63063063063063063</v>
      </c>
      <c r="E14" s="103" t="s">
        <v>79</v>
      </c>
      <c r="F14" s="99" t="s">
        <v>32</v>
      </c>
      <c r="G14" s="86">
        <v>3</v>
      </c>
      <c r="H14" s="64">
        <f t="shared" si="0"/>
        <v>1.0948905109489052E-2</v>
      </c>
      <c r="J14" s="63">
        <v>12</v>
      </c>
      <c r="K14" s="65">
        <v>14.300000000000018</v>
      </c>
    </row>
    <row r="15" spans="1:16" x14ac:dyDescent="0.45">
      <c r="A15" s="93" t="s">
        <v>131</v>
      </c>
      <c r="B15" s="85">
        <v>84</v>
      </c>
      <c r="C15" s="61">
        <f>IF(B$13=0,0,B15/B$13)</f>
        <v>0.47457627118644069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70.300000000000011</v>
      </c>
    </row>
    <row r="16" spans="1:16" x14ac:dyDescent="0.45">
      <c r="A16" s="93" t="s">
        <v>10</v>
      </c>
      <c r="B16" s="85">
        <f>B18+B17</f>
        <v>433</v>
      </c>
      <c r="C16" s="61">
        <f>IF(B$3=0,0,B16/B$3)</f>
        <v>0.34612310151878495</v>
      </c>
      <c r="E16" s="103" t="s">
        <v>81</v>
      </c>
      <c r="F16" s="99" t="s">
        <v>34</v>
      </c>
      <c r="G16" s="86">
        <v>3</v>
      </c>
      <c r="H16" s="64">
        <f t="shared" si="0"/>
        <v>1.0948905109489052E-2</v>
      </c>
      <c r="J16" s="63">
        <v>14</v>
      </c>
      <c r="K16" s="65">
        <v>27.300000000000011</v>
      </c>
    </row>
    <row r="17" spans="1:11" x14ac:dyDescent="0.45">
      <c r="A17" s="94" t="s">
        <v>12</v>
      </c>
      <c r="B17" s="86">
        <v>166</v>
      </c>
      <c r="C17" s="64">
        <f>IF(B$16=0,0,B17/B$16)</f>
        <v>0.38337182448036949</v>
      </c>
      <c r="E17" s="103" t="s">
        <v>82</v>
      </c>
      <c r="F17" s="99" t="s">
        <v>35</v>
      </c>
      <c r="G17" s="86">
        <v>1</v>
      </c>
      <c r="H17" s="64">
        <f t="shared" si="0"/>
        <v>3.6496350364963502E-3</v>
      </c>
      <c r="J17" s="63">
        <v>15</v>
      </c>
      <c r="K17" s="65">
        <v>-8.6999999999999886</v>
      </c>
    </row>
    <row r="18" spans="1:11" x14ac:dyDescent="0.45">
      <c r="A18" s="94" t="s">
        <v>11</v>
      </c>
      <c r="B18" s="86">
        <v>267</v>
      </c>
      <c r="C18" s="64">
        <f>IF(B$16=0,0,B18/B$16)</f>
        <v>0.61662817551963045</v>
      </c>
      <c r="E18" s="103" t="s">
        <v>83</v>
      </c>
      <c r="F18" s="99" t="s">
        <v>36</v>
      </c>
      <c r="G18" s="86">
        <v>2</v>
      </c>
      <c r="H18" s="64">
        <f t="shared" si="0"/>
        <v>7.2992700729927005E-3</v>
      </c>
      <c r="J18" s="63">
        <v>16</v>
      </c>
      <c r="K18" s="65">
        <v>-7.099999999999989</v>
      </c>
    </row>
    <row r="19" spans="1:11" x14ac:dyDescent="0.45">
      <c r="A19" s="94" t="s">
        <v>13</v>
      </c>
      <c r="B19" s="86">
        <v>181</v>
      </c>
      <c r="C19" s="64">
        <f>IF(B$3=0,0,B19/B$3)</f>
        <v>0.14468425259792167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-28.499999999999986</v>
      </c>
    </row>
    <row r="20" spans="1:11" x14ac:dyDescent="0.45">
      <c r="A20" s="94" t="s">
        <v>5</v>
      </c>
      <c r="B20" s="90">
        <f>IF(B$16=0,0,C20/B$16)</f>
        <v>9864.434180138569</v>
      </c>
      <c r="C20" s="67">
        <v>4271300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-14.599999999999985</v>
      </c>
    </row>
    <row r="21" spans="1:11" x14ac:dyDescent="0.45">
      <c r="A21" s="96" t="s">
        <v>14</v>
      </c>
      <c r="B21" s="91">
        <f>IF(B$19=0,0,C21/B$19)</f>
        <v>-9406.0773480662992</v>
      </c>
      <c r="C21" s="84">
        <v>-1702500</v>
      </c>
      <c r="E21" s="103" t="s">
        <v>86</v>
      </c>
      <c r="F21" s="99" t="s">
        <v>39</v>
      </c>
      <c r="G21" s="86">
        <v>6</v>
      </c>
      <c r="H21" s="64">
        <f t="shared" si="0"/>
        <v>2.1897810218978103E-2</v>
      </c>
      <c r="J21" s="63">
        <v>19</v>
      </c>
      <c r="K21" s="65">
        <v>41.600000000000016</v>
      </c>
    </row>
    <row r="22" spans="1:11" x14ac:dyDescent="0.45">
      <c r="A22" s="93" t="s">
        <v>147</v>
      </c>
      <c r="B22" s="85">
        <v>432</v>
      </c>
      <c r="C22" s="61">
        <f>IF(B$3=0,0,B22/B$3)</f>
        <v>0.34532374100719426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66.800000000000011</v>
      </c>
    </row>
    <row r="23" spans="1:11" x14ac:dyDescent="0.45">
      <c r="A23" s="96" t="s">
        <v>148</v>
      </c>
      <c r="B23" s="88">
        <v>178</v>
      </c>
      <c r="C23" s="69">
        <f>IF(B$22=0,0,B23/B$22)</f>
        <v>0.41203703703703703</v>
      </c>
      <c r="E23" s="103" t="s">
        <v>88</v>
      </c>
      <c r="F23" s="99" t="s">
        <v>41</v>
      </c>
      <c r="G23" s="86">
        <v>9</v>
      </c>
      <c r="H23" s="64">
        <f t="shared" si="0"/>
        <v>3.2846715328467155E-2</v>
      </c>
      <c r="J23" s="63">
        <v>21</v>
      </c>
      <c r="K23" s="65">
        <v>122.30000000000001</v>
      </c>
    </row>
    <row r="24" spans="1:11" x14ac:dyDescent="0.45">
      <c r="A24" s="93" t="s">
        <v>126</v>
      </c>
      <c r="B24" s="119">
        <v>788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  <c r="J24" s="63">
        <v>22</v>
      </c>
      <c r="K24" s="65">
        <v>96.800000000000011</v>
      </c>
    </row>
    <row r="25" spans="1:11" x14ac:dyDescent="0.45">
      <c r="A25" s="96" t="s">
        <v>127</v>
      </c>
      <c r="B25" s="121">
        <v>274</v>
      </c>
      <c r="C25" s="122"/>
      <c r="E25" s="103" t="s">
        <v>90</v>
      </c>
      <c r="F25" s="99" t="s">
        <v>43</v>
      </c>
      <c r="G25" s="86">
        <v>1</v>
      </c>
      <c r="H25" s="64">
        <f t="shared" si="0"/>
        <v>3.6496350364963502E-3</v>
      </c>
      <c r="J25" s="63">
        <v>23</v>
      </c>
      <c r="K25" s="65">
        <v>120.50000000000001</v>
      </c>
    </row>
    <row r="26" spans="1:11" x14ac:dyDescent="0.45">
      <c r="A26" s="105" t="s">
        <v>164</v>
      </c>
      <c r="B26" s="115">
        <v>10</v>
      </c>
      <c r="C26" s="116"/>
      <c r="E26" s="103" t="s">
        <v>91</v>
      </c>
      <c r="F26" s="99" t="s">
        <v>44</v>
      </c>
      <c r="G26" s="86">
        <v>15</v>
      </c>
      <c r="H26" s="64">
        <f t="shared" si="0"/>
        <v>5.4744525547445258E-2</v>
      </c>
      <c r="J26" s="63">
        <v>24</v>
      </c>
      <c r="K26" s="65">
        <v>114.00000000000001</v>
      </c>
    </row>
    <row r="27" spans="1:11" x14ac:dyDescent="0.45">
      <c r="A27" s="96" t="s">
        <v>165</v>
      </c>
      <c r="B27" s="106">
        <v>1</v>
      </c>
      <c r="C27" s="69">
        <f>IF(B$3=0,0,B27/B$3)</f>
        <v>7.993605115907274E-4</v>
      </c>
      <c r="E27" s="103" t="s">
        <v>92</v>
      </c>
      <c r="F27" s="99" t="s">
        <v>45</v>
      </c>
      <c r="G27" s="86">
        <v>2</v>
      </c>
      <c r="H27" s="64">
        <f t="shared" si="0"/>
        <v>7.2992700729927005E-3</v>
      </c>
      <c r="J27" s="63">
        <v>25</v>
      </c>
      <c r="K27" s="65">
        <v>81.300000000000011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104.20000000000002</v>
      </c>
    </row>
    <row r="29" spans="1:11" x14ac:dyDescent="0.45">
      <c r="E29" s="103" t="s">
        <v>94</v>
      </c>
      <c r="F29" s="99" t="s">
        <v>47</v>
      </c>
      <c r="G29" s="86">
        <v>51</v>
      </c>
      <c r="H29" s="64">
        <f t="shared" si="0"/>
        <v>0.18613138686131386</v>
      </c>
      <c r="J29" s="63">
        <v>27</v>
      </c>
      <c r="K29" s="65">
        <v>68.200000000000017</v>
      </c>
    </row>
    <row r="30" spans="1:11" x14ac:dyDescent="0.45">
      <c r="E30" s="103" t="s">
        <v>95</v>
      </c>
      <c r="F30" s="99" t="s">
        <v>48</v>
      </c>
      <c r="G30" s="86">
        <v>1</v>
      </c>
      <c r="H30" s="64">
        <f t="shared" si="0"/>
        <v>3.6496350364963502E-3</v>
      </c>
      <c r="J30" s="63">
        <v>28</v>
      </c>
      <c r="K30" s="65">
        <v>125.20000000000002</v>
      </c>
    </row>
    <row r="31" spans="1:11" x14ac:dyDescent="0.45">
      <c r="E31" s="103" t="s">
        <v>96</v>
      </c>
      <c r="F31" s="99" t="s">
        <v>49</v>
      </c>
      <c r="G31" s="86">
        <v>2</v>
      </c>
      <c r="H31" s="64">
        <f t="shared" si="0"/>
        <v>7.2992700729927005E-3</v>
      </c>
      <c r="J31" s="63">
        <v>29</v>
      </c>
      <c r="K31" s="65">
        <v>116.80000000000001</v>
      </c>
    </row>
    <row r="32" spans="1:11" x14ac:dyDescent="0.45">
      <c r="E32" s="103" t="s">
        <v>97</v>
      </c>
      <c r="F32" s="99" t="s">
        <v>50</v>
      </c>
      <c r="G32" s="86">
        <v>2</v>
      </c>
      <c r="H32" s="64">
        <f t="shared" si="0"/>
        <v>7.2992700729927005E-3</v>
      </c>
      <c r="J32" s="63">
        <v>30</v>
      </c>
      <c r="K32" s="65">
        <v>108.4</v>
      </c>
    </row>
    <row r="33" spans="5:11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160.69999999999999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146.69999999999999</v>
      </c>
    </row>
    <row r="35" spans="5:11" x14ac:dyDescent="0.45">
      <c r="E35" s="103" t="s">
        <v>100</v>
      </c>
      <c r="F35" s="99" t="s">
        <v>53</v>
      </c>
      <c r="G35" s="86">
        <v>1</v>
      </c>
      <c r="H35" s="64">
        <f t="shared" si="0"/>
        <v>3.6496350364963502E-3</v>
      </c>
      <c r="J35" s="63">
        <v>33</v>
      </c>
      <c r="K35" s="65">
        <v>206.39999999999998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255.39999999999998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241.39999999999998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237.99999999999997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221.89999999999998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241.99999999999997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192.39999999999998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184.2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178.2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142.79999999999998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135.29999999999998</v>
      </c>
    </row>
    <row r="46" spans="5:11" x14ac:dyDescent="0.45">
      <c r="E46" s="103" t="s">
        <v>111</v>
      </c>
      <c r="F46" s="99" t="s">
        <v>118</v>
      </c>
      <c r="G46" s="86">
        <v>1</v>
      </c>
      <c r="H46" s="64">
        <f t="shared" si="0"/>
        <v>3.6496350364963502E-3</v>
      </c>
      <c r="J46" s="63">
        <v>44</v>
      </c>
      <c r="K46" s="65">
        <v>143.69999999999999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134.29999999999998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161.19999999999999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141.69999999999999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110.6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125.8</v>
      </c>
    </row>
    <row r="52" spans="5:11" x14ac:dyDescent="0.45">
      <c r="J52" s="63">
        <v>50</v>
      </c>
      <c r="K52" s="65">
        <v>120.89999999999999</v>
      </c>
    </row>
    <row r="53" spans="5:11" x14ac:dyDescent="0.45">
      <c r="J53" s="63">
        <v>51</v>
      </c>
      <c r="K53" s="65">
        <v>132.69999999999999</v>
      </c>
    </row>
    <row r="54" spans="5:11" x14ac:dyDescent="0.45">
      <c r="J54" s="63">
        <v>52</v>
      </c>
      <c r="K54" s="65">
        <v>133.39999999999998</v>
      </c>
    </row>
    <row r="55" spans="5:11" x14ac:dyDescent="0.45">
      <c r="J55" s="63">
        <v>53</v>
      </c>
      <c r="K55" s="65">
        <v>127.69999999999997</v>
      </c>
    </row>
    <row r="56" spans="5:11" x14ac:dyDescent="0.45">
      <c r="J56" s="63">
        <v>54</v>
      </c>
      <c r="K56" s="65">
        <v>99.699999999999974</v>
      </c>
    </row>
    <row r="57" spans="5:11" x14ac:dyDescent="0.45">
      <c r="J57" s="63">
        <v>55</v>
      </c>
      <c r="K57" s="65">
        <v>116.39999999999998</v>
      </c>
    </row>
    <row r="58" spans="5:11" x14ac:dyDescent="0.45">
      <c r="J58" s="63">
        <v>56</v>
      </c>
      <c r="K58" s="65">
        <v>110.39999999999998</v>
      </c>
    </row>
    <row r="59" spans="5:11" x14ac:dyDescent="0.45">
      <c r="J59" s="63">
        <v>57</v>
      </c>
      <c r="K59" s="65">
        <v>140.99999999999997</v>
      </c>
    </row>
    <row r="60" spans="5:11" x14ac:dyDescent="0.45">
      <c r="J60" s="63">
        <v>58</v>
      </c>
      <c r="K60" s="65">
        <v>156.79999999999998</v>
      </c>
    </row>
    <row r="61" spans="5:11" x14ac:dyDescent="0.45">
      <c r="J61" s="63">
        <v>59</v>
      </c>
      <c r="K61" s="65">
        <v>212.79999999999998</v>
      </c>
    </row>
    <row r="62" spans="5:11" x14ac:dyDescent="0.45">
      <c r="J62" s="63">
        <v>60</v>
      </c>
      <c r="K62" s="65">
        <v>218.1</v>
      </c>
    </row>
    <row r="63" spans="5:11" x14ac:dyDescent="0.45">
      <c r="J63" s="63">
        <v>61</v>
      </c>
      <c r="K63" s="65">
        <v>173</v>
      </c>
    </row>
    <row r="64" spans="5:11" x14ac:dyDescent="0.45">
      <c r="J64" s="63">
        <v>62</v>
      </c>
      <c r="K64" s="65">
        <v>193.1</v>
      </c>
    </row>
    <row r="65" spans="10:11" x14ac:dyDescent="0.45">
      <c r="J65" s="63">
        <v>63</v>
      </c>
      <c r="K65" s="65">
        <v>128.1</v>
      </c>
    </row>
    <row r="66" spans="10:11" x14ac:dyDescent="0.45">
      <c r="J66" s="63">
        <v>64</v>
      </c>
      <c r="K66" s="65">
        <v>123.1</v>
      </c>
    </row>
    <row r="67" spans="10:11" x14ac:dyDescent="0.45">
      <c r="J67" s="63">
        <v>65</v>
      </c>
      <c r="K67" s="65">
        <v>124.1</v>
      </c>
    </row>
    <row r="68" spans="10:11" x14ac:dyDescent="0.45">
      <c r="J68" s="63">
        <v>66</v>
      </c>
      <c r="K68" s="65">
        <v>154.69999999999999</v>
      </c>
    </row>
    <row r="69" spans="10:11" x14ac:dyDescent="0.45">
      <c r="J69" s="63">
        <v>67</v>
      </c>
      <c r="K69" s="65">
        <v>135.69999999999999</v>
      </c>
    </row>
    <row r="70" spans="10:11" x14ac:dyDescent="0.45">
      <c r="J70" s="63">
        <v>68</v>
      </c>
      <c r="K70" s="65">
        <v>126.79999999999998</v>
      </c>
    </row>
    <row r="71" spans="10:11" x14ac:dyDescent="0.45">
      <c r="J71" s="63">
        <v>69</v>
      </c>
      <c r="K71" s="65">
        <v>127.69999999999999</v>
      </c>
    </row>
    <row r="72" spans="10:11" x14ac:dyDescent="0.45">
      <c r="J72" s="63">
        <v>70</v>
      </c>
      <c r="K72" s="65">
        <v>159</v>
      </c>
    </row>
    <row r="73" spans="10:11" x14ac:dyDescent="0.45">
      <c r="J73" s="63">
        <v>71</v>
      </c>
      <c r="K73" s="65">
        <v>186.4</v>
      </c>
    </row>
    <row r="74" spans="10:11" x14ac:dyDescent="0.45">
      <c r="J74" s="63">
        <v>72</v>
      </c>
      <c r="K74" s="65">
        <v>179</v>
      </c>
    </row>
    <row r="75" spans="10:11" x14ac:dyDescent="0.45">
      <c r="J75" s="63">
        <v>73</v>
      </c>
      <c r="K75" s="65">
        <v>196.3</v>
      </c>
    </row>
    <row r="76" spans="10:11" x14ac:dyDescent="0.45">
      <c r="J76" s="63">
        <v>74</v>
      </c>
      <c r="K76" s="65">
        <v>182.4</v>
      </c>
    </row>
    <row r="77" spans="10:11" x14ac:dyDescent="0.45">
      <c r="J77" s="63">
        <v>75</v>
      </c>
      <c r="K77" s="65">
        <v>221.4</v>
      </c>
    </row>
    <row r="78" spans="10:11" x14ac:dyDescent="0.45">
      <c r="J78" s="63">
        <v>76</v>
      </c>
      <c r="K78" s="65">
        <v>226.6</v>
      </c>
    </row>
    <row r="79" spans="10:11" x14ac:dyDescent="0.45">
      <c r="J79" s="63">
        <v>77</v>
      </c>
      <c r="K79" s="65">
        <v>212.9</v>
      </c>
    </row>
    <row r="80" spans="10:11" x14ac:dyDescent="0.45">
      <c r="J80" s="63">
        <v>78</v>
      </c>
      <c r="K80" s="65">
        <v>218</v>
      </c>
    </row>
    <row r="81" spans="10:11" x14ac:dyDescent="0.45">
      <c r="J81" s="63">
        <v>79</v>
      </c>
      <c r="K81" s="65">
        <v>248.9</v>
      </c>
    </row>
    <row r="82" spans="10:11" x14ac:dyDescent="0.45">
      <c r="J82" s="63">
        <v>80</v>
      </c>
      <c r="K82" s="65">
        <v>287.89999999999998</v>
      </c>
    </row>
    <row r="83" spans="10:11" x14ac:dyDescent="0.45">
      <c r="J83" s="63">
        <v>81</v>
      </c>
      <c r="K83" s="65">
        <v>309.39999999999998</v>
      </c>
    </row>
    <row r="84" spans="10:11" x14ac:dyDescent="0.45">
      <c r="J84" s="63">
        <v>82</v>
      </c>
      <c r="K84" s="65">
        <v>339.9</v>
      </c>
    </row>
    <row r="85" spans="10:11" x14ac:dyDescent="0.45">
      <c r="J85" s="63">
        <v>83</v>
      </c>
      <c r="K85" s="65">
        <v>398.7</v>
      </c>
    </row>
    <row r="86" spans="10:11" x14ac:dyDescent="0.45">
      <c r="J86" s="63">
        <v>84</v>
      </c>
      <c r="K86" s="65">
        <v>409.8</v>
      </c>
    </row>
    <row r="87" spans="10:11" x14ac:dyDescent="0.45">
      <c r="J87" s="63">
        <v>85</v>
      </c>
      <c r="K87" s="65">
        <v>411.40000000000003</v>
      </c>
    </row>
    <row r="88" spans="10:11" x14ac:dyDescent="0.45">
      <c r="J88" s="63">
        <v>86</v>
      </c>
      <c r="K88" s="65">
        <v>391.00000000000006</v>
      </c>
    </row>
    <row r="89" spans="10:11" x14ac:dyDescent="0.45">
      <c r="J89" s="63">
        <v>87</v>
      </c>
      <c r="K89" s="65">
        <v>393.50000000000006</v>
      </c>
    </row>
    <row r="90" spans="10:11" x14ac:dyDescent="0.45">
      <c r="J90" s="63">
        <v>88</v>
      </c>
      <c r="K90" s="65">
        <v>349.00000000000006</v>
      </c>
    </row>
    <row r="91" spans="10:11" x14ac:dyDescent="0.45">
      <c r="J91" s="63">
        <v>89</v>
      </c>
      <c r="K91" s="65">
        <v>348.40000000000003</v>
      </c>
    </row>
    <row r="92" spans="10:11" x14ac:dyDescent="0.45">
      <c r="J92" s="63">
        <v>90</v>
      </c>
      <c r="K92" s="65">
        <v>373.8</v>
      </c>
    </row>
    <row r="93" spans="10:11" x14ac:dyDescent="0.45">
      <c r="J93" s="63">
        <v>91</v>
      </c>
      <c r="K93" s="65">
        <v>383.5</v>
      </c>
    </row>
    <row r="94" spans="10:11" x14ac:dyDescent="0.45">
      <c r="J94" s="63">
        <v>92</v>
      </c>
      <c r="K94" s="65">
        <v>403.6</v>
      </c>
    </row>
    <row r="95" spans="10:11" x14ac:dyDescent="0.45">
      <c r="J95" s="63">
        <v>93</v>
      </c>
      <c r="K95" s="65">
        <v>445.70000000000005</v>
      </c>
    </row>
    <row r="96" spans="10:11" x14ac:dyDescent="0.45">
      <c r="J96" s="63">
        <v>94</v>
      </c>
      <c r="K96" s="65">
        <v>439.70000000000005</v>
      </c>
    </row>
    <row r="97" spans="10:11" x14ac:dyDescent="0.45">
      <c r="J97" s="63">
        <v>95</v>
      </c>
      <c r="K97" s="65">
        <v>403.20000000000005</v>
      </c>
    </row>
    <row r="98" spans="10:11" x14ac:dyDescent="0.45">
      <c r="J98" s="63">
        <v>96</v>
      </c>
      <c r="K98" s="65">
        <v>364.70000000000005</v>
      </c>
    </row>
    <row r="99" spans="10:11" x14ac:dyDescent="0.45">
      <c r="J99" s="63">
        <v>97</v>
      </c>
      <c r="K99" s="65">
        <v>374.80000000000007</v>
      </c>
    </row>
    <row r="100" spans="10:11" x14ac:dyDescent="0.45">
      <c r="J100" s="63">
        <v>98</v>
      </c>
      <c r="K100" s="65">
        <v>372.80000000000007</v>
      </c>
    </row>
    <row r="101" spans="10:11" x14ac:dyDescent="0.45">
      <c r="J101" s="63">
        <v>99</v>
      </c>
      <c r="K101" s="65">
        <v>415.30000000000007</v>
      </c>
    </row>
    <row r="102" spans="10:11" x14ac:dyDescent="0.45">
      <c r="J102" s="63">
        <v>100</v>
      </c>
      <c r="K102" s="65">
        <v>409.70000000000005</v>
      </c>
    </row>
    <row r="103" spans="10:11" x14ac:dyDescent="0.45">
      <c r="J103" s="63">
        <v>101</v>
      </c>
      <c r="K103" s="65">
        <v>402.30000000000007</v>
      </c>
    </row>
    <row r="104" spans="10:11" x14ac:dyDescent="0.45">
      <c r="J104" s="63">
        <v>102</v>
      </c>
      <c r="K104" s="65">
        <v>365.30000000000007</v>
      </c>
    </row>
    <row r="105" spans="10:11" x14ac:dyDescent="0.45">
      <c r="J105" s="63">
        <v>103</v>
      </c>
      <c r="K105" s="65">
        <v>347.50000000000006</v>
      </c>
    </row>
    <row r="106" spans="10:11" x14ac:dyDescent="0.45">
      <c r="J106" s="63">
        <v>104</v>
      </c>
      <c r="K106" s="65">
        <v>373.50000000000006</v>
      </c>
    </row>
    <row r="107" spans="10:11" x14ac:dyDescent="0.45">
      <c r="J107" s="63">
        <v>105</v>
      </c>
      <c r="K107" s="65">
        <v>417.10000000000008</v>
      </c>
    </row>
    <row r="108" spans="10:11" x14ac:dyDescent="0.45">
      <c r="J108" s="63">
        <v>106</v>
      </c>
      <c r="K108" s="65">
        <v>424.10000000000008</v>
      </c>
    </row>
    <row r="109" spans="10:11" x14ac:dyDescent="0.45">
      <c r="J109" s="63">
        <v>107</v>
      </c>
      <c r="K109" s="65">
        <v>413.80000000000007</v>
      </c>
    </row>
    <row r="110" spans="10:11" x14ac:dyDescent="0.45">
      <c r="J110" s="63">
        <v>108</v>
      </c>
      <c r="K110" s="65">
        <v>398.30000000000007</v>
      </c>
    </row>
    <row r="111" spans="10:11" x14ac:dyDescent="0.45">
      <c r="J111" s="63">
        <v>109</v>
      </c>
      <c r="K111" s="65">
        <v>380.00000000000006</v>
      </c>
    </row>
    <row r="112" spans="10:11" x14ac:dyDescent="0.45">
      <c r="J112" s="63">
        <v>110</v>
      </c>
      <c r="K112" s="65">
        <v>403.00000000000006</v>
      </c>
    </row>
    <row r="113" spans="10:11" x14ac:dyDescent="0.45">
      <c r="J113" s="63">
        <v>111</v>
      </c>
      <c r="K113" s="65">
        <v>421.50000000000006</v>
      </c>
    </row>
    <row r="114" spans="10:11" x14ac:dyDescent="0.45">
      <c r="J114" s="63">
        <v>112</v>
      </c>
      <c r="K114" s="65">
        <v>416.10000000000008</v>
      </c>
    </row>
    <row r="115" spans="10:11" x14ac:dyDescent="0.45">
      <c r="J115" s="63">
        <v>113</v>
      </c>
      <c r="K115" s="65">
        <v>471.10000000000008</v>
      </c>
    </row>
    <row r="116" spans="10:11" x14ac:dyDescent="0.45">
      <c r="J116" s="63">
        <v>114</v>
      </c>
      <c r="K116" s="65">
        <v>487.2000000000001</v>
      </c>
    </row>
    <row r="117" spans="10:11" x14ac:dyDescent="0.45">
      <c r="J117" s="63">
        <v>115</v>
      </c>
      <c r="K117" s="65">
        <v>450.2000000000001</v>
      </c>
    </row>
    <row r="118" spans="10:11" x14ac:dyDescent="0.45">
      <c r="J118" s="63">
        <v>116</v>
      </c>
      <c r="K118" s="65">
        <v>465.7000000000001</v>
      </c>
    </row>
    <row r="119" spans="10:11" x14ac:dyDescent="0.45">
      <c r="J119" s="63">
        <v>117</v>
      </c>
      <c r="K119" s="65">
        <v>480.00000000000011</v>
      </c>
    </row>
    <row r="120" spans="10:11" x14ac:dyDescent="0.45">
      <c r="J120" s="63">
        <v>118</v>
      </c>
      <c r="K120" s="65">
        <v>491.60000000000014</v>
      </c>
    </row>
    <row r="121" spans="10:11" x14ac:dyDescent="0.45">
      <c r="J121" s="63">
        <v>119</v>
      </c>
      <c r="K121" s="65">
        <v>507.50000000000011</v>
      </c>
    </row>
    <row r="122" spans="10:11" x14ac:dyDescent="0.45">
      <c r="J122" s="63">
        <v>120</v>
      </c>
      <c r="K122" s="65">
        <v>471.00000000000011</v>
      </c>
    </row>
    <row r="123" spans="10:11" x14ac:dyDescent="0.45">
      <c r="J123" s="63">
        <v>121</v>
      </c>
      <c r="K123" s="65">
        <v>508.50000000000011</v>
      </c>
    </row>
    <row r="124" spans="10:11" x14ac:dyDescent="0.45">
      <c r="J124" s="63">
        <v>122</v>
      </c>
      <c r="K124" s="65">
        <v>463.00000000000011</v>
      </c>
    </row>
    <row r="125" spans="10:11" x14ac:dyDescent="0.45">
      <c r="J125" s="63">
        <v>123</v>
      </c>
      <c r="K125" s="65">
        <v>475.2000000000001</v>
      </c>
    </row>
    <row r="126" spans="10:11" x14ac:dyDescent="0.45">
      <c r="J126" s="63">
        <v>124</v>
      </c>
      <c r="K126" s="65">
        <v>456.7000000000001</v>
      </c>
    </row>
    <row r="127" spans="10:11" x14ac:dyDescent="0.45">
      <c r="J127" s="63">
        <v>125</v>
      </c>
      <c r="K127" s="65">
        <v>497.10000000000008</v>
      </c>
    </row>
    <row r="128" spans="10:11" x14ac:dyDescent="0.45">
      <c r="J128" s="63">
        <v>126</v>
      </c>
      <c r="K128" s="65">
        <v>523.20000000000005</v>
      </c>
    </row>
    <row r="129" spans="10:11" x14ac:dyDescent="0.45">
      <c r="J129" s="63">
        <v>127</v>
      </c>
      <c r="K129" s="65">
        <v>531.70000000000005</v>
      </c>
    </row>
    <row r="130" spans="10:11" x14ac:dyDescent="0.45">
      <c r="J130" s="63">
        <v>128</v>
      </c>
      <c r="K130" s="65">
        <v>574</v>
      </c>
    </row>
    <row r="131" spans="10:11" x14ac:dyDescent="0.45">
      <c r="J131" s="63">
        <v>129</v>
      </c>
      <c r="K131" s="65">
        <v>599</v>
      </c>
    </row>
    <row r="132" spans="10:11" x14ac:dyDescent="0.45">
      <c r="J132" s="63">
        <v>130</v>
      </c>
      <c r="K132" s="65">
        <v>610</v>
      </c>
    </row>
    <row r="133" spans="10:11" x14ac:dyDescent="0.45">
      <c r="J133" s="63">
        <v>131</v>
      </c>
      <c r="K133" s="65">
        <v>650</v>
      </c>
    </row>
    <row r="134" spans="10:11" x14ac:dyDescent="0.45">
      <c r="J134" s="63">
        <v>132</v>
      </c>
      <c r="K134" s="65">
        <v>631.20000000000005</v>
      </c>
    </row>
    <row r="135" spans="10:11" x14ac:dyDescent="0.45">
      <c r="J135" s="63">
        <v>133</v>
      </c>
      <c r="K135" s="65">
        <v>667.80000000000007</v>
      </c>
    </row>
    <row r="136" spans="10:11" x14ac:dyDescent="0.45">
      <c r="J136" s="63">
        <v>134</v>
      </c>
      <c r="K136" s="65">
        <v>675.6</v>
      </c>
    </row>
    <row r="137" spans="10:11" x14ac:dyDescent="0.45">
      <c r="J137" s="63">
        <v>135</v>
      </c>
      <c r="K137" s="65">
        <v>742.7</v>
      </c>
    </row>
    <row r="138" spans="10:11" x14ac:dyDescent="0.45">
      <c r="J138" s="63">
        <v>136</v>
      </c>
      <c r="K138" s="65">
        <v>747.90000000000009</v>
      </c>
    </row>
    <row r="139" spans="10:11" x14ac:dyDescent="0.45">
      <c r="J139" s="63">
        <v>137</v>
      </c>
      <c r="K139" s="65">
        <v>763.10000000000014</v>
      </c>
    </row>
    <row r="140" spans="10:11" x14ac:dyDescent="0.45">
      <c r="J140" s="63">
        <v>138</v>
      </c>
      <c r="K140" s="65">
        <v>786.30000000000018</v>
      </c>
    </row>
    <row r="141" spans="10:11" x14ac:dyDescent="0.45">
      <c r="J141" s="63">
        <v>139</v>
      </c>
      <c r="K141" s="65">
        <v>806.9000000000002</v>
      </c>
    </row>
    <row r="142" spans="10:11" x14ac:dyDescent="0.45">
      <c r="J142" s="63">
        <v>140</v>
      </c>
      <c r="K142" s="65">
        <v>814.20000000000016</v>
      </c>
    </row>
    <row r="143" spans="10:11" x14ac:dyDescent="0.45">
      <c r="J143" s="63">
        <v>141</v>
      </c>
      <c r="K143" s="65">
        <v>819.00000000000011</v>
      </c>
    </row>
    <row r="144" spans="10:11" x14ac:dyDescent="0.45">
      <c r="J144" s="63">
        <v>142</v>
      </c>
      <c r="K144" s="65">
        <v>823.10000000000014</v>
      </c>
    </row>
    <row r="145" spans="10:11" x14ac:dyDescent="0.45">
      <c r="J145" s="63">
        <v>143</v>
      </c>
      <c r="K145" s="65">
        <v>812.10000000000014</v>
      </c>
    </row>
    <row r="146" spans="10:11" x14ac:dyDescent="0.45">
      <c r="J146" s="63">
        <v>144</v>
      </c>
      <c r="K146" s="65">
        <v>823.60000000000014</v>
      </c>
    </row>
    <row r="147" spans="10:11" x14ac:dyDescent="0.45">
      <c r="J147" s="63">
        <v>145</v>
      </c>
      <c r="K147" s="65">
        <v>811.70000000000016</v>
      </c>
    </row>
    <row r="148" spans="10:11" x14ac:dyDescent="0.45">
      <c r="J148" s="63">
        <v>146</v>
      </c>
      <c r="K148" s="65">
        <v>827.30000000000018</v>
      </c>
    </row>
    <row r="149" spans="10:11" x14ac:dyDescent="0.45">
      <c r="J149" s="63">
        <v>147</v>
      </c>
      <c r="K149" s="65">
        <v>841.9000000000002</v>
      </c>
    </row>
    <row r="150" spans="10:11" x14ac:dyDescent="0.45">
      <c r="J150" s="63">
        <v>148</v>
      </c>
      <c r="K150" s="65">
        <v>806.9000000000002</v>
      </c>
    </row>
    <row r="151" spans="10:11" x14ac:dyDescent="0.45">
      <c r="J151" s="63">
        <v>149</v>
      </c>
      <c r="K151" s="65">
        <v>777.30000000000018</v>
      </c>
    </row>
    <row r="152" spans="10:11" x14ac:dyDescent="0.45">
      <c r="J152" s="63">
        <v>150</v>
      </c>
      <c r="K152" s="65">
        <v>783.10000000000014</v>
      </c>
    </row>
    <row r="153" spans="10:11" x14ac:dyDescent="0.45">
      <c r="J153" s="63">
        <v>151</v>
      </c>
      <c r="K153" s="65">
        <v>770.10000000000014</v>
      </c>
    </row>
    <row r="154" spans="10:11" x14ac:dyDescent="0.45">
      <c r="J154" s="63">
        <v>152</v>
      </c>
      <c r="K154" s="65">
        <v>760.10000000000014</v>
      </c>
    </row>
    <row r="155" spans="10:11" x14ac:dyDescent="0.45">
      <c r="J155" s="63">
        <v>153</v>
      </c>
      <c r="K155" s="65">
        <v>803.70000000000016</v>
      </c>
    </row>
    <row r="156" spans="10:11" x14ac:dyDescent="0.45">
      <c r="J156" s="63">
        <v>154</v>
      </c>
      <c r="K156" s="65">
        <v>799.00000000000011</v>
      </c>
    </row>
    <row r="157" spans="10:11" x14ac:dyDescent="0.45">
      <c r="J157" s="63">
        <v>155</v>
      </c>
      <c r="K157" s="65">
        <v>812.40000000000009</v>
      </c>
    </row>
    <row r="158" spans="10:11" x14ac:dyDescent="0.45">
      <c r="J158" s="63">
        <v>156</v>
      </c>
      <c r="K158" s="65">
        <v>798.40000000000009</v>
      </c>
    </row>
    <row r="159" spans="10:11" x14ac:dyDescent="0.45">
      <c r="J159" s="63">
        <v>157</v>
      </c>
      <c r="K159" s="65">
        <v>804.50000000000011</v>
      </c>
    </row>
    <row r="160" spans="10:11" x14ac:dyDescent="0.45">
      <c r="J160" s="63">
        <v>158</v>
      </c>
      <c r="K160" s="65">
        <v>823.20000000000016</v>
      </c>
    </row>
    <row r="161" spans="10:11" x14ac:dyDescent="0.45">
      <c r="J161" s="63">
        <v>159</v>
      </c>
      <c r="K161" s="65">
        <v>846.00000000000011</v>
      </c>
    </row>
    <row r="162" spans="10:11" x14ac:dyDescent="0.45">
      <c r="J162" s="63">
        <v>160</v>
      </c>
      <c r="K162" s="65">
        <v>841.20000000000016</v>
      </c>
    </row>
    <row r="163" spans="10:11" x14ac:dyDescent="0.45">
      <c r="J163" s="63">
        <v>161</v>
      </c>
      <c r="K163" s="65">
        <v>872.70000000000016</v>
      </c>
    </row>
    <row r="164" spans="10:11" x14ac:dyDescent="0.45">
      <c r="J164" s="63">
        <v>162</v>
      </c>
      <c r="K164" s="65">
        <v>888.80000000000018</v>
      </c>
    </row>
    <row r="165" spans="10:11" x14ac:dyDescent="0.45">
      <c r="J165" s="63">
        <v>163</v>
      </c>
      <c r="K165" s="65">
        <v>900.10000000000014</v>
      </c>
    </row>
    <row r="166" spans="10:11" x14ac:dyDescent="0.45">
      <c r="J166" s="63">
        <v>164</v>
      </c>
      <c r="K166" s="65">
        <v>923.40000000000009</v>
      </c>
    </row>
    <row r="167" spans="10:11" x14ac:dyDescent="0.45">
      <c r="J167" s="63">
        <v>165</v>
      </c>
      <c r="K167" s="65">
        <v>912.2</v>
      </c>
    </row>
    <row r="168" spans="10:11" x14ac:dyDescent="0.45">
      <c r="J168" s="63">
        <v>166</v>
      </c>
      <c r="K168" s="65">
        <v>910.2</v>
      </c>
    </row>
    <row r="169" spans="10:11" x14ac:dyDescent="0.45">
      <c r="J169" s="63">
        <v>167</v>
      </c>
      <c r="K169" s="65">
        <v>870.6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87409-FA4E-48C2-8D9E-0C6C8513553F}">
  <sheetPr codeName="Sheet8"/>
  <dimension ref="A1:Q170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133</v>
      </c>
      <c r="B1" s="111" t="s">
        <v>133</v>
      </c>
      <c r="C1" s="111" t="s">
        <v>133</v>
      </c>
      <c r="D1" s="112" t="s">
        <v>133</v>
      </c>
      <c r="E1" s="111" t="s">
        <v>133</v>
      </c>
      <c r="F1" s="111" t="s">
        <v>133</v>
      </c>
      <c r="G1" s="111" t="s">
        <v>133</v>
      </c>
      <c r="H1" s="111" t="s">
        <v>133</v>
      </c>
      <c r="I1" s="111" t="s">
        <v>133</v>
      </c>
      <c r="J1" s="111" t="s">
        <v>133</v>
      </c>
      <c r="K1" s="111" t="s">
        <v>133</v>
      </c>
      <c r="L1" s="111" t="s">
        <v>133</v>
      </c>
      <c r="M1" s="111" t="s">
        <v>133</v>
      </c>
      <c r="N1" s="111" t="s">
        <v>133</v>
      </c>
      <c r="O1" s="111" t="s">
        <v>133</v>
      </c>
      <c r="P1" s="111" t="s">
        <v>133</v>
      </c>
      <c r="Q1" s="111" t="s">
        <v>133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14</v>
      </c>
      <c r="C4" s="107">
        <v>14</v>
      </c>
      <c r="D4" s="112">
        <v>1</v>
      </c>
      <c r="E4" s="108">
        <v>1</v>
      </c>
      <c r="F4" s="108">
        <v>0.6</v>
      </c>
      <c r="G4" s="108">
        <v>0.2</v>
      </c>
      <c r="H4" s="109">
        <v>8333.3333333333339</v>
      </c>
      <c r="I4" s="109">
        <v>-8000</v>
      </c>
      <c r="J4" s="108">
        <v>0</v>
      </c>
      <c r="K4" s="108">
        <v>0</v>
      </c>
      <c r="P4" s="108">
        <v>0</v>
      </c>
      <c r="Q4" s="108">
        <v>0.66666666666666663</v>
      </c>
    </row>
    <row r="5" spans="1:17" x14ac:dyDescent="0.45">
      <c r="A5" s="110">
        <v>2</v>
      </c>
      <c r="B5" s="107">
        <v>13</v>
      </c>
      <c r="C5" s="107">
        <v>6.5</v>
      </c>
      <c r="D5" s="112">
        <v>1.5</v>
      </c>
      <c r="E5" s="108">
        <v>0.5</v>
      </c>
      <c r="F5" s="108">
        <v>0.5</v>
      </c>
      <c r="G5" s="108">
        <v>0.125</v>
      </c>
      <c r="H5" s="109">
        <v>8250</v>
      </c>
      <c r="I5" s="109">
        <v>-8000</v>
      </c>
      <c r="J5" s="108">
        <v>0</v>
      </c>
      <c r="K5" s="108">
        <v>0</v>
      </c>
      <c r="P5" s="108">
        <v>0</v>
      </c>
      <c r="Q5" s="108">
        <v>0.66666666666666663</v>
      </c>
    </row>
    <row r="6" spans="1:17" x14ac:dyDescent="0.45">
      <c r="A6" s="110">
        <v>3</v>
      </c>
      <c r="B6" s="107">
        <v>28.1</v>
      </c>
      <c r="C6" s="107">
        <v>9.3666666666666671</v>
      </c>
      <c r="D6" s="112">
        <v>1.6666666666666667</v>
      </c>
      <c r="E6" s="108">
        <v>0.33333333333333331</v>
      </c>
      <c r="F6" s="108">
        <v>0.53846153846153844</v>
      </c>
      <c r="G6" s="108">
        <v>0.15384615384615385</v>
      </c>
      <c r="H6" s="109">
        <v>7871.4285714285716</v>
      </c>
      <c r="I6" s="109">
        <v>-8000</v>
      </c>
      <c r="J6" s="108">
        <v>0</v>
      </c>
      <c r="K6" s="108">
        <v>0</v>
      </c>
      <c r="P6" s="108">
        <v>0.2857142857142857</v>
      </c>
      <c r="Q6" s="108">
        <v>0.5</v>
      </c>
    </row>
    <row r="7" spans="1:17" x14ac:dyDescent="0.45">
      <c r="A7" s="110">
        <v>4</v>
      </c>
      <c r="B7" s="107">
        <v>112.30000000000001</v>
      </c>
      <c r="C7" s="107">
        <v>28.075000000000003</v>
      </c>
      <c r="D7" s="112">
        <v>1.5</v>
      </c>
      <c r="E7" s="108">
        <v>0.5</v>
      </c>
      <c r="F7" s="108">
        <v>0.57894736842105265</v>
      </c>
      <c r="G7" s="108">
        <v>0.15789473684210525</v>
      </c>
      <c r="H7" s="109">
        <v>12554.545454545454</v>
      </c>
      <c r="I7" s="109">
        <v>-5766.666666666667</v>
      </c>
      <c r="J7" s="108">
        <v>0</v>
      </c>
      <c r="K7" s="108">
        <v>0.5</v>
      </c>
      <c r="P7" s="108">
        <v>0.27272727272727271</v>
      </c>
      <c r="Q7" s="108">
        <v>0.5</v>
      </c>
    </row>
    <row r="8" spans="1:17" x14ac:dyDescent="0.45">
      <c r="A8" s="110">
        <v>5</v>
      </c>
      <c r="B8" s="107">
        <v>142.80000000000001</v>
      </c>
      <c r="C8" s="107">
        <v>28.560000000000002</v>
      </c>
      <c r="D8" s="112">
        <v>1.4</v>
      </c>
      <c r="E8" s="108">
        <v>0.6</v>
      </c>
      <c r="F8" s="108">
        <v>0.53846153846153844</v>
      </c>
      <c r="G8" s="108">
        <v>0.15384615384615385</v>
      </c>
      <c r="H8" s="109">
        <v>13007.142857142857</v>
      </c>
      <c r="I8" s="109">
        <v>-6325</v>
      </c>
      <c r="J8" s="108">
        <v>0</v>
      </c>
      <c r="K8" s="108">
        <v>0.6</v>
      </c>
      <c r="P8" s="108">
        <v>0.2857142857142857</v>
      </c>
      <c r="Q8" s="108">
        <v>0.5</v>
      </c>
    </row>
    <row r="9" spans="1:17" x14ac:dyDescent="0.45">
      <c r="A9" s="110">
        <v>6</v>
      </c>
      <c r="B9" s="107">
        <v>95.800000000000011</v>
      </c>
      <c r="C9" s="107">
        <v>15.966666666666669</v>
      </c>
      <c r="D9" s="112">
        <v>1.6666666666666667</v>
      </c>
      <c r="E9" s="108">
        <v>0.5</v>
      </c>
      <c r="F9" s="108">
        <v>0.5</v>
      </c>
      <c r="G9" s="108">
        <v>0.17857142857142858</v>
      </c>
      <c r="H9" s="109">
        <v>13007.142857142857</v>
      </c>
      <c r="I9" s="109">
        <v>-14660</v>
      </c>
      <c r="J9" s="108">
        <v>0.16666666666666666</v>
      </c>
      <c r="K9" s="108">
        <v>0.5</v>
      </c>
      <c r="P9" s="108">
        <v>0.2857142857142857</v>
      </c>
      <c r="Q9" s="108">
        <v>0.46153846153846156</v>
      </c>
    </row>
    <row r="10" spans="1:17" x14ac:dyDescent="0.45">
      <c r="A10" s="110">
        <v>7</v>
      </c>
      <c r="B10" s="107">
        <v>90.700000000000017</v>
      </c>
      <c r="C10" s="107">
        <v>12.957142857142859</v>
      </c>
      <c r="D10" s="112">
        <v>1.8571428571428572</v>
      </c>
      <c r="E10" s="108">
        <v>0.42857142857142855</v>
      </c>
      <c r="F10" s="108">
        <v>0.48571428571428571</v>
      </c>
      <c r="G10" s="108">
        <v>0.25714285714285712</v>
      </c>
      <c r="H10" s="109">
        <v>11823.529411764706</v>
      </c>
      <c r="I10" s="109">
        <v>-10922.222222222223</v>
      </c>
      <c r="J10" s="108">
        <v>0.14285714285714285</v>
      </c>
      <c r="K10" s="108">
        <v>0.42857142857142855</v>
      </c>
      <c r="P10" s="108">
        <v>0.29411764705882354</v>
      </c>
      <c r="Q10" s="108">
        <v>0.4375</v>
      </c>
    </row>
    <row r="11" spans="1:17" x14ac:dyDescent="0.45">
      <c r="A11" s="110">
        <v>8</v>
      </c>
      <c r="B11" s="107">
        <v>55.700000000000017</v>
      </c>
      <c r="C11" s="107">
        <v>6.9625000000000021</v>
      </c>
      <c r="D11" s="112">
        <v>2</v>
      </c>
      <c r="E11" s="108">
        <v>0.375</v>
      </c>
      <c r="F11" s="108">
        <v>0.41860465116279072</v>
      </c>
      <c r="G11" s="108">
        <v>0.27906976744186046</v>
      </c>
      <c r="H11" s="109">
        <v>11833.333333333334</v>
      </c>
      <c r="I11" s="109">
        <v>-11525</v>
      </c>
      <c r="J11" s="108">
        <v>0.25</v>
      </c>
      <c r="K11" s="108">
        <v>0.375</v>
      </c>
      <c r="P11" s="108">
        <v>0.27777777777777779</v>
      </c>
      <c r="Q11" s="108">
        <v>0.3888888888888889</v>
      </c>
    </row>
    <row r="12" spans="1:17" x14ac:dyDescent="0.45">
      <c r="A12" s="110">
        <v>9</v>
      </c>
      <c r="B12" s="107">
        <v>15.700000000000017</v>
      </c>
      <c r="C12" s="107">
        <v>1.7444444444444462</v>
      </c>
      <c r="D12" s="112">
        <v>2.1111111111111112</v>
      </c>
      <c r="E12" s="108">
        <v>0.33333333333333331</v>
      </c>
      <c r="F12" s="108">
        <v>0.35294117647058826</v>
      </c>
      <c r="G12" s="108">
        <v>0.29411764705882354</v>
      </c>
      <c r="H12" s="109">
        <v>11833.333333333334</v>
      </c>
      <c r="I12" s="109">
        <v>-11086.666666666666</v>
      </c>
      <c r="J12" s="108">
        <v>0.33333333333333331</v>
      </c>
      <c r="K12" s="108">
        <v>0.33333333333333331</v>
      </c>
      <c r="P12" s="108">
        <v>0.27777777777777779</v>
      </c>
      <c r="Q12" s="108">
        <v>0.35</v>
      </c>
    </row>
    <row r="13" spans="1:17" x14ac:dyDescent="0.45">
      <c r="A13" s="110">
        <v>10</v>
      </c>
      <c r="B13" s="107">
        <v>-15.799999999999983</v>
      </c>
      <c r="C13" s="107">
        <v>-1.5799999999999983</v>
      </c>
      <c r="D13" s="112">
        <v>2.1</v>
      </c>
      <c r="E13" s="108">
        <v>0.3</v>
      </c>
      <c r="F13" s="108">
        <v>0.31034482758620691</v>
      </c>
      <c r="G13" s="108">
        <v>0.27586206896551724</v>
      </c>
      <c r="H13" s="109">
        <v>11833.333333333334</v>
      </c>
      <c r="I13" s="109">
        <v>-11893.75</v>
      </c>
      <c r="J13" s="108">
        <v>0.3</v>
      </c>
      <c r="K13" s="108">
        <v>0.3</v>
      </c>
      <c r="P13" s="108">
        <v>0.27777777777777779</v>
      </c>
      <c r="Q13" s="108">
        <v>0.33333333333333331</v>
      </c>
    </row>
    <row r="14" spans="1:17" x14ac:dyDescent="0.45">
      <c r="A14" s="110">
        <v>11</v>
      </c>
      <c r="B14" s="107">
        <v>1.5000000000000178</v>
      </c>
      <c r="C14" s="107">
        <v>0.13636363636363799</v>
      </c>
      <c r="D14" s="112">
        <v>2</v>
      </c>
      <c r="E14" s="108">
        <v>0.36363636363636365</v>
      </c>
      <c r="F14" s="108">
        <v>0.3380281690140845</v>
      </c>
      <c r="G14" s="108">
        <v>0.23943661971830985</v>
      </c>
      <c r="H14" s="109">
        <v>11679.166666666666</v>
      </c>
      <c r="I14" s="109">
        <v>-11900</v>
      </c>
      <c r="J14" s="108">
        <v>0.27272727272727271</v>
      </c>
      <c r="K14" s="108">
        <v>0.27272727272727271</v>
      </c>
      <c r="P14" s="108">
        <v>0.33333333333333331</v>
      </c>
      <c r="Q14" s="108">
        <v>0.39285714285714285</v>
      </c>
    </row>
    <row r="15" spans="1:17" x14ac:dyDescent="0.45">
      <c r="A15" s="110">
        <v>12</v>
      </c>
      <c r="B15" s="107">
        <v>14.300000000000018</v>
      </c>
      <c r="C15" s="107">
        <v>1.1916666666666682</v>
      </c>
      <c r="D15" s="112">
        <v>2</v>
      </c>
      <c r="E15" s="108">
        <v>0.33333333333333331</v>
      </c>
      <c r="F15" s="108">
        <v>0.35526315789473684</v>
      </c>
      <c r="G15" s="108">
        <v>0.23684210526315788</v>
      </c>
      <c r="H15" s="109">
        <v>11374.074074074075</v>
      </c>
      <c r="I15" s="109">
        <v>-11350</v>
      </c>
      <c r="J15" s="108">
        <v>0.25</v>
      </c>
      <c r="K15" s="108">
        <v>0.25</v>
      </c>
      <c r="P15" s="108">
        <v>0.37037037037037035</v>
      </c>
      <c r="Q15" s="108">
        <v>0.4375</v>
      </c>
    </row>
    <row r="16" spans="1:17" x14ac:dyDescent="0.45">
      <c r="A16" s="110">
        <v>13</v>
      </c>
      <c r="B16" s="107">
        <v>70.300000000000011</v>
      </c>
      <c r="C16" s="107">
        <v>5.4076923076923089</v>
      </c>
      <c r="D16" s="112">
        <v>1.9230769230769231</v>
      </c>
      <c r="E16" s="108">
        <v>0.38461538461538464</v>
      </c>
      <c r="F16" s="108">
        <v>0.3707865168539326</v>
      </c>
      <c r="G16" s="108">
        <v>0.21348314606741572</v>
      </c>
      <c r="H16" s="109">
        <v>11115.151515151516</v>
      </c>
      <c r="I16" s="109">
        <v>-10905.263157894737</v>
      </c>
      <c r="J16" s="108">
        <v>0.23076923076923078</v>
      </c>
      <c r="K16" s="108">
        <v>0.23076923076923078</v>
      </c>
      <c r="P16" s="108">
        <v>0.33333333333333331</v>
      </c>
      <c r="Q16" s="108">
        <v>0.44444444444444442</v>
      </c>
    </row>
    <row r="17" spans="1:17" x14ac:dyDescent="0.45">
      <c r="A17" s="110">
        <v>14</v>
      </c>
      <c r="B17" s="107">
        <v>27.300000000000011</v>
      </c>
      <c r="C17" s="107">
        <v>1.9500000000000008</v>
      </c>
      <c r="D17" s="112">
        <v>2</v>
      </c>
      <c r="E17" s="108">
        <v>0.35714285714285715</v>
      </c>
      <c r="F17" s="108">
        <v>0.35106382978723405</v>
      </c>
      <c r="G17" s="108">
        <v>0.21276595744680851</v>
      </c>
      <c r="H17" s="109">
        <v>11115.151515151516</v>
      </c>
      <c r="I17" s="109">
        <v>-10760</v>
      </c>
      <c r="J17" s="108">
        <v>0.2857142857142857</v>
      </c>
      <c r="K17" s="108">
        <v>0.21428571428571427</v>
      </c>
      <c r="P17" s="108">
        <v>0.33333333333333331</v>
      </c>
      <c r="Q17" s="108">
        <v>0.43243243243243246</v>
      </c>
    </row>
    <row r="18" spans="1:17" x14ac:dyDescent="0.45">
      <c r="A18" s="110">
        <v>15</v>
      </c>
      <c r="B18" s="107">
        <v>-8.6999999999999886</v>
      </c>
      <c r="C18" s="107">
        <v>-0.57999999999999929</v>
      </c>
      <c r="D18" s="112">
        <v>2.0666666666666669</v>
      </c>
      <c r="E18" s="108">
        <v>0.33333333333333331</v>
      </c>
      <c r="F18" s="108">
        <v>0.34020618556701032</v>
      </c>
      <c r="G18" s="108">
        <v>0.22680412371134021</v>
      </c>
      <c r="H18" s="109">
        <v>11115.151515151516</v>
      </c>
      <c r="I18" s="109">
        <v>-11145.454545454546</v>
      </c>
      <c r="J18" s="108">
        <v>0.33333333333333331</v>
      </c>
      <c r="K18" s="108">
        <v>0.2</v>
      </c>
      <c r="P18" s="108">
        <v>0.33333333333333331</v>
      </c>
      <c r="Q18" s="108">
        <v>0.43243243243243246</v>
      </c>
    </row>
    <row r="19" spans="1:17" x14ac:dyDescent="0.45">
      <c r="A19" s="110">
        <v>16</v>
      </c>
      <c r="B19" s="107">
        <v>-7.099999999999989</v>
      </c>
      <c r="C19" s="107">
        <v>-0.44374999999999931</v>
      </c>
      <c r="D19" s="112">
        <v>2.0625</v>
      </c>
      <c r="E19" s="108">
        <v>0.3125</v>
      </c>
      <c r="F19" s="108">
        <v>0.33333333333333331</v>
      </c>
      <c r="G19" s="108">
        <v>0.22857142857142856</v>
      </c>
      <c r="H19" s="109">
        <v>11017.142857142857</v>
      </c>
      <c r="I19" s="109">
        <v>-10620.833333333334</v>
      </c>
      <c r="J19" s="108">
        <v>0.3125</v>
      </c>
      <c r="K19" s="108">
        <v>0.1875</v>
      </c>
      <c r="P19" s="108">
        <v>0.34285714285714286</v>
      </c>
      <c r="Q19" s="108">
        <v>0.41025641025641024</v>
      </c>
    </row>
    <row r="20" spans="1:17" x14ac:dyDescent="0.45">
      <c r="A20" s="110">
        <v>17</v>
      </c>
      <c r="B20" s="107">
        <v>-28.499999999999986</v>
      </c>
      <c r="C20" s="107">
        <v>-1.6764705882352933</v>
      </c>
      <c r="D20" s="112">
        <v>2.0588235294117645</v>
      </c>
      <c r="E20" s="108">
        <v>0.29411764705882354</v>
      </c>
      <c r="F20" s="108">
        <v>0.31818181818181818</v>
      </c>
      <c r="G20" s="108">
        <v>0.22727272727272727</v>
      </c>
      <c r="H20" s="109">
        <v>11017.142857142857</v>
      </c>
      <c r="I20" s="109">
        <v>-10352</v>
      </c>
      <c r="J20" s="108">
        <v>0.29411764705882354</v>
      </c>
      <c r="K20" s="108">
        <v>0.17647058823529413</v>
      </c>
      <c r="P20" s="108">
        <v>0.34285714285714286</v>
      </c>
      <c r="Q20" s="108">
        <v>0.41025641025641024</v>
      </c>
    </row>
    <row r="21" spans="1:17" x14ac:dyDescent="0.45">
      <c r="A21" s="110">
        <v>18</v>
      </c>
      <c r="B21" s="107">
        <v>-14.599999999999985</v>
      </c>
      <c r="C21" s="107">
        <v>-0.81111111111111034</v>
      </c>
      <c r="D21" s="112">
        <v>2</v>
      </c>
      <c r="E21" s="108">
        <v>0.33333333333333331</v>
      </c>
      <c r="F21" s="108">
        <v>0.33884297520661155</v>
      </c>
      <c r="G21" s="108">
        <v>0.2231404958677686</v>
      </c>
      <c r="H21" s="109">
        <v>10065.853658536585</v>
      </c>
      <c r="I21" s="109">
        <v>-10137.037037037036</v>
      </c>
      <c r="J21" s="108">
        <v>0.27777777777777779</v>
      </c>
      <c r="K21" s="108">
        <v>0.16666666666666666</v>
      </c>
      <c r="P21" s="108">
        <v>0.31707317073170732</v>
      </c>
      <c r="Q21" s="108">
        <v>0.45454545454545453</v>
      </c>
    </row>
    <row r="22" spans="1:17" x14ac:dyDescent="0.45">
      <c r="A22" s="110">
        <v>19</v>
      </c>
      <c r="B22" s="107">
        <v>41.600000000000016</v>
      </c>
      <c r="C22" s="107">
        <v>2.1894736842105273</v>
      </c>
      <c r="D22" s="112">
        <v>1.9473684210526316</v>
      </c>
      <c r="E22" s="108">
        <v>0.36842105263157893</v>
      </c>
      <c r="F22" s="108">
        <v>0.35658914728682173</v>
      </c>
      <c r="G22" s="108">
        <v>0.21705426356589147</v>
      </c>
      <c r="H22" s="109">
        <v>10450</v>
      </c>
      <c r="I22" s="109">
        <v>-9914.2857142857138</v>
      </c>
      <c r="J22" s="108">
        <v>0.26315789473684209</v>
      </c>
      <c r="K22" s="108">
        <v>0.21052631578947367</v>
      </c>
      <c r="P22" s="108">
        <v>0.32608695652173914</v>
      </c>
      <c r="Q22" s="108">
        <v>0.47916666666666669</v>
      </c>
    </row>
    <row r="23" spans="1:17" x14ac:dyDescent="0.45">
      <c r="A23" s="110">
        <v>20</v>
      </c>
      <c r="B23" s="107">
        <v>66.800000000000011</v>
      </c>
      <c r="C23" s="107">
        <v>3.3400000000000007</v>
      </c>
      <c r="D23" s="112">
        <v>1.9</v>
      </c>
      <c r="E23" s="108">
        <v>0.4</v>
      </c>
      <c r="F23" s="108">
        <v>0.36496350364963503</v>
      </c>
      <c r="G23" s="108">
        <v>0.20437956204379562</v>
      </c>
      <c r="H23" s="109">
        <v>10318</v>
      </c>
      <c r="I23" s="109">
        <v>-9914.2857142857138</v>
      </c>
      <c r="J23" s="108">
        <v>0.25</v>
      </c>
      <c r="K23" s="108">
        <v>0.2</v>
      </c>
      <c r="P23" s="108">
        <v>0.32</v>
      </c>
      <c r="Q23" s="108">
        <v>0.46153846153846156</v>
      </c>
    </row>
    <row r="24" spans="1:17" x14ac:dyDescent="0.45">
      <c r="A24" s="110">
        <v>21</v>
      </c>
      <c r="B24" s="107">
        <v>122.30000000000001</v>
      </c>
      <c r="C24" s="107">
        <v>5.8238095238095244</v>
      </c>
      <c r="D24" s="112">
        <v>1.8571428571428572</v>
      </c>
      <c r="E24" s="108">
        <v>0.42857142857142855</v>
      </c>
      <c r="F24" s="108">
        <v>0.36879432624113473</v>
      </c>
      <c r="G24" s="108">
        <v>0.19858156028368795</v>
      </c>
      <c r="H24" s="109">
        <v>10998.076923076924</v>
      </c>
      <c r="I24" s="109">
        <v>-9914.2857142857138</v>
      </c>
      <c r="J24" s="108">
        <v>0.23809523809523808</v>
      </c>
      <c r="K24" s="108">
        <v>0.23809523809523808</v>
      </c>
      <c r="P24" s="108">
        <v>0.32692307692307693</v>
      </c>
      <c r="Q24" s="108">
        <v>0.47169811320754718</v>
      </c>
    </row>
    <row r="25" spans="1:17" x14ac:dyDescent="0.45">
      <c r="A25" s="110">
        <v>22</v>
      </c>
      <c r="B25" s="107">
        <v>96.800000000000011</v>
      </c>
      <c r="C25" s="107">
        <v>4.4000000000000004</v>
      </c>
      <c r="D25" s="112">
        <v>1.8636363636363635</v>
      </c>
      <c r="E25" s="108">
        <v>0.40909090909090912</v>
      </c>
      <c r="F25" s="108">
        <v>0.34210526315789475</v>
      </c>
      <c r="G25" s="108">
        <v>0.19736842105263158</v>
      </c>
      <c r="H25" s="109">
        <v>10998.076923076924</v>
      </c>
      <c r="I25" s="109">
        <v>-9686.6666666666661</v>
      </c>
      <c r="J25" s="108">
        <v>0.22727272727272727</v>
      </c>
      <c r="K25" s="108">
        <v>0.22727272727272727</v>
      </c>
      <c r="P25" s="108">
        <v>0.32692307692307693</v>
      </c>
      <c r="Q25" s="108">
        <v>0.46296296296296297</v>
      </c>
    </row>
    <row r="26" spans="1:17" x14ac:dyDescent="0.45">
      <c r="A26" s="110">
        <v>23</v>
      </c>
      <c r="B26" s="107">
        <v>120.50000000000001</v>
      </c>
      <c r="C26" s="107">
        <v>5.2391304347826093</v>
      </c>
      <c r="D26" s="112">
        <v>1.826086956521739</v>
      </c>
      <c r="E26" s="108">
        <v>0.43478260869565216</v>
      </c>
      <c r="F26" s="108">
        <v>0.34375</v>
      </c>
      <c r="G26" s="108">
        <v>0.1875</v>
      </c>
      <c r="H26" s="109">
        <v>10943.636363636364</v>
      </c>
      <c r="I26" s="109">
        <v>-9686.6666666666661</v>
      </c>
      <c r="J26" s="108">
        <v>0.21739130434782608</v>
      </c>
      <c r="K26" s="108">
        <v>0.2608695652173913</v>
      </c>
      <c r="P26" s="108">
        <v>0.36363636363636365</v>
      </c>
      <c r="Q26" s="108">
        <v>0.45614035087719296</v>
      </c>
    </row>
    <row r="27" spans="1:17" x14ac:dyDescent="0.45">
      <c r="A27" s="110">
        <v>24</v>
      </c>
      <c r="B27" s="107">
        <v>114.00000000000001</v>
      </c>
      <c r="C27" s="107">
        <v>4.7500000000000009</v>
      </c>
      <c r="D27" s="112">
        <v>1.8333333333333333</v>
      </c>
      <c r="E27" s="108">
        <v>0.41666666666666669</v>
      </c>
      <c r="F27" s="108">
        <v>0.34146341463414637</v>
      </c>
      <c r="G27" s="108">
        <v>0.18902439024390244</v>
      </c>
      <c r="H27" s="109">
        <v>10891.071428571429</v>
      </c>
      <c r="I27" s="109">
        <v>-9632.2580645161288</v>
      </c>
      <c r="J27" s="108">
        <v>0.20833333333333334</v>
      </c>
      <c r="K27" s="108">
        <v>0.25</v>
      </c>
      <c r="P27" s="108">
        <v>0.35714285714285715</v>
      </c>
      <c r="Q27" s="108">
        <v>0.45614035087719296</v>
      </c>
    </row>
    <row r="28" spans="1:17" x14ac:dyDescent="0.45">
      <c r="A28" s="110">
        <v>25</v>
      </c>
      <c r="B28" s="107">
        <v>81.300000000000011</v>
      </c>
      <c r="C28" s="107">
        <v>3.2520000000000007</v>
      </c>
      <c r="D28" s="112">
        <v>1.88</v>
      </c>
      <c r="E28" s="108">
        <v>0.4</v>
      </c>
      <c r="F28" s="108">
        <v>0.32947976878612717</v>
      </c>
      <c r="G28" s="108">
        <v>0.1791907514450867</v>
      </c>
      <c r="H28" s="109">
        <v>10801.754385964912</v>
      </c>
      <c r="I28" s="109">
        <v>-9632.2580645161288</v>
      </c>
      <c r="J28" s="108">
        <v>0.2</v>
      </c>
      <c r="K28" s="108">
        <v>0.24</v>
      </c>
      <c r="P28" s="108">
        <v>0.35087719298245612</v>
      </c>
      <c r="Q28" s="108">
        <v>0.45</v>
      </c>
    </row>
    <row r="29" spans="1:17" x14ac:dyDescent="0.45">
      <c r="A29" s="110">
        <v>26</v>
      </c>
      <c r="B29" s="107">
        <v>104.20000000000002</v>
      </c>
      <c r="C29" s="107">
        <v>4.0076923076923086</v>
      </c>
      <c r="D29" s="112">
        <v>1.8461538461538463</v>
      </c>
      <c r="E29" s="108">
        <v>0.42307692307692307</v>
      </c>
      <c r="F29" s="108">
        <v>0.33149171270718231</v>
      </c>
      <c r="G29" s="108">
        <v>0.17127071823204421</v>
      </c>
      <c r="H29" s="109">
        <v>10645</v>
      </c>
      <c r="I29" s="109">
        <v>-9632.2580645161288</v>
      </c>
      <c r="J29" s="108">
        <v>0.19230769230769232</v>
      </c>
      <c r="K29" s="108">
        <v>0.23076923076923078</v>
      </c>
      <c r="P29" s="108">
        <v>0.33333333333333331</v>
      </c>
      <c r="Q29" s="108">
        <v>0.46031746031746029</v>
      </c>
    </row>
    <row r="30" spans="1:17" x14ac:dyDescent="0.45">
      <c r="A30" s="110">
        <v>27</v>
      </c>
      <c r="B30" s="107">
        <v>68.200000000000017</v>
      </c>
      <c r="C30" s="107">
        <v>2.5259259259259266</v>
      </c>
      <c r="D30" s="112">
        <v>1.8888888888888888</v>
      </c>
      <c r="E30" s="108">
        <v>0.40740740740740738</v>
      </c>
      <c r="F30" s="108">
        <v>0.32258064516129031</v>
      </c>
      <c r="G30" s="108">
        <v>0.16666666666666666</v>
      </c>
      <c r="H30" s="109">
        <v>10645</v>
      </c>
      <c r="I30" s="109">
        <v>-9632.2580645161288</v>
      </c>
      <c r="J30" s="108">
        <v>0.22222222222222221</v>
      </c>
      <c r="K30" s="108">
        <v>0.22222222222222221</v>
      </c>
      <c r="P30" s="108">
        <v>0.33333333333333331</v>
      </c>
      <c r="Q30" s="108">
        <v>0.453125</v>
      </c>
    </row>
    <row r="31" spans="1:17" x14ac:dyDescent="0.45">
      <c r="A31" s="110">
        <v>28</v>
      </c>
      <c r="B31" s="107">
        <v>125.20000000000002</v>
      </c>
      <c r="C31" s="107">
        <v>4.4714285714285724</v>
      </c>
      <c r="D31" s="112">
        <v>1.8571428571428572</v>
      </c>
      <c r="E31" s="108">
        <v>0.42857142857142855</v>
      </c>
      <c r="F31" s="108">
        <v>0.32989690721649484</v>
      </c>
      <c r="G31" s="108">
        <v>0.16494845360824742</v>
      </c>
      <c r="H31" s="109">
        <v>11167.1875</v>
      </c>
      <c r="I31" s="109">
        <v>-9706.25</v>
      </c>
      <c r="J31" s="108">
        <v>0.21428571428571427</v>
      </c>
      <c r="K31" s="108">
        <v>0.25</v>
      </c>
      <c r="P31" s="108">
        <v>0.34375</v>
      </c>
      <c r="Q31" s="108">
        <v>0.46268656716417911</v>
      </c>
    </row>
    <row r="32" spans="1:17" x14ac:dyDescent="0.45">
      <c r="A32" s="110">
        <v>29</v>
      </c>
      <c r="B32" s="107">
        <v>116.80000000000001</v>
      </c>
      <c r="C32" s="107">
        <v>4.0275862068965518</v>
      </c>
      <c r="D32" s="112">
        <v>1.8620689655172413</v>
      </c>
      <c r="E32" s="108">
        <v>0.41379310344827586</v>
      </c>
      <c r="F32" s="108">
        <v>0.33333333333333331</v>
      </c>
      <c r="G32" s="108">
        <v>0.1691542288557214</v>
      </c>
      <c r="H32" s="109">
        <v>10967.164179104477</v>
      </c>
      <c r="I32" s="109">
        <v>-9900</v>
      </c>
      <c r="J32" s="108">
        <v>0.20689655172413793</v>
      </c>
      <c r="K32" s="108">
        <v>0.2413793103448276</v>
      </c>
      <c r="P32" s="108">
        <v>0.35820895522388058</v>
      </c>
      <c r="Q32" s="108">
        <v>0.44927536231884058</v>
      </c>
    </row>
    <row r="33" spans="1:17" x14ac:dyDescent="0.45">
      <c r="A33" s="110">
        <v>30</v>
      </c>
      <c r="B33" s="107">
        <v>108.4</v>
      </c>
      <c r="C33" s="107">
        <v>3.6133333333333337</v>
      </c>
      <c r="D33" s="112">
        <v>1.8666666666666667</v>
      </c>
      <c r="E33" s="108">
        <v>0.4</v>
      </c>
      <c r="F33" s="108">
        <v>0.33653846153846156</v>
      </c>
      <c r="G33" s="108">
        <v>0.17307692307692307</v>
      </c>
      <c r="H33" s="109">
        <v>10784.285714285714</v>
      </c>
      <c r="I33" s="109">
        <v>-10072.222222222223</v>
      </c>
      <c r="J33" s="108">
        <v>0.2</v>
      </c>
      <c r="K33" s="108">
        <v>0.23333333333333334</v>
      </c>
      <c r="P33" s="108">
        <v>0.37142857142857144</v>
      </c>
      <c r="Q33" s="108">
        <v>0.43661971830985913</v>
      </c>
    </row>
    <row r="34" spans="1:17" x14ac:dyDescent="0.45">
      <c r="A34" s="110">
        <v>31</v>
      </c>
      <c r="B34" s="107">
        <v>160.69999999999999</v>
      </c>
      <c r="C34" s="107">
        <v>5.1838709677419352</v>
      </c>
      <c r="D34" s="112">
        <v>1.8387096774193548</v>
      </c>
      <c r="E34" s="108">
        <v>0.41935483870967744</v>
      </c>
      <c r="F34" s="108">
        <v>0.35023041474654376</v>
      </c>
      <c r="G34" s="108">
        <v>0.16589861751152074</v>
      </c>
      <c r="H34" s="109">
        <v>10763.157894736842</v>
      </c>
      <c r="I34" s="109">
        <v>-10072.222222222223</v>
      </c>
      <c r="J34" s="108">
        <v>0.19354838709677419</v>
      </c>
      <c r="K34" s="108">
        <v>0.25806451612903225</v>
      </c>
      <c r="P34" s="108">
        <v>0.35526315789473684</v>
      </c>
      <c r="Q34" s="108">
        <v>0.44871794871794873</v>
      </c>
    </row>
    <row r="35" spans="1:17" x14ac:dyDescent="0.45">
      <c r="A35" s="110">
        <v>32</v>
      </c>
      <c r="B35" s="107">
        <v>146.69999999999999</v>
      </c>
      <c r="C35" s="107">
        <v>4.5843749999999996</v>
      </c>
      <c r="D35" s="112">
        <v>1.84375</v>
      </c>
      <c r="E35" s="108">
        <v>0.40625</v>
      </c>
      <c r="F35" s="108">
        <v>0.34841628959276016</v>
      </c>
      <c r="G35" s="108">
        <v>0.16289592760180996</v>
      </c>
      <c r="H35" s="109">
        <v>10779.220779220779</v>
      </c>
      <c r="I35" s="109">
        <v>-10072.222222222223</v>
      </c>
      <c r="J35" s="108">
        <v>0.1875</v>
      </c>
      <c r="K35" s="108">
        <v>0.25</v>
      </c>
      <c r="P35" s="108">
        <v>0.35064935064935066</v>
      </c>
      <c r="Q35" s="108">
        <v>0.45569620253164556</v>
      </c>
    </row>
    <row r="36" spans="1:17" x14ac:dyDescent="0.45">
      <c r="A36" s="110">
        <v>33</v>
      </c>
      <c r="B36" s="107">
        <v>206.39999999999998</v>
      </c>
      <c r="C36" s="107">
        <v>6.254545454545454</v>
      </c>
      <c r="D36" s="112">
        <v>1.8181818181818181</v>
      </c>
      <c r="E36" s="108">
        <v>0.42424242424242425</v>
      </c>
      <c r="F36" s="108">
        <v>0.354978354978355</v>
      </c>
      <c r="G36" s="108">
        <v>0.16017316017316016</v>
      </c>
      <c r="H36" s="109">
        <v>10986.585365853658</v>
      </c>
      <c r="I36" s="109">
        <v>-9940.54054054054</v>
      </c>
      <c r="J36" s="108">
        <v>0.18181818181818182</v>
      </c>
      <c r="K36" s="108">
        <v>0.27272727272727271</v>
      </c>
      <c r="P36" s="108">
        <v>0.36585365853658536</v>
      </c>
      <c r="Q36" s="108">
        <v>0.47619047619047616</v>
      </c>
    </row>
    <row r="37" spans="1:17" x14ac:dyDescent="0.45">
      <c r="A37" s="110">
        <v>34</v>
      </c>
      <c r="B37" s="107">
        <v>255.39999999999998</v>
      </c>
      <c r="C37" s="107">
        <v>7.511764705882352</v>
      </c>
      <c r="D37" s="112">
        <v>1.7941176470588236</v>
      </c>
      <c r="E37" s="108">
        <v>0.44117647058823528</v>
      </c>
      <c r="F37" s="108">
        <v>0.36170212765957449</v>
      </c>
      <c r="G37" s="108">
        <v>0.1574468085106383</v>
      </c>
      <c r="H37" s="109">
        <v>11092.941176470587</v>
      </c>
      <c r="I37" s="109">
        <v>-9940.54054054054</v>
      </c>
      <c r="J37" s="108">
        <v>0.17647058823529413</v>
      </c>
      <c r="K37" s="108">
        <v>0.29411764705882354</v>
      </c>
      <c r="P37" s="108">
        <v>0.36470588235294116</v>
      </c>
      <c r="Q37" s="108">
        <v>0.48863636363636365</v>
      </c>
    </row>
    <row r="38" spans="1:17" x14ac:dyDescent="0.45">
      <c r="A38" s="110">
        <v>35</v>
      </c>
      <c r="B38" s="107">
        <v>241.39999999999998</v>
      </c>
      <c r="C38" s="107">
        <v>6.8971428571428568</v>
      </c>
      <c r="D38" s="112">
        <v>1.8</v>
      </c>
      <c r="E38" s="108">
        <v>0.42857142857142855</v>
      </c>
      <c r="F38" s="108">
        <v>0.35802469135802467</v>
      </c>
      <c r="G38" s="108">
        <v>0.15637860082304528</v>
      </c>
      <c r="H38" s="109">
        <v>11136.781609195403</v>
      </c>
      <c r="I38" s="109">
        <v>-9889.4736842105267</v>
      </c>
      <c r="J38" s="108">
        <v>0.17142857142857143</v>
      </c>
      <c r="K38" s="108">
        <v>0.2857142857142857</v>
      </c>
      <c r="P38" s="108">
        <v>0.36781609195402298</v>
      </c>
      <c r="Q38" s="108">
        <v>0.48888888888888887</v>
      </c>
    </row>
    <row r="39" spans="1:17" x14ac:dyDescent="0.45">
      <c r="A39" s="110">
        <v>36</v>
      </c>
      <c r="B39" s="107">
        <v>237.99999999999997</v>
      </c>
      <c r="C39" s="107">
        <v>6.6111111111111107</v>
      </c>
      <c r="D39" s="112">
        <v>1.8055555555555556</v>
      </c>
      <c r="E39" s="108">
        <v>0.41666666666666669</v>
      </c>
      <c r="F39" s="108">
        <v>0.35599999999999998</v>
      </c>
      <c r="G39" s="108">
        <v>0.152</v>
      </c>
      <c r="H39" s="109">
        <v>11005.617977528091</v>
      </c>
      <c r="I39" s="109">
        <v>-9889.4736842105267</v>
      </c>
      <c r="J39" s="108">
        <v>0.16666666666666666</v>
      </c>
      <c r="K39" s="108">
        <v>0.27777777777777779</v>
      </c>
      <c r="P39" s="108">
        <v>0.3595505617977528</v>
      </c>
      <c r="Q39" s="108">
        <v>0.47826086956521741</v>
      </c>
    </row>
    <row r="40" spans="1:17" x14ac:dyDescent="0.45">
      <c r="A40" s="110">
        <v>37</v>
      </c>
      <c r="B40" s="107">
        <v>221.89999999999998</v>
      </c>
      <c r="C40" s="107">
        <v>5.9972972972972967</v>
      </c>
      <c r="D40" s="112">
        <v>1.8378378378378379</v>
      </c>
      <c r="E40" s="108">
        <v>0.40540540540540543</v>
      </c>
      <c r="F40" s="108">
        <v>0.35271317829457366</v>
      </c>
      <c r="G40" s="108">
        <v>0.15891472868217055</v>
      </c>
      <c r="H40" s="109">
        <v>10924.175824175823</v>
      </c>
      <c r="I40" s="109">
        <v>-9682.9268292682918</v>
      </c>
      <c r="J40" s="108">
        <v>0.16216216216216217</v>
      </c>
      <c r="K40" s="108">
        <v>0.27027027027027029</v>
      </c>
      <c r="P40" s="108">
        <v>0.36263736263736263</v>
      </c>
      <c r="Q40" s="108">
        <v>0.46808510638297873</v>
      </c>
    </row>
    <row r="41" spans="1:17" x14ac:dyDescent="0.45">
      <c r="A41" s="110">
        <v>38</v>
      </c>
      <c r="B41" s="107">
        <v>241.99999999999997</v>
      </c>
      <c r="C41" s="107">
        <v>6.3684210526315779</v>
      </c>
      <c r="D41" s="112">
        <v>1.8157894736842106</v>
      </c>
      <c r="E41" s="108">
        <v>0.42105263157894735</v>
      </c>
      <c r="F41" s="108">
        <v>0.35447761194029853</v>
      </c>
      <c r="G41" s="108">
        <v>0.16044776119402984</v>
      </c>
      <c r="H41" s="109">
        <v>10927.368421052632</v>
      </c>
      <c r="I41" s="109">
        <v>-9590.6976744186049</v>
      </c>
      <c r="J41" s="108">
        <v>0.15789473684210525</v>
      </c>
      <c r="K41" s="108">
        <v>0.28947368421052633</v>
      </c>
      <c r="P41" s="108">
        <v>0.38947368421052631</v>
      </c>
      <c r="Q41" s="108">
        <v>0.46391752577319589</v>
      </c>
    </row>
    <row r="42" spans="1:17" x14ac:dyDescent="0.45">
      <c r="A42" s="110">
        <v>39</v>
      </c>
      <c r="B42" s="107">
        <v>192.39999999999998</v>
      </c>
      <c r="C42" s="107">
        <v>4.9333333333333327</v>
      </c>
      <c r="D42" s="112">
        <v>1.8461538461538463</v>
      </c>
      <c r="E42" s="108">
        <v>0.41025641025641024</v>
      </c>
      <c r="F42" s="108">
        <v>0.35315985130111527</v>
      </c>
      <c r="G42" s="108">
        <v>0.16356877323420074</v>
      </c>
      <c r="H42" s="109">
        <v>10927.368421052632</v>
      </c>
      <c r="I42" s="109">
        <v>-10522.727272727272</v>
      </c>
      <c r="J42" s="108">
        <v>0.17948717948717949</v>
      </c>
      <c r="K42" s="108">
        <v>0.28205128205128205</v>
      </c>
      <c r="P42" s="108">
        <v>0.38947368421052631</v>
      </c>
      <c r="Q42" s="108">
        <v>0.46391752577319589</v>
      </c>
    </row>
    <row r="43" spans="1:17" x14ac:dyDescent="0.45">
      <c r="A43" s="110">
        <v>40</v>
      </c>
      <c r="B43" s="107">
        <v>184.2</v>
      </c>
      <c r="C43" s="107">
        <v>4.6049999999999995</v>
      </c>
      <c r="D43" s="112">
        <v>1.85</v>
      </c>
      <c r="E43" s="108">
        <v>0.4</v>
      </c>
      <c r="F43" s="108">
        <v>0.35036496350364965</v>
      </c>
      <c r="G43" s="108">
        <v>0.16423357664233576</v>
      </c>
      <c r="H43" s="109">
        <v>10938.541666666666</v>
      </c>
      <c r="I43" s="109">
        <v>-10460</v>
      </c>
      <c r="J43" s="108">
        <v>0.17499999999999999</v>
      </c>
      <c r="K43" s="108">
        <v>0.27500000000000002</v>
      </c>
      <c r="P43" s="108">
        <v>0.39583333333333331</v>
      </c>
      <c r="Q43" s="108">
        <v>0.46391752577319589</v>
      </c>
    </row>
    <row r="44" spans="1:17" x14ac:dyDescent="0.45">
      <c r="A44" s="110">
        <v>41</v>
      </c>
      <c r="B44" s="107">
        <v>178.2</v>
      </c>
      <c r="C44" s="107">
        <v>4.3463414634146336</v>
      </c>
      <c r="D44" s="112">
        <v>1.8780487804878048</v>
      </c>
      <c r="E44" s="108">
        <v>0.3902439024390244</v>
      </c>
      <c r="F44" s="108">
        <v>0.34642857142857142</v>
      </c>
      <c r="G44" s="108">
        <v>0.16785714285714284</v>
      </c>
      <c r="H44" s="109">
        <v>10908.247422680412</v>
      </c>
      <c r="I44" s="109">
        <v>-10295.744680851063</v>
      </c>
      <c r="J44" s="108">
        <v>0.17073170731707318</v>
      </c>
      <c r="K44" s="108">
        <v>0.26829268292682928</v>
      </c>
      <c r="P44" s="108">
        <v>0.40206185567010311</v>
      </c>
      <c r="Q44" s="108">
        <v>0.45454545454545453</v>
      </c>
    </row>
    <row r="45" spans="1:17" x14ac:dyDescent="0.45">
      <c r="A45" s="110">
        <v>42</v>
      </c>
      <c r="B45" s="107">
        <v>142.79999999999998</v>
      </c>
      <c r="C45" s="107">
        <v>3.3999999999999995</v>
      </c>
      <c r="D45" s="112">
        <v>1.9047619047619047</v>
      </c>
      <c r="E45" s="108">
        <v>0.38095238095238093</v>
      </c>
      <c r="F45" s="108">
        <v>0.33793103448275863</v>
      </c>
      <c r="G45" s="108">
        <v>0.17241379310344829</v>
      </c>
      <c r="H45" s="109">
        <v>10850</v>
      </c>
      <c r="I45" s="109">
        <v>-10108</v>
      </c>
      <c r="J45" s="108">
        <v>0.19047619047619047</v>
      </c>
      <c r="K45" s="108">
        <v>0.26190476190476192</v>
      </c>
      <c r="P45" s="108">
        <v>0.39795918367346939</v>
      </c>
      <c r="Q45" s="108">
        <v>0.44554455445544555</v>
      </c>
    </row>
    <row r="46" spans="1:17" x14ac:dyDescent="0.45">
      <c r="A46" s="110">
        <v>43</v>
      </c>
      <c r="B46" s="107">
        <v>135.29999999999998</v>
      </c>
      <c r="C46" s="107">
        <v>3.1465116279069765</v>
      </c>
      <c r="D46" s="112">
        <v>1.930232558139535</v>
      </c>
      <c r="E46" s="108">
        <v>0.37209302325581395</v>
      </c>
      <c r="F46" s="108">
        <v>0.33779264214046822</v>
      </c>
      <c r="G46" s="108">
        <v>0.17391304347826086</v>
      </c>
      <c r="H46" s="109">
        <v>10804.950495049505</v>
      </c>
      <c r="I46" s="109">
        <v>-10103.846153846154</v>
      </c>
      <c r="J46" s="108">
        <v>0.18604651162790697</v>
      </c>
      <c r="K46" s="108">
        <v>0.2558139534883721</v>
      </c>
      <c r="P46" s="108">
        <v>0.41584158415841582</v>
      </c>
      <c r="Q46" s="108">
        <v>0.43269230769230771</v>
      </c>
    </row>
    <row r="47" spans="1:17" x14ac:dyDescent="0.45">
      <c r="A47" s="110">
        <v>44</v>
      </c>
      <c r="B47" s="107">
        <v>143.69999999999999</v>
      </c>
      <c r="C47" s="107">
        <v>3.2659090909090907</v>
      </c>
      <c r="D47" s="112">
        <v>1.9318181818181819</v>
      </c>
      <c r="E47" s="108">
        <v>0.36363636363636365</v>
      </c>
      <c r="F47" s="108">
        <v>0.33870967741935482</v>
      </c>
      <c r="G47" s="108">
        <v>0.17096774193548386</v>
      </c>
      <c r="H47" s="109">
        <v>10673.333333333334</v>
      </c>
      <c r="I47" s="109">
        <v>-10064.150943396226</v>
      </c>
      <c r="J47" s="108">
        <v>0.18181818181818182</v>
      </c>
      <c r="K47" s="108">
        <v>0.25</v>
      </c>
      <c r="P47" s="108">
        <v>0.40952380952380951</v>
      </c>
      <c r="Q47" s="108">
        <v>0.44036697247706424</v>
      </c>
    </row>
    <row r="48" spans="1:17" x14ac:dyDescent="0.45">
      <c r="A48" s="110">
        <v>45</v>
      </c>
      <c r="B48" s="107">
        <v>134.29999999999998</v>
      </c>
      <c r="C48" s="107">
        <v>2.9844444444444442</v>
      </c>
      <c r="D48" s="112">
        <v>1.9555555555555555</v>
      </c>
      <c r="E48" s="108">
        <v>0.35555555555555557</v>
      </c>
      <c r="F48" s="108">
        <v>0.33962264150943394</v>
      </c>
      <c r="G48" s="108">
        <v>0.16981132075471697</v>
      </c>
      <c r="H48" s="109">
        <v>10572.222222222223</v>
      </c>
      <c r="I48" s="109">
        <v>-10174.074074074075</v>
      </c>
      <c r="J48" s="108">
        <v>0.17777777777777778</v>
      </c>
      <c r="K48" s="108">
        <v>0.24444444444444444</v>
      </c>
      <c r="P48" s="108">
        <v>0.39814814814814814</v>
      </c>
      <c r="Q48" s="108">
        <v>0.43243243243243246</v>
      </c>
    </row>
    <row r="49" spans="1:17" x14ac:dyDescent="0.45">
      <c r="A49" s="110">
        <v>46</v>
      </c>
      <c r="B49" s="107">
        <v>161.19999999999999</v>
      </c>
      <c r="C49" s="107">
        <v>3.5043478260869563</v>
      </c>
      <c r="D49" s="112">
        <v>1.9347826086956521</v>
      </c>
      <c r="E49" s="108">
        <v>0.36956521739130432</v>
      </c>
      <c r="F49" s="108">
        <v>0.34674922600619196</v>
      </c>
      <c r="G49" s="108">
        <v>0.16718266253869968</v>
      </c>
      <c r="H49" s="109">
        <v>10488.392857142857</v>
      </c>
      <c r="I49" s="109">
        <v>-10174.074074074075</v>
      </c>
      <c r="J49" s="108">
        <v>0.17391304347826086</v>
      </c>
      <c r="K49" s="108">
        <v>0.2608695652173913</v>
      </c>
      <c r="P49" s="108">
        <v>0.38392857142857145</v>
      </c>
      <c r="Q49" s="108">
        <v>0.4336283185840708</v>
      </c>
    </row>
    <row r="50" spans="1:17" x14ac:dyDescent="0.45">
      <c r="A50" s="110">
        <v>47</v>
      </c>
      <c r="B50" s="107">
        <v>141.69999999999999</v>
      </c>
      <c r="C50" s="107">
        <v>3.0148936170212766</v>
      </c>
      <c r="D50" s="112">
        <v>1.9574468085106382</v>
      </c>
      <c r="E50" s="108">
        <v>0.36170212765957449</v>
      </c>
      <c r="F50" s="108">
        <v>0.34226190476190477</v>
      </c>
      <c r="G50" s="108">
        <v>0.16666666666666666</v>
      </c>
      <c r="H50" s="109">
        <v>10401.739130434782</v>
      </c>
      <c r="I50" s="109">
        <v>-9989.2857142857138</v>
      </c>
      <c r="J50" s="108">
        <v>0.1702127659574468</v>
      </c>
      <c r="K50" s="108">
        <v>0.25531914893617019</v>
      </c>
      <c r="P50" s="108">
        <v>0.38260869565217392</v>
      </c>
      <c r="Q50" s="108">
        <v>0.43103448275862066</v>
      </c>
    </row>
    <row r="51" spans="1:17" x14ac:dyDescent="0.45">
      <c r="A51" s="110">
        <v>48</v>
      </c>
      <c r="B51" s="107">
        <v>110.6</v>
      </c>
      <c r="C51" s="107">
        <v>2.3041666666666667</v>
      </c>
      <c r="D51" s="112">
        <v>1.9583333333333333</v>
      </c>
      <c r="E51" s="108">
        <v>0.35416666666666669</v>
      </c>
      <c r="F51" s="108">
        <v>0.33819241982507287</v>
      </c>
      <c r="G51" s="108">
        <v>0.16618075801749271</v>
      </c>
      <c r="H51" s="109">
        <v>10381.034482758621</v>
      </c>
      <c r="I51" s="109">
        <v>-10094.736842105263</v>
      </c>
      <c r="J51" s="108">
        <v>0.16666666666666666</v>
      </c>
      <c r="K51" s="108">
        <v>0.25</v>
      </c>
      <c r="P51" s="108">
        <v>0.37931034482758619</v>
      </c>
      <c r="Q51" s="108">
        <v>0.42372881355932202</v>
      </c>
    </row>
    <row r="52" spans="1:17" x14ac:dyDescent="0.45">
      <c r="A52" s="110">
        <v>49</v>
      </c>
      <c r="B52" s="107">
        <v>125.8</v>
      </c>
      <c r="C52" s="107">
        <v>2.5673469387755103</v>
      </c>
      <c r="D52" s="112">
        <v>1.9387755102040816</v>
      </c>
      <c r="E52" s="108">
        <v>0.36734693877551022</v>
      </c>
      <c r="F52" s="108">
        <v>0.34285714285714286</v>
      </c>
      <c r="G52" s="108">
        <v>0.16285714285714287</v>
      </c>
      <c r="H52" s="109">
        <v>10221.666666666666</v>
      </c>
      <c r="I52" s="109">
        <v>-10094.736842105263</v>
      </c>
      <c r="J52" s="108">
        <v>0.16326530612244897</v>
      </c>
      <c r="K52" s="108">
        <v>0.24489795918367346</v>
      </c>
      <c r="P52" s="108">
        <v>0.375</v>
      </c>
      <c r="Q52" s="108">
        <v>0.42499999999999999</v>
      </c>
    </row>
    <row r="53" spans="1:17" x14ac:dyDescent="0.45">
      <c r="A53" s="110">
        <v>50</v>
      </c>
      <c r="B53" s="107">
        <v>120.89999999999999</v>
      </c>
      <c r="C53" s="107">
        <v>2.4179999999999997</v>
      </c>
      <c r="D53" s="112">
        <v>1.94</v>
      </c>
      <c r="E53" s="108">
        <v>0.36</v>
      </c>
      <c r="F53" s="108">
        <v>0.33888888888888891</v>
      </c>
      <c r="G53" s="108">
        <v>0.16388888888888889</v>
      </c>
      <c r="H53" s="109">
        <v>10332.786885245901</v>
      </c>
      <c r="I53" s="109">
        <v>-10022.033898305084</v>
      </c>
      <c r="J53" s="108">
        <v>0.16</v>
      </c>
      <c r="K53" s="108">
        <v>0.24</v>
      </c>
      <c r="P53" s="108">
        <v>0.37704918032786883</v>
      </c>
      <c r="Q53" s="108">
        <v>0.41935483870967744</v>
      </c>
    </row>
    <row r="54" spans="1:17" x14ac:dyDescent="0.45">
      <c r="A54" s="110">
        <v>51</v>
      </c>
      <c r="B54" s="107">
        <v>132.69999999999999</v>
      </c>
      <c r="C54" s="107">
        <v>2.6019607843137251</v>
      </c>
      <c r="D54" s="112">
        <v>1.9215686274509804</v>
      </c>
      <c r="E54" s="108">
        <v>0.37254901960784315</v>
      </c>
      <c r="F54" s="108">
        <v>0.34139784946236557</v>
      </c>
      <c r="G54" s="108">
        <v>0.16935483870967741</v>
      </c>
      <c r="H54" s="109">
        <v>10377.165354330709</v>
      </c>
      <c r="I54" s="109">
        <v>-9939.6825396825388</v>
      </c>
      <c r="J54" s="108">
        <v>0.15686274509803921</v>
      </c>
      <c r="K54" s="108">
        <v>0.23529411764705882</v>
      </c>
      <c r="P54" s="108">
        <v>0.37795275590551181</v>
      </c>
      <c r="Q54" s="108">
        <v>0.4263565891472868</v>
      </c>
    </row>
    <row r="55" spans="1:17" x14ac:dyDescent="0.45">
      <c r="A55" s="110">
        <v>52</v>
      </c>
      <c r="B55" s="107">
        <v>133.39999999999998</v>
      </c>
      <c r="C55" s="107">
        <v>2.5653846153846152</v>
      </c>
      <c r="D55" s="112">
        <v>1.9230769230769231</v>
      </c>
      <c r="E55" s="108">
        <v>0.36538461538461536</v>
      </c>
      <c r="F55" s="108">
        <v>0.34300791556728233</v>
      </c>
      <c r="G55" s="108">
        <v>0.16886543535620052</v>
      </c>
      <c r="H55" s="109">
        <v>10346.923076923076</v>
      </c>
      <c r="I55" s="109">
        <v>-9909.375</v>
      </c>
      <c r="J55" s="108">
        <v>0.15384615384615385</v>
      </c>
      <c r="K55" s="108">
        <v>0.23076923076923078</v>
      </c>
      <c r="P55" s="108">
        <v>0.37692307692307692</v>
      </c>
      <c r="Q55" s="108">
        <v>0.43181818181818182</v>
      </c>
    </row>
    <row r="56" spans="1:17" x14ac:dyDescent="0.45">
      <c r="A56" s="110">
        <v>53</v>
      </c>
      <c r="B56" s="107">
        <v>127.69999999999997</v>
      </c>
      <c r="C56" s="107">
        <v>2.4094339622641505</v>
      </c>
      <c r="D56" s="112">
        <v>1.9433962264150944</v>
      </c>
      <c r="E56" s="108">
        <v>0.35849056603773582</v>
      </c>
      <c r="F56" s="108">
        <v>0.34196891191709844</v>
      </c>
      <c r="G56" s="108">
        <v>0.17098445595854922</v>
      </c>
      <c r="H56" s="109">
        <v>10311.363636363636</v>
      </c>
      <c r="I56" s="109">
        <v>-9869.69696969697</v>
      </c>
      <c r="J56" s="108">
        <v>0.15094339622641509</v>
      </c>
      <c r="K56" s="108">
        <v>0.22641509433962265</v>
      </c>
      <c r="P56" s="108">
        <v>0.37878787878787878</v>
      </c>
      <c r="Q56" s="108">
        <v>0.42537313432835822</v>
      </c>
    </row>
    <row r="57" spans="1:17" x14ac:dyDescent="0.45">
      <c r="A57" s="110">
        <v>54</v>
      </c>
      <c r="B57" s="107">
        <v>99.699999999999974</v>
      </c>
      <c r="C57" s="107">
        <v>1.8462962962962959</v>
      </c>
      <c r="D57" s="112">
        <v>1.9444444444444444</v>
      </c>
      <c r="E57" s="108">
        <v>0.35185185185185186</v>
      </c>
      <c r="F57" s="108">
        <v>0.33842239185750639</v>
      </c>
      <c r="G57" s="108">
        <v>0.17302798982188294</v>
      </c>
      <c r="H57" s="109">
        <v>10354.135338345865</v>
      </c>
      <c r="I57" s="109">
        <v>-9932.3529411764703</v>
      </c>
      <c r="J57" s="108">
        <v>0.14814814814814814</v>
      </c>
      <c r="K57" s="108">
        <v>0.22222222222222221</v>
      </c>
      <c r="P57" s="108">
        <v>0.37593984962406013</v>
      </c>
      <c r="Q57" s="108">
        <v>0.42222222222222222</v>
      </c>
    </row>
    <row r="58" spans="1:17" x14ac:dyDescent="0.45">
      <c r="A58" s="110">
        <v>55</v>
      </c>
      <c r="B58" s="107">
        <v>116.39999999999998</v>
      </c>
      <c r="C58" s="107">
        <v>2.1163636363636358</v>
      </c>
      <c r="D58" s="112">
        <v>1.9454545454545455</v>
      </c>
      <c r="E58" s="108">
        <v>0.34545454545454546</v>
      </c>
      <c r="F58" s="108">
        <v>0.34085213032581452</v>
      </c>
      <c r="G58" s="108">
        <v>0.17042606516290726</v>
      </c>
      <c r="H58" s="109">
        <v>10340.441176470587</v>
      </c>
      <c r="I58" s="109">
        <v>-9932.3529411764703</v>
      </c>
      <c r="J58" s="108">
        <v>0.14545454545454545</v>
      </c>
      <c r="K58" s="108">
        <v>0.21818181818181817</v>
      </c>
      <c r="P58" s="108">
        <v>0.375</v>
      </c>
      <c r="Q58" s="108">
        <v>0.41911764705882354</v>
      </c>
    </row>
    <row r="59" spans="1:17" x14ac:dyDescent="0.45">
      <c r="A59" s="110">
        <v>56</v>
      </c>
      <c r="B59" s="107">
        <v>110.39999999999998</v>
      </c>
      <c r="C59" s="107">
        <v>1.9714285714285711</v>
      </c>
      <c r="D59" s="112">
        <v>1.9642857142857142</v>
      </c>
      <c r="E59" s="108">
        <v>0.3392857142857143</v>
      </c>
      <c r="F59" s="108">
        <v>0.33497536945812806</v>
      </c>
      <c r="G59" s="108">
        <v>0.16748768472906403</v>
      </c>
      <c r="H59" s="109">
        <v>10340.441176470587</v>
      </c>
      <c r="I59" s="109">
        <v>-9932.3529411764703</v>
      </c>
      <c r="J59" s="108">
        <v>0.14285714285714285</v>
      </c>
      <c r="K59" s="108">
        <v>0.21428571428571427</v>
      </c>
      <c r="P59" s="108">
        <v>0.375</v>
      </c>
      <c r="Q59" s="108">
        <v>0.41007194244604317</v>
      </c>
    </row>
    <row r="60" spans="1:17" x14ac:dyDescent="0.45">
      <c r="A60" s="110">
        <v>57</v>
      </c>
      <c r="B60" s="107">
        <v>140.99999999999997</v>
      </c>
      <c r="C60" s="107">
        <v>2.4736842105263155</v>
      </c>
      <c r="D60" s="112">
        <v>1.9473684210526316</v>
      </c>
      <c r="E60" s="108">
        <v>0.35087719298245612</v>
      </c>
      <c r="F60" s="108">
        <v>0.33975903614457831</v>
      </c>
      <c r="G60" s="108">
        <v>0.16626506024096385</v>
      </c>
      <c r="H60" s="109">
        <v>10385.106382978724</v>
      </c>
      <c r="I60" s="109">
        <v>-10049.27536231884</v>
      </c>
      <c r="J60" s="108">
        <v>0.14035087719298245</v>
      </c>
      <c r="K60" s="108">
        <v>0.22807017543859648</v>
      </c>
      <c r="P60" s="108">
        <v>0.37588652482269502</v>
      </c>
      <c r="Q60" s="108">
        <v>0.41549295774647887</v>
      </c>
    </row>
    <row r="61" spans="1:17" x14ac:dyDescent="0.45">
      <c r="A61" s="110">
        <v>58</v>
      </c>
      <c r="B61" s="107">
        <v>156.79999999999998</v>
      </c>
      <c r="C61" s="107">
        <v>2.7034482758620686</v>
      </c>
      <c r="D61" s="112">
        <v>1.9482758620689655</v>
      </c>
      <c r="E61" s="108">
        <v>0.34482758620689657</v>
      </c>
      <c r="F61" s="108">
        <v>0.33966745843230406</v>
      </c>
      <c r="G61" s="108">
        <v>0.16389548693586697</v>
      </c>
      <c r="H61" s="109">
        <v>10332.867132867133</v>
      </c>
      <c r="I61" s="109">
        <v>-10049.27536231884</v>
      </c>
      <c r="J61" s="108">
        <v>0.13793103448275862</v>
      </c>
      <c r="K61" s="108">
        <v>0.22413793103448276</v>
      </c>
      <c r="P61" s="108">
        <v>0.37062937062937062</v>
      </c>
      <c r="Q61" s="108">
        <v>0.41666666666666669</v>
      </c>
    </row>
    <row r="62" spans="1:17" x14ac:dyDescent="0.45">
      <c r="A62" s="110">
        <v>59</v>
      </c>
      <c r="B62" s="107">
        <v>212.79999999999998</v>
      </c>
      <c r="C62" s="107">
        <v>3.6067796610169487</v>
      </c>
      <c r="D62" s="112">
        <v>1.9322033898305084</v>
      </c>
      <c r="E62" s="108">
        <v>0.3559322033898305</v>
      </c>
      <c r="F62" s="108">
        <v>0.34433962264150941</v>
      </c>
      <c r="G62" s="108">
        <v>0.16273584905660377</v>
      </c>
      <c r="H62" s="109">
        <v>10490.410958904109</v>
      </c>
      <c r="I62" s="109">
        <v>-10049.27536231884</v>
      </c>
      <c r="J62" s="108">
        <v>0.13559322033898305</v>
      </c>
      <c r="K62" s="108">
        <v>0.23728813559322035</v>
      </c>
      <c r="P62" s="108">
        <v>0.36986301369863012</v>
      </c>
      <c r="Q62" s="108">
        <v>0.42857142857142855</v>
      </c>
    </row>
    <row r="63" spans="1:17" x14ac:dyDescent="0.45">
      <c r="A63" s="110">
        <v>60</v>
      </c>
      <c r="B63" s="107">
        <v>218.1</v>
      </c>
      <c r="C63" s="107">
        <v>3.6349999999999998</v>
      </c>
      <c r="D63" s="112">
        <v>1.9333333333333333</v>
      </c>
      <c r="E63" s="108">
        <v>0.35</v>
      </c>
      <c r="F63" s="108">
        <v>0.34562211981566821</v>
      </c>
      <c r="G63" s="108">
        <v>0.16589861751152074</v>
      </c>
      <c r="H63" s="109">
        <v>10458.666666666666</v>
      </c>
      <c r="I63" s="109">
        <v>-10006.944444444445</v>
      </c>
      <c r="J63" s="108">
        <v>0.13333333333333333</v>
      </c>
      <c r="K63" s="108">
        <v>0.23333333333333334</v>
      </c>
      <c r="P63" s="108">
        <v>0.36666666666666664</v>
      </c>
      <c r="Q63" s="108">
        <v>0.43046357615894038</v>
      </c>
    </row>
    <row r="64" spans="1:17" x14ac:dyDescent="0.45">
      <c r="A64" s="110">
        <v>61</v>
      </c>
      <c r="B64" s="107">
        <v>173</v>
      </c>
      <c r="C64" s="107">
        <v>2.8360655737704916</v>
      </c>
      <c r="D64" s="112">
        <v>1.9508196721311475</v>
      </c>
      <c r="E64" s="108">
        <v>0.34426229508196721</v>
      </c>
      <c r="F64" s="108">
        <v>0.33936651583710409</v>
      </c>
      <c r="G64" s="108">
        <v>0.16515837104072398</v>
      </c>
      <c r="H64" s="109">
        <v>10458.666666666666</v>
      </c>
      <c r="I64" s="109">
        <v>-10116.438356164384</v>
      </c>
      <c r="J64" s="108">
        <v>0.14754098360655737</v>
      </c>
      <c r="K64" s="108">
        <v>0.22950819672131148</v>
      </c>
      <c r="P64" s="108">
        <v>0.36666666666666664</v>
      </c>
      <c r="Q64" s="108">
        <v>0.42763157894736842</v>
      </c>
    </row>
    <row r="65" spans="1:17" x14ac:dyDescent="0.45">
      <c r="A65" s="110">
        <v>62</v>
      </c>
      <c r="B65" s="107">
        <v>193.1</v>
      </c>
      <c r="C65" s="107">
        <v>3.1145161290322578</v>
      </c>
      <c r="D65" s="112">
        <v>1.935483870967742</v>
      </c>
      <c r="E65" s="108">
        <v>0.35483870967741937</v>
      </c>
      <c r="F65" s="108">
        <v>0.34216335540838855</v>
      </c>
      <c r="G65" s="108">
        <v>0.16335540838852097</v>
      </c>
      <c r="H65" s="109">
        <v>10380</v>
      </c>
      <c r="I65" s="109">
        <v>-10087.837837837838</v>
      </c>
      <c r="J65" s="108">
        <v>0.14516129032258066</v>
      </c>
      <c r="K65" s="108">
        <v>0.22580645161290322</v>
      </c>
      <c r="P65" s="108">
        <v>0.36129032258064514</v>
      </c>
      <c r="Q65" s="108">
        <v>0.42948717948717946</v>
      </c>
    </row>
    <row r="66" spans="1:17" x14ac:dyDescent="0.45">
      <c r="A66" s="110">
        <v>63</v>
      </c>
      <c r="B66" s="107">
        <v>128.1</v>
      </c>
      <c r="C66" s="107">
        <v>2.0333333333333332</v>
      </c>
      <c r="D66" s="112">
        <v>1.9523809523809523</v>
      </c>
      <c r="E66" s="108">
        <v>0.34920634920634919</v>
      </c>
      <c r="F66" s="108">
        <v>0.3434125269978402</v>
      </c>
      <c r="G66" s="108">
        <v>0.16846652267818574</v>
      </c>
      <c r="H66" s="109">
        <v>10293.08176100629</v>
      </c>
      <c r="I66" s="109">
        <v>-10637.179487179486</v>
      </c>
      <c r="J66" s="108">
        <v>0.15873015873015872</v>
      </c>
      <c r="K66" s="108">
        <v>0.22222222222222221</v>
      </c>
      <c r="P66" s="108">
        <v>0.35849056603773582</v>
      </c>
      <c r="Q66" s="108">
        <v>0.43478260869565216</v>
      </c>
    </row>
    <row r="67" spans="1:17" x14ac:dyDescent="0.45">
      <c r="A67" s="110">
        <v>64</v>
      </c>
      <c r="B67" s="107">
        <v>123.1</v>
      </c>
      <c r="C67" s="107">
        <v>1.9234374999999999</v>
      </c>
      <c r="D67" s="112">
        <v>1.953125</v>
      </c>
      <c r="E67" s="108">
        <v>0.34375</v>
      </c>
      <c r="F67" s="108">
        <v>0.3434125269978402</v>
      </c>
      <c r="G67" s="108">
        <v>0.16846652267818574</v>
      </c>
      <c r="H67" s="109">
        <v>10293.08176100629</v>
      </c>
      <c r="I67" s="109">
        <v>-10637.179487179486</v>
      </c>
      <c r="J67" s="108">
        <v>0.15625</v>
      </c>
      <c r="K67" s="108">
        <v>0.21875</v>
      </c>
      <c r="P67" s="108">
        <v>0.35849056603773582</v>
      </c>
      <c r="Q67" s="108">
        <v>0.43478260869565216</v>
      </c>
    </row>
    <row r="68" spans="1:17" x14ac:dyDescent="0.45">
      <c r="A68" s="110">
        <v>65</v>
      </c>
      <c r="B68" s="107">
        <v>124.1</v>
      </c>
      <c r="C68" s="107">
        <v>1.9092307692307691</v>
      </c>
      <c r="D68" s="112">
        <v>1.9538461538461538</v>
      </c>
      <c r="E68" s="108">
        <v>0.33846153846153848</v>
      </c>
      <c r="F68" s="108">
        <v>0.3434125269978402</v>
      </c>
      <c r="G68" s="108">
        <v>0.16846652267818574</v>
      </c>
      <c r="H68" s="109">
        <v>10293.08176100629</v>
      </c>
      <c r="I68" s="109">
        <v>-10637.179487179486</v>
      </c>
      <c r="J68" s="108">
        <v>0.15384615384615385</v>
      </c>
      <c r="K68" s="108">
        <v>0.2153846153846154</v>
      </c>
      <c r="P68" s="108">
        <v>0.35849056603773582</v>
      </c>
      <c r="Q68" s="108">
        <v>0.43478260869565216</v>
      </c>
    </row>
    <row r="69" spans="1:17" x14ac:dyDescent="0.45">
      <c r="A69" s="110">
        <v>66</v>
      </c>
      <c r="B69" s="107">
        <v>154.69999999999999</v>
      </c>
      <c r="C69" s="107">
        <v>2.3439393939393938</v>
      </c>
      <c r="D69" s="112">
        <v>1.9393939393939394</v>
      </c>
      <c r="E69" s="108">
        <v>0.34848484848484851</v>
      </c>
      <c r="F69" s="108">
        <v>0.3434125269978402</v>
      </c>
      <c r="G69" s="108">
        <v>0.16846652267818574</v>
      </c>
      <c r="H69" s="109">
        <v>10293.08176100629</v>
      </c>
      <c r="I69" s="109">
        <v>-10637.179487179486</v>
      </c>
      <c r="J69" s="108">
        <v>0.15151515151515152</v>
      </c>
      <c r="K69" s="108">
        <v>0.21212121212121213</v>
      </c>
      <c r="P69" s="108">
        <v>0.35849056603773582</v>
      </c>
      <c r="Q69" s="108">
        <v>0.43478260869565216</v>
      </c>
    </row>
    <row r="70" spans="1:17" x14ac:dyDescent="0.45">
      <c r="A70" s="110">
        <v>67</v>
      </c>
      <c r="B70" s="107">
        <v>135.69999999999999</v>
      </c>
      <c r="C70" s="107">
        <v>2.0253731343283579</v>
      </c>
      <c r="D70" s="112">
        <v>1.9402985074626866</v>
      </c>
      <c r="E70" s="108">
        <v>0.34328358208955223</v>
      </c>
      <c r="F70" s="108">
        <v>0.34120171673819744</v>
      </c>
      <c r="G70" s="108">
        <v>0.16738197424892703</v>
      </c>
      <c r="H70" s="109">
        <v>10293.08176100629</v>
      </c>
      <c r="I70" s="109">
        <v>-10637.179487179486</v>
      </c>
      <c r="J70" s="108">
        <v>0.14925373134328357</v>
      </c>
      <c r="K70" s="108">
        <v>0.20895522388059701</v>
      </c>
      <c r="L70" s="108">
        <v>0</v>
      </c>
      <c r="M70" s="108">
        <v>0</v>
      </c>
      <c r="N70" s="108">
        <v>0</v>
      </c>
      <c r="O70" s="108">
        <v>0</v>
      </c>
      <c r="P70" s="108">
        <v>0.35849056603773582</v>
      </c>
      <c r="Q70" s="108">
        <v>0.43478260869565216</v>
      </c>
    </row>
    <row r="71" spans="1:17" x14ac:dyDescent="0.45">
      <c r="A71" s="110">
        <v>68</v>
      </c>
      <c r="B71" s="107">
        <v>126.79999999999998</v>
      </c>
      <c r="C71" s="107">
        <v>1.864705882352941</v>
      </c>
      <c r="D71" s="112">
        <v>1.9558823529411764</v>
      </c>
      <c r="E71" s="108">
        <v>0.33823529411764708</v>
      </c>
      <c r="F71" s="108">
        <v>0.33966244725738398</v>
      </c>
      <c r="G71" s="108">
        <v>0.17088607594936708</v>
      </c>
      <c r="H71" s="109">
        <v>10324.844720496894</v>
      </c>
      <c r="I71" s="109">
        <v>-10608.641975308641</v>
      </c>
      <c r="J71" s="108">
        <v>0.14705882352941177</v>
      </c>
      <c r="K71" s="108">
        <v>0.20588235294117646</v>
      </c>
      <c r="L71" s="108">
        <v>0.18181818181818182</v>
      </c>
      <c r="M71" s="108">
        <v>0.27272727272727271</v>
      </c>
      <c r="N71" s="108">
        <v>0.5</v>
      </c>
      <c r="O71" s="108">
        <v>0.33333333333333331</v>
      </c>
      <c r="P71" s="108">
        <v>0.35403726708074534</v>
      </c>
      <c r="Q71" s="108">
        <v>0.43636363636363634</v>
      </c>
    </row>
    <row r="72" spans="1:17" x14ac:dyDescent="0.45">
      <c r="A72" s="110">
        <v>69</v>
      </c>
      <c r="B72" s="107">
        <v>127.69999999999999</v>
      </c>
      <c r="C72" s="107">
        <v>1.8507246376811592</v>
      </c>
      <c r="D72" s="112">
        <v>1.9565217391304348</v>
      </c>
      <c r="E72" s="108">
        <v>0.33333333333333331</v>
      </c>
      <c r="F72" s="108">
        <v>0.34024896265560167</v>
      </c>
      <c r="G72" s="108">
        <v>0.17012448132780084</v>
      </c>
      <c r="H72" s="109">
        <v>10275.609756097561</v>
      </c>
      <c r="I72" s="109">
        <v>-10576.829268292682</v>
      </c>
      <c r="J72" s="108">
        <v>0.14492753623188406</v>
      </c>
      <c r="K72" s="108">
        <v>0.20289855072463769</v>
      </c>
      <c r="L72" s="108">
        <v>0.15789473684210525</v>
      </c>
      <c r="M72" s="108">
        <v>0.26315789473684209</v>
      </c>
      <c r="N72" s="108">
        <v>0.66666666666666663</v>
      </c>
      <c r="O72" s="108">
        <v>0.4</v>
      </c>
      <c r="P72" s="108">
        <v>0.35365853658536583</v>
      </c>
      <c r="Q72" s="108">
        <v>0.43786982248520712</v>
      </c>
    </row>
    <row r="73" spans="1:17" x14ac:dyDescent="0.45">
      <c r="A73" s="110">
        <v>70</v>
      </c>
      <c r="B73" s="107">
        <v>159</v>
      </c>
      <c r="C73" s="107">
        <v>2.2714285714285714</v>
      </c>
      <c r="D73" s="112">
        <v>1.9428571428571428</v>
      </c>
      <c r="E73" s="108">
        <v>0.34285714285714286</v>
      </c>
      <c r="F73" s="108">
        <v>0.34221311475409838</v>
      </c>
      <c r="G73" s="108">
        <v>0.16803278688524589</v>
      </c>
      <c r="H73" s="109">
        <v>10245.508982035928</v>
      </c>
      <c r="I73" s="109">
        <v>-10576.829268292682</v>
      </c>
      <c r="J73" s="108">
        <v>0.14285714285714285</v>
      </c>
      <c r="K73" s="108">
        <v>0.21428571428571427</v>
      </c>
      <c r="L73" s="108">
        <v>0.2</v>
      </c>
      <c r="M73" s="108">
        <v>0.28000000000000003</v>
      </c>
      <c r="N73" s="108">
        <v>0.8</v>
      </c>
      <c r="O73" s="108">
        <v>0.42857142857142855</v>
      </c>
      <c r="P73" s="108">
        <v>0.3592814371257485</v>
      </c>
      <c r="Q73" s="108">
        <v>0.43859649122807015</v>
      </c>
    </row>
    <row r="74" spans="1:17" x14ac:dyDescent="0.45">
      <c r="A74" s="110">
        <v>71</v>
      </c>
      <c r="B74" s="107">
        <v>186.4</v>
      </c>
      <c r="C74" s="107">
        <v>2.6253521126760564</v>
      </c>
      <c r="D74" s="112">
        <v>1.9295774647887325</v>
      </c>
      <c r="E74" s="108">
        <v>0.352112676056338</v>
      </c>
      <c r="F74" s="108">
        <v>0.34274193548387094</v>
      </c>
      <c r="G74" s="108">
        <v>0.16733870967741934</v>
      </c>
      <c r="H74" s="109">
        <v>10312.35294117647</v>
      </c>
      <c r="I74" s="109">
        <v>-10593.975903614459</v>
      </c>
      <c r="J74" s="108">
        <v>0.14084507042253522</v>
      </c>
      <c r="K74" s="108">
        <v>0.21126760563380281</v>
      </c>
      <c r="L74" s="108">
        <v>0.21212121212121213</v>
      </c>
      <c r="M74" s="108">
        <v>0.33333333333333331</v>
      </c>
      <c r="N74" s="108">
        <v>0.8571428571428571</v>
      </c>
      <c r="O74" s="108">
        <v>0.36363636363636365</v>
      </c>
      <c r="P74" s="108">
        <v>0.36470588235294116</v>
      </c>
      <c r="Q74" s="108">
        <v>0.43352601156069365</v>
      </c>
    </row>
    <row r="75" spans="1:17" x14ac:dyDescent="0.45">
      <c r="A75" s="110">
        <v>72</v>
      </c>
      <c r="B75" s="107">
        <v>179</v>
      </c>
      <c r="C75" s="107">
        <v>2.4861111111111112</v>
      </c>
      <c r="D75" s="112">
        <v>1.9305555555555556</v>
      </c>
      <c r="E75" s="108">
        <v>0.34722222222222221</v>
      </c>
      <c r="F75" s="108">
        <v>0.34063745019920316</v>
      </c>
      <c r="G75" s="108">
        <v>0.16533864541832669</v>
      </c>
      <c r="H75" s="109">
        <v>10261.403508771929</v>
      </c>
      <c r="I75" s="109">
        <v>-10593.975903614459</v>
      </c>
      <c r="J75" s="108">
        <v>0.1388888888888889</v>
      </c>
      <c r="K75" s="108">
        <v>0.20833333333333334</v>
      </c>
      <c r="L75" s="108">
        <v>0.20512820512820512</v>
      </c>
      <c r="M75" s="108">
        <v>0.30769230769230771</v>
      </c>
      <c r="N75" s="108">
        <v>0.875</v>
      </c>
      <c r="O75" s="108">
        <v>0.33333333333333331</v>
      </c>
      <c r="P75" s="108">
        <v>0.36257309941520466</v>
      </c>
      <c r="Q75" s="108">
        <v>0.43103448275862066</v>
      </c>
    </row>
    <row r="76" spans="1:17" x14ac:dyDescent="0.45">
      <c r="A76" s="110">
        <v>73</v>
      </c>
      <c r="B76" s="107">
        <v>196.3</v>
      </c>
      <c r="C76" s="107">
        <v>2.6890410958904112</v>
      </c>
      <c r="D76" s="112">
        <v>1.9178082191780821</v>
      </c>
      <c r="E76" s="108">
        <v>0.35616438356164382</v>
      </c>
      <c r="F76" s="108">
        <v>0.3411764705882353</v>
      </c>
      <c r="G76" s="108">
        <v>0.16274509803921569</v>
      </c>
      <c r="H76" s="109">
        <v>10236.206896551725</v>
      </c>
      <c r="I76" s="109">
        <v>-10593.975903614459</v>
      </c>
      <c r="J76" s="108">
        <v>0.13698630136986301</v>
      </c>
      <c r="K76" s="108">
        <v>0.20547945205479451</v>
      </c>
      <c r="L76" s="108">
        <v>0.21276595744680851</v>
      </c>
      <c r="M76" s="108">
        <v>0.31914893617021278</v>
      </c>
      <c r="N76" s="108">
        <v>0.8</v>
      </c>
      <c r="O76" s="108">
        <v>0.4</v>
      </c>
      <c r="P76" s="108">
        <v>0.35632183908045978</v>
      </c>
      <c r="Q76" s="108">
        <v>0.43181818181818182</v>
      </c>
    </row>
    <row r="77" spans="1:17" x14ac:dyDescent="0.45">
      <c r="A77" s="110">
        <v>74</v>
      </c>
      <c r="B77" s="107">
        <v>182.4</v>
      </c>
      <c r="C77" s="107">
        <v>2.464864864864865</v>
      </c>
      <c r="D77" s="112">
        <v>1.9189189189189189</v>
      </c>
      <c r="E77" s="108">
        <v>0.35135135135135137</v>
      </c>
      <c r="F77" s="108">
        <v>0.34362934362934361</v>
      </c>
      <c r="G77" s="108">
        <v>0.16023166023166024</v>
      </c>
      <c r="H77" s="109">
        <v>10105.056179775282</v>
      </c>
      <c r="I77" s="109">
        <v>-10593.975903614459</v>
      </c>
      <c r="J77" s="108">
        <v>0.13513513513513514</v>
      </c>
      <c r="K77" s="108">
        <v>0.20270270270270271</v>
      </c>
      <c r="L77" s="108">
        <v>0.21818181818181817</v>
      </c>
      <c r="M77" s="108">
        <v>0.32727272727272727</v>
      </c>
      <c r="N77" s="108">
        <v>0.75</v>
      </c>
      <c r="O77" s="108">
        <v>0.5</v>
      </c>
      <c r="P77" s="108">
        <v>0.3595505617977528</v>
      </c>
      <c r="Q77" s="108">
        <v>0.42777777777777776</v>
      </c>
    </row>
    <row r="78" spans="1:17" x14ac:dyDescent="0.45">
      <c r="A78" s="110">
        <v>75</v>
      </c>
      <c r="B78" s="107">
        <v>221.4</v>
      </c>
      <c r="C78" s="107">
        <v>2.952</v>
      </c>
      <c r="D78" s="112">
        <v>1.9066666666666667</v>
      </c>
      <c r="E78" s="108">
        <v>0.36</v>
      </c>
      <c r="F78" s="108">
        <v>0.34674329501915707</v>
      </c>
      <c r="G78" s="108">
        <v>0.15900383141762453</v>
      </c>
      <c r="H78" s="109">
        <v>10158.563535911602</v>
      </c>
      <c r="I78" s="109">
        <v>-10593.975903614459</v>
      </c>
      <c r="J78" s="108">
        <v>0.13333333333333333</v>
      </c>
      <c r="K78" s="108">
        <v>0.21333333333333335</v>
      </c>
      <c r="L78" s="108">
        <v>0.23728813559322035</v>
      </c>
      <c r="M78" s="108">
        <v>0.32203389830508472</v>
      </c>
      <c r="N78" s="108">
        <v>0.7857142857142857</v>
      </c>
      <c r="O78" s="108">
        <v>0.52631578947368418</v>
      </c>
      <c r="P78" s="108">
        <v>0.35911602209944754</v>
      </c>
      <c r="Q78" s="108">
        <v>0.42857142857142855</v>
      </c>
    </row>
    <row r="79" spans="1:17" x14ac:dyDescent="0.45">
      <c r="A79" s="110">
        <v>76</v>
      </c>
      <c r="B79" s="107">
        <v>226.6</v>
      </c>
      <c r="C79" s="107">
        <v>2.9815789473684209</v>
      </c>
      <c r="D79" s="112">
        <v>1.9078947368421053</v>
      </c>
      <c r="E79" s="108">
        <v>0.35526315789473684</v>
      </c>
      <c r="F79" s="108">
        <v>0.34848484848484851</v>
      </c>
      <c r="G79" s="108">
        <v>0.15909090909090909</v>
      </c>
      <c r="H79" s="109">
        <v>10094.565217391304</v>
      </c>
      <c r="I79" s="109">
        <v>-10563.095238095239</v>
      </c>
      <c r="J79" s="108">
        <v>0.13157894736842105</v>
      </c>
      <c r="K79" s="108">
        <v>0.21052631578947367</v>
      </c>
      <c r="L79" s="108">
        <v>0.26153846153846155</v>
      </c>
      <c r="M79" s="108">
        <v>0.30769230769230771</v>
      </c>
      <c r="N79" s="108">
        <v>0.76470588235294112</v>
      </c>
      <c r="O79" s="108">
        <v>0.5</v>
      </c>
      <c r="P79" s="108">
        <v>0.3641304347826087</v>
      </c>
      <c r="Q79" s="108">
        <v>0.42391304347826086</v>
      </c>
    </row>
    <row r="80" spans="1:17" x14ac:dyDescent="0.45">
      <c r="A80" s="110">
        <v>77</v>
      </c>
      <c r="B80" s="107">
        <v>212.9</v>
      </c>
      <c r="C80" s="107">
        <v>2.7649350649350648</v>
      </c>
      <c r="D80" s="112">
        <v>1.9090909090909092</v>
      </c>
      <c r="E80" s="108">
        <v>0.35064935064935066</v>
      </c>
      <c r="F80" s="108">
        <v>0.34644194756554308</v>
      </c>
      <c r="G80" s="108">
        <v>0.15917602996254682</v>
      </c>
      <c r="H80" s="109">
        <v>10104.864864864865</v>
      </c>
      <c r="I80" s="109">
        <v>-10500</v>
      </c>
      <c r="J80" s="108">
        <v>0.12987012987012986</v>
      </c>
      <c r="K80" s="108">
        <v>0.20779220779220781</v>
      </c>
      <c r="L80" s="108">
        <v>0.25352112676056338</v>
      </c>
      <c r="M80" s="108">
        <v>0.29577464788732394</v>
      </c>
      <c r="N80" s="108">
        <v>0.77777777777777779</v>
      </c>
      <c r="O80" s="108">
        <v>0.47619047619047616</v>
      </c>
      <c r="P80" s="108">
        <v>0.36216216216216218</v>
      </c>
      <c r="Q80" s="108">
        <v>0.41935483870967744</v>
      </c>
    </row>
    <row r="81" spans="1:17" x14ac:dyDescent="0.45">
      <c r="A81" s="110">
        <v>78</v>
      </c>
      <c r="B81" s="107">
        <v>218</v>
      </c>
      <c r="C81" s="107">
        <v>2.7948717948717947</v>
      </c>
      <c r="D81" s="112">
        <v>1.9102564102564104</v>
      </c>
      <c r="E81" s="108">
        <v>0.34615384615384615</v>
      </c>
      <c r="F81" s="108">
        <v>0.34750462107208874</v>
      </c>
      <c r="G81" s="108">
        <v>0.15896487985212571</v>
      </c>
      <c r="H81" s="109">
        <v>10069.148936170213</v>
      </c>
      <c r="I81" s="109">
        <v>-10470.930232558139</v>
      </c>
      <c r="J81" s="108">
        <v>0.12820512820512819</v>
      </c>
      <c r="K81" s="108">
        <v>0.20512820512820512</v>
      </c>
      <c r="L81" s="108">
        <v>0.28205128205128205</v>
      </c>
      <c r="M81" s="108">
        <v>0.29487179487179488</v>
      </c>
      <c r="N81" s="108">
        <v>0.77272727272727271</v>
      </c>
      <c r="O81" s="108">
        <v>0.43478260869565216</v>
      </c>
      <c r="P81" s="108">
        <v>0.36170212765957449</v>
      </c>
      <c r="Q81" s="108">
        <v>0.41798941798941797</v>
      </c>
    </row>
    <row r="82" spans="1:17" x14ac:dyDescent="0.45">
      <c r="A82" s="110">
        <v>79</v>
      </c>
      <c r="B82" s="107">
        <v>248.9</v>
      </c>
      <c r="C82" s="107">
        <v>3.150632911392405</v>
      </c>
      <c r="D82" s="112">
        <v>1.8987341772151898</v>
      </c>
      <c r="E82" s="108">
        <v>0.35443037974683544</v>
      </c>
      <c r="F82" s="108">
        <v>0.34837545126353792</v>
      </c>
      <c r="G82" s="108">
        <v>0.15703971119133575</v>
      </c>
      <c r="H82" s="109">
        <v>9982.3834196891185</v>
      </c>
      <c r="I82" s="109">
        <v>-10395.402298850575</v>
      </c>
      <c r="J82" s="108">
        <v>0.12658227848101267</v>
      </c>
      <c r="K82" s="108">
        <v>0.21518987341772153</v>
      </c>
      <c r="L82" s="108">
        <v>0.25274725274725274</v>
      </c>
      <c r="M82" s="108">
        <v>0.30769230769230771</v>
      </c>
      <c r="N82" s="108">
        <v>0.78260869565217395</v>
      </c>
      <c r="O82" s="108">
        <v>0.42857142857142855</v>
      </c>
      <c r="P82" s="108">
        <v>0.35233160621761656</v>
      </c>
      <c r="Q82" s="108">
        <v>0.41538461538461541</v>
      </c>
    </row>
    <row r="83" spans="1:17" x14ac:dyDescent="0.45">
      <c r="A83" s="110">
        <v>80</v>
      </c>
      <c r="B83" s="107">
        <v>287.89999999999998</v>
      </c>
      <c r="C83" s="107">
        <v>3.5987499999999999</v>
      </c>
      <c r="D83" s="112">
        <v>1.8875</v>
      </c>
      <c r="E83" s="108">
        <v>0.36249999999999999</v>
      </c>
      <c r="F83" s="108">
        <v>0.35062611806797855</v>
      </c>
      <c r="G83" s="108">
        <v>0.15563506261180679</v>
      </c>
      <c r="H83" s="109">
        <v>10064.285714285714</v>
      </c>
      <c r="I83" s="109">
        <v>-10395.402298850575</v>
      </c>
      <c r="J83" s="108">
        <v>0.125</v>
      </c>
      <c r="K83" s="108">
        <v>0.22500000000000001</v>
      </c>
      <c r="L83" s="108">
        <v>0.27083333333333331</v>
      </c>
      <c r="M83" s="108">
        <v>0.29166666666666669</v>
      </c>
      <c r="N83" s="108">
        <v>0.76923076923076927</v>
      </c>
      <c r="O83" s="108">
        <v>0.42857142857142855</v>
      </c>
      <c r="P83" s="108">
        <v>0.34693877551020408</v>
      </c>
      <c r="Q83" s="108">
        <v>0.41836734693877553</v>
      </c>
    </row>
    <row r="84" spans="1:17" x14ac:dyDescent="0.45">
      <c r="A84" s="110">
        <v>81</v>
      </c>
      <c r="B84" s="107">
        <v>309.39999999999998</v>
      </c>
      <c r="C84" s="107">
        <v>3.8197530864197526</v>
      </c>
      <c r="D84" s="112">
        <v>1.8765432098765431</v>
      </c>
      <c r="E84" s="108">
        <v>0.37037037037037035</v>
      </c>
      <c r="F84" s="108">
        <v>0.35449735449735448</v>
      </c>
      <c r="G84" s="108">
        <v>0.15343915343915343</v>
      </c>
      <c r="H84" s="109">
        <v>9985.5721393034819</v>
      </c>
      <c r="I84" s="109">
        <v>-10395.402298850575</v>
      </c>
      <c r="J84" s="108">
        <v>0.12345679012345678</v>
      </c>
      <c r="K84" s="108">
        <v>0.23456790123456789</v>
      </c>
      <c r="L84" s="108">
        <v>0.25961538461538464</v>
      </c>
      <c r="M84" s="108">
        <v>0.28846153846153844</v>
      </c>
      <c r="N84" s="108">
        <v>0.77777777777777779</v>
      </c>
      <c r="O84" s="108">
        <v>0.46666666666666667</v>
      </c>
      <c r="P84" s="108">
        <v>0.34825870646766172</v>
      </c>
      <c r="Q84" s="108">
        <v>0.4228855721393035</v>
      </c>
    </row>
    <row r="85" spans="1:17" x14ac:dyDescent="0.45">
      <c r="A85" s="110">
        <v>82</v>
      </c>
      <c r="B85" s="107">
        <v>339.9</v>
      </c>
      <c r="C85" s="107">
        <v>4.1451219512195117</v>
      </c>
      <c r="D85" s="112">
        <v>1.8658536585365855</v>
      </c>
      <c r="E85" s="108">
        <v>0.37804878048780488</v>
      </c>
      <c r="F85" s="108">
        <v>0.35478260869565215</v>
      </c>
      <c r="G85" s="108">
        <v>0.15130434782608695</v>
      </c>
      <c r="H85" s="109">
        <v>9975.9803921568619</v>
      </c>
      <c r="I85" s="109">
        <v>-10395.402298850575</v>
      </c>
      <c r="J85" s="108">
        <v>0.12195121951219512</v>
      </c>
      <c r="K85" s="108">
        <v>0.23170731707317074</v>
      </c>
      <c r="L85" s="108">
        <v>0.25892857142857145</v>
      </c>
      <c r="M85" s="108">
        <v>0.2767857142857143</v>
      </c>
      <c r="N85" s="108">
        <v>0.75862068965517238</v>
      </c>
      <c r="O85" s="108">
        <v>0.45161290322580644</v>
      </c>
      <c r="P85" s="108">
        <v>0.35784313725490197</v>
      </c>
      <c r="Q85" s="108">
        <v>0.41871921182266009</v>
      </c>
    </row>
    <row r="86" spans="1:17" x14ac:dyDescent="0.45">
      <c r="A86" s="110">
        <v>83</v>
      </c>
      <c r="B86" s="107">
        <v>398.7</v>
      </c>
      <c r="C86" s="107">
        <v>4.8036144578313253</v>
      </c>
      <c r="D86" s="112">
        <v>1.8554216867469879</v>
      </c>
      <c r="E86" s="108">
        <v>0.38554216867469882</v>
      </c>
      <c r="F86" s="108">
        <v>0.35517241379310344</v>
      </c>
      <c r="G86" s="108">
        <v>0.15172413793103448</v>
      </c>
      <c r="H86" s="109">
        <v>10248.058252427185</v>
      </c>
      <c r="I86" s="109">
        <v>-10313.636363636364</v>
      </c>
      <c r="J86" s="108">
        <v>0.12048192771084337</v>
      </c>
      <c r="K86" s="108">
        <v>0.24096385542168675</v>
      </c>
      <c r="L86" s="108">
        <v>0.26495726495726496</v>
      </c>
      <c r="M86" s="108">
        <v>0.26495726495726496</v>
      </c>
      <c r="N86" s="108">
        <v>0.74193548387096775</v>
      </c>
      <c r="O86" s="108">
        <v>0.45161290322580644</v>
      </c>
      <c r="P86" s="108">
        <v>0.36407766990291263</v>
      </c>
      <c r="Q86" s="108">
        <v>0.41666666666666669</v>
      </c>
    </row>
    <row r="87" spans="1:17" x14ac:dyDescent="0.45">
      <c r="A87" s="110">
        <v>84</v>
      </c>
      <c r="B87" s="107">
        <v>409.8</v>
      </c>
      <c r="C87" s="107">
        <v>4.878571428571429</v>
      </c>
      <c r="D87" s="112">
        <v>1.8571428571428572</v>
      </c>
      <c r="E87" s="108">
        <v>0.38095238095238093</v>
      </c>
      <c r="F87" s="108">
        <v>0.35690235690235689</v>
      </c>
      <c r="G87" s="108">
        <v>0.1531986531986532</v>
      </c>
      <c r="H87" s="109">
        <v>10209.905660377359</v>
      </c>
      <c r="I87" s="109">
        <v>-10281.318681318682</v>
      </c>
      <c r="J87" s="108">
        <v>0.11904761904761904</v>
      </c>
      <c r="K87" s="108">
        <v>0.23809523809523808</v>
      </c>
      <c r="L87" s="108">
        <v>0.27480916030534353</v>
      </c>
      <c r="M87" s="108">
        <v>0.25190839694656486</v>
      </c>
      <c r="N87" s="108">
        <v>0.75</v>
      </c>
      <c r="O87" s="108">
        <v>0.45454545454545453</v>
      </c>
      <c r="P87" s="108">
        <v>0.35849056603773582</v>
      </c>
      <c r="Q87" s="108">
        <v>0.4238095238095238</v>
      </c>
    </row>
    <row r="88" spans="1:17" x14ac:dyDescent="0.45">
      <c r="A88" s="110">
        <v>85</v>
      </c>
      <c r="B88" s="107">
        <v>411.40000000000003</v>
      </c>
      <c r="C88" s="107">
        <v>4.8400000000000007</v>
      </c>
      <c r="D88" s="112">
        <v>1.8588235294117648</v>
      </c>
      <c r="E88" s="108">
        <v>0.37647058823529411</v>
      </c>
      <c r="F88" s="108">
        <v>0.35548172757475083</v>
      </c>
      <c r="G88" s="108">
        <v>0.15116279069767441</v>
      </c>
      <c r="H88" s="109">
        <v>10170.093457943925</v>
      </c>
      <c r="I88" s="109">
        <v>-10281.318681318682</v>
      </c>
      <c r="J88" s="108">
        <v>0.11764705882352941</v>
      </c>
      <c r="K88" s="108">
        <v>0.23529411764705882</v>
      </c>
      <c r="L88" s="108">
        <v>0.28776978417266186</v>
      </c>
      <c r="M88" s="108">
        <v>0.2446043165467626</v>
      </c>
      <c r="N88" s="108">
        <v>0.72499999999999998</v>
      </c>
      <c r="O88" s="108">
        <v>0.44117647058823528</v>
      </c>
      <c r="P88" s="108">
        <v>0.35514018691588783</v>
      </c>
      <c r="Q88" s="108">
        <v>0.42056074766355139</v>
      </c>
    </row>
    <row r="89" spans="1:17" x14ac:dyDescent="0.45">
      <c r="A89" s="110">
        <v>86</v>
      </c>
      <c r="B89" s="107">
        <v>391.00000000000006</v>
      </c>
      <c r="C89" s="107">
        <v>4.5465116279069777</v>
      </c>
      <c r="D89" s="112">
        <v>1.8720930232558139</v>
      </c>
      <c r="E89" s="108">
        <v>0.37209302325581395</v>
      </c>
      <c r="F89" s="108">
        <v>0.35409836065573769</v>
      </c>
      <c r="G89" s="108">
        <v>0.15081967213114755</v>
      </c>
      <c r="H89" s="109">
        <v>10159.259259259259</v>
      </c>
      <c r="I89" s="109">
        <v>-10211.95652173913</v>
      </c>
      <c r="J89" s="108">
        <v>0.11627906976744186</v>
      </c>
      <c r="K89" s="108">
        <v>0.23255813953488372</v>
      </c>
      <c r="L89" s="108">
        <v>0.29251700680272108</v>
      </c>
      <c r="M89" s="108">
        <v>0.23129251700680273</v>
      </c>
      <c r="N89" s="108">
        <v>0.72093023255813948</v>
      </c>
      <c r="O89" s="108">
        <v>0.44117647058823528</v>
      </c>
      <c r="P89" s="108">
        <v>0.35648148148148145</v>
      </c>
      <c r="Q89" s="108">
        <v>0.41935483870967744</v>
      </c>
    </row>
    <row r="90" spans="1:17" x14ac:dyDescent="0.45">
      <c r="A90" s="110">
        <v>87</v>
      </c>
      <c r="B90" s="107">
        <v>393.50000000000006</v>
      </c>
      <c r="C90" s="107">
        <v>4.5229885057471275</v>
      </c>
      <c r="D90" s="112">
        <v>1.8620689655172413</v>
      </c>
      <c r="E90" s="108">
        <v>0.37931034482758619</v>
      </c>
      <c r="F90" s="108">
        <v>0.35436893203883496</v>
      </c>
      <c r="G90" s="108">
        <v>0.15372168284789645</v>
      </c>
      <c r="H90" s="109">
        <v>10135.159817351598</v>
      </c>
      <c r="I90" s="109">
        <v>-10065.263157894737</v>
      </c>
      <c r="J90" s="108">
        <v>0.11494252873563218</v>
      </c>
      <c r="K90" s="108">
        <v>0.22988505747126436</v>
      </c>
      <c r="L90" s="108">
        <v>0.29032258064516131</v>
      </c>
      <c r="M90" s="108">
        <v>0.23225806451612904</v>
      </c>
      <c r="N90" s="108">
        <v>0.71111111111111114</v>
      </c>
      <c r="O90" s="108">
        <v>0.47222222222222221</v>
      </c>
      <c r="P90" s="108">
        <v>0.35159817351598172</v>
      </c>
      <c r="Q90" s="108">
        <v>0.41552511415525112</v>
      </c>
    </row>
    <row r="91" spans="1:17" x14ac:dyDescent="0.45">
      <c r="A91" s="110">
        <v>88</v>
      </c>
      <c r="B91" s="107">
        <v>349.00000000000006</v>
      </c>
      <c r="C91" s="107">
        <v>3.9659090909090917</v>
      </c>
      <c r="D91" s="112">
        <v>1.875</v>
      </c>
      <c r="E91" s="108">
        <v>0.375</v>
      </c>
      <c r="F91" s="108">
        <v>0.35360000000000003</v>
      </c>
      <c r="G91" s="108">
        <v>0.15840000000000001</v>
      </c>
      <c r="H91" s="109">
        <v>10093.212669683258</v>
      </c>
      <c r="I91" s="109">
        <v>-10224.242424242424</v>
      </c>
      <c r="J91" s="108">
        <v>0.125</v>
      </c>
      <c r="K91" s="108">
        <v>0.22727272727272727</v>
      </c>
      <c r="L91" s="108">
        <v>0.29012345679012347</v>
      </c>
      <c r="M91" s="108">
        <v>0.23456790123456789</v>
      </c>
      <c r="N91" s="108">
        <v>0.7021276595744681</v>
      </c>
      <c r="O91" s="108">
        <v>0.47368421052631576</v>
      </c>
      <c r="P91" s="108">
        <v>0.35294117647058826</v>
      </c>
      <c r="Q91" s="108">
        <v>0.4144144144144144</v>
      </c>
    </row>
    <row r="92" spans="1:17" x14ac:dyDescent="0.45">
      <c r="A92" s="110">
        <v>89</v>
      </c>
      <c r="B92" s="107">
        <v>348.40000000000003</v>
      </c>
      <c r="C92" s="107">
        <v>3.9146067415730341</v>
      </c>
      <c r="D92" s="112">
        <v>1.8764044943820224</v>
      </c>
      <c r="E92" s="108">
        <v>0.3707865168539326</v>
      </c>
      <c r="F92" s="108">
        <v>0.35488958990536279</v>
      </c>
      <c r="G92" s="108">
        <v>0.15930599369085174</v>
      </c>
      <c r="H92" s="109">
        <v>10042.222222222223</v>
      </c>
      <c r="I92" s="109">
        <v>-10110.891089108911</v>
      </c>
      <c r="J92" s="108">
        <v>0.12359550561797752</v>
      </c>
      <c r="K92" s="108">
        <v>0.2247191011235955</v>
      </c>
      <c r="L92" s="108">
        <v>0.29239766081871343</v>
      </c>
      <c r="M92" s="108">
        <v>0.23391812865497075</v>
      </c>
      <c r="N92" s="108">
        <v>0.72</v>
      </c>
      <c r="O92" s="108">
        <v>0.47499999999999998</v>
      </c>
      <c r="P92" s="108">
        <v>0.3511111111111111</v>
      </c>
      <c r="Q92" s="108">
        <v>0.4177777777777778</v>
      </c>
    </row>
    <row r="93" spans="1:17" x14ac:dyDescent="0.45">
      <c r="A93" s="110">
        <v>90</v>
      </c>
      <c r="B93" s="107">
        <v>373.8</v>
      </c>
      <c r="C93" s="107">
        <v>4.1533333333333333</v>
      </c>
      <c r="D93" s="112">
        <v>1.8666666666666667</v>
      </c>
      <c r="E93" s="108">
        <v>0.37777777777777777</v>
      </c>
      <c r="F93" s="108">
        <v>0.35358255451713394</v>
      </c>
      <c r="G93" s="108">
        <v>0.16043613707165108</v>
      </c>
      <c r="H93" s="109">
        <v>10129.955947136565</v>
      </c>
      <c r="I93" s="109">
        <v>-9973.786407766991</v>
      </c>
      <c r="J93" s="108">
        <v>0.12222222222222222</v>
      </c>
      <c r="K93" s="108">
        <v>0.22222222222222221</v>
      </c>
      <c r="L93" s="108">
        <v>0.29050279329608941</v>
      </c>
      <c r="M93" s="108">
        <v>0.22346368715083798</v>
      </c>
      <c r="N93" s="108">
        <v>0.73076923076923073</v>
      </c>
      <c r="O93" s="108">
        <v>0.47499999999999998</v>
      </c>
      <c r="P93" s="108">
        <v>0.35682819383259912</v>
      </c>
      <c r="Q93" s="108">
        <v>0.41409691629955947</v>
      </c>
    </row>
    <row r="94" spans="1:17" x14ac:dyDescent="0.45">
      <c r="A94" s="110">
        <v>91</v>
      </c>
      <c r="B94" s="107">
        <v>383.5</v>
      </c>
      <c r="C94" s="107">
        <v>4.2142857142857144</v>
      </c>
      <c r="D94" s="112">
        <v>1.8681318681318682</v>
      </c>
      <c r="E94" s="108">
        <v>0.37362637362637363</v>
      </c>
      <c r="F94" s="108">
        <v>0.35375191424196017</v>
      </c>
      <c r="G94" s="108">
        <v>0.15926493108728942</v>
      </c>
      <c r="H94" s="109">
        <v>10057.142857142857</v>
      </c>
      <c r="I94" s="109">
        <v>-9993.2692307692305</v>
      </c>
      <c r="J94" s="108">
        <v>0.12087912087912088</v>
      </c>
      <c r="K94" s="108">
        <v>0.21978021978021978</v>
      </c>
      <c r="L94" s="108">
        <v>0.28421052631578947</v>
      </c>
      <c r="M94" s="108">
        <v>0.23157894736842105</v>
      </c>
      <c r="N94" s="108">
        <v>0.7407407407407407</v>
      </c>
      <c r="O94" s="108">
        <v>0.45454545454545453</v>
      </c>
      <c r="P94" s="108">
        <v>0.354978354978355</v>
      </c>
      <c r="Q94" s="108">
        <v>0.41739130434782606</v>
      </c>
    </row>
    <row r="95" spans="1:17" x14ac:dyDescent="0.45">
      <c r="A95" s="110">
        <v>92</v>
      </c>
      <c r="B95" s="107">
        <v>403.6</v>
      </c>
      <c r="C95" s="107">
        <v>4.3869565217391306</v>
      </c>
      <c r="D95" s="112">
        <v>1.8586956521739131</v>
      </c>
      <c r="E95" s="108">
        <v>0.38043478260869568</v>
      </c>
      <c r="F95" s="108">
        <v>0.3566009104704097</v>
      </c>
      <c r="G95" s="108">
        <v>0.15781487101669195</v>
      </c>
      <c r="H95" s="109">
        <v>10032.340425531915</v>
      </c>
      <c r="I95" s="109">
        <v>-9993.2692307692305</v>
      </c>
      <c r="J95" s="108">
        <v>0.11956521739130435</v>
      </c>
      <c r="K95" s="108">
        <v>0.22826086956521738</v>
      </c>
      <c r="L95" s="108">
        <v>0.29081632653061223</v>
      </c>
      <c r="M95" s="108">
        <v>0.23469387755102042</v>
      </c>
      <c r="N95" s="108">
        <v>0.75438596491228072</v>
      </c>
      <c r="O95" s="108">
        <v>0.45652173913043476</v>
      </c>
      <c r="P95" s="108">
        <v>0.35319148936170214</v>
      </c>
      <c r="Q95" s="108">
        <v>0.41880341880341881</v>
      </c>
    </row>
    <row r="96" spans="1:17" x14ac:dyDescent="0.45">
      <c r="A96" s="110">
        <v>93</v>
      </c>
      <c r="B96" s="107">
        <v>445.70000000000005</v>
      </c>
      <c r="C96" s="107">
        <v>4.7924731182795703</v>
      </c>
      <c r="D96" s="112">
        <v>1.8494623655913978</v>
      </c>
      <c r="E96" s="108">
        <v>0.38709677419354838</v>
      </c>
      <c r="F96" s="108">
        <v>0.35885885885885888</v>
      </c>
      <c r="G96" s="108">
        <v>0.15615615615615616</v>
      </c>
      <c r="H96" s="109">
        <v>10038.493723849373</v>
      </c>
      <c r="I96" s="109">
        <v>-9993.2692307692305</v>
      </c>
      <c r="J96" s="108">
        <v>0.11827956989247312</v>
      </c>
      <c r="K96" s="108">
        <v>0.23655913978494625</v>
      </c>
      <c r="L96" s="108">
        <v>0.29556650246305421</v>
      </c>
      <c r="M96" s="108">
        <v>0.23645320197044334</v>
      </c>
      <c r="N96" s="108">
        <v>0.75</v>
      </c>
      <c r="O96" s="108">
        <v>0.47916666666666669</v>
      </c>
      <c r="P96" s="108">
        <v>0.35564853556485354</v>
      </c>
      <c r="Q96" s="108">
        <v>0.42259414225941422</v>
      </c>
    </row>
    <row r="97" spans="1:17" x14ac:dyDescent="0.45">
      <c r="A97" s="110">
        <v>94</v>
      </c>
      <c r="B97" s="107">
        <v>439.70000000000005</v>
      </c>
      <c r="C97" s="107">
        <v>4.6776595744680858</v>
      </c>
      <c r="D97" s="112">
        <v>1.8510638297872339</v>
      </c>
      <c r="E97" s="108">
        <v>0.38297872340425532</v>
      </c>
      <c r="F97" s="108">
        <v>0.35756676557863504</v>
      </c>
      <c r="G97" s="108">
        <v>0.15578635014836795</v>
      </c>
      <c r="H97" s="109">
        <v>10003.734439834025</v>
      </c>
      <c r="I97" s="109">
        <v>-9971.4285714285706</v>
      </c>
      <c r="J97" s="108">
        <v>0.11702127659574468</v>
      </c>
      <c r="K97" s="108">
        <v>0.23404255319148937</v>
      </c>
      <c r="L97" s="108">
        <v>0.29383886255924169</v>
      </c>
      <c r="M97" s="108">
        <v>0.22748815165876776</v>
      </c>
      <c r="N97" s="108">
        <v>0.74193548387096775</v>
      </c>
      <c r="O97" s="108">
        <v>0.47916666666666669</v>
      </c>
      <c r="P97" s="108">
        <v>0.35684647302904565</v>
      </c>
      <c r="Q97" s="108">
        <v>0.42561983471074383</v>
      </c>
    </row>
    <row r="98" spans="1:17" x14ac:dyDescent="0.45">
      <c r="A98" s="110">
        <v>95</v>
      </c>
      <c r="B98" s="107">
        <v>403.20000000000005</v>
      </c>
      <c r="C98" s="107">
        <v>4.2442105263157899</v>
      </c>
      <c r="D98" s="112">
        <v>1.8631578947368421</v>
      </c>
      <c r="E98" s="108">
        <v>0.37894736842105264</v>
      </c>
      <c r="F98" s="108">
        <v>0.35441176470588237</v>
      </c>
      <c r="G98" s="108">
        <v>0.15735294117647058</v>
      </c>
      <c r="H98" s="109">
        <v>10003.734439834025</v>
      </c>
      <c r="I98" s="109">
        <v>-9934.5794392523367</v>
      </c>
      <c r="J98" s="108">
        <v>0.12631578947368421</v>
      </c>
      <c r="K98" s="108">
        <v>0.23157894736842105</v>
      </c>
      <c r="L98" s="108">
        <v>0.29032258064516131</v>
      </c>
      <c r="M98" s="108">
        <v>0.22580645161290322</v>
      </c>
      <c r="N98" s="108">
        <v>0.73015873015873012</v>
      </c>
      <c r="O98" s="108">
        <v>0.46938775510204084</v>
      </c>
      <c r="P98" s="108">
        <v>0.35684647302904565</v>
      </c>
      <c r="Q98" s="108">
        <v>0.42386831275720166</v>
      </c>
    </row>
    <row r="99" spans="1:17" x14ac:dyDescent="0.45">
      <c r="A99" s="110">
        <v>96</v>
      </c>
      <c r="B99" s="107">
        <v>364.70000000000005</v>
      </c>
      <c r="C99" s="107">
        <v>3.7989583333333337</v>
      </c>
      <c r="D99" s="112">
        <v>1.875</v>
      </c>
      <c r="E99" s="108">
        <v>0.375</v>
      </c>
      <c r="F99" s="108">
        <v>0.3528550512445095</v>
      </c>
      <c r="G99" s="108">
        <v>0.15812591508052709</v>
      </c>
      <c r="H99" s="109">
        <v>10003.734439834025</v>
      </c>
      <c r="I99" s="109">
        <v>-9953.7037037037044</v>
      </c>
      <c r="J99" s="108">
        <v>0.13541666666666666</v>
      </c>
      <c r="K99" s="108">
        <v>0.22916666666666666</v>
      </c>
      <c r="L99" s="108">
        <v>0.29090909090909089</v>
      </c>
      <c r="M99" s="108">
        <v>0.22272727272727272</v>
      </c>
      <c r="N99" s="108">
        <v>0.71875</v>
      </c>
      <c r="O99" s="108">
        <v>0.46938775510204084</v>
      </c>
      <c r="P99" s="108">
        <v>0.35684647302904565</v>
      </c>
      <c r="Q99" s="108">
        <v>0.42386831275720166</v>
      </c>
    </row>
    <row r="100" spans="1:17" x14ac:dyDescent="0.45">
      <c r="A100" s="110">
        <v>97</v>
      </c>
      <c r="B100" s="107">
        <v>374.80000000000007</v>
      </c>
      <c r="C100" s="107">
        <v>3.8639175257731964</v>
      </c>
      <c r="D100" s="112">
        <v>1.865979381443299</v>
      </c>
      <c r="E100" s="108">
        <v>0.38144329896907214</v>
      </c>
      <c r="F100" s="108">
        <v>0.35507246376811596</v>
      </c>
      <c r="G100" s="108">
        <v>0.15797101449275364</v>
      </c>
      <c r="H100" s="109">
        <v>9930.6122448979586</v>
      </c>
      <c r="I100" s="109">
        <v>-9935.779816513761</v>
      </c>
      <c r="J100" s="108">
        <v>0.13402061855670103</v>
      </c>
      <c r="K100" s="108">
        <v>0.22680412371134021</v>
      </c>
      <c r="L100" s="108">
        <v>0.29515418502202645</v>
      </c>
      <c r="M100" s="108">
        <v>0.22466960352422907</v>
      </c>
      <c r="N100" s="108">
        <v>0.71641791044776115</v>
      </c>
      <c r="O100" s="108">
        <v>0.47058823529411764</v>
      </c>
      <c r="P100" s="108">
        <v>0.35918367346938773</v>
      </c>
      <c r="Q100" s="108">
        <v>0.42040816326530611</v>
      </c>
    </row>
    <row r="101" spans="1:17" x14ac:dyDescent="0.45">
      <c r="A101" s="110">
        <v>98</v>
      </c>
      <c r="B101" s="107">
        <v>372.80000000000007</v>
      </c>
      <c r="C101" s="107">
        <v>3.804081632653062</v>
      </c>
      <c r="D101" s="112">
        <v>1.8673469387755102</v>
      </c>
      <c r="E101" s="108">
        <v>0.37755102040816324</v>
      </c>
      <c r="F101" s="108">
        <v>0.35386819484240689</v>
      </c>
      <c r="G101" s="108">
        <v>0.15616045845272206</v>
      </c>
      <c r="H101" s="109">
        <v>9931.1740890688252</v>
      </c>
      <c r="I101" s="109">
        <v>-9935.779816513761</v>
      </c>
      <c r="J101" s="108">
        <v>0.1326530612244898</v>
      </c>
      <c r="K101" s="108">
        <v>0.22448979591836735</v>
      </c>
      <c r="L101" s="108">
        <v>0.2978723404255319</v>
      </c>
      <c r="M101" s="108">
        <v>0.21702127659574469</v>
      </c>
      <c r="N101" s="108">
        <v>0.7142857142857143</v>
      </c>
      <c r="O101" s="108">
        <v>0.47058823529411764</v>
      </c>
      <c r="P101" s="108">
        <v>0.36437246963562753</v>
      </c>
      <c r="Q101" s="108">
        <v>0.41869918699186992</v>
      </c>
    </row>
    <row r="102" spans="1:17" x14ac:dyDescent="0.45">
      <c r="A102" s="110">
        <v>99</v>
      </c>
      <c r="B102" s="107">
        <v>415.30000000000007</v>
      </c>
      <c r="C102" s="107">
        <v>4.1949494949494959</v>
      </c>
      <c r="D102" s="112">
        <v>1.8585858585858586</v>
      </c>
      <c r="E102" s="108">
        <v>0.38383838383838381</v>
      </c>
      <c r="F102" s="108">
        <v>0.35875706214689268</v>
      </c>
      <c r="G102" s="108">
        <v>0.15677966101694915</v>
      </c>
      <c r="H102" s="109">
        <v>9883.4645669291331</v>
      </c>
      <c r="I102" s="109">
        <v>-9900</v>
      </c>
      <c r="J102" s="108">
        <v>0.13131313131313133</v>
      </c>
      <c r="K102" s="108">
        <v>0.23232323232323232</v>
      </c>
      <c r="L102" s="108">
        <v>0.29795918367346941</v>
      </c>
      <c r="M102" s="108">
        <v>0.22448979591836735</v>
      </c>
      <c r="N102" s="108">
        <v>0.71232876712328763</v>
      </c>
      <c r="O102" s="108">
        <v>0.49090909090909091</v>
      </c>
      <c r="P102" s="108">
        <v>0.36220472440944884</v>
      </c>
      <c r="Q102" s="108">
        <v>0.43083003952569171</v>
      </c>
    </row>
    <row r="103" spans="1:17" x14ac:dyDescent="0.45">
      <c r="A103" s="110">
        <v>100</v>
      </c>
      <c r="B103" s="107">
        <v>409.70000000000005</v>
      </c>
      <c r="C103" s="107">
        <v>4.0970000000000004</v>
      </c>
      <c r="D103" s="112">
        <v>1.86</v>
      </c>
      <c r="E103" s="108">
        <v>0.38</v>
      </c>
      <c r="F103" s="108">
        <v>0.35854341736694678</v>
      </c>
      <c r="G103" s="108">
        <v>0.15546218487394958</v>
      </c>
      <c r="H103" s="109">
        <v>9857.8125</v>
      </c>
      <c r="I103" s="109">
        <v>-9900</v>
      </c>
      <c r="J103" s="108">
        <v>0.13</v>
      </c>
      <c r="K103" s="108">
        <v>0.23</v>
      </c>
      <c r="L103" s="108">
        <v>0.30278884462151395</v>
      </c>
      <c r="M103" s="108">
        <v>0.21912350597609562</v>
      </c>
      <c r="N103" s="108">
        <v>0.71052631578947367</v>
      </c>
      <c r="O103" s="108">
        <v>0.49090909090909091</v>
      </c>
      <c r="P103" s="108">
        <v>0.36328125</v>
      </c>
      <c r="Q103" s="108">
        <v>0.42913385826771655</v>
      </c>
    </row>
    <row r="104" spans="1:17" x14ac:dyDescent="0.45">
      <c r="A104" s="110">
        <v>101</v>
      </c>
      <c r="B104" s="107">
        <v>402.30000000000007</v>
      </c>
      <c r="C104" s="107">
        <v>3.983168316831684</v>
      </c>
      <c r="D104" s="112">
        <v>1.8613861386138615</v>
      </c>
      <c r="E104" s="108">
        <v>0.37623762376237624</v>
      </c>
      <c r="F104" s="108">
        <v>0.35744089012517383</v>
      </c>
      <c r="G104" s="108">
        <v>0.15577190542420027</v>
      </c>
      <c r="H104" s="109">
        <v>9850.5836575875492</v>
      </c>
      <c r="I104" s="109">
        <v>-9868.75</v>
      </c>
      <c r="J104" s="108">
        <v>0.12871287128712872</v>
      </c>
      <c r="K104" s="108">
        <v>0.22772277227722773</v>
      </c>
      <c r="L104" s="108">
        <v>0.30078125</v>
      </c>
      <c r="M104" s="108">
        <v>0.21875</v>
      </c>
      <c r="N104" s="108">
        <v>0.7142857142857143</v>
      </c>
      <c r="O104" s="108">
        <v>0.48214285714285715</v>
      </c>
      <c r="P104" s="108">
        <v>0.36575875486381321</v>
      </c>
      <c r="Q104" s="108">
        <v>0.42745098039215684</v>
      </c>
    </row>
    <row r="105" spans="1:17" x14ac:dyDescent="0.45">
      <c r="A105" s="110">
        <v>102</v>
      </c>
      <c r="B105" s="107">
        <v>365.30000000000007</v>
      </c>
      <c r="C105" s="107">
        <v>3.5813725490196084</v>
      </c>
      <c r="D105" s="112">
        <v>1.8725490196078431</v>
      </c>
      <c r="E105" s="108">
        <v>0.37254901960784315</v>
      </c>
      <c r="F105" s="108">
        <v>0.3551912568306011</v>
      </c>
      <c r="G105" s="108">
        <v>0.1598360655737705</v>
      </c>
      <c r="H105" s="109">
        <v>9896.9230769230762</v>
      </c>
      <c r="I105" s="109">
        <v>-10042.735042735043</v>
      </c>
      <c r="J105" s="108">
        <v>0.13725490196078433</v>
      </c>
      <c r="K105" s="108">
        <v>0.22549019607843138</v>
      </c>
      <c r="L105" s="108">
        <v>0.29368029739776952</v>
      </c>
      <c r="M105" s="108">
        <v>0.21561338289962825</v>
      </c>
      <c r="N105" s="108">
        <v>0.70886075949367089</v>
      </c>
      <c r="O105" s="108">
        <v>0.46551724137931033</v>
      </c>
      <c r="P105" s="108">
        <v>0.36153846153846153</v>
      </c>
      <c r="Q105" s="108">
        <v>0.43023255813953487</v>
      </c>
    </row>
    <row r="106" spans="1:17" x14ac:dyDescent="0.45">
      <c r="A106" s="110">
        <v>103</v>
      </c>
      <c r="B106" s="107">
        <v>347.50000000000006</v>
      </c>
      <c r="C106" s="107">
        <v>3.3737864077669908</v>
      </c>
      <c r="D106" s="112">
        <v>1.883495145631068</v>
      </c>
      <c r="E106" s="108">
        <v>0.36893203883495146</v>
      </c>
      <c r="F106" s="108">
        <v>0.35492577597840758</v>
      </c>
      <c r="G106" s="108">
        <v>0.16059379217273953</v>
      </c>
      <c r="H106" s="109">
        <v>9829.6577946768066</v>
      </c>
      <c r="I106" s="109">
        <v>-9989.9159663865539</v>
      </c>
      <c r="J106" s="108">
        <v>0.13592233009708737</v>
      </c>
      <c r="K106" s="108">
        <v>0.22330097087378642</v>
      </c>
      <c r="L106" s="108">
        <v>0.29496402877697842</v>
      </c>
      <c r="M106" s="108">
        <v>0.21582733812949639</v>
      </c>
      <c r="N106" s="108">
        <v>0.70731707317073167</v>
      </c>
      <c r="O106" s="108">
        <v>0.45</v>
      </c>
      <c r="P106" s="108">
        <v>0.36501901140684412</v>
      </c>
      <c r="Q106" s="108">
        <v>0.42911877394636017</v>
      </c>
    </row>
    <row r="107" spans="1:17" x14ac:dyDescent="0.45">
      <c r="A107" s="110">
        <v>104</v>
      </c>
      <c r="B107" s="107">
        <v>373.50000000000006</v>
      </c>
      <c r="C107" s="107">
        <v>3.5913461538461542</v>
      </c>
      <c r="D107" s="112">
        <v>1.875</v>
      </c>
      <c r="E107" s="108">
        <v>0.375</v>
      </c>
      <c r="F107" s="108">
        <v>0.35372340425531917</v>
      </c>
      <c r="G107" s="108">
        <v>0.16090425531914893</v>
      </c>
      <c r="H107" s="109">
        <v>9861.6541353383454</v>
      </c>
      <c r="I107" s="109">
        <v>-9957.0247933884293</v>
      </c>
      <c r="J107" s="108">
        <v>0.13461538461538461</v>
      </c>
      <c r="K107" s="108">
        <v>0.23076923076923078</v>
      </c>
      <c r="L107" s="108">
        <v>0.28719723183391005</v>
      </c>
      <c r="M107" s="108">
        <v>0.2179930795847751</v>
      </c>
      <c r="N107" s="108">
        <v>0.6987951807228916</v>
      </c>
      <c r="O107" s="108">
        <v>0.44444444444444442</v>
      </c>
      <c r="P107" s="108">
        <v>0.36842105263157893</v>
      </c>
      <c r="Q107" s="108">
        <v>0.43018867924528303</v>
      </c>
    </row>
    <row r="108" spans="1:17" x14ac:dyDescent="0.45">
      <c r="A108" s="110">
        <v>105</v>
      </c>
      <c r="B108" s="107">
        <v>417.10000000000008</v>
      </c>
      <c r="C108" s="107">
        <v>3.972380952380953</v>
      </c>
      <c r="D108" s="112">
        <v>1.8666666666666667</v>
      </c>
      <c r="E108" s="108">
        <v>0.38095238095238093</v>
      </c>
      <c r="F108" s="108">
        <v>0.35441370223978919</v>
      </c>
      <c r="G108" s="108">
        <v>0.15942028985507245</v>
      </c>
      <c r="H108" s="109">
        <v>9907.806691449814</v>
      </c>
      <c r="I108" s="109">
        <v>-9957.0247933884293</v>
      </c>
      <c r="J108" s="108">
        <v>0.13333333333333333</v>
      </c>
      <c r="K108" s="108">
        <v>0.23809523809523808</v>
      </c>
      <c r="L108" s="108">
        <v>0.28716216216216217</v>
      </c>
      <c r="M108" s="108">
        <v>0.2195945945945946</v>
      </c>
      <c r="N108" s="108">
        <v>0.70588235294117652</v>
      </c>
      <c r="O108" s="108">
        <v>0.44615384615384618</v>
      </c>
      <c r="P108" s="108">
        <v>0.37174721189591076</v>
      </c>
      <c r="Q108" s="108">
        <v>0.43071161048689138</v>
      </c>
    </row>
    <row r="109" spans="1:17" x14ac:dyDescent="0.45">
      <c r="A109" s="110">
        <v>106</v>
      </c>
      <c r="B109" s="107">
        <v>424.10000000000008</v>
      </c>
      <c r="C109" s="107">
        <v>4.0009433962264156</v>
      </c>
      <c r="D109" s="112">
        <v>1.8679245283018868</v>
      </c>
      <c r="E109" s="108">
        <v>0.37735849056603776</v>
      </c>
      <c r="F109" s="108">
        <v>0.3543307086614173</v>
      </c>
      <c r="G109" s="108">
        <v>0.15879265091863518</v>
      </c>
      <c r="H109" s="109">
        <v>9915.5555555555547</v>
      </c>
      <c r="I109" s="109">
        <v>-9957.0247933884293</v>
      </c>
      <c r="J109" s="108">
        <v>0.13207547169811321</v>
      </c>
      <c r="K109" s="108">
        <v>0.23584905660377359</v>
      </c>
      <c r="L109" s="108">
        <v>0.28428093645484948</v>
      </c>
      <c r="M109" s="108">
        <v>0.21739130434782608</v>
      </c>
      <c r="N109" s="108">
        <v>0.70588235294117652</v>
      </c>
      <c r="O109" s="108">
        <v>0.44615384615384618</v>
      </c>
      <c r="P109" s="108">
        <v>0.37037037037037035</v>
      </c>
      <c r="Q109" s="108">
        <v>0.42910447761194032</v>
      </c>
    </row>
    <row r="110" spans="1:17" x14ac:dyDescent="0.45">
      <c r="A110" s="110">
        <v>107</v>
      </c>
      <c r="B110" s="107">
        <v>413.80000000000007</v>
      </c>
      <c r="C110" s="107">
        <v>3.8672897196261689</v>
      </c>
      <c r="D110" s="112">
        <v>1.8785046728971964</v>
      </c>
      <c r="E110" s="108">
        <v>0.37383177570093457</v>
      </c>
      <c r="F110" s="108">
        <v>0.35324675324675325</v>
      </c>
      <c r="G110" s="108">
        <v>0.15974025974025974</v>
      </c>
      <c r="H110" s="109">
        <v>9893.3823529411766</v>
      </c>
      <c r="I110" s="109">
        <v>-9913.8211382113823</v>
      </c>
      <c r="J110" s="108">
        <v>0.13084112149532709</v>
      </c>
      <c r="K110" s="108">
        <v>0.23364485981308411</v>
      </c>
      <c r="L110" s="108">
        <v>0.28338762214983715</v>
      </c>
      <c r="M110" s="108">
        <v>0.21824104234527689</v>
      </c>
      <c r="N110" s="108">
        <v>0.70114942528735635</v>
      </c>
      <c r="O110" s="108">
        <v>0.44776119402985076</v>
      </c>
      <c r="P110" s="108">
        <v>0.36764705882352944</v>
      </c>
      <c r="Q110" s="108">
        <v>0.4280442804428044</v>
      </c>
    </row>
    <row r="111" spans="1:17" x14ac:dyDescent="0.45">
      <c r="A111" s="110">
        <v>108</v>
      </c>
      <c r="B111" s="107">
        <v>398.30000000000007</v>
      </c>
      <c r="C111" s="107">
        <v>3.6879629629629638</v>
      </c>
      <c r="D111" s="112">
        <v>1.8796296296296295</v>
      </c>
      <c r="E111" s="108">
        <v>0.37037037037037035</v>
      </c>
      <c r="F111" s="108">
        <v>0.35309278350515466</v>
      </c>
      <c r="G111" s="108">
        <v>0.15979381443298968</v>
      </c>
      <c r="H111" s="109">
        <v>9894.1605839416061</v>
      </c>
      <c r="I111" s="109">
        <v>-9930.645161290322</v>
      </c>
      <c r="J111" s="108">
        <v>0.12962962962962962</v>
      </c>
      <c r="K111" s="108">
        <v>0.23148148148148148</v>
      </c>
      <c r="L111" s="108">
        <v>0.28115015974440893</v>
      </c>
      <c r="M111" s="108">
        <v>0.21725239616613418</v>
      </c>
      <c r="N111" s="108">
        <v>0.70454545454545459</v>
      </c>
      <c r="O111" s="108">
        <v>0.45588235294117646</v>
      </c>
      <c r="P111" s="108">
        <v>0.37226277372262773</v>
      </c>
      <c r="Q111" s="108">
        <v>0.4264705882352941</v>
      </c>
    </row>
    <row r="112" spans="1:17" x14ac:dyDescent="0.45">
      <c r="A112" s="110">
        <v>109</v>
      </c>
      <c r="B112" s="107">
        <v>380.00000000000006</v>
      </c>
      <c r="C112" s="107">
        <v>3.4862385321100922</v>
      </c>
      <c r="D112" s="112">
        <v>1.8899082568807339</v>
      </c>
      <c r="E112" s="108">
        <v>0.3669724770642202</v>
      </c>
      <c r="F112" s="108">
        <v>0.35234474017743977</v>
      </c>
      <c r="G112" s="108">
        <v>0.15842839036755388</v>
      </c>
      <c r="H112" s="109">
        <v>9841.7266187050354</v>
      </c>
      <c r="I112" s="109">
        <v>-9947.2000000000007</v>
      </c>
      <c r="J112" s="108">
        <v>0.12844036697247707</v>
      </c>
      <c r="K112" s="108">
        <v>0.22935779816513763</v>
      </c>
      <c r="L112" s="108">
        <v>0.2822085889570552</v>
      </c>
      <c r="M112" s="108">
        <v>0.21779141104294478</v>
      </c>
      <c r="N112" s="108">
        <v>0.70652173913043481</v>
      </c>
      <c r="O112" s="108">
        <v>0.45070422535211269</v>
      </c>
      <c r="P112" s="108">
        <v>0.37769784172661869</v>
      </c>
      <c r="Q112" s="108">
        <v>0.42753623188405798</v>
      </c>
    </row>
    <row r="113" spans="1:17" x14ac:dyDescent="0.45">
      <c r="A113" s="110">
        <v>110</v>
      </c>
      <c r="B113" s="107">
        <v>403.00000000000006</v>
      </c>
      <c r="C113" s="107">
        <v>3.663636363636364</v>
      </c>
      <c r="D113" s="112">
        <v>1.8818181818181818</v>
      </c>
      <c r="E113" s="108">
        <v>0.37272727272727274</v>
      </c>
      <c r="F113" s="108">
        <v>0.35345911949685532</v>
      </c>
      <c r="G113" s="108">
        <v>0.15723270440251572</v>
      </c>
      <c r="H113" s="109">
        <v>9822.0640569395018</v>
      </c>
      <c r="I113" s="109">
        <v>-9947.2000000000007</v>
      </c>
      <c r="J113" s="108">
        <v>0.12727272727272726</v>
      </c>
      <c r="K113" s="108">
        <v>0.22727272727272727</v>
      </c>
      <c r="L113" s="108">
        <v>0.28313253012048195</v>
      </c>
      <c r="M113" s="108">
        <v>0.22289156626506024</v>
      </c>
      <c r="N113" s="108">
        <v>0.71276595744680848</v>
      </c>
      <c r="O113" s="108">
        <v>0.44594594594594594</v>
      </c>
      <c r="P113" s="108">
        <v>0.37722419928825623</v>
      </c>
      <c r="Q113" s="108">
        <v>0.42805755395683454</v>
      </c>
    </row>
    <row r="114" spans="1:17" x14ac:dyDescent="0.45">
      <c r="A114" s="110">
        <v>111</v>
      </c>
      <c r="B114" s="107">
        <v>421.50000000000006</v>
      </c>
      <c r="C114" s="107">
        <v>3.7972972972972978</v>
      </c>
      <c r="D114" s="112">
        <v>1.8738738738738738</v>
      </c>
      <c r="E114" s="108">
        <v>0.3783783783783784</v>
      </c>
      <c r="F114" s="108">
        <v>0.35411471321695759</v>
      </c>
      <c r="G114" s="108">
        <v>0.15586034912718205</v>
      </c>
      <c r="H114" s="109">
        <v>9816.9014084507035</v>
      </c>
      <c r="I114" s="109">
        <v>-9947.2000000000007</v>
      </c>
      <c r="J114" s="108">
        <v>0.12612612612612611</v>
      </c>
      <c r="K114" s="108">
        <v>0.22522522522522523</v>
      </c>
      <c r="L114" s="108">
        <v>0.28613569321533922</v>
      </c>
      <c r="M114" s="108">
        <v>0.22123893805309736</v>
      </c>
      <c r="N114" s="108">
        <v>0.72164948453608246</v>
      </c>
      <c r="O114" s="108">
        <v>0.44</v>
      </c>
      <c r="P114" s="108">
        <v>0.38028169014084506</v>
      </c>
      <c r="Q114" s="108">
        <v>0.42348754448398579</v>
      </c>
    </row>
    <row r="115" spans="1:17" x14ac:dyDescent="0.45">
      <c r="A115" s="110">
        <v>112</v>
      </c>
      <c r="B115" s="107">
        <v>416.10000000000008</v>
      </c>
      <c r="C115" s="107">
        <v>3.7151785714285723</v>
      </c>
      <c r="D115" s="112">
        <v>1.875</v>
      </c>
      <c r="E115" s="108">
        <v>0.375</v>
      </c>
      <c r="F115" s="108">
        <v>0.35265104808877928</v>
      </c>
      <c r="G115" s="108">
        <v>0.15659679408138102</v>
      </c>
      <c r="H115" s="109">
        <v>9832.1678321678319</v>
      </c>
      <c r="I115" s="109">
        <v>-9915.748031496063</v>
      </c>
      <c r="J115" s="108">
        <v>0.125</v>
      </c>
      <c r="K115" s="108">
        <v>0.22321428571428573</v>
      </c>
      <c r="L115" s="108">
        <v>0.28735632183908044</v>
      </c>
      <c r="M115" s="108">
        <v>0.21551724137931033</v>
      </c>
      <c r="N115" s="108">
        <v>0.72</v>
      </c>
      <c r="O115" s="108">
        <v>0.44</v>
      </c>
      <c r="P115" s="108">
        <v>0.38111888111888109</v>
      </c>
      <c r="Q115" s="108">
        <v>0.4204946996466431</v>
      </c>
    </row>
    <row r="116" spans="1:17" x14ac:dyDescent="0.45">
      <c r="A116" s="110">
        <v>113</v>
      </c>
      <c r="B116" s="107">
        <v>471.10000000000008</v>
      </c>
      <c r="C116" s="107">
        <v>4.1690265486725675</v>
      </c>
      <c r="D116" s="112">
        <v>1.8672566371681416</v>
      </c>
      <c r="E116" s="108">
        <v>0.38053097345132741</v>
      </c>
      <c r="F116" s="108">
        <v>0.3537331701346389</v>
      </c>
      <c r="G116" s="108">
        <v>0.1554467564259486</v>
      </c>
      <c r="H116" s="109">
        <v>9916.9550173010375</v>
      </c>
      <c r="I116" s="109">
        <v>-9915.748031496063</v>
      </c>
      <c r="J116" s="108">
        <v>0.12389380530973451</v>
      </c>
      <c r="K116" s="108">
        <v>0.23008849557522124</v>
      </c>
      <c r="L116" s="108">
        <v>0.28813559322033899</v>
      </c>
      <c r="M116" s="108">
        <v>0.2175141242937853</v>
      </c>
      <c r="N116" s="108">
        <v>0.71568627450980393</v>
      </c>
      <c r="O116" s="108">
        <v>0.45454545454545453</v>
      </c>
      <c r="P116" s="108">
        <v>0.37716262975778547</v>
      </c>
      <c r="Q116" s="108">
        <v>0.42508710801393729</v>
      </c>
    </row>
    <row r="117" spans="1:17" x14ac:dyDescent="0.45">
      <c r="A117" s="110">
        <v>114</v>
      </c>
      <c r="B117" s="107">
        <v>487.2000000000001</v>
      </c>
      <c r="C117" s="107">
        <v>4.2736842105263166</v>
      </c>
      <c r="D117" s="112">
        <v>1.8596491228070176</v>
      </c>
      <c r="E117" s="108">
        <v>0.38596491228070173</v>
      </c>
      <c r="F117" s="108">
        <v>0.35393939393939394</v>
      </c>
      <c r="G117" s="108">
        <v>0.15515151515151515</v>
      </c>
      <c r="H117" s="109">
        <v>9906.1643835616433</v>
      </c>
      <c r="I117" s="109">
        <v>-9900.78125</v>
      </c>
      <c r="J117" s="108">
        <v>0.12280701754385964</v>
      </c>
      <c r="K117" s="108">
        <v>0.22807017543859648</v>
      </c>
      <c r="L117" s="108">
        <v>0.29005524861878451</v>
      </c>
      <c r="M117" s="108">
        <v>0.21546961325966851</v>
      </c>
      <c r="N117" s="108">
        <v>0.70476190476190481</v>
      </c>
      <c r="O117" s="108">
        <v>0.46153846153846156</v>
      </c>
      <c r="P117" s="108">
        <v>0.37328767123287671</v>
      </c>
      <c r="Q117" s="108">
        <v>0.42268041237113402</v>
      </c>
    </row>
    <row r="118" spans="1:17" x14ac:dyDescent="0.45">
      <c r="A118" s="110">
        <v>115</v>
      </c>
      <c r="B118" s="107">
        <v>450.2000000000001</v>
      </c>
      <c r="C118" s="107">
        <v>3.9147826086956532</v>
      </c>
      <c r="D118" s="112">
        <v>1.8695652173913044</v>
      </c>
      <c r="E118" s="108">
        <v>0.38260869565217392</v>
      </c>
      <c r="F118" s="108">
        <v>0.35223160434258144</v>
      </c>
      <c r="G118" s="108">
        <v>0.15922798552472858</v>
      </c>
      <c r="H118" s="109">
        <v>9906.1643835616433</v>
      </c>
      <c r="I118" s="109">
        <v>-9881.060606060606</v>
      </c>
      <c r="J118" s="108">
        <v>0.13043478260869565</v>
      </c>
      <c r="K118" s="108">
        <v>0.22608695652173913</v>
      </c>
      <c r="L118" s="108">
        <v>0.28688524590163933</v>
      </c>
      <c r="M118" s="108">
        <v>0.21311475409836064</v>
      </c>
      <c r="N118" s="108">
        <v>0.70476190476190481</v>
      </c>
      <c r="O118" s="108">
        <v>0.46153846153846156</v>
      </c>
      <c r="P118" s="108">
        <v>0.37328767123287671</v>
      </c>
      <c r="Q118" s="108">
        <v>0.42123287671232879</v>
      </c>
    </row>
    <row r="119" spans="1:17" x14ac:dyDescent="0.45">
      <c r="A119" s="110">
        <v>116</v>
      </c>
      <c r="B119" s="107">
        <v>465.7000000000001</v>
      </c>
      <c r="C119" s="107">
        <v>4.0146551724137938</v>
      </c>
      <c r="D119" s="112">
        <v>1.8620689655172413</v>
      </c>
      <c r="E119" s="108">
        <v>0.38793103448275862</v>
      </c>
      <c r="F119" s="108">
        <v>0.35406698564593303</v>
      </c>
      <c r="G119" s="108">
        <v>0.15789473684210525</v>
      </c>
      <c r="H119" s="109">
        <v>9821.2837837837833</v>
      </c>
      <c r="I119" s="109">
        <v>-9881.060606060606</v>
      </c>
      <c r="J119" s="108">
        <v>0.12931034482758622</v>
      </c>
      <c r="K119" s="108">
        <v>0.22413793103448276</v>
      </c>
      <c r="L119" s="108">
        <v>0.28418230563002683</v>
      </c>
      <c r="M119" s="108">
        <v>0.21179624664879357</v>
      </c>
      <c r="N119" s="108">
        <v>0.70754716981132071</v>
      </c>
      <c r="O119" s="108">
        <v>0.46835443037974683</v>
      </c>
      <c r="P119" s="108">
        <v>0.36824324324324326</v>
      </c>
      <c r="Q119" s="108">
        <v>0.42033898305084744</v>
      </c>
    </row>
    <row r="120" spans="1:17" x14ac:dyDescent="0.45">
      <c r="A120" s="110">
        <v>117</v>
      </c>
      <c r="B120" s="107">
        <v>480.00000000000011</v>
      </c>
      <c r="C120" s="107">
        <v>4.102564102564104</v>
      </c>
      <c r="D120" s="112">
        <v>1.8547008547008548</v>
      </c>
      <c r="E120" s="108">
        <v>0.39316239316239315</v>
      </c>
      <c r="F120" s="108">
        <v>0.35384615384615387</v>
      </c>
      <c r="G120" s="108">
        <v>0.15739644970414202</v>
      </c>
      <c r="H120" s="109">
        <v>9856.5217391304341</v>
      </c>
      <c r="I120" s="109">
        <v>-9845.8646616541355</v>
      </c>
      <c r="J120" s="108">
        <v>0.12820512820512819</v>
      </c>
      <c r="K120" s="108">
        <v>0.22222222222222221</v>
      </c>
      <c r="L120" s="108">
        <v>0.2879581151832461</v>
      </c>
      <c r="M120" s="108">
        <v>0.20942408376963351</v>
      </c>
      <c r="N120" s="108">
        <v>0.70909090909090911</v>
      </c>
      <c r="O120" s="108">
        <v>0.46250000000000002</v>
      </c>
      <c r="P120" s="108">
        <v>0.36454849498327757</v>
      </c>
      <c r="Q120" s="108">
        <v>0.41806020066889632</v>
      </c>
    </row>
    <row r="121" spans="1:17" x14ac:dyDescent="0.45">
      <c r="A121" s="110">
        <v>118</v>
      </c>
      <c r="B121" s="107">
        <v>491.60000000000014</v>
      </c>
      <c r="C121" s="107">
        <v>4.1661016949152554</v>
      </c>
      <c r="D121" s="112">
        <v>1.8559322033898304</v>
      </c>
      <c r="E121" s="108">
        <v>0.38983050847457629</v>
      </c>
      <c r="F121" s="108">
        <v>0.35370152761457108</v>
      </c>
      <c r="G121" s="108">
        <v>0.15746180963572268</v>
      </c>
      <c r="H121" s="109">
        <v>9852.8239202657805</v>
      </c>
      <c r="I121" s="109">
        <v>-9832.0895522388055</v>
      </c>
      <c r="J121" s="108">
        <v>0.1271186440677966</v>
      </c>
      <c r="K121" s="108">
        <v>0.22033898305084745</v>
      </c>
      <c r="L121" s="108">
        <v>0.28865979381443296</v>
      </c>
      <c r="M121" s="108">
        <v>0.20876288659793815</v>
      </c>
      <c r="N121" s="108">
        <v>0.7142857142857143</v>
      </c>
      <c r="O121" s="108">
        <v>0.4567901234567901</v>
      </c>
      <c r="P121" s="108">
        <v>0.36544850498338871</v>
      </c>
      <c r="Q121" s="108">
        <v>0.41528239202657807</v>
      </c>
    </row>
    <row r="122" spans="1:17" x14ac:dyDescent="0.45">
      <c r="A122" s="110">
        <v>119</v>
      </c>
      <c r="B122" s="107">
        <v>507.50000000000011</v>
      </c>
      <c r="C122" s="107">
        <v>4.264705882352942</v>
      </c>
      <c r="D122" s="112">
        <v>1.8487394957983194</v>
      </c>
      <c r="E122" s="108">
        <v>0.3949579831932773</v>
      </c>
      <c r="F122" s="108">
        <v>0.35232558139534886</v>
      </c>
      <c r="G122" s="108">
        <v>0.1558139534883721</v>
      </c>
      <c r="H122" s="109">
        <v>9916.1716171617154</v>
      </c>
      <c r="I122" s="109">
        <v>-9832.0895522388055</v>
      </c>
      <c r="J122" s="108">
        <v>0.12605042016806722</v>
      </c>
      <c r="K122" s="108">
        <v>0.21848739495798319</v>
      </c>
      <c r="L122" s="108">
        <v>0.2871536523929471</v>
      </c>
      <c r="M122" s="108">
        <v>0.20906801007556675</v>
      </c>
      <c r="N122" s="108">
        <v>0.71052631578947367</v>
      </c>
      <c r="O122" s="108">
        <v>0.44578313253012047</v>
      </c>
      <c r="P122" s="108">
        <v>0.36633663366336633</v>
      </c>
      <c r="Q122" s="108">
        <v>0.41776315789473684</v>
      </c>
    </row>
    <row r="123" spans="1:17" x14ac:dyDescent="0.45">
      <c r="A123" s="110">
        <v>120</v>
      </c>
      <c r="B123" s="107">
        <v>471.00000000000011</v>
      </c>
      <c r="C123" s="107">
        <v>3.9250000000000012</v>
      </c>
      <c r="D123" s="112">
        <v>1.8583333333333334</v>
      </c>
      <c r="E123" s="108">
        <v>0.39166666666666666</v>
      </c>
      <c r="F123" s="108">
        <v>0.35028901734104045</v>
      </c>
      <c r="G123" s="108">
        <v>0.15722543352601157</v>
      </c>
      <c r="H123" s="109">
        <v>9916.1716171617154</v>
      </c>
      <c r="I123" s="109">
        <v>-9863.9705882352937</v>
      </c>
      <c r="J123" s="108">
        <v>0.13333333333333333</v>
      </c>
      <c r="K123" s="108">
        <v>0.21666666666666667</v>
      </c>
      <c r="L123" s="108">
        <v>0.28358208955223879</v>
      </c>
      <c r="M123" s="108">
        <v>0.20895522388059701</v>
      </c>
      <c r="N123" s="108">
        <v>0.71052631578947367</v>
      </c>
      <c r="O123" s="108">
        <v>0.44047619047619047</v>
      </c>
      <c r="P123" s="108">
        <v>0.36633663366336633</v>
      </c>
      <c r="Q123" s="108">
        <v>0.4163934426229508</v>
      </c>
    </row>
    <row r="124" spans="1:17" x14ac:dyDescent="0.45">
      <c r="A124" s="110">
        <v>121</v>
      </c>
      <c r="B124" s="107">
        <v>508.50000000000011</v>
      </c>
      <c r="C124" s="107">
        <v>4.2024793388429762</v>
      </c>
      <c r="D124" s="112">
        <v>1.8512396694214877</v>
      </c>
      <c r="E124" s="108">
        <v>0.39669421487603307</v>
      </c>
      <c r="F124" s="108">
        <v>0.35287356321839081</v>
      </c>
      <c r="G124" s="108">
        <v>0.15632183908045977</v>
      </c>
      <c r="H124" s="109">
        <v>9923.7785016286653</v>
      </c>
      <c r="I124" s="109">
        <v>-9863.9705882352937</v>
      </c>
      <c r="J124" s="108">
        <v>0.13223140495867769</v>
      </c>
      <c r="K124" s="108">
        <v>0.2231404958677686</v>
      </c>
      <c r="L124" s="108">
        <v>0.28501228501228504</v>
      </c>
      <c r="M124" s="108">
        <v>0.20638820638820637</v>
      </c>
      <c r="N124" s="108">
        <v>0.71551724137931039</v>
      </c>
      <c r="O124" s="108">
        <v>0.44047619047619047</v>
      </c>
      <c r="P124" s="108">
        <v>0.36807817589576547</v>
      </c>
      <c r="Q124" s="108">
        <v>0.42071197411003236</v>
      </c>
    </row>
    <row r="125" spans="1:17" x14ac:dyDescent="0.45">
      <c r="A125" s="110">
        <v>122</v>
      </c>
      <c r="B125" s="107">
        <v>463.00000000000011</v>
      </c>
      <c r="C125" s="107">
        <v>3.7950819672131155</v>
      </c>
      <c r="D125" s="112">
        <v>1.860655737704918</v>
      </c>
      <c r="E125" s="108">
        <v>0.39344262295081966</v>
      </c>
      <c r="F125" s="108">
        <v>0.35125858123569792</v>
      </c>
      <c r="G125" s="108">
        <v>0.15789473684210525</v>
      </c>
      <c r="H125" s="109">
        <v>9923.7785016286653</v>
      </c>
      <c r="I125" s="109">
        <v>-9996.3768115942021</v>
      </c>
      <c r="J125" s="108">
        <v>0.13934426229508196</v>
      </c>
      <c r="K125" s="108">
        <v>0.22131147540983606</v>
      </c>
      <c r="L125" s="108">
        <v>0.28467153284671531</v>
      </c>
      <c r="M125" s="108">
        <v>0.20681265206812652</v>
      </c>
      <c r="N125" s="108">
        <v>0.70940170940170943</v>
      </c>
      <c r="O125" s="108">
        <v>0.43529411764705883</v>
      </c>
      <c r="P125" s="108">
        <v>0.36807817589576547</v>
      </c>
      <c r="Q125" s="108">
        <v>0.42071197411003236</v>
      </c>
    </row>
    <row r="126" spans="1:17" x14ac:dyDescent="0.45">
      <c r="A126" s="110">
        <v>123</v>
      </c>
      <c r="B126" s="107">
        <v>475.2000000000001</v>
      </c>
      <c r="C126" s="107">
        <v>3.8634146341463422</v>
      </c>
      <c r="D126" s="112">
        <v>1.8536585365853659</v>
      </c>
      <c r="E126" s="108">
        <v>0.3983739837398374</v>
      </c>
      <c r="F126" s="108">
        <v>0.34954751131221717</v>
      </c>
      <c r="G126" s="108">
        <v>0.16063348416289594</v>
      </c>
      <c r="H126" s="109">
        <v>10001.941747572815</v>
      </c>
      <c r="I126" s="109">
        <v>-9878.8732394366198</v>
      </c>
      <c r="J126" s="108">
        <v>0.13821138211382114</v>
      </c>
      <c r="K126" s="108">
        <v>0.21951219512195122</v>
      </c>
      <c r="L126" s="108">
        <v>0.28503562945368172</v>
      </c>
      <c r="M126" s="108">
        <v>0.20902612826603326</v>
      </c>
      <c r="N126" s="108">
        <v>0.69166666666666665</v>
      </c>
      <c r="O126" s="108">
        <v>0.43181818181818182</v>
      </c>
      <c r="P126" s="108">
        <v>0.36893203883495146</v>
      </c>
      <c r="Q126" s="108">
        <v>0.41987179487179488</v>
      </c>
    </row>
    <row r="127" spans="1:17" x14ac:dyDescent="0.45">
      <c r="A127" s="110">
        <v>124</v>
      </c>
      <c r="B127" s="107">
        <v>456.7000000000001</v>
      </c>
      <c r="C127" s="107">
        <v>3.6830645161290332</v>
      </c>
      <c r="D127" s="112">
        <v>1.8629032258064515</v>
      </c>
      <c r="E127" s="108">
        <v>0.39516129032258063</v>
      </c>
      <c r="F127" s="108">
        <v>0.34636871508379891</v>
      </c>
      <c r="G127" s="108">
        <v>0.16089385474860335</v>
      </c>
      <c r="H127" s="109">
        <v>9995.4838709677424</v>
      </c>
      <c r="I127" s="109">
        <v>-9804.1666666666661</v>
      </c>
      <c r="J127" s="108">
        <v>0.13709677419354838</v>
      </c>
      <c r="K127" s="108">
        <v>0.21774193548387097</v>
      </c>
      <c r="L127" s="108">
        <v>0.28472222222222221</v>
      </c>
      <c r="M127" s="108">
        <v>0.20833333333333334</v>
      </c>
      <c r="N127" s="108">
        <v>0.68292682926829273</v>
      </c>
      <c r="O127" s="108">
        <v>0.42222222222222222</v>
      </c>
      <c r="P127" s="108">
        <v>0.36774193548387096</v>
      </c>
      <c r="Q127" s="108">
        <v>0.41719745222929938</v>
      </c>
    </row>
    <row r="128" spans="1:17" x14ac:dyDescent="0.45">
      <c r="A128" s="110">
        <v>125</v>
      </c>
      <c r="B128" s="107">
        <v>497.10000000000008</v>
      </c>
      <c r="C128" s="107">
        <v>3.9768000000000008</v>
      </c>
      <c r="D128" s="112">
        <v>1.8560000000000001</v>
      </c>
      <c r="E128" s="108">
        <v>0.4</v>
      </c>
      <c r="F128" s="108">
        <v>0.34811529933481156</v>
      </c>
      <c r="G128" s="108">
        <v>0.15964523281596452</v>
      </c>
      <c r="H128" s="109">
        <v>10003.184713375796</v>
      </c>
      <c r="I128" s="109">
        <v>-9804.1666666666661</v>
      </c>
      <c r="J128" s="108">
        <v>0.13600000000000001</v>
      </c>
      <c r="K128" s="108">
        <v>0.216</v>
      </c>
      <c r="L128" s="108">
        <v>0.2847380410022779</v>
      </c>
      <c r="M128" s="108">
        <v>0.20956719817767655</v>
      </c>
      <c r="N128" s="108">
        <v>0.68</v>
      </c>
      <c r="O128" s="108">
        <v>0.43478260869565216</v>
      </c>
      <c r="P128" s="108">
        <v>0.36624203821656048</v>
      </c>
      <c r="Q128" s="108">
        <v>0.41772151898734178</v>
      </c>
    </row>
    <row r="129" spans="1:17" x14ac:dyDescent="0.45">
      <c r="A129" s="110">
        <v>126</v>
      </c>
      <c r="B129" s="107">
        <v>523.20000000000005</v>
      </c>
      <c r="C129" s="107">
        <v>4.1523809523809527</v>
      </c>
      <c r="D129" s="112">
        <v>1.8492063492063493</v>
      </c>
      <c r="E129" s="108">
        <v>0.40476190476190477</v>
      </c>
      <c r="F129" s="108">
        <v>0.35054945054945053</v>
      </c>
      <c r="G129" s="108">
        <v>0.15824175824175823</v>
      </c>
      <c r="H129" s="109">
        <v>9981.5047021943574</v>
      </c>
      <c r="I129" s="109">
        <v>-9804.1666666666661</v>
      </c>
      <c r="J129" s="108">
        <v>0.13492063492063491</v>
      </c>
      <c r="K129" s="108">
        <v>0.22222222222222221</v>
      </c>
      <c r="L129" s="108">
        <v>0.28635346756152125</v>
      </c>
      <c r="M129" s="108">
        <v>0.21252796420581654</v>
      </c>
      <c r="N129" s="108">
        <v>0.6796875</v>
      </c>
      <c r="O129" s="108">
        <v>0.45263157894736844</v>
      </c>
      <c r="P129" s="108">
        <v>0.36363636363636365</v>
      </c>
      <c r="Q129" s="108">
        <v>0.41823899371069184</v>
      </c>
    </row>
    <row r="130" spans="1:17" x14ac:dyDescent="0.45">
      <c r="A130" s="110">
        <v>127</v>
      </c>
      <c r="B130" s="107">
        <v>531.70000000000005</v>
      </c>
      <c r="C130" s="107">
        <v>4.1866141732283468</v>
      </c>
      <c r="D130" s="112">
        <v>1.8503937007874016</v>
      </c>
      <c r="E130" s="108">
        <v>0.40157480314960631</v>
      </c>
      <c r="F130" s="108">
        <v>0.35146898803046789</v>
      </c>
      <c r="G130" s="108">
        <v>0.15669205658324264</v>
      </c>
      <c r="H130" s="109">
        <v>9932.1981424148598</v>
      </c>
      <c r="I130" s="109">
        <v>-9804.1666666666661</v>
      </c>
      <c r="J130" s="108">
        <v>0.13385826771653545</v>
      </c>
      <c r="K130" s="108">
        <v>0.22047244094488189</v>
      </c>
      <c r="L130" s="108">
        <v>0.28289473684210525</v>
      </c>
      <c r="M130" s="108">
        <v>0.21710526315789475</v>
      </c>
      <c r="N130" s="108">
        <v>0.68217054263565891</v>
      </c>
      <c r="O130" s="108">
        <v>0.46464646464646464</v>
      </c>
      <c r="P130" s="108">
        <v>0.36842105263157893</v>
      </c>
      <c r="Q130" s="108">
        <v>0.4174454828660436</v>
      </c>
    </row>
    <row r="131" spans="1:17" x14ac:dyDescent="0.45">
      <c r="A131" s="110">
        <v>128</v>
      </c>
      <c r="B131" s="107">
        <v>574</v>
      </c>
      <c r="C131" s="107">
        <v>4.484375</v>
      </c>
      <c r="D131" s="112">
        <v>1.84375</v>
      </c>
      <c r="E131" s="108">
        <v>0.40625</v>
      </c>
      <c r="F131" s="108">
        <v>0.35382955771305286</v>
      </c>
      <c r="G131" s="108">
        <v>0.15641855447680691</v>
      </c>
      <c r="H131" s="109">
        <v>9936.2804878048773</v>
      </c>
      <c r="I131" s="109">
        <v>-9772.4137931034475</v>
      </c>
      <c r="J131" s="108">
        <v>0.1328125</v>
      </c>
      <c r="K131" s="108">
        <v>0.2265625</v>
      </c>
      <c r="L131" s="108">
        <v>0.28232758620689657</v>
      </c>
      <c r="M131" s="108">
        <v>0.21982758620689655</v>
      </c>
      <c r="N131" s="108">
        <v>0.68702290076335881</v>
      </c>
      <c r="O131" s="108">
        <v>0.48039215686274511</v>
      </c>
      <c r="P131" s="108">
        <v>0.36890243902439024</v>
      </c>
      <c r="Q131" s="108">
        <v>0.41975308641975306</v>
      </c>
    </row>
    <row r="132" spans="1:17" x14ac:dyDescent="0.45">
      <c r="A132" s="110">
        <v>129</v>
      </c>
      <c r="B132" s="107">
        <v>599</v>
      </c>
      <c r="C132" s="107">
        <v>4.6434108527131785</v>
      </c>
      <c r="D132" s="112">
        <v>1.8372093023255813</v>
      </c>
      <c r="E132" s="108">
        <v>0.41085271317829458</v>
      </c>
      <c r="F132" s="108">
        <v>0.35294117647058826</v>
      </c>
      <c r="G132" s="108">
        <v>0.15508021390374332</v>
      </c>
      <c r="H132" s="109">
        <v>10009.39393939394</v>
      </c>
      <c r="I132" s="109">
        <v>-9772.4137931034475</v>
      </c>
      <c r="J132" s="108">
        <v>0.13178294573643412</v>
      </c>
      <c r="K132" s="108">
        <v>0.22480620155038761</v>
      </c>
      <c r="L132" s="108">
        <v>0.28177966101694918</v>
      </c>
      <c r="M132" s="108">
        <v>0.22033898305084745</v>
      </c>
      <c r="N132" s="108">
        <v>0.69172932330827064</v>
      </c>
      <c r="O132" s="108">
        <v>0.47115384615384615</v>
      </c>
      <c r="P132" s="108">
        <v>0.37272727272727274</v>
      </c>
      <c r="Q132" s="108">
        <v>0.41717791411042943</v>
      </c>
    </row>
    <row r="133" spans="1:17" x14ac:dyDescent="0.45">
      <c r="A133" s="110">
        <v>130</v>
      </c>
      <c r="B133" s="107">
        <v>610</v>
      </c>
      <c r="C133" s="107">
        <v>4.6923076923076925</v>
      </c>
      <c r="D133" s="112">
        <v>1.8384615384615384</v>
      </c>
      <c r="E133" s="108">
        <v>0.40769230769230769</v>
      </c>
      <c r="F133" s="108">
        <v>0.35132275132275131</v>
      </c>
      <c r="G133" s="108">
        <v>0.15555555555555556</v>
      </c>
      <c r="H133" s="109">
        <v>10045.481927710844</v>
      </c>
      <c r="I133" s="109">
        <v>-9734.6938775510207</v>
      </c>
      <c r="J133" s="108">
        <v>0.13076923076923078</v>
      </c>
      <c r="K133" s="108">
        <v>0.22307692307692309</v>
      </c>
      <c r="L133" s="108">
        <v>0.28215767634854771</v>
      </c>
      <c r="M133" s="108">
        <v>0.22199170124481327</v>
      </c>
      <c r="N133" s="108">
        <v>0.68382352941176472</v>
      </c>
      <c r="O133" s="108">
        <v>0.46728971962616822</v>
      </c>
      <c r="P133" s="108">
        <v>0.37349397590361444</v>
      </c>
      <c r="Q133" s="108">
        <v>0.41337386018237082</v>
      </c>
    </row>
    <row r="134" spans="1:17" x14ac:dyDescent="0.45">
      <c r="A134" s="110">
        <v>131</v>
      </c>
      <c r="B134" s="107">
        <v>650</v>
      </c>
      <c r="C134" s="107">
        <v>4.9618320610687023</v>
      </c>
      <c r="D134" s="112">
        <v>1.83206106870229</v>
      </c>
      <c r="E134" s="108">
        <v>0.41221374045801529</v>
      </c>
      <c r="F134" s="108">
        <v>0.35226077812828599</v>
      </c>
      <c r="G134" s="108">
        <v>0.15457413249211358</v>
      </c>
      <c r="H134" s="109">
        <v>10098.805970149253</v>
      </c>
      <c r="I134" s="109">
        <v>-9734.6938775510207</v>
      </c>
      <c r="J134" s="108">
        <v>0.12977099236641221</v>
      </c>
      <c r="K134" s="108">
        <v>0.22900763358778625</v>
      </c>
      <c r="L134" s="108">
        <v>0.28688524590163933</v>
      </c>
      <c r="M134" s="108">
        <v>0.22131147540983606</v>
      </c>
      <c r="N134" s="108">
        <v>0.6785714285714286</v>
      </c>
      <c r="O134" s="108">
        <v>0.47222222222222221</v>
      </c>
      <c r="P134" s="108">
        <v>0.37611940298507462</v>
      </c>
      <c r="Q134" s="108">
        <v>0.41212121212121211</v>
      </c>
    </row>
    <row r="135" spans="1:17" x14ac:dyDescent="0.45">
      <c r="A135" s="110">
        <v>132</v>
      </c>
      <c r="B135" s="107">
        <v>631.20000000000005</v>
      </c>
      <c r="C135" s="107">
        <v>4.7818181818181822</v>
      </c>
      <c r="D135" s="112">
        <v>1.8409090909090908</v>
      </c>
      <c r="E135" s="108">
        <v>0.40909090909090912</v>
      </c>
      <c r="F135" s="108">
        <v>0.35073068893528186</v>
      </c>
      <c r="G135" s="108">
        <v>0.15657620041753653</v>
      </c>
      <c r="H135" s="109">
        <v>10080.357142857143</v>
      </c>
      <c r="I135" s="109">
        <v>-9681.3333333333339</v>
      </c>
      <c r="J135" s="108">
        <v>0.12878787878787878</v>
      </c>
      <c r="K135" s="108">
        <v>0.22727272727272727</v>
      </c>
      <c r="L135" s="108">
        <v>0.28282828282828282</v>
      </c>
      <c r="M135" s="108">
        <v>0.22222222222222221</v>
      </c>
      <c r="N135" s="108">
        <v>0.6785714285714286</v>
      </c>
      <c r="O135" s="108">
        <v>0.47272727272727272</v>
      </c>
      <c r="P135" s="108">
        <v>0.375</v>
      </c>
      <c r="Q135" s="108">
        <v>0.40840840840840842</v>
      </c>
    </row>
    <row r="136" spans="1:17" x14ac:dyDescent="0.45">
      <c r="A136" s="110">
        <v>133</v>
      </c>
      <c r="B136" s="107">
        <v>667.80000000000007</v>
      </c>
      <c r="C136" s="107">
        <v>5.0210526315789483</v>
      </c>
      <c r="D136" s="112">
        <v>1.8345864661654134</v>
      </c>
      <c r="E136" s="108">
        <v>0.41353383458646614</v>
      </c>
      <c r="F136" s="108">
        <v>0.35500515995872034</v>
      </c>
      <c r="G136" s="108">
        <v>0.15479876160990713</v>
      </c>
      <c r="H136" s="109">
        <v>9948.8372093023263</v>
      </c>
      <c r="I136" s="109">
        <v>-9681.3333333333339</v>
      </c>
      <c r="J136" s="108">
        <v>0.12781954887218044</v>
      </c>
      <c r="K136" s="108">
        <v>0.23308270676691728</v>
      </c>
      <c r="L136" s="108">
        <v>0.28063241106719367</v>
      </c>
      <c r="M136" s="108">
        <v>0.22332015810276679</v>
      </c>
      <c r="N136" s="108">
        <v>0.676056338028169</v>
      </c>
      <c r="O136" s="108">
        <v>0.48672566371681414</v>
      </c>
      <c r="P136" s="108">
        <v>0.37209302325581395</v>
      </c>
      <c r="Q136" s="108">
        <v>0.41764705882352943</v>
      </c>
    </row>
    <row r="137" spans="1:17" x14ac:dyDescent="0.45">
      <c r="A137" s="110">
        <v>134</v>
      </c>
      <c r="B137" s="107">
        <v>675.6</v>
      </c>
      <c r="C137" s="107">
        <v>5.0417910447761196</v>
      </c>
      <c r="D137" s="112">
        <v>1.835820895522388</v>
      </c>
      <c r="E137" s="108">
        <v>0.41044776119402987</v>
      </c>
      <c r="F137" s="108">
        <v>0.35420944558521561</v>
      </c>
      <c r="G137" s="108">
        <v>0.15503080082135523</v>
      </c>
      <c r="H137" s="109">
        <v>9954.782608695652</v>
      </c>
      <c r="I137" s="109">
        <v>-9634.4370860927156</v>
      </c>
      <c r="J137" s="108">
        <v>0.12686567164179105</v>
      </c>
      <c r="K137" s="108">
        <v>0.23134328358208955</v>
      </c>
      <c r="L137" s="108">
        <v>0.28375733855185908</v>
      </c>
      <c r="M137" s="108">
        <v>0.22309197651663404</v>
      </c>
      <c r="N137" s="108">
        <v>0.66896551724137931</v>
      </c>
      <c r="O137" s="108">
        <v>0.48245614035087719</v>
      </c>
      <c r="P137" s="108">
        <v>0.37101449275362319</v>
      </c>
      <c r="Q137" s="108">
        <v>0.41642228739002934</v>
      </c>
    </row>
    <row r="138" spans="1:17" x14ac:dyDescent="0.45">
      <c r="A138" s="110">
        <v>135</v>
      </c>
      <c r="B138" s="107">
        <v>742.7</v>
      </c>
      <c r="C138" s="107">
        <v>5.5014814814814814</v>
      </c>
      <c r="D138" s="112">
        <v>1.8296296296296297</v>
      </c>
      <c r="E138" s="108">
        <v>0.4148148148148148</v>
      </c>
      <c r="F138" s="108">
        <v>0.3574338085539715</v>
      </c>
      <c r="G138" s="108">
        <v>0.15376782077393075</v>
      </c>
      <c r="H138" s="109">
        <v>9981.4814814814818</v>
      </c>
      <c r="I138" s="109">
        <v>-9634.4370860927156</v>
      </c>
      <c r="J138" s="108">
        <v>0.12592592592592591</v>
      </c>
      <c r="K138" s="108">
        <v>0.23703703703703705</v>
      </c>
      <c r="L138" s="108">
        <v>0.28709055876685935</v>
      </c>
      <c r="M138" s="108">
        <v>0.22157996146435452</v>
      </c>
      <c r="N138" s="108">
        <v>0.67785234899328861</v>
      </c>
      <c r="O138" s="108">
        <v>0.48695652173913045</v>
      </c>
      <c r="P138" s="108">
        <v>0.37321937321937321</v>
      </c>
      <c r="Q138" s="108">
        <v>0.4207492795389049</v>
      </c>
    </row>
    <row r="139" spans="1:17" x14ac:dyDescent="0.45">
      <c r="A139" s="110">
        <v>136</v>
      </c>
      <c r="B139" s="107">
        <v>747.90000000000009</v>
      </c>
      <c r="C139" s="107">
        <v>5.4992647058823536</v>
      </c>
      <c r="D139" s="112">
        <v>1.8308823529411764</v>
      </c>
      <c r="E139" s="108">
        <v>0.41176470588235292</v>
      </c>
      <c r="F139" s="108">
        <v>0.35822401614530774</v>
      </c>
      <c r="G139" s="108">
        <v>0.15237134207870837</v>
      </c>
      <c r="H139" s="109">
        <v>9925.9154929577471</v>
      </c>
      <c r="I139" s="109">
        <v>-9634.4370860927156</v>
      </c>
      <c r="J139" s="108">
        <v>0.125</v>
      </c>
      <c r="K139" s="108">
        <v>0.23529411764705882</v>
      </c>
      <c r="L139" s="108">
        <v>0.28977272727272729</v>
      </c>
      <c r="M139" s="108">
        <v>0.2196969696969697</v>
      </c>
      <c r="N139" s="108">
        <v>0.6797385620915033</v>
      </c>
      <c r="O139" s="108">
        <v>0.48275862068965519</v>
      </c>
      <c r="P139" s="108">
        <v>0.37183098591549296</v>
      </c>
      <c r="Q139" s="108">
        <v>0.42</v>
      </c>
    </row>
    <row r="140" spans="1:17" x14ac:dyDescent="0.45">
      <c r="A140" s="110">
        <v>137</v>
      </c>
      <c r="B140" s="107">
        <v>763.10000000000014</v>
      </c>
      <c r="C140" s="107">
        <v>5.5700729927007311</v>
      </c>
      <c r="D140" s="112">
        <v>1.8248175182481752</v>
      </c>
      <c r="E140" s="108">
        <v>0.41605839416058393</v>
      </c>
      <c r="F140" s="108">
        <v>0.35799999999999998</v>
      </c>
      <c r="G140" s="108">
        <v>0.153</v>
      </c>
      <c r="H140" s="109">
        <v>9914.8044692737421</v>
      </c>
      <c r="I140" s="109">
        <v>-9554.9019607843129</v>
      </c>
      <c r="J140" s="108">
        <v>0.12408759124087591</v>
      </c>
      <c r="K140" s="108">
        <v>0.23357664233576642</v>
      </c>
      <c r="L140" s="108">
        <v>0.29422718808193671</v>
      </c>
      <c r="M140" s="108">
        <v>0.21601489757914338</v>
      </c>
      <c r="N140" s="108">
        <v>0.67088607594936711</v>
      </c>
      <c r="O140" s="108">
        <v>0.48275862068965519</v>
      </c>
      <c r="P140" s="108">
        <v>0.37150837988826818</v>
      </c>
      <c r="Q140" s="108">
        <v>0.41807909604519772</v>
      </c>
    </row>
    <row r="141" spans="1:17" x14ac:dyDescent="0.45">
      <c r="A141" s="110">
        <v>138</v>
      </c>
      <c r="B141" s="107">
        <v>786.30000000000018</v>
      </c>
      <c r="C141" s="107">
        <v>5.6978260869565229</v>
      </c>
      <c r="D141" s="112">
        <v>1.818840579710145</v>
      </c>
      <c r="E141" s="108">
        <v>0.42028985507246375</v>
      </c>
      <c r="F141" s="108">
        <v>0.35770750988142291</v>
      </c>
      <c r="G141" s="108">
        <v>0.15118577075098813</v>
      </c>
      <c r="H141" s="109">
        <v>9930.9392265193364</v>
      </c>
      <c r="I141" s="109">
        <v>-9554.9019607843129</v>
      </c>
      <c r="J141" s="108">
        <v>0.12318840579710146</v>
      </c>
      <c r="K141" s="108">
        <v>0.2318840579710145</v>
      </c>
      <c r="L141" s="108">
        <v>0.29326047358834245</v>
      </c>
      <c r="M141" s="108">
        <v>0.21493624772313297</v>
      </c>
      <c r="N141" s="108">
        <v>0.67080745341614911</v>
      </c>
      <c r="O141" s="108">
        <v>0.48305084745762711</v>
      </c>
      <c r="P141" s="108">
        <v>0.37016574585635359</v>
      </c>
      <c r="Q141" s="108">
        <v>0.4178272980501393</v>
      </c>
    </row>
    <row r="142" spans="1:17" x14ac:dyDescent="0.45">
      <c r="A142" s="110">
        <v>139</v>
      </c>
      <c r="B142" s="107">
        <v>806.9000000000002</v>
      </c>
      <c r="C142" s="107">
        <v>5.8050359712230231</v>
      </c>
      <c r="D142" s="112">
        <v>1.8201438848920863</v>
      </c>
      <c r="E142" s="108">
        <v>0.41726618705035973</v>
      </c>
      <c r="F142" s="108">
        <v>0.35819430814524045</v>
      </c>
      <c r="G142" s="108">
        <v>0.15014720314033367</v>
      </c>
      <c r="H142" s="109">
        <v>9913.9726027397264</v>
      </c>
      <c r="I142" s="109">
        <v>-9554.9019607843129</v>
      </c>
      <c r="J142" s="108">
        <v>0.1223021582733813</v>
      </c>
      <c r="K142" s="108">
        <v>0.23021582733812951</v>
      </c>
      <c r="L142" s="108">
        <v>0.29316546762589929</v>
      </c>
      <c r="M142" s="108">
        <v>0.21762589928057555</v>
      </c>
      <c r="N142" s="108">
        <v>0.66871165644171782</v>
      </c>
      <c r="O142" s="108">
        <v>0.48760330578512395</v>
      </c>
      <c r="P142" s="108">
        <v>0.36712328767123287</v>
      </c>
      <c r="Q142" s="108">
        <v>0.41988950276243092</v>
      </c>
    </row>
    <row r="143" spans="1:17" x14ac:dyDescent="0.45">
      <c r="A143" s="110">
        <v>140</v>
      </c>
      <c r="B143" s="107">
        <v>814.20000000000016</v>
      </c>
      <c r="C143" s="107">
        <v>5.8157142857142867</v>
      </c>
      <c r="D143" s="112">
        <v>1.8214285714285714</v>
      </c>
      <c r="E143" s="108">
        <v>0.41428571428571431</v>
      </c>
      <c r="F143" s="108">
        <v>0.35700389105058367</v>
      </c>
      <c r="G143" s="108">
        <v>0.14883268482490272</v>
      </c>
      <c r="H143" s="109">
        <v>9896.1852861035422</v>
      </c>
      <c r="I143" s="109">
        <v>-9554.9019607843129</v>
      </c>
      <c r="J143" s="108">
        <v>0.12142857142857143</v>
      </c>
      <c r="K143" s="108">
        <v>0.22857142857142856</v>
      </c>
      <c r="L143" s="108">
        <v>0.29203539823008851</v>
      </c>
      <c r="M143" s="108">
        <v>0.21592920353982301</v>
      </c>
      <c r="N143" s="108">
        <v>0.67272727272727273</v>
      </c>
      <c r="O143" s="108">
        <v>0.48360655737704916</v>
      </c>
      <c r="P143" s="108">
        <v>0.36784741144414168</v>
      </c>
      <c r="Q143" s="108">
        <v>0.4175824175824176</v>
      </c>
    </row>
    <row r="144" spans="1:17" x14ac:dyDescent="0.45">
      <c r="A144" s="110">
        <v>141</v>
      </c>
      <c r="B144" s="107">
        <v>819.00000000000011</v>
      </c>
      <c r="C144" s="107">
        <v>5.8085106382978733</v>
      </c>
      <c r="D144" s="112">
        <v>1.822695035460993</v>
      </c>
      <c r="E144" s="108">
        <v>0.41134751773049644</v>
      </c>
      <c r="F144" s="108">
        <v>0.35803657362848895</v>
      </c>
      <c r="G144" s="108">
        <v>0.14918190567853706</v>
      </c>
      <c r="H144" s="109">
        <v>9874.1935483870966</v>
      </c>
      <c r="I144" s="109">
        <v>-9560.645161290322</v>
      </c>
      <c r="J144" s="108">
        <v>0.12056737588652482</v>
      </c>
      <c r="K144" s="108">
        <v>0.22695035460992907</v>
      </c>
      <c r="L144" s="108">
        <v>0.296875</v>
      </c>
      <c r="M144" s="108">
        <v>0.2170138888888889</v>
      </c>
      <c r="N144" s="108">
        <v>0.67251461988304095</v>
      </c>
      <c r="O144" s="108">
        <v>0.47199999999999998</v>
      </c>
      <c r="P144" s="108">
        <v>0.37365591397849462</v>
      </c>
      <c r="Q144" s="108">
        <v>0.41847826086956524</v>
      </c>
    </row>
    <row r="145" spans="1:17" x14ac:dyDescent="0.45">
      <c r="A145" s="110">
        <v>142</v>
      </c>
      <c r="B145" s="107">
        <v>823.10000000000014</v>
      </c>
      <c r="C145" s="107">
        <v>5.7964788732394377</v>
      </c>
      <c r="D145" s="112">
        <v>1.823943661971831</v>
      </c>
      <c r="E145" s="108">
        <v>0.40845070422535212</v>
      </c>
      <c r="F145" s="108">
        <v>0.35782442748091603</v>
      </c>
      <c r="G145" s="108">
        <v>0.14790076335877864</v>
      </c>
      <c r="H145" s="109">
        <v>9856.5333333333328</v>
      </c>
      <c r="I145" s="109">
        <v>-9560.645161290322</v>
      </c>
      <c r="J145" s="108">
        <v>0.11971830985915492</v>
      </c>
      <c r="K145" s="108">
        <v>0.22535211267605634</v>
      </c>
      <c r="L145" s="108">
        <v>0.29401709401709403</v>
      </c>
      <c r="M145" s="108">
        <v>0.22222222222222221</v>
      </c>
      <c r="N145" s="108">
        <v>0.66860465116279066</v>
      </c>
      <c r="O145" s="108">
        <v>0.46923076923076923</v>
      </c>
      <c r="P145" s="108">
        <v>0.37333333333333335</v>
      </c>
      <c r="Q145" s="108">
        <v>0.41778975741239893</v>
      </c>
    </row>
    <row r="146" spans="1:17" x14ac:dyDescent="0.45">
      <c r="A146" s="110">
        <v>143</v>
      </c>
      <c r="B146" s="107">
        <v>812.10000000000014</v>
      </c>
      <c r="C146" s="107">
        <v>5.6790209790209802</v>
      </c>
      <c r="D146" s="112">
        <v>1.8321678321678321</v>
      </c>
      <c r="E146" s="108">
        <v>0.40559440559440557</v>
      </c>
      <c r="F146" s="108">
        <v>0.35700757575757575</v>
      </c>
      <c r="G146" s="108">
        <v>0.14772727272727273</v>
      </c>
      <c r="H146" s="109">
        <v>9857.2944297082231</v>
      </c>
      <c r="I146" s="109">
        <v>-9614.7435897435898</v>
      </c>
      <c r="J146" s="108">
        <v>0.11888111888111888</v>
      </c>
      <c r="K146" s="108">
        <v>0.22377622377622378</v>
      </c>
      <c r="L146" s="108">
        <v>0.29342327150084319</v>
      </c>
      <c r="M146" s="108">
        <v>0.22259696458684655</v>
      </c>
      <c r="N146" s="108">
        <v>0.66666666666666663</v>
      </c>
      <c r="O146" s="108">
        <v>0.46969696969696972</v>
      </c>
      <c r="P146" s="108">
        <v>0.37400530503978779</v>
      </c>
      <c r="Q146" s="108">
        <v>0.41554959785522788</v>
      </c>
    </row>
    <row r="147" spans="1:17" x14ac:dyDescent="0.45">
      <c r="A147" s="110">
        <v>144</v>
      </c>
      <c r="B147" s="107">
        <v>823.60000000000014</v>
      </c>
      <c r="C147" s="107">
        <v>5.719444444444445</v>
      </c>
      <c r="D147" s="112">
        <v>1.8263888888888888</v>
      </c>
      <c r="E147" s="108">
        <v>0.40972222222222221</v>
      </c>
      <c r="F147" s="108">
        <v>0.35620300751879697</v>
      </c>
      <c r="G147" s="108">
        <v>0.14755639097744361</v>
      </c>
      <c r="H147" s="109">
        <v>9884.4327176781007</v>
      </c>
      <c r="I147" s="109">
        <v>-9604.4585987261144</v>
      </c>
      <c r="J147" s="108">
        <v>0.11805555555555555</v>
      </c>
      <c r="K147" s="108">
        <v>0.22222222222222221</v>
      </c>
      <c r="L147" s="108">
        <v>0.28951747088186358</v>
      </c>
      <c r="M147" s="108">
        <v>0.22296173044925124</v>
      </c>
      <c r="N147" s="108">
        <v>0.66666666666666663</v>
      </c>
      <c r="O147" s="108">
        <v>0.47014925373134331</v>
      </c>
      <c r="P147" s="108">
        <v>0.37203166226912932</v>
      </c>
      <c r="Q147" s="108">
        <v>0.41489361702127658</v>
      </c>
    </row>
    <row r="148" spans="1:17" x14ac:dyDescent="0.45">
      <c r="A148" s="110">
        <v>145</v>
      </c>
      <c r="B148" s="107">
        <v>811.70000000000016</v>
      </c>
      <c r="C148" s="107">
        <v>5.5979310344827597</v>
      </c>
      <c r="D148" s="112">
        <v>1.8344827586206895</v>
      </c>
      <c r="E148" s="108">
        <v>0.40689655172413791</v>
      </c>
      <c r="F148" s="108">
        <v>0.3538175046554935</v>
      </c>
      <c r="G148" s="108">
        <v>0.148975791433892</v>
      </c>
      <c r="H148" s="109">
        <v>9905.78947368421</v>
      </c>
      <c r="I148" s="109">
        <v>-9548.75</v>
      </c>
      <c r="J148" s="108">
        <v>0.11724137931034483</v>
      </c>
      <c r="K148" s="108">
        <v>0.22068965517241379</v>
      </c>
      <c r="L148" s="108">
        <v>0.28641571194762683</v>
      </c>
      <c r="M148" s="108">
        <v>0.22422258592471359</v>
      </c>
      <c r="N148" s="108">
        <v>0.66285714285714281</v>
      </c>
      <c r="O148" s="108">
        <v>0.46715328467153283</v>
      </c>
      <c r="P148" s="108">
        <v>0.37105263157894736</v>
      </c>
      <c r="Q148" s="108">
        <v>0.41424802110817943</v>
      </c>
    </row>
    <row r="149" spans="1:17" x14ac:dyDescent="0.45">
      <c r="A149" s="110">
        <v>146</v>
      </c>
      <c r="B149" s="107">
        <v>827.30000000000018</v>
      </c>
      <c r="C149" s="107">
        <v>5.6664383561643845</v>
      </c>
      <c r="D149" s="112">
        <v>1.8356164383561644</v>
      </c>
      <c r="E149" s="108">
        <v>0.4041095890410959</v>
      </c>
      <c r="F149" s="108">
        <v>0.35435992578849723</v>
      </c>
      <c r="G149" s="108">
        <v>0.14935064935064934</v>
      </c>
      <c r="H149" s="109">
        <v>9916.7539267015709</v>
      </c>
      <c r="I149" s="109">
        <v>-9513.6645962732928</v>
      </c>
      <c r="J149" s="108">
        <v>0.11643835616438356</v>
      </c>
      <c r="K149" s="108">
        <v>0.21917808219178081</v>
      </c>
      <c r="L149" s="108">
        <v>0.28780487804878047</v>
      </c>
      <c r="M149" s="108">
        <v>0.22439024390243903</v>
      </c>
      <c r="N149" s="108">
        <v>0.66101694915254239</v>
      </c>
      <c r="O149" s="108">
        <v>0.47101449275362317</v>
      </c>
      <c r="P149" s="108">
        <v>0.36910994764397903</v>
      </c>
      <c r="Q149" s="108">
        <v>0.41578947368421054</v>
      </c>
    </row>
    <row r="150" spans="1:17" x14ac:dyDescent="0.45">
      <c r="A150" s="110">
        <v>147</v>
      </c>
      <c r="B150" s="107">
        <v>841.9000000000002</v>
      </c>
      <c r="C150" s="107">
        <v>5.7272108843537426</v>
      </c>
      <c r="D150" s="112">
        <v>1.8299319727891157</v>
      </c>
      <c r="E150" s="108">
        <v>0.40816326530612246</v>
      </c>
      <c r="F150" s="108">
        <v>0.35576036866359445</v>
      </c>
      <c r="G150" s="108">
        <v>0.14838709677419354</v>
      </c>
      <c r="H150" s="109">
        <v>9880.3108808290162</v>
      </c>
      <c r="I150" s="109">
        <v>-9513.6645962732928</v>
      </c>
      <c r="J150" s="108">
        <v>0.11564625850340136</v>
      </c>
      <c r="K150" s="108">
        <v>0.21768707482993196</v>
      </c>
      <c r="L150" s="108">
        <v>0.2861736334405145</v>
      </c>
      <c r="M150" s="108">
        <v>0.22990353697749197</v>
      </c>
      <c r="N150" s="108">
        <v>0.6629213483146067</v>
      </c>
      <c r="O150" s="108">
        <v>0.47552447552447552</v>
      </c>
      <c r="P150" s="108">
        <v>0.36528497409326427</v>
      </c>
      <c r="Q150" s="108">
        <v>0.41623036649214662</v>
      </c>
    </row>
    <row r="151" spans="1:17" x14ac:dyDescent="0.45">
      <c r="A151" s="110">
        <v>148</v>
      </c>
      <c r="B151" s="107">
        <v>806.9000000000002</v>
      </c>
      <c r="C151" s="107">
        <v>5.4520270270270288</v>
      </c>
      <c r="D151" s="112">
        <v>1.8378378378378379</v>
      </c>
      <c r="E151" s="108">
        <v>0.40540540540540543</v>
      </c>
      <c r="F151" s="108">
        <v>0.35543278084714547</v>
      </c>
      <c r="G151" s="108">
        <v>0.14917127071823205</v>
      </c>
      <c r="H151" s="109">
        <v>9880.3108808290162</v>
      </c>
      <c r="I151" s="109">
        <v>-9677.1604938271612</v>
      </c>
      <c r="J151" s="108">
        <v>0.12162162162162163</v>
      </c>
      <c r="K151" s="108">
        <v>0.21621621621621623</v>
      </c>
      <c r="L151" s="108">
        <v>0.2857142857142857</v>
      </c>
      <c r="M151" s="108">
        <v>0.22953451043338685</v>
      </c>
      <c r="N151" s="108">
        <v>0.6629213483146067</v>
      </c>
      <c r="O151" s="108">
        <v>0.47552447552447552</v>
      </c>
      <c r="P151" s="108">
        <v>0.36528497409326427</v>
      </c>
      <c r="Q151" s="108">
        <v>0.41623036649214662</v>
      </c>
    </row>
    <row r="152" spans="1:17" x14ac:dyDescent="0.45">
      <c r="A152" s="110">
        <v>149</v>
      </c>
      <c r="B152" s="107">
        <v>777.30000000000018</v>
      </c>
      <c r="C152" s="107">
        <v>5.2167785234899338</v>
      </c>
      <c r="D152" s="112">
        <v>1.8389261744966443</v>
      </c>
      <c r="E152" s="108">
        <v>0.40268456375838924</v>
      </c>
      <c r="F152" s="108">
        <v>0.35433789954337902</v>
      </c>
      <c r="G152" s="108">
        <v>0.14794520547945206</v>
      </c>
      <c r="H152" s="109">
        <v>9857.7319587628863</v>
      </c>
      <c r="I152" s="109">
        <v>-9677.1604938271612</v>
      </c>
      <c r="J152" s="108">
        <v>0.12080536912751678</v>
      </c>
      <c r="K152" s="108">
        <v>0.21476510067114093</v>
      </c>
      <c r="L152" s="108">
        <v>0.2848101265822785</v>
      </c>
      <c r="M152" s="108">
        <v>0.23259493670886075</v>
      </c>
      <c r="N152" s="108">
        <v>0.66111111111111109</v>
      </c>
      <c r="O152" s="108">
        <v>0.46938775510204084</v>
      </c>
      <c r="P152" s="108">
        <v>0.36855670103092786</v>
      </c>
      <c r="Q152" s="108">
        <v>0.41666666666666669</v>
      </c>
    </row>
    <row r="153" spans="1:17" x14ac:dyDescent="0.45">
      <c r="A153" s="110">
        <v>150</v>
      </c>
      <c r="B153" s="107">
        <v>783.10000000000014</v>
      </c>
      <c r="C153" s="107">
        <v>5.2206666666666672</v>
      </c>
      <c r="D153" s="112">
        <v>1.8333333333333333</v>
      </c>
      <c r="E153" s="108">
        <v>0.40666666666666668</v>
      </c>
      <c r="F153" s="108">
        <v>0.35507246376811596</v>
      </c>
      <c r="G153" s="108">
        <v>0.14855072463768115</v>
      </c>
      <c r="H153" s="109">
        <v>9821.1734693877552</v>
      </c>
      <c r="I153" s="109">
        <v>-9643.292682926829</v>
      </c>
      <c r="J153" s="108">
        <v>0.12</v>
      </c>
      <c r="K153" s="108">
        <v>0.21333333333333335</v>
      </c>
      <c r="L153" s="108">
        <v>0.28705148205928238</v>
      </c>
      <c r="M153" s="108">
        <v>0.23244929797191888</v>
      </c>
      <c r="N153" s="108">
        <v>0.65760869565217395</v>
      </c>
      <c r="O153" s="108">
        <v>0.47651006711409394</v>
      </c>
      <c r="P153" s="108">
        <v>0.36734693877551022</v>
      </c>
      <c r="Q153" s="108">
        <v>0.41602067183462532</v>
      </c>
    </row>
    <row r="154" spans="1:17" x14ac:dyDescent="0.45">
      <c r="A154" s="110">
        <v>151</v>
      </c>
      <c r="B154" s="107">
        <v>770.10000000000014</v>
      </c>
      <c r="C154" s="107">
        <v>5.1000000000000005</v>
      </c>
      <c r="D154" s="112">
        <v>1.8410596026490067</v>
      </c>
      <c r="E154" s="108">
        <v>0.40397350993377484</v>
      </c>
      <c r="F154" s="108">
        <v>0.35399820305480684</v>
      </c>
      <c r="G154" s="108">
        <v>0.14824797843665768</v>
      </c>
      <c r="H154" s="109">
        <v>9822.081218274112</v>
      </c>
      <c r="I154" s="109">
        <v>-9657.575757575758</v>
      </c>
      <c r="J154" s="108">
        <v>0.11920529801324503</v>
      </c>
      <c r="K154" s="108">
        <v>0.2119205298013245</v>
      </c>
      <c r="L154" s="108">
        <v>0.2846153846153846</v>
      </c>
      <c r="M154" s="108">
        <v>0.23692307692307693</v>
      </c>
      <c r="N154" s="108">
        <v>0.6594594594594595</v>
      </c>
      <c r="O154" s="108">
        <v>0.46753246753246752</v>
      </c>
      <c r="P154" s="108">
        <v>0.36548223350253806</v>
      </c>
      <c r="Q154" s="108">
        <v>0.41538461538461541</v>
      </c>
    </row>
    <row r="155" spans="1:17" x14ac:dyDescent="0.45">
      <c r="A155" s="110">
        <v>152</v>
      </c>
      <c r="B155" s="107">
        <v>760.10000000000014</v>
      </c>
      <c r="C155" s="107">
        <v>5.0006578947368432</v>
      </c>
      <c r="D155" s="112">
        <v>1.8421052631578947</v>
      </c>
      <c r="E155" s="108">
        <v>0.40131578947368424</v>
      </c>
      <c r="F155" s="108">
        <v>0.35330948121645794</v>
      </c>
      <c r="G155" s="108">
        <v>0.14758497316636851</v>
      </c>
      <c r="H155" s="109">
        <v>9827.5949367088615</v>
      </c>
      <c r="I155" s="109">
        <v>-9657.575757575758</v>
      </c>
      <c r="J155" s="108">
        <v>0.11842105263157894</v>
      </c>
      <c r="K155" s="108">
        <v>0.21052631578947367</v>
      </c>
      <c r="L155" s="108">
        <v>0.28396946564885495</v>
      </c>
      <c r="M155" s="108">
        <v>0.23511450381679388</v>
      </c>
      <c r="N155" s="108">
        <v>0.66129032258064513</v>
      </c>
      <c r="O155" s="108">
        <v>0.46753246753246752</v>
      </c>
      <c r="P155" s="108">
        <v>0.36708860759493672</v>
      </c>
      <c r="Q155" s="108">
        <v>0.41581632653061223</v>
      </c>
    </row>
    <row r="156" spans="1:17" x14ac:dyDescent="0.45">
      <c r="A156" s="110">
        <v>153</v>
      </c>
      <c r="B156" s="107">
        <v>803.70000000000016</v>
      </c>
      <c r="C156" s="107">
        <v>5.2529411764705891</v>
      </c>
      <c r="D156" s="112">
        <v>1.8366013071895424</v>
      </c>
      <c r="E156" s="108">
        <v>0.40522875816993464</v>
      </c>
      <c r="F156" s="108">
        <v>0.35429583702391498</v>
      </c>
      <c r="G156" s="108">
        <v>0.14791851195748451</v>
      </c>
      <c r="H156" s="109">
        <v>9828.5</v>
      </c>
      <c r="I156" s="109">
        <v>-9565.2694610778435</v>
      </c>
      <c r="J156" s="108">
        <v>0.11764705882352941</v>
      </c>
      <c r="K156" s="108">
        <v>0.20915032679738563</v>
      </c>
      <c r="L156" s="108">
        <v>0.28378378378378377</v>
      </c>
      <c r="M156" s="108">
        <v>0.23273273273273273</v>
      </c>
      <c r="N156" s="108">
        <v>0.65608465608465605</v>
      </c>
      <c r="O156" s="108">
        <v>0.47096774193548385</v>
      </c>
      <c r="P156" s="108">
        <v>0.37</v>
      </c>
      <c r="Q156" s="108">
        <v>0.41813602015113349</v>
      </c>
    </row>
    <row r="157" spans="1:17" x14ac:dyDescent="0.45">
      <c r="A157" s="110">
        <v>154</v>
      </c>
      <c r="B157" s="107">
        <v>799.00000000000011</v>
      </c>
      <c r="C157" s="107">
        <v>5.1883116883116891</v>
      </c>
      <c r="D157" s="112">
        <v>1.8376623376623376</v>
      </c>
      <c r="E157" s="108">
        <v>0.40259740259740262</v>
      </c>
      <c r="F157" s="108">
        <v>0.35299295774647887</v>
      </c>
      <c r="G157" s="108">
        <v>0.14788732394366197</v>
      </c>
      <c r="H157" s="109">
        <v>9823.9401496259343</v>
      </c>
      <c r="I157" s="109">
        <v>-9554.1666666666661</v>
      </c>
      <c r="J157" s="108">
        <v>0.11688311688311688</v>
      </c>
      <c r="K157" s="108">
        <v>0.20779220779220781</v>
      </c>
      <c r="L157" s="108">
        <v>0.2838038632986627</v>
      </c>
      <c r="M157" s="108">
        <v>0.23179791976225855</v>
      </c>
      <c r="N157" s="108">
        <v>0.65445026178010468</v>
      </c>
      <c r="O157" s="108">
        <v>0.46794871794871795</v>
      </c>
      <c r="P157" s="108">
        <v>0.36907730673316708</v>
      </c>
      <c r="Q157" s="108">
        <v>0.41604010025062654</v>
      </c>
    </row>
    <row r="158" spans="1:17" x14ac:dyDescent="0.45">
      <c r="A158" s="110">
        <v>155</v>
      </c>
      <c r="B158" s="107">
        <v>812.40000000000009</v>
      </c>
      <c r="C158" s="107">
        <v>5.241290322580646</v>
      </c>
      <c r="D158" s="112">
        <v>1.832258064516129</v>
      </c>
      <c r="E158" s="108">
        <v>0.40645161290322579</v>
      </c>
      <c r="F158" s="108">
        <v>0.35345581802274717</v>
      </c>
      <c r="G158" s="108">
        <v>0.14698162729658792</v>
      </c>
      <c r="H158" s="109">
        <v>9796.5346534653472</v>
      </c>
      <c r="I158" s="109">
        <v>-9554.1666666666661</v>
      </c>
      <c r="J158" s="108">
        <v>0.11612903225806452</v>
      </c>
      <c r="K158" s="108">
        <v>0.20645161290322581</v>
      </c>
      <c r="L158" s="108">
        <v>0.2838235294117647</v>
      </c>
      <c r="M158" s="108">
        <v>0.23088235294117648</v>
      </c>
      <c r="N158" s="108">
        <v>0.65803108808290156</v>
      </c>
      <c r="O158" s="108">
        <v>0.46496815286624205</v>
      </c>
      <c r="P158" s="108">
        <v>0.37128712871287128</v>
      </c>
      <c r="Q158" s="108">
        <v>0.4154228855721393</v>
      </c>
    </row>
    <row r="159" spans="1:17" x14ac:dyDescent="0.45">
      <c r="A159" s="110">
        <v>156</v>
      </c>
      <c r="B159" s="107">
        <v>798.40000000000009</v>
      </c>
      <c r="C159" s="107">
        <v>5.1179487179487184</v>
      </c>
      <c r="D159" s="112">
        <v>1.8333333333333333</v>
      </c>
      <c r="E159" s="108">
        <v>0.40384615384615385</v>
      </c>
      <c r="F159" s="108">
        <v>0.35248041775456918</v>
      </c>
      <c r="G159" s="108">
        <v>0.14708442123585727</v>
      </c>
      <c r="H159" s="109">
        <v>9792.0987654320979</v>
      </c>
      <c r="I159" s="109">
        <v>-9568.6390532544374</v>
      </c>
      <c r="J159" s="108">
        <v>0.11538461538461539</v>
      </c>
      <c r="K159" s="108">
        <v>0.20512820512820512</v>
      </c>
      <c r="L159" s="108">
        <v>0.28425655976676384</v>
      </c>
      <c r="M159" s="108">
        <v>0.22886297376093295</v>
      </c>
      <c r="N159" s="108">
        <v>0.65641025641025641</v>
      </c>
      <c r="O159" s="108">
        <v>0.46496815286624205</v>
      </c>
      <c r="P159" s="108">
        <v>0.37037037037037035</v>
      </c>
      <c r="Q159" s="108">
        <v>0.4154228855721393</v>
      </c>
    </row>
    <row r="160" spans="1:17" x14ac:dyDescent="0.45">
      <c r="A160" s="110">
        <v>157</v>
      </c>
      <c r="B160" s="107">
        <v>804.50000000000011</v>
      </c>
      <c r="C160" s="107">
        <v>5.1242038216560513</v>
      </c>
      <c r="D160" s="112">
        <v>1.8280254777070064</v>
      </c>
      <c r="E160" s="108">
        <v>0.40764331210191085</v>
      </c>
      <c r="F160" s="108">
        <v>0.35116479723899913</v>
      </c>
      <c r="G160" s="108">
        <v>0.14667817083692838</v>
      </c>
      <c r="H160" s="109">
        <v>9812.7764127764131</v>
      </c>
      <c r="I160" s="109">
        <v>-9559.4117647058829</v>
      </c>
      <c r="J160" s="108">
        <v>0.11464968152866242</v>
      </c>
      <c r="K160" s="108">
        <v>0.20382165605095542</v>
      </c>
      <c r="L160" s="108">
        <v>0.28591954022988508</v>
      </c>
      <c r="M160" s="108">
        <v>0.22557471264367815</v>
      </c>
      <c r="N160" s="108">
        <v>0.65326633165829151</v>
      </c>
      <c r="O160" s="108">
        <v>0.46496815286624205</v>
      </c>
      <c r="P160" s="108">
        <v>0.36855036855036855</v>
      </c>
      <c r="Q160" s="108">
        <v>0.4123456790123457</v>
      </c>
    </row>
    <row r="161" spans="1:17" x14ac:dyDescent="0.45">
      <c r="A161" s="110">
        <v>158</v>
      </c>
      <c r="B161" s="107">
        <v>823.20000000000016</v>
      </c>
      <c r="C161" s="107">
        <v>5.2101265822784821</v>
      </c>
      <c r="D161" s="112">
        <v>1.8227848101265822</v>
      </c>
      <c r="E161" s="108">
        <v>0.41139240506329117</v>
      </c>
      <c r="F161" s="108">
        <v>0.350471293916024</v>
      </c>
      <c r="G161" s="108">
        <v>0.1456726649528706</v>
      </c>
      <c r="H161" s="109">
        <v>9872.3716381418089</v>
      </c>
      <c r="I161" s="109">
        <v>-9559.4117647058829</v>
      </c>
      <c r="J161" s="108">
        <v>0.11392405063291139</v>
      </c>
      <c r="K161" s="108">
        <v>0.20253164556962025</v>
      </c>
      <c r="L161" s="108">
        <v>0.28267045454545453</v>
      </c>
      <c r="M161" s="108">
        <v>0.22443181818181818</v>
      </c>
      <c r="N161" s="108">
        <v>0.65326633165829151</v>
      </c>
      <c r="O161" s="108">
        <v>0.46835443037974683</v>
      </c>
      <c r="P161" s="108">
        <v>0.37163814180929094</v>
      </c>
      <c r="Q161" s="108">
        <v>0.41176470588235292</v>
      </c>
    </row>
    <row r="162" spans="1:17" x14ac:dyDescent="0.45">
      <c r="A162" s="110">
        <v>159</v>
      </c>
      <c r="B162" s="107">
        <v>846.00000000000011</v>
      </c>
      <c r="C162" s="107">
        <v>5.3207547169811331</v>
      </c>
      <c r="D162" s="112">
        <v>1.8176100628930818</v>
      </c>
      <c r="E162" s="108">
        <v>0.41509433962264153</v>
      </c>
      <c r="F162" s="108">
        <v>0.35178875638841567</v>
      </c>
      <c r="G162" s="108">
        <v>0.14480408858603067</v>
      </c>
      <c r="H162" s="109">
        <v>9841.646489104116</v>
      </c>
      <c r="I162" s="109">
        <v>-9559.4117647058829</v>
      </c>
      <c r="J162" s="108">
        <v>0.11320754716981132</v>
      </c>
      <c r="K162" s="108">
        <v>0.20125786163522014</v>
      </c>
      <c r="L162" s="108">
        <v>0.28270042194092826</v>
      </c>
      <c r="M162" s="108">
        <v>0.22222222222222221</v>
      </c>
      <c r="N162" s="108">
        <v>0.65671641791044777</v>
      </c>
      <c r="O162" s="108">
        <v>0.46835443037974683</v>
      </c>
      <c r="P162" s="108">
        <v>0.3704600484261501</v>
      </c>
      <c r="Q162" s="108">
        <v>0.41219512195121949</v>
      </c>
    </row>
    <row r="163" spans="1:17" x14ac:dyDescent="0.45">
      <c r="A163" s="110">
        <v>160</v>
      </c>
      <c r="B163" s="107">
        <v>841.20000000000016</v>
      </c>
      <c r="C163" s="107">
        <v>5.2575000000000012</v>
      </c>
      <c r="D163" s="112">
        <v>1.8187500000000001</v>
      </c>
      <c r="E163" s="108">
        <v>0.41249999999999998</v>
      </c>
      <c r="F163" s="108">
        <v>0.35050675675675674</v>
      </c>
      <c r="G163" s="108">
        <v>0.14442567567567569</v>
      </c>
      <c r="H163" s="109">
        <v>9820.7228915662654</v>
      </c>
      <c r="I163" s="109">
        <v>-9548.5380116959059</v>
      </c>
      <c r="J163" s="108">
        <v>0.1125</v>
      </c>
      <c r="K163" s="108">
        <v>0.2</v>
      </c>
      <c r="L163" s="108">
        <v>0.28710124826629679</v>
      </c>
      <c r="M163" s="108">
        <v>0.22052704576976423</v>
      </c>
      <c r="N163" s="108">
        <v>0.64734299516908211</v>
      </c>
      <c r="O163" s="108">
        <v>0.46540880503144655</v>
      </c>
      <c r="P163" s="108">
        <v>0.36867469879518072</v>
      </c>
      <c r="Q163" s="108">
        <v>0.41162227602905571</v>
      </c>
    </row>
    <row r="164" spans="1:17" x14ac:dyDescent="0.45">
      <c r="A164" s="110">
        <v>161</v>
      </c>
      <c r="B164" s="107">
        <v>872.70000000000016</v>
      </c>
      <c r="C164" s="107">
        <v>5.420496894409939</v>
      </c>
      <c r="D164" s="112">
        <v>1.813664596273292</v>
      </c>
      <c r="E164" s="108">
        <v>0.41614906832298137</v>
      </c>
      <c r="F164" s="108">
        <v>0.35037720033528919</v>
      </c>
      <c r="G164" s="108">
        <v>0.14333612740989102</v>
      </c>
      <c r="H164" s="109">
        <v>9855.5023923444969</v>
      </c>
      <c r="I164" s="109">
        <v>-9548.5380116959059</v>
      </c>
      <c r="J164" s="108">
        <v>0.11180124223602485</v>
      </c>
      <c r="K164" s="108">
        <v>0.19875776397515527</v>
      </c>
      <c r="L164" s="108">
        <v>0.28767123287671231</v>
      </c>
      <c r="M164" s="108">
        <v>0.22054794520547946</v>
      </c>
      <c r="N164" s="108">
        <v>0.64761904761904765</v>
      </c>
      <c r="O164" s="108">
        <v>0.46583850931677018</v>
      </c>
      <c r="P164" s="108">
        <v>0.37081339712918659</v>
      </c>
      <c r="Q164" s="108">
        <v>0.41247002398081534</v>
      </c>
    </row>
    <row r="165" spans="1:17" x14ac:dyDescent="0.45">
      <c r="A165" s="110">
        <v>162</v>
      </c>
      <c r="B165" s="107">
        <v>888.80000000000018</v>
      </c>
      <c r="C165" s="107">
        <v>5.4864197530864205</v>
      </c>
      <c r="D165" s="112">
        <v>1.808641975308642</v>
      </c>
      <c r="E165" s="108">
        <v>0.41975308641975306</v>
      </c>
      <c r="F165" s="108">
        <v>0.35137385512073271</v>
      </c>
      <c r="G165" s="108">
        <v>0.14487926727726894</v>
      </c>
      <c r="H165" s="109">
        <v>9854.5023696682456</v>
      </c>
      <c r="I165" s="109">
        <v>-9521.2643678160912</v>
      </c>
      <c r="J165" s="108">
        <v>0.1111111111111111</v>
      </c>
      <c r="K165" s="108">
        <v>0.19753086419753085</v>
      </c>
      <c r="L165" s="108">
        <v>0.2872628726287263</v>
      </c>
      <c r="M165" s="108">
        <v>0.22086720867208673</v>
      </c>
      <c r="N165" s="108">
        <v>0.65094339622641506</v>
      </c>
      <c r="O165" s="108">
        <v>0.47239263803680981</v>
      </c>
      <c r="P165" s="108">
        <v>0.37440758293838861</v>
      </c>
      <c r="Q165" s="108">
        <v>0.41428571428571431</v>
      </c>
    </row>
    <row r="166" spans="1:17" x14ac:dyDescent="0.45">
      <c r="A166" s="110">
        <v>163</v>
      </c>
      <c r="B166" s="107">
        <v>900.10000000000014</v>
      </c>
      <c r="C166" s="107">
        <v>5.5220858895705529</v>
      </c>
      <c r="D166" s="112">
        <v>1.803680981595092</v>
      </c>
      <c r="E166" s="108">
        <v>0.42331288343558282</v>
      </c>
      <c r="F166" s="108">
        <v>0.35066006600660066</v>
      </c>
      <c r="G166" s="108">
        <v>0.14603960396039603</v>
      </c>
      <c r="H166" s="109">
        <v>9897.8823529411766</v>
      </c>
      <c r="I166" s="109">
        <v>-9502.2598870056499</v>
      </c>
      <c r="J166" s="108">
        <v>0.11042944785276074</v>
      </c>
      <c r="K166" s="108">
        <v>0.19631901840490798</v>
      </c>
      <c r="L166" s="108">
        <v>0.28838451268357812</v>
      </c>
      <c r="M166" s="108">
        <v>0.22162883845126835</v>
      </c>
      <c r="N166" s="108">
        <v>0.64351851851851849</v>
      </c>
      <c r="O166" s="108">
        <v>0.4759036144578313</v>
      </c>
      <c r="P166" s="108">
        <v>0.37882352941176473</v>
      </c>
      <c r="Q166" s="108">
        <v>0.41469194312796209</v>
      </c>
    </row>
    <row r="167" spans="1:17" x14ac:dyDescent="0.45">
      <c r="A167" s="110">
        <v>164</v>
      </c>
      <c r="B167" s="107">
        <v>923.40000000000009</v>
      </c>
      <c r="C167" s="107">
        <v>5.6304878048780491</v>
      </c>
      <c r="D167" s="112">
        <v>1.7987804878048781</v>
      </c>
      <c r="E167" s="108">
        <v>0.42682926829268292</v>
      </c>
      <c r="F167" s="108">
        <v>0.35020408163265304</v>
      </c>
      <c r="G167" s="108">
        <v>0.14448979591836736</v>
      </c>
      <c r="H167" s="109">
        <v>9893.0069930069931</v>
      </c>
      <c r="I167" s="109">
        <v>-9502.2598870056499</v>
      </c>
      <c r="J167" s="108">
        <v>0.10975609756097561</v>
      </c>
      <c r="K167" s="108">
        <v>0.1951219512195122</v>
      </c>
      <c r="L167" s="108">
        <v>0.28477690288713908</v>
      </c>
      <c r="M167" s="108">
        <v>0.2230971128608924</v>
      </c>
      <c r="N167" s="108">
        <v>0.64055299539170507</v>
      </c>
      <c r="O167" s="108">
        <v>0.48823529411764705</v>
      </c>
      <c r="P167" s="108">
        <v>0.37995337995337997</v>
      </c>
      <c r="Q167" s="108">
        <v>0.41549295774647887</v>
      </c>
    </row>
    <row r="168" spans="1:17" x14ac:dyDescent="0.45">
      <c r="A168" s="110">
        <v>165</v>
      </c>
      <c r="B168" s="107">
        <v>912.2</v>
      </c>
      <c r="C168" s="107">
        <v>5.5284848484848483</v>
      </c>
      <c r="D168" s="112">
        <v>1.8060606060606061</v>
      </c>
      <c r="E168" s="108">
        <v>0.42424242424242425</v>
      </c>
      <c r="F168" s="108">
        <v>0.34930950446791226</v>
      </c>
      <c r="G168" s="108">
        <v>0.14541023558082861</v>
      </c>
      <c r="H168" s="109">
        <v>9876.5116279069771</v>
      </c>
      <c r="I168" s="109">
        <v>-9446.3687150837995</v>
      </c>
      <c r="J168" s="108">
        <v>0.10909090909090909</v>
      </c>
      <c r="K168" s="108">
        <v>0.19393939393939394</v>
      </c>
      <c r="L168" s="108">
        <v>0.28385416666666669</v>
      </c>
      <c r="M168" s="108">
        <v>0.22135416666666666</v>
      </c>
      <c r="N168" s="108">
        <v>0.63761467889908252</v>
      </c>
      <c r="O168" s="108">
        <v>0.48823529411764705</v>
      </c>
      <c r="P168" s="108">
        <v>0.38139534883720932</v>
      </c>
      <c r="Q168" s="108">
        <v>0.4135514018691589</v>
      </c>
    </row>
    <row r="169" spans="1:17" x14ac:dyDescent="0.45">
      <c r="A169" s="110">
        <v>166</v>
      </c>
      <c r="B169" s="107">
        <v>910.2</v>
      </c>
      <c r="C169" s="107">
        <v>5.4831325301204821</v>
      </c>
      <c r="D169" s="112">
        <v>1.8072289156626506</v>
      </c>
      <c r="E169" s="108">
        <v>0.42168674698795183</v>
      </c>
      <c r="F169" s="108">
        <v>0.34866828087167068</v>
      </c>
      <c r="G169" s="108">
        <v>0.14447134786117838</v>
      </c>
      <c r="H169" s="109">
        <v>9872.4537037037044</v>
      </c>
      <c r="I169" s="109">
        <v>-9446.3687150837995</v>
      </c>
      <c r="J169" s="108">
        <v>0.10843373493975904</v>
      </c>
      <c r="K169" s="108">
        <v>0.19277108433734941</v>
      </c>
      <c r="L169" s="108">
        <v>0.28479381443298968</v>
      </c>
      <c r="M169" s="108">
        <v>0.22293814432989692</v>
      </c>
      <c r="N169" s="108">
        <v>0.63348416289592757</v>
      </c>
      <c r="O169" s="108">
        <v>0.48554913294797686</v>
      </c>
      <c r="P169" s="108">
        <v>0.38425925925925924</v>
      </c>
      <c r="Q169" s="108">
        <v>0.41299303944315546</v>
      </c>
    </row>
    <row r="170" spans="1:17" x14ac:dyDescent="0.45">
      <c r="A170" s="110">
        <v>167</v>
      </c>
      <c r="B170" s="107">
        <v>870.6</v>
      </c>
      <c r="C170" s="107">
        <v>5.2131736526946106</v>
      </c>
      <c r="D170" s="112">
        <v>1.8143712574850299</v>
      </c>
      <c r="E170" s="108">
        <v>0.41916167664670656</v>
      </c>
      <c r="F170" s="108">
        <v>0.34612310151878495</v>
      </c>
      <c r="G170" s="108">
        <v>0.14468425259792167</v>
      </c>
      <c r="H170" s="109">
        <v>9864.434180138569</v>
      </c>
      <c r="I170" s="109">
        <v>-9406.0773480662992</v>
      </c>
      <c r="J170" s="108">
        <v>0.11377245508982035</v>
      </c>
      <c r="K170" s="108">
        <v>0.19161676646706588</v>
      </c>
      <c r="L170" s="108">
        <v>0.28172588832487311</v>
      </c>
      <c r="M170" s="108">
        <v>0.22461928934010153</v>
      </c>
      <c r="N170" s="108">
        <v>0.63063063063063063</v>
      </c>
      <c r="O170" s="108">
        <v>0.47457627118644069</v>
      </c>
      <c r="P170" s="108">
        <v>0.38337182448036949</v>
      </c>
      <c r="Q170" s="108">
        <v>0.41203703703703703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B0C66-1F76-40AE-830F-953D0FC9BA65}">
  <sheetPr codeName="Sheet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179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4</v>
      </c>
      <c r="C2" s="120"/>
      <c r="E2" s="102" t="s">
        <v>67</v>
      </c>
      <c r="F2" s="98" t="s">
        <v>21</v>
      </c>
      <c r="G2" s="85">
        <v>0</v>
      </c>
      <c r="H2" s="61">
        <f t="shared" ref="H2:H51" si="0">IF(B$25=0,0,G2/B$25)</f>
        <v>0</v>
      </c>
      <c r="J2" s="60">
        <v>0</v>
      </c>
      <c r="K2" s="62">
        <v>0</v>
      </c>
      <c r="M2" s="60" t="s">
        <v>150</v>
      </c>
      <c r="N2" s="81">
        <f t="shared" ref="N2:N7" si="1">IF(P2=0,0,O2/P2)</f>
        <v>-9250</v>
      </c>
      <c r="O2" s="78">
        <v>-37000</v>
      </c>
      <c r="P2" s="76">
        <v>4</v>
      </c>
    </row>
    <row r="3" spans="1:16" x14ac:dyDescent="0.45">
      <c r="A3" s="94" t="s">
        <v>8</v>
      </c>
      <c r="B3" s="125">
        <v>25</v>
      </c>
      <c r="C3" s="126"/>
      <c r="E3" s="103" t="s">
        <v>68</v>
      </c>
      <c r="F3" s="99" t="s">
        <v>22</v>
      </c>
      <c r="G3" s="86">
        <v>0</v>
      </c>
      <c r="H3" s="64">
        <f t="shared" si="0"/>
        <v>0</v>
      </c>
      <c r="J3" s="63">
        <v>1</v>
      </c>
      <c r="K3" s="65">
        <v>-21</v>
      </c>
      <c r="M3" s="63" t="s">
        <v>151</v>
      </c>
      <c r="N3" s="82">
        <f t="shared" si="1"/>
        <v>-7225</v>
      </c>
      <c r="O3" s="79">
        <v>-28900</v>
      </c>
      <c r="P3" s="74">
        <v>4</v>
      </c>
    </row>
    <row r="4" spans="1:16" x14ac:dyDescent="0.45">
      <c r="A4" s="94" t="s">
        <v>6</v>
      </c>
      <c r="B4" s="127">
        <v>-128.1</v>
      </c>
      <c r="C4" s="128"/>
      <c r="E4" s="103" t="s">
        <v>69</v>
      </c>
      <c r="F4" s="99" t="s">
        <v>23</v>
      </c>
      <c r="G4" s="86">
        <v>0</v>
      </c>
      <c r="H4" s="64">
        <f t="shared" si="0"/>
        <v>0</v>
      </c>
      <c r="J4" s="63">
        <v>2</v>
      </c>
      <c r="K4" s="65">
        <v>-58.4</v>
      </c>
      <c r="M4" s="63" t="s">
        <v>152</v>
      </c>
      <c r="N4" s="82">
        <f t="shared" si="1"/>
        <v>-10875</v>
      </c>
      <c r="O4" s="79">
        <v>-43500</v>
      </c>
      <c r="P4" s="74">
        <v>4</v>
      </c>
    </row>
    <row r="5" spans="1:16" x14ac:dyDescent="0.45">
      <c r="A5" s="94" t="s">
        <v>7</v>
      </c>
      <c r="B5" s="127">
        <f>IF(B$2=0,0,B$4/B$2)</f>
        <v>-32.024999999999999</v>
      </c>
      <c r="C5" s="128"/>
      <c r="E5" s="103" t="s">
        <v>70</v>
      </c>
      <c r="F5" s="99" t="s">
        <v>24</v>
      </c>
      <c r="G5" s="86">
        <v>0</v>
      </c>
      <c r="H5" s="64">
        <f t="shared" si="0"/>
        <v>0</v>
      </c>
      <c r="J5" s="63">
        <v>3</v>
      </c>
      <c r="K5" s="65">
        <v>-82.6</v>
      </c>
      <c r="M5" s="63" t="s">
        <v>153</v>
      </c>
      <c r="N5" s="82">
        <f t="shared" si="1"/>
        <v>-2850</v>
      </c>
      <c r="O5" s="79">
        <v>-5700</v>
      </c>
      <c r="P5" s="74">
        <v>2</v>
      </c>
    </row>
    <row r="6" spans="1:16" x14ac:dyDescent="0.45">
      <c r="A6" s="94" t="s">
        <v>1</v>
      </c>
      <c r="B6" s="117">
        <f>IF(B$2=0,0,(B$7*1+B$8*2+B$9*3)/B$2)</f>
        <v>3</v>
      </c>
      <c r="C6" s="118"/>
      <c r="E6" s="103" t="s">
        <v>71</v>
      </c>
      <c r="F6" s="99" t="s">
        <v>25</v>
      </c>
      <c r="G6" s="86">
        <v>0</v>
      </c>
      <c r="H6" s="64">
        <f t="shared" si="0"/>
        <v>0</v>
      </c>
      <c r="J6" s="63">
        <v>4</v>
      </c>
      <c r="K6" s="65">
        <v>-128.1</v>
      </c>
      <c r="M6" s="63" t="s">
        <v>154</v>
      </c>
      <c r="N6" s="82">
        <f t="shared" si="1"/>
        <v>-6000</v>
      </c>
      <c r="O6" s="79">
        <v>-12000</v>
      </c>
      <c r="P6" s="74">
        <v>2</v>
      </c>
    </row>
    <row r="7" spans="1:16" x14ac:dyDescent="0.45">
      <c r="A7" s="94" t="s">
        <v>2</v>
      </c>
      <c r="B7" s="86">
        <v>0</v>
      </c>
      <c r="C7" s="64">
        <f>IF(B$2=0,0,B7/B$2)</f>
        <v>0</v>
      </c>
      <c r="E7" s="103" t="s">
        <v>72</v>
      </c>
      <c r="F7" s="99" t="s">
        <v>12</v>
      </c>
      <c r="G7" s="86">
        <v>0</v>
      </c>
      <c r="H7" s="64">
        <f t="shared" si="0"/>
        <v>0</v>
      </c>
      <c r="M7" s="68" t="s">
        <v>155</v>
      </c>
      <c r="N7" s="83">
        <f t="shared" si="1"/>
        <v>-5000</v>
      </c>
      <c r="O7" s="80">
        <v>-5000</v>
      </c>
      <c r="P7" s="75">
        <v>1</v>
      </c>
    </row>
    <row r="8" spans="1:16" x14ac:dyDescent="0.45">
      <c r="A8" s="94" t="s">
        <v>3</v>
      </c>
      <c r="B8" s="86">
        <v>0</v>
      </c>
      <c r="C8" s="64">
        <f t="shared" ref="C8:C9" si="2">IF(B$2=0,0,B8/B$2)</f>
        <v>0</v>
      </c>
      <c r="E8" s="103" t="s">
        <v>73</v>
      </c>
      <c r="F8" s="99" t="s">
        <v>26</v>
      </c>
      <c r="G8" s="86">
        <v>0</v>
      </c>
      <c r="H8" s="64">
        <f t="shared" si="0"/>
        <v>0</v>
      </c>
    </row>
    <row r="9" spans="1:16" x14ac:dyDescent="0.45">
      <c r="A9" s="95" t="s">
        <v>4</v>
      </c>
      <c r="B9" s="87">
        <v>4</v>
      </c>
      <c r="C9" s="66">
        <f t="shared" si="2"/>
        <v>1</v>
      </c>
      <c r="E9" s="103" t="s">
        <v>74</v>
      </c>
      <c r="F9" s="99" t="s">
        <v>27</v>
      </c>
      <c r="G9" s="86">
        <v>0</v>
      </c>
      <c r="H9" s="64">
        <f t="shared" si="0"/>
        <v>0</v>
      </c>
    </row>
    <row r="10" spans="1:16" x14ac:dyDescent="0.45">
      <c r="A10" s="95" t="s">
        <v>19</v>
      </c>
      <c r="B10" s="87">
        <v>2</v>
      </c>
      <c r="C10" s="66">
        <f>IF(B$2=0,0,B10/B$2)</f>
        <v>0.5</v>
      </c>
      <c r="E10" s="103" t="s">
        <v>75</v>
      </c>
      <c r="F10" s="99" t="s">
        <v>28</v>
      </c>
      <c r="G10" s="86">
        <v>0</v>
      </c>
      <c r="H10" s="64">
        <f t="shared" si="0"/>
        <v>0</v>
      </c>
    </row>
    <row r="11" spans="1:16" x14ac:dyDescent="0.45">
      <c r="A11" s="96" t="s">
        <v>160</v>
      </c>
      <c r="B11" s="88">
        <v>0</v>
      </c>
      <c r="C11" s="69">
        <f>IF(B$2=0,0,B11/B$2)</f>
        <v>0</v>
      </c>
      <c r="E11" s="103" t="s">
        <v>76</v>
      </c>
      <c r="F11" s="99" t="s">
        <v>29</v>
      </c>
      <c r="G11" s="86">
        <v>0</v>
      </c>
      <c r="H11" s="64">
        <f t="shared" si="0"/>
        <v>0</v>
      </c>
    </row>
    <row r="12" spans="1:16" x14ac:dyDescent="0.45">
      <c r="A12" s="97" t="s">
        <v>128</v>
      </c>
      <c r="B12" s="89">
        <v>0</v>
      </c>
      <c r="C12" s="72">
        <f>IF(B$24=0,0,B12/B$24)</f>
        <v>0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5">
      <c r="A13" s="94" t="s">
        <v>123</v>
      </c>
      <c r="B13" s="86">
        <v>0</v>
      </c>
      <c r="C13" s="64">
        <f>IF(B$24=0,0,B13/B$24)</f>
        <v>0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5">
      <c r="A14" s="93" t="s">
        <v>130</v>
      </c>
      <c r="B14" s="85">
        <v>0</v>
      </c>
      <c r="C14" s="61">
        <f>IF(B$12=0,0,B14/B$12)</f>
        <v>0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5">
      <c r="A15" s="93" t="s">
        <v>131</v>
      </c>
      <c r="B15" s="85">
        <v>0</v>
      </c>
      <c r="C15" s="61">
        <f>IF(B$13=0,0,B15/B$13)</f>
        <v>0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5">
      <c r="A16" s="93" t="s">
        <v>10</v>
      </c>
      <c r="B16" s="85">
        <f>B18+B17</f>
        <v>1</v>
      </c>
      <c r="C16" s="61">
        <f>IF(B$3=0,0,B16/B$3)</f>
        <v>0.04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5">
      <c r="A17" s="94" t="s">
        <v>12</v>
      </c>
      <c r="B17" s="86">
        <v>1</v>
      </c>
      <c r="C17" s="64">
        <f>IF(B$16=0,0,B17/B$16)</f>
        <v>1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5">
      <c r="A18" s="94" t="s">
        <v>11</v>
      </c>
      <c r="B18" s="86">
        <v>0</v>
      </c>
      <c r="C18" s="64">
        <f>IF(B$16=0,0,B18/B$16)</f>
        <v>0</v>
      </c>
      <c r="E18" s="103" t="s">
        <v>83</v>
      </c>
      <c r="F18" s="99" t="s">
        <v>36</v>
      </c>
      <c r="G18" s="86">
        <v>0</v>
      </c>
      <c r="H18" s="64">
        <f t="shared" si="0"/>
        <v>0</v>
      </c>
    </row>
    <row r="19" spans="1:8" x14ac:dyDescent="0.45">
      <c r="A19" s="94" t="s">
        <v>13</v>
      </c>
      <c r="B19" s="86">
        <v>10</v>
      </c>
      <c r="C19" s="64">
        <f>IF(B$3=0,0,B19/B$3)</f>
        <v>0.4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5">
      <c r="A20" s="94" t="s">
        <v>5</v>
      </c>
      <c r="B20" s="90">
        <f>IF(B$16=0,0,C20/B$16)</f>
        <v>7800</v>
      </c>
      <c r="C20" s="67">
        <v>7800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5">
      <c r="A21" s="96" t="s">
        <v>14</v>
      </c>
      <c r="B21" s="91">
        <f>IF(B$19=0,0,C21/B$19)</f>
        <v>-8240</v>
      </c>
      <c r="C21" s="84">
        <v>-82400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5">
      <c r="A22" s="93" t="s">
        <v>147</v>
      </c>
      <c r="B22" s="85">
        <v>0</v>
      </c>
      <c r="C22" s="61">
        <f>IF(B$3=0,0,B22/B$3)</f>
        <v>0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5">
      <c r="A23" s="96" t="s">
        <v>148</v>
      </c>
      <c r="B23" s="88">
        <v>0</v>
      </c>
      <c r="C23" s="69">
        <f>IF(B$22=0,0,B23/B$22)</f>
        <v>0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5">
      <c r="A24" s="93" t="s">
        <v>126</v>
      </c>
      <c r="B24" s="119">
        <v>0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5">
      <c r="A25" s="96" t="s">
        <v>127</v>
      </c>
      <c r="B25" s="121">
        <v>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5">
      <c r="A26" s="105" t="s">
        <v>164</v>
      </c>
      <c r="B26" s="115">
        <v>0</v>
      </c>
      <c r="C26" s="116"/>
      <c r="E26" s="103" t="s">
        <v>91</v>
      </c>
      <c r="F26" s="99" t="s">
        <v>44</v>
      </c>
      <c r="G26" s="86">
        <v>0</v>
      </c>
      <c r="H26" s="64">
        <f t="shared" si="0"/>
        <v>0</v>
      </c>
    </row>
    <row r="27" spans="1:8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5">
      <c r="E29" s="103" t="s">
        <v>94</v>
      </c>
      <c r="F29" s="99" t="s">
        <v>47</v>
      </c>
      <c r="G29" s="86">
        <v>0</v>
      </c>
      <c r="H29" s="64">
        <f t="shared" si="0"/>
        <v>0</v>
      </c>
    </row>
    <row r="30" spans="1:8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8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20C2A-EF63-41D7-A31B-1F811754EE89}">
  <sheetPr codeName="Sheet10"/>
  <dimension ref="A1:Q7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179</v>
      </c>
      <c r="B1" s="111" t="s">
        <v>179</v>
      </c>
      <c r="C1" s="111" t="s">
        <v>179</v>
      </c>
      <c r="D1" s="112" t="s">
        <v>179</v>
      </c>
      <c r="E1" s="111" t="s">
        <v>179</v>
      </c>
      <c r="F1" s="111" t="s">
        <v>179</v>
      </c>
      <c r="G1" s="111" t="s">
        <v>179</v>
      </c>
      <c r="H1" s="111" t="s">
        <v>179</v>
      </c>
      <c r="I1" s="111" t="s">
        <v>179</v>
      </c>
      <c r="J1" s="111" t="s">
        <v>179</v>
      </c>
      <c r="K1" s="111" t="s">
        <v>179</v>
      </c>
      <c r="L1" s="111" t="s">
        <v>179</v>
      </c>
      <c r="M1" s="111" t="s">
        <v>179</v>
      </c>
      <c r="N1" s="111" t="s">
        <v>179</v>
      </c>
      <c r="O1" s="111" t="s">
        <v>179</v>
      </c>
      <c r="P1" s="111" t="s">
        <v>179</v>
      </c>
      <c r="Q1" s="111" t="s">
        <v>179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-21</v>
      </c>
      <c r="C4" s="107">
        <v>-21</v>
      </c>
      <c r="D4" s="112">
        <v>3</v>
      </c>
      <c r="E4" s="108">
        <v>0</v>
      </c>
      <c r="F4" s="108">
        <v>0</v>
      </c>
      <c r="G4" s="108">
        <v>0.6</v>
      </c>
      <c r="H4" s="109">
        <v>0</v>
      </c>
      <c r="I4" s="109">
        <v>-7000</v>
      </c>
      <c r="J4" s="108">
        <v>0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-58.4</v>
      </c>
      <c r="C5" s="107">
        <v>-29.2</v>
      </c>
      <c r="D5" s="112">
        <v>3</v>
      </c>
      <c r="E5" s="108">
        <v>0</v>
      </c>
      <c r="F5" s="108">
        <v>7.6923076923076927E-2</v>
      </c>
      <c r="G5" s="108">
        <v>0.38461538461538464</v>
      </c>
      <c r="H5" s="109">
        <v>7800</v>
      </c>
      <c r="I5" s="109">
        <v>-10040</v>
      </c>
      <c r="J5" s="108">
        <v>0.5</v>
      </c>
      <c r="K5" s="108">
        <v>0</v>
      </c>
      <c r="P5" s="108">
        <v>1</v>
      </c>
      <c r="Q5" s="108">
        <v>0</v>
      </c>
    </row>
    <row r="6" spans="1:17" x14ac:dyDescent="0.45">
      <c r="A6" s="110">
        <v>3</v>
      </c>
      <c r="B6" s="107">
        <v>-82.6</v>
      </c>
      <c r="C6" s="107">
        <v>-27.533333333333331</v>
      </c>
      <c r="D6" s="112">
        <v>3</v>
      </c>
      <c r="E6" s="108">
        <v>0</v>
      </c>
      <c r="F6" s="108">
        <v>4.7619047619047616E-2</v>
      </c>
      <c r="G6" s="108">
        <v>0.38095238095238093</v>
      </c>
      <c r="H6" s="109">
        <v>7800</v>
      </c>
      <c r="I6" s="109">
        <v>-7800</v>
      </c>
      <c r="J6" s="108">
        <v>0.33333333333333331</v>
      </c>
      <c r="K6" s="108">
        <v>0</v>
      </c>
      <c r="P6" s="108">
        <v>1</v>
      </c>
      <c r="Q6" s="108">
        <v>0</v>
      </c>
    </row>
    <row r="7" spans="1:17" x14ac:dyDescent="0.45">
      <c r="A7" s="110">
        <v>4</v>
      </c>
      <c r="B7" s="107">
        <v>-128.1</v>
      </c>
      <c r="C7" s="107">
        <v>-32.024999999999999</v>
      </c>
      <c r="D7" s="112">
        <v>3</v>
      </c>
      <c r="E7" s="108">
        <v>0</v>
      </c>
      <c r="F7" s="108">
        <v>0.04</v>
      </c>
      <c r="G7" s="108">
        <v>0.4</v>
      </c>
      <c r="H7" s="109">
        <v>7800</v>
      </c>
      <c r="I7" s="109">
        <v>-8240</v>
      </c>
      <c r="J7" s="108">
        <v>0.5</v>
      </c>
      <c r="K7" s="108">
        <v>0</v>
      </c>
      <c r="P7" s="108">
        <v>1</v>
      </c>
      <c r="Q7" s="108">
        <v>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26563-FFD9-426F-958B-D1354F20B7BF}">
  <sheetPr codeName="Sheet11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180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3</v>
      </c>
      <c r="C2" s="120"/>
      <c r="E2" s="102" t="s">
        <v>67</v>
      </c>
      <c r="F2" s="98" t="s">
        <v>21</v>
      </c>
      <c r="G2" s="85">
        <v>1</v>
      </c>
      <c r="H2" s="61">
        <f t="shared" ref="H2:H51" si="0">IF(B$25=0,0,G2/B$25)</f>
        <v>1</v>
      </c>
      <c r="J2" s="60">
        <v>0</v>
      </c>
      <c r="K2" s="62">
        <v>0</v>
      </c>
      <c r="M2" s="60" t="s">
        <v>150</v>
      </c>
      <c r="N2" s="81">
        <f t="shared" ref="N2:N7" si="1">IF(P2=0,0,O2/P2)</f>
        <v>-8666.6666666666661</v>
      </c>
      <c r="O2" s="78">
        <v>-26000</v>
      </c>
      <c r="P2" s="76">
        <v>3</v>
      </c>
    </row>
    <row r="3" spans="1:16" x14ac:dyDescent="0.45">
      <c r="A3" s="94" t="s">
        <v>8</v>
      </c>
      <c r="B3" s="125">
        <v>16</v>
      </c>
      <c r="C3" s="126"/>
      <c r="E3" s="103" t="s">
        <v>68</v>
      </c>
      <c r="F3" s="99" t="s">
        <v>22</v>
      </c>
      <c r="G3" s="86">
        <v>0</v>
      </c>
      <c r="H3" s="64">
        <f t="shared" si="0"/>
        <v>0</v>
      </c>
      <c r="J3" s="63">
        <v>1</v>
      </c>
      <c r="K3" s="65">
        <v>7</v>
      </c>
      <c r="M3" s="63" t="s">
        <v>151</v>
      </c>
      <c r="N3" s="82">
        <f t="shared" si="1"/>
        <v>-250</v>
      </c>
      <c r="O3" s="79">
        <v>-500</v>
      </c>
      <c r="P3" s="74">
        <v>2</v>
      </c>
    </row>
    <row r="4" spans="1:16" x14ac:dyDescent="0.45">
      <c r="A4" s="94" t="s">
        <v>6</v>
      </c>
      <c r="B4" s="127">
        <v>-25.5</v>
      </c>
      <c r="C4" s="128"/>
      <c r="E4" s="103" t="s">
        <v>69</v>
      </c>
      <c r="F4" s="99" t="s">
        <v>23</v>
      </c>
      <c r="G4" s="86">
        <v>0</v>
      </c>
      <c r="H4" s="64">
        <f t="shared" si="0"/>
        <v>0</v>
      </c>
      <c r="J4" s="63">
        <v>2</v>
      </c>
      <c r="K4" s="65">
        <v>-23.5</v>
      </c>
      <c r="M4" s="63" t="s">
        <v>152</v>
      </c>
      <c r="N4" s="82">
        <f t="shared" si="1"/>
        <v>-3500</v>
      </c>
      <c r="O4" s="79">
        <v>-7000</v>
      </c>
      <c r="P4" s="74">
        <v>2</v>
      </c>
    </row>
    <row r="5" spans="1:16" x14ac:dyDescent="0.45">
      <c r="A5" s="94" t="s">
        <v>7</v>
      </c>
      <c r="B5" s="127">
        <f>IF(B$2=0,0,B$4/B$2)</f>
        <v>-8.5</v>
      </c>
      <c r="C5" s="128"/>
      <c r="E5" s="103" t="s">
        <v>70</v>
      </c>
      <c r="F5" s="99" t="s">
        <v>24</v>
      </c>
      <c r="G5" s="86">
        <v>2</v>
      </c>
      <c r="H5" s="64">
        <f t="shared" si="0"/>
        <v>2</v>
      </c>
      <c r="J5" s="63">
        <v>3</v>
      </c>
      <c r="K5" s="65">
        <v>-25.5</v>
      </c>
      <c r="M5" s="63" t="s">
        <v>153</v>
      </c>
      <c r="N5" s="82">
        <f t="shared" si="1"/>
        <v>0</v>
      </c>
      <c r="O5" s="79">
        <v>0</v>
      </c>
      <c r="P5" s="74">
        <v>1</v>
      </c>
    </row>
    <row r="6" spans="1:16" x14ac:dyDescent="0.45">
      <c r="A6" s="94" t="s">
        <v>1</v>
      </c>
      <c r="B6" s="117">
        <f>IF(B$2=0,0,(B$7*1+B$8*2+B$9*3)/B$2)</f>
        <v>2.3333333333333335</v>
      </c>
      <c r="C6" s="118"/>
      <c r="E6" s="103" t="s">
        <v>71</v>
      </c>
      <c r="F6" s="99" t="s">
        <v>25</v>
      </c>
      <c r="G6" s="86">
        <v>0</v>
      </c>
      <c r="H6" s="64">
        <f t="shared" si="0"/>
        <v>0</v>
      </c>
      <c r="M6" s="63" t="s">
        <v>154</v>
      </c>
      <c r="N6" s="82">
        <f t="shared" si="1"/>
        <v>8000</v>
      </c>
      <c r="O6" s="79">
        <v>8000</v>
      </c>
      <c r="P6" s="74">
        <v>1</v>
      </c>
    </row>
    <row r="7" spans="1:16" x14ac:dyDescent="0.45">
      <c r="A7" s="94" t="s">
        <v>2</v>
      </c>
      <c r="B7" s="86">
        <v>0</v>
      </c>
      <c r="C7" s="64">
        <f>IF(B$2=0,0,B7/B$2)</f>
        <v>0</v>
      </c>
      <c r="E7" s="103" t="s">
        <v>72</v>
      </c>
      <c r="F7" s="99" t="s">
        <v>12</v>
      </c>
      <c r="G7" s="86">
        <v>0</v>
      </c>
      <c r="H7" s="64">
        <f t="shared" si="0"/>
        <v>0</v>
      </c>
      <c r="M7" s="68" t="s">
        <v>155</v>
      </c>
      <c r="N7" s="83">
        <f t="shared" si="1"/>
        <v>-1000</v>
      </c>
      <c r="O7" s="80">
        <v>-1000</v>
      </c>
      <c r="P7" s="75">
        <v>1</v>
      </c>
    </row>
    <row r="8" spans="1:16" x14ac:dyDescent="0.45">
      <c r="A8" s="94" t="s">
        <v>3</v>
      </c>
      <c r="B8" s="86">
        <v>2</v>
      </c>
      <c r="C8" s="64">
        <f t="shared" ref="C8:C9" si="2">IF(B$2=0,0,B8/B$2)</f>
        <v>0.66666666666666663</v>
      </c>
      <c r="E8" s="103" t="s">
        <v>73</v>
      </c>
      <c r="F8" s="99" t="s">
        <v>26</v>
      </c>
      <c r="G8" s="86">
        <v>1</v>
      </c>
      <c r="H8" s="64">
        <f t="shared" si="0"/>
        <v>1</v>
      </c>
    </row>
    <row r="9" spans="1:16" x14ac:dyDescent="0.45">
      <c r="A9" s="95" t="s">
        <v>4</v>
      </c>
      <c r="B9" s="87">
        <v>1</v>
      </c>
      <c r="C9" s="66">
        <f t="shared" si="2"/>
        <v>0.33333333333333331</v>
      </c>
      <c r="E9" s="103" t="s">
        <v>74</v>
      </c>
      <c r="F9" s="99" t="s">
        <v>27</v>
      </c>
      <c r="G9" s="86">
        <v>0</v>
      </c>
      <c r="H9" s="64">
        <f t="shared" si="0"/>
        <v>0</v>
      </c>
    </row>
    <row r="10" spans="1:16" x14ac:dyDescent="0.45">
      <c r="A10" s="95" t="s">
        <v>19</v>
      </c>
      <c r="B10" s="87">
        <v>0</v>
      </c>
      <c r="C10" s="66">
        <f>IF(B$2=0,0,B10/B$2)</f>
        <v>0</v>
      </c>
      <c r="E10" s="103" t="s">
        <v>75</v>
      </c>
      <c r="F10" s="99" t="s">
        <v>28</v>
      </c>
      <c r="G10" s="86">
        <v>1</v>
      </c>
      <c r="H10" s="64">
        <f t="shared" si="0"/>
        <v>1</v>
      </c>
    </row>
    <row r="11" spans="1:16" x14ac:dyDescent="0.45">
      <c r="A11" s="96" t="s">
        <v>160</v>
      </c>
      <c r="B11" s="88">
        <v>0</v>
      </c>
      <c r="C11" s="69">
        <f>IF(B$2=0,0,B11/B$2)</f>
        <v>0</v>
      </c>
      <c r="E11" s="103" t="s">
        <v>76</v>
      </c>
      <c r="F11" s="99" t="s">
        <v>29</v>
      </c>
      <c r="G11" s="86">
        <v>0</v>
      </c>
      <c r="H11" s="64">
        <f t="shared" si="0"/>
        <v>0</v>
      </c>
    </row>
    <row r="12" spans="1:16" x14ac:dyDescent="0.45">
      <c r="A12" s="97" t="s">
        <v>128</v>
      </c>
      <c r="B12" s="89">
        <v>5</v>
      </c>
      <c r="C12" s="72">
        <f>IF(B$24=0,0,B12/B$24)</f>
        <v>0.45454545454545453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5">
      <c r="A13" s="94" t="s">
        <v>123</v>
      </c>
      <c r="B13" s="86">
        <v>0</v>
      </c>
      <c r="C13" s="64">
        <f>IF(B$24=0,0,B13/B$24)</f>
        <v>0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5">
      <c r="A14" s="93" t="s">
        <v>130</v>
      </c>
      <c r="B14" s="85">
        <v>1</v>
      </c>
      <c r="C14" s="61">
        <f>IF(B$12=0,0,B14/B$12)</f>
        <v>0.2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5">
      <c r="A15" s="93" t="s">
        <v>131</v>
      </c>
      <c r="B15" s="85">
        <v>0</v>
      </c>
      <c r="C15" s="61">
        <f>IF(B$13=0,0,B15/B$13)</f>
        <v>0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5">
      <c r="A16" s="93" t="s">
        <v>10</v>
      </c>
      <c r="B16" s="85">
        <f>B18+B17</f>
        <v>3</v>
      </c>
      <c r="C16" s="61">
        <f>IF(B$3=0,0,B16/B$3)</f>
        <v>0.1875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5">
      <c r="A17" s="94" t="s">
        <v>12</v>
      </c>
      <c r="B17" s="86">
        <v>0</v>
      </c>
      <c r="C17" s="64">
        <f>IF(B$16=0,0,B17/B$16)</f>
        <v>0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5">
      <c r="A18" s="94" t="s">
        <v>11</v>
      </c>
      <c r="B18" s="86">
        <v>3</v>
      </c>
      <c r="C18" s="64">
        <f>IF(B$16=0,0,B18/B$16)</f>
        <v>1</v>
      </c>
      <c r="E18" s="103" t="s">
        <v>83</v>
      </c>
      <c r="F18" s="99" t="s">
        <v>36</v>
      </c>
      <c r="G18" s="86">
        <v>0</v>
      </c>
      <c r="H18" s="64">
        <f t="shared" si="0"/>
        <v>0</v>
      </c>
    </row>
    <row r="19" spans="1:8" x14ac:dyDescent="0.45">
      <c r="A19" s="94" t="s">
        <v>13</v>
      </c>
      <c r="B19" s="86">
        <v>2</v>
      </c>
      <c r="C19" s="64">
        <f>IF(B$3=0,0,B19/B$3)</f>
        <v>0.125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5">
      <c r="A20" s="94" t="s">
        <v>5</v>
      </c>
      <c r="B20" s="90">
        <f>IF(B$16=0,0,C20/B$16)</f>
        <v>8000</v>
      </c>
      <c r="C20" s="67">
        <v>24000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5">
      <c r="A21" s="96" t="s">
        <v>14</v>
      </c>
      <c r="B21" s="91">
        <f>IF(B$19=0,0,C21/B$19)</f>
        <v>-12000</v>
      </c>
      <c r="C21" s="84">
        <v>-24000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5">
      <c r="A22" s="93" t="s">
        <v>147</v>
      </c>
      <c r="B22" s="85">
        <v>3</v>
      </c>
      <c r="C22" s="61">
        <f>IF(B$3=0,0,B22/B$3)</f>
        <v>0.1875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5">
      <c r="A23" s="96" t="s">
        <v>148</v>
      </c>
      <c r="B23" s="88">
        <v>0</v>
      </c>
      <c r="C23" s="69">
        <f>IF(B$22=0,0,B23/B$22)</f>
        <v>0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5">
      <c r="A24" s="93" t="s">
        <v>126</v>
      </c>
      <c r="B24" s="119">
        <v>11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5">
      <c r="A25" s="96" t="s">
        <v>127</v>
      </c>
      <c r="B25" s="121">
        <v>1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5">
      <c r="A26" s="105" t="s">
        <v>164</v>
      </c>
      <c r="B26" s="115">
        <v>2</v>
      </c>
      <c r="C26" s="116"/>
      <c r="E26" s="103" t="s">
        <v>91</v>
      </c>
      <c r="F26" s="99" t="s">
        <v>44</v>
      </c>
      <c r="G26" s="86">
        <v>0</v>
      </c>
      <c r="H26" s="64">
        <f t="shared" si="0"/>
        <v>0</v>
      </c>
    </row>
    <row r="27" spans="1:8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5">
      <c r="E29" s="103" t="s">
        <v>94</v>
      </c>
      <c r="F29" s="99" t="s">
        <v>47</v>
      </c>
      <c r="G29" s="86">
        <v>0</v>
      </c>
      <c r="H29" s="64">
        <f t="shared" si="0"/>
        <v>0</v>
      </c>
    </row>
    <row r="30" spans="1:8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8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AF95E-1421-4F0F-9A30-257F8D438FD4}">
  <sheetPr codeName="Sheet12"/>
  <dimension ref="A1:Q6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180</v>
      </c>
      <c r="B1" s="111" t="s">
        <v>180</v>
      </c>
      <c r="C1" s="111" t="s">
        <v>180</v>
      </c>
      <c r="D1" s="112" t="s">
        <v>180</v>
      </c>
      <c r="E1" s="111" t="s">
        <v>180</v>
      </c>
      <c r="F1" s="111" t="s">
        <v>180</v>
      </c>
      <c r="G1" s="111" t="s">
        <v>180</v>
      </c>
      <c r="H1" s="111" t="s">
        <v>180</v>
      </c>
      <c r="I1" s="111" t="s">
        <v>180</v>
      </c>
      <c r="J1" s="111" t="s">
        <v>180</v>
      </c>
      <c r="K1" s="111" t="s">
        <v>180</v>
      </c>
      <c r="L1" s="111" t="s">
        <v>180</v>
      </c>
      <c r="M1" s="111" t="s">
        <v>180</v>
      </c>
      <c r="N1" s="111" t="s">
        <v>180</v>
      </c>
      <c r="O1" s="111" t="s">
        <v>180</v>
      </c>
      <c r="P1" s="111" t="s">
        <v>180</v>
      </c>
      <c r="Q1" s="111" t="s">
        <v>180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7</v>
      </c>
      <c r="C4" s="107">
        <v>7</v>
      </c>
      <c r="D4" s="112">
        <v>2</v>
      </c>
      <c r="E4" s="108">
        <v>0</v>
      </c>
      <c r="F4" s="108">
        <v>0.4</v>
      </c>
      <c r="G4" s="108">
        <v>0.2</v>
      </c>
      <c r="H4" s="109">
        <v>8000</v>
      </c>
      <c r="I4" s="109">
        <v>-12000</v>
      </c>
      <c r="J4" s="108">
        <v>0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-23.5</v>
      </c>
      <c r="C5" s="107">
        <v>-11.75</v>
      </c>
      <c r="D5" s="112">
        <v>2.5</v>
      </c>
      <c r="E5" s="108">
        <v>0</v>
      </c>
      <c r="F5" s="108">
        <v>0.2857142857142857</v>
      </c>
      <c r="G5" s="108">
        <v>0.2857142857142857</v>
      </c>
      <c r="H5" s="109">
        <v>8000</v>
      </c>
      <c r="I5" s="109">
        <v>-12000</v>
      </c>
      <c r="J5" s="108">
        <v>0</v>
      </c>
      <c r="K5" s="108">
        <v>0</v>
      </c>
      <c r="L5" s="108">
        <v>0.5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</row>
    <row r="6" spans="1:17" x14ac:dyDescent="0.45">
      <c r="A6" s="110">
        <v>3</v>
      </c>
      <c r="B6" s="107">
        <v>-25.5</v>
      </c>
      <c r="C6" s="107">
        <v>-8.5</v>
      </c>
      <c r="D6" s="112">
        <v>2.3333333333333335</v>
      </c>
      <c r="E6" s="108">
        <v>0</v>
      </c>
      <c r="F6" s="108">
        <v>0.1875</v>
      </c>
      <c r="G6" s="108">
        <v>0.125</v>
      </c>
      <c r="H6" s="109">
        <v>8000</v>
      </c>
      <c r="I6" s="109">
        <v>-12000</v>
      </c>
      <c r="J6" s="108">
        <v>0</v>
      </c>
      <c r="K6" s="108">
        <v>0</v>
      </c>
      <c r="L6" s="108">
        <v>0.45454545454545453</v>
      </c>
      <c r="M6" s="108">
        <v>0</v>
      </c>
      <c r="N6" s="108">
        <v>0.2</v>
      </c>
      <c r="O6" s="108">
        <v>0</v>
      </c>
      <c r="P6" s="108">
        <v>0</v>
      </c>
      <c r="Q6" s="108">
        <v>0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0AB3-EE38-4591-9891-A4DAA991C23D}">
  <sheetPr codeName="Sheet13"/>
  <dimension ref="A1:P11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134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109</v>
      </c>
      <c r="C2" s="120"/>
      <c r="E2" s="102" t="s">
        <v>67</v>
      </c>
      <c r="F2" s="98" t="s">
        <v>21</v>
      </c>
      <c r="G2" s="85">
        <v>94</v>
      </c>
      <c r="H2" s="61">
        <f t="shared" ref="H2:H51" si="0">IF(B$25=0,0,G2/B$25)</f>
        <v>0.61038961038961037</v>
      </c>
      <c r="J2" s="60">
        <v>0</v>
      </c>
      <c r="K2" s="62">
        <v>0</v>
      </c>
      <c r="M2" s="60" t="s">
        <v>150</v>
      </c>
      <c r="N2" s="81">
        <f t="shared" ref="N2:N7" si="1">IF(P2=0,0,O2/P2)</f>
        <v>-485.98130841121497</v>
      </c>
      <c r="O2" s="78">
        <v>-52000</v>
      </c>
      <c r="P2" s="76">
        <v>107</v>
      </c>
    </row>
    <row r="3" spans="1:16" x14ac:dyDescent="0.45">
      <c r="A3" s="94" t="s">
        <v>8</v>
      </c>
      <c r="B3" s="125">
        <v>838</v>
      </c>
      <c r="C3" s="126"/>
      <c r="E3" s="103" t="s">
        <v>68</v>
      </c>
      <c r="F3" s="99" t="s">
        <v>22</v>
      </c>
      <c r="G3" s="86">
        <v>24</v>
      </c>
      <c r="H3" s="64">
        <f t="shared" si="0"/>
        <v>0.15584415584415584</v>
      </c>
      <c r="J3" s="63">
        <v>1</v>
      </c>
      <c r="K3" s="65">
        <v>39.9</v>
      </c>
      <c r="M3" s="63" t="s">
        <v>151</v>
      </c>
      <c r="N3" s="82">
        <f t="shared" si="1"/>
        <v>-1833.9805825242718</v>
      </c>
      <c r="O3" s="79">
        <v>-188900</v>
      </c>
      <c r="P3" s="74">
        <v>103</v>
      </c>
    </row>
    <row r="4" spans="1:16" x14ac:dyDescent="0.45">
      <c r="A4" s="94" t="s">
        <v>6</v>
      </c>
      <c r="B4" s="127">
        <v>-448.89999999999992</v>
      </c>
      <c r="C4" s="128"/>
      <c r="E4" s="103" t="s">
        <v>69</v>
      </c>
      <c r="F4" s="99" t="s">
        <v>23</v>
      </c>
      <c r="G4" s="86">
        <v>104</v>
      </c>
      <c r="H4" s="64">
        <f t="shared" si="0"/>
        <v>0.67532467532467533</v>
      </c>
      <c r="J4" s="63">
        <v>2</v>
      </c>
      <c r="K4" s="65">
        <v>-0.89999999999999858</v>
      </c>
      <c r="M4" s="63" t="s">
        <v>152</v>
      </c>
      <c r="N4" s="82">
        <f t="shared" si="1"/>
        <v>2561</v>
      </c>
      <c r="O4" s="79">
        <v>256100</v>
      </c>
      <c r="P4" s="74">
        <v>100</v>
      </c>
    </row>
    <row r="5" spans="1:16" x14ac:dyDescent="0.45">
      <c r="A5" s="94" t="s">
        <v>7</v>
      </c>
      <c r="B5" s="127">
        <f>IF(B$2=0,0,B$4/B$2)</f>
        <v>-4.1183486238532101</v>
      </c>
      <c r="C5" s="128"/>
      <c r="E5" s="103" t="s">
        <v>70</v>
      </c>
      <c r="F5" s="99" t="s">
        <v>24</v>
      </c>
      <c r="G5" s="86">
        <v>46</v>
      </c>
      <c r="H5" s="64">
        <f t="shared" si="0"/>
        <v>0.29870129870129869</v>
      </c>
      <c r="J5" s="63">
        <v>3</v>
      </c>
      <c r="K5" s="65">
        <v>-35.4</v>
      </c>
      <c r="M5" s="63" t="s">
        <v>153</v>
      </c>
      <c r="N5" s="82">
        <f t="shared" si="1"/>
        <v>-1471.9101123595506</v>
      </c>
      <c r="O5" s="79">
        <v>-131000</v>
      </c>
      <c r="P5" s="74">
        <v>89</v>
      </c>
    </row>
    <row r="6" spans="1:16" x14ac:dyDescent="0.45">
      <c r="A6" s="94" t="s">
        <v>1</v>
      </c>
      <c r="B6" s="117">
        <f>IF(B$2=0,0,(B$7*1+B$8*2+B$9*3)/B$2)</f>
        <v>2.1284403669724772</v>
      </c>
      <c r="C6" s="118"/>
      <c r="E6" s="103" t="s">
        <v>71</v>
      </c>
      <c r="F6" s="99" t="s">
        <v>25</v>
      </c>
      <c r="G6" s="86">
        <v>118</v>
      </c>
      <c r="H6" s="64">
        <f t="shared" si="0"/>
        <v>0.76623376623376627</v>
      </c>
      <c r="J6" s="63">
        <v>4</v>
      </c>
      <c r="K6" s="65">
        <v>3.6000000000000014</v>
      </c>
      <c r="M6" s="63" t="s">
        <v>154</v>
      </c>
      <c r="N6" s="82">
        <f t="shared" si="1"/>
        <v>-3098.6486486486488</v>
      </c>
      <c r="O6" s="79">
        <v>-229300</v>
      </c>
      <c r="P6" s="74">
        <v>74</v>
      </c>
    </row>
    <row r="7" spans="1:16" x14ac:dyDescent="0.45">
      <c r="A7" s="94" t="s">
        <v>2</v>
      </c>
      <c r="B7" s="86">
        <v>31</v>
      </c>
      <c r="C7" s="64">
        <f>IF(B$2=0,0,B7/B$2)</f>
        <v>0.28440366972477066</v>
      </c>
      <c r="E7" s="103" t="s">
        <v>72</v>
      </c>
      <c r="F7" s="99" t="s">
        <v>12</v>
      </c>
      <c r="G7" s="86">
        <v>54</v>
      </c>
      <c r="H7" s="64">
        <f t="shared" si="0"/>
        <v>0.35064935064935066</v>
      </c>
      <c r="J7" s="63">
        <v>5</v>
      </c>
      <c r="K7" s="65">
        <v>13.600000000000001</v>
      </c>
      <c r="M7" s="68" t="s">
        <v>155</v>
      </c>
      <c r="N7" s="83">
        <f t="shared" si="1"/>
        <v>-2686.2068965517242</v>
      </c>
      <c r="O7" s="80">
        <v>-155800</v>
      </c>
      <c r="P7" s="75">
        <v>58</v>
      </c>
    </row>
    <row r="8" spans="1:16" x14ac:dyDescent="0.45">
      <c r="A8" s="94" t="s">
        <v>3</v>
      </c>
      <c r="B8" s="86">
        <v>33</v>
      </c>
      <c r="C8" s="64">
        <f t="shared" ref="C8:C9" si="2">IF(B$2=0,0,B8/B$2)</f>
        <v>0.30275229357798167</v>
      </c>
      <c r="E8" s="103" t="s">
        <v>73</v>
      </c>
      <c r="F8" s="99" t="s">
        <v>26</v>
      </c>
      <c r="G8" s="86">
        <v>23</v>
      </c>
      <c r="H8" s="64">
        <f t="shared" si="0"/>
        <v>0.14935064935064934</v>
      </c>
      <c r="J8" s="63">
        <v>6</v>
      </c>
      <c r="K8" s="65">
        <v>45.6</v>
      </c>
    </row>
    <row r="9" spans="1:16" x14ac:dyDescent="0.45">
      <c r="A9" s="95" t="s">
        <v>4</v>
      </c>
      <c r="B9" s="87">
        <v>45</v>
      </c>
      <c r="C9" s="66">
        <f t="shared" si="2"/>
        <v>0.41284403669724773</v>
      </c>
      <c r="E9" s="103" t="s">
        <v>74</v>
      </c>
      <c r="F9" s="99" t="s">
        <v>27</v>
      </c>
      <c r="G9" s="86">
        <v>23</v>
      </c>
      <c r="H9" s="64">
        <f t="shared" si="0"/>
        <v>0.14935064935064934</v>
      </c>
      <c r="J9" s="63">
        <v>7</v>
      </c>
      <c r="K9" s="65">
        <v>97.1</v>
      </c>
    </row>
    <row r="10" spans="1:16" x14ac:dyDescent="0.45">
      <c r="A10" s="95" t="s">
        <v>19</v>
      </c>
      <c r="B10" s="87">
        <v>23</v>
      </c>
      <c r="C10" s="66">
        <f>IF(B$2=0,0,B10/B$2)</f>
        <v>0.21100917431192662</v>
      </c>
      <c r="E10" s="103" t="s">
        <v>75</v>
      </c>
      <c r="F10" s="99" t="s">
        <v>28</v>
      </c>
      <c r="G10" s="86">
        <v>4</v>
      </c>
      <c r="H10" s="64">
        <f t="shared" si="0"/>
        <v>2.5974025974025976E-2</v>
      </c>
      <c r="J10" s="63">
        <v>8</v>
      </c>
      <c r="K10" s="65">
        <v>58.199999999999996</v>
      </c>
    </row>
    <row r="11" spans="1:16" x14ac:dyDescent="0.45">
      <c r="A11" s="96" t="s">
        <v>160</v>
      </c>
      <c r="B11" s="88">
        <v>15</v>
      </c>
      <c r="C11" s="69">
        <f>IF(B$2=0,0,B11/B$2)</f>
        <v>0.13761467889908258</v>
      </c>
      <c r="E11" s="103" t="s">
        <v>76</v>
      </c>
      <c r="F11" s="99" t="s">
        <v>29</v>
      </c>
      <c r="G11" s="86">
        <v>86</v>
      </c>
      <c r="H11" s="64">
        <f t="shared" si="0"/>
        <v>0.55844155844155841</v>
      </c>
      <c r="J11" s="63">
        <v>9</v>
      </c>
      <c r="K11" s="65">
        <v>23.4</v>
      </c>
    </row>
    <row r="12" spans="1:16" x14ac:dyDescent="0.45">
      <c r="A12" s="97" t="s">
        <v>128</v>
      </c>
      <c r="B12" s="89">
        <v>168</v>
      </c>
      <c r="C12" s="72">
        <f>IF(B$24=0,0,B12/B$24)</f>
        <v>0.29116117850953205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-20.100000000000001</v>
      </c>
    </row>
    <row r="13" spans="1:16" x14ac:dyDescent="0.45">
      <c r="A13" s="94" t="s">
        <v>123</v>
      </c>
      <c r="B13" s="86">
        <v>103</v>
      </c>
      <c r="C13" s="64">
        <f>IF(B$24=0,0,B13/B$24)</f>
        <v>0.17850953206239167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-3.6000000000000014</v>
      </c>
    </row>
    <row r="14" spans="1:16" x14ac:dyDescent="0.45">
      <c r="A14" s="93" t="s">
        <v>130</v>
      </c>
      <c r="B14" s="85">
        <v>95</v>
      </c>
      <c r="C14" s="61">
        <f>IF(B$12=0,0,B14/B$12)</f>
        <v>0.56547619047619047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-12.000000000000002</v>
      </c>
    </row>
    <row r="15" spans="1:16" x14ac:dyDescent="0.45">
      <c r="A15" s="93" t="s">
        <v>131</v>
      </c>
      <c r="B15" s="85">
        <v>39</v>
      </c>
      <c r="C15" s="61">
        <f>IF(B$13=0,0,B15/B$13)</f>
        <v>0.37864077669902912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48.5</v>
      </c>
    </row>
    <row r="16" spans="1:16" x14ac:dyDescent="0.45">
      <c r="A16" s="93" t="s">
        <v>10</v>
      </c>
      <c r="B16" s="85">
        <f>B18+B17</f>
        <v>215</v>
      </c>
      <c r="C16" s="61">
        <f>IF(B$3=0,0,B16/B$3)</f>
        <v>0.25656324582338902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32</v>
      </c>
    </row>
    <row r="17" spans="1:11" x14ac:dyDescent="0.45">
      <c r="A17" s="94" t="s">
        <v>12</v>
      </c>
      <c r="B17" s="86">
        <v>91</v>
      </c>
      <c r="C17" s="64">
        <f>IF(B$16=0,0,B17/B$16)</f>
        <v>0.42325581395348838</v>
      </c>
      <c r="E17" s="103" t="s">
        <v>82</v>
      </c>
      <c r="F17" s="99" t="s">
        <v>35</v>
      </c>
      <c r="G17" s="86">
        <v>3</v>
      </c>
      <c r="H17" s="64">
        <f t="shared" si="0"/>
        <v>1.948051948051948E-2</v>
      </c>
      <c r="J17" s="63">
        <v>15</v>
      </c>
      <c r="K17" s="65">
        <v>36.5</v>
      </c>
    </row>
    <row r="18" spans="1:11" x14ac:dyDescent="0.45">
      <c r="A18" s="94" t="s">
        <v>11</v>
      </c>
      <c r="B18" s="86">
        <v>124</v>
      </c>
      <c r="C18" s="64">
        <f>IF(B$16=0,0,B18/B$16)</f>
        <v>0.57674418604651168</v>
      </c>
      <c r="E18" s="103" t="s">
        <v>83</v>
      </c>
      <c r="F18" s="99" t="s">
        <v>36</v>
      </c>
      <c r="G18" s="86">
        <v>2</v>
      </c>
      <c r="H18" s="64">
        <f t="shared" si="0"/>
        <v>1.2987012987012988E-2</v>
      </c>
      <c r="J18" s="63">
        <v>16</v>
      </c>
      <c r="K18" s="65">
        <v>13.600000000000001</v>
      </c>
    </row>
    <row r="19" spans="1:11" x14ac:dyDescent="0.45">
      <c r="A19" s="94" t="s">
        <v>13</v>
      </c>
      <c r="B19" s="86">
        <v>164</v>
      </c>
      <c r="C19" s="64">
        <f>IF(B$3=0,0,B19/B$3)</f>
        <v>0.19570405727923629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12.900000000000002</v>
      </c>
    </row>
    <row r="20" spans="1:11" x14ac:dyDescent="0.45">
      <c r="A20" s="94" t="s">
        <v>5</v>
      </c>
      <c r="B20" s="90">
        <f>IF(B$16=0,0,C20/B$16)</f>
        <v>11211.627906976744</v>
      </c>
      <c r="C20" s="67">
        <v>2410500</v>
      </c>
      <c r="E20" s="103" t="s">
        <v>85</v>
      </c>
      <c r="F20" s="99" t="s">
        <v>38</v>
      </c>
      <c r="G20" s="86">
        <v>1</v>
      </c>
      <c r="H20" s="64">
        <f t="shared" si="0"/>
        <v>6.4935064935064939E-3</v>
      </c>
      <c r="J20" s="63">
        <v>18</v>
      </c>
      <c r="K20" s="65">
        <v>-21.999999999999996</v>
      </c>
    </row>
    <row r="21" spans="1:11" x14ac:dyDescent="0.45">
      <c r="A21" s="96" t="s">
        <v>14</v>
      </c>
      <c r="B21" s="91">
        <f>IF(B$19=0,0,C21/B$19)</f>
        <v>-9938.414634146342</v>
      </c>
      <c r="C21" s="84">
        <v>-1629900</v>
      </c>
      <c r="E21" s="103" t="s">
        <v>86</v>
      </c>
      <c r="F21" s="99" t="s">
        <v>39</v>
      </c>
      <c r="G21" s="86">
        <v>6</v>
      </c>
      <c r="H21" s="64">
        <f t="shared" si="0"/>
        <v>3.896103896103896E-2</v>
      </c>
      <c r="J21" s="63">
        <v>19</v>
      </c>
      <c r="K21" s="65">
        <v>-26.699999999999996</v>
      </c>
    </row>
    <row r="22" spans="1:11" x14ac:dyDescent="0.45">
      <c r="A22" s="93" t="s">
        <v>147</v>
      </c>
      <c r="B22" s="85">
        <v>267</v>
      </c>
      <c r="C22" s="61">
        <f>IF(B$3=0,0,B22/B$3)</f>
        <v>0.31861575178997614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-56.899999999999991</v>
      </c>
    </row>
    <row r="23" spans="1:11" x14ac:dyDescent="0.45">
      <c r="A23" s="96" t="s">
        <v>148</v>
      </c>
      <c r="B23" s="88">
        <v>83</v>
      </c>
      <c r="C23" s="69">
        <f>IF(B$22=0,0,B23/B$22)</f>
        <v>0.31086142322097376</v>
      </c>
      <c r="E23" s="103" t="s">
        <v>88</v>
      </c>
      <c r="F23" s="99" t="s">
        <v>41</v>
      </c>
      <c r="G23" s="86">
        <v>13</v>
      </c>
      <c r="H23" s="64">
        <f t="shared" si="0"/>
        <v>8.4415584415584416E-2</v>
      </c>
      <c r="J23" s="63">
        <v>21</v>
      </c>
      <c r="K23" s="65">
        <v>-80.699999999999989</v>
      </c>
    </row>
    <row r="24" spans="1:11" x14ac:dyDescent="0.45">
      <c r="A24" s="93" t="s">
        <v>126</v>
      </c>
      <c r="B24" s="119">
        <v>577</v>
      </c>
      <c r="C24" s="120"/>
      <c r="E24" s="103" t="s">
        <v>89</v>
      </c>
      <c r="F24" s="99" t="s">
        <v>42</v>
      </c>
      <c r="G24" s="86">
        <v>1</v>
      </c>
      <c r="H24" s="64">
        <f t="shared" si="0"/>
        <v>6.4935064935064939E-3</v>
      </c>
      <c r="J24" s="63">
        <v>22</v>
      </c>
      <c r="K24" s="65">
        <v>-91.6</v>
      </c>
    </row>
    <row r="25" spans="1:11" x14ac:dyDescent="0.45">
      <c r="A25" s="96" t="s">
        <v>127</v>
      </c>
      <c r="B25" s="121">
        <v>154</v>
      </c>
      <c r="C25" s="122"/>
      <c r="E25" s="103" t="s">
        <v>90</v>
      </c>
      <c r="F25" s="99" t="s">
        <v>43</v>
      </c>
      <c r="G25" s="86">
        <v>2</v>
      </c>
      <c r="H25" s="64">
        <f t="shared" si="0"/>
        <v>1.2987012987012988E-2</v>
      </c>
      <c r="J25" s="63">
        <v>23</v>
      </c>
      <c r="K25" s="65">
        <v>-107.3</v>
      </c>
    </row>
    <row r="26" spans="1:11" x14ac:dyDescent="0.45">
      <c r="A26" s="105" t="s">
        <v>164</v>
      </c>
      <c r="B26" s="115">
        <v>10</v>
      </c>
      <c r="C26" s="116"/>
      <c r="E26" s="103" t="s">
        <v>91</v>
      </c>
      <c r="F26" s="99" t="s">
        <v>44</v>
      </c>
      <c r="G26" s="86">
        <v>14</v>
      </c>
      <c r="H26" s="64">
        <f t="shared" si="0"/>
        <v>9.0909090909090912E-2</v>
      </c>
      <c r="J26" s="63">
        <v>24</v>
      </c>
      <c r="K26" s="65">
        <v>-65.099999999999994</v>
      </c>
    </row>
    <row r="27" spans="1:11" x14ac:dyDescent="0.45">
      <c r="A27" s="96" t="s">
        <v>165</v>
      </c>
      <c r="B27" s="106">
        <v>4</v>
      </c>
      <c r="C27" s="69">
        <f>IF(B$3=0,0,B27/B$3)</f>
        <v>4.7732696897374704E-3</v>
      </c>
      <c r="E27" s="103" t="s">
        <v>92</v>
      </c>
      <c r="F27" s="99" t="s">
        <v>45</v>
      </c>
      <c r="G27" s="86">
        <v>1</v>
      </c>
      <c r="H27" s="64">
        <f t="shared" si="0"/>
        <v>6.4935064935064939E-3</v>
      </c>
      <c r="J27" s="63">
        <v>25</v>
      </c>
      <c r="K27" s="65">
        <v>-67.899999999999991</v>
      </c>
    </row>
    <row r="28" spans="1:11" x14ac:dyDescent="0.45">
      <c r="E28" s="103" t="s">
        <v>93</v>
      </c>
      <c r="F28" s="99" t="s">
        <v>46</v>
      </c>
      <c r="G28" s="86">
        <v>1</v>
      </c>
      <c r="H28" s="64">
        <f t="shared" si="0"/>
        <v>6.4935064935064939E-3</v>
      </c>
      <c r="J28" s="63">
        <v>26</v>
      </c>
      <c r="K28" s="65">
        <v>-121.89999999999999</v>
      </c>
    </row>
    <row r="29" spans="1:11" x14ac:dyDescent="0.45">
      <c r="E29" s="103" t="s">
        <v>94</v>
      </c>
      <c r="F29" s="99" t="s">
        <v>47</v>
      </c>
      <c r="G29" s="86">
        <v>26</v>
      </c>
      <c r="H29" s="64">
        <f t="shared" si="0"/>
        <v>0.16883116883116883</v>
      </c>
      <c r="J29" s="63">
        <v>27</v>
      </c>
      <c r="K29" s="65">
        <v>-158.6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-164.5</v>
      </c>
    </row>
    <row r="31" spans="1:11" x14ac:dyDescent="0.45">
      <c r="E31" s="103" t="s">
        <v>96</v>
      </c>
      <c r="F31" s="99" t="s">
        <v>49</v>
      </c>
      <c r="G31" s="86">
        <v>7</v>
      </c>
      <c r="H31" s="64">
        <f t="shared" si="0"/>
        <v>4.5454545454545456E-2</v>
      </c>
      <c r="J31" s="63">
        <v>29</v>
      </c>
      <c r="K31" s="65">
        <v>-158.30000000000001</v>
      </c>
    </row>
    <row r="32" spans="1:11" x14ac:dyDescent="0.45">
      <c r="E32" s="103" t="s">
        <v>97</v>
      </c>
      <c r="F32" s="99" t="s">
        <v>50</v>
      </c>
      <c r="G32" s="86">
        <v>2</v>
      </c>
      <c r="H32" s="64">
        <f t="shared" si="0"/>
        <v>1.2987012987012988E-2</v>
      </c>
      <c r="J32" s="63">
        <v>30</v>
      </c>
      <c r="K32" s="65">
        <v>-203.4</v>
      </c>
    </row>
    <row r="33" spans="5:11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-252.9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-247.6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-229.9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-224.8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-248.3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-199.3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-243.3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-237.5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-238.6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-272.7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-312.09999999999997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-307.29999999999995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-278.79999999999995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-234.89999999999995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-250.29999999999995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-274.59999999999997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-259.59999999999997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-282.79999999999995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-276.99999999999994</v>
      </c>
    </row>
    <row r="52" spans="5:11" x14ac:dyDescent="0.45">
      <c r="J52" s="63">
        <v>50</v>
      </c>
      <c r="K52" s="65">
        <v>-280.09999999999997</v>
      </c>
    </row>
    <row r="53" spans="5:11" x14ac:dyDescent="0.45">
      <c r="J53" s="63">
        <v>51</v>
      </c>
      <c r="K53" s="65">
        <v>-262.59999999999997</v>
      </c>
    </row>
    <row r="54" spans="5:11" x14ac:dyDescent="0.45">
      <c r="J54" s="63">
        <v>52</v>
      </c>
      <c r="K54" s="65">
        <v>-300.09999999999997</v>
      </c>
    </row>
    <row r="55" spans="5:11" x14ac:dyDescent="0.45">
      <c r="J55" s="63">
        <v>53</v>
      </c>
      <c r="K55" s="65">
        <v>-327.49999999999994</v>
      </c>
    </row>
    <row r="56" spans="5:11" x14ac:dyDescent="0.45">
      <c r="J56" s="63">
        <v>54</v>
      </c>
      <c r="K56" s="65">
        <v>-368.89999999999992</v>
      </c>
    </row>
    <row r="57" spans="5:11" x14ac:dyDescent="0.45">
      <c r="J57" s="63">
        <v>55</v>
      </c>
      <c r="K57" s="65">
        <v>-354.2999999999999</v>
      </c>
    </row>
    <row r="58" spans="5:11" x14ac:dyDescent="0.45">
      <c r="J58" s="63">
        <v>56</v>
      </c>
      <c r="K58" s="65">
        <v>-307.2999999999999</v>
      </c>
    </row>
    <row r="59" spans="5:11" x14ac:dyDescent="0.45">
      <c r="J59" s="63">
        <v>57</v>
      </c>
      <c r="K59" s="65">
        <v>-303.49999999999989</v>
      </c>
    </row>
    <row r="60" spans="5:11" x14ac:dyDescent="0.45">
      <c r="J60" s="63">
        <v>58</v>
      </c>
      <c r="K60" s="65">
        <v>-246.59999999999988</v>
      </c>
    </row>
    <row r="61" spans="5:11" x14ac:dyDescent="0.45">
      <c r="J61" s="63">
        <v>59</v>
      </c>
      <c r="K61" s="65">
        <v>-198.09999999999988</v>
      </c>
    </row>
    <row r="62" spans="5:11" x14ac:dyDescent="0.45">
      <c r="J62" s="63">
        <v>60</v>
      </c>
      <c r="K62" s="65">
        <v>-207.59999999999988</v>
      </c>
    </row>
    <row r="63" spans="5:11" x14ac:dyDescent="0.45">
      <c r="J63" s="63">
        <v>61</v>
      </c>
      <c r="K63" s="65">
        <v>-204.89999999999989</v>
      </c>
    </row>
    <row r="64" spans="5:11" x14ac:dyDescent="0.45">
      <c r="J64" s="63">
        <v>62</v>
      </c>
      <c r="K64" s="65">
        <v>-242.89999999999989</v>
      </c>
    </row>
    <row r="65" spans="10:11" x14ac:dyDescent="0.45">
      <c r="J65" s="63">
        <v>63</v>
      </c>
      <c r="K65" s="65">
        <v>-281.99999999999989</v>
      </c>
    </row>
    <row r="66" spans="10:11" x14ac:dyDescent="0.45">
      <c r="J66" s="63">
        <v>64</v>
      </c>
      <c r="K66" s="65">
        <v>-346.99999999999989</v>
      </c>
    </row>
    <row r="67" spans="10:11" x14ac:dyDescent="0.45">
      <c r="J67" s="63">
        <v>65</v>
      </c>
      <c r="K67" s="65">
        <v>-370.09999999999991</v>
      </c>
    </row>
    <row r="68" spans="10:11" x14ac:dyDescent="0.45">
      <c r="J68" s="63">
        <v>66</v>
      </c>
      <c r="K68" s="65">
        <v>-367.49999999999989</v>
      </c>
    </row>
    <row r="69" spans="10:11" x14ac:dyDescent="0.45">
      <c r="J69" s="63">
        <v>67</v>
      </c>
      <c r="K69" s="65">
        <v>-360.19999999999987</v>
      </c>
    </row>
    <row r="70" spans="10:11" x14ac:dyDescent="0.45">
      <c r="J70" s="63">
        <v>68</v>
      </c>
      <c r="K70" s="65">
        <v>-395.2999999999999</v>
      </c>
    </row>
    <row r="71" spans="10:11" x14ac:dyDescent="0.45">
      <c r="J71" s="63">
        <v>69</v>
      </c>
      <c r="K71" s="65">
        <v>-400.49999999999989</v>
      </c>
    </row>
    <row r="72" spans="10:11" x14ac:dyDescent="0.45">
      <c r="J72" s="63">
        <v>70</v>
      </c>
      <c r="K72" s="65">
        <v>-368.49999999999989</v>
      </c>
    </row>
    <row r="73" spans="10:11" x14ac:dyDescent="0.45">
      <c r="J73" s="63">
        <v>71</v>
      </c>
      <c r="K73" s="65">
        <v>-363.2999999999999</v>
      </c>
    </row>
    <row r="74" spans="10:11" x14ac:dyDescent="0.45">
      <c r="J74" s="63">
        <v>72</v>
      </c>
      <c r="K74" s="65">
        <v>-397.7999999999999</v>
      </c>
    </row>
    <row r="75" spans="10:11" x14ac:dyDescent="0.45">
      <c r="J75" s="63">
        <v>73</v>
      </c>
      <c r="K75" s="65">
        <v>-382.59999999999991</v>
      </c>
    </row>
    <row r="76" spans="10:11" x14ac:dyDescent="0.45">
      <c r="J76" s="63">
        <v>74</v>
      </c>
      <c r="K76" s="65">
        <v>-388.49999999999989</v>
      </c>
    </row>
    <row r="77" spans="10:11" x14ac:dyDescent="0.45">
      <c r="J77" s="63">
        <v>75</v>
      </c>
      <c r="K77" s="65">
        <v>-407.69999999999987</v>
      </c>
    </row>
    <row r="78" spans="10:11" x14ac:dyDescent="0.45">
      <c r="J78" s="63">
        <v>76</v>
      </c>
      <c r="K78" s="65">
        <v>-358.69999999999987</v>
      </c>
    </row>
    <row r="79" spans="10:11" x14ac:dyDescent="0.45">
      <c r="J79" s="63">
        <v>77</v>
      </c>
      <c r="K79" s="65">
        <v>-369.7999999999999</v>
      </c>
    </row>
    <row r="80" spans="10:11" x14ac:dyDescent="0.45">
      <c r="J80" s="63">
        <v>78</v>
      </c>
      <c r="K80" s="65">
        <v>-354.99999999999989</v>
      </c>
    </row>
    <row r="81" spans="10:11" x14ac:dyDescent="0.45">
      <c r="J81" s="63">
        <v>79</v>
      </c>
      <c r="K81" s="65">
        <v>-372.99999999999989</v>
      </c>
    </row>
    <row r="82" spans="10:11" x14ac:dyDescent="0.45">
      <c r="J82" s="63">
        <v>80</v>
      </c>
      <c r="K82" s="65">
        <v>-379.7999999999999</v>
      </c>
    </row>
    <row r="83" spans="10:11" x14ac:dyDescent="0.45">
      <c r="J83" s="63">
        <v>81</v>
      </c>
      <c r="K83" s="65">
        <v>-368.99999999999989</v>
      </c>
    </row>
    <row r="84" spans="10:11" x14ac:dyDescent="0.45">
      <c r="J84" s="63">
        <v>82</v>
      </c>
      <c r="K84" s="65">
        <v>-387.59999999999991</v>
      </c>
    </row>
    <row r="85" spans="10:11" x14ac:dyDescent="0.45">
      <c r="J85" s="63">
        <v>83</v>
      </c>
      <c r="K85" s="65">
        <v>-386.39999999999992</v>
      </c>
    </row>
    <row r="86" spans="10:11" x14ac:dyDescent="0.45">
      <c r="J86" s="63">
        <v>84</v>
      </c>
      <c r="K86" s="65">
        <v>-361.89999999999992</v>
      </c>
    </row>
    <row r="87" spans="10:11" x14ac:dyDescent="0.45">
      <c r="J87" s="63">
        <v>85</v>
      </c>
      <c r="K87" s="65">
        <v>-398.89999999999992</v>
      </c>
    </row>
    <row r="88" spans="10:11" x14ac:dyDescent="0.45">
      <c r="J88" s="63">
        <v>86</v>
      </c>
      <c r="K88" s="65">
        <v>-375.39999999999992</v>
      </c>
    </row>
    <row r="89" spans="10:11" x14ac:dyDescent="0.45">
      <c r="J89" s="63">
        <v>87</v>
      </c>
      <c r="K89" s="65">
        <v>-350.69999999999993</v>
      </c>
    </row>
    <row r="90" spans="10:11" x14ac:dyDescent="0.45">
      <c r="J90" s="63">
        <v>88</v>
      </c>
      <c r="K90" s="65">
        <v>-366.49999999999994</v>
      </c>
    </row>
    <row r="91" spans="10:11" x14ac:dyDescent="0.45">
      <c r="J91" s="63">
        <v>89</v>
      </c>
      <c r="K91" s="65">
        <v>-398.29999999999995</v>
      </c>
    </row>
    <row r="92" spans="10:11" x14ac:dyDescent="0.45">
      <c r="J92" s="63">
        <v>90</v>
      </c>
      <c r="K92" s="65">
        <v>-393.79999999999995</v>
      </c>
    </row>
    <row r="93" spans="10:11" x14ac:dyDescent="0.45">
      <c r="J93" s="63">
        <v>91</v>
      </c>
      <c r="K93" s="65">
        <v>-383.29999999999995</v>
      </c>
    </row>
    <row r="94" spans="10:11" x14ac:dyDescent="0.45">
      <c r="J94" s="63">
        <v>92</v>
      </c>
      <c r="K94" s="65">
        <v>-354.49999999999994</v>
      </c>
    </row>
    <row r="95" spans="10:11" x14ac:dyDescent="0.45">
      <c r="J95" s="63">
        <v>93</v>
      </c>
      <c r="K95" s="65">
        <v>-389.99999999999994</v>
      </c>
    </row>
    <row r="96" spans="10:11" x14ac:dyDescent="0.45">
      <c r="J96" s="63">
        <v>94</v>
      </c>
      <c r="K96" s="65">
        <v>-361.59999999999997</v>
      </c>
    </row>
    <row r="97" spans="10:11" x14ac:dyDescent="0.45">
      <c r="J97" s="63">
        <v>95</v>
      </c>
      <c r="K97" s="65">
        <v>-388.4</v>
      </c>
    </row>
    <row r="98" spans="10:11" x14ac:dyDescent="0.45">
      <c r="J98" s="63">
        <v>96</v>
      </c>
      <c r="K98" s="65">
        <v>-371</v>
      </c>
    </row>
    <row r="99" spans="10:11" x14ac:dyDescent="0.45">
      <c r="J99" s="63">
        <v>97</v>
      </c>
      <c r="K99" s="65">
        <v>-383.5</v>
      </c>
    </row>
    <row r="100" spans="10:11" x14ac:dyDescent="0.45">
      <c r="J100" s="63">
        <v>98</v>
      </c>
      <c r="K100" s="65">
        <v>-324</v>
      </c>
    </row>
    <row r="101" spans="10:11" x14ac:dyDescent="0.45">
      <c r="J101" s="63">
        <v>99</v>
      </c>
      <c r="K101" s="65">
        <v>-352.5</v>
      </c>
    </row>
    <row r="102" spans="10:11" x14ac:dyDescent="0.45">
      <c r="J102" s="63">
        <v>100</v>
      </c>
      <c r="K102" s="65">
        <v>-365.4</v>
      </c>
    </row>
    <row r="103" spans="10:11" x14ac:dyDescent="0.45">
      <c r="J103" s="63">
        <v>101</v>
      </c>
      <c r="K103" s="65">
        <v>-363.7</v>
      </c>
    </row>
    <row r="104" spans="10:11" x14ac:dyDescent="0.45">
      <c r="J104" s="63">
        <v>102</v>
      </c>
      <c r="K104" s="65">
        <v>-389.4</v>
      </c>
    </row>
    <row r="105" spans="10:11" x14ac:dyDescent="0.45">
      <c r="J105" s="63">
        <v>103</v>
      </c>
      <c r="K105" s="65">
        <v>-413.9</v>
      </c>
    </row>
    <row r="106" spans="10:11" x14ac:dyDescent="0.45">
      <c r="J106" s="63">
        <v>104</v>
      </c>
      <c r="K106" s="65">
        <v>-422.4</v>
      </c>
    </row>
    <row r="107" spans="10:11" x14ac:dyDescent="0.45">
      <c r="J107" s="63">
        <v>105</v>
      </c>
      <c r="K107" s="65">
        <v>-411.59999999999997</v>
      </c>
    </row>
    <row r="108" spans="10:11" x14ac:dyDescent="0.45">
      <c r="J108" s="63">
        <v>106</v>
      </c>
      <c r="K108" s="65">
        <v>-423.49999999999994</v>
      </c>
    </row>
    <row r="109" spans="10:11" x14ac:dyDescent="0.45">
      <c r="J109" s="63">
        <v>107</v>
      </c>
      <c r="K109" s="65">
        <v>-418.59999999999997</v>
      </c>
    </row>
    <row r="110" spans="10:11" x14ac:dyDescent="0.45">
      <c r="J110" s="63">
        <v>108</v>
      </c>
      <c r="K110" s="65">
        <v>-412.99999999999994</v>
      </c>
    </row>
    <row r="111" spans="10:11" x14ac:dyDescent="0.45">
      <c r="J111" s="63">
        <v>109</v>
      </c>
      <c r="K111" s="65">
        <v>-448.89999999999992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911E2-EC6D-43FF-8B24-94EB2CF460DA}">
  <sheetPr codeName="Sheet14"/>
  <dimension ref="A1:Q112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134</v>
      </c>
      <c r="B1" s="111" t="s">
        <v>134</v>
      </c>
      <c r="C1" s="111" t="s">
        <v>134</v>
      </c>
      <c r="D1" s="112" t="s">
        <v>134</v>
      </c>
      <c r="E1" s="111" t="s">
        <v>134</v>
      </c>
      <c r="F1" s="111" t="s">
        <v>134</v>
      </c>
      <c r="G1" s="111" t="s">
        <v>134</v>
      </c>
      <c r="H1" s="111" t="s">
        <v>134</v>
      </c>
      <c r="I1" s="111" t="s">
        <v>134</v>
      </c>
      <c r="J1" s="111" t="s">
        <v>134</v>
      </c>
      <c r="K1" s="111" t="s">
        <v>134</v>
      </c>
      <c r="L1" s="111" t="s">
        <v>134</v>
      </c>
      <c r="M1" s="111" t="s">
        <v>134</v>
      </c>
      <c r="N1" s="111" t="s">
        <v>134</v>
      </c>
      <c r="O1" s="111" t="s">
        <v>134</v>
      </c>
      <c r="P1" s="111" t="s">
        <v>134</v>
      </c>
      <c r="Q1" s="111" t="s">
        <v>134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39.9</v>
      </c>
      <c r="C4" s="107">
        <v>39.9</v>
      </c>
      <c r="D4" s="112">
        <v>1</v>
      </c>
      <c r="E4" s="108">
        <v>1</v>
      </c>
      <c r="F4" s="108">
        <v>1</v>
      </c>
      <c r="G4" s="108">
        <v>0</v>
      </c>
      <c r="H4" s="109">
        <v>6966.666666666667</v>
      </c>
      <c r="I4" s="109">
        <v>0</v>
      </c>
      <c r="J4" s="108">
        <v>0</v>
      </c>
      <c r="K4" s="108">
        <v>1</v>
      </c>
      <c r="P4" s="108">
        <v>0.33333333333333331</v>
      </c>
      <c r="Q4" s="108">
        <v>1</v>
      </c>
    </row>
    <row r="5" spans="1:17" x14ac:dyDescent="0.45">
      <c r="A5" s="110">
        <v>2</v>
      </c>
      <c r="B5" s="107">
        <v>-0.89999999999999858</v>
      </c>
      <c r="C5" s="107">
        <v>-0.44999999999999929</v>
      </c>
      <c r="D5" s="112">
        <v>2</v>
      </c>
      <c r="E5" s="108">
        <v>0.5</v>
      </c>
      <c r="F5" s="108">
        <v>0.375</v>
      </c>
      <c r="G5" s="108">
        <v>0.25</v>
      </c>
      <c r="H5" s="109">
        <v>6966.666666666667</v>
      </c>
      <c r="I5" s="109">
        <v>-16000</v>
      </c>
      <c r="J5" s="108">
        <v>0.5</v>
      </c>
      <c r="K5" s="108">
        <v>0.5</v>
      </c>
      <c r="P5" s="108">
        <v>0.33333333333333331</v>
      </c>
      <c r="Q5" s="108">
        <v>0.6</v>
      </c>
    </row>
    <row r="6" spans="1:17" x14ac:dyDescent="0.45">
      <c r="A6" s="110">
        <v>3</v>
      </c>
      <c r="B6" s="107">
        <v>-35.4</v>
      </c>
      <c r="C6" s="107">
        <v>-11.799999999999999</v>
      </c>
      <c r="D6" s="112">
        <v>2.3333333333333335</v>
      </c>
      <c r="E6" s="108">
        <v>0.33333333333333331</v>
      </c>
      <c r="F6" s="108">
        <v>0.2</v>
      </c>
      <c r="G6" s="108">
        <v>0.33333333333333331</v>
      </c>
      <c r="H6" s="109">
        <v>6966.666666666667</v>
      </c>
      <c r="I6" s="109">
        <v>-12000</v>
      </c>
      <c r="J6" s="108">
        <v>0.66666666666666663</v>
      </c>
      <c r="K6" s="108">
        <v>0.33333333333333331</v>
      </c>
      <c r="P6" s="108">
        <v>0.33333333333333331</v>
      </c>
      <c r="Q6" s="108">
        <v>0.42857142857142855</v>
      </c>
    </row>
    <row r="7" spans="1:17" x14ac:dyDescent="0.45">
      <c r="A7" s="110">
        <v>4</v>
      </c>
      <c r="B7" s="107">
        <v>3.6000000000000014</v>
      </c>
      <c r="C7" s="107">
        <v>0.90000000000000036</v>
      </c>
      <c r="D7" s="112">
        <v>2</v>
      </c>
      <c r="E7" s="108">
        <v>0.5</v>
      </c>
      <c r="F7" s="108">
        <v>0.23529411764705882</v>
      </c>
      <c r="G7" s="108">
        <v>0.35294117647058826</v>
      </c>
      <c r="H7" s="109">
        <v>17225</v>
      </c>
      <c r="I7" s="109">
        <v>-11333.333333333334</v>
      </c>
      <c r="J7" s="108">
        <v>0.5</v>
      </c>
      <c r="K7" s="108">
        <v>0.5</v>
      </c>
      <c r="P7" s="108">
        <v>0.25</v>
      </c>
      <c r="Q7" s="108">
        <v>0.5</v>
      </c>
    </row>
    <row r="8" spans="1:17" x14ac:dyDescent="0.45">
      <c r="A8" s="110">
        <v>5</v>
      </c>
      <c r="B8" s="107">
        <v>13.600000000000001</v>
      </c>
      <c r="C8" s="107">
        <v>2.72</v>
      </c>
      <c r="D8" s="112">
        <v>1.8</v>
      </c>
      <c r="E8" s="108">
        <v>0.6</v>
      </c>
      <c r="F8" s="108">
        <v>0.25</v>
      </c>
      <c r="G8" s="108">
        <v>0.25</v>
      </c>
      <c r="H8" s="109">
        <v>14150</v>
      </c>
      <c r="I8" s="109">
        <v>-11333.333333333334</v>
      </c>
      <c r="J8" s="108">
        <v>0.4</v>
      </c>
      <c r="K8" s="108">
        <v>0.4</v>
      </c>
      <c r="P8" s="108">
        <v>0.16666666666666666</v>
      </c>
      <c r="Q8" s="108">
        <v>0.4</v>
      </c>
    </row>
    <row r="9" spans="1:17" x14ac:dyDescent="0.45">
      <c r="A9" s="110">
        <v>6</v>
      </c>
      <c r="B9" s="107">
        <v>45.6</v>
      </c>
      <c r="C9" s="107">
        <v>7.6000000000000005</v>
      </c>
      <c r="D9" s="112">
        <v>1.6666666666666667</v>
      </c>
      <c r="E9" s="108">
        <v>0.66666666666666663</v>
      </c>
      <c r="F9" s="108">
        <v>0.28125</v>
      </c>
      <c r="G9" s="108">
        <v>0.1875</v>
      </c>
      <c r="H9" s="109">
        <v>13877.777777777777</v>
      </c>
      <c r="I9" s="109">
        <v>-11333.333333333334</v>
      </c>
      <c r="J9" s="108">
        <v>0.33333333333333331</v>
      </c>
      <c r="K9" s="108">
        <v>0.5</v>
      </c>
      <c r="P9" s="108">
        <v>0.1111111111111111</v>
      </c>
      <c r="Q9" s="108">
        <v>0.33333333333333331</v>
      </c>
    </row>
    <row r="10" spans="1:17" x14ac:dyDescent="0.45">
      <c r="A10" s="110">
        <v>7</v>
      </c>
      <c r="B10" s="107">
        <v>97.1</v>
      </c>
      <c r="C10" s="107">
        <v>13.87142857142857</v>
      </c>
      <c r="D10" s="112">
        <v>1.5714285714285714</v>
      </c>
      <c r="E10" s="108">
        <v>0.7142857142857143</v>
      </c>
      <c r="F10" s="108">
        <v>0.32500000000000001</v>
      </c>
      <c r="G10" s="108">
        <v>0.15</v>
      </c>
      <c r="H10" s="109">
        <v>13146.153846153846</v>
      </c>
      <c r="I10" s="109">
        <v>-11333.333333333334</v>
      </c>
      <c r="J10" s="108">
        <v>0.2857142857142857</v>
      </c>
      <c r="K10" s="108">
        <v>0.5714285714285714</v>
      </c>
      <c r="P10" s="108">
        <v>0.15384615384615385</v>
      </c>
      <c r="Q10" s="108">
        <v>0.375</v>
      </c>
    </row>
    <row r="11" spans="1:17" x14ac:dyDescent="0.45">
      <c r="A11" s="110">
        <v>8</v>
      </c>
      <c r="B11" s="107">
        <v>58.199999999999996</v>
      </c>
      <c r="C11" s="107">
        <v>7.2749999999999995</v>
      </c>
      <c r="D11" s="112">
        <v>1.75</v>
      </c>
      <c r="E11" s="108">
        <v>0.625</v>
      </c>
      <c r="F11" s="108">
        <v>0.29411764705882354</v>
      </c>
      <c r="G11" s="108">
        <v>0.21568627450980393</v>
      </c>
      <c r="H11" s="109">
        <v>12726.666666666666</v>
      </c>
      <c r="I11" s="109">
        <v>-10536.363636363636</v>
      </c>
      <c r="J11" s="108">
        <v>0.375</v>
      </c>
      <c r="K11" s="108">
        <v>0.5</v>
      </c>
      <c r="P11" s="108">
        <v>0.13333333333333333</v>
      </c>
      <c r="Q11" s="108">
        <v>0.35</v>
      </c>
    </row>
    <row r="12" spans="1:17" x14ac:dyDescent="0.45">
      <c r="A12" s="110">
        <v>9</v>
      </c>
      <c r="B12" s="107">
        <v>23.4</v>
      </c>
      <c r="C12" s="107">
        <v>2.5999999999999996</v>
      </c>
      <c r="D12" s="112">
        <v>1.8888888888888888</v>
      </c>
      <c r="E12" s="108">
        <v>0.55555555555555558</v>
      </c>
      <c r="F12" s="108">
        <v>0.25423728813559321</v>
      </c>
      <c r="G12" s="108">
        <v>0.20338983050847459</v>
      </c>
      <c r="H12" s="109">
        <v>12726.666666666666</v>
      </c>
      <c r="I12" s="109">
        <v>-10325</v>
      </c>
      <c r="J12" s="108">
        <v>0.44444444444444442</v>
      </c>
      <c r="K12" s="108">
        <v>0.44444444444444442</v>
      </c>
      <c r="P12" s="108">
        <v>0.13333333333333333</v>
      </c>
      <c r="Q12" s="108">
        <v>0.33333333333333331</v>
      </c>
    </row>
    <row r="13" spans="1:17" x14ac:dyDescent="0.45">
      <c r="A13" s="110">
        <v>10</v>
      </c>
      <c r="B13" s="107">
        <v>-20.100000000000001</v>
      </c>
      <c r="C13" s="107">
        <v>-2.0100000000000002</v>
      </c>
      <c r="D13" s="112">
        <v>2</v>
      </c>
      <c r="E13" s="108">
        <v>0.5</v>
      </c>
      <c r="F13" s="108">
        <v>0.23809523809523808</v>
      </c>
      <c r="G13" s="108">
        <v>0.22222222222222221</v>
      </c>
      <c r="H13" s="109">
        <v>12726.666666666666</v>
      </c>
      <c r="I13" s="109">
        <v>-11135.714285714286</v>
      </c>
      <c r="J13" s="108">
        <v>0.5</v>
      </c>
      <c r="K13" s="108">
        <v>0.4</v>
      </c>
      <c r="P13" s="108">
        <v>0.13333333333333333</v>
      </c>
      <c r="Q13" s="108">
        <v>0.31818181818181818</v>
      </c>
    </row>
    <row r="14" spans="1:17" x14ac:dyDescent="0.45">
      <c r="A14" s="110">
        <v>11</v>
      </c>
      <c r="B14" s="107">
        <v>-3.6000000000000014</v>
      </c>
      <c r="C14" s="107">
        <v>-0.32727272727272738</v>
      </c>
      <c r="D14" s="112">
        <v>2</v>
      </c>
      <c r="E14" s="108">
        <v>0.45454545454545453</v>
      </c>
      <c r="F14" s="108">
        <v>0.2361111111111111</v>
      </c>
      <c r="G14" s="108">
        <v>0.20833333333333334</v>
      </c>
      <c r="H14" s="109">
        <v>14523.529411764706</v>
      </c>
      <c r="I14" s="109">
        <v>-11593.333333333334</v>
      </c>
      <c r="J14" s="108">
        <v>0.45454545454545453</v>
      </c>
      <c r="K14" s="108">
        <v>0.36363636363636365</v>
      </c>
      <c r="P14" s="108">
        <v>0.17647058823529413</v>
      </c>
      <c r="Q14" s="108">
        <v>0.28000000000000003</v>
      </c>
    </row>
    <row r="15" spans="1:17" x14ac:dyDescent="0.45">
      <c r="A15" s="110">
        <v>12</v>
      </c>
      <c r="B15" s="107">
        <v>-12.000000000000002</v>
      </c>
      <c r="C15" s="107">
        <v>-1.0000000000000002</v>
      </c>
      <c r="D15" s="112">
        <v>2</v>
      </c>
      <c r="E15" s="108">
        <v>0.41666666666666669</v>
      </c>
      <c r="F15" s="108">
        <v>0.22500000000000001</v>
      </c>
      <c r="G15" s="108">
        <v>0.21249999999999999</v>
      </c>
      <c r="H15" s="109">
        <v>14383.333333333334</v>
      </c>
      <c r="I15" s="109">
        <v>-11405.882352941177</v>
      </c>
      <c r="J15" s="108">
        <v>0.41666666666666669</v>
      </c>
      <c r="K15" s="108">
        <v>0.33333333333333331</v>
      </c>
      <c r="P15" s="108">
        <v>0.16666666666666666</v>
      </c>
      <c r="Q15" s="108">
        <v>0.25</v>
      </c>
    </row>
    <row r="16" spans="1:17" x14ac:dyDescent="0.45">
      <c r="A16" s="110">
        <v>13</v>
      </c>
      <c r="B16" s="107">
        <v>48.5</v>
      </c>
      <c r="C16" s="107">
        <v>3.7307692307692308</v>
      </c>
      <c r="D16" s="112">
        <v>1.9230769230769231</v>
      </c>
      <c r="E16" s="108">
        <v>0.46153846153846156</v>
      </c>
      <c r="F16" s="108">
        <v>0.23529411764705882</v>
      </c>
      <c r="G16" s="108">
        <v>0.2</v>
      </c>
      <c r="H16" s="109">
        <v>16145</v>
      </c>
      <c r="I16" s="109">
        <v>-11405.882352941177</v>
      </c>
      <c r="J16" s="108">
        <v>0.38461538461538464</v>
      </c>
      <c r="K16" s="108">
        <v>0.38461538461538464</v>
      </c>
      <c r="P16" s="108">
        <v>0.25</v>
      </c>
      <c r="Q16" s="108">
        <v>0.25806451612903225</v>
      </c>
    </row>
    <row r="17" spans="1:17" x14ac:dyDescent="0.45">
      <c r="A17" s="110">
        <v>14</v>
      </c>
      <c r="B17" s="107">
        <v>32</v>
      </c>
      <c r="C17" s="107">
        <v>2.2857142857142856</v>
      </c>
      <c r="D17" s="112">
        <v>1.9285714285714286</v>
      </c>
      <c r="E17" s="108">
        <v>0.42857142857142855</v>
      </c>
      <c r="F17" s="108">
        <v>0.24731182795698925</v>
      </c>
      <c r="G17" s="108">
        <v>0.20430107526881722</v>
      </c>
      <c r="H17" s="109">
        <v>15430.434782608696</v>
      </c>
      <c r="I17" s="109">
        <v>-11889.473684210527</v>
      </c>
      <c r="J17" s="108">
        <v>0.35714285714285715</v>
      </c>
      <c r="K17" s="108">
        <v>0.35714285714285715</v>
      </c>
      <c r="P17" s="108">
        <v>0.30434782608695654</v>
      </c>
      <c r="Q17" s="108">
        <v>0.29411764705882354</v>
      </c>
    </row>
    <row r="18" spans="1:17" x14ac:dyDescent="0.45">
      <c r="A18" s="110">
        <v>15</v>
      </c>
      <c r="B18" s="107">
        <v>36.5</v>
      </c>
      <c r="C18" s="107">
        <v>2.4333333333333331</v>
      </c>
      <c r="D18" s="112">
        <v>1.8666666666666667</v>
      </c>
      <c r="E18" s="108">
        <v>0.46666666666666667</v>
      </c>
      <c r="F18" s="108">
        <v>0.24509803921568626</v>
      </c>
      <c r="G18" s="108">
        <v>0.18627450980392157</v>
      </c>
      <c r="H18" s="109">
        <v>15316</v>
      </c>
      <c r="I18" s="109">
        <v>-11889.473684210527</v>
      </c>
      <c r="J18" s="108">
        <v>0.33333333333333331</v>
      </c>
      <c r="K18" s="108">
        <v>0.33333333333333331</v>
      </c>
      <c r="P18" s="108">
        <v>0.32</v>
      </c>
      <c r="Q18" s="108">
        <v>0.30555555555555558</v>
      </c>
    </row>
    <row r="19" spans="1:17" x14ac:dyDescent="0.45">
      <c r="A19" s="110">
        <v>16</v>
      </c>
      <c r="B19" s="107">
        <v>13.600000000000001</v>
      </c>
      <c r="C19" s="107">
        <v>0.85000000000000009</v>
      </c>
      <c r="D19" s="112">
        <v>1.9375</v>
      </c>
      <c r="E19" s="108">
        <v>0.4375</v>
      </c>
      <c r="F19" s="108">
        <v>0.23008849557522124</v>
      </c>
      <c r="G19" s="108">
        <v>0.18584070796460178</v>
      </c>
      <c r="H19" s="109">
        <v>15034.615384615385</v>
      </c>
      <c r="I19" s="109">
        <v>-11704.761904761905</v>
      </c>
      <c r="J19" s="108">
        <v>0.3125</v>
      </c>
      <c r="K19" s="108">
        <v>0.3125</v>
      </c>
      <c r="P19" s="108">
        <v>0.34615384615384615</v>
      </c>
      <c r="Q19" s="108">
        <v>0.28947368421052633</v>
      </c>
    </row>
    <row r="20" spans="1:17" x14ac:dyDescent="0.45">
      <c r="A20" s="110">
        <v>17</v>
      </c>
      <c r="B20" s="107">
        <v>12.900000000000002</v>
      </c>
      <c r="C20" s="107">
        <v>0.75882352941176479</v>
      </c>
      <c r="D20" s="112">
        <v>1.9411764705882353</v>
      </c>
      <c r="E20" s="108">
        <v>0.41176470588235292</v>
      </c>
      <c r="F20" s="108">
        <v>0.23966942148760331</v>
      </c>
      <c r="G20" s="108">
        <v>0.20661157024793389</v>
      </c>
      <c r="H20" s="109">
        <v>14686.206896551725</v>
      </c>
      <c r="I20" s="109">
        <v>-10780</v>
      </c>
      <c r="J20" s="108">
        <v>0.29411764705882354</v>
      </c>
      <c r="K20" s="108">
        <v>0.29411764705882354</v>
      </c>
      <c r="P20" s="108">
        <v>0.37931034482758619</v>
      </c>
      <c r="Q20" s="108">
        <v>0.29268292682926828</v>
      </c>
    </row>
    <row r="21" spans="1:17" x14ac:dyDescent="0.45">
      <c r="A21" s="110">
        <v>18</v>
      </c>
      <c r="B21" s="107">
        <v>-21.999999999999996</v>
      </c>
      <c r="C21" s="107">
        <v>-1.2222222222222221</v>
      </c>
      <c r="D21" s="112">
        <v>2</v>
      </c>
      <c r="E21" s="108">
        <v>0.3888888888888889</v>
      </c>
      <c r="F21" s="108">
        <v>0.23015873015873015</v>
      </c>
      <c r="G21" s="108">
        <v>0.23015873015873015</v>
      </c>
      <c r="H21" s="109">
        <v>14686.206896551725</v>
      </c>
      <c r="I21" s="109">
        <v>-10427.586206896553</v>
      </c>
      <c r="J21" s="108">
        <v>0.33333333333333331</v>
      </c>
      <c r="K21" s="108">
        <v>0.27777777777777779</v>
      </c>
      <c r="P21" s="108">
        <v>0.37931034482758619</v>
      </c>
      <c r="Q21" s="108">
        <v>0.2857142857142857</v>
      </c>
    </row>
    <row r="22" spans="1:17" x14ac:dyDescent="0.45">
      <c r="A22" s="110">
        <v>19</v>
      </c>
      <c r="B22" s="107">
        <v>-26.699999999999996</v>
      </c>
      <c r="C22" s="107">
        <v>-1.4052631578947365</v>
      </c>
      <c r="D22" s="112">
        <v>2</v>
      </c>
      <c r="E22" s="108">
        <v>0.36842105263157893</v>
      </c>
      <c r="F22" s="108">
        <v>0.23021582733812951</v>
      </c>
      <c r="G22" s="108">
        <v>0.23021582733812951</v>
      </c>
      <c r="H22" s="109">
        <v>14121.875</v>
      </c>
      <c r="I22" s="109">
        <v>-9940.625</v>
      </c>
      <c r="J22" s="108">
        <v>0.31578947368421051</v>
      </c>
      <c r="K22" s="108">
        <v>0.26315789473684209</v>
      </c>
      <c r="P22" s="108">
        <v>0.375</v>
      </c>
      <c r="Q22" s="108">
        <v>0.27272727272727271</v>
      </c>
    </row>
    <row r="23" spans="1:17" x14ac:dyDescent="0.45">
      <c r="A23" s="110">
        <v>20</v>
      </c>
      <c r="B23" s="107">
        <v>-56.899999999999991</v>
      </c>
      <c r="C23" s="107">
        <v>-2.8449999999999998</v>
      </c>
      <c r="D23" s="112">
        <v>2.0499999999999998</v>
      </c>
      <c r="E23" s="108">
        <v>0.35</v>
      </c>
      <c r="F23" s="108">
        <v>0.22602739726027396</v>
      </c>
      <c r="G23" s="108">
        <v>0.22602739726027396</v>
      </c>
      <c r="H23" s="109">
        <v>13778.787878787878</v>
      </c>
      <c r="I23" s="109">
        <v>-9881.818181818182</v>
      </c>
      <c r="J23" s="108">
        <v>0.3</v>
      </c>
      <c r="K23" s="108">
        <v>0.25</v>
      </c>
      <c r="P23" s="108">
        <v>0.39393939393939392</v>
      </c>
      <c r="Q23" s="108">
        <v>0.2608695652173913</v>
      </c>
    </row>
    <row r="24" spans="1:17" x14ac:dyDescent="0.45">
      <c r="A24" s="110">
        <v>21</v>
      </c>
      <c r="B24" s="107">
        <v>-80.699999999999989</v>
      </c>
      <c r="C24" s="107">
        <v>-3.8428571428571425</v>
      </c>
      <c r="D24" s="112">
        <v>2.0952380952380953</v>
      </c>
      <c r="E24" s="108">
        <v>0.33333333333333331</v>
      </c>
      <c r="F24" s="108">
        <v>0.21568627450980393</v>
      </c>
      <c r="G24" s="108">
        <v>0.22875816993464052</v>
      </c>
      <c r="H24" s="109">
        <v>13778.787878787878</v>
      </c>
      <c r="I24" s="109">
        <v>-9540</v>
      </c>
      <c r="J24" s="108">
        <v>0.2857142857142857</v>
      </c>
      <c r="K24" s="108">
        <v>0.23809523809523808</v>
      </c>
      <c r="P24" s="108">
        <v>0.39393939393939392</v>
      </c>
      <c r="Q24" s="108">
        <v>0.25</v>
      </c>
    </row>
    <row r="25" spans="1:17" x14ac:dyDescent="0.45">
      <c r="A25" s="110">
        <v>22</v>
      </c>
      <c r="B25" s="107">
        <v>-91.6</v>
      </c>
      <c r="C25" s="107">
        <v>-4.1636363636363631</v>
      </c>
      <c r="D25" s="112">
        <v>2.1363636363636362</v>
      </c>
      <c r="E25" s="108">
        <v>0.31818181818181818</v>
      </c>
      <c r="F25" s="108">
        <v>0.21472392638036811</v>
      </c>
      <c r="G25" s="108">
        <v>0.22085889570552147</v>
      </c>
      <c r="H25" s="109">
        <v>13402.857142857143</v>
      </c>
      <c r="I25" s="109">
        <v>-9311.1111111111113</v>
      </c>
      <c r="J25" s="108">
        <v>0.27272727272727271</v>
      </c>
      <c r="K25" s="108">
        <v>0.22727272727272727</v>
      </c>
      <c r="P25" s="108">
        <v>0.37142857142857144</v>
      </c>
      <c r="Q25" s="108">
        <v>0.26923076923076922</v>
      </c>
    </row>
    <row r="26" spans="1:17" x14ac:dyDescent="0.45">
      <c r="A26" s="110">
        <v>23</v>
      </c>
      <c r="B26" s="107">
        <v>-107.3</v>
      </c>
      <c r="C26" s="107">
        <v>-4.6652173913043473</v>
      </c>
      <c r="D26" s="112">
        <v>2.1739130434782608</v>
      </c>
      <c r="E26" s="108">
        <v>0.30434782608695654</v>
      </c>
      <c r="F26" s="108">
        <v>0.21142857142857144</v>
      </c>
      <c r="G26" s="108">
        <v>0.21142857142857144</v>
      </c>
      <c r="H26" s="109">
        <v>13045.945945945947</v>
      </c>
      <c r="I26" s="109">
        <v>-9383.7837837837833</v>
      </c>
      <c r="J26" s="108">
        <v>0.2608695652173913</v>
      </c>
      <c r="K26" s="108">
        <v>0.21739130434782608</v>
      </c>
      <c r="P26" s="108">
        <v>0.3783783783783784</v>
      </c>
      <c r="Q26" s="108">
        <v>0.27272727272727271</v>
      </c>
    </row>
    <row r="27" spans="1:17" x14ac:dyDescent="0.45">
      <c r="A27" s="110">
        <v>24</v>
      </c>
      <c r="B27" s="107">
        <v>-65.099999999999994</v>
      </c>
      <c r="C27" s="107">
        <v>-2.7124999999999999</v>
      </c>
      <c r="D27" s="112">
        <v>2.125</v>
      </c>
      <c r="E27" s="108">
        <v>0.33333333333333331</v>
      </c>
      <c r="F27" s="108">
        <v>0.21978021978021978</v>
      </c>
      <c r="G27" s="108">
        <v>0.2087912087912088</v>
      </c>
      <c r="H27" s="109">
        <v>13160</v>
      </c>
      <c r="I27" s="109">
        <v>-9189.4736842105267</v>
      </c>
      <c r="J27" s="108">
        <v>0.25</v>
      </c>
      <c r="K27" s="108">
        <v>0.25</v>
      </c>
      <c r="P27" s="108">
        <v>0.4</v>
      </c>
      <c r="Q27" s="108">
        <v>0.31034482758620691</v>
      </c>
    </row>
    <row r="28" spans="1:17" x14ac:dyDescent="0.45">
      <c r="A28" s="110">
        <v>25</v>
      </c>
      <c r="B28" s="107">
        <v>-67.899999999999991</v>
      </c>
      <c r="C28" s="107">
        <v>-2.7159999999999997</v>
      </c>
      <c r="D28" s="112">
        <v>2.12</v>
      </c>
      <c r="E28" s="108">
        <v>0.32</v>
      </c>
      <c r="F28" s="108">
        <v>0.22222222222222221</v>
      </c>
      <c r="G28" s="108">
        <v>0.20634920634920634</v>
      </c>
      <c r="H28" s="109">
        <v>12942.857142857143</v>
      </c>
      <c r="I28" s="109">
        <v>-9158.9743589743593</v>
      </c>
      <c r="J28" s="108">
        <v>0.24</v>
      </c>
      <c r="K28" s="108">
        <v>0.24</v>
      </c>
      <c r="P28" s="108">
        <v>0.38095238095238093</v>
      </c>
      <c r="Q28" s="108">
        <v>0.3</v>
      </c>
    </row>
    <row r="29" spans="1:17" x14ac:dyDescent="0.45">
      <c r="A29" s="110">
        <v>26</v>
      </c>
      <c r="B29" s="107">
        <v>-121.89999999999999</v>
      </c>
      <c r="C29" s="107">
        <v>-4.6884615384615378</v>
      </c>
      <c r="D29" s="112">
        <v>2.1538461538461537</v>
      </c>
      <c r="E29" s="108">
        <v>0.30769230769230771</v>
      </c>
      <c r="F29" s="108">
        <v>0.21938775510204081</v>
      </c>
      <c r="G29" s="108">
        <v>0.20918367346938777</v>
      </c>
      <c r="H29" s="109">
        <v>12920.930232558139</v>
      </c>
      <c r="I29" s="109">
        <v>-9687.8048780487807</v>
      </c>
      <c r="J29" s="108">
        <v>0.26923076923076922</v>
      </c>
      <c r="K29" s="108">
        <v>0.23076923076923078</v>
      </c>
      <c r="P29" s="108">
        <v>0.37209302325581395</v>
      </c>
      <c r="Q29" s="108">
        <v>0.29032258064516131</v>
      </c>
    </row>
    <row r="30" spans="1:17" x14ac:dyDescent="0.45">
      <c r="A30" s="110">
        <v>27</v>
      </c>
      <c r="B30" s="107">
        <v>-158.6</v>
      </c>
      <c r="C30" s="107">
        <v>-5.8740740740740742</v>
      </c>
      <c r="D30" s="112">
        <v>2.1851851851851851</v>
      </c>
      <c r="E30" s="108">
        <v>0.29629629629629628</v>
      </c>
      <c r="F30" s="108">
        <v>0.21782178217821782</v>
      </c>
      <c r="G30" s="108">
        <v>0.21287128712871287</v>
      </c>
      <c r="H30" s="109">
        <v>12809.09090909091</v>
      </c>
      <c r="I30" s="109">
        <v>-10055.813953488372</v>
      </c>
      <c r="J30" s="108">
        <v>0.29629629629629628</v>
      </c>
      <c r="K30" s="108">
        <v>0.22222222222222221</v>
      </c>
      <c r="P30" s="108">
        <v>0.38636363636363635</v>
      </c>
      <c r="Q30" s="108">
        <v>0.2857142857142857</v>
      </c>
    </row>
    <row r="31" spans="1:17" x14ac:dyDescent="0.45">
      <c r="A31" s="110">
        <v>28</v>
      </c>
      <c r="B31" s="107">
        <v>-164.5</v>
      </c>
      <c r="C31" s="107">
        <v>-5.875</v>
      </c>
      <c r="D31" s="112">
        <v>2.1785714285714284</v>
      </c>
      <c r="E31" s="108">
        <v>0.2857142857142857</v>
      </c>
      <c r="F31" s="108">
        <v>0.21531100478468901</v>
      </c>
      <c r="G31" s="108">
        <v>0.21531100478468901</v>
      </c>
      <c r="H31" s="109">
        <v>12702.222222222223</v>
      </c>
      <c r="I31" s="109">
        <v>-9928.8888888888887</v>
      </c>
      <c r="J31" s="108">
        <v>0.2857142857142857</v>
      </c>
      <c r="K31" s="108">
        <v>0.21428571428571427</v>
      </c>
      <c r="P31" s="108">
        <v>0.4</v>
      </c>
      <c r="Q31" s="108">
        <v>0.27692307692307694</v>
      </c>
    </row>
    <row r="32" spans="1:17" x14ac:dyDescent="0.45">
      <c r="A32" s="110">
        <v>29</v>
      </c>
      <c r="B32" s="107">
        <v>-158.30000000000001</v>
      </c>
      <c r="C32" s="107">
        <v>-5.4586206896551728</v>
      </c>
      <c r="D32" s="112">
        <v>2.1724137931034484</v>
      </c>
      <c r="E32" s="108">
        <v>0.27586206896551724</v>
      </c>
      <c r="F32" s="108">
        <v>0.22018348623853212</v>
      </c>
      <c r="G32" s="108">
        <v>0.21559633027522937</v>
      </c>
      <c r="H32" s="109">
        <v>12641.666666666666</v>
      </c>
      <c r="I32" s="109">
        <v>-9846.8085106382987</v>
      </c>
      <c r="J32" s="108">
        <v>0.27586206896551724</v>
      </c>
      <c r="K32" s="108">
        <v>0.20689655172413793</v>
      </c>
      <c r="P32" s="108">
        <v>0.39583333333333331</v>
      </c>
      <c r="Q32" s="108">
        <v>0.28985507246376813</v>
      </c>
    </row>
    <row r="33" spans="1:17" x14ac:dyDescent="0.45">
      <c r="A33" s="110">
        <v>30</v>
      </c>
      <c r="B33" s="107">
        <v>-203.4</v>
      </c>
      <c r="C33" s="107">
        <v>-6.78</v>
      </c>
      <c r="D33" s="112">
        <v>2.2000000000000002</v>
      </c>
      <c r="E33" s="108">
        <v>0.26666666666666666</v>
      </c>
      <c r="F33" s="108">
        <v>0.21428571428571427</v>
      </c>
      <c r="G33" s="108">
        <v>0.22767857142857142</v>
      </c>
      <c r="H33" s="109">
        <v>12641.666666666666</v>
      </c>
      <c r="I33" s="109">
        <v>-10007.843137254902</v>
      </c>
      <c r="J33" s="108">
        <v>0.3</v>
      </c>
      <c r="K33" s="108">
        <v>0.2</v>
      </c>
      <c r="P33" s="108">
        <v>0.39583333333333331</v>
      </c>
      <c r="Q33" s="108">
        <v>0.2857142857142857</v>
      </c>
    </row>
    <row r="34" spans="1:17" x14ac:dyDescent="0.45">
      <c r="A34" s="110">
        <v>31</v>
      </c>
      <c r="B34" s="107">
        <v>-252.9</v>
      </c>
      <c r="C34" s="107">
        <v>-8.1580645161290324</v>
      </c>
      <c r="D34" s="112">
        <v>2.225806451612903</v>
      </c>
      <c r="E34" s="108">
        <v>0.25806451612903225</v>
      </c>
      <c r="F34" s="108">
        <v>0.21145374449339208</v>
      </c>
      <c r="G34" s="108">
        <v>0.23348017621145375</v>
      </c>
      <c r="H34" s="109">
        <v>12641.666666666666</v>
      </c>
      <c r="I34" s="109">
        <v>-10422.641509433963</v>
      </c>
      <c r="J34" s="108">
        <v>0.32258064516129031</v>
      </c>
      <c r="K34" s="108">
        <v>0.19354838709677419</v>
      </c>
      <c r="P34" s="108">
        <v>0.39583333333333331</v>
      </c>
      <c r="Q34" s="108">
        <v>0.2857142857142857</v>
      </c>
    </row>
    <row r="35" spans="1:17" x14ac:dyDescent="0.45">
      <c r="A35" s="110">
        <v>32</v>
      </c>
      <c r="B35" s="107">
        <v>-247.6</v>
      </c>
      <c r="C35" s="107">
        <v>-7.7374999999999998</v>
      </c>
      <c r="D35" s="112">
        <v>2.1875</v>
      </c>
      <c r="E35" s="108">
        <v>0.28125</v>
      </c>
      <c r="F35" s="108">
        <v>0.22362869198312235</v>
      </c>
      <c r="G35" s="108">
        <v>0.2320675105485232</v>
      </c>
      <c r="H35" s="109">
        <v>12209.433962264151</v>
      </c>
      <c r="I35" s="109">
        <v>-10661.818181818182</v>
      </c>
      <c r="J35" s="108">
        <v>0.3125</v>
      </c>
      <c r="K35" s="108">
        <v>0.1875</v>
      </c>
      <c r="P35" s="108">
        <v>0.37735849056603776</v>
      </c>
      <c r="Q35" s="108">
        <v>0.29729729729729731</v>
      </c>
    </row>
    <row r="36" spans="1:17" x14ac:dyDescent="0.45">
      <c r="A36" s="110">
        <v>33</v>
      </c>
      <c r="B36" s="107">
        <v>-229.9</v>
      </c>
      <c r="C36" s="107">
        <v>-6.9666666666666668</v>
      </c>
      <c r="D36" s="112">
        <v>2.1515151515151514</v>
      </c>
      <c r="E36" s="108">
        <v>0.30303030303030304</v>
      </c>
      <c r="F36" s="108">
        <v>0.23265306122448978</v>
      </c>
      <c r="G36" s="108">
        <v>0.22857142857142856</v>
      </c>
      <c r="H36" s="109">
        <v>11900</v>
      </c>
      <c r="I36" s="109">
        <v>-10614.285714285714</v>
      </c>
      <c r="J36" s="108">
        <v>0.30303030303030304</v>
      </c>
      <c r="K36" s="108">
        <v>0.21212121212121213</v>
      </c>
      <c r="P36" s="108">
        <v>0.35087719298245612</v>
      </c>
      <c r="Q36" s="108">
        <v>0.30263157894736842</v>
      </c>
    </row>
    <row r="37" spans="1:17" x14ac:dyDescent="0.45">
      <c r="A37" s="110">
        <v>34</v>
      </c>
      <c r="B37" s="107">
        <v>-224.8</v>
      </c>
      <c r="C37" s="107">
        <v>-6.6117647058823534</v>
      </c>
      <c r="D37" s="112">
        <v>2.1470588235294117</v>
      </c>
      <c r="E37" s="108">
        <v>0.29411764705882354</v>
      </c>
      <c r="F37" s="108">
        <v>0.233201581027668</v>
      </c>
      <c r="G37" s="108">
        <v>0.22529644268774704</v>
      </c>
      <c r="H37" s="109">
        <v>11891.525423728814</v>
      </c>
      <c r="I37" s="109">
        <v>-10478.947368421053</v>
      </c>
      <c r="J37" s="108">
        <v>0.29411764705882354</v>
      </c>
      <c r="K37" s="108">
        <v>0.20588235294117646</v>
      </c>
      <c r="P37" s="108">
        <v>0.3559322033898305</v>
      </c>
      <c r="Q37" s="108">
        <v>0.3</v>
      </c>
    </row>
    <row r="38" spans="1:17" x14ac:dyDescent="0.45">
      <c r="A38" s="110">
        <v>35</v>
      </c>
      <c r="B38" s="107">
        <v>-248.3</v>
      </c>
      <c r="C38" s="107">
        <v>-7.0942857142857143</v>
      </c>
      <c r="D38" s="112">
        <v>2.1714285714285713</v>
      </c>
      <c r="E38" s="108">
        <v>0.2857142857142857</v>
      </c>
      <c r="F38" s="108">
        <v>0.23371647509578544</v>
      </c>
      <c r="G38" s="108">
        <v>0.22605363984674329</v>
      </c>
      <c r="H38" s="109">
        <v>11927.868852459016</v>
      </c>
      <c r="I38" s="109">
        <v>-10666.101694915254</v>
      </c>
      <c r="J38" s="108">
        <v>0.2857142857142857</v>
      </c>
      <c r="K38" s="108">
        <v>0.2</v>
      </c>
      <c r="P38" s="108">
        <v>0.37704918032786883</v>
      </c>
      <c r="Q38" s="108">
        <v>0.30120481927710846</v>
      </c>
    </row>
    <row r="39" spans="1:17" x14ac:dyDescent="0.45">
      <c r="A39" s="110">
        <v>36</v>
      </c>
      <c r="B39" s="107">
        <v>-199.3</v>
      </c>
      <c r="C39" s="107">
        <v>-5.5361111111111114</v>
      </c>
      <c r="D39" s="112">
        <v>2.1388888888888888</v>
      </c>
      <c r="E39" s="108">
        <v>0.30555555555555558</v>
      </c>
      <c r="F39" s="108">
        <v>0.23371647509578544</v>
      </c>
      <c r="G39" s="108">
        <v>0.22605363984674329</v>
      </c>
      <c r="H39" s="109">
        <v>11927.868852459016</v>
      </c>
      <c r="I39" s="109">
        <v>-10666.101694915254</v>
      </c>
      <c r="J39" s="108">
        <v>0.27777777777777779</v>
      </c>
      <c r="K39" s="108">
        <v>0.22222222222222221</v>
      </c>
      <c r="P39" s="108">
        <v>0.37704918032786883</v>
      </c>
      <c r="Q39" s="108">
        <v>0.30120481927710846</v>
      </c>
    </row>
    <row r="40" spans="1:17" x14ac:dyDescent="0.45">
      <c r="A40" s="110">
        <v>37</v>
      </c>
      <c r="B40" s="107">
        <v>-243.3</v>
      </c>
      <c r="C40" s="107">
        <v>-6.5756756756756758</v>
      </c>
      <c r="D40" s="112">
        <v>2.1621621621621623</v>
      </c>
      <c r="E40" s="108">
        <v>0.29729729729729731</v>
      </c>
      <c r="F40" s="108">
        <v>0.23106060606060605</v>
      </c>
      <c r="G40" s="108">
        <v>0.22727272727272727</v>
      </c>
      <c r="H40" s="109">
        <v>11927.868852459016</v>
      </c>
      <c r="I40" s="109">
        <v>-10888.333333333334</v>
      </c>
      <c r="J40" s="108">
        <v>0.29729729729729731</v>
      </c>
      <c r="K40" s="108">
        <v>0.21621621621621623</v>
      </c>
      <c r="L40" s="108">
        <v>0.33333333333333331</v>
      </c>
      <c r="M40" s="108">
        <v>0.33333333333333331</v>
      </c>
      <c r="N40" s="108">
        <v>0</v>
      </c>
      <c r="O40" s="108">
        <v>0</v>
      </c>
      <c r="P40" s="108">
        <v>0.37704918032786883</v>
      </c>
      <c r="Q40" s="108">
        <v>0.30120481927710846</v>
      </c>
    </row>
    <row r="41" spans="1:17" x14ac:dyDescent="0.45">
      <c r="A41" s="110">
        <v>38</v>
      </c>
      <c r="B41" s="107">
        <v>-237.5</v>
      </c>
      <c r="C41" s="107">
        <v>-6.25</v>
      </c>
      <c r="D41" s="112">
        <v>2.1315789473684212</v>
      </c>
      <c r="E41" s="108">
        <v>0.31578947368421051</v>
      </c>
      <c r="F41" s="108">
        <v>0.23161764705882354</v>
      </c>
      <c r="G41" s="108">
        <v>0.22426470588235295</v>
      </c>
      <c r="H41" s="109">
        <v>11803.174603174602</v>
      </c>
      <c r="I41" s="109">
        <v>-10795.081967213115</v>
      </c>
      <c r="J41" s="108">
        <v>0.28947368421052633</v>
      </c>
      <c r="K41" s="108">
        <v>0.21052631578947367</v>
      </c>
      <c r="L41" s="108">
        <v>0.45454545454545453</v>
      </c>
      <c r="M41" s="108">
        <v>0.18181818181818182</v>
      </c>
      <c r="N41" s="108">
        <v>0.4</v>
      </c>
      <c r="O41" s="108">
        <v>0</v>
      </c>
      <c r="P41" s="108">
        <v>0.3968253968253968</v>
      </c>
      <c r="Q41" s="108">
        <v>0.29411764705882354</v>
      </c>
    </row>
    <row r="42" spans="1:17" x14ac:dyDescent="0.45">
      <c r="A42" s="110">
        <v>39</v>
      </c>
      <c r="B42" s="107">
        <v>-238.6</v>
      </c>
      <c r="C42" s="107">
        <v>-6.1179487179487175</v>
      </c>
      <c r="D42" s="112">
        <v>2.1538461538461537</v>
      </c>
      <c r="E42" s="108">
        <v>0.30769230769230771</v>
      </c>
      <c r="F42" s="108">
        <v>0.23214285714285715</v>
      </c>
      <c r="G42" s="108">
        <v>0.21785714285714286</v>
      </c>
      <c r="H42" s="109">
        <v>11643.076923076924</v>
      </c>
      <c r="I42" s="109">
        <v>-10795.081967213115</v>
      </c>
      <c r="J42" s="108">
        <v>0.28205128205128205</v>
      </c>
      <c r="K42" s="108">
        <v>0.20512820512820512</v>
      </c>
      <c r="L42" s="108">
        <v>0.42105263157894735</v>
      </c>
      <c r="M42" s="108">
        <v>0.15789473684210525</v>
      </c>
      <c r="N42" s="108">
        <v>0.375</v>
      </c>
      <c r="O42" s="108">
        <v>0.33333333333333331</v>
      </c>
      <c r="P42" s="108">
        <v>0.4</v>
      </c>
      <c r="Q42" s="108">
        <v>0.28735632183908044</v>
      </c>
    </row>
    <row r="43" spans="1:17" x14ac:dyDescent="0.45">
      <c r="A43" s="110">
        <v>40</v>
      </c>
      <c r="B43" s="107">
        <v>-272.7</v>
      </c>
      <c r="C43" s="107">
        <v>-6.8174999999999999</v>
      </c>
      <c r="D43" s="112">
        <v>2.1749999999999998</v>
      </c>
      <c r="E43" s="108">
        <v>0.3</v>
      </c>
      <c r="F43" s="108">
        <v>0.22727272727272727</v>
      </c>
      <c r="G43" s="108">
        <v>0.22377622377622378</v>
      </c>
      <c r="H43" s="109">
        <v>11643.076923076924</v>
      </c>
      <c r="I43" s="109">
        <v>-10690.625</v>
      </c>
      <c r="J43" s="108">
        <v>0.3</v>
      </c>
      <c r="K43" s="108">
        <v>0.2</v>
      </c>
      <c r="L43" s="108">
        <v>0.32</v>
      </c>
      <c r="M43" s="108">
        <v>0.16</v>
      </c>
      <c r="N43" s="108">
        <v>0.375</v>
      </c>
      <c r="O43" s="108">
        <v>0.25</v>
      </c>
      <c r="P43" s="108">
        <v>0.4</v>
      </c>
      <c r="Q43" s="108">
        <v>0.2808988764044944</v>
      </c>
    </row>
    <row r="44" spans="1:17" x14ac:dyDescent="0.45">
      <c r="A44" s="110">
        <v>41</v>
      </c>
      <c r="B44" s="107">
        <v>-312.09999999999997</v>
      </c>
      <c r="C44" s="107">
        <v>-7.6121951219512187</v>
      </c>
      <c r="D44" s="112">
        <v>2.1951219512195124</v>
      </c>
      <c r="E44" s="108">
        <v>0.29268292682926828</v>
      </c>
      <c r="F44" s="108">
        <v>0.22413793103448276</v>
      </c>
      <c r="G44" s="108">
        <v>0.23103448275862068</v>
      </c>
      <c r="H44" s="109">
        <v>11643.076923076924</v>
      </c>
      <c r="I44" s="109">
        <v>-10688.059701492537</v>
      </c>
      <c r="J44" s="108">
        <v>0.31707317073170732</v>
      </c>
      <c r="K44" s="108">
        <v>0.1951219512195122</v>
      </c>
      <c r="L44" s="108">
        <v>0.27586206896551724</v>
      </c>
      <c r="M44" s="108">
        <v>0.13793103448275862</v>
      </c>
      <c r="N44" s="108">
        <v>0.375</v>
      </c>
      <c r="O44" s="108">
        <v>0.25</v>
      </c>
      <c r="P44" s="108">
        <v>0.4</v>
      </c>
      <c r="Q44" s="108">
        <v>0.27777777777777779</v>
      </c>
    </row>
    <row r="45" spans="1:17" x14ac:dyDescent="0.45">
      <c r="A45" s="110">
        <v>42</v>
      </c>
      <c r="B45" s="107">
        <v>-307.29999999999995</v>
      </c>
      <c r="C45" s="107">
        <v>-7.3166666666666655</v>
      </c>
      <c r="D45" s="112">
        <v>2.1666666666666665</v>
      </c>
      <c r="E45" s="108">
        <v>0.30952380952380953</v>
      </c>
      <c r="F45" s="108">
        <v>0.22635135135135134</v>
      </c>
      <c r="G45" s="108">
        <v>0.22635135135135134</v>
      </c>
      <c r="H45" s="109">
        <v>11474.626865671642</v>
      </c>
      <c r="I45" s="109">
        <v>-10688.059701492537</v>
      </c>
      <c r="J45" s="108">
        <v>0.30952380952380953</v>
      </c>
      <c r="K45" s="108">
        <v>0.19047619047619047</v>
      </c>
      <c r="L45" s="108">
        <v>0.31428571428571428</v>
      </c>
      <c r="M45" s="108">
        <v>0.11428571428571428</v>
      </c>
      <c r="N45" s="108">
        <v>0.45454545454545453</v>
      </c>
      <c r="O45" s="108">
        <v>0.25</v>
      </c>
      <c r="P45" s="108">
        <v>0.41791044776119401</v>
      </c>
      <c r="Q45" s="108">
        <v>0.27173913043478259</v>
      </c>
    </row>
    <row r="46" spans="1:17" x14ac:dyDescent="0.45">
      <c r="A46" s="110">
        <v>43</v>
      </c>
      <c r="B46" s="107">
        <v>-278.79999999999995</v>
      </c>
      <c r="C46" s="107">
        <v>-6.4837209302325567</v>
      </c>
      <c r="D46" s="112">
        <v>2.13953488372093</v>
      </c>
      <c r="E46" s="108">
        <v>0.32558139534883723</v>
      </c>
      <c r="F46" s="108">
        <v>0.23178807947019867</v>
      </c>
      <c r="G46" s="108">
        <v>0.2251655629139073</v>
      </c>
      <c r="H46" s="109">
        <v>11782.857142857143</v>
      </c>
      <c r="I46" s="109">
        <v>-10707.35294117647</v>
      </c>
      <c r="J46" s="108">
        <v>0.30232558139534882</v>
      </c>
      <c r="K46" s="108">
        <v>0.18604651162790697</v>
      </c>
      <c r="L46" s="108">
        <v>0.31707317073170732</v>
      </c>
      <c r="M46" s="108">
        <v>0.14634146341463414</v>
      </c>
      <c r="N46" s="108">
        <v>0.53846153846153844</v>
      </c>
      <c r="O46" s="108">
        <v>0.16666666666666666</v>
      </c>
      <c r="P46" s="108">
        <v>0.44285714285714284</v>
      </c>
      <c r="Q46" s="108">
        <v>0.26881720430107525</v>
      </c>
    </row>
    <row r="47" spans="1:17" x14ac:dyDescent="0.45">
      <c r="A47" s="110">
        <v>44</v>
      </c>
      <c r="B47" s="107">
        <v>-234.89999999999995</v>
      </c>
      <c r="C47" s="107">
        <v>-5.3386363636363621</v>
      </c>
      <c r="D47" s="112">
        <v>2.1136363636363638</v>
      </c>
      <c r="E47" s="108">
        <v>0.34090909090909088</v>
      </c>
      <c r="F47" s="108">
        <v>0.24203821656050956</v>
      </c>
      <c r="G47" s="108">
        <v>0.21974522292993631</v>
      </c>
      <c r="H47" s="109">
        <v>11715.78947368421</v>
      </c>
      <c r="I47" s="109">
        <v>-10663.768115942028</v>
      </c>
      <c r="J47" s="108">
        <v>0.29545454545454547</v>
      </c>
      <c r="K47" s="108">
        <v>0.18181818181818182</v>
      </c>
      <c r="L47" s="108">
        <v>0.28301886792452829</v>
      </c>
      <c r="M47" s="108">
        <v>0.16981132075471697</v>
      </c>
      <c r="N47" s="108">
        <v>0.6</v>
      </c>
      <c r="O47" s="108">
        <v>0.33333333333333331</v>
      </c>
      <c r="P47" s="108">
        <v>0.44736842105263158</v>
      </c>
      <c r="Q47" s="108">
        <v>0.2857142857142857</v>
      </c>
    </row>
    <row r="48" spans="1:17" x14ac:dyDescent="0.45">
      <c r="A48" s="110">
        <v>45</v>
      </c>
      <c r="B48" s="107">
        <v>-250.29999999999995</v>
      </c>
      <c r="C48" s="107">
        <v>-5.5622222222222213</v>
      </c>
      <c r="D48" s="112">
        <v>2.1333333333333333</v>
      </c>
      <c r="E48" s="108">
        <v>0.33333333333333331</v>
      </c>
      <c r="F48" s="108">
        <v>0.23987538940809969</v>
      </c>
      <c r="G48" s="108">
        <v>0.22118380062305296</v>
      </c>
      <c r="H48" s="109">
        <v>11719.480519480519</v>
      </c>
      <c r="I48" s="109">
        <v>-10587.323943661971</v>
      </c>
      <c r="J48" s="108">
        <v>0.28888888888888886</v>
      </c>
      <c r="K48" s="108">
        <v>0.17777777777777778</v>
      </c>
      <c r="L48" s="108">
        <v>0.3</v>
      </c>
      <c r="M48" s="108">
        <v>0.16666666666666666</v>
      </c>
      <c r="N48" s="108">
        <v>0.55555555555555558</v>
      </c>
      <c r="O48" s="108">
        <v>0.3</v>
      </c>
      <c r="P48" s="108">
        <v>0.45454545454545453</v>
      </c>
      <c r="Q48" s="108">
        <v>0.28000000000000003</v>
      </c>
    </row>
    <row r="49" spans="1:17" x14ac:dyDescent="0.45">
      <c r="A49" s="110">
        <v>46</v>
      </c>
      <c r="B49" s="107">
        <v>-274.59999999999997</v>
      </c>
      <c r="C49" s="107">
        <v>-5.9695652173913034</v>
      </c>
      <c r="D49" s="112">
        <v>2.1304347826086958</v>
      </c>
      <c r="E49" s="108">
        <v>0.32608695652173914</v>
      </c>
      <c r="F49" s="108">
        <v>0.24233128834355827</v>
      </c>
      <c r="G49" s="108">
        <v>0.21779141104294478</v>
      </c>
      <c r="H49" s="109">
        <v>11564.556962025317</v>
      </c>
      <c r="I49" s="109">
        <v>-10587.323943661971</v>
      </c>
      <c r="J49" s="108">
        <v>0.28260869565217389</v>
      </c>
      <c r="K49" s="108">
        <v>0.17391304347826086</v>
      </c>
      <c r="L49" s="108">
        <v>0.30769230769230771</v>
      </c>
      <c r="M49" s="108">
        <v>0.18461538461538463</v>
      </c>
      <c r="N49" s="108">
        <v>0.6</v>
      </c>
      <c r="O49" s="108">
        <v>0.25</v>
      </c>
      <c r="P49" s="108">
        <v>0.45569620253164556</v>
      </c>
      <c r="Q49" s="108">
        <v>0.27722772277227725</v>
      </c>
    </row>
    <row r="50" spans="1:17" x14ac:dyDescent="0.45">
      <c r="A50" s="110">
        <v>47</v>
      </c>
      <c r="B50" s="107">
        <v>-259.59999999999997</v>
      </c>
      <c r="C50" s="107">
        <v>-5.5234042553191482</v>
      </c>
      <c r="D50" s="112">
        <v>2.1063829787234041</v>
      </c>
      <c r="E50" s="108">
        <v>0.34042553191489361</v>
      </c>
      <c r="F50" s="108">
        <v>0.24705882352941178</v>
      </c>
      <c r="G50" s="108">
        <v>0.21764705882352942</v>
      </c>
      <c r="H50" s="109">
        <v>11459.523809523809</v>
      </c>
      <c r="I50" s="109">
        <v>-10590.54054054054</v>
      </c>
      <c r="J50" s="108">
        <v>0.27659574468085107</v>
      </c>
      <c r="K50" s="108">
        <v>0.1702127659574468</v>
      </c>
      <c r="L50" s="108">
        <v>0.30379746835443039</v>
      </c>
      <c r="M50" s="108">
        <v>0.21518987341772153</v>
      </c>
      <c r="N50" s="108">
        <v>0.58333333333333337</v>
      </c>
      <c r="O50" s="108">
        <v>0.29411764705882354</v>
      </c>
      <c r="P50" s="108">
        <v>0.4642857142857143</v>
      </c>
      <c r="Q50" s="108">
        <v>0.28301886792452829</v>
      </c>
    </row>
    <row r="51" spans="1:17" x14ac:dyDescent="0.45">
      <c r="A51" s="110">
        <v>48</v>
      </c>
      <c r="B51" s="107">
        <v>-282.79999999999995</v>
      </c>
      <c r="C51" s="107">
        <v>-5.8916666666666657</v>
      </c>
      <c r="D51" s="112">
        <v>2.125</v>
      </c>
      <c r="E51" s="108">
        <v>0.33333333333333331</v>
      </c>
      <c r="F51" s="108">
        <v>0.2442528735632184</v>
      </c>
      <c r="G51" s="108">
        <v>0.22126436781609196</v>
      </c>
      <c r="H51" s="109">
        <v>11371.764705882353</v>
      </c>
      <c r="I51" s="109">
        <v>-10436.363636363636</v>
      </c>
      <c r="J51" s="108">
        <v>0.27083333333333331</v>
      </c>
      <c r="K51" s="108">
        <v>0.16666666666666666</v>
      </c>
      <c r="L51" s="108">
        <v>0.31034482758620691</v>
      </c>
      <c r="M51" s="108">
        <v>0.22988505747126436</v>
      </c>
      <c r="N51" s="108">
        <v>0.55555555555555558</v>
      </c>
      <c r="O51" s="108">
        <v>0.25</v>
      </c>
      <c r="P51" s="108">
        <v>0.47058823529411764</v>
      </c>
      <c r="Q51" s="108">
        <v>0.27777777777777779</v>
      </c>
    </row>
    <row r="52" spans="1:17" x14ac:dyDescent="0.45">
      <c r="A52" s="110">
        <v>49</v>
      </c>
      <c r="B52" s="107">
        <v>-276.99999999999994</v>
      </c>
      <c r="C52" s="107">
        <v>-5.6530612244897949</v>
      </c>
      <c r="D52" s="112">
        <v>2.1224489795918369</v>
      </c>
      <c r="E52" s="108">
        <v>0.32653061224489793</v>
      </c>
      <c r="F52" s="108">
        <v>0.2443820224719101</v>
      </c>
      <c r="G52" s="108">
        <v>0.22191011235955055</v>
      </c>
      <c r="H52" s="109">
        <v>11522.988505747126</v>
      </c>
      <c r="I52" s="109">
        <v>-10356.962025316456</v>
      </c>
      <c r="J52" s="108">
        <v>0.26530612244897961</v>
      </c>
      <c r="K52" s="108">
        <v>0.16326530612244897</v>
      </c>
      <c r="L52" s="108">
        <v>0.28421052631578947</v>
      </c>
      <c r="M52" s="108">
        <v>0.23157894736842105</v>
      </c>
      <c r="N52" s="108">
        <v>0.55555555555555558</v>
      </c>
      <c r="O52" s="108">
        <v>0.31818181818181818</v>
      </c>
      <c r="P52" s="108">
        <v>0.47126436781609193</v>
      </c>
      <c r="Q52" s="108">
        <v>0.27272727272727271</v>
      </c>
    </row>
    <row r="53" spans="1:17" x14ac:dyDescent="0.45">
      <c r="A53" s="110">
        <v>50</v>
      </c>
      <c r="B53" s="107">
        <v>-280.09999999999997</v>
      </c>
      <c r="C53" s="107">
        <v>-5.6019999999999994</v>
      </c>
      <c r="D53" s="112">
        <v>2.14</v>
      </c>
      <c r="E53" s="108">
        <v>0.32</v>
      </c>
      <c r="F53" s="108">
        <v>0.2445054945054945</v>
      </c>
      <c r="G53" s="108">
        <v>0.21978021978021978</v>
      </c>
      <c r="H53" s="109">
        <v>11397.752808988764</v>
      </c>
      <c r="I53" s="109">
        <v>-10377.5</v>
      </c>
      <c r="J53" s="108">
        <v>0.26</v>
      </c>
      <c r="K53" s="108">
        <v>0.16</v>
      </c>
      <c r="L53" s="108">
        <v>0.27184466019417475</v>
      </c>
      <c r="M53" s="108">
        <v>0.22330097087378642</v>
      </c>
      <c r="N53" s="108">
        <v>0.5714285714285714</v>
      </c>
      <c r="O53" s="108">
        <v>0.34782608695652173</v>
      </c>
      <c r="P53" s="108">
        <v>0.4606741573033708</v>
      </c>
      <c r="Q53" s="108">
        <v>0.26785714285714285</v>
      </c>
    </row>
    <row r="54" spans="1:17" x14ac:dyDescent="0.45">
      <c r="A54" s="110">
        <v>51</v>
      </c>
      <c r="B54" s="107">
        <v>-262.59999999999997</v>
      </c>
      <c r="C54" s="107">
        <v>-5.1490196078431367</v>
      </c>
      <c r="D54" s="112">
        <v>2.1372549019607843</v>
      </c>
      <c r="E54" s="108">
        <v>0.31372549019607843</v>
      </c>
      <c r="F54" s="108">
        <v>0.24258760107816713</v>
      </c>
      <c r="G54" s="108">
        <v>0.215633423180593</v>
      </c>
      <c r="H54" s="109">
        <v>11471.111111111111</v>
      </c>
      <c r="I54" s="109">
        <v>-10377.5</v>
      </c>
      <c r="J54" s="108">
        <v>0.25490196078431371</v>
      </c>
      <c r="K54" s="108">
        <v>0.15686274509803921</v>
      </c>
      <c r="L54" s="108">
        <v>0.2818181818181818</v>
      </c>
      <c r="M54" s="108">
        <v>0.22727272727272727</v>
      </c>
      <c r="N54" s="108">
        <v>0.54838709677419351</v>
      </c>
      <c r="O54" s="108">
        <v>0.32</v>
      </c>
      <c r="P54" s="108">
        <v>0.45555555555555555</v>
      </c>
      <c r="Q54" s="108">
        <v>0.27192982456140352</v>
      </c>
    </row>
    <row r="55" spans="1:17" x14ac:dyDescent="0.45">
      <c r="A55" s="110">
        <v>52</v>
      </c>
      <c r="B55" s="107">
        <v>-300.09999999999997</v>
      </c>
      <c r="C55" s="107">
        <v>-5.7711538461538456</v>
      </c>
      <c r="D55" s="112">
        <v>2.1538461538461537</v>
      </c>
      <c r="E55" s="108">
        <v>0.30769230769230771</v>
      </c>
      <c r="F55" s="108">
        <v>0.23684210526315788</v>
      </c>
      <c r="G55" s="108">
        <v>0.2131578947368421</v>
      </c>
      <c r="H55" s="109">
        <v>11471.111111111111</v>
      </c>
      <c r="I55" s="109">
        <v>-10397.530864197532</v>
      </c>
      <c r="J55" s="108">
        <v>0.26923076923076922</v>
      </c>
      <c r="K55" s="108">
        <v>0.15384615384615385</v>
      </c>
      <c r="L55" s="108">
        <v>0.27731092436974791</v>
      </c>
      <c r="M55" s="108">
        <v>0.21848739495798319</v>
      </c>
      <c r="N55" s="108">
        <v>0.51515151515151514</v>
      </c>
      <c r="O55" s="108">
        <v>0.30769230769230771</v>
      </c>
      <c r="P55" s="108">
        <v>0.45555555555555555</v>
      </c>
      <c r="Q55" s="108">
        <v>0.26724137931034481</v>
      </c>
    </row>
    <row r="56" spans="1:17" x14ac:dyDescent="0.45">
      <c r="A56" s="110">
        <v>53</v>
      </c>
      <c r="B56" s="107">
        <v>-327.49999999999994</v>
      </c>
      <c r="C56" s="107">
        <v>-6.1792452830188669</v>
      </c>
      <c r="D56" s="112">
        <v>2.1698113207547172</v>
      </c>
      <c r="E56" s="108">
        <v>0.30188679245283018</v>
      </c>
      <c r="F56" s="108">
        <v>0.23969072164948454</v>
      </c>
      <c r="G56" s="108">
        <v>0.21134020618556701</v>
      </c>
      <c r="H56" s="109">
        <v>11188.172043010753</v>
      </c>
      <c r="I56" s="109">
        <v>-10417.073170731708</v>
      </c>
      <c r="J56" s="108">
        <v>0.26415094339622641</v>
      </c>
      <c r="K56" s="108">
        <v>0.15094339622641509</v>
      </c>
      <c r="L56" s="108">
        <v>0.27559055118110237</v>
      </c>
      <c r="M56" s="108">
        <v>0.22047244094488189</v>
      </c>
      <c r="N56" s="108">
        <v>0.54285714285714282</v>
      </c>
      <c r="O56" s="108">
        <v>0.32142857142857145</v>
      </c>
      <c r="P56" s="108">
        <v>0.44086021505376344</v>
      </c>
      <c r="Q56" s="108">
        <v>0.26890756302521007</v>
      </c>
    </row>
    <row r="57" spans="1:17" x14ac:dyDescent="0.45">
      <c r="A57" s="110">
        <v>54</v>
      </c>
      <c r="B57" s="107">
        <v>-368.89999999999992</v>
      </c>
      <c r="C57" s="107">
        <v>-6.8314814814814797</v>
      </c>
      <c r="D57" s="112">
        <v>2.1851851851851851</v>
      </c>
      <c r="E57" s="108">
        <v>0.29629629629629628</v>
      </c>
      <c r="F57" s="108">
        <v>0.23558897243107768</v>
      </c>
      <c r="G57" s="108">
        <v>0.21303258145363407</v>
      </c>
      <c r="H57" s="109">
        <v>11196.808510638299</v>
      </c>
      <c r="I57" s="109">
        <v>-10448.235294117647</v>
      </c>
      <c r="J57" s="108">
        <v>0.27777777777777779</v>
      </c>
      <c r="K57" s="108">
        <v>0.14814814814814814</v>
      </c>
      <c r="L57" s="108">
        <v>0.28985507246376813</v>
      </c>
      <c r="M57" s="108">
        <v>0.20289855072463769</v>
      </c>
      <c r="N57" s="108">
        <v>0.5</v>
      </c>
      <c r="O57" s="108">
        <v>0.32142857142857145</v>
      </c>
      <c r="P57" s="108">
        <v>0.43617021276595747</v>
      </c>
      <c r="Q57" s="108">
        <v>0.26446280991735538</v>
      </c>
    </row>
    <row r="58" spans="1:17" x14ac:dyDescent="0.45">
      <c r="A58" s="110">
        <v>55</v>
      </c>
      <c r="B58" s="107">
        <v>-354.2999999999999</v>
      </c>
      <c r="C58" s="107">
        <v>-6.4418181818181797</v>
      </c>
      <c r="D58" s="112">
        <v>2.1818181818181817</v>
      </c>
      <c r="E58" s="108">
        <v>0.29090909090909089</v>
      </c>
      <c r="F58" s="108">
        <v>0.23456790123456789</v>
      </c>
      <c r="G58" s="108">
        <v>0.21234567901234569</v>
      </c>
      <c r="H58" s="109">
        <v>11331.578947368422</v>
      </c>
      <c r="I58" s="109">
        <v>-10356.976744186046</v>
      </c>
      <c r="J58" s="108">
        <v>0.27272727272727271</v>
      </c>
      <c r="K58" s="108">
        <v>0.14545454545454545</v>
      </c>
      <c r="L58" s="108">
        <v>0.28472222222222221</v>
      </c>
      <c r="M58" s="108">
        <v>0.2013888888888889</v>
      </c>
      <c r="N58" s="108">
        <v>0.51219512195121952</v>
      </c>
      <c r="O58" s="108">
        <v>0.31034482758620691</v>
      </c>
      <c r="P58" s="108">
        <v>0.44210526315789472</v>
      </c>
      <c r="Q58" s="108">
        <v>0.26229508196721313</v>
      </c>
    </row>
    <row r="59" spans="1:17" x14ac:dyDescent="0.45">
      <c r="A59" s="110">
        <v>56</v>
      </c>
      <c r="B59" s="107">
        <v>-307.2999999999999</v>
      </c>
      <c r="C59" s="107">
        <v>-5.487499999999998</v>
      </c>
      <c r="D59" s="112">
        <v>2.1607142857142856</v>
      </c>
      <c r="E59" s="108">
        <v>0.30357142857142855</v>
      </c>
      <c r="F59" s="108">
        <v>0.23373493975903614</v>
      </c>
      <c r="G59" s="108">
        <v>0.20963855421686747</v>
      </c>
      <c r="H59" s="109">
        <v>11551.546391752578</v>
      </c>
      <c r="I59" s="109">
        <v>-10249.425287356322</v>
      </c>
      <c r="J59" s="108">
        <v>0.26785714285714285</v>
      </c>
      <c r="K59" s="108">
        <v>0.16071428571428573</v>
      </c>
      <c r="L59" s="108">
        <v>0.27272727272727271</v>
      </c>
      <c r="M59" s="108">
        <v>0.18831168831168832</v>
      </c>
      <c r="N59" s="108">
        <v>0.52380952380952384</v>
      </c>
      <c r="O59" s="108">
        <v>0.31034482758620691</v>
      </c>
      <c r="P59" s="108">
        <v>0.44329896907216493</v>
      </c>
      <c r="Q59" s="108">
        <v>0.2661290322580645</v>
      </c>
    </row>
    <row r="60" spans="1:17" x14ac:dyDescent="0.45">
      <c r="A60" s="110">
        <v>57</v>
      </c>
      <c r="B60" s="107">
        <v>-303.49999999999989</v>
      </c>
      <c r="C60" s="107">
        <v>-5.3245614035087696</v>
      </c>
      <c r="D60" s="112">
        <v>2.1578947368421053</v>
      </c>
      <c r="E60" s="108">
        <v>0.2982456140350877</v>
      </c>
      <c r="F60" s="108">
        <v>0.23584905660377359</v>
      </c>
      <c r="G60" s="108">
        <v>0.2099056603773585</v>
      </c>
      <c r="H60" s="109">
        <v>11489</v>
      </c>
      <c r="I60" s="109">
        <v>-10121.348314606741</v>
      </c>
      <c r="J60" s="108">
        <v>0.26315789473684209</v>
      </c>
      <c r="K60" s="108">
        <v>0.15789473684210525</v>
      </c>
      <c r="L60" s="108">
        <v>0.26993865030674846</v>
      </c>
      <c r="M60" s="108">
        <v>0.19018404907975461</v>
      </c>
      <c r="N60" s="108">
        <v>0.54545454545454541</v>
      </c>
      <c r="O60" s="108">
        <v>0.29032258064516131</v>
      </c>
      <c r="P60" s="108">
        <v>0.44</v>
      </c>
      <c r="Q60" s="108">
        <v>0.2734375</v>
      </c>
    </row>
    <row r="61" spans="1:17" x14ac:dyDescent="0.45">
      <c r="A61" s="110">
        <v>58</v>
      </c>
      <c r="B61" s="107">
        <v>-246.59999999999988</v>
      </c>
      <c r="C61" s="107">
        <v>-4.2517241379310322</v>
      </c>
      <c r="D61" s="112">
        <v>2.1379310344827585</v>
      </c>
      <c r="E61" s="108">
        <v>0.31034482758620691</v>
      </c>
      <c r="F61" s="108">
        <v>0.24305555555555555</v>
      </c>
      <c r="G61" s="108">
        <v>0.21064814814814814</v>
      </c>
      <c r="H61" s="109">
        <v>11605.714285714286</v>
      </c>
      <c r="I61" s="109">
        <v>-10029.670329670329</v>
      </c>
      <c r="J61" s="108">
        <v>0.25862068965517243</v>
      </c>
      <c r="K61" s="108">
        <v>0.17241379310344829</v>
      </c>
      <c r="L61" s="108">
        <v>0.2807017543859649</v>
      </c>
      <c r="M61" s="108">
        <v>0.19298245614035087</v>
      </c>
      <c r="N61" s="108">
        <v>0.5625</v>
      </c>
      <c r="O61" s="108">
        <v>0.33333333333333331</v>
      </c>
      <c r="P61" s="108">
        <v>0.43809523809523809</v>
      </c>
      <c r="Q61" s="108">
        <v>0.29545454545454547</v>
      </c>
    </row>
    <row r="62" spans="1:17" x14ac:dyDescent="0.45">
      <c r="A62" s="110">
        <v>59</v>
      </c>
      <c r="B62" s="107">
        <v>-198.09999999999988</v>
      </c>
      <c r="C62" s="107">
        <v>-3.3576271186440656</v>
      </c>
      <c r="D62" s="112">
        <v>2.1186440677966103</v>
      </c>
      <c r="E62" s="108">
        <v>0.32203389830508472</v>
      </c>
      <c r="F62" s="108">
        <v>0.24657534246575341</v>
      </c>
      <c r="G62" s="108">
        <v>0.20776255707762556</v>
      </c>
      <c r="H62" s="109">
        <v>11709.259259259259</v>
      </c>
      <c r="I62" s="109">
        <v>-10029.670329670329</v>
      </c>
      <c r="J62" s="108">
        <v>0.25423728813559321</v>
      </c>
      <c r="K62" s="108">
        <v>0.1864406779661017</v>
      </c>
      <c r="L62" s="108">
        <v>0.2824858757062147</v>
      </c>
      <c r="M62" s="108">
        <v>0.19209039548022599</v>
      </c>
      <c r="N62" s="108">
        <v>0.56000000000000005</v>
      </c>
      <c r="O62" s="108">
        <v>0.35294117647058826</v>
      </c>
      <c r="P62" s="108">
        <v>0.44444444444444442</v>
      </c>
      <c r="Q62" s="108">
        <v>0.3014705882352941</v>
      </c>
    </row>
    <row r="63" spans="1:17" x14ac:dyDescent="0.45">
      <c r="A63" s="110">
        <v>60</v>
      </c>
      <c r="B63" s="107">
        <v>-207.59999999999988</v>
      </c>
      <c r="C63" s="107">
        <v>-3.4599999999999982</v>
      </c>
      <c r="D63" s="112">
        <v>2.1166666666666667</v>
      </c>
      <c r="E63" s="108">
        <v>0.31666666666666665</v>
      </c>
      <c r="F63" s="108">
        <v>0.2471655328798186</v>
      </c>
      <c r="G63" s="108">
        <v>0.20634920634920634</v>
      </c>
      <c r="H63" s="109">
        <v>11711.926605504586</v>
      </c>
      <c r="I63" s="109">
        <v>-10029.670329670329</v>
      </c>
      <c r="J63" s="108">
        <v>0.25</v>
      </c>
      <c r="K63" s="108">
        <v>0.18333333333333332</v>
      </c>
      <c r="L63" s="108">
        <v>0.28333333333333333</v>
      </c>
      <c r="M63" s="108">
        <v>0.19444444444444445</v>
      </c>
      <c r="N63" s="108">
        <v>0.56862745098039214</v>
      </c>
      <c r="O63" s="108">
        <v>0.34285714285714286</v>
      </c>
      <c r="P63" s="108">
        <v>0.44036697247706424</v>
      </c>
      <c r="Q63" s="108">
        <v>0.3014705882352941</v>
      </c>
    </row>
    <row r="64" spans="1:17" x14ac:dyDescent="0.45">
      <c r="A64" s="110">
        <v>61</v>
      </c>
      <c r="B64" s="107">
        <v>-204.89999999999989</v>
      </c>
      <c r="C64" s="107">
        <v>-3.3590163934426212</v>
      </c>
      <c r="D64" s="112">
        <v>2.1147540983606556</v>
      </c>
      <c r="E64" s="108">
        <v>0.31147540983606559</v>
      </c>
      <c r="F64" s="108">
        <v>0.24553571428571427</v>
      </c>
      <c r="G64" s="108">
        <v>0.203125</v>
      </c>
      <c r="H64" s="109">
        <v>11678.181818181818</v>
      </c>
      <c r="I64" s="109">
        <v>-10029.670329670329</v>
      </c>
      <c r="J64" s="108">
        <v>0.24590163934426229</v>
      </c>
      <c r="K64" s="108">
        <v>0.18032786885245902</v>
      </c>
      <c r="L64" s="108">
        <v>0.27807486631016043</v>
      </c>
      <c r="M64" s="108">
        <v>0.18716577540106952</v>
      </c>
      <c r="N64" s="108">
        <v>0.57692307692307687</v>
      </c>
      <c r="O64" s="108">
        <v>0.34285714285714286</v>
      </c>
      <c r="P64" s="108">
        <v>0.43636363636363634</v>
      </c>
      <c r="Q64" s="108">
        <v>0.29496402877697842</v>
      </c>
    </row>
    <row r="65" spans="1:17" x14ac:dyDescent="0.45">
      <c r="A65" s="110">
        <v>62</v>
      </c>
      <c r="B65" s="107">
        <v>-242.89999999999989</v>
      </c>
      <c r="C65" s="107">
        <v>-3.9177419354838694</v>
      </c>
      <c r="D65" s="112">
        <v>2.129032258064516</v>
      </c>
      <c r="E65" s="108">
        <v>0.30645161290322581</v>
      </c>
      <c r="F65" s="108">
        <v>0.2412280701754386</v>
      </c>
      <c r="G65" s="108">
        <v>0.19956140350877194</v>
      </c>
      <c r="H65" s="109">
        <v>11678.181818181818</v>
      </c>
      <c r="I65" s="109">
        <v>-10029.670329670329</v>
      </c>
      <c r="J65" s="108">
        <v>0.25806451612903225</v>
      </c>
      <c r="K65" s="108">
        <v>0.17741935483870969</v>
      </c>
      <c r="L65" s="108">
        <v>0.27692307692307694</v>
      </c>
      <c r="M65" s="108">
        <v>0.17948717948717949</v>
      </c>
      <c r="N65" s="108">
        <v>0.55555555555555558</v>
      </c>
      <c r="O65" s="108">
        <v>0.34285714285714286</v>
      </c>
      <c r="P65" s="108">
        <v>0.43636363636363634</v>
      </c>
      <c r="Q65" s="108">
        <v>0.29285714285714287</v>
      </c>
    </row>
    <row r="66" spans="1:17" x14ac:dyDescent="0.45">
      <c r="A66" s="110">
        <v>63</v>
      </c>
      <c r="B66" s="107">
        <v>-281.99999999999989</v>
      </c>
      <c r="C66" s="107">
        <v>-4.4761904761904745</v>
      </c>
      <c r="D66" s="112">
        <v>2.1428571428571428</v>
      </c>
      <c r="E66" s="108">
        <v>0.30158730158730157</v>
      </c>
      <c r="F66" s="108">
        <v>0.23819742489270387</v>
      </c>
      <c r="G66" s="108">
        <v>0.20171673819742489</v>
      </c>
      <c r="H66" s="109">
        <v>11681.081081081082</v>
      </c>
      <c r="I66" s="109">
        <v>-10120.212765957447</v>
      </c>
      <c r="J66" s="108">
        <v>0.26984126984126983</v>
      </c>
      <c r="K66" s="108">
        <v>0.17460317460317459</v>
      </c>
      <c r="L66" s="108">
        <v>0.2780487804878049</v>
      </c>
      <c r="M66" s="108">
        <v>0.17073170731707318</v>
      </c>
      <c r="N66" s="108">
        <v>0.54385964912280704</v>
      </c>
      <c r="O66" s="108">
        <v>0.34285714285714286</v>
      </c>
      <c r="P66" s="108">
        <v>0.43243243243243246</v>
      </c>
      <c r="Q66" s="108">
        <v>0.29078014184397161</v>
      </c>
    </row>
    <row r="67" spans="1:17" x14ac:dyDescent="0.45">
      <c r="A67" s="110">
        <v>64</v>
      </c>
      <c r="B67" s="107">
        <v>-346.99999999999989</v>
      </c>
      <c r="C67" s="107">
        <v>-5.4218749999999982</v>
      </c>
      <c r="D67" s="112">
        <v>2.15625</v>
      </c>
      <c r="E67" s="108">
        <v>0.296875</v>
      </c>
      <c r="F67" s="108">
        <v>0.23516949152542374</v>
      </c>
      <c r="G67" s="108">
        <v>0.20338983050847459</v>
      </c>
      <c r="H67" s="109">
        <v>11681.081081081082</v>
      </c>
      <c r="I67" s="109">
        <v>-10338.541666666666</v>
      </c>
      <c r="J67" s="108">
        <v>0.28125</v>
      </c>
      <c r="K67" s="108">
        <v>0.171875</v>
      </c>
      <c r="L67" s="108">
        <v>0.28436018957345971</v>
      </c>
      <c r="M67" s="108">
        <v>0.16587677725118483</v>
      </c>
      <c r="N67" s="108">
        <v>0.51666666666666672</v>
      </c>
      <c r="O67" s="108">
        <v>0.34285714285714286</v>
      </c>
      <c r="P67" s="108">
        <v>0.43243243243243246</v>
      </c>
      <c r="Q67" s="108">
        <v>0.28873239436619719</v>
      </c>
    </row>
    <row r="68" spans="1:17" x14ac:dyDescent="0.45">
      <c r="A68" s="110">
        <v>65</v>
      </c>
      <c r="B68" s="107">
        <v>-370.09999999999991</v>
      </c>
      <c r="C68" s="107">
        <v>-5.6938461538461524</v>
      </c>
      <c r="D68" s="112">
        <v>2.1692307692307691</v>
      </c>
      <c r="E68" s="108">
        <v>0.29230769230769232</v>
      </c>
      <c r="F68" s="108">
        <v>0.23480083857442349</v>
      </c>
      <c r="G68" s="108">
        <v>0.20335429769392033</v>
      </c>
      <c r="H68" s="109">
        <v>11633.928571428571</v>
      </c>
      <c r="I68" s="109">
        <v>-10417.525773195875</v>
      </c>
      <c r="J68" s="108">
        <v>0.27692307692307694</v>
      </c>
      <c r="K68" s="108">
        <v>0.16923076923076924</v>
      </c>
      <c r="L68" s="108">
        <v>0.28240740740740738</v>
      </c>
      <c r="M68" s="108">
        <v>0.16666666666666666</v>
      </c>
      <c r="N68" s="108">
        <v>0.50819672131147542</v>
      </c>
      <c r="O68" s="108">
        <v>0.33333333333333331</v>
      </c>
      <c r="P68" s="108">
        <v>0.42857142857142855</v>
      </c>
      <c r="Q68" s="108">
        <v>0.28671328671328672</v>
      </c>
    </row>
    <row r="69" spans="1:17" x14ac:dyDescent="0.45">
      <c r="A69" s="110">
        <v>66</v>
      </c>
      <c r="B69" s="107">
        <v>-367.49999999999989</v>
      </c>
      <c r="C69" s="107">
        <v>-5.5681818181818166</v>
      </c>
      <c r="D69" s="112">
        <v>2.1666666666666665</v>
      </c>
      <c r="E69" s="108">
        <v>0.2878787878787879</v>
      </c>
      <c r="F69" s="108">
        <v>0.23673469387755103</v>
      </c>
      <c r="G69" s="108">
        <v>0.20408163265306123</v>
      </c>
      <c r="H69" s="109">
        <v>11612.931034482759</v>
      </c>
      <c r="I69" s="109">
        <v>-10461</v>
      </c>
      <c r="J69" s="108">
        <v>0.27272727272727271</v>
      </c>
      <c r="K69" s="108">
        <v>0.16666666666666666</v>
      </c>
      <c r="L69" s="108">
        <v>0.29257641921397382</v>
      </c>
      <c r="M69" s="108">
        <v>0.16593886462882096</v>
      </c>
      <c r="N69" s="108">
        <v>0.5074626865671642</v>
      </c>
      <c r="O69" s="108">
        <v>0.31578947368421051</v>
      </c>
      <c r="P69" s="108">
        <v>0.42241379310344829</v>
      </c>
      <c r="Q69" s="108">
        <v>0.29530201342281881</v>
      </c>
    </row>
    <row r="70" spans="1:17" x14ac:dyDescent="0.45">
      <c r="A70" s="110">
        <v>67</v>
      </c>
      <c r="B70" s="107">
        <v>-360.19999999999987</v>
      </c>
      <c r="C70" s="107">
        <v>-5.376119402985073</v>
      </c>
      <c r="D70" s="112">
        <v>2.1641791044776117</v>
      </c>
      <c r="E70" s="108">
        <v>0.28358208955223879</v>
      </c>
      <c r="F70" s="108">
        <v>0.23847695390781562</v>
      </c>
      <c r="G70" s="108">
        <v>0.20240480961923848</v>
      </c>
      <c r="H70" s="109">
        <v>11570.588235294117</v>
      </c>
      <c r="I70" s="109">
        <v>-10476.237623762376</v>
      </c>
      <c r="J70" s="108">
        <v>0.26865671641791045</v>
      </c>
      <c r="K70" s="108">
        <v>0.16417910447761194</v>
      </c>
      <c r="L70" s="108">
        <v>0.28991596638655465</v>
      </c>
      <c r="M70" s="108">
        <v>0.1638655462184874</v>
      </c>
      <c r="N70" s="108">
        <v>0.52173913043478259</v>
      </c>
      <c r="O70" s="108">
        <v>0.33333333333333331</v>
      </c>
      <c r="P70" s="108">
        <v>0.42857142857142855</v>
      </c>
      <c r="Q70" s="108">
        <v>0.29605263157894735</v>
      </c>
    </row>
    <row r="71" spans="1:17" x14ac:dyDescent="0.45">
      <c r="A71" s="110">
        <v>68</v>
      </c>
      <c r="B71" s="107">
        <v>-395.2999999999999</v>
      </c>
      <c r="C71" s="107">
        <v>-5.8132352941176455</v>
      </c>
      <c r="D71" s="112">
        <v>2.1764705882352939</v>
      </c>
      <c r="E71" s="108">
        <v>0.27941176470588236</v>
      </c>
      <c r="F71" s="108">
        <v>0.23921568627450981</v>
      </c>
      <c r="G71" s="108">
        <v>0.20392156862745098</v>
      </c>
      <c r="H71" s="109">
        <v>11481.967213114754</v>
      </c>
      <c r="I71" s="109">
        <v>-10577.884615384615</v>
      </c>
      <c r="J71" s="108">
        <v>0.27941176470588236</v>
      </c>
      <c r="K71" s="108">
        <v>0.16176470588235295</v>
      </c>
      <c r="L71" s="108">
        <v>0.28514056224899598</v>
      </c>
      <c r="M71" s="108">
        <v>0.1606425702811245</v>
      </c>
      <c r="N71" s="108">
        <v>0.52112676056338025</v>
      </c>
      <c r="O71" s="108">
        <v>0.35</v>
      </c>
      <c r="P71" s="108">
        <v>0.41803278688524592</v>
      </c>
      <c r="Q71" s="108">
        <v>0.29677419354838708</v>
      </c>
    </row>
    <row r="72" spans="1:17" x14ac:dyDescent="0.45">
      <c r="A72" s="110">
        <v>69</v>
      </c>
      <c r="B72" s="107">
        <v>-400.49999999999989</v>
      </c>
      <c r="C72" s="107">
        <v>-5.8043478260869552</v>
      </c>
      <c r="D72" s="112">
        <v>2.1739130434782608</v>
      </c>
      <c r="E72" s="108">
        <v>0.27536231884057971</v>
      </c>
      <c r="F72" s="108">
        <v>0.24177949709864605</v>
      </c>
      <c r="G72" s="108">
        <v>0.20309477756286268</v>
      </c>
      <c r="H72" s="109">
        <v>11540.8</v>
      </c>
      <c r="I72" s="109">
        <v>-10629.523809523809</v>
      </c>
      <c r="J72" s="108">
        <v>0.27536231884057971</v>
      </c>
      <c r="K72" s="108">
        <v>0.15942028985507245</v>
      </c>
      <c r="L72" s="108">
        <v>0.2890625</v>
      </c>
      <c r="M72" s="108">
        <v>0.16015625</v>
      </c>
      <c r="N72" s="108">
        <v>0.54054054054054057</v>
      </c>
      <c r="O72" s="108">
        <v>0.34146341463414637</v>
      </c>
      <c r="P72" s="108">
        <v>0.41599999999999998</v>
      </c>
      <c r="Q72" s="108">
        <v>0.30379746835443039</v>
      </c>
    </row>
    <row r="73" spans="1:17" x14ac:dyDescent="0.45">
      <c r="A73" s="110">
        <v>70</v>
      </c>
      <c r="B73" s="107">
        <v>-368.49999999999989</v>
      </c>
      <c r="C73" s="107">
        <v>-5.2642857142857125</v>
      </c>
      <c r="D73" s="112">
        <v>2.157142857142857</v>
      </c>
      <c r="E73" s="108">
        <v>0.2857142857142857</v>
      </c>
      <c r="F73" s="108">
        <v>0.24423076923076922</v>
      </c>
      <c r="G73" s="108">
        <v>0.20192307692307693</v>
      </c>
      <c r="H73" s="109">
        <v>11611.023622047243</v>
      </c>
      <c r="I73" s="109">
        <v>-10629.523809523809</v>
      </c>
      <c r="J73" s="108">
        <v>0.27142857142857141</v>
      </c>
      <c r="K73" s="108">
        <v>0.17142857142857143</v>
      </c>
      <c r="L73" s="108">
        <v>0.29343629343629346</v>
      </c>
      <c r="M73" s="108">
        <v>0.15830115830115829</v>
      </c>
      <c r="N73" s="108">
        <v>0.55263157894736847</v>
      </c>
      <c r="O73" s="108">
        <v>0.34146341463414637</v>
      </c>
      <c r="P73" s="108">
        <v>0.41732283464566927</v>
      </c>
      <c r="Q73" s="108">
        <v>0.3081761006289308</v>
      </c>
    </row>
    <row r="74" spans="1:17" x14ac:dyDescent="0.45">
      <c r="A74" s="110">
        <v>71</v>
      </c>
      <c r="B74" s="107">
        <v>-363.2999999999999</v>
      </c>
      <c r="C74" s="107">
        <v>-5.116901408450703</v>
      </c>
      <c r="D74" s="112">
        <v>2.1549295774647885</v>
      </c>
      <c r="E74" s="108">
        <v>0.28169014084507044</v>
      </c>
      <c r="F74" s="108">
        <v>0.24621212121212122</v>
      </c>
      <c r="G74" s="108">
        <v>0.20075757575757575</v>
      </c>
      <c r="H74" s="109">
        <v>11506.153846153846</v>
      </c>
      <c r="I74" s="109">
        <v>-10642.452830188678</v>
      </c>
      <c r="J74" s="108">
        <v>0.26760563380281688</v>
      </c>
      <c r="K74" s="108">
        <v>0.16901408450704225</v>
      </c>
      <c r="L74" s="108">
        <v>0.29588014981273408</v>
      </c>
      <c r="M74" s="108">
        <v>0.15355805243445692</v>
      </c>
      <c r="N74" s="108">
        <v>0.54430379746835444</v>
      </c>
      <c r="O74" s="108">
        <v>0.34146341463414637</v>
      </c>
      <c r="P74" s="108">
        <v>0.41538461538461541</v>
      </c>
      <c r="Q74" s="108">
        <v>0.30434782608695654</v>
      </c>
    </row>
    <row r="75" spans="1:17" x14ac:dyDescent="0.45">
      <c r="A75" s="110">
        <v>72</v>
      </c>
      <c r="B75" s="107">
        <v>-397.7999999999999</v>
      </c>
      <c r="C75" s="107">
        <v>-5.5249999999999986</v>
      </c>
      <c r="D75" s="112">
        <v>2.1666666666666665</v>
      </c>
      <c r="E75" s="108">
        <v>0.27777777777777779</v>
      </c>
      <c r="F75" s="108">
        <v>0.24344569288389514</v>
      </c>
      <c r="G75" s="108">
        <v>0.19850187265917604</v>
      </c>
      <c r="H75" s="109">
        <v>11506.153846153846</v>
      </c>
      <c r="I75" s="109">
        <v>-10642.452830188678</v>
      </c>
      <c r="J75" s="108">
        <v>0.27777777777777779</v>
      </c>
      <c r="K75" s="108">
        <v>0.16666666666666666</v>
      </c>
      <c r="L75" s="108">
        <v>0.29304029304029305</v>
      </c>
      <c r="M75" s="108">
        <v>0.15018315018315018</v>
      </c>
      <c r="N75" s="108">
        <v>0.53749999999999998</v>
      </c>
      <c r="O75" s="108">
        <v>0.34146341463414637</v>
      </c>
      <c r="P75" s="108">
        <v>0.41538461538461541</v>
      </c>
      <c r="Q75" s="108">
        <v>0.30246913580246915</v>
      </c>
    </row>
    <row r="76" spans="1:17" x14ac:dyDescent="0.45">
      <c r="A76" s="110">
        <v>73</v>
      </c>
      <c r="B76" s="107">
        <v>-382.59999999999991</v>
      </c>
      <c r="C76" s="107">
        <v>-5.2410958904109579</v>
      </c>
      <c r="D76" s="112">
        <v>2.1506849315068495</v>
      </c>
      <c r="E76" s="108">
        <v>0.28767123287671231</v>
      </c>
      <c r="F76" s="108">
        <v>0.24862888482632542</v>
      </c>
      <c r="G76" s="108">
        <v>0.19561243144424131</v>
      </c>
      <c r="H76" s="109">
        <v>11420.588235294117</v>
      </c>
      <c r="I76" s="109">
        <v>-10570.093457943925</v>
      </c>
      <c r="J76" s="108">
        <v>0.27397260273972601</v>
      </c>
      <c r="K76" s="108">
        <v>0.16438356164383561</v>
      </c>
      <c r="L76" s="108">
        <v>0.29020979020979021</v>
      </c>
      <c r="M76" s="108">
        <v>0.16783216783216784</v>
      </c>
      <c r="N76" s="108">
        <v>0.55421686746987953</v>
      </c>
      <c r="O76" s="108">
        <v>0.35416666666666669</v>
      </c>
      <c r="P76" s="108">
        <v>0.40441176470588236</v>
      </c>
      <c r="Q76" s="108">
        <v>0.31137724550898205</v>
      </c>
    </row>
    <row r="77" spans="1:17" x14ac:dyDescent="0.45">
      <c r="A77" s="110">
        <v>74</v>
      </c>
      <c r="B77" s="107">
        <v>-388.49999999999989</v>
      </c>
      <c r="C77" s="107">
        <v>-5.2499999999999982</v>
      </c>
      <c r="D77" s="112">
        <v>2.1486486486486487</v>
      </c>
      <c r="E77" s="108">
        <v>0.28378378378378377</v>
      </c>
      <c r="F77" s="108">
        <v>0.24954792043399637</v>
      </c>
      <c r="G77" s="108">
        <v>0.19529837251356238</v>
      </c>
      <c r="H77" s="109">
        <v>11302.898550724638</v>
      </c>
      <c r="I77" s="109">
        <v>-10583.333333333334</v>
      </c>
      <c r="J77" s="108">
        <v>0.27027027027027029</v>
      </c>
      <c r="K77" s="108">
        <v>0.16216216216216217</v>
      </c>
      <c r="L77" s="108">
        <v>0.2910958904109589</v>
      </c>
      <c r="M77" s="108">
        <v>0.16438356164383561</v>
      </c>
      <c r="N77" s="108">
        <v>0.55294117647058827</v>
      </c>
      <c r="O77" s="108">
        <v>0.35416666666666669</v>
      </c>
      <c r="P77" s="108">
        <v>0.40579710144927539</v>
      </c>
      <c r="Q77" s="108">
        <v>0.30769230769230771</v>
      </c>
    </row>
    <row r="78" spans="1:17" x14ac:dyDescent="0.45">
      <c r="A78" s="110">
        <v>75</v>
      </c>
      <c r="B78" s="107">
        <v>-407.69999999999987</v>
      </c>
      <c r="C78" s="107">
        <v>-5.4359999999999982</v>
      </c>
      <c r="D78" s="112">
        <v>2.16</v>
      </c>
      <c r="E78" s="108">
        <v>0.28000000000000003</v>
      </c>
      <c r="F78" s="108">
        <v>0.24822695035460993</v>
      </c>
      <c r="G78" s="108">
        <v>0.19858156028368795</v>
      </c>
      <c r="H78" s="109">
        <v>11298.571428571429</v>
      </c>
      <c r="I78" s="109">
        <v>-10466.071428571429</v>
      </c>
      <c r="J78" s="108">
        <v>0.26666666666666666</v>
      </c>
      <c r="K78" s="108">
        <v>0.16</v>
      </c>
      <c r="L78" s="108">
        <v>0.28382838283828382</v>
      </c>
      <c r="M78" s="108">
        <v>0.16831683168316833</v>
      </c>
      <c r="N78" s="108">
        <v>0.54651162790697672</v>
      </c>
      <c r="O78" s="108">
        <v>0.37254901960784315</v>
      </c>
      <c r="P78" s="108">
        <v>0.40714285714285714</v>
      </c>
      <c r="Q78" s="108">
        <v>0.30813953488372092</v>
      </c>
    </row>
    <row r="79" spans="1:17" x14ac:dyDescent="0.45">
      <c r="A79" s="110">
        <v>76</v>
      </c>
      <c r="B79" s="107">
        <v>-358.69999999999987</v>
      </c>
      <c r="C79" s="107">
        <v>-4.7197368421052612</v>
      </c>
      <c r="D79" s="112">
        <v>2.1447368421052633</v>
      </c>
      <c r="E79" s="108">
        <v>0.28947368421052633</v>
      </c>
      <c r="F79" s="108">
        <v>0.25088339222614842</v>
      </c>
      <c r="G79" s="108">
        <v>0.19787985865724381</v>
      </c>
      <c r="H79" s="109">
        <v>11477.464788732394</v>
      </c>
      <c r="I79" s="109">
        <v>-10466.071428571429</v>
      </c>
      <c r="J79" s="108">
        <v>0.26315789473684209</v>
      </c>
      <c r="K79" s="108">
        <v>0.15789473684210525</v>
      </c>
      <c r="L79" s="108">
        <v>0.28852459016393445</v>
      </c>
      <c r="M79" s="108">
        <v>0.16721311475409836</v>
      </c>
      <c r="N79" s="108">
        <v>0.55681818181818177</v>
      </c>
      <c r="O79" s="108">
        <v>0.37254901960784315</v>
      </c>
      <c r="P79" s="108">
        <v>0.40845070422535212</v>
      </c>
      <c r="Q79" s="108">
        <v>0.31609195402298851</v>
      </c>
    </row>
    <row r="80" spans="1:17" x14ac:dyDescent="0.45">
      <c r="A80" s="110">
        <v>77</v>
      </c>
      <c r="B80" s="107">
        <v>-369.7999999999999</v>
      </c>
      <c r="C80" s="107">
        <v>-4.8025974025974012</v>
      </c>
      <c r="D80" s="112">
        <v>2.1558441558441559</v>
      </c>
      <c r="E80" s="108">
        <v>0.2857142857142857</v>
      </c>
      <c r="F80" s="108">
        <v>0.2513089005235602</v>
      </c>
      <c r="G80" s="108">
        <v>0.19720767888307156</v>
      </c>
      <c r="H80" s="109">
        <v>11400.694444444445</v>
      </c>
      <c r="I80" s="109">
        <v>-10444.247787610619</v>
      </c>
      <c r="J80" s="108">
        <v>0.25974025974025972</v>
      </c>
      <c r="K80" s="108">
        <v>0.15584415584415584</v>
      </c>
      <c r="L80" s="108">
        <v>0.28525641025641024</v>
      </c>
      <c r="M80" s="108">
        <v>0.16987179487179488</v>
      </c>
      <c r="N80" s="108">
        <v>0.5617977528089888</v>
      </c>
      <c r="O80" s="108">
        <v>0.37735849056603776</v>
      </c>
      <c r="P80" s="108">
        <v>0.40972222222222221</v>
      </c>
      <c r="Q80" s="108">
        <v>0.3125</v>
      </c>
    </row>
    <row r="81" spans="1:17" x14ac:dyDescent="0.45">
      <c r="A81" s="110">
        <v>78</v>
      </c>
      <c r="B81" s="107">
        <v>-354.99999999999989</v>
      </c>
      <c r="C81" s="107">
        <v>-4.5512820512820502</v>
      </c>
      <c r="D81" s="112">
        <v>2.141025641025641</v>
      </c>
      <c r="E81" s="108">
        <v>0.29487179487179488</v>
      </c>
      <c r="F81" s="108">
        <v>0.25429553264604809</v>
      </c>
      <c r="G81" s="108">
        <v>0.19759450171821305</v>
      </c>
      <c r="H81" s="109">
        <v>11415.54054054054</v>
      </c>
      <c r="I81" s="109">
        <v>-10471.304347826086</v>
      </c>
      <c r="J81" s="108">
        <v>0.25641025641025639</v>
      </c>
      <c r="K81" s="108">
        <v>0.15384615384615385</v>
      </c>
      <c r="L81" s="108">
        <v>0.28660436137071649</v>
      </c>
      <c r="M81" s="108">
        <v>0.17445482866043613</v>
      </c>
      <c r="N81" s="108">
        <v>0.55434782608695654</v>
      </c>
      <c r="O81" s="108">
        <v>0.39285714285714285</v>
      </c>
      <c r="P81" s="108">
        <v>0.40540540540540543</v>
      </c>
      <c r="Q81" s="108">
        <v>0.31111111111111112</v>
      </c>
    </row>
    <row r="82" spans="1:17" x14ac:dyDescent="0.45">
      <c r="A82" s="110">
        <v>79</v>
      </c>
      <c r="B82" s="107">
        <v>-372.99999999999989</v>
      </c>
      <c r="C82" s="107">
        <v>-4.7215189873417707</v>
      </c>
      <c r="D82" s="112">
        <v>2.1392405063291138</v>
      </c>
      <c r="E82" s="108">
        <v>0.29113924050632911</v>
      </c>
      <c r="F82" s="108">
        <v>0.25510204081632654</v>
      </c>
      <c r="G82" s="108">
        <v>0.19897959183673469</v>
      </c>
      <c r="H82" s="109">
        <v>11396.666666666666</v>
      </c>
      <c r="I82" s="109">
        <v>-10582.905982905982</v>
      </c>
      <c r="J82" s="108">
        <v>0.25316455696202533</v>
      </c>
      <c r="K82" s="108">
        <v>0.15189873417721519</v>
      </c>
      <c r="L82" s="108">
        <v>0.29051987767584098</v>
      </c>
      <c r="M82" s="108">
        <v>0.1743119266055046</v>
      </c>
      <c r="N82" s="108">
        <v>0.5368421052631579</v>
      </c>
      <c r="O82" s="108">
        <v>0.40350877192982454</v>
      </c>
      <c r="P82" s="108">
        <v>0.40666666666666668</v>
      </c>
      <c r="Q82" s="108">
        <v>0.30939226519337015</v>
      </c>
    </row>
    <row r="83" spans="1:17" x14ac:dyDescent="0.45">
      <c r="A83" s="110">
        <v>80</v>
      </c>
      <c r="B83" s="107">
        <v>-379.7999999999999</v>
      </c>
      <c r="C83" s="107">
        <v>-4.7474999999999987</v>
      </c>
      <c r="D83" s="112">
        <v>2.1375000000000002</v>
      </c>
      <c r="E83" s="108">
        <v>0.28749999999999998</v>
      </c>
      <c r="F83" s="108">
        <v>0.25460636515912899</v>
      </c>
      <c r="G83" s="108">
        <v>0.19597989949748743</v>
      </c>
      <c r="H83" s="109">
        <v>11359.868421052632</v>
      </c>
      <c r="I83" s="109">
        <v>-10582.905982905982</v>
      </c>
      <c r="J83" s="108">
        <v>0.25</v>
      </c>
      <c r="K83" s="108">
        <v>0.15</v>
      </c>
      <c r="L83" s="108">
        <v>0.28869047619047616</v>
      </c>
      <c r="M83" s="108">
        <v>0.17261904761904762</v>
      </c>
      <c r="N83" s="108">
        <v>0.54639175257731953</v>
      </c>
      <c r="O83" s="108">
        <v>0.39655172413793105</v>
      </c>
      <c r="P83" s="108">
        <v>0.40131578947368424</v>
      </c>
      <c r="Q83" s="108">
        <v>0.30601092896174864</v>
      </c>
    </row>
    <row r="84" spans="1:17" x14ac:dyDescent="0.45">
      <c r="A84" s="110">
        <v>81</v>
      </c>
      <c r="B84" s="107">
        <v>-368.99999999999989</v>
      </c>
      <c r="C84" s="107">
        <v>-4.5555555555555545</v>
      </c>
      <c r="D84" s="112">
        <v>2.1234567901234569</v>
      </c>
      <c r="E84" s="108">
        <v>0.29629629629629628</v>
      </c>
      <c r="F84" s="108">
        <v>0.25535420098846789</v>
      </c>
      <c r="G84" s="108">
        <v>0.19769357495881384</v>
      </c>
      <c r="H84" s="109">
        <v>11410.967741935483</v>
      </c>
      <c r="I84" s="109">
        <v>-10470</v>
      </c>
      <c r="J84" s="108">
        <v>0.24691358024691357</v>
      </c>
      <c r="K84" s="108">
        <v>0.14814814814814814</v>
      </c>
      <c r="L84" s="108">
        <v>0.28901734104046245</v>
      </c>
      <c r="M84" s="108">
        <v>0.17341040462427745</v>
      </c>
      <c r="N84" s="108">
        <v>0.55000000000000004</v>
      </c>
      <c r="O84" s="108">
        <v>0.4</v>
      </c>
      <c r="P84" s="108">
        <v>0.4</v>
      </c>
      <c r="Q84" s="108">
        <v>0.31382978723404253</v>
      </c>
    </row>
    <row r="85" spans="1:17" x14ac:dyDescent="0.45">
      <c r="A85" s="110">
        <v>82</v>
      </c>
      <c r="B85" s="107">
        <v>-387.59999999999991</v>
      </c>
      <c r="C85" s="107">
        <v>-4.7268292682926818</v>
      </c>
      <c r="D85" s="112">
        <v>2.1341463414634148</v>
      </c>
      <c r="E85" s="108">
        <v>0.29268292682926828</v>
      </c>
      <c r="F85" s="108">
        <v>0.25324675324675322</v>
      </c>
      <c r="G85" s="108">
        <v>0.19967532467532467</v>
      </c>
      <c r="H85" s="109">
        <v>11389.102564102564</v>
      </c>
      <c r="I85" s="109">
        <v>-10410.569105691056</v>
      </c>
      <c r="J85" s="108">
        <v>0.24390243902439024</v>
      </c>
      <c r="K85" s="108">
        <v>0.14634146341463414</v>
      </c>
      <c r="L85" s="108">
        <v>0.28732394366197184</v>
      </c>
      <c r="M85" s="108">
        <v>0.17746478873239438</v>
      </c>
      <c r="N85" s="108">
        <v>0.5490196078431373</v>
      </c>
      <c r="O85" s="108">
        <v>0.38095238095238093</v>
      </c>
      <c r="P85" s="108">
        <v>0.40384615384615385</v>
      </c>
      <c r="Q85" s="108">
        <v>0.30729166666666669</v>
      </c>
    </row>
    <row r="86" spans="1:17" x14ac:dyDescent="0.45">
      <c r="A86" s="110">
        <v>83</v>
      </c>
      <c r="B86" s="107">
        <v>-386.39999999999992</v>
      </c>
      <c r="C86" s="107">
        <v>-4.6554216867469869</v>
      </c>
      <c r="D86" s="112">
        <v>2.1325301204819276</v>
      </c>
      <c r="E86" s="108">
        <v>0.28915662650602408</v>
      </c>
      <c r="F86" s="108">
        <v>0.25440000000000002</v>
      </c>
      <c r="G86" s="108">
        <v>0.19839999999999999</v>
      </c>
      <c r="H86" s="109">
        <v>11395.59748427673</v>
      </c>
      <c r="I86" s="109">
        <v>-10391.129032258064</v>
      </c>
      <c r="J86" s="108">
        <v>0.24096385542168675</v>
      </c>
      <c r="K86" s="108">
        <v>0.14457831325301204</v>
      </c>
      <c r="L86" s="108">
        <v>0.28846153846153844</v>
      </c>
      <c r="M86" s="108">
        <v>0.18131868131868131</v>
      </c>
      <c r="N86" s="108">
        <v>0.55238095238095242</v>
      </c>
      <c r="O86" s="108">
        <v>0.37878787878787878</v>
      </c>
      <c r="P86" s="108">
        <v>0.40251572327044027</v>
      </c>
      <c r="Q86" s="108">
        <v>0.30412371134020616</v>
      </c>
    </row>
    <row r="87" spans="1:17" x14ac:dyDescent="0.45">
      <c r="A87" s="110">
        <v>84</v>
      </c>
      <c r="B87" s="107">
        <v>-361.89999999999992</v>
      </c>
      <c r="C87" s="107">
        <v>-4.3083333333333327</v>
      </c>
      <c r="D87" s="112">
        <v>2.1190476190476191</v>
      </c>
      <c r="E87" s="108">
        <v>0.29761904761904762</v>
      </c>
      <c r="F87" s="108">
        <v>0.25555555555555554</v>
      </c>
      <c r="G87" s="108">
        <v>0.19682539682539682</v>
      </c>
      <c r="H87" s="109">
        <v>11440.372670807454</v>
      </c>
      <c r="I87" s="109">
        <v>-10391.129032258064</v>
      </c>
      <c r="J87" s="108">
        <v>0.23809523809523808</v>
      </c>
      <c r="K87" s="108">
        <v>0.15476190476190477</v>
      </c>
      <c r="L87" s="108">
        <v>0.2872628726287263</v>
      </c>
      <c r="M87" s="108">
        <v>0.18157181571815717</v>
      </c>
      <c r="N87" s="108">
        <v>0.55660377358490565</v>
      </c>
      <c r="O87" s="108">
        <v>0.38805970149253732</v>
      </c>
      <c r="P87" s="108">
        <v>0.40372670807453415</v>
      </c>
      <c r="Q87" s="108">
        <v>0.30612244897959184</v>
      </c>
    </row>
    <row r="88" spans="1:17" x14ac:dyDescent="0.45">
      <c r="A88" s="110">
        <v>85</v>
      </c>
      <c r="B88" s="107">
        <v>-398.89999999999992</v>
      </c>
      <c r="C88" s="107">
        <v>-4.6929411764705877</v>
      </c>
      <c r="D88" s="112">
        <v>2.1294117647058823</v>
      </c>
      <c r="E88" s="108">
        <v>0.29411764705882354</v>
      </c>
      <c r="F88" s="108">
        <v>0.25354330708661416</v>
      </c>
      <c r="G88" s="108">
        <v>0.19685039370078741</v>
      </c>
      <c r="H88" s="109">
        <v>11440.372670807454</v>
      </c>
      <c r="I88" s="109">
        <v>-10404</v>
      </c>
      <c r="J88" s="108">
        <v>0.24705882352941178</v>
      </c>
      <c r="K88" s="108">
        <v>0.15294117647058825</v>
      </c>
      <c r="L88" s="108">
        <v>0.28342245989304815</v>
      </c>
      <c r="M88" s="108">
        <v>0.17914438502673796</v>
      </c>
      <c r="N88" s="108">
        <v>0.55660377358490565</v>
      </c>
      <c r="O88" s="108">
        <v>0.38805970149253732</v>
      </c>
      <c r="P88" s="108">
        <v>0.40372670807453415</v>
      </c>
      <c r="Q88" s="108">
        <v>0.30612244897959184</v>
      </c>
    </row>
    <row r="89" spans="1:17" x14ac:dyDescent="0.45">
      <c r="A89" s="110">
        <v>86</v>
      </c>
      <c r="B89" s="107">
        <v>-375.39999999999992</v>
      </c>
      <c r="C89" s="107">
        <v>-4.3651162790697668</v>
      </c>
      <c r="D89" s="112">
        <v>2.1279069767441858</v>
      </c>
      <c r="E89" s="108">
        <v>0.29069767441860467</v>
      </c>
      <c r="F89" s="108">
        <v>0.25349922239502332</v>
      </c>
      <c r="G89" s="108">
        <v>0.19595645412130638</v>
      </c>
      <c r="H89" s="109">
        <v>11508.588957055215</v>
      </c>
      <c r="I89" s="109">
        <v>-10384.920634920634</v>
      </c>
      <c r="J89" s="108">
        <v>0.2441860465116279</v>
      </c>
      <c r="K89" s="108">
        <v>0.15116279069767441</v>
      </c>
      <c r="L89" s="108">
        <v>0.2879581151832461</v>
      </c>
      <c r="M89" s="108">
        <v>0.17801047120418848</v>
      </c>
      <c r="N89" s="108">
        <v>0.55454545454545456</v>
      </c>
      <c r="O89" s="108">
        <v>0.38235294117647056</v>
      </c>
      <c r="P89" s="108">
        <v>0.41104294478527609</v>
      </c>
      <c r="Q89" s="108">
        <v>0.30499999999999999</v>
      </c>
    </row>
    <row r="90" spans="1:17" x14ac:dyDescent="0.45">
      <c r="A90" s="110">
        <v>87</v>
      </c>
      <c r="B90" s="107">
        <v>-350.69999999999993</v>
      </c>
      <c r="C90" s="107">
        <v>-4.0310344827586198</v>
      </c>
      <c r="D90" s="112">
        <v>2.1149425287356323</v>
      </c>
      <c r="E90" s="108">
        <v>0.2988505747126437</v>
      </c>
      <c r="F90" s="108">
        <v>0.25613496932515339</v>
      </c>
      <c r="G90" s="108">
        <v>0.19325153374233128</v>
      </c>
      <c r="H90" s="109">
        <v>11431.736526946108</v>
      </c>
      <c r="I90" s="109">
        <v>-10384.920634920634</v>
      </c>
      <c r="J90" s="108">
        <v>0.2413793103448276</v>
      </c>
      <c r="K90" s="108">
        <v>0.14942528735632185</v>
      </c>
      <c r="L90" s="108">
        <v>0.28900255754475701</v>
      </c>
      <c r="M90" s="108">
        <v>0.17902813299232737</v>
      </c>
      <c r="N90" s="108">
        <v>0.5663716814159292</v>
      </c>
      <c r="O90" s="108">
        <v>0.38571428571428573</v>
      </c>
      <c r="P90" s="108">
        <v>0.41916167664670656</v>
      </c>
      <c r="Q90" s="108">
        <v>0.30882352941176472</v>
      </c>
    </row>
    <row r="91" spans="1:17" x14ac:dyDescent="0.45">
      <c r="A91" s="110">
        <v>88</v>
      </c>
      <c r="B91" s="107">
        <v>-366.49999999999994</v>
      </c>
      <c r="C91" s="107">
        <v>-4.1647727272727266</v>
      </c>
      <c r="D91" s="112">
        <v>2.125</v>
      </c>
      <c r="E91" s="108">
        <v>0.29545454545454547</v>
      </c>
      <c r="F91" s="108">
        <v>0.25679758308157102</v>
      </c>
      <c r="G91" s="108">
        <v>0.19637462235649547</v>
      </c>
      <c r="H91" s="109">
        <v>11335.294117647059</v>
      </c>
      <c r="I91" s="109">
        <v>-10336.153846153846</v>
      </c>
      <c r="J91" s="108">
        <v>0.23863636363636365</v>
      </c>
      <c r="K91" s="108">
        <v>0.14772727272727273</v>
      </c>
      <c r="L91" s="108">
        <v>0.28678304239401498</v>
      </c>
      <c r="M91" s="108">
        <v>0.18453865336658354</v>
      </c>
      <c r="N91" s="108">
        <v>0.57391304347826089</v>
      </c>
      <c r="O91" s="108">
        <v>0.3783783783783784</v>
      </c>
      <c r="P91" s="108">
        <v>0.41764705882352943</v>
      </c>
      <c r="Q91" s="108">
        <v>0.3125</v>
      </c>
    </row>
    <row r="92" spans="1:17" x14ac:dyDescent="0.45">
      <c r="A92" s="110">
        <v>89</v>
      </c>
      <c r="B92" s="107">
        <v>-398.29999999999995</v>
      </c>
      <c r="C92" s="107">
        <v>-4.4752808988764041</v>
      </c>
      <c r="D92" s="112">
        <v>2.1348314606741572</v>
      </c>
      <c r="E92" s="108">
        <v>0.29213483146067415</v>
      </c>
      <c r="F92" s="108">
        <v>0.25297619047619047</v>
      </c>
      <c r="G92" s="108">
        <v>0.19940476190476192</v>
      </c>
      <c r="H92" s="109">
        <v>11335.294117647059</v>
      </c>
      <c r="I92" s="109">
        <v>-10171.641791044776</v>
      </c>
      <c r="J92" s="108">
        <v>0.23595505617977527</v>
      </c>
      <c r="K92" s="108">
        <v>0.14606741573033707</v>
      </c>
      <c r="L92" s="108">
        <v>0.28223844282238442</v>
      </c>
      <c r="M92" s="108">
        <v>0.18734793187347931</v>
      </c>
      <c r="N92" s="108">
        <v>0.56896551724137934</v>
      </c>
      <c r="O92" s="108">
        <v>0.36363636363636365</v>
      </c>
      <c r="P92" s="108">
        <v>0.41764705882352943</v>
      </c>
      <c r="Q92" s="108">
        <v>0.30952380952380953</v>
      </c>
    </row>
    <row r="93" spans="1:17" x14ac:dyDescent="0.45">
      <c r="A93" s="110">
        <v>90</v>
      </c>
      <c r="B93" s="107">
        <v>-393.79999999999995</v>
      </c>
      <c r="C93" s="107">
        <v>-4.3755555555555548</v>
      </c>
      <c r="D93" s="112">
        <v>2.1333333333333333</v>
      </c>
      <c r="E93" s="108">
        <v>0.28888888888888886</v>
      </c>
      <c r="F93" s="108">
        <v>0.25221238938053098</v>
      </c>
      <c r="G93" s="108">
        <v>0.19764011799410031</v>
      </c>
      <c r="H93" s="109">
        <v>11374.269005847953</v>
      </c>
      <c r="I93" s="109">
        <v>-10171.641791044776</v>
      </c>
      <c r="J93" s="108">
        <v>0.23333333333333334</v>
      </c>
      <c r="K93" s="108">
        <v>0.14444444444444443</v>
      </c>
      <c r="L93" s="108">
        <v>0.28297362110311752</v>
      </c>
      <c r="M93" s="108">
        <v>0.18465227817745802</v>
      </c>
      <c r="N93" s="108">
        <v>0.56779661016949157</v>
      </c>
      <c r="O93" s="108">
        <v>0.36363636363636365</v>
      </c>
      <c r="P93" s="108">
        <v>0.41520467836257308</v>
      </c>
      <c r="Q93" s="108">
        <v>0.30985915492957744</v>
      </c>
    </row>
    <row r="94" spans="1:17" x14ac:dyDescent="0.45">
      <c r="A94" s="110">
        <v>91</v>
      </c>
      <c r="B94" s="107">
        <v>-383.29999999999995</v>
      </c>
      <c r="C94" s="107">
        <v>-4.2120879120879113</v>
      </c>
      <c r="D94" s="112">
        <v>2.1318681318681318</v>
      </c>
      <c r="E94" s="108">
        <v>0.2857142857142857</v>
      </c>
      <c r="F94" s="108">
        <v>0.25329428989751096</v>
      </c>
      <c r="G94" s="108">
        <v>0.19619326500732065</v>
      </c>
      <c r="H94" s="109">
        <v>11335.260115606936</v>
      </c>
      <c r="I94" s="109">
        <v>-10171.641791044776</v>
      </c>
      <c r="J94" s="108">
        <v>0.23076923076923078</v>
      </c>
      <c r="K94" s="108">
        <v>0.14285714285714285</v>
      </c>
      <c r="L94" s="108">
        <v>0.28199052132701424</v>
      </c>
      <c r="M94" s="108">
        <v>0.19194312796208532</v>
      </c>
      <c r="N94" s="108">
        <v>0.56302521008403361</v>
      </c>
      <c r="O94" s="108">
        <v>0.37037037037037035</v>
      </c>
      <c r="P94" s="108">
        <v>0.41618497109826591</v>
      </c>
      <c r="Q94" s="108">
        <v>0.31018518518518517</v>
      </c>
    </row>
    <row r="95" spans="1:17" x14ac:dyDescent="0.45">
      <c r="A95" s="110">
        <v>92</v>
      </c>
      <c r="B95" s="107">
        <v>-354.49999999999994</v>
      </c>
      <c r="C95" s="107">
        <v>-3.8532608695652169</v>
      </c>
      <c r="D95" s="112">
        <v>2.1195652173913042</v>
      </c>
      <c r="E95" s="108">
        <v>0.29347826086956524</v>
      </c>
      <c r="F95" s="108">
        <v>0.25362318840579712</v>
      </c>
      <c r="G95" s="108">
        <v>0.19565217391304349</v>
      </c>
      <c r="H95" s="109">
        <v>11418.285714285714</v>
      </c>
      <c r="I95" s="109">
        <v>-10125.185185185184</v>
      </c>
      <c r="J95" s="108">
        <v>0.22826086956521738</v>
      </c>
      <c r="K95" s="108">
        <v>0.14130434782608695</v>
      </c>
      <c r="L95" s="108">
        <v>0.28205128205128205</v>
      </c>
      <c r="M95" s="108">
        <v>0.1888111888111888</v>
      </c>
      <c r="N95" s="108">
        <v>0.57024793388429751</v>
      </c>
      <c r="O95" s="108">
        <v>0.37037037037037035</v>
      </c>
      <c r="P95" s="108">
        <v>0.41142857142857142</v>
      </c>
      <c r="Q95" s="108">
        <v>0.30733944954128439</v>
      </c>
    </row>
    <row r="96" spans="1:17" x14ac:dyDescent="0.45">
      <c r="A96" s="110">
        <v>93</v>
      </c>
      <c r="B96" s="107">
        <v>-389.99999999999994</v>
      </c>
      <c r="C96" s="107">
        <v>-4.193548387096774</v>
      </c>
      <c r="D96" s="112">
        <v>2.129032258064516</v>
      </c>
      <c r="E96" s="108">
        <v>0.29032258064516131</v>
      </c>
      <c r="F96" s="108">
        <v>0.24964336661911554</v>
      </c>
      <c r="G96" s="108">
        <v>0.19828815977175462</v>
      </c>
      <c r="H96" s="109">
        <v>11418.285714285714</v>
      </c>
      <c r="I96" s="109">
        <v>-9941.0071942446048</v>
      </c>
      <c r="J96" s="108">
        <v>0.23655913978494625</v>
      </c>
      <c r="K96" s="108">
        <v>0.13978494623655913</v>
      </c>
      <c r="L96" s="108">
        <v>0.27954545454545454</v>
      </c>
      <c r="M96" s="108">
        <v>0.18863636363636363</v>
      </c>
      <c r="N96" s="108">
        <v>0.56097560975609762</v>
      </c>
      <c r="O96" s="108">
        <v>0.36144578313253012</v>
      </c>
      <c r="P96" s="108">
        <v>0.41142857142857142</v>
      </c>
      <c r="Q96" s="108">
        <v>0.30593607305936071</v>
      </c>
    </row>
    <row r="97" spans="1:17" x14ac:dyDescent="0.45">
      <c r="A97" s="110">
        <v>94</v>
      </c>
      <c r="B97" s="107">
        <v>-361.59999999999997</v>
      </c>
      <c r="C97" s="107">
        <v>-3.8468085106382977</v>
      </c>
      <c r="D97" s="112">
        <v>2.1170212765957448</v>
      </c>
      <c r="E97" s="108">
        <v>0.2978723404255319</v>
      </c>
      <c r="F97" s="108">
        <v>0.25212464589235128</v>
      </c>
      <c r="G97" s="108">
        <v>0.19688385269121814</v>
      </c>
      <c r="H97" s="109">
        <v>11391.011235955057</v>
      </c>
      <c r="I97" s="109">
        <v>-9941.0071942446048</v>
      </c>
      <c r="J97" s="108">
        <v>0.23404255319148937</v>
      </c>
      <c r="K97" s="108">
        <v>0.14893617021276595</v>
      </c>
      <c r="L97" s="108">
        <v>0.27640449438202247</v>
      </c>
      <c r="M97" s="108">
        <v>0.19101123595505617</v>
      </c>
      <c r="N97" s="108">
        <v>0.56097560975609762</v>
      </c>
      <c r="O97" s="108">
        <v>0.36470588235294116</v>
      </c>
      <c r="P97" s="108">
        <v>0.4101123595505618</v>
      </c>
      <c r="Q97" s="108">
        <v>0.30769230769230771</v>
      </c>
    </row>
    <row r="98" spans="1:17" x14ac:dyDescent="0.45">
      <c r="A98" s="110">
        <v>95</v>
      </c>
      <c r="B98" s="107">
        <v>-388.4</v>
      </c>
      <c r="C98" s="107">
        <v>-4.0884210526315785</v>
      </c>
      <c r="D98" s="112">
        <v>2.1157894736842104</v>
      </c>
      <c r="E98" s="108">
        <v>0.29473684210526313</v>
      </c>
      <c r="F98" s="108">
        <v>0.25070028011204482</v>
      </c>
      <c r="G98" s="108">
        <v>0.19467787114845939</v>
      </c>
      <c r="H98" s="109">
        <v>11356.424581005587</v>
      </c>
      <c r="I98" s="109">
        <v>-9941.0071942446048</v>
      </c>
      <c r="J98" s="108">
        <v>0.23157894736842105</v>
      </c>
      <c r="K98" s="108">
        <v>0.14736842105263157</v>
      </c>
      <c r="L98" s="108">
        <v>0.27814569536423839</v>
      </c>
      <c r="M98" s="108">
        <v>0.18984547461368653</v>
      </c>
      <c r="N98" s="108">
        <v>0.55555555555555558</v>
      </c>
      <c r="O98" s="108">
        <v>0.36046511627906974</v>
      </c>
      <c r="P98" s="108">
        <v>0.40782122905027934</v>
      </c>
      <c r="Q98" s="108">
        <v>0.30630630630630629</v>
      </c>
    </row>
    <row r="99" spans="1:17" x14ac:dyDescent="0.45">
      <c r="A99" s="110">
        <v>96</v>
      </c>
      <c r="B99" s="107">
        <v>-371</v>
      </c>
      <c r="C99" s="107">
        <v>-3.8645833333333335</v>
      </c>
      <c r="D99" s="112">
        <v>2.1041666666666665</v>
      </c>
      <c r="E99" s="108">
        <v>0.30208333333333331</v>
      </c>
      <c r="F99" s="108">
        <v>0.2544951590594744</v>
      </c>
      <c r="G99" s="108">
        <v>0.19502074688796681</v>
      </c>
      <c r="H99" s="109">
        <v>11308.152173913044</v>
      </c>
      <c r="I99" s="109">
        <v>-10026.950354609929</v>
      </c>
      <c r="J99" s="108">
        <v>0.22916666666666666</v>
      </c>
      <c r="K99" s="108">
        <v>0.14583333333333334</v>
      </c>
      <c r="L99" s="108">
        <v>0.2813852813852814</v>
      </c>
      <c r="M99" s="108">
        <v>0.18831168831168832</v>
      </c>
      <c r="N99" s="108">
        <v>0.56153846153846154</v>
      </c>
      <c r="O99" s="108">
        <v>0.36781609195402298</v>
      </c>
      <c r="P99" s="108">
        <v>0.40760869565217389</v>
      </c>
      <c r="Q99" s="108">
        <v>0.30530973451327431</v>
      </c>
    </row>
    <row r="100" spans="1:17" x14ac:dyDescent="0.45">
      <c r="A100" s="110">
        <v>97</v>
      </c>
      <c r="B100" s="107">
        <v>-383.5</v>
      </c>
      <c r="C100" s="107">
        <v>-3.9536082474226806</v>
      </c>
      <c r="D100" s="112">
        <v>2.1030927835051547</v>
      </c>
      <c r="E100" s="108">
        <v>0.29896907216494845</v>
      </c>
      <c r="F100" s="108">
        <v>0.25546448087431695</v>
      </c>
      <c r="G100" s="108">
        <v>0.1953551912568306</v>
      </c>
      <c r="H100" s="109">
        <v>11308.55614973262</v>
      </c>
      <c r="I100" s="109">
        <v>-10082.517482517482</v>
      </c>
      <c r="J100" s="108">
        <v>0.22680412371134021</v>
      </c>
      <c r="K100" s="108">
        <v>0.14432989690721648</v>
      </c>
      <c r="L100" s="108">
        <v>0.28025477707006369</v>
      </c>
      <c r="M100" s="108">
        <v>0.18683651804670912</v>
      </c>
      <c r="N100" s="108">
        <v>0.56818181818181823</v>
      </c>
      <c r="O100" s="108">
        <v>0.375</v>
      </c>
      <c r="P100" s="108">
        <v>0.40641711229946526</v>
      </c>
      <c r="Q100" s="108">
        <v>0.3056768558951965</v>
      </c>
    </row>
    <row r="101" spans="1:17" x14ac:dyDescent="0.45">
      <c r="A101" s="110">
        <v>98</v>
      </c>
      <c r="B101" s="107">
        <v>-324</v>
      </c>
      <c r="C101" s="107">
        <v>-3.306122448979592</v>
      </c>
      <c r="D101" s="112">
        <v>2.0918367346938775</v>
      </c>
      <c r="E101" s="108">
        <v>0.30612244897959184</v>
      </c>
      <c r="F101" s="108">
        <v>0.25780189959294436</v>
      </c>
      <c r="G101" s="108">
        <v>0.19402985074626866</v>
      </c>
      <c r="H101" s="109">
        <v>11466.842105263158</v>
      </c>
      <c r="I101" s="109">
        <v>-10082.517482517482</v>
      </c>
      <c r="J101" s="108">
        <v>0.22448979591836735</v>
      </c>
      <c r="K101" s="108">
        <v>0.15306122448979592</v>
      </c>
      <c r="L101" s="108">
        <v>0.28361344537815125</v>
      </c>
      <c r="M101" s="108">
        <v>0.18907563025210083</v>
      </c>
      <c r="N101" s="108">
        <v>0.57037037037037042</v>
      </c>
      <c r="O101" s="108">
        <v>0.37777777777777777</v>
      </c>
      <c r="P101" s="108">
        <v>0.41052631578947368</v>
      </c>
      <c r="Q101" s="108">
        <v>0.30869565217391304</v>
      </c>
    </row>
    <row r="102" spans="1:17" x14ac:dyDescent="0.45">
      <c r="A102" s="110">
        <v>99</v>
      </c>
      <c r="B102" s="107">
        <v>-352.5</v>
      </c>
      <c r="C102" s="107">
        <v>-3.5606060606060606</v>
      </c>
      <c r="D102" s="112">
        <v>2.1010101010101012</v>
      </c>
      <c r="E102" s="108">
        <v>0.30303030303030304</v>
      </c>
      <c r="F102" s="108">
        <v>0.25534759358288772</v>
      </c>
      <c r="G102" s="108">
        <v>0.19385026737967914</v>
      </c>
      <c r="H102" s="109">
        <v>11448.69109947644</v>
      </c>
      <c r="I102" s="109">
        <v>-10051.724137931034</v>
      </c>
      <c r="J102" s="108">
        <v>0.22222222222222221</v>
      </c>
      <c r="K102" s="108">
        <v>0.15151515151515152</v>
      </c>
      <c r="L102" s="108">
        <v>0.28747433264887062</v>
      </c>
      <c r="M102" s="108">
        <v>0.18480492813141683</v>
      </c>
      <c r="N102" s="108">
        <v>0.55714285714285716</v>
      </c>
      <c r="O102" s="108">
        <v>0.37777777777777777</v>
      </c>
      <c r="P102" s="108">
        <v>0.41361256544502617</v>
      </c>
      <c r="Q102" s="108">
        <v>0.30603448275862066</v>
      </c>
    </row>
    <row r="103" spans="1:17" x14ac:dyDescent="0.45">
      <c r="A103" s="110">
        <v>100</v>
      </c>
      <c r="B103" s="107">
        <v>-365.4</v>
      </c>
      <c r="C103" s="107">
        <v>-3.6539999999999999</v>
      </c>
      <c r="D103" s="112">
        <v>2.11</v>
      </c>
      <c r="E103" s="108">
        <v>0.3</v>
      </c>
      <c r="F103" s="108">
        <v>0.25562913907284768</v>
      </c>
      <c r="G103" s="108">
        <v>0.19470198675496689</v>
      </c>
      <c r="H103" s="109">
        <v>11454.40414507772</v>
      </c>
      <c r="I103" s="109">
        <v>-10104.761904761905</v>
      </c>
      <c r="J103" s="108">
        <v>0.22</v>
      </c>
      <c r="K103" s="108">
        <v>0.15</v>
      </c>
      <c r="L103" s="108">
        <v>0.2834008097165992</v>
      </c>
      <c r="M103" s="108">
        <v>0.19028340080971659</v>
      </c>
      <c r="N103" s="108">
        <v>0.55714285714285716</v>
      </c>
      <c r="O103" s="108">
        <v>0.38297872340425532</v>
      </c>
      <c r="P103" s="108">
        <v>0.40932642487046633</v>
      </c>
      <c r="Q103" s="108">
        <v>0.30638297872340425</v>
      </c>
    </row>
    <row r="104" spans="1:17" x14ac:dyDescent="0.45">
      <c r="A104" s="110">
        <v>101</v>
      </c>
      <c r="B104" s="107">
        <v>-363.7</v>
      </c>
      <c r="C104" s="107">
        <v>-3.6009900990099011</v>
      </c>
      <c r="D104" s="112">
        <v>2.108910891089109</v>
      </c>
      <c r="E104" s="108">
        <v>0.29702970297029702</v>
      </c>
      <c r="F104" s="108">
        <v>0.25654450261780104</v>
      </c>
      <c r="G104" s="108">
        <v>0.1950261780104712</v>
      </c>
      <c r="H104" s="109">
        <v>11472.959183673469</v>
      </c>
      <c r="I104" s="109">
        <v>-10061.744966442953</v>
      </c>
      <c r="J104" s="108">
        <v>0.21782178217821782</v>
      </c>
      <c r="K104" s="108">
        <v>0.14851485148514851</v>
      </c>
      <c r="L104" s="108">
        <v>0.28628230616302186</v>
      </c>
      <c r="M104" s="108">
        <v>0.18886679920477137</v>
      </c>
      <c r="N104" s="108">
        <v>0.5625</v>
      </c>
      <c r="O104" s="108">
        <v>0.37894736842105264</v>
      </c>
      <c r="P104" s="108">
        <v>0.41836734693877553</v>
      </c>
      <c r="Q104" s="108">
        <v>0.30962343096234307</v>
      </c>
    </row>
    <row r="105" spans="1:17" x14ac:dyDescent="0.45">
      <c r="A105" s="110">
        <v>102</v>
      </c>
      <c r="B105" s="107">
        <v>-389.4</v>
      </c>
      <c r="C105" s="107">
        <v>-3.8176470588235292</v>
      </c>
      <c r="D105" s="112">
        <v>2.1176470588235294</v>
      </c>
      <c r="E105" s="108">
        <v>0.29411764705882354</v>
      </c>
      <c r="F105" s="108">
        <v>0.25551232166018156</v>
      </c>
      <c r="G105" s="108">
        <v>0.19584954604409857</v>
      </c>
      <c r="H105" s="109">
        <v>11441.116751269035</v>
      </c>
      <c r="I105" s="109">
        <v>-10015.8940397351</v>
      </c>
      <c r="J105" s="108">
        <v>0.21568627450980393</v>
      </c>
      <c r="K105" s="108">
        <v>0.14705882352941177</v>
      </c>
      <c r="L105" s="108">
        <v>0.28627450980392155</v>
      </c>
      <c r="M105" s="108">
        <v>0.18823529411764706</v>
      </c>
      <c r="N105" s="108">
        <v>0.56164383561643838</v>
      </c>
      <c r="O105" s="108">
        <v>0.375</v>
      </c>
      <c r="P105" s="108">
        <v>0.41624365482233505</v>
      </c>
      <c r="Q105" s="108">
        <v>0.30705394190871371</v>
      </c>
    </row>
    <row r="106" spans="1:17" x14ac:dyDescent="0.45">
      <c r="A106" s="110">
        <v>103</v>
      </c>
      <c r="B106" s="107">
        <v>-413.9</v>
      </c>
      <c r="C106" s="107">
        <v>-4.0184466019417471</v>
      </c>
      <c r="D106" s="112">
        <v>2.1262135922330097</v>
      </c>
      <c r="E106" s="108">
        <v>0.29126213592233008</v>
      </c>
      <c r="F106" s="108">
        <v>0.25578406169665807</v>
      </c>
      <c r="G106" s="108">
        <v>0.19794344473007713</v>
      </c>
      <c r="H106" s="109">
        <v>11392.462311557789</v>
      </c>
      <c r="I106" s="109">
        <v>-10016.883116883117</v>
      </c>
      <c r="J106" s="108">
        <v>0.21359223300970873</v>
      </c>
      <c r="K106" s="108">
        <v>0.14563106796116504</v>
      </c>
      <c r="L106" s="108">
        <v>0.28820116054158607</v>
      </c>
      <c r="M106" s="108">
        <v>0.18762088974854932</v>
      </c>
      <c r="N106" s="108">
        <v>0.56375838926174493</v>
      </c>
      <c r="O106" s="108">
        <v>0.37113402061855671</v>
      </c>
      <c r="P106" s="108">
        <v>0.41708542713567837</v>
      </c>
      <c r="Q106" s="108">
        <v>0.30452674897119342</v>
      </c>
    </row>
    <row r="107" spans="1:17" x14ac:dyDescent="0.45">
      <c r="A107" s="110">
        <v>104</v>
      </c>
      <c r="B107" s="107">
        <v>-422.4</v>
      </c>
      <c r="C107" s="107">
        <v>-4.0615384615384613</v>
      </c>
      <c r="D107" s="112">
        <v>2.1346153846153846</v>
      </c>
      <c r="E107" s="108">
        <v>0.28846153846153844</v>
      </c>
      <c r="F107" s="108">
        <v>0.25507614213197971</v>
      </c>
      <c r="G107" s="108">
        <v>0.1967005076142132</v>
      </c>
      <c r="H107" s="109">
        <v>11378.606965174129</v>
      </c>
      <c r="I107" s="109">
        <v>-10029.677419354839</v>
      </c>
      <c r="J107" s="108">
        <v>0.21153846153846154</v>
      </c>
      <c r="K107" s="108">
        <v>0.14423076923076922</v>
      </c>
      <c r="L107" s="108">
        <v>0.2884250474383302</v>
      </c>
      <c r="M107" s="108">
        <v>0.1859582542694497</v>
      </c>
      <c r="N107" s="108">
        <v>0.55921052631578949</v>
      </c>
      <c r="O107" s="108">
        <v>0.37755102040816324</v>
      </c>
      <c r="P107" s="108">
        <v>0.41293532338308458</v>
      </c>
      <c r="Q107" s="108">
        <v>0.30364372469635625</v>
      </c>
    </row>
    <row r="108" spans="1:17" x14ac:dyDescent="0.45">
      <c r="A108" s="110">
        <v>105</v>
      </c>
      <c r="B108" s="107">
        <v>-411.59999999999997</v>
      </c>
      <c r="C108" s="107">
        <v>-3.9199999999999995</v>
      </c>
      <c r="D108" s="112">
        <v>2.1333333333333333</v>
      </c>
      <c r="E108" s="108">
        <v>0.2857142857142857</v>
      </c>
      <c r="F108" s="108">
        <v>0.2565707133917397</v>
      </c>
      <c r="G108" s="108">
        <v>0.19524405506883605</v>
      </c>
      <c r="H108" s="109">
        <v>11311.707317073171</v>
      </c>
      <c r="I108" s="109">
        <v>-10016.666666666666</v>
      </c>
      <c r="J108" s="108">
        <v>0.20952380952380953</v>
      </c>
      <c r="K108" s="108">
        <v>0.14285714285714285</v>
      </c>
      <c r="L108" s="108">
        <v>0.2899628252788104</v>
      </c>
      <c r="M108" s="108">
        <v>0.18401486988847585</v>
      </c>
      <c r="N108" s="108">
        <v>0.55769230769230771</v>
      </c>
      <c r="O108" s="108">
        <v>0.38383838383838381</v>
      </c>
      <c r="P108" s="108">
        <v>0.40975609756097559</v>
      </c>
      <c r="Q108" s="108">
        <v>0.30830039525691699</v>
      </c>
    </row>
    <row r="109" spans="1:17" x14ac:dyDescent="0.45">
      <c r="A109" s="110">
        <v>106</v>
      </c>
      <c r="B109" s="107">
        <v>-423.49999999999994</v>
      </c>
      <c r="C109" s="107">
        <v>-3.9952830188679238</v>
      </c>
      <c r="D109" s="112">
        <v>2.141509433962264</v>
      </c>
      <c r="E109" s="108">
        <v>0.28301886792452829</v>
      </c>
      <c r="F109" s="108">
        <v>0.25738916256157635</v>
      </c>
      <c r="G109" s="108">
        <v>0.19458128078817735</v>
      </c>
      <c r="H109" s="109">
        <v>11244.497607655503</v>
      </c>
      <c r="I109" s="109">
        <v>-10058.227848101265</v>
      </c>
      <c r="J109" s="108">
        <v>0.20754716981132076</v>
      </c>
      <c r="K109" s="108">
        <v>0.14150943396226415</v>
      </c>
      <c r="L109" s="108">
        <v>0.29401088929219599</v>
      </c>
      <c r="M109" s="108">
        <v>0.18148820326678766</v>
      </c>
      <c r="N109" s="108">
        <v>0.55555555555555558</v>
      </c>
      <c r="O109" s="108">
        <v>0.38</v>
      </c>
      <c r="P109" s="108">
        <v>0.41626794258373206</v>
      </c>
      <c r="Q109" s="108">
        <v>0.31007751937984496</v>
      </c>
    </row>
    <row r="110" spans="1:17" x14ac:dyDescent="0.45">
      <c r="A110" s="110">
        <v>107</v>
      </c>
      <c r="B110" s="107">
        <v>-418.59999999999997</v>
      </c>
      <c r="C110" s="107">
        <v>-3.9121495327102802</v>
      </c>
      <c r="D110" s="112">
        <v>2.1401869158878504</v>
      </c>
      <c r="E110" s="108">
        <v>0.28037383177570091</v>
      </c>
      <c r="F110" s="108">
        <v>0.25672371638141811</v>
      </c>
      <c r="G110" s="108">
        <v>0.19559902200488999</v>
      </c>
      <c r="H110" s="109">
        <v>11267.142857142857</v>
      </c>
      <c r="I110" s="109">
        <v>-9988.75</v>
      </c>
      <c r="J110" s="108">
        <v>0.20560747663551401</v>
      </c>
      <c r="K110" s="108">
        <v>0.14018691588785046</v>
      </c>
      <c r="L110" s="108">
        <v>0.29443447037701975</v>
      </c>
      <c r="M110" s="108">
        <v>0.18312387791741472</v>
      </c>
      <c r="N110" s="108">
        <v>0.55487804878048785</v>
      </c>
      <c r="O110" s="108">
        <v>0.37254901960784315</v>
      </c>
      <c r="P110" s="108">
        <v>0.41904761904761906</v>
      </c>
      <c r="Q110" s="108">
        <v>0.30769230769230771</v>
      </c>
    </row>
    <row r="111" spans="1:17" x14ac:dyDescent="0.45">
      <c r="A111" s="110">
        <v>108</v>
      </c>
      <c r="B111" s="107">
        <v>-412.99999999999994</v>
      </c>
      <c r="C111" s="107">
        <v>-3.8240740740740735</v>
      </c>
      <c r="D111" s="112">
        <v>2.1296296296296298</v>
      </c>
      <c r="E111" s="108">
        <v>0.28703703703703703</v>
      </c>
      <c r="F111" s="108">
        <v>0.25786924939467315</v>
      </c>
      <c r="G111" s="108">
        <v>0.19491525423728814</v>
      </c>
      <c r="H111" s="109">
        <v>11252.112676056338</v>
      </c>
      <c r="I111" s="109">
        <v>-9976.3975155279495</v>
      </c>
      <c r="J111" s="108">
        <v>0.20370370370370369</v>
      </c>
      <c r="K111" s="108">
        <v>0.1388888888888889</v>
      </c>
      <c r="L111" s="108">
        <v>0.2938053097345133</v>
      </c>
      <c r="M111" s="108">
        <v>0.18230088495575222</v>
      </c>
      <c r="N111" s="108">
        <v>0.56024096385542166</v>
      </c>
      <c r="O111" s="108">
        <v>0.37864077669902912</v>
      </c>
      <c r="P111" s="108">
        <v>0.41784037558685444</v>
      </c>
      <c r="Q111" s="108">
        <v>0.30798479087452474</v>
      </c>
    </row>
    <row r="112" spans="1:17" x14ac:dyDescent="0.45">
      <c r="A112" s="110">
        <v>109</v>
      </c>
      <c r="B112" s="107">
        <v>-448.89999999999992</v>
      </c>
      <c r="C112" s="107">
        <v>-4.1183486238532101</v>
      </c>
      <c r="D112" s="112">
        <v>2.1284403669724772</v>
      </c>
      <c r="E112" s="108">
        <v>0.28440366972477066</v>
      </c>
      <c r="F112" s="108">
        <v>0.25656324582338902</v>
      </c>
      <c r="G112" s="108">
        <v>0.19570405727923629</v>
      </c>
      <c r="H112" s="109">
        <v>11211.627906976744</v>
      </c>
      <c r="I112" s="109">
        <v>-9938.414634146342</v>
      </c>
      <c r="J112" s="108">
        <v>0.21100917431192662</v>
      </c>
      <c r="K112" s="108">
        <v>0.13761467889908258</v>
      </c>
      <c r="L112" s="108">
        <v>0.29116117850953205</v>
      </c>
      <c r="M112" s="108">
        <v>0.17850953206239167</v>
      </c>
      <c r="N112" s="108">
        <v>0.56547619047619047</v>
      </c>
      <c r="O112" s="108">
        <v>0.37864077669902912</v>
      </c>
      <c r="P112" s="108">
        <v>0.42325581395348838</v>
      </c>
      <c r="Q112" s="108">
        <v>0.31086142322097376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75EBA-8FE8-4600-AE3C-E391F96D9ED6}">
  <sheetPr codeName="Sheet15"/>
  <dimension ref="A1:P56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135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54</v>
      </c>
      <c r="C2" s="120"/>
      <c r="E2" s="102" t="s">
        <v>67</v>
      </c>
      <c r="F2" s="98" t="s">
        <v>21</v>
      </c>
      <c r="G2" s="85">
        <v>22</v>
      </c>
      <c r="H2" s="61">
        <f t="shared" ref="H2:H51" si="0">IF(B$25=0,0,G2/B$25)</f>
        <v>0.44</v>
      </c>
      <c r="J2" s="60">
        <v>0</v>
      </c>
      <c r="K2" s="62">
        <v>0</v>
      </c>
      <c r="M2" s="60" t="s">
        <v>150</v>
      </c>
      <c r="N2" s="81">
        <f t="shared" ref="N2:N7" si="1">IF(P2=0,0,O2/P2)</f>
        <v>-590.74074074074076</v>
      </c>
      <c r="O2" s="78">
        <v>-31900</v>
      </c>
      <c r="P2" s="76">
        <v>54</v>
      </c>
    </row>
    <row r="3" spans="1:16" x14ac:dyDescent="0.45">
      <c r="A3" s="94" t="s">
        <v>8</v>
      </c>
      <c r="B3" s="125">
        <v>385</v>
      </c>
      <c r="C3" s="126"/>
      <c r="E3" s="103" t="s">
        <v>68</v>
      </c>
      <c r="F3" s="99" t="s">
        <v>22</v>
      </c>
      <c r="G3" s="86">
        <v>3</v>
      </c>
      <c r="H3" s="64">
        <f t="shared" si="0"/>
        <v>0.06</v>
      </c>
      <c r="J3" s="63">
        <v>1</v>
      </c>
      <c r="K3" s="65">
        <v>-38.9</v>
      </c>
      <c r="M3" s="63" t="s">
        <v>151</v>
      </c>
      <c r="N3" s="82">
        <f t="shared" si="1"/>
        <v>2784.3137254901962</v>
      </c>
      <c r="O3" s="79">
        <v>142000</v>
      </c>
      <c r="P3" s="74">
        <v>51</v>
      </c>
    </row>
    <row r="4" spans="1:16" x14ac:dyDescent="0.45">
      <c r="A4" s="94" t="s">
        <v>6</v>
      </c>
      <c r="B4" s="127">
        <v>244.50000000000003</v>
      </c>
      <c r="C4" s="128"/>
      <c r="E4" s="103" t="s">
        <v>69</v>
      </c>
      <c r="F4" s="99" t="s">
        <v>23</v>
      </c>
      <c r="G4" s="86">
        <v>49</v>
      </c>
      <c r="H4" s="64">
        <f t="shared" si="0"/>
        <v>0.98</v>
      </c>
      <c r="J4" s="63">
        <v>2</v>
      </c>
      <c r="K4" s="65">
        <v>-13.2</v>
      </c>
      <c r="M4" s="63" t="s">
        <v>152</v>
      </c>
      <c r="N4" s="82">
        <f t="shared" si="1"/>
        <v>-2071.4285714285716</v>
      </c>
      <c r="O4" s="79">
        <v>-101500</v>
      </c>
      <c r="P4" s="74">
        <v>49</v>
      </c>
    </row>
    <row r="5" spans="1:16" x14ac:dyDescent="0.45">
      <c r="A5" s="94" t="s">
        <v>7</v>
      </c>
      <c r="B5" s="127">
        <f>IF(B$2=0,0,B$4/B$2)</f>
        <v>4.5277777777777786</v>
      </c>
      <c r="C5" s="128"/>
      <c r="E5" s="103" t="s">
        <v>70</v>
      </c>
      <c r="F5" s="99" t="s">
        <v>24</v>
      </c>
      <c r="G5" s="86">
        <v>17</v>
      </c>
      <c r="H5" s="64">
        <f t="shared" si="0"/>
        <v>0.34</v>
      </c>
      <c r="J5" s="63">
        <v>3</v>
      </c>
      <c r="K5" s="65">
        <v>-56.7</v>
      </c>
      <c r="M5" s="63" t="s">
        <v>153</v>
      </c>
      <c r="N5" s="82">
        <f t="shared" si="1"/>
        <v>-595.1219512195122</v>
      </c>
      <c r="O5" s="79">
        <v>-24400</v>
      </c>
      <c r="P5" s="74">
        <v>41</v>
      </c>
    </row>
    <row r="6" spans="1:16" x14ac:dyDescent="0.45">
      <c r="A6" s="94" t="s">
        <v>1</v>
      </c>
      <c r="B6" s="117">
        <f>IF(B$2=0,0,(B$7*1+B$8*2+B$9*3)/B$2)</f>
        <v>1.8888888888888888</v>
      </c>
      <c r="C6" s="118"/>
      <c r="E6" s="103" t="s">
        <v>71</v>
      </c>
      <c r="F6" s="99" t="s">
        <v>25</v>
      </c>
      <c r="G6" s="86">
        <v>46</v>
      </c>
      <c r="H6" s="64">
        <f t="shared" si="0"/>
        <v>0.92</v>
      </c>
      <c r="J6" s="63">
        <v>4</v>
      </c>
      <c r="K6" s="65">
        <v>-52.7</v>
      </c>
      <c r="M6" s="63" t="s">
        <v>154</v>
      </c>
      <c r="N6" s="82">
        <f t="shared" si="1"/>
        <v>7894.2857142857147</v>
      </c>
      <c r="O6" s="79">
        <v>276300</v>
      </c>
      <c r="P6" s="74">
        <v>35</v>
      </c>
    </row>
    <row r="7" spans="1:16" x14ac:dyDescent="0.45">
      <c r="A7" s="94" t="s">
        <v>2</v>
      </c>
      <c r="B7" s="86">
        <v>19</v>
      </c>
      <c r="C7" s="64">
        <f>IF(B$2=0,0,B7/B$2)</f>
        <v>0.35185185185185186</v>
      </c>
      <c r="E7" s="103" t="s">
        <v>72</v>
      </c>
      <c r="F7" s="99" t="s">
        <v>12</v>
      </c>
      <c r="G7" s="86">
        <v>16</v>
      </c>
      <c r="H7" s="64">
        <f t="shared" si="0"/>
        <v>0.32</v>
      </c>
      <c r="J7" s="63">
        <v>5</v>
      </c>
      <c r="K7" s="65">
        <v>-44.7</v>
      </c>
      <c r="M7" s="68" t="s">
        <v>155</v>
      </c>
      <c r="N7" s="83">
        <f t="shared" si="1"/>
        <v>-316.66666666666669</v>
      </c>
      <c r="O7" s="80">
        <v>-7600</v>
      </c>
      <c r="P7" s="75">
        <v>24</v>
      </c>
    </row>
    <row r="8" spans="1:16" x14ac:dyDescent="0.45">
      <c r="A8" s="94" t="s">
        <v>3</v>
      </c>
      <c r="B8" s="86">
        <v>22</v>
      </c>
      <c r="C8" s="64">
        <f t="shared" ref="C8:C9" si="2">IF(B$2=0,0,B8/B$2)</f>
        <v>0.40740740740740738</v>
      </c>
      <c r="E8" s="103" t="s">
        <v>73</v>
      </c>
      <c r="F8" s="99" t="s">
        <v>26</v>
      </c>
      <c r="G8" s="86">
        <v>5</v>
      </c>
      <c r="H8" s="64">
        <f t="shared" si="0"/>
        <v>0.1</v>
      </c>
      <c r="J8" s="63">
        <v>6</v>
      </c>
      <c r="K8" s="65">
        <v>-49.6</v>
      </c>
    </row>
    <row r="9" spans="1:16" x14ac:dyDescent="0.45">
      <c r="A9" s="95" t="s">
        <v>4</v>
      </c>
      <c r="B9" s="87">
        <v>13</v>
      </c>
      <c r="C9" s="66">
        <f t="shared" si="2"/>
        <v>0.24074074074074073</v>
      </c>
      <c r="E9" s="103" t="s">
        <v>74</v>
      </c>
      <c r="F9" s="99" t="s">
        <v>27</v>
      </c>
      <c r="G9" s="86">
        <v>4</v>
      </c>
      <c r="H9" s="64">
        <f t="shared" si="0"/>
        <v>0.08</v>
      </c>
      <c r="J9" s="63">
        <v>7</v>
      </c>
      <c r="K9" s="65">
        <v>-46.6</v>
      </c>
    </row>
    <row r="10" spans="1:16" x14ac:dyDescent="0.45">
      <c r="A10" s="95" t="s">
        <v>19</v>
      </c>
      <c r="B10" s="87">
        <v>7</v>
      </c>
      <c r="C10" s="66">
        <f>IF(B$2=0,0,B10/B$2)</f>
        <v>0.12962962962962962</v>
      </c>
      <c r="E10" s="103" t="s">
        <v>75</v>
      </c>
      <c r="F10" s="99" t="s">
        <v>28</v>
      </c>
      <c r="G10" s="86">
        <v>1</v>
      </c>
      <c r="H10" s="64">
        <f t="shared" si="0"/>
        <v>0.02</v>
      </c>
      <c r="J10" s="63">
        <v>8</v>
      </c>
      <c r="K10" s="65">
        <v>-58.1</v>
      </c>
    </row>
    <row r="11" spans="1:16" x14ac:dyDescent="0.45">
      <c r="A11" s="96" t="s">
        <v>160</v>
      </c>
      <c r="B11" s="88">
        <v>10</v>
      </c>
      <c r="C11" s="69">
        <f>IF(B$2=0,0,B11/B$2)</f>
        <v>0.18518518518518517</v>
      </c>
      <c r="E11" s="103" t="s">
        <v>76</v>
      </c>
      <c r="F11" s="99" t="s">
        <v>29</v>
      </c>
      <c r="G11" s="86">
        <v>30</v>
      </c>
      <c r="H11" s="64">
        <f t="shared" si="0"/>
        <v>0.6</v>
      </c>
      <c r="J11" s="63">
        <v>9</v>
      </c>
      <c r="K11" s="65">
        <v>-76.900000000000006</v>
      </c>
    </row>
    <row r="12" spans="1:16" x14ac:dyDescent="0.45">
      <c r="A12" s="97" t="s">
        <v>128</v>
      </c>
      <c r="B12" s="89">
        <v>33</v>
      </c>
      <c r="C12" s="72">
        <f>IF(B$24=0,0,B12/B$24)</f>
        <v>0.22448979591836735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-77.900000000000006</v>
      </c>
    </row>
    <row r="13" spans="1:16" x14ac:dyDescent="0.45">
      <c r="A13" s="94" t="s">
        <v>123</v>
      </c>
      <c r="B13" s="86">
        <v>48</v>
      </c>
      <c r="C13" s="64">
        <f>IF(B$24=0,0,B13/B$24)</f>
        <v>0.32653061224489793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-87.9</v>
      </c>
    </row>
    <row r="14" spans="1:16" x14ac:dyDescent="0.45">
      <c r="A14" s="93" t="s">
        <v>130</v>
      </c>
      <c r="B14" s="85">
        <v>22</v>
      </c>
      <c r="C14" s="61">
        <f>IF(B$12=0,0,B14/B$12)</f>
        <v>0.66666666666666663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-23.5</v>
      </c>
    </row>
    <row r="15" spans="1:16" x14ac:dyDescent="0.45">
      <c r="A15" s="93" t="s">
        <v>131</v>
      </c>
      <c r="B15" s="85">
        <v>17</v>
      </c>
      <c r="C15" s="61">
        <f>IF(B$13=0,0,B15/B$13)</f>
        <v>0.35416666666666669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-12.4</v>
      </c>
    </row>
    <row r="16" spans="1:16" x14ac:dyDescent="0.45">
      <c r="A16" s="93" t="s">
        <v>10</v>
      </c>
      <c r="B16" s="85">
        <f>B18+B17</f>
        <v>137</v>
      </c>
      <c r="C16" s="61">
        <f>IF(B$3=0,0,B16/B$3)</f>
        <v>0.35584415584415585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37.6</v>
      </c>
    </row>
    <row r="17" spans="1:11" x14ac:dyDescent="0.45">
      <c r="A17" s="94" t="s">
        <v>12</v>
      </c>
      <c r="B17" s="86">
        <v>63</v>
      </c>
      <c r="C17" s="64">
        <f>IF(B$16=0,0,B17/B$16)</f>
        <v>0.45985401459854014</v>
      </c>
      <c r="E17" s="103" t="s">
        <v>82</v>
      </c>
      <c r="F17" s="99" t="s">
        <v>35</v>
      </c>
      <c r="G17" s="86">
        <v>1</v>
      </c>
      <c r="H17" s="64">
        <f t="shared" si="0"/>
        <v>0.02</v>
      </c>
      <c r="J17" s="63">
        <v>15</v>
      </c>
      <c r="K17" s="65">
        <v>53.8</v>
      </c>
    </row>
    <row r="18" spans="1:11" x14ac:dyDescent="0.45">
      <c r="A18" s="94" t="s">
        <v>11</v>
      </c>
      <c r="B18" s="86">
        <v>74</v>
      </c>
      <c r="C18" s="64">
        <f>IF(B$16=0,0,B18/B$16)</f>
        <v>0.54014598540145986</v>
      </c>
      <c r="E18" s="103" t="s">
        <v>83</v>
      </c>
      <c r="F18" s="99" t="s">
        <v>36</v>
      </c>
      <c r="G18" s="86">
        <v>0</v>
      </c>
      <c r="H18" s="64">
        <f t="shared" si="0"/>
        <v>0</v>
      </c>
      <c r="J18" s="63">
        <v>16</v>
      </c>
      <c r="K18" s="65">
        <v>39.299999999999997</v>
      </c>
    </row>
    <row r="19" spans="1:11" x14ac:dyDescent="0.45">
      <c r="A19" s="94" t="s">
        <v>13</v>
      </c>
      <c r="B19" s="86">
        <v>61</v>
      </c>
      <c r="C19" s="64">
        <f>IF(B$3=0,0,B19/B$3)</f>
        <v>0.15844155844155844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14.799999999999997</v>
      </c>
    </row>
    <row r="20" spans="1:11" x14ac:dyDescent="0.45">
      <c r="A20" s="94" t="s">
        <v>5</v>
      </c>
      <c r="B20" s="90">
        <f>IF(B$16=0,0,C20/B$16)</f>
        <v>9855.4744525547449</v>
      </c>
      <c r="C20" s="67">
        <v>1350200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-25.700000000000003</v>
      </c>
    </row>
    <row r="21" spans="1:11" x14ac:dyDescent="0.45">
      <c r="A21" s="96" t="s">
        <v>14</v>
      </c>
      <c r="B21" s="91">
        <f>IF(B$19=0,0,C21/B$19)</f>
        <v>-9145.9016393442616</v>
      </c>
      <c r="C21" s="84">
        <v>-557900</v>
      </c>
      <c r="E21" s="103" t="s">
        <v>86</v>
      </c>
      <c r="F21" s="99" t="s">
        <v>39</v>
      </c>
      <c r="G21" s="86">
        <v>2</v>
      </c>
      <c r="H21" s="64">
        <f t="shared" si="0"/>
        <v>0.04</v>
      </c>
      <c r="J21" s="63">
        <v>19</v>
      </c>
      <c r="K21" s="65">
        <v>-17.700000000000003</v>
      </c>
    </row>
    <row r="22" spans="1:11" x14ac:dyDescent="0.45">
      <c r="A22" s="93" t="s">
        <v>147</v>
      </c>
      <c r="B22" s="85">
        <v>142</v>
      </c>
      <c r="C22" s="61">
        <f>IF(B$3=0,0,B22/B$3)</f>
        <v>0.36883116883116884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6.4999999999999964</v>
      </c>
    </row>
    <row r="23" spans="1:11" x14ac:dyDescent="0.45">
      <c r="A23" s="96" t="s">
        <v>148</v>
      </c>
      <c r="B23" s="88">
        <v>53</v>
      </c>
      <c r="C23" s="69">
        <f>IF(B$22=0,0,B23/B$22)</f>
        <v>0.37323943661971831</v>
      </c>
      <c r="E23" s="103" t="s">
        <v>88</v>
      </c>
      <c r="F23" s="99" t="s">
        <v>41</v>
      </c>
      <c r="G23" s="86">
        <v>3</v>
      </c>
      <c r="H23" s="64">
        <f t="shared" si="0"/>
        <v>0.06</v>
      </c>
      <c r="J23" s="63">
        <v>21</v>
      </c>
      <c r="K23" s="65">
        <v>67.8</v>
      </c>
    </row>
    <row r="24" spans="1:11" x14ac:dyDescent="0.45">
      <c r="A24" s="93" t="s">
        <v>126</v>
      </c>
      <c r="B24" s="119">
        <v>147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  <c r="J24" s="63">
        <v>22</v>
      </c>
      <c r="K24" s="65">
        <v>76.399999999999991</v>
      </c>
    </row>
    <row r="25" spans="1:11" x14ac:dyDescent="0.45">
      <c r="A25" s="96" t="s">
        <v>127</v>
      </c>
      <c r="B25" s="121">
        <v>50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90.199999999999989</v>
      </c>
    </row>
    <row r="26" spans="1:11" x14ac:dyDescent="0.45">
      <c r="A26" s="105" t="s">
        <v>164</v>
      </c>
      <c r="B26" s="115">
        <v>7</v>
      </c>
      <c r="C26" s="116"/>
      <c r="E26" s="103" t="s">
        <v>91</v>
      </c>
      <c r="F26" s="99" t="s">
        <v>44</v>
      </c>
      <c r="G26" s="86">
        <v>3</v>
      </c>
      <c r="H26" s="64">
        <f t="shared" si="0"/>
        <v>0.06</v>
      </c>
      <c r="J26" s="63">
        <v>24</v>
      </c>
      <c r="K26" s="65">
        <v>47.29999999999999</v>
      </c>
    </row>
    <row r="27" spans="1:11" x14ac:dyDescent="0.45">
      <c r="A27" s="96" t="s">
        <v>165</v>
      </c>
      <c r="B27" s="106">
        <v>1</v>
      </c>
      <c r="C27" s="69">
        <f>IF(B$3=0,0,B27/B$3)</f>
        <v>2.5974025974025974E-3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55.79999999999999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137.79999999999998</v>
      </c>
    </row>
    <row r="29" spans="1:11" x14ac:dyDescent="0.45">
      <c r="E29" s="103" t="s">
        <v>94</v>
      </c>
      <c r="F29" s="99" t="s">
        <v>47</v>
      </c>
      <c r="G29" s="86">
        <v>3</v>
      </c>
      <c r="H29" s="64">
        <f t="shared" si="0"/>
        <v>0.06</v>
      </c>
      <c r="J29" s="63">
        <v>27</v>
      </c>
      <c r="K29" s="65">
        <v>157.79999999999998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168.7</v>
      </c>
    </row>
    <row r="31" spans="1:11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  <c r="J31" s="63">
        <v>29</v>
      </c>
      <c r="K31" s="65">
        <v>198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191.5</v>
      </c>
    </row>
    <row r="33" spans="5:11" x14ac:dyDescent="0.45">
      <c r="E33" s="103" t="s">
        <v>98</v>
      </c>
      <c r="F33" s="99" t="s">
        <v>51</v>
      </c>
      <c r="G33" s="86">
        <v>1</v>
      </c>
      <c r="H33" s="64">
        <f t="shared" si="0"/>
        <v>0.02</v>
      </c>
      <c r="J33" s="63">
        <v>31</v>
      </c>
      <c r="K33" s="65">
        <v>180.9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198.4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238.4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227.9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182.9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229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243.8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226.60000000000002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227.00000000000003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230.10000000000002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228.10000000000002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248.3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280.10000000000002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272.3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242.10000000000002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207.60000000000002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187.90000000000003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208.70000000000005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205.90000000000003</v>
      </c>
    </row>
    <row r="52" spans="5:11" x14ac:dyDescent="0.45">
      <c r="J52" s="63">
        <v>50</v>
      </c>
      <c r="K52" s="65">
        <v>205.90000000000003</v>
      </c>
    </row>
    <row r="53" spans="5:11" x14ac:dyDescent="0.45">
      <c r="J53" s="63">
        <v>51</v>
      </c>
      <c r="K53" s="65">
        <v>283.60000000000002</v>
      </c>
    </row>
    <row r="54" spans="5:11" x14ac:dyDescent="0.45">
      <c r="J54" s="63">
        <v>52</v>
      </c>
      <c r="K54" s="65">
        <v>309.10000000000002</v>
      </c>
    </row>
    <row r="55" spans="5:11" x14ac:dyDescent="0.45">
      <c r="J55" s="63">
        <v>53</v>
      </c>
      <c r="K55" s="65">
        <v>259.60000000000002</v>
      </c>
    </row>
    <row r="56" spans="5:11" x14ac:dyDescent="0.45">
      <c r="J56" s="63">
        <v>54</v>
      </c>
      <c r="K56" s="65">
        <v>244.50000000000003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884B-9F14-4220-839D-B9D8E4B4A2DC}">
  <sheetPr codeName="Sheet16"/>
  <dimension ref="A1:Q57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135</v>
      </c>
      <c r="B1" s="111" t="s">
        <v>135</v>
      </c>
      <c r="C1" s="111" t="s">
        <v>135</v>
      </c>
      <c r="D1" s="112" t="s">
        <v>135</v>
      </c>
      <c r="E1" s="111" t="s">
        <v>135</v>
      </c>
      <c r="F1" s="111" t="s">
        <v>135</v>
      </c>
      <c r="G1" s="111" t="s">
        <v>135</v>
      </c>
      <c r="H1" s="111" t="s">
        <v>135</v>
      </c>
      <c r="I1" s="111" t="s">
        <v>135</v>
      </c>
      <c r="J1" s="111" t="s">
        <v>135</v>
      </c>
      <c r="K1" s="111" t="s">
        <v>135</v>
      </c>
      <c r="L1" s="111" t="s">
        <v>135</v>
      </c>
      <c r="M1" s="111" t="s">
        <v>135</v>
      </c>
      <c r="N1" s="111" t="s">
        <v>135</v>
      </c>
      <c r="O1" s="111" t="s">
        <v>135</v>
      </c>
      <c r="P1" s="111" t="s">
        <v>135</v>
      </c>
      <c r="Q1" s="111" t="s">
        <v>135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-38.9</v>
      </c>
      <c r="C4" s="107">
        <v>-38.9</v>
      </c>
      <c r="D4" s="112">
        <v>3</v>
      </c>
      <c r="E4" s="108">
        <v>0</v>
      </c>
      <c r="F4" s="108">
        <v>0</v>
      </c>
      <c r="G4" s="108">
        <v>0.66666666666666663</v>
      </c>
      <c r="H4" s="109">
        <v>0</v>
      </c>
      <c r="I4" s="109">
        <v>0</v>
      </c>
      <c r="J4" s="108">
        <v>1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-13.2</v>
      </c>
      <c r="C5" s="107">
        <v>-6.6</v>
      </c>
      <c r="D5" s="112">
        <v>2</v>
      </c>
      <c r="E5" s="108">
        <v>0.5</v>
      </c>
      <c r="F5" s="108">
        <v>0.25</v>
      </c>
      <c r="G5" s="108">
        <v>0.25</v>
      </c>
      <c r="H5" s="109">
        <v>16000</v>
      </c>
      <c r="I5" s="109">
        <v>0</v>
      </c>
      <c r="J5" s="108">
        <v>0.5</v>
      </c>
      <c r="K5" s="108">
        <v>0.5</v>
      </c>
      <c r="P5" s="108">
        <v>0</v>
      </c>
      <c r="Q5" s="108">
        <v>0.5</v>
      </c>
    </row>
    <row r="6" spans="1:17" x14ac:dyDescent="0.45">
      <c r="A6" s="110">
        <v>3</v>
      </c>
      <c r="B6" s="107">
        <v>-56.7</v>
      </c>
      <c r="C6" s="107">
        <v>-18.900000000000002</v>
      </c>
      <c r="D6" s="112">
        <v>2.3333333333333335</v>
      </c>
      <c r="E6" s="108">
        <v>0.33333333333333331</v>
      </c>
      <c r="F6" s="108">
        <v>0.14285714285714285</v>
      </c>
      <c r="G6" s="108">
        <v>0.21428571428571427</v>
      </c>
      <c r="H6" s="109">
        <v>16000</v>
      </c>
      <c r="I6" s="109">
        <v>-6000</v>
      </c>
      <c r="J6" s="108">
        <v>0.66666666666666663</v>
      </c>
      <c r="K6" s="108">
        <v>0.33333333333333331</v>
      </c>
      <c r="P6" s="108">
        <v>0</v>
      </c>
      <c r="Q6" s="108">
        <v>0.33333333333333331</v>
      </c>
    </row>
    <row r="7" spans="1:17" x14ac:dyDescent="0.45">
      <c r="A7" s="110">
        <v>4</v>
      </c>
      <c r="B7" s="107">
        <v>-52.7</v>
      </c>
      <c r="C7" s="107">
        <v>-13.175000000000001</v>
      </c>
      <c r="D7" s="112">
        <v>2.25</v>
      </c>
      <c r="E7" s="108">
        <v>0.25</v>
      </c>
      <c r="F7" s="108">
        <v>0.2857142857142857</v>
      </c>
      <c r="G7" s="108">
        <v>0.19047619047619047</v>
      </c>
      <c r="H7" s="109">
        <v>9666.6666666666661</v>
      </c>
      <c r="I7" s="109">
        <v>-9000</v>
      </c>
      <c r="J7" s="108">
        <v>0.5</v>
      </c>
      <c r="K7" s="108">
        <v>0.25</v>
      </c>
      <c r="P7" s="108">
        <v>0.16666666666666666</v>
      </c>
      <c r="Q7" s="108">
        <v>0.25</v>
      </c>
    </row>
    <row r="8" spans="1:17" x14ac:dyDescent="0.45">
      <c r="A8" s="110">
        <v>5</v>
      </c>
      <c r="B8" s="107">
        <v>-44.7</v>
      </c>
      <c r="C8" s="107">
        <v>-8.9400000000000013</v>
      </c>
      <c r="D8" s="112">
        <v>2.2000000000000002</v>
      </c>
      <c r="E8" s="108">
        <v>0.2</v>
      </c>
      <c r="F8" s="108">
        <v>0.30434782608695654</v>
      </c>
      <c r="G8" s="108">
        <v>0.17391304347826086</v>
      </c>
      <c r="H8" s="109">
        <v>9428.5714285714294</v>
      </c>
      <c r="I8" s="109">
        <v>-9000</v>
      </c>
      <c r="J8" s="108">
        <v>0.4</v>
      </c>
      <c r="K8" s="108">
        <v>0.2</v>
      </c>
      <c r="P8" s="108">
        <v>0.14285714285714285</v>
      </c>
      <c r="Q8" s="108">
        <v>0.25</v>
      </c>
    </row>
    <row r="9" spans="1:17" x14ac:dyDescent="0.45">
      <c r="A9" s="110">
        <v>6</v>
      </c>
      <c r="B9" s="107">
        <v>-49.6</v>
      </c>
      <c r="C9" s="107">
        <v>-8.2666666666666675</v>
      </c>
      <c r="D9" s="112">
        <v>2.1666666666666665</v>
      </c>
      <c r="E9" s="108">
        <v>0.16666666666666666</v>
      </c>
      <c r="F9" s="108">
        <v>0.3</v>
      </c>
      <c r="G9" s="108">
        <v>0.2</v>
      </c>
      <c r="H9" s="109">
        <v>8333.3333333333339</v>
      </c>
      <c r="I9" s="109">
        <v>-7816.666666666667</v>
      </c>
      <c r="J9" s="108">
        <v>0.33333333333333331</v>
      </c>
      <c r="K9" s="108">
        <v>0.16666666666666666</v>
      </c>
      <c r="P9" s="108">
        <v>0.1111111111111111</v>
      </c>
      <c r="Q9" s="108">
        <v>0.16666666666666666</v>
      </c>
    </row>
    <row r="10" spans="1:17" x14ac:dyDescent="0.45">
      <c r="A10" s="110">
        <v>7</v>
      </c>
      <c r="B10" s="107">
        <v>-46.6</v>
      </c>
      <c r="C10" s="107">
        <v>-6.6571428571428575</v>
      </c>
      <c r="D10" s="112">
        <v>2.1428571428571428</v>
      </c>
      <c r="E10" s="108">
        <v>0.14285714285714285</v>
      </c>
      <c r="F10" s="108">
        <v>0.28947368421052633</v>
      </c>
      <c r="G10" s="108">
        <v>0.18421052631578946</v>
      </c>
      <c r="H10" s="109">
        <v>7909.090909090909</v>
      </c>
      <c r="I10" s="109">
        <v>-8414.2857142857138</v>
      </c>
      <c r="J10" s="108">
        <v>0.2857142857142857</v>
      </c>
      <c r="K10" s="108">
        <v>0.14285714285714285</v>
      </c>
      <c r="P10" s="108">
        <v>0.27272727272727271</v>
      </c>
      <c r="Q10" s="108">
        <v>0.1</v>
      </c>
    </row>
    <row r="11" spans="1:17" x14ac:dyDescent="0.45">
      <c r="A11" s="110">
        <v>8</v>
      </c>
      <c r="B11" s="107">
        <v>-58.1</v>
      </c>
      <c r="C11" s="107">
        <v>-7.2625000000000002</v>
      </c>
      <c r="D11" s="112">
        <v>2.125</v>
      </c>
      <c r="E11" s="108">
        <v>0.125</v>
      </c>
      <c r="F11" s="108">
        <v>0.2608695652173913</v>
      </c>
      <c r="G11" s="108">
        <v>0.17391304347826086</v>
      </c>
      <c r="H11" s="109">
        <v>7916.666666666667</v>
      </c>
      <c r="I11" s="109">
        <v>-9612.5</v>
      </c>
      <c r="J11" s="108">
        <v>0.25</v>
      </c>
      <c r="K11" s="108">
        <v>0.125</v>
      </c>
      <c r="P11" s="108">
        <v>0.25</v>
      </c>
      <c r="Q11" s="108">
        <v>8.3333333333333329E-2</v>
      </c>
    </row>
    <row r="12" spans="1:17" x14ac:dyDescent="0.45">
      <c r="A12" s="110">
        <v>9</v>
      </c>
      <c r="B12" s="107">
        <v>-76.900000000000006</v>
      </c>
      <c r="C12" s="107">
        <v>-8.5444444444444443</v>
      </c>
      <c r="D12" s="112">
        <v>2.1111111111111112</v>
      </c>
      <c r="E12" s="108">
        <v>0.1111111111111111</v>
      </c>
      <c r="F12" s="108">
        <v>0.27777777777777779</v>
      </c>
      <c r="G12" s="108">
        <v>0.16666666666666666</v>
      </c>
      <c r="H12" s="109">
        <v>7473.333333333333</v>
      </c>
      <c r="I12" s="109">
        <v>-11211.111111111111</v>
      </c>
      <c r="J12" s="108">
        <v>0.22222222222222221</v>
      </c>
      <c r="K12" s="108">
        <v>0.1111111111111111</v>
      </c>
      <c r="P12" s="108">
        <v>0.26666666666666666</v>
      </c>
      <c r="Q12" s="108">
        <v>7.6923076923076927E-2</v>
      </c>
    </row>
    <row r="13" spans="1:17" x14ac:dyDescent="0.45">
      <c r="A13" s="110">
        <v>10</v>
      </c>
      <c r="B13" s="107">
        <v>-77.900000000000006</v>
      </c>
      <c r="C13" s="107">
        <v>-7.7900000000000009</v>
      </c>
      <c r="D13" s="112">
        <v>2.1</v>
      </c>
      <c r="E13" s="108">
        <v>0.1</v>
      </c>
      <c r="F13" s="108">
        <v>0.29032258064516131</v>
      </c>
      <c r="G13" s="108">
        <v>0.17741935483870969</v>
      </c>
      <c r="H13" s="109">
        <v>7616.666666666667</v>
      </c>
      <c r="I13" s="109">
        <v>-11354.545454545454</v>
      </c>
      <c r="J13" s="108">
        <v>0.2</v>
      </c>
      <c r="K13" s="108">
        <v>0.1</v>
      </c>
      <c r="P13" s="108">
        <v>0.27777777777777779</v>
      </c>
      <c r="Q13" s="108">
        <v>6.6666666666666666E-2</v>
      </c>
    </row>
    <row r="14" spans="1:17" x14ac:dyDescent="0.45">
      <c r="A14" s="110">
        <v>11</v>
      </c>
      <c r="B14" s="107">
        <v>-87.9</v>
      </c>
      <c r="C14" s="107">
        <v>-7.9909090909090912</v>
      </c>
      <c r="D14" s="112">
        <v>2.0909090909090908</v>
      </c>
      <c r="E14" s="108">
        <v>9.0909090909090912E-2</v>
      </c>
      <c r="F14" s="108">
        <v>0.2878787878787879</v>
      </c>
      <c r="G14" s="108">
        <v>0.16666666666666666</v>
      </c>
      <c r="H14" s="109">
        <v>7847.3684210526317</v>
      </c>
      <c r="I14" s="109">
        <v>-11354.545454545454</v>
      </c>
      <c r="J14" s="108">
        <v>0.18181818181818182</v>
      </c>
      <c r="K14" s="108">
        <v>9.0909090909090912E-2</v>
      </c>
      <c r="P14" s="108">
        <v>0.26315789473684209</v>
      </c>
      <c r="Q14" s="108">
        <v>0.11764705882352941</v>
      </c>
    </row>
    <row r="15" spans="1:17" x14ac:dyDescent="0.45">
      <c r="A15" s="110">
        <v>12</v>
      </c>
      <c r="B15" s="107">
        <v>-23.5</v>
      </c>
      <c r="C15" s="107">
        <v>-1.9583333333333333</v>
      </c>
      <c r="D15" s="112">
        <v>2</v>
      </c>
      <c r="E15" s="108">
        <v>0.16666666666666666</v>
      </c>
      <c r="F15" s="108">
        <v>0.35064935064935066</v>
      </c>
      <c r="G15" s="108">
        <v>0.16883116883116883</v>
      </c>
      <c r="H15" s="109">
        <v>8444.4444444444453</v>
      </c>
      <c r="I15" s="109">
        <v>-11146.153846153846</v>
      </c>
      <c r="J15" s="108">
        <v>0.16666666666666666</v>
      </c>
      <c r="K15" s="108">
        <v>0.16666666666666666</v>
      </c>
      <c r="P15" s="108">
        <v>0.22222222222222221</v>
      </c>
      <c r="Q15" s="108">
        <v>0.30434782608695654</v>
      </c>
    </row>
    <row r="16" spans="1:17" x14ac:dyDescent="0.45">
      <c r="A16" s="110">
        <v>13</v>
      </c>
      <c r="B16" s="107">
        <v>-12.4</v>
      </c>
      <c r="C16" s="107">
        <v>-0.9538461538461539</v>
      </c>
      <c r="D16" s="112">
        <v>2</v>
      </c>
      <c r="E16" s="108">
        <v>0.15384615384615385</v>
      </c>
      <c r="F16" s="108">
        <v>0.35294117647058826</v>
      </c>
      <c r="G16" s="108">
        <v>0.15294117647058825</v>
      </c>
      <c r="H16" s="109">
        <v>8453.3333333333339</v>
      </c>
      <c r="I16" s="109">
        <v>-11146.153846153846</v>
      </c>
      <c r="J16" s="108">
        <v>0.15384615384615385</v>
      </c>
      <c r="K16" s="108">
        <v>0.15384615384615385</v>
      </c>
      <c r="P16" s="108">
        <v>0.26666666666666666</v>
      </c>
      <c r="Q16" s="108">
        <v>0.29629629629629628</v>
      </c>
    </row>
    <row r="17" spans="1:17" x14ac:dyDescent="0.45">
      <c r="A17" s="110">
        <v>14</v>
      </c>
      <c r="B17" s="107">
        <v>37.6</v>
      </c>
      <c r="C17" s="107">
        <v>2.6857142857142859</v>
      </c>
      <c r="D17" s="112">
        <v>1.9285714285714286</v>
      </c>
      <c r="E17" s="108">
        <v>0.21428571428571427</v>
      </c>
      <c r="F17" s="108">
        <v>0.3707865168539326</v>
      </c>
      <c r="G17" s="108">
        <v>0.14606741573033707</v>
      </c>
      <c r="H17" s="109">
        <v>9200</v>
      </c>
      <c r="I17" s="109">
        <v>-11146.153846153846</v>
      </c>
      <c r="J17" s="108">
        <v>0.14285714285714285</v>
      </c>
      <c r="K17" s="108">
        <v>0.21428571428571427</v>
      </c>
      <c r="P17" s="108">
        <v>0.27272727272727271</v>
      </c>
      <c r="Q17" s="108">
        <v>0.33333333333333331</v>
      </c>
    </row>
    <row r="18" spans="1:17" x14ac:dyDescent="0.45">
      <c r="A18" s="110">
        <v>15</v>
      </c>
      <c r="B18" s="107">
        <v>53.8</v>
      </c>
      <c r="C18" s="107">
        <v>3.5866666666666664</v>
      </c>
      <c r="D18" s="112">
        <v>1.8666666666666667</v>
      </c>
      <c r="E18" s="108">
        <v>0.26666666666666666</v>
      </c>
      <c r="F18" s="108">
        <v>0.38775510204081631</v>
      </c>
      <c r="G18" s="108">
        <v>0.15306122448979592</v>
      </c>
      <c r="H18" s="109">
        <v>9410.5263157894733</v>
      </c>
      <c r="I18" s="109">
        <v>-11646.666666666666</v>
      </c>
      <c r="J18" s="108">
        <v>0.13333333333333333</v>
      </c>
      <c r="K18" s="108">
        <v>0.2</v>
      </c>
      <c r="P18" s="108">
        <v>0.34210526315789475</v>
      </c>
      <c r="Q18" s="108">
        <v>0.36363636363636365</v>
      </c>
    </row>
    <row r="19" spans="1:17" x14ac:dyDescent="0.45">
      <c r="A19" s="110">
        <v>16</v>
      </c>
      <c r="B19" s="107">
        <v>39.299999999999997</v>
      </c>
      <c r="C19" s="107">
        <v>2.4562499999999998</v>
      </c>
      <c r="D19" s="112">
        <v>1.9375</v>
      </c>
      <c r="E19" s="108">
        <v>0.25</v>
      </c>
      <c r="F19" s="108">
        <v>0.3867924528301887</v>
      </c>
      <c r="G19" s="108">
        <v>0.16981132075471697</v>
      </c>
      <c r="H19" s="109">
        <v>9051.2195121951227</v>
      </c>
      <c r="I19" s="109">
        <v>-10983.333333333334</v>
      </c>
      <c r="J19" s="108">
        <v>0.125</v>
      </c>
      <c r="K19" s="108">
        <v>0.1875</v>
      </c>
      <c r="P19" s="108">
        <v>0.36585365853658536</v>
      </c>
      <c r="Q19" s="108">
        <v>0.34285714285714286</v>
      </c>
    </row>
    <row r="20" spans="1:17" x14ac:dyDescent="0.45">
      <c r="A20" s="110">
        <v>17</v>
      </c>
      <c r="B20" s="107">
        <v>14.799999999999997</v>
      </c>
      <c r="C20" s="107">
        <v>0.87058823529411744</v>
      </c>
      <c r="D20" s="112">
        <v>1.9411764705882353</v>
      </c>
      <c r="E20" s="108">
        <v>0.23529411764705882</v>
      </c>
      <c r="F20" s="108">
        <v>0.3783783783783784</v>
      </c>
      <c r="G20" s="108">
        <v>0.16216216216216217</v>
      </c>
      <c r="H20" s="109">
        <v>9026.1904761904771</v>
      </c>
      <c r="I20" s="109">
        <v>-10983.333333333334</v>
      </c>
      <c r="J20" s="108">
        <v>0.11764705882352941</v>
      </c>
      <c r="K20" s="108">
        <v>0.17647058823529413</v>
      </c>
      <c r="P20" s="108">
        <v>0.38095238095238093</v>
      </c>
      <c r="Q20" s="108">
        <v>0.33333333333333331</v>
      </c>
    </row>
    <row r="21" spans="1:17" x14ac:dyDescent="0.45">
      <c r="A21" s="110">
        <v>18</v>
      </c>
      <c r="B21" s="107">
        <v>-25.700000000000003</v>
      </c>
      <c r="C21" s="107">
        <v>-1.427777777777778</v>
      </c>
      <c r="D21" s="112">
        <v>2</v>
      </c>
      <c r="E21" s="108">
        <v>0.22222222222222221</v>
      </c>
      <c r="F21" s="108">
        <v>0.36134453781512604</v>
      </c>
      <c r="G21" s="108">
        <v>0.15966386554621848</v>
      </c>
      <c r="H21" s="109">
        <v>9002.3255813953492</v>
      </c>
      <c r="I21" s="109">
        <v>-10826.315789473685</v>
      </c>
      <c r="J21" s="108">
        <v>0.16666666666666666</v>
      </c>
      <c r="K21" s="108">
        <v>0.16666666666666666</v>
      </c>
      <c r="P21" s="108">
        <v>0.37209302325581395</v>
      </c>
      <c r="Q21" s="108">
        <v>0.31578947368421051</v>
      </c>
    </row>
    <row r="22" spans="1:17" x14ac:dyDescent="0.45">
      <c r="A22" s="110">
        <v>19</v>
      </c>
      <c r="B22" s="107">
        <v>-17.700000000000003</v>
      </c>
      <c r="C22" s="107">
        <v>-0.93157894736842117</v>
      </c>
      <c r="D22" s="112">
        <v>2</v>
      </c>
      <c r="E22" s="108">
        <v>0.21052631578947367</v>
      </c>
      <c r="F22" s="108">
        <v>0.35483870967741937</v>
      </c>
      <c r="G22" s="108">
        <v>0.15322580645161291</v>
      </c>
      <c r="H22" s="109">
        <v>8979.545454545454</v>
      </c>
      <c r="I22" s="109">
        <v>-10826.315789473685</v>
      </c>
      <c r="J22" s="108">
        <v>0.15789473684210525</v>
      </c>
      <c r="K22" s="108">
        <v>0.15789473684210525</v>
      </c>
      <c r="P22" s="108">
        <v>0.38636363636363635</v>
      </c>
      <c r="Q22" s="108">
        <v>0.3</v>
      </c>
    </row>
    <row r="23" spans="1:17" x14ac:dyDescent="0.45">
      <c r="A23" s="110">
        <v>20</v>
      </c>
      <c r="B23" s="107">
        <v>6.4999999999999964</v>
      </c>
      <c r="C23" s="107">
        <v>0.32499999999999984</v>
      </c>
      <c r="D23" s="112">
        <v>1.95</v>
      </c>
      <c r="E23" s="108">
        <v>0.25</v>
      </c>
      <c r="F23" s="108">
        <v>0.36496350364963503</v>
      </c>
      <c r="G23" s="108">
        <v>0.15328467153284672</v>
      </c>
      <c r="H23" s="109">
        <v>8946</v>
      </c>
      <c r="I23" s="109">
        <v>-10747.619047619048</v>
      </c>
      <c r="J23" s="108">
        <v>0.15</v>
      </c>
      <c r="K23" s="108">
        <v>0.15</v>
      </c>
      <c r="P23" s="108">
        <v>0.38</v>
      </c>
      <c r="Q23" s="108">
        <v>0.33333333333333331</v>
      </c>
    </row>
    <row r="24" spans="1:17" x14ac:dyDescent="0.45">
      <c r="A24" s="110">
        <v>21</v>
      </c>
      <c r="B24" s="107">
        <v>67.8</v>
      </c>
      <c r="C24" s="107">
        <v>3.2285714285714286</v>
      </c>
      <c r="D24" s="112">
        <v>1.9047619047619047</v>
      </c>
      <c r="E24" s="108">
        <v>0.2857142857142857</v>
      </c>
      <c r="F24" s="108">
        <v>0.38194444444444442</v>
      </c>
      <c r="G24" s="108">
        <v>0.14583333333333334</v>
      </c>
      <c r="H24" s="109">
        <v>9296.363636363636</v>
      </c>
      <c r="I24" s="109">
        <v>-10747.619047619048</v>
      </c>
      <c r="J24" s="108">
        <v>0.14285714285714285</v>
      </c>
      <c r="K24" s="108">
        <v>0.14285714285714285</v>
      </c>
      <c r="P24" s="108">
        <v>0.41818181818181815</v>
      </c>
      <c r="Q24" s="108">
        <v>0.33333333333333331</v>
      </c>
    </row>
    <row r="25" spans="1:17" x14ac:dyDescent="0.45">
      <c r="A25" s="110">
        <v>22</v>
      </c>
      <c r="B25" s="107">
        <v>76.399999999999991</v>
      </c>
      <c r="C25" s="107">
        <v>3.4727272727272722</v>
      </c>
      <c r="D25" s="112">
        <v>1.9090909090909092</v>
      </c>
      <c r="E25" s="108">
        <v>0.27272727272727271</v>
      </c>
      <c r="F25" s="108">
        <v>0.37748344370860926</v>
      </c>
      <c r="G25" s="108">
        <v>0.14569536423841059</v>
      </c>
      <c r="H25" s="109">
        <v>9307.0175438596489</v>
      </c>
      <c r="I25" s="109">
        <v>-10377.272727272728</v>
      </c>
      <c r="J25" s="108">
        <v>0.13636363636363635</v>
      </c>
      <c r="K25" s="108">
        <v>0.13636363636363635</v>
      </c>
      <c r="P25" s="108">
        <v>0.43859649122807015</v>
      </c>
      <c r="Q25" s="108">
        <v>0.33333333333333331</v>
      </c>
    </row>
    <row r="26" spans="1:17" x14ac:dyDescent="0.45">
      <c r="A26" s="110">
        <v>23</v>
      </c>
      <c r="B26" s="107">
        <v>90.199999999999989</v>
      </c>
      <c r="C26" s="107">
        <v>3.9217391304347822</v>
      </c>
      <c r="D26" s="112">
        <v>1.8695652173913044</v>
      </c>
      <c r="E26" s="108">
        <v>0.30434782608695654</v>
      </c>
      <c r="F26" s="108">
        <v>0.37888198757763975</v>
      </c>
      <c r="G26" s="108">
        <v>0.15527950310559005</v>
      </c>
      <c r="H26" s="109">
        <v>9503.2786885245896</v>
      </c>
      <c r="I26" s="109">
        <v>-10348</v>
      </c>
      <c r="J26" s="108">
        <v>0.13043478260869565</v>
      </c>
      <c r="K26" s="108">
        <v>0.13043478260869565</v>
      </c>
      <c r="P26" s="108">
        <v>0.42622950819672129</v>
      </c>
      <c r="Q26" s="108">
        <v>0.32142857142857145</v>
      </c>
    </row>
    <row r="27" spans="1:17" x14ac:dyDescent="0.45">
      <c r="A27" s="110">
        <v>24</v>
      </c>
      <c r="B27" s="107">
        <v>47.29999999999999</v>
      </c>
      <c r="C27" s="107">
        <v>1.970833333333333</v>
      </c>
      <c r="D27" s="112">
        <v>1.9166666666666667</v>
      </c>
      <c r="E27" s="108">
        <v>0.29166666666666669</v>
      </c>
      <c r="F27" s="108">
        <v>0.36904761904761907</v>
      </c>
      <c r="G27" s="108">
        <v>0.16071428571428573</v>
      </c>
      <c r="H27" s="109">
        <v>9479.032258064517</v>
      </c>
      <c r="I27" s="109">
        <v>-10755.555555555555</v>
      </c>
      <c r="J27" s="108">
        <v>0.16666666666666666</v>
      </c>
      <c r="K27" s="108">
        <v>0.125</v>
      </c>
      <c r="P27" s="108">
        <v>0.41935483870967744</v>
      </c>
      <c r="Q27" s="108">
        <v>0.31578947368421051</v>
      </c>
    </row>
    <row r="28" spans="1:17" x14ac:dyDescent="0.45">
      <c r="A28" s="110">
        <v>25</v>
      </c>
      <c r="B28" s="107">
        <v>55.79999999999999</v>
      </c>
      <c r="C28" s="107">
        <v>2.2319999999999998</v>
      </c>
      <c r="D28" s="112">
        <v>1.88</v>
      </c>
      <c r="E28" s="108">
        <v>0.32</v>
      </c>
      <c r="F28" s="108">
        <v>0.36571428571428571</v>
      </c>
      <c r="G28" s="108">
        <v>0.15428571428571428</v>
      </c>
      <c r="H28" s="109">
        <v>9401.5625</v>
      </c>
      <c r="I28" s="109">
        <v>-10755.555555555555</v>
      </c>
      <c r="J28" s="108">
        <v>0.16</v>
      </c>
      <c r="K28" s="108">
        <v>0.12</v>
      </c>
      <c r="P28" s="108">
        <v>0.4375</v>
      </c>
      <c r="Q28" s="108">
        <v>0.31666666666666665</v>
      </c>
    </row>
    <row r="29" spans="1:17" x14ac:dyDescent="0.45">
      <c r="A29" s="110">
        <v>26</v>
      </c>
      <c r="B29" s="107">
        <v>137.79999999999998</v>
      </c>
      <c r="C29" s="107">
        <v>5.2999999999999989</v>
      </c>
      <c r="D29" s="112">
        <v>1.8461538461538463</v>
      </c>
      <c r="E29" s="108">
        <v>0.34615384615384615</v>
      </c>
      <c r="F29" s="108">
        <v>0.37912087912087911</v>
      </c>
      <c r="G29" s="108">
        <v>0.14835164835164835</v>
      </c>
      <c r="H29" s="109">
        <v>9850.7246376811599</v>
      </c>
      <c r="I29" s="109">
        <v>-10755.555555555555</v>
      </c>
      <c r="J29" s="108">
        <v>0.15384615384615385</v>
      </c>
      <c r="K29" s="108">
        <v>0.15384615384615385</v>
      </c>
      <c r="P29" s="108">
        <v>0.44927536231884058</v>
      </c>
      <c r="Q29" s="108">
        <v>0.34375</v>
      </c>
    </row>
    <row r="30" spans="1:17" x14ac:dyDescent="0.45">
      <c r="A30" s="110">
        <v>27</v>
      </c>
      <c r="B30" s="107">
        <v>157.79999999999998</v>
      </c>
      <c r="C30" s="107">
        <v>5.8444444444444441</v>
      </c>
      <c r="D30" s="112">
        <v>1.8148148148148149</v>
      </c>
      <c r="E30" s="108">
        <v>0.37037037037037035</v>
      </c>
      <c r="F30" s="108">
        <v>0.37765957446808512</v>
      </c>
      <c r="G30" s="108">
        <v>0.14361702127659576</v>
      </c>
      <c r="H30" s="109">
        <v>9995.7746478873232</v>
      </c>
      <c r="I30" s="109">
        <v>-10755.555555555555</v>
      </c>
      <c r="J30" s="108">
        <v>0.14814814814814814</v>
      </c>
      <c r="K30" s="108">
        <v>0.18518518518518517</v>
      </c>
      <c r="P30" s="108">
        <v>0.45070422535211269</v>
      </c>
      <c r="Q30" s="108">
        <v>0.35294117647058826</v>
      </c>
    </row>
    <row r="31" spans="1:17" x14ac:dyDescent="0.45">
      <c r="A31" s="110">
        <v>28</v>
      </c>
      <c r="B31" s="107">
        <v>168.7</v>
      </c>
      <c r="C31" s="107">
        <v>6.0249999999999995</v>
      </c>
      <c r="D31" s="112">
        <v>1.7857142857142858</v>
      </c>
      <c r="E31" s="108">
        <v>0.39285714285714285</v>
      </c>
      <c r="F31" s="108">
        <v>0.37435897435897436</v>
      </c>
      <c r="G31" s="108">
        <v>0.13846153846153847</v>
      </c>
      <c r="H31" s="109">
        <v>9919.17808219178</v>
      </c>
      <c r="I31" s="109">
        <v>-10755.555555555555</v>
      </c>
      <c r="J31" s="108">
        <v>0.14285714285714285</v>
      </c>
      <c r="K31" s="108">
        <v>0.17857142857142858</v>
      </c>
      <c r="P31" s="108">
        <v>0.43835616438356162</v>
      </c>
      <c r="Q31" s="108">
        <v>0.34285714285714286</v>
      </c>
    </row>
    <row r="32" spans="1:17" x14ac:dyDescent="0.45">
      <c r="A32" s="110">
        <v>29</v>
      </c>
      <c r="B32" s="107">
        <v>198</v>
      </c>
      <c r="C32" s="107">
        <v>6.8275862068965516</v>
      </c>
      <c r="D32" s="112">
        <v>1.7586206896551724</v>
      </c>
      <c r="E32" s="108">
        <v>0.41379310344827586</v>
      </c>
      <c r="F32" s="108">
        <v>0.38308457711442784</v>
      </c>
      <c r="G32" s="108">
        <v>0.13930348258706468</v>
      </c>
      <c r="H32" s="109">
        <v>9866.2337662337668</v>
      </c>
      <c r="I32" s="109">
        <v>-10417.857142857143</v>
      </c>
      <c r="J32" s="108">
        <v>0.13793103448275862</v>
      </c>
      <c r="K32" s="108">
        <v>0.20689655172413793</v>
      </c>
      <c r="P32" s="108">
        <v>0.41558441558441561</v>
      </c>
      <c r="Q32" s="108">
        <v>0.34246575342465752</v>
      </c>
    </row>
    <row r="33" spans="1:17" x14ac:dyDescent="0.45">
      <c r="A33" s="110">
        <v>30</v>
      </c>
      <c r="B33" s="107">
        <v>191.5</v>
      </c>
      <c r="C33" s="107">
        <v>6.3833333333333337</v>
      </c>
      <c r="D33" s="112">
        <v>1.7666666666666666</v>
      </c>
      <c r="E33" s="108">
        <v>0.4</v>
      </c>
      <c r="F33" s="108">
        <v>0.37745098039215685</v>
      </c>
      <c r="G33" s="108">
        <v>0.13725490196078433</v>
      </c>
      <c r="H33" s="109">
        <v>9866.2337662337668</v>
      </c>
      <c r="I33" s="109">
        <v>-10417.857142857143</v>
      </c>
      <c r="J33" s="108">
        <v>0.13333333333333333</v>
      </c>
      <c r="K33" s="108">
        <v>0.2</v>
      </c>
      <c r="P33" s="108">
        <v>0.41558441558441561</v>
      </c>
      <c r="Q33" s="108">
        <v>0.34246575342465752</v>
      </c>
    </row>
    <row r="34" spans="1:17" x14ac:dyDescent="0.45">
      <c r="A34" s="110">
        <v>31</v>
      </c>
      <c r="B34" s="107">
        <v>180.9</v>
      </c>
      <c r="C34" s="107">
        <v>5.8354838709677423</v>
      </c>
      <c r="D34" s="112">
        <v>1.8064516129032258</v>
      </c>
      <c r="E34" s="108">
        <v>0.38709677419354838</v>
      </c>
      <c r="F34" s="108">
        <v>0.3644859813084112</v>
      </c>
      <c r="G34" s="108">
        <v>0.14018691588785046</v>
      </c>
      <c r="H34" s="109">
        <v>9766.6666666666661</v>
      </c>
      <c r="I34" s="109">
        <v>-9963.3333333333339</v>
      </c>
      <c r="J34" s="108">
        <v>0.12903225806451613</v>
      </c>
      <c r="K34" s="108">
        <v>0.19354838709677419</v>
      </c>
      <c r="P34" s="108">
        <v>0.42307692307692307</v>
      </c>
      <c r="Q34" s="108">
        <v>0.33333333333333331</v>
      </c>
    </row>
    <row r="35" spans="1:17" x14ac:dyDescent="0.45">
      <c r="A35" s="110">
        <v>32</v>
      </c>
      <c r="B35" s="107">
        <v>198.4</v>
      </c>
      <c r="C35" s="107">
        <v>6.2</v>
      </c>
      <c r="D35" s="112">
        <v>1.8125</v>
      </c>
      <c r="E35" s="108">
        <v>0.375</v>
      </c>
      <c r="F35" s="108">
        <v>0.36486486486486486</v>
      </c>
      <c r="G35" s="108">
        <v>0.14864864864864866</v>
      </c>
      <c r="H35" s="109">
        <v>9870.3703703703704</v>
      </c>
      <c r="I35" s="109">
        <v>-9639.3939393939399</v>
      </c>
      <c r="J35" s="108">
        <v>0.125</v>
      </c>
      <c r="K35" s="108">
        <v>0.1875</v>
      </c>
      <c r="P35" s="108">
        <v>0.41975308641975306</v>
      </c>
      <c r="Q35" s="108">
        <v>0.34177215189873417</v>
      </c>
    </row>
    <row r="36" spans="1:17" x14ac:dyDescent="0.45">
      <c r="A36" s="110">
        <v>33</v>
      </c>
      <c r="B36" s="107">
        <v>238.4</v>
      </c>
      <c r="C36" s="107">
        <v>7.2242424242424246</v>
      </c>
      <c r="D36" s="112">
        <v>1.7878787878787878</v>
      </c>
      <c r="E36" s="108">
        <v>0.39393939393939392</v>
      </c>
      <c r="F36" s="108">
        <v>0.36956521739130432</v>
      </c>
      <c r="G36" s="108">
        <v>0.14347826086956522</v>
      </c>
      <c r="H36" s="109">
        <v>9888.2352941176468</v>
      </c>
      <c r="I36" s="109">
        <v>-9639.3939393939399</v>
      </c>
      <c r="J36" s="108">
        <v>0.12121212121212122</v>
      </c>
      <c r="K36" s="108">
        <v>0.21212121212121213</v>
      </c>
      <c r="P36" s="108">
        <v>0.43529411764705883</v>
      </c>
      <c r="Q36" s="108">
        <v>0.35365853658536583</v>
      </c>
    </row>
    <row r="37" spans="1:17" x14ac:dyDescent="0.45">
      <c r="A37" s="110">
        <v>34</v>
      </c>
      <c r="B37" s="107">
        <v>227.9</v>
      </c>
      <c r="C37" s="107">
        <v>6.7029411764705884</v>
      </c>
      <c r="D37" s="112">
        <v>1.7941176470588236</v>
      </c>
      <c r="E37" s="108">
        <v>0.38235294117647056</v>
      </c>
      <c r="F37" s="108">
        <v>0.36554621848739494</v>
      </c>
      <c r="G37" s="108">
        <v>0.13865546218487396</v>
      </c>
      <c r="H37" s="109">
        <v>9844.8275862068967</v>
      </c>
      <c r="I37" s="109">
        <v>-9639.3939393939399</v>
      </c>
      <c r="J37" s="108">
        <v>0.11764705882352941</v>
      </c>
      <c r="K37" s="108">
        <v>0.20588235294117646</v>
      </c>
      <c r="P37" s="108">
        <v>0.43678160919540232</v>
      </c>
      <c r="Q37" s="108">
        <v>0.3411764705882353</v>
      </c>
    </row>
    <row r="38" spans="1:17" x14ac:dyDescent="0.45">
      <c r="A38" s="110">
        <v>35</v>
      </c>
      <c r="B38" s="107">
        <v>182.9</v>
      </c>
      <c r="C38" s="107">
        <v>5.225714285714286</v>
      </c>
      <c r="D38" s="112">
        <v>1.8285714285714285</v>
      </c>
      <c r="E38" s="108">
        <v>0.37142857142857144</v>
      </c>
      <c r="F38" s="108">
        <v>0.35510204081632651</v>
      </c>
      <c r="G38" s="108">
        <v>0.13877551020408163</v>
      </c>
      <c r="H38" s="109">
        <v>9844.8275862068967</v>
      </c>
      <c r="I38" s="109">
        <v>-10061.764705882353</v>
      </c>
      <c r="J38" s="108">
        <v>0.14285714285714285</v>
      </c>
      <c r="K38" s="108">
        <v>0.2</v>
      </c>
      <c r="L38" s="108">
        <v>0.14285714285714285</v>
      </c>
      <c r="M38" s="108">
        <v>0.42857142857142855</v>
      </c>
      <c r="N38" s="108">
        <v>0</v>
      </c>
      <c r="O38" s="108">
        <v>0</v>
      </c>
      <c r="P38" s="108">
        <v>0.43678160919540232</v>
      </c>
      <c r="Q38" s="108">
        <v>0.33333333333333331</v>
      </c>
    </row>
    <row r="39" spans="1:17" x14ac:dyDescent="0.45">
      <c r="A39" s="110">
        <v>36</v>
      </c>
      <c r="B39" s="107">
        <v>229</v>
      </c>
      <c r="C39" s="107">
        <v>6.3611111111111107</v>
      </c>
      <c r="D39" s="112">
        <v>1.8055555555555556</v>
      </c>
      <c r="E39" s="108">
        <v>0.3888888888888889</v>
      </c>
      <c r="F39" s="108">
        <v>0.36254980079681276</v>
      </c>
      <c r="G39" s="108">
        <v>0.1394422310756972</v>
      </c>
      <c r="H39" s="109">
        <v>9908.7912087912082</v>
      </c>
      <c r="I39" s="109">
        <v>-9820</v>
      </c>
      <c r="J39" s="108">
        <v>0.1388888888888889</v>
      </c>
      <c r="K39" s="108">
        <v>0.22222222222222221</v>
      </c>
      <c r="L39" s="108">
        <v>0.30769230769230771</v>
      </c>
      <c r="M39" s="108">
        <v>0.38461538461538464</v>
      </c>
      <c r="N39" s="108">
        <v>0.5</v>
      </c>
      <c r="O39" s="108">
        <v>0.2</v>
      </c>
      <c r="P39" s="108">
        <v>0.43956043956043955</v>
      </c>
      <c r="Q39" s="108">
        <v>0.35164835164835168</v>
      </c>
    </row>
    <row r="40" spans="1:17" x14ac:dyDescent="0.45">
      <c r="A40" s="110">
        <v>37</v>
      </c>
      <c r="B40" s="107">
        <v>243.8</v>
      </c>
      <c r="C40" s="107">
        <v>6.5891891891891898</v>
      </c>
      <c r="D40" s="112">
        <v>1.8108108108108107</v>
      </c>
      <c r="E40" s="108">
        <v>0.3783783783783784</v>
      </c>
      <c r="F40" s="108">
        <v>0.36679536679536678</v>
      </c>
      <c r="G40" s="108">
        <v>0.138996138996139</v>
      </c>
      <c r="H40" s="109">
        <v>9667.3684210526317</v>
      </c>
      <c r="I40" s="109">
        <v>-9613.8888888888887</v>
      </c>
      <c r="J40" s="108">
        <v>0.13513513513513514</v>
      </c>
      <c r="K40" s="108">
        <v>0.21621621621621623</v>
      </c>
      <c r="L40" s="108">
        <v>0.23809523809523808</v>
      </c>
      <c r="M40" s="108">
        <v>0.38095238095238093</v>
      </c>
      <c r="N40" s="108">
        <v>0.4</v>
      </c>
      <c r="O40" s="108">
        <v>0.375</v>
      </c>
      <c r="P40" s="108">
        <v>0.45263157894736844</v>
      </c>
      <c r="Q40" s="108">
        <v>0.35789473684210527</v>
      </c>
    </row>
    <row r="41" spans="1:17" x14ac:dyDescent="0.45">
      <c r="A41" s="110">
        <v>38</v>
      </c>
      <c r="B41" s="107">
        <v>226.60000000000002</v>
      </c>
      <c r="C41" s="107">
        <v>5.9631578947368427</v>
      </c>
      <c r="D41" s="112">
        <v>1.8421052631578947</v>
      </c>
      <c r="E41" s="108">
        <v>0.36842105263157893</v>
      </c>
      <c r="F41" s="108">
        <v>0.3595505617977528</v>
      </c>
      <c r="G41" s="108">
        <v>0.1348314606741573</v>
      </c>
      <c r="H41" s="109">
        <v>9691.6666666666661</v>
      </c>
      <c r="I41" s="109">
        <v>-9613.8888888888887</v>
      </c>
      <c r="J41" s="108">
        <v>0.13157894736842105</v>
      </c>
      <c r="K41" s="108">
        <v>0.21052631578947367</v>
      </c>
      <c r="L41" s="108">
        <v>0.20689655172413793</v>
      </c>
      <c r="M41" s="108">
        <v>0.37931034482758619</v>
      </c>
      <c r="N41" s="108">
        <v>0.33333333333333331</v>
      </c>
      <c r="O41" s="108">
        <v>0.36363636363636365</v>
      </c>
      <c r="P41" s="108">
        <v>0.45833333333333331</v>
      </c>
      <c r="Q41" s="108">
        <v>0.35051546391752575</v>
      </c>
    </row>
    <row r="42" spans="1:17" x14ac:dyDescent="0.45">
      <c r="A42" s="110">
        <v>39</v>
      </c>
      <c r="B42" s="107">
        <v>227.00000000000003</v>
      </c>
      <c r="C42" s="107">
        <v>5.8205128205128212</v>
      </c>
      <c r="D42" s="112">
        <v>1.8461538461538463</v>
      </c>
      <c r="E42" s="108">
        <v>0.35897435897435898</v>
      </c>
      <c r="F42" s="108">
        <v>0.35793357933579334</v>
      </c>
      <c r="G42" s="108">
        <v>0.13284132841328414</v>
      </c>
      <c r="H42" s="109">
        <v>9631.9587628865975</v>
      </c>
      <c r="I42" s="109">
        <v>-9613.8888888888887</v>
      </c>
      <c r="J42" s="108">
        <v>0.12820512820512819</v>
      </c>
      <c r="K42" s="108">
        <v>0.20512820512820512</v>
      </c>
      <c r="L42" s="108">
        <v>0.21212121212121213</v>
      </c>
      <c r="M42" s="108">
        <v>0.33333333333333331</v>
      </c>
      <c r="N42" s="108">
        <v>0.42857142857142855</v>
      </c>
      <c r="O42" s="108">
        <v>0.36363636363636365</v>
      </c>
      <c r="P42" s="108">
        <v>0.45360824742268041</v>
      </c>
      <c r="Q42" s="108">
        <v>0.34693877551020408</v>
      </c>
    </row>
    <row r="43" spans="1:17" x14ac:dyDescent="0.45">
      <c r="A43" s="110">
        <v>40</v>
      </c>
      <c r="B43" s="107">
        <v>230.10000000000002</v>
      </c>
      <c r="C43" s="107">
        <v>5.7525000000000004</v>
      </c>
      <c r="D43" s="112">
        <v>1.85</v>
      </c>
      <c r="E43" s="108">
        <v>0.35</v>
      </c>
      <c r="F43" s="108">
        <v>0.352112676056338</v>
      </c>
      <c r="G43" s="108">
        <v>0.14084507042253522</v>
      </c>
      <c r="H43" s="109">
        <v>9943</v>
      </c>
      <c r="I43" s="109">
        <v>-9747.5</v>
      </c>
      <c r="J43" s="108">
        <v>0.125</v>
      </c>
      <c r="K43" s="108">
        <v>0.2</v>
      </c>
      <c r="L43" s="108">
        <v>0.17391304347826086</v>
      </c>
      <c r="M43" s="108">
        <v>0.34782608695652173</v>
      </c>
      <c r="N43" s="108">
        <v>0.5</v>
      </c>
      <c r="O43" s="108">
        <v>0.375</v>
      </c>
      <c r="P43" s="108">
        <v>0.47</v>
      </c>
      <c r="Q43" s="108">
        <v>0.35294117647058826</v>
      </c>
    </row>
    <row r="44" spans="1:17" x14ac:dyDescent="0.45">
      <c r="A44" s="110">
        <v>41</v>
      </c>
      <c r="B44" s="107">
        <v>228.10000000000002</v>
      </c>
      <c r="C44" s="107">
        <v>5.5634146341463424</v>
      </c>
      <c r="D44" s="112">
        <v>1.8536585365853659</v>
      </c>
      <c r="E44" s="108">
        <v>0.34146341463414637</v>
      </c>
      <c r="F44" s="108">
        <v>0.34843205574912894</v>
      </c>
      <c r="G44" s="108">
        <v>0.14285714285714285</v>
      </c>
      <c r="H44" s="109">
        <v>9943</v>
      </c>
      <c r="I44" s="109">
        <v>-9558.5365853658532</v>
      </c>
      <c r="J44" s="108">
        <v>0.12195121951219512</v>
      </c>
      <c r="K44" s="108">
        <v>0.1951219512195122</v>
      </c>
      <c r="L44" s="108">
        <v>0.16326530612244897</v>
      </c>
      <c r="M44" s="108">
        <v>0.34693877551020408</v>
      </c>
      <c r="N44" s="108">
        <v>0.5</v>
      </c>
      <c r="O44" s="108">
        <v>0.35294117647058826</v>
      </c>
      <c r="P44" s="108">
        <v>0.47</v>
      </c>
      <c r="Q44" s="108">
        <v>0.34951456310679613</v>
      </c>
    </row>
    <row r="45" spans="1:17" x14ac:dyDescent="0.45">
      <c r="A45" s="110">
        <v>42</v>
      </c>
      <c r="B45" s="107">
        <v>248.3</v>
      </c>
      <c r="C45" s="107">
        <v>5.9119047619047622</v>
      </c>
      <c r="D45" s="112">
        <v>1.8333333333333333</v>
      </c>
      <c r="E45" s="108">
        <v>0.35714285714285715</v>
      </c>
      <c r="F45" s="108">
        <v>0.35</v>
      </c>
      <c r="G45" s="108">
        <v>0.14333333333333334</v>
      </c>
      <c r="H45" s="109">
        <v>9973.3333333333339</v>
      </c>
      <c r="I45" s="109">
        <v>-9420.9302325581393</v>
      </c>
      <c r="J45" s="108">
        <v>0.11904761904761904</v>
      </c>
      <c r="K45" s="108">
        <v>0.19047619047619047</v>
      </c>
      <c r="L45" s="108">
        <v>0.20967741935483872</v>
      </c>
      <c r="M45" s="108">
        <v>0.32258064516129031</v>
      </c>
      <c r="N45" s="108">
        <v>0.53846153846153844</v>
      </c>
      <c r="O45" s="108">
        <v>0.35</v>
      </c>
      <c r="P45" s="108">
        <v>0.47619047619047616</v>
      </c>
      <c r="Q45" s="108">
        <v>0.3577981651376147</v>
      </c>
    </row>
    <row r="46" spans="1:17" x14ac:dyDescent="0.45">
      <c r="A46" s="110">
        <v>43</v>
      </c>
      <c r="B46" s="107">
        <v>280.10000000000002</v>
      </c>
      <c r="C46" s="107">
        <v>6.5139534883720938</v>
      </c>
      <c r="D46" s="112">
        <v>1.8139534883720929</v>
      </c>
      <c r="E46" s="108">
        <v>0.37209302325581395</v>
      </c>
      <c r="F46" s="108">
        <v>0.35526315789473684</v>
      </c>
      <c r="G46" s="108">
        <v>0.14144736842105263</v>
      </c>
      <c r="H46" s="109">
        <v>9990.7407407407409</v>
      </c>
      <c r="I46" s="109">
        <v>-9420.9302325581393</v>
      </c>
      <c r="J46" s="108">
        <v>0.11627906976744186</v>
      </c>
      <c r="K46" s="108">
        <v>0.20930232558139536</v>
      </c>
      <c r="L46" s="108">
        <v>0.21212121212121213</v>
      </c>
      <c r="M46" s="108">
        <v>0.34848484848484851</v>
      </c>
      <c r="N46" s="108">
        <v>0.5714285714285714</v>
      </c>
      <c r="O46" s="108">
        <v>0.39130434782608697</v>
      </c>
      <c r="P46" s="108">
        <v>0.46296296296296297</v>
      </c>
      <c r="Q46" s="108">
        <v>0.36936936936936937</v>
      </c>
    </row>
    <row r="47" spans="1:17" x14ac:dyDescent="0.45">
      <c r="A47" s="110">
        <v>44</v>
      </c>
      <c r="B47" s="107">
        <v>272.3</v>
      </c>
      <c r="C47" s="107">
        <v>6.1886363636363635</v>
      </c>
      <c r="D47" s="112">
        <v>1.8409090909090908</v>
      </c>
      <c r="E47" s="108">
        <v>0.36363636363636365</v>
      </c>
      <c r="F47" s="108">
        <v>0.3536977491961415</v>
      </c>
      <c r="G47" s="108">
        <v>0.14790996784565916</v>
      </c>
      <c r="H47" s="109">
        <v>9917.2727272727279</v>
      </c>
      <c r="I47" s="109">
        <v>-9213.04347826087</v>
      </c>
      <c r="J47" s="108">
        <v>0.11363636363636363</v>
      </c>
      <c r="K47" s="108">
        <v>0.20454545454545456</v>
      </c>
      <c r="L47" s="108">
        <v>0.20547945205479451</v>
      </c>
      <c r="M47" s="108">
        <v>0.35616438356164382</v>
      </c>
      <c r="N47" s="108">
        <v>0.53333333333333333</v>
      </c>
      <c r="O47" s="108">
        <v>0.38461538461538464</v>
      </c>
      <c r="P47" s="108">
        <v>0.45454545454545453</v>
      </c>
      <c r="Q47" s="108">
        <v>0.36283185840707965</v>
      </c>
    </row>
    <row r="48" spans="1:17" x14ac:dyDescent="0.45">
      <c r="A48" s="110">
        <v>45</v>
      </c>
      <c r="B48" s="107">
        <v>242.10000000000002</v>
      </c>
      <c r="C48" s="107">
        <v>5.3800000000000008</v>
      </c>
      <c r="D48" s="112">
        <v>1.8666666666666667</v>
      </c>
      <c r="E48" s="108">
        <v>0.35555555555555557</v>
      </c>
      <c r="F48" s="108">
        <v>0.35015772870662459</v>
      </c>
      <c r="G48" s="108">
        <v>0.15457413249211358</v>
      </c>
      <c r="H48" s="109">
        <v>9851.3513513513517</v>
      </c>
      <c r="I48" s="109">
        <v>-9134.6938775510207</v>
      </c>
      <c r="J48" s="108">
        <v>0.1111111111111111</v>
      </c>
      <c r="K48" s="108">
        <v>0.2</v>
      </c>
      <c r="L48" s="108">
        <v>0.20253164556962025</v>
      </c>
      <c r="M48" s="108">
        <v>0.35443037974683544</v>
      </c>
      <c r="N48" s="108">
        <v>0.5625</v>
      </c>
      <c r="O48" s="108">
        <v>0.35714285714285715</v>
      </c>
      <c r="P48" s="108">
        <v>0.45045045045045046</v>
      </c>
      <c r="Q48" s="108">
        <v>0.35652173913043478</v>
      </c>
    </row>
    <row r="49" spans="1:17" x14ac:dyDescent="0.45">
      <c r="A49" s="110">
        <v>46</v>
      </c>
      <c r="B49" s="107">
        <v>207.60000000000002</v>
      </c>
      <c r="C49" s="107">
        <v>4.5130434782608697</v>
      </c>
      <c r="D49" s="112">
        <v>1.8913043478260869</v>
      </c>
      <c r="E49" s="108">
        <v>0.34782608695652173</v>
      </c>
      <c r="F49" s="108">
        <v>0.34153846153846151</v>
      </c>
      <c r="G49" s="108">
        <v>0.16</v>
      </c>
      <c r="H49" s="109">
        <v>9851.3513513513517</v>
      </c>
      <c r="I49" s="109">
        <v>-8665.3846153846152</v>
      </c>
      <c r="J49" s="108">
        <v>0.13043478260869565</v>
      </c>
      <c r="K49" s="108">
        <v>0.19565217391304349</v>
      </c>
      <c r="L49" s="108">
        <v>0.18390804597701149</v>
      </c>
      <c r="M49" s="108">
        <v>0.34482758620689657</v>
      </c>
      <c r="N49" s="108">
        <v>0.5625</v>
      </c>
      <c r="O49" s="108">
        <v>0.33333333333333331</v>
      </c>
      <c r="P49" s="108">
        <v>0.45045045045045046</v>
      </c>
      <c r="Q49" s="108">
        <v>0.3504273504273504</v>
      </c>
    </row>
    <row r="50" spans="1:17" x14ac:dyDescent="0.45">
      <c r="A50" s="110">
        <v>47</v>
      </c>
      <c r="B50" s="107">
        <v>187.90000000000003</v>
      </c>
      <c r="C50" s="107">
        <v>3.9978723404255327</v>
      </c>
      <c r="D50" s="112">
        <v>1.9148936170212767</v>
      </c>
      <c r="E50" s="108">
        <v>0.34042553191489361</v>
      </c>
      <c r="F50" s="108">
        <v>0.34234234234234234</v>
      </c>
      <c r="G50" s="108">
        <v>0.15615615615615616</v>
      </c>
      <c r="H50" s="109">
        <v>9757.0175438596489</v>
      </c>
      <c r="I50" s="109">
        <v>-8665.3846153846152</v>
      </c>
      <c r="J50" s="108">
        <v>0.1276595744680851</v>
      </c>
      <c r="K50" s="108">
        <v>0.19148936170212766</v>
      </c>
      <c r="L50" s="108">
        <v>0.17894736842105263</v>
      </c>
      <c r="M50" s="108">
        <v>0.33684210526315789</v>
      </c>
      <c r="N50" s="108">
        <v>0.58823529411764708</v>
      </c>
      <c r="O50" s="108">
        <v>0.375</v>
      </c>
      <c r="P50" s="108">
        <v>0.43859649122807015</v>
      </c>
      <c r="Q50" s="108">
        <v>0.35</v>
      </c>
    </row>
    <row r="51" spans="1:17" x14ac:dyDescent="0.45">
      <c r="A51" s="110">
        <v>48</v>
      </c>
      <c r="B51" s="107">
        <v>208.70000000000005</v>
      </c>
      <c r="C51" s="107">
        <v>4.3479166666666673</v>
      </c>
      <c r="D51" s="112">
        <v>1.8958333333333333</v>
      </c>
      <c r="E51" s="108">
        <v>0.35416666666666669</v>
      </c>
      <c r="F51" s="108">
        <v>0.35276967930029157</v>
      </c>
      <c r="G51" s="108">
        <v>0.15451895043731778</v>
      </c>
      <c r="H51" s="109">
        <v>9616.5289256198339</v>
      </c>
      <c r="I51" s="109">
        <v>-8954.7169811320746</v>
      </c>
      <c r="J51" s="108">
        <v>0.125</v>
      </c>
      <c r="K51" s="108">
        <v>0.1875</v>
      </c>
      <c r="L51" s="108">
        <v>0.20952380952380953</v>
      </c>
      <c r="M51" s="108">
        <v>0.32380952380952382</v>
      </c>
      <c r="N51" s="108">
        <v>0.68181818181818177</v>
      </c>
      <c r="O51" s="108">
        <v>0.38235294117647056</v>
      </c>
      <c r="P51" s="108">
        <v>0.42148760330578511</v>
      </c>
      <c r="Q51" s="108">
        <v>0.36</v>
      </c>
    </row>
    <row r="52" spans="1:17" x14ac:dyDescent="0.45">
      <c r="A52" s="110">
        <v>49</v>
      </c>
      <c r="B52" s="107">
        <v>205.90000000000003</v>
      </c>
      <c r="C52" s="107">
        <v>4.202040816326531</v>
      </c>
      <c r="D52" s="112">
        <v>1.8979591836734695</v>
      </c>
      <c r="E52" s="108">
        <v>0.34693877551020408</v>
      </c>
      <c r="F52" s="108">
        <v>0.35142857142857142</v>
      </c>
      <c r="G52" s="108">
        <v>0.16</v>
      </c>
      <c r="H52" s="109">
        <v>9687.8048780487807</v>
      </c>
      <c r="I52" s="109">
        <v>-9007.1428571428569</v>
      </c>
      <c r="J52" s="108">
        <v>0.12244897959183673</v>
      </c>
      <c r="K52" s="108">
        <v>0.18367346938775511</v>
      </c>
      <c r="L52" s="108">
        <v>0.22321428571428573</v>
      </c>
      <c r="M52" s="108">
        <v>0.33035714285714285</v>
      </c>
      <c r="N52" s="108">
        <v>0.68</v>
      </c>
      <c r="O52" s="108">
        <v>0.35135135135135137</v>
      </c>
      <c r="P52" s="108">
        <v>0.43089430894308944</v>
      </c>
      <c r="Q52" s="108">
        <v>0.359375</v>
      </c>
    </row>
    <row r="53" spans="1:17" x14ac:dyDescent="0.45">
      <c r="A53" s="110">
        <v>50</v>
      </c>
      <c r="B53" s="107">
        <v>205.90000000000003</v>
      </c>
      <c r="C53" s="107">
        <v>4.1180000000000003</v>
      </c>
      <c r="D53" s="112">
        <v>1.9</v>
      </c>
      <c r="E53" s="108">
        <v>0.34</v>
      </c>
      <c r="F53" s="108">
        <v>0.3504273504273504</v>
      </c>
      <c r="G53" s="108">
        <v>0.15954415954415954</v>
      </c>
      <c r="H53" s="109">
        <v>9687.8048780487807</v>
      </c>
      <c r="I53" s="109">
        <v>-9007.1428571428569</v>
      </c>
      <c r="J53" s="108">
        <v>0.12</v>
      </c>
      <c r="K53" s="108">
        <v>0.18</v>
      </c>
      <c r="L53" s="108">
        <v>0.22123893805309736</v>
      </c>
      <c r="M53" s="108">
        <v>0.32743362831858408</v>
      </c>
      <c r="N53" s="108">
        <v>0.68</v>
      </c>
      <c r="O53" s="108">
        <v>0.35135135135135137</v>
      </c>
      <c r="P53" s="108">
        <v>0.43089430894308944</v>
      </c>
      <c r="Q53" s="108">
        <v>0.359375</v>
      </c>
    </row>
    <row r="54" spans="1:17" x14ac:dyDescent="0.45">
      <c r="A54" s="110">
        <v>51</v>
      </c>
      <c r="B54" s="107">
        <v>283.60000000000002</v>
      </c>
      <c r="C54" s="107">
        <v>5.5607843137254909</v>
      </c>
      <c r="D54" s="112">
        <v>1.8823529411764706</v>
      </c>
      <c r="E54" s="108">
        <v>0.35294117647058826</v>
      </c>
      <c r="F54" s="108">
        <v>0.35833333333333334</v>
      </c>
      <c r="G54" s="108">
        <v>0.15833333333333333</v>
      </c>
      <c r="H54" s="109">
        <v>9901.5503875968989</v>
      </c>
      <c r="I54" s="109">
        <v>-8884.21052631579</v>
      </c>
      <c r="J54" s="108">
        <v>0.11764705882352941</v>
      </c>
      <c r="K54" s="108">
        <v>0.19607843137254902</v>
      </c>
      <c r="L54" s="108">
        <v>0.22131147540983606</v>
      </c>
      <c r="M54" s="108">
        <v>0.31147540983606559</v>
      </c>
      <c r="N54" s="108">
        <v>0.66666666666666663</v>
      </c>
      <c r="O54" s="108">
        <v>0.36842105263157893</v>
      </c>
      <c r="P54" s="108">
        <v>0.4573643410852713</v>
      </c>
      <c r="Q54" s="108">
        <v>0.37593984962406013</v>
      </c>
    </row>
    <row r="55" spans="1:17" x14ac:dyDescent="0.45">
      <c r="A55" s="110">
        <v>52</v>
      </c>
      <c r="B55" s="107">
        <v>309.10000000000002</v>
      </c>
      <c r="C55" s="107">
        <v>5.9442307692307699</v>
      </c>
      <c r="D55" s="112">
        <v>1.8653846153846154</v>
      </c>
      <c r="E55" s="108">
        <v>0.36538461538461536</v>
      </c>
      <c r="F55" s="108">
        <v>0.36043360433604338</v>
      </c>
      <c r="G55" s="108">
        <v>0.15989159891598917</v>
      </c>
      <c r="H55" s="109">
        <v>10024.812030075187</v>
      </c>
      <c r="I55" s="109">
        <v>-9023.7288135593226</v>
      </c>
      <c r="J55" s="108">
        <v>0.11538461538461539</v>
      </c>
      <c r="K55" s="108">
        <v>0.19230769230769232</v>
      </c>
      <c r="L55" s="108">
        <v>0.22900763358778625</v>
      </c>
      <c r="M55" s="108">
        <v>0.29770992366412213</v>
      </c>
      <c r="N55" s="108">
        <v>0.66666666666666663</v>
      </c>
      <c r="O55" s="108">
        <v>0.38461538461538464</v>
      </c>
      <c r="P55" s="108">
        <v>0.46616541353383456</v>
      </c>
      <c r="Q55" s="108">
        <v>0.375</v>
      </c>
    </row>
    <row r="56" spans="1:17" x14ac:dyDescent="0.45">
      <c r="A56" s="110">
        <v>53</v>
      </c>
      <c r="B56" s="107">
        <v>259.60000000000002</v>
      </c>
      <c r="C56" s="107">
        <v>4.8981132075471701</v>
      </c>
      <c r="D56" s="112">
        <v>1.8867924528301887</v>
      </c>
      <c r="E56" s="108">
        <v>0.35849056603773582</v>
      </c>
      <c r="F56" s="108">
        <v>0.35561497326203206</v>
      </c>
      <c r="G56" s="108">
        <v>0.16042780748663102</v>
      </c>
      <c r="H56" s="109">
        <v>10024.812030075187</v>
      </c>
      <c r="I56" s="109">
        <v>-9273.3333333333339</v>
      </c>
      <c r="J56" s="108">
        <v>0.13207547169811321</v>
      </c>
      <c r="K56" s="108">
        <v>0.18867924528301888</v>
      </c>
      <c r="L56" s="108">
        <v>0.22058823529411764</v>
      </c>
      <c r="M56" s="108">
        <v>0.3014705882352941</v>
      </c>
      <c r="N56" s="108">
        <v>0.66666666666666663</v>
      </c>
      <c r="O56" s="108">
        <v>0.36585365853658536</v>
      </c>
      <c r="P56" s="108">
        <v>0.46616541353383456</v>
      </c>
      <c r="Q56" s="108">
        <v>0.36956521739130432</v>
      </c>
    </row>
    <row r="57" spans="1:17" x14ac:dyDescent="0.45">
      <c r="A57" s="110">
        <v>54</v>
      </c>
      <c r="B57" s="107">
        <v>244.50000000000003</v>
      </c>
      <c r="C57" s="107">
        <v>4.5277777777777786</v>
      </c>
      <c r="D57" s="112">
        <v>1.8888888888888888</v>
      </c>
      <c r="E57" s="108">
        <v>0.35185185185185186</v>
      </c>
      <c r="F57" s="108">
        <v>0.35584415584415585</v>
      </c>
      <c r="G57" s="108">
        <v>0.15844155844155844</v>
      </c>
      <c r="H57" s="109">
        <v>9855.4744525547449</v>
      </c>
      <c r="I57" s="109">
        <v>-9145.9016393442616</v>
      </c>
      <c r="J57" s="108">
        <v>0.12962962962962962</v>
      </c>
      <c r="K57" s="108">
        <v>0.18518518518518517</v>
      </c>
      <c r="L57" s="108">
        <v>0.22448979591836735</v>
      </c>
      <c r="M57" s="108">
        <v>0.32653061224489793</v>
      </c>
      <c r="N57" s="108">
        <v>0.66666666666666663</v>
      </c>
      <c r="O57" s="108">
        <v>0.35416666666666669</v>
      </c>
      <c r="P57" s="108">
        <v>0.45985401459854014</v>
      </c>
      <c r="Q57" s="108">
        <v>0.37323943661971831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0AEE3-B131-4D0F-80E3-5471FBBB7347}">
  <sheetPr codeName="Sheet17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184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</v>
      </c>
      <c r="C2" s="120"/>
      <c r="E2" s="102" t="s">
        <v>67</v>
      </c>
      <c r="F2" s="98" t="s">
        <v>21</v>
      </c>
      <c r="G2" s="85">
        <v>6</v>
      </c>
      <c r="H2" s="61">
        <f t="shared" ref="H2:H51" si="0">IF(B$25=0,0,G2/B$25)</f>
        <v>0.66666666666666663</v>
      </c>
      <c r="J2" s="60">
        <v>0</v>
      </c>
      <c r="K2" s="62">
        <v>0</v>
      </c>
      <c r="M2" s="60" t="s">
        <v>150</v>
      </c>
      <c r="N2" s="81">
        <f t="shared" ref="N2:N7" si="1">IF(P2=0,0,O2/P2)</f>
        <v>-2740</v>
      </c>
      <c r="O2" s="78">
        <v>-13700</v>
      </c>
      <c r="P2" s="76">
        <v>5</v>
      </c>
    </row>
    <row r="3" spans="1:16" x14ac:dyDescent="0.45">
      <c r="A3" s="94" t="s">
        <v>8</v>
      </c>
      <c r="B3" s="125">
        <v>37</v>
      </c>
      <c r="C3" s="126"/>
      <c r="E3" s="103" t="s">
        <v>68</v>
      </c>
      <c r="F3" s="99" t="s">
        <v>22</v>
      </c>
      <c r="G3" s="86">
        <v>4</v>
      </c>
      <c r="H3" s="64">
        <f t="shared" si="0"/>
        <v>0.44444444444444442</v>
      </c>
      <c r="J3" s="63">
        <v>1</v>
      </c>
      <c r="K3" s="65">
        <v>-40.700000000000003</v>
      </c>
      <c r="M3" s="63" t="s">
        <v>151</v>
      </c>
      <c r="N3" s="82">
        <f t="shared" si="1"/>
        <v>1500</v>
      </c>
      <c r="O3" s="79">
        <v>7500</v>
      </c>
      <c r="P3" s="74">
        <v>5</v>
      </c>
    </row>
    <row r="4" spans="1:16" x14ac:dyDescent="0.45">
      <c r="A4" s="94" t="s">
        <v>6</v>
      </c>
      <c r="B4" s="127">
        <v>-85.4</v>
      </c>
      <c r="C4" s="128"/>
      <c r="E4" s="103" t="s">
        <v>69</v>
      </c>
      <c r="F4" s="99" t="s">
        <v>23</v>
      </c>
      <c r="G4" s="86">
        <v>1</v>
      </c>
      <c r="H4" s="64">
        <f t="shared" si="0"/>
        <v>0.1111111111111111</v>
      </c>
      <c r="J4" s="63">
        <v>2</v>
      </c>
      <c r="K4" s="65">
        <v>-80.7</v>
      </c>
      <c r="M4" s="63" t="s">
        <v>152</v>
      </c>
      <c r="N4" s="82">
        <f t="shared" si="1"/>
        <v>-11250</v>
      </c>
      <c r="O4" s="79">
        <v>-45000</v>
      </c>
      <c r="P4" s="74">
        <v>4</v>
      </c>
    </row>
    <row r="5" spans="1:16" x14ac:dyDescent="0.45">
      <c r="A5" s="94" t="s">
        <v>7</v>
      </c>
      <c r="B5" s="127">
        <f>IF(B$2=0,0,B$4/B$2)</f>
        <v>-17.080000000000002</v>
      </c>
      <c r="C5" s="128"/>
      <c r="E5" s="103" t="s">
        <v>70</v>
      </c>
      <c r="F5" s="99" t="s">
        <v>24</v>
      </c>
      <c r="G5" s="86">
        <v>2</v>
      </c>
      <c r="H5" s="64">
        <f t="shared" si="0"/>
        <v>0.22222222222222221</v>
      </c>
      <c r="J5" s="63">
        <v>3</v>
      </c>
      <c r="K5" s="65">
        <v>-87.9</v>
      </c>
      <c r="M5" s="63" t="s">
        <v>153</v>
      </c>
      <c r="N5" s="82">
        <f t="shared" si="1"/>
        <v>-12000</v>
      </c>
      <c r="O5" s="79">
        <v>-36000</v>
      </c>
      <c r="P5" s="74">
        <v>3</v>
      </c>
    </row>
    <row r="6" spans="1:16" x14ac:dyDescent="0.45">
      <c r="A6" s="94" t="s">
        <v>1</v>
      </c>
      <c r="B6" s="117">
        <f>IF(B$2=0,0,(B$7*1+B$8*2+B$9*3)/B$2)</f>
        <v>2.2000000000000002</v>
      </c>
      <c r="C6" s="118"/>
      <c r="E6" s="103" t="s">
        <v>71</v>
      </c>
      <c r="F6" s="99" t="s">
        <v>25</v>
      </c>
      <c r="G6" s="86">
        <v>6</v>
      </c>
      <c r="H6" s="64">
        <f t="shared" si="0"/>
        <v>0.66666666666666663</v>
      </c>
      <c r="J6" s="63">
        <v>4</v>
      </c>
      <c r="K6" s="65">
        <v>-107.2</v>
      </c>
      <c r="M6" s="63" t="s">
        <v>154</v>
      </c>
      <c r="N6" s="82">
        <f t="shared" si="1"/>
        <v>5400</v>
      </c>
      <c r="O6" s="79">
        <v>10800</v>
      </c>
      <c r="P6" s="74">
        <v>2</v>
      </c>
    </row>
    <row r="7" spans="1:16" x14ac:dyDescent="0.45">
      <c r="A7" s="94" t="s">
        <v>2</v>
      </c>
      <c r="B7" s="86">
        <v>1</v>
      </c>
      <c r="C7" s="64">
        <f>IF(B$2=0,0,B7/B$2)</f>
        <v>0.2</v>
      </c>
      <c r="E7" s="103" t="s">
        <v>72</v>
      </c>
      <c r="F7" s="99" t="s">
        <v>12</v>
      </c>
      <c r="G7" s="86">
        <v>3</v>
      </c>
      <c r="H7" s="64">
        <f t="shared" si="0"/>
        <v>0.33333333333333331</v>
      </c>
      <c r="J7" s="63">
        <v>5</v>
      </c>
      <c r="K7" s="65">
        <v>-85.4</v>
      </c>
      <c r="M7" s="68" t="s">
        <v>155</v>
      </c>
      <c r="N7" s="83">
        <f t="shared" si="1"/>
        <v>-5000</v>
      </c>
      <c r="O7" s="80">
        <v>-10000</v>
      </c>
      <c r="P7" s="75">
        <v>2</v>
      </c>
    </row>
    <row r="8" spans="1:16" x14ac:dyDescent="0.45">
      <c r="A8" s="94" t="s">
        <v>3</v>
      </c>
      <c r="B8" s="86">
        <v>2</v>
      </c>
      <c r="C8" s="64">
        <f t="shared" ref="C8:C9" si="2">IF(B$2=0,0,B8/B$2)</f>
        <v>0.4</v>
      </c>
      <c r="E8" s="103" t="s">
        <v>73</v>
      </c>
      <c r="F8" s="99" t="s">
        <v>26</v>
      </c>
      <c r="G8" s="86">
        <v>1</v>
      </c>
      <c r="H8" s="64">
        <f t="shared" si="0"/>
        <v>0.1111111111111111</v>
      </c>
    </row>
    <row r="9" spans="1:16" x14ac:dyDescent="0.45">
      <c r="A9" s="95" t="s">
        <v>4</v>
      </c>
      <c r="B9" s="87">
        <v>2</v>
      </c>
      <c r="C9" s="66">
        <f t="shared" si="2"/>
        <v>0.4</v>
      </c>
      <c r="E9" s="103" t="s">
        <v>74</v>
      </c>
      <c r="F9" s="99" t="s">
        <v>27</v>
      </c>
      <c r="G9" s="86">
        <v>0</v>
      </c>
      <c r="H9" s="64">
        <f t="shared" si="0"/>
        <v>0</v>
      </c>
    </row>
    <row r="10" spans="1:16" x14ac:dyDescent="0.45">
      <c r="A10" s="95" t="s">
        <v>19</v>
      </c>
      <c r="B10" s="87">
        <v>2</v>
      </c>
      <c r="C10" s="66">
        <f>IF(B$2=0,0,B10/B$2)</f>
        <v>0.4</v>
      </c>
      <c r="E10" s="103" t="s">
        <v>75</v>
      </c>
      <c r="F10" s="99" t="s">
        <v>28</v>
      </c>
      <c r="G10" s="86">
        <v>0</v>
      </c>
      <c r="H10" s="64">
        <f t="shared" si="0"/>
        <v>0</v>
      </c>
    </row>
    <row r="11" spans="1:16" x14ac:dyDescent="0.45">
      <c r="A11" s="96" t="s">
        <v>160</v>
      </c>
      <c r="B11" s="88">
        <v>1</v>
      </c>
      <c r="C11" s="69">
        <f>IF(B$2=0,0,B11/B$2)</f>
        <v>0.2</v>
      </c>
      <c r="E11" s="103" t="s">
        <v>76</v>
      </c>
      <c r="F11" s="99" t="s">
        <v>29</v>
      </c>
      <c r="G11" s="86">
        <v>4</v>
      </c>
      <c r="H11" s="64">
        <f t="shared" si="0"/>
        <v>0.44444444444444442</v>
      </c>
    </row>
    <row r="12" spans="1:16" x14ac:dyDescent="0.45">
      <c r="A12" s="97" t="s">
        <v>128</v>
      </c>
      <c r="B12" s="89">
        <v>8</v>
      </c>
      <c r="C12" s="72">
        <f>IF(B$24=0,0,B12/B$24)</f>
        <v>0.25806451612903225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5">
      <c r="A13" s="94" t="s">
        <v>123</v>
      </c>
      <c r="B13" s="86">
        <v>5</v>
      </c>
      <c r="C13" s="64">
        <f>IF(B$24=0,0,B13/B$24)</f>
        <v>0.16129032258064516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5">
      <c r="A14" s="93" t="s">
        <v>130</v>
      </c>
      <c r="B14" s="85">
        <v>6</v>
      </c>
      <c r="C14" s="61">
        <f>IF(B$12=0,0,B14/B$12)</f>
        <v>0.75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5">
      <c r="A15" s="93" t="s">
        <v>131</v>
      </c>
      <c r="B15" s="85">
        <v>1</v>
      </c>
      <c r="C15" s="61">
        <f>IF(B$13=0,0,B15/B$13)</f>
        <v>0.2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5">
      <c r="A16" s="93" t="s">
        <v>10</v>
      </c>
      <c r="B16" s="85">
        <f>B18+B17</f>
        <v>10</v>
      </c>
      <c r="C16" s="61">
        <f>IF(B$3=0,0,B16/B$3)</f>
        <v>0.27027027027027029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5">
      <c r="A17" s="94" t="s">
        <v>12</v>
      </c>
      <c r="B17" s="86">
        <v>3</v>
      </c>
      <c r="C17" s="64">
        <f>IF(B$16=0,0,B17/B$16)</f>
        <v>0.3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5">
      <c r="A18" s="94" t="s">
        <v>11</v>
      </c>
      <c r="B18" s="86">
        <v>7</v>
      </c>
      <c r="C18" s="64">
        <f>IF(B$16=0,0,B18/B$16)</f>
        <v>0.7</v>
      </c>
      <c r="E18" s="103" t="s">
        <v>83</v>
      </c>
      <c r="F18" s="99" t="s">
        <v>36</v>
      </c>
      <c r="G18" s="86">
        <v>2</v>
      </c>
      <c r="H18" s="64">
        <f t="shared" si="0"/>
        <v>0.22222222222222221</v>
      </c>
    </row>
    <row r="19" spans="1:8" x14ac:dyDescent="0.45">
      <c r="A19" s="94" t="s">
        <v>13</v>
      </c>
      <c r="B19" s="86">
        <v>8</v>
      </c>
      <c r="C19" s="64">
        <f>IF(B$3=0,0,B19/B$3)</f>
        <v>0.21621621621621623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5">
      <c r="A20" s="94" t="s">
        <v>5</v>
      </c>
      <c r="B20" s="90">
        <f>IF(B$16=0,0,C20/B$16)</f>
        <v>7100</v>
      </c>
      <c r="C20" s="67">
        <v>71000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5">
      <c r="A21" s="96" t="s">
        <v>14</v>
      </c>
      <c r="B21" s="91">
        <f>IF(B$19=0,0,C21/B$19)</f>
        <v>-12487.5</v>
      </c>
      <c r="C21" s="84">
        <v>-99900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5">
      <c r="A22" s="93" t="s">
        <v>147</v>
      </c>
      <c r="B22" s="85">
        <v>13</v>
      </c>
      <c r="C22" s="61">
        <f>IF(B$3=0,0,B22/B$3)</f>
        <v>0.35135135135135137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5">
      <c r="A23" s="96" t="s">
        <v>148</v>
      </c>
      <c r="B23" s="88">
        <v>6</v>
      </c>
      <c r="C23" s="69">
        <f>IF(B$22=0,0,B23/B$22)</f>
        <v>0.46153846153846156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5">
      <c r="A24" s="93" t="s">
        <v>126</v>
      </c>
      <c r="B24" s="119">
        <v>31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5">
      <c r="A25" s="96" t="s">
        <v>127</v>
      </c>
      <c r="B25" s="121">
        <v>9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5">
      <c r="A26" s="105" t="s">
        <v>164</v>
      </c>
      <c r="B26" s="115">
        <v>3</v>
      </c>
      <c r="C26" s="116"/>
      <c r="E26" s="103" t="s">
        <v>91</v>
      </c>
      <c r="F26" s="99" t="s">
        <v>44</v>
      </c>
      <c r="G26" s="86">
        <v>1</v>
      </c>
      <c r="H26" s="64">
        <f t="shared" si="0"/>
        <v>0.1111111111111111</v>
      </c>
    </row>
    <row r="27" spans="1:8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5">
      <c r="E29" s="103" t="s">
        <v>94</v>
      </c>
      <c r="F29" s="99" t="s">
        <v>47</v>
      </c>
      <c r="G29" s="86">
        <v>0</v>
      </c>
      <c r="H29" s="64">
        <f t="shared" si="0"/>
        <v>0</v>
      </c>
    </row>
    <row r="30" spans="1:8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8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759B-0D4A-4251-B564-7907BDE2BCB5}">
  <sheetPr codeName="Sheet18"/>
  <dimension ref="A1:Q8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184</v>
      </c>
      <c r="B1" s="111" t="s">
        <v>184</v>
      </c>
      <c r="C1" s="111" t="s">
        <v>184</v>
      </c>
      <c r="D1" s="112" t="s">
        <v>184</v>
      </c>
      <c r="E1" s="111" t="s">
        <v>184</v>
      </c>
      <c r="F1" s="111" t="s">
        <v>184</v>
      </c>
      <c r="G1" s="111" t="s">
        <v>184</v>
      </c>
      <c r="H1" s="111" t="s">
        <v>184</v>
      </c>
      <c r="I1" s="111" t="s">
        <v>184</v>
      </c>
      <c r="J1" s="111" t="s">
        <v>184</v>
      </c>
      <c r="K1" s="111" t="s">
        <v>184</v>
      </c>
      <c r="L1" s="111" t="s">
        <v>184</v>
      </c>
      <c r="M1" s="111" t="s">
        <v>184</v>
      </c>
      <c r="N1" s="111" t="s">
        <v>184</v>
      </c>
      <c r="O1" s="111" t="s">
        <v>184</v>
      </c>
      <c r="P1" s="111" t="s">
        <v>184</v>
      </c>
      <c r="Q1" s="111" t="s">
        <v>184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-40.700000000000003</v>
      </c>
      <c r="C4" s="107">
        <v>-40.700000000000003</v>
      </c>
      <c r="D4" s="112">
        <v>2</v>
      </c>
      <c r="E4" s="108">
        <v>0</v>
      </c>
      <c r="F4" s="108">
        <v>0.16666666666666666</v>
      </c>
      <c r="G4" s="108">
        <v>0.33333333333333331</v>
      </c>
      <c r="H4" s="109">
        <v>1300</v>
      </c>
      <c r="I4" s="109">
        <v>-8500</v>
      </c>
      <c r="J4" s="108">
        <v>1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-80.7</v>
      </c>
      <c r="C5" s="107">
        <v>-40.35</v>
      </c>
      <c r="D5" s="112">
        <v>2.5</v>
      </c>
      <c r="E5" s="108">
        <v>0</v>
      </c>
      <c r="F5" s="108">
        <v>0.22222222222222221</v>
      </c>
      <c r="G5" s="108">
        <v>0.44444444444444442</v>
      </c>
      <c r="H5" s="109">
        <v>1650</v>
      </c>
      <c r="I5" s="109">
        <v>-15250</v>
      </c>
      <c r="J5" s="108">
        <v>1</v>
      </c>
      <c r="K5" s="108">
        <v>0</v>
      </c>
      <c r="L5" s="108">
        <v>0</v>
      </c>
      <c r="M5" s="108">
        <v>0.33333333333333331</v>
      </c>
      <c r="N5" s="108">
        <v>0</v>
      </c>
      <c r="O5" s="108">
        <v>1</v>
      </c>
      <c r="P5" s="108">
        <v>0</v>
      </c>
      <c r="Q5" s="108">
        <v>0</v>
      </c>
    </row>
    <row r="6" spans="1:17" x14ac:dyDescent="0.45">
      <c r="A6" s="110">
        <v>3</v>
      </c>
      <c r="B6" s="107">
        <v>-87.9</v>
      </c>
      <c r="C6" s="107">
        <v>-29.3</v>
      </c>
      <c r="D6" s="112">
        <v>2.3333333333333335</v>
      </c>
      <c r="E6" s="108">
        <v>0</v>
      </c>
      <c r="F6" s="108">
        <v>0.22727272727272727</v>
      </c>
      <c r="G6" s="108">
        <v>0.27272727272727271</v>
      </c>
      <c r="H6" s="109">
        <v>6100</v>
      </c>
      <c r="I6" s="109">
        <v>-12650</v>
      </c>
      <c r="J6" s="108">
        <v>0.66666666666666663</v>
      </c>
      <c r="K6" s="108">
        <v>0</v>
      </c>
      <c r="L6" s="108">
        <v>0.25</v>
      </c>
      <c r="M6" s="108">
        <v>0.25</v>
      </c>
      <c r="N6" s="108">
        <v>0.75</v>
      </c>
      <c r="O6" s="108">
        <v>0.25</v>
      </c>
      <c r="P6" s="108">
        <v>0.4</v>
      </c>
      <c r="Q6" s="108">
        <v>0.2</v>
      </c>
    </row>
    <row r="7" spans="1:17" x14ac:dyDescent="0.45">
      <c r="A7" s="110">
        <v>4</v>
      </c>
      <c r="B7" s="107">
        <v>-107.2</v>
      </c>
      <c r="C7" s="107">
        <v>-26.8</v>
      </c>
      <c r="D7" s="112">
        <v>2.5</v>
      </c>
      <c r="E7" s="108">
        <v>0</v>
      </c>
      <c r="F7" s="108">
        <v>0.21875</v>
      </c>
      <c r="G7" s="108">
        <v>0.25</v>
      </c>
      <c r="H7" s="109">
        <v>7171.4285714285716</v>
      </c>
      <c r="I7" s="109">
        <v>-12487.5</v>
      </c>
      <c r="J7" s="108">
        <v>0.5</v>
      </c>
      <c r="K7" s="108">
        <v>0</v>
      </c>
      <c r="L7" s="108">
        <v>0.23076923076923078</v>
      </c>
      <c r="M7" s="108">
        <v>0.19230769230769232</v>
      </c>
      <c r="N7" s="108">
        <v>0.83333333333333337</v>
      </c>
      <c r="O7" s="108">
        <v>0.2</v>
      </c>
      <c r="P7" s="108">
        <v>0.2857142857142857</v>
      </c>
      <c r="Q7" s="108">
        <v>0.33333333333333331</v>
      </c>
    </row>
    <row r="8" spans="1:17" x14ac:dyDescent="0.45">
      <c r="A8" s="110">
        <v>5</v>
      </c>
      <c r="B8" s="107">
        <v>-85.4</v>
      </c>
      <c r="C8" s="107">
        <v>-17.080000000000002</v>
      </c>
      <c r="D8" s="112">
        <v>2.2000000000000002</v>
      </c>
      <c r="E8" s="108">
        <v>0.2</v>
      </c>
      <c r="F8" s="108">
        <v>0.27027027027027029</v>
      </c>
      <c r="G8" s="108">
        <v>0.21621621621621623</v>
      </c>
      <c r="H8" s="109">
        <v>7100</v>
      </c>
      <c r="I8" s="109">
        <v>-12487.5</v>
      </c>
      <c r="J8" s="108">
        <v>0.4</v>
      </c>
      <c r="K8" s="108">
        <v>0.2</v>
      </c>
      <c r="L8" s="108">
        <v>0.25806451612903225</v>
      </c>
      <c r="M8" s="108">
        <v>0.16129032258064516</v>
      </c>
      <c r="N8" s="108">
        <v>0.75</v>
      </c>
      <c r="O8" s="108">
        <v>0.2</v>
      </c>
      <c r="P8" s="108">
        <v>0.3</v>
      </c>
      <c r="Q8" s="108">
        <v>0.46153846153846156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A9B10-D4FE-4262-A6EE-BD4F5864CBEE}">
  <sheetPr codeName="Sheet19"/>
  <dimension ref="A1:P54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136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52</v>
      </c>
      <c r="C2" s="120"/>
      <c r="E2" s="102" t="s">
        <v>67</v>
      </c>
      <c r="F2" s="98" t="s">
        <v>21</v>
      </c>
      <c r="G2" s="85">
        <v>22</v>
      </c>
      <c r="H2" s="61">
        <f t="shared" ref="H2:H51" si="0">IF(B$25=0,0,G2/B$25)</f>
        <v>0.44</v>
      </c>
      <c r="J2" s="60">
        <v>0</v>
      </c>
      <c r="K2" s="62">
        <v>0</v>
      </c>
      <c r="M2" s="60" t="s">
        <v>150</v>
      </c>
      <c r="N2" s="81">
        <f t="shared" ref="N2:N7" si="1">IF(P2=0,0,O2/P2)</f>
        <v>-2221.1538461538462</v>
      </c>
      <c r="O2" s="78">
        <v>-115500</v>
      </c>
      <c r="P2" s="76">
        <v>52</v>
      </c>
    </row>
    <row r="3" spans="1:16" x14ac:dyDescent="0.45">
      <c r="A3" s="94" t="s">
        <v>8</v>
      </c>
      <c r="B3" s="125">
        <v>405</v>
      </c>
      <c r="C3" s="126"/>
      <c r="E3" s="103" t="s">
        <v>68</v>
      </c>
      <c r="F3" s="99" t="s">
        <v>22</v>
      </c>
      <c r="G3" s="86">
        <v>7</v>
      </c>
      <c r="H3" s="64">
        <f t="shared" si="0"/>
        <v>0.14000000000000001</v>
      </c>
      <c r="J3" s="63">
        <v>1</v>
      </c>
      <c r="K3" s="65">
        <v>67.2</v>
      </c>
      <c r="M3" s="63" t="s">
        <v>151</v>
      </c>
      <c r="N3" s="82">
        <f t="shared" si="1"/>
        <v>-3755.1020408163267</v>
      </c>
      <c r="O3" s="79">
        <v>-184000</v>
      </c>
      <c r="P3" s="74">
        <v>49</v>
      </c>
    </row>
    <row r="4" spans="1:16" x14ac:dyDescent="0.45">
      <c r="A4" s="94" t="s">
        <v>6</v>
      </c>
      <c r="B4" s="127">
        <v>-378.59999999999997</v>
      </c>
      <c r="C4" s="128"/>
      <c r="E4" s="103" t="s">
        <v>69</v>
      </c>
      <c r="F4" s="99" t="s">
        <v>23</v>
      </c>
      <c r="G4" s="86">
        <v>35</v>
      </c>
      <c r="H4" s="64">
        <f t="shared" si="0"/>
        <v>0.7</v>
      </c>
      <c r="J4" s="63">
        <v>2</v>
      </c>
      <c r="K4" s="65">
        <v>58.5</v>
      </c>
      <c r="M4" s="63" t="s">
        <v>152</v>
      </c>
      <c r="N4" s="82">
        <f t="shared" si="1"/>
        <v>-1088.0952380952381</v>
      </c>
      <c r="O4" s="79">
        <v>-45700</v>
      </c>
      <c r="P4" s="74">
        <v>42</v>
      </c>
    </row>
    <row r="5" spans="1:16" x14ac:dyDescent="0.45">
      <c r="A5" s="94" t="s">
        <v>7</v>
      </c>
      <c r="B5" s="127">
        <f>IF(B$2=0,0,B$4/B$2)</f>
        <v>-7.2807692307692298</v>
      </c>
      <c r="C5" s="128"/>
      <c r="E5" s="103" t="s">
        <v>70</v>
      </c>
      <c r="F5" s="99" t="s">
        <v>24</v>
      </c>
      <c r="G5" s="86">
        <v>5</v>
      </c>
      <c r="H5" s="64">
        <f t="shared" si="0"/>
        <v>0.1</v>
      </c>
      <c r="J5" s="63">
        <v>3</v>
      </c>
      <c r="K5" s="65">
        <v>81.099999999999994</v>
      </c>
      <c r="M5" s="63" t="s">
        <v>153</v>
      </c>
      <c r="N5" s="82">
        <f t="shared" si="1"/>
        <v>1575</v>
      </c>
      <c r="O5" s="79">
        <v>63000</v>
      </c>
      <c r="P5" s="74">
        <v>40</v>
      </c>
    </row>
    <row r="6" spans="1:16" x14ac:dyDescent="0.45">
      <c r="A6" s="94" t="s">
        <v>1</v>
      </c>
      <c r="B6" s="117">
        <f>IF(B$2=0,0,(B$7*1+B$8*2+B$9*3)/B$2)</f>
        <v>2.2115384615384617</v>
      </c>
      <c r="C6" s="118"/>
      <c r="E6" s="103" t="s">
        <v>71</v>
      </c>
      <c r="F6" s="99" t="s">
        <v>25</v>
      </c>
      <c r="G6" s="86">
        <v>45</v>
      </c>
      <c r="H6" s="64">
        <f t="shared" si="0"/>
        <v>0.9</v>
      </c>
      <c r="J6" s="63">
        <v>4</v>
      </c>
      <c r="K6" s="65">
        <v>56.699999999999996</v>
      </c>
      <c r="M6" s="63" t="s">
        <v>154</v>
      </c>
      <c r="N6" s="82">
        <f t="shared" si="1"/>
        <v>-2561.2903225806454</v>
      </c>
      <c r="O6" s="79">
        <v>-79400</v>
      </c>
      <c r="P6" s="74">
        <v>31</v>
      </c>
    </row>
    <row r="7" spans="1:16" x14ac:dyDescent="0.45">
      <c r="A7" s="94" t="s">
        <v>2</v>
      </c>
      <c r="B7" s="86">
        <v>11</v>
      </c>
      <c r="C7" s="64">
        <f>IF(B$2=0,0,B7/B$2)</f>
        <v>0.21153846153846154</v>
      </c>
      <c r="E7" s="103" t="s">
        <v>72</v>
      </c>
      <c r="F7" s="99" t="s">
        <v>12</v>
      </c>
      <c r="G7" s="86">
        <v>11</v>
      </c>
      <c r="H7" s="64">
        <f t="shared" si="0"/>
        <v>0.22</v>
      </c>
      <c r="J7" s="63">
        <v>5</v>
      </c>
      <c r="K7" s="65">
        <v>121.69999999999999</v>
      </c>
      <c r="M7" s="68" t="s">
        <v>155</v>
      </c>
      <c r="N7" s="83">
        <f t="shared" si="1"/>
        <v>-1120</v>
      </c>
      <c r="O7" s="80">
        <v>-28000</v>
      </c>
      <c r="P7" s="75">
        <v>25</v>
      </c>
    </row>
    <row r="8" spans="1:16" x14ac:dyDescent="0.45">
      <c r="A8" s="94" t="s">
        <v>3</v>
      </c>
      <c r="B8" s="86">
        <v>19</v>
      </c>
      <c r="C8" s="64">
        <f t="shared" ref="C8:C9" si="2">IF(B$2=0,0,B8/B$2)</f>
        <v>0.36538461538461536</v>
      </c>
      <c r="E8" s="103" t="s">
        <v>73</v>
      </c>
      <c r="F8" s="99" t="s">
        <v>26</v>
      </c>
      <c r="G8" s="86">
        <v>4</v>
      </c>
      <c r="H8" s="64">
        <f t="shared" si="0"/>
        <v>0.08</v>
      </c>
      <c r="J8" s="63">
        <v>6</v>
      </c>
      <c r="K8" s="65">
        <v>123.19999999999999</v>
      </c>
    </row>
    <row r="9" spans="1:16" x14ac:dyDescent="0.45">
      <c r="A9" s="95" t="s">
        <v>4</v>
      </c>
      <c r="B9" s="87">
        <v>22</v>
      </c>
      <c r="C9" s="66">
        <f t="shared" si="2"/>
        <v>0.42307692307692307</v>
      </c>
      <c r="E9" s="103" t="s">
        <v>74</v>
      </c>
      <c r="F9" s="99" t="s">
        <v>27</v>
      </c>
      <c r="G9" s="86">
        <v>3</v>
      </c>
      <c r="H9" s="64">
        <f t="shared" si="0"/>
        <v>0.06</v>
      </c>
      <c r="J9" s="63">
        <v>7</v>
      </c>
      <c r="K9" s="65">
        <v>125.99999999999999</v>
      </c>
    </row>
    <row r="10" spans="1:16" x14ac:dyDescent="0.45">
      <c r="A10" s="95" t="s">
        <v>19</v>
      </c>
      <c r="B10" s="87">
        <v>11</v>
      </c>
      <c r="C10" s="66">
        <f>IF(B$2=0,0,B10/B$2)</f>
        <v>0.21153846153846154</v>
      </c>
      <c r="E10" s="103" t="s">
        <v>75</v>
      </c>
      <c r="F10" s="99" t="s">
        <v>28</v>
      </c>
      <c r="G10" s="86">
        <v>3</v>
      </c>
      <c r="H10" s="64">
        <f t="shared" si="0"/>
        <v>0.06</v>
      </c>
      <c r="J10" s="63">
        <v>8</v>
      </c>
      <c r="K10" s="65">
        <v>94.499999999999986</v>
      </c>
    </row>
    <row r="11" spans="1:16" x14ac:dyDescent="0.45">
      <c r="A11" s="96" t="s">
        <v>160</v>
      </c>
      <c r="B11" s="88">
        <v>7</v>
      </c>
      <c r="C11" s="69">
        <f>IF(B$2=0,0,B11/B$2)</f>
        <v>0.13461538461538461</v>
      </c>
      <c r="E11" s="103" t="s">
        <v>76</v>
      </c>
      <c r="F11" s="99" t="s">
        <v>29</v>
      </c>
      <c r="G11" s="86">
        <v>34</v>
      </c>
      <c r="H11" s="64">
        <f t="shared" si="0"/>
        <v>0.68</v>
      </c>
      <c r="J11" s="63">
        <v>9</v>
      </c>
      <c r="K11" s="65">
        <v>81.799999999999983</v>
      </c>
    </row>
    <row r="12" spans="1:16" x14ac:dyDescent="0.45">
      <c r="A12" s="97" t="s">
        <v>128</v>
      </c>
      <c r="B12" s="89">
        <v>52</v>
      </c>
      <c r="C12" s="72">
        <f>IF(B$24=0,0,B12/B$24)</f>
        <v>0.23853211009174313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108.49999999999999</v>
      </c>
    </row>
    <row r="13" spans="1:16" x14ac:dyDescent="0.45">
      <c r="A13" s="94" t="s">
        <v>123</v>
      </c>
      <c r="B13" s="86">
        <v>59</v>
      </c>
      <c r="C13" s="64">
        <f>IF(B$24=0,0,B13/B$24)</f>
        <v>0.27064220183486237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135.19999999999999</v>
      </c>
    </row>
    <row r="14" spans="1:16" x14ac:dyDescent="0.45">
      <c r="A14" s="93" t="s">
        <v>130</v>
      </c>
      <c r="B14" s="85">
        <v>21</v>
      </c>
      <c r="C14" s="61">
        <f>IF(B$12=0,0,B14/B$12)</f>
        <v>0.40384615384615385</v>
      </c>
      <c r="E14" s="103" t="s">
        <v>79</v>
      </c>
      <c r="F14" s="99" t="s">
        <v>32</v>
      </c>
      <c r="G14" s="86">
        <v>1</v>
      </c>
      <c r="H14" s="64">
        <f t="shared" si="0"/>
        <v>0.02</v>
      </c>
      <c r="J14" s="63">
        <v>12</v>
      </c>
      <c r="K14" s="65">
        <v>97.299999999999983</v>
      </c>
    </row>
    <row r="15" spans="1:16" x14ac:dyDescent="0.45">
      <c r="A15" s="93" t="s">
        <v>131</v>
      </c>
      <c r="B15" s="85">
        <v>22</v>
      </c>
      <c r="C15" s="61">
        <f>IF(B$13=0,0,B15/B$13)</f>
        <v>0.3728813559322034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60.299999999999983</v>
      </c>
    </row>
    <row r="16" spans="1:16" x14ac:dyDescent="0.45">
      <c r="A16" s="93" t="s">
        <v>10</v>
      </c>
      <c r="B16" s="85">
        <f>B18+B17</f>
        <v>104</v>
      </c>
      <c r="C16" s="61">
        <f>IF(B$3=0,0,B16/B$3)</f>
        <v>0.25679012345679014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39.999999999999986</v>
      </c>
    </row>
    <row r="17" spans="1:11" x14ac:dyDescent="0.45">
      <c r="A17" s="94" t="s">
        <v>12</v>
      </c>
      <c r="B17" s="86">
        <v>46</v>
      </c>
      <c r="C17" s="64">
        <f>IF(B$16=0,0,B17/B$16)</f>
        <v>0.44230769230769229</v>
      </c>
      <c r="E17" s="103" t="s">
        <v>82</v>
      </c>
      <c r="F17" s="99" t="s">
        <v>35</v>
      </c>
      <c r="G17" s="86">
        <v>2</v>
      </c>
      <c r="H17" s="64">
        <f t="shared" si="0"/>
        <v>0.04</v>
      </c>
      <c r="J17" s="63">
        <v>15</v>
      </c>
      <c r="K17" s="65">
        <v>31.499999999999986</v>
      </c>
    </row>
    <row r="18" spans="1:11" x14ac:dyDescent="0.45">
      <c r="A18" s="94" t="s">
        <v>11</v>
      </c>
      <c r="B18" s="86">
        <v>58</v>
      </c>
      <c r="C18" s="64">
        <f>IF(B$16=0,0,B18/B$16)</f>
        <v>0.55769230769230771</v>
      </c>
      <c r="E18" s="103" t="s">
        <v>83</v>
      </c>
      <c r="F18" s="99" t="s">
        <v>36</v>
      </c>
      <c r="G18" s="86">
        <v>2</v>
      </c>
      <c r="H18" s="64">
        <f t="shared" si="0"/>
        <v>0.04</v>
      </c>
      <c r="J18" s="63">
        <v>16</v>
      </c>
      <c r="K18" s="65">
        <v>-6.0000000000000142</v>
      </c>
    </row>
    <row r="19" spans="1:11" x14ac:dyDescent="0.45">
      <c r="A19" s="94" t="s">
        <v>13</v>
      </c>
      <c r="B19" s="86">
        <v>81</v>
      </c>
      <c r="C19" s="64">
        <f>IF(B$3=0,0,B19/B$3)</f>
        <v>0.2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-16.600000000000016</v>
      </c>
    </row>
    <row r="20" spans="1:11" x14ac:dyDescent="0.45">
      <c r="A20" s="94" t="s">
        <v>5</v>
      </c>
      <c r="B20" s="90">
        <f>IF(B$16=0,0,C20/B$16)</f>
        <v>9467.3076923076915</v>
      </c>
      <c r="C20" s="67">
        <v>984600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-16.300000000000015</v>
      </c>
    </row>
    <row r="21" spans="1:11" x14ac:dyDescent="0.45">
      <c r="A21" s="96" t="s">
        <v>14</v>
      </c>
      <c r="B21" s="91">
        <f>IF(B$19=0,0,C21/B$19)</f>
        <v>-9117.2839506172841</v>
      </c>
      <c r="C21" s="84">
        <v>-738500</v>
      </c>
      <c r="E21" s="103" t="s">
        <v>86</v>
      </c>
      <c r="F21" s="99" t="s">
        <v>39</v>
      </c>
      <c r="G21" s="86">
        <v>1</v>
      </c>
      <c r="H21" s="64">
        <f t="shared" si="0"/>
        <v>0.02</v>
      </c>
      <c r="J21" s="63">
        <v>19</v>
      </c>
      <c r="K21" s="65">
        <v>-1.6000000000000156</v>
      </c>
    </row>
    <row r="22" spans="1:11" x14ac:dyDescent="0.45">
      <c r="A22" s="93" t="s">
        <v>147</v>
      </c>
      <c r="B22" s="85">
        <v>114</v>
      </c>
      <c r="C22" s="61">
        <f>IF(B$3=0,0,B22/B$3)</f>
        <v>0.2814814814814815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45.399999999999984</v>
      </c>
    </row>
    <row r="23" spans="1:11" x14ac:dyDescent="0.45">
      <c r="A23" s="96" t="s">
        <v>148</v>
      </c>
      <c r="B23" s="88">
        <v>40</v>
      </c>
      <c r="C23" s="69">
        <f>IF(B$22=0,0,B23/B$22)</f>
        <v>0.35087719298245612</v>
      </c>
      <c r="E23" s="103" t="s">
        <v>88</v>
      </c>
      <c r="F23" s="99" t="s">
        <v>41</v>
      </c>
      <c r="G23" s="86">
        <v>1</v>
      </c>
      <c r="H23" s="64">
        <f t="shared" si="0"/>
        <v>0.02</v>
      </c>
      <c r="J23" s="63">
        <v>21</v>
      </c>
      <c r="K23" s="65">
        <v>4.5999999999999872</v>
      </c>
    </row>
    <row r="24" spans="1:11" x14ac:dyDescent="0.45">
      <c r="A24" s="93" t="s">
        <v>126</v>
      </c>
      <c r="B24" s="119">
        <v>218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  <c r="J24" s="63">
        <v>22</v>
      </c>
      <c r="K24" s="65">
        <v>-0.90000000000001279</v>
      </c>
    </row>
    <row r="25" spans="1:11" x14ac:dyDescent="0.45">
      <c r="A25" s="96" t="s">
        <v>127</v>
      </c>
      <c r="B25" s="121">
        <v>50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22.999999999999986</v>
      </c>
    </row>
    <row r="26" spans="1:11" x14ac:dyDescent="0.45">
      <c r="A26" s="105" t="s">
        <v>164</v>
      </c>
      <c r="B26" s="115">
        <v>5</v>
      </c>
      <c r="C26" s="116"/>
      <c r="E26" s="103" t="s">
        <v>91</v>
      </c>
      <c r="F26" s="99" t="s">
        <v>44</v>
      </c>
      <c r="G26" s="86">
        <v>2</v>
      </c>
      <c r="H26" s="64">
        <f t="shared" si="0"/>
        <v>0.04</v>
      </c>
      <c r="J26" s="63">
        <v>24</v>
      </c>
      <c r="K26" s="65">
        <v>10.099999999999985</v>
      </c>
    </row>
    <row r="27" spans="1:11" x14ac:dyDescent="0.45">
      <c r="A27" s="96" t="s">
        <v>165</v>
      </c>
      <c r="B27" s="106">
        <v>2</v>
      </c>
      <c r="C27" s="69">
        <f>IF(B$3=0,0,B27/B$3)</f>
        <v>4.9382716049382715E-3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1.7999999999999847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-8.2000000000000153</v>
      </c>
    </row>
    <row r="29" spans="1:11" x14ac:dyDescent="0.45">
      <c r="E29" s="103" t="s">
        <v>94</v>
      </c>
      <c r="F29" s="99" t="s">
        <v>47</v>
      </c>
      <c r="G29" s="86">
        <v>4</v>
      </c>
      <c r="H29" s="64">
        <f t="shared" si="0"/>
        <v>0.08</v>
      </c>
      <c r="J29" s="63">
        <v>27</v>
      </c>
      <c r="K29" s="65">
        <v>-30.100000000000016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-24.000000000000014</v>
      </c>
    </row>
    <row r="31" spans="1:11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  <c r="J31" s="63">
        <v>29</v>
      </c>
      <c r="K31" s="65">
        <v>-23.400000000000013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15.79999999999999</v>
      </c>
    </row>
    <row r="33" spans="5:11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-18.900000000000013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-33.900000000000013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-39.70000000000001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-90.600000000000009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-102.60000000000001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-70.200000000000017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-75.800000000000011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-101.80000000000001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-96.600000000000009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-104.30000000000001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-119.30000000000001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-168.9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-164.1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-208.6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-209.7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-245.89999999999998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-286.2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-289.39999999999998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-348.7</v>
      </c>
    </row>
    <row r="52" spans="5:11" x14ac:dyDescent="0.45">
      <c r="J52" s="63">
        <v>50</v>
      </c>
      <c r="K52" s="65">
        <v>-363.59999999999997</v>
      </c>
    </row>
    <row r="53" spans="5:11" x14ac:dyDescent="0.45">
      <c r="J53" s="63">
        <v>51</v>
      </c>
      <c r="K53" s="65">
        <v>-358.59999999999997</v>
      </c>
    </row>
    <row r="54" spans="5:11" x14ac:dyDescent="0.45">
      <c r="J54" s="63">
        <v>52</v>
      </c>
      <c r="K54" s="65">
        <v>-378.59999999999997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004CF-AD74-4BBB-AD4B-EFEC3D13BDCD}">
  <sheetPr codeName="Sheet20"/>
  <dimension ref="A1:Q55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136</v>
      </c>
      <c r="B1" s="111" t="s">
        <v>136</v>
      </c>
      <c r="C1" s="111" t="s">
        <v>136</v>
      </c>
      <c r="D1" s="112" t="s">
        <v>136</v>
      </c>
      <c r="E1" s="111" t="s">
        <v>136</v>
      </c>
      <c r="F1" s="111" t="s">
        <v>136</v>
      </c>
      <c r="G1" s="111" t="s">
        <v>136</v>
      </c>
      <c r="H1" s="111" t="s">
        <v>136</v>
      </c>
      <c r="I1" s="111" t="s">
        <v>136</v>
      </c>
      <c r="J1" s="111" t="s">
        <v>136</v>
      </c>
      <c r="K1" s="111" t="s">
        <v>136</v>
      </c>
      <c r="L1" s="111" t="s">
        <v>136</v>
      </c>
      <c r="M1" s="111" t="s">
        <v>136</v>
      </c>
      <c r="N1" s="111" t="s">
        <v>136</v>
      </c>
      <c r="O1" s="111" t="s">
        <v>136</v>
      </c>
      <c r="P1" s="111" t="s">
        <v>136</v>
      </c>
      <c r="Q1" s="111" t="s">
        <v>136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67.2</v>
      </c>
      <c r="C4" s="107">
        <v>67.2</v>
      </c>
      <c r="D4" s="112">
        <v>1</v>
      </c>
      <c r="E4" s="108">
        <v>1</v>
      </c>
      <c r="F4" s="108">
        <v>0.5714285714285714</v>
      </c>
      <c r="G4" s="108">
        <v>0</v>
      </c>
      <c r="H4" s="109">
        <v>15300</v>
      </c>
      <c r="I4" s="109">
        <v>0</v>
      </c>
      <c r="J4" s="108">
        <v>0</v>
      </c>
      <c r="K4" s="108">
        <v>1</v>
      </c>
      <c r="P4" s="108">
        <v>0</v>
      </c>
      <c r="Q4" s="108">
        <v>1</v>
      </c>
    </row>
    <row r="5" spans="1:17" x14ac:dyDescent="0.45">
      <c r="A5" s="110">
        <v>2</v>
      </c>
      <c r="B5" s="107">
        <v>58.5</v>
      </c>
      <c r="C5" s="107">
        <v>29.25</v>
      </c>
      <c r="D5" s="112">
        <v>2</v>
      </c>
      <c r="E5" s="108">
        <v>0.5</v>
      </c>
      <c r="F5" s="108">
        <v>0.3</v>
      </c>
      <c r="G5" s="108">
        <v>0.15</v>
      </c>
      <c r="H5" s="109">
        <v>17533.333333333332</v>
      </c>
      <c r="I5" s="109">
        <v>-5733.333333333333</v>
      </c>
      <c r="J5" s="108">
        <v>0</v>
      </c>
      <c r="K5" s="108">
        <v>0.5</v>
      </c>
      <c r="P5" s="108">
        <v>0.33333333333333331</v>
      </c>
      <c r="Q5" s="108">
        <v>0.5</v>
      </c>
    </row>
    <row r="6" spans="1:17" x14ac:dyDescent="0.45">
      <c r="A6" s="110">
        <v>3</v>
      </c>
      <c r="B6" s="107">
        <v>81.099999999999994</v>
      </c>
      <c r="C6" s="107">
        <v>27.033333333333331</v>
      </c>
      <c r="D6" s="112">
        <v>1.6666666666666667</v>
      </c>
      <c r="E6" s="108">
        <v>0.66666666666666663</v>
      </c>
      <c r="F6" s="108">
        <v>0.32</v>
      </c>
      <c r="G6" s="108">
        <v>0.12</v>
      </c>
      <c r="H6" s="109">
        <v>16400</v>
      </c>
      <c r="I6" s="109">
        <v>-5733.333333333333</v>
      </c>
      <c r="J6" s="108">
        <v>0</v>
      </c>
      <c r="K6" s="108">
        <v>0.66666666666666663</v>
      </c>
      <c r="P6" s="108">
        <v>0.375</v>
      </c>
      <c r="Q6" s="108">
        <v>0.6</v>
      </c>
    </row>
    <row r="7" spans="1:17" x14ac:dyDescent="0.45">
      <c r="A7" s="110">
        <v>4</v>
      </c>
      <c r="B7" s="107">
        <v>56.699999999999996</v>
      </c>
      <c r="C7" s="107">
        <v>14.174999999999999</v>
      </c>
      <c r="D7" s="112">
        <v>1.75</v>
      </c>
      <c r="E7" s="108">
        <v>0.5</v>
      </c>
      <c r="F7" s="108">
        <v>0.28947368421052633</v>
      </c>
      <c r="G7" s="108">
        <v>0.21052631578947367</v>
      </c>
      <c r="H7" s="109">
        <v>14372.727272727272</v>
      </c>
      <c r="I7" s="109">
        <v>-7337.5</v>
      </c>
      <c r="J7" s="108">
        <v>0</v>
      </c>
      <c r="K7" s="108">
        <v>0.5</v>
      </c>
      <c r="P7" s="108">
        <v>0.45454545454545453</v>
      </c>
      <c r="Q7" s="108">
        <v>0.6</v>
      </c>
    </row>
    <row r="8" spans="1:17" x14ac:dyDescent="0.45">
      <c r="A8" s="110">
        <v>5</v>
      </c>
      <c r="B8" s="107">
        <v>121.69999999999999</v>
      </c>
      <c r="C8" s="107">
        <v>24.339999999999996</v>
      </c>
      <c r="D8" s="112">
        <v>1.6</v>
      </c>
      <c r="E8" s="108">
        <v>0.6</v>
      </c>
      <c r="F8" s="108">
        <v>0.32558139534883723</v>
      </c>
      <c r="G8" s="108">
        <v>0.20930232558139536</v>
      </c>
      <c r="H8" s="109">
        <v>16721.428571428572</v>
      </c>
      <c r="I8" s="109">
        <v>-7411.1111111111113</v>
      </c>
      <c r="J8" s="108">
        <v>0</v>
      </c>
      <c r="K8" s="108">
        <v>0.6</v>
      </c>
      <c r="P8" s="108">
        <v>0.5</v>
      </c>
      <c r="Q8" s="108">
        <v>0.61538461538461542</v>
      </c>
    </row>
    <row r="9" spans="1:17" x14ac:dyDescent="0.45">
      <c r="A9" s="110">
        <v>6</v>
      </c>
      <c r="B9" s="107">
        <v>123.19999999999999</v>
      </c>
      <c r="C9" s="107">
        <v>20.533333333333331</v>
      </c>
      <c r="D9" s="112">
        <v>1.6666666666666667</v>
      </c>
      <c r="E9" s="108">
        <v>0.5</v>
      </c>
      <c r="F9" s="108">
        <v>0.30434782608695654</v>
      </c>
      <c r="G9" s="108">
        <v>0.19565217391304349</v>
      </c>
      <c r="H9" s="109">
        <v>16721.428571428572</v>
      </c>
      <c r="I9" s="109">
        <v>-7411.1111111111113</v>
      </c>
      <c r="J9" s="108">
        <v>0</v>
      </c>
      <c r="K9" s="108">
        <v>0.5</v>
      </c>
      <c r="P9" s="108">
        <v>0.5</v>
      </c>
      <c r="Q9" s="108">
        <v>0.61538461538461542</v>
      </c>
    </row>
    <row r="10" spans="1:17" x14ac:dyDescent="0.45">
      <c r="A10" s="110">
        <v>7</v>
      </c>
      <c r="B10" s="107">
        <v>125.99999999999999</v>
      </c>
      <c r="C10" s="107">
        <v>17.999999999999996</v>
      </c>
      <c r="D10" s="112">
        <v>1.5714285714285714</v>
      </c>
      <c r="E10" s="108">
        <v>0.5714285714285714</v>
      </c>
      <c r="F10" s="108">
        <v>0.33333333333333331</v>
      </c>
      <c r="G10" s="108">
        <v>0.18518518518518517</v>
      </c>
      <c r="H10" s="109">
        <v>14777.777777777777</v>
      </c>
      <c r="I10" s="109">
        <v>-8270</v>
      </c>
      <c r="J10" s="108">
        <v>0</v>
      </c>
      <c r="K10" s="108">
        <v>0.42857142857142855</v>
      </c>
      <c r="P10" s="108">
        <v>0.55555555555555558</v>
      </c>
      <c r="Q10" s="108">
        <v>0.66666666666666663</v>
      </c>
    </row>
    <row r="11" spans="1:17" x14ac:dyDescent="0.45">
      <c r="A11" s="110">
        <v>8</v>
      </c>
      <c r="B11" s="107">
        <v>94.499999999999986</v>
      </c>
      <c r="C11" s="107">
        <v>11.812499999999998</v>
      </c>
      <c r="D11" s="112">
        <v>1.75</v>
      </c>
      <c r="E11" s="108">
        <v>0.5</v>
      </c>
      <c r="F11" s="108">
        <v>0.30508474576271188</v>
      </c>
      <c r="G11" s="108">
        <v>0.1864406779661017</v>
      </c>
      <c r="H11" s="109">
        <v>14777.777777777777</v>
      </c>
      <c r="I11" s="109">
        <v>-8609.0909090909099</v>
      </c>
      <c r="J11" s="108">
        <v>0</v>
      </c>
      <c r="K11" s="108">
        <v>0.375</v>
      </c>
      <c r="P11" s="108">
        <v>0.55555555555555558</v>
      </c>
      <c r="Q11" s="108">
        <v>0.625</v>
      </c>
    </row>
    <row r="12" spans="1:17" x14ac:dyDescent="0.45">
      <c r="A12" s="110">
        <v>9</v>
      </c>
      <c r="B12" s="107">
        <v>81.799999999999983</v>
      </c>
      <c r="C12" s="107">
        <v>9.0888888888888868</v>
      </c>
      <c r="D12" s="112">
        <v>1.8888888888888888</v>
      </c>
      <c r="E12" s="108">
        <v>0.44444444444444442</v>
      </c>
      <c r="F12" s="108">
        <v>0.2857142857142857</v>
      </c>
      <c r="G12" s="108">
        <v>0.21428571428571427</v>
      </c>
      <c r="H12" s="109">
        <v>14005</v>
      </c>
      <c r="I12" s="109">
        <v>-7466.666666666667</v>
      </c>
      <c r="J12" s="108">
        <v>0</v>
      </c>
      <c r="K12" s="108">
        <v>0.33333333333333331</v>
      </c>
      <c r="P12" s="108">
        <v>0.55000000000000004</v>
      </c>
      <c r="Q12" s="108">
        <v>0.57894736842105265</v>
      </c>
    </row>
    <row r="13" spans="1:17" x14ac:dyDescent="0.45">
      <c r="A13" s="110">
        <v>10</v>
      </c>
      <c r="B13" s="107">
        <v>108.49999999999999</v>
      </c>
      <c r="C13" s="107">
        <v>10.849999999999998</v>
      </c>
      <c r="D13" s="112">
        <v>1.8</v>
      </c>
      <c r="E13" s="108">
        <v>0.5</v>
      </c>
      <c r="F13" s="108">
        <v>0.29870129870129869</v>
      </c>
      <c r="G13" s="108">
        <v>0.20779220779220781</v>
      </c>
      <c r="H13" s="109">
        <v>14004.347826086956</v>
      </c>
      <c r="I13" s="109">
        <v>-7125</v>
      </c>
      <c r="J13" s="108">
        <v>0</v>
      </c>
      <c r="K13" s="108">
        <v>0.3</v>
      </c>
      <c r="P13" s="108">
        <v>0.52173913043478259</v>
      </c>
      <c r="Q13" s="108">
        <v>0.54545454545454541</v>
      </c>
    </row>
    <row r="14" spans="1:17" x14ac:dyDescent="0.45">
      <c r="A14" s="110">
        <v>11</v>
      </c>
      <c r="B14" s="107">
        <v>135.19999999999999</v>
      </c>
      <c r="C14" s="107">
        <v>12.290909090909089</v>
      </c>
      <c r="D14" s="112">
        <v>1.7272727272727273</v>
      </c>
      <c r="E14" s="108">
        <v>0.54545454545454541</v>
      </c>
      <c r="F14" s="108">
        <v>0.30952380952380953</v>
      </c>
      <c r="G14" s="108">
        <v>0.20238095238095238</v>
      </c>
      <c r="H14" s="109">
        <v>14003.846153846154</v>
      </c>
      <c r="I14" s="109">
        <v>-6823.5294117647063</v>
      </c>
      <c r="J14" s="108">
        <v>0</v>
      </c>
      <c r="K14" s="108">
        <v>0.27272727272727271</v>
      </c>
      <c r="P14" s="108">
        <v>0.5</v>
      </c>
      <c r="Q14" s="108">
        <v>0.52</v>
      </c>
    </row>
    <row r="15" spans="1:17" x14ac:dyDescent="0.45">
      <c r="A15" s="110">
        <v>12</v>
      </c>
      <c r="B15" s="107">
        <v>97.299999999999983</v>
      </c>
      <c r="C15" s="107">
        <v>8.1083333333333325</v>
      </c>
      <c r="D15" s="112">
        <v>1.8333333333333333</v>
      </c>
      <c r="E15" s="108">
        <v>0.5</v>
      </c>
      <c r="F15" s="108">
        <v>0.29032258064516131</v>
      </c>
      <c r="G15" s="108">
        <v>0.21505376344086022</v>
      </c>
      <c r="H15" s="109">
        <v>13562.962962962964</v>
      </c>
      <c r="I15" s="109">
        <v>-7280</v>
      </c>
      <c r="J15" s="108">
        <v>8.3333333333333329E-2</v>
      </c>
      <c r="K15" s="108">
        <v>0.25</v>
      </c>
      <c r="P15" s="108">
        <v>0.51851851851851849</v>
      </c>
      <c r="Q15" s="108">
        <v>0.5</v>
      </c>
    </row>
    <row r="16" spans="1:17" x14ac:dyDescent="0.45">
      <c r="A16" s="110">
        <v>13</v>
      </c>
      <c r="B16" s="107">
        <v>60.299999999999983</v>
      </c>
      <c r="C16" s="107">
        <v>4.6384615384615371</v>
      </c>
      <c r="D16" s="112">
        <v>1.9230769230769231</v>
      </c>
      <c r="E16" s="108">
        <v>0.46153846153846156</v>
      </c>
      <c r="F16" s="108">
        <v>0.27835051546391754</v>
      </c>
      <c r="G16" s="108">
        <v>0.21649484536082475</v>
      </c>
      <c r="H16" s="109">
        <v>13562.962962962964</v>
      </c>
      <c r="I16" s="109">
        <v>-7504.7619047619046</v>
      </c>
      <c r="J16" s="108">
        <v>0.15384615384615385</v>
      </c>
      <c r="K16" s="108">
        <v>0.23076923076923078</v>
      </c>
      <c r="P16" s="108">
        <v>0.51851851851851849</v>
      </c>
      <c r="Q16" s="108">
        <v>0.5</v>
      </c>
    </row>
    <row r="17" spans="1:17" x14ac:dyDescent="0.45">
      <c r="A17" s="110">
        <v>14</v>
      </c>
      <c r="B17" s="107">
        <v>39.999999999999986</v>
      </c>
      <c r="C17" s="107">
        <v>2.8571428571428563</v>
      </c>
      <c r="D17" s="112">
        <v>1.9285714285714286</v>
      </c>
      <c r="E17" s="108">
        <v>0.42857142857142855</v>
      </c>
      <c r="F17" s="108">
        <v>0.28037383177570091</v>
      </c>
      <c r="G17" s="108">
        <v>0.21495327102803738</v>
      </c>
      <c r="H17" s="109">
        <v>13046.666666666666</v>
      </c>
      <c r="I17" s="109">
        <v>-7460.869565217391</v>
      </c>
      <c r="J17" s="108">
        <v>0.14285714285714285</v>
      </c>
      <c r="K17" s="108">
        <v>0.21428571428571427</v>
      </c>
      <c r="P17" s="108">
        <v>0.46666666666666667</v>
      </c>
      <c r="Q17" s="108">
        <v>0.5</v>
      </c>
    </row>
    <row r="18" spans="1:17" x14ac:dyDescent="0.45">
      <c r="A18" s="110">
        <v>15</v>
      </c>
      <c r="B18" s="107">
        <v>31.499999999999986</v>
      </c>
      <c r="C18" s="107">
        <v>2.0999999999999992</v>
      </c>
      <c r="D18" s="112">
        <v>1.9333333333333333</v>
      </c>
      <c r="E18" s="108">
        <v>0.4</v>
      </c>
      <c r="F18" s="108">
        <v>0.27027027027027029</v>
      </c>
      <c r="G18" s="108">
        <v>0.2072072072072072</v>
      </c>
      <c r="H18" s="109">
        <v>13046.666666666666</v>
      </c>
      <c r="I18" s="109">
        <v>-7460.869565217391</v>
      </c>
      <c r="J18" s="108">
        <v>0.13333333333333333</v>
      </c>
      <c r="K18" s="108">
        <v>0.2</v>
      </c>
      <c r="P18" s="108">
        <v>0.46666666666666667</v>
      </c>
      <c r="Q18" s="108">
        <v>0.5</v>
      </c>
    </row>
    <row r="19" spans="1:17" x14ac:dyDescent="0.45">
      <c r="A19" s="110">
        <v>16</v>
      </c>
      <c r="B19" s="107">
        <v>-6.0000000000000142</v>
      </c>
      <c r="C19" s="107">
        <v>-0.37500000000000089</v>
      </c>
      <c r="D19" s="112">
        <v>2</v>
      </c>
      <c r="E19" s="108">
        <v>0.375</v>
      </c>
      <c r="F19" s="108">
        <v>0.26050420168067229</v>
      </c>
      <c r="G19" s="108">
        <v>0.20168067226890757</v>
      </c>
      <c r="H19" s="109">
        <v>12883.870967741936</v>
      </c>
      <c r="I19" s="109">
        <v>-7650</v>
      </c>
      <c r="J19" s="108">
        <v>0.1875</v>
      </c>
      <c r="K19" s="108">
        <v>0.1875</v>
      </c>
      <c r="P19" s="108">
        <v>0.45161290322580644</v>
      </c>
      <c r="Q19" s="108">
        <v>0.48275862068965519</v>
      </c>
    </row>
    <row r="20" spans="1:17" x14ac:dyDescent="0.45">
      <c r="A20" s="110">
        <v>17</v>
      </c>
      <c r="B20" s="107">
        <v>-16.600000000000016</v>
      </c>
      <c r="C20" s="107">
        <v>-0.97647058823529509</v>
      </c>
      <c r="D20" s="112">
        <v>2.0588235294117645</v>
      </c>
      <c r="E20" s="108">
        <v>0.35294117647058826</v>
      </c>
      <c r="F20" s="108">
        <v>0.26190476190476192</v>
      </c>
      <c r="G20" s="108">
        <v>0.21428571428571427</v>
      </c>
      <c r="H20" s="109">
        <v>12709.09090909091</v>
      </c>
      <c r="I20" s="109">
        <v>-7896.2962962962965</v>
      </c>
      <c r="J20" s="108">
        <v>0.17647058823529413</v>
      </c>
      <c r="K20" s="108">
        <v>0.17647058823529413</v>
      </c>
      <c r="P20" s="108">
        <v>0.48484848484848486</v>
      </c>
      <c r="Q20" s="108">
        <v>0.45161290322580644</v>
      </c>
    </row>
    <row r="21" spans="1:17" x14ac:dyDescent="0.45">
      <c r="A21" s="110">
        <v>18</v>
      </c>
      <c r="B21" s="107">
        <v>-16.300000000000015</v>
      </c>
      <c r="C21" s="107">
        <v>-0.90555555555555634</v>
      </c>
      <c r="D21" s="112">
        <v>2.0555555555555554</v>
      </c>
      <c r="E21" s="108">
        <v>0.33333333333333331</v>
      </c>
      <c r="F21" s="108">
        <v>0.26119402985074625</v>
      </c>
      <c r="G21" s="108">
        <v>0.21641791044776118</v>
      </c>
      <c r="H21" s="109">
        <v>12360</v>
      </c>
      <c r="I21" s="109">
        <v>-7486.2068965517237</v>
      </c>
      <c r="J21" s="108">
        <v>0.16666666666666666</v>
      </c>
      <c r="K21" s="108">
        <v>0.16666666666666666</v>
      </c>
      <c r="P21" s="108">
        <v>0.45714285714285713</v>
      </c>
      <c r="Q21" s="108">
        <v>0.42424242424242425</v>
      </c>
    </row>
    <row r="22" spans="1:17" x14ac:dyDescent="0.45">
      <c r="A22" s="110">
        <v>19</v>
      </c>
      <c r="B22" s="107">
        <v>-1.6000000000000156</v>
      </c>
      <c r="C22" s="107">
        <v>-8.4210526315790291E-2</v>
      </c>
      <c r="D22" s="112">
        <v>2.0526315789473686</v>
      </c>
      <c r="E22" s="108">
        <v>0.31578947368421051</v>
      </c>
      <c r="F22" s="108">
        <v>0.27777777777777779</v>
      </c>
      <c r="G22" s="108">
        <v>0.2013888888888889</v>
      </c>
      <c r="H22" s="109">
        <v>11707.5</v>
      </c>
      <c r="I22" s="109">
        <v>-7486.2068965517237</v>
      </c>
      <c r="J22" s="108">
        <v>0.15789473684210525</v>
      </c>
      <c r="K22" s="108">
        <v>0.15789473684210525</v>
      </c>
      <c r="P22" s="108">
        <v>0.45</v>
      </c>
      <c r="Q22" s="108">
        <v>0.44736842105263158</v>
      </c>
    </row>
    <row r="23" spans="1:17" x14ac:dyDescent="0.45">
      <c r="A23" s="110">
        <v>20</v>
      </c>
      <c r="B23" s="107">
        <v>45.399999999999984</v>
      </c>
      <c r="C23" s="107">
        <v>2.2699999999999991</v>
      </c>
      <c r="D23" s="112">
        <v>2</v>
      </c>
      <c r="E23" s="108">
        <v>0.35</v>
      </c>
      <c r="F23" s="108">
        <v>0.28275862068965518</v>
      </c>
      <c r="G23" s="108">
        <v>0.2</v>
      </c>
      <c r="H23" s="109">
        <v>12592.682926829268</v>
      </c>
      <c r="I23" s="109">
        <v>-7486.2068965517237</v>
      </c>
      <c r="J23" s="108">
        <v>0.15</v>
      </c>
      <c r="K23" s="108">
        <v>0.2</v>
      </c>
      <c r="P23" s="108">
        <v>0.43902439024390244</v>
      </c>
      <c r="Q23" s="108">
        <v>0.46153846153846156</v>
      </c>
    </row>
    <row r="24" spans="1:17" x14ac:dyDescent="0.45">
      <c r="A24" s="110">
        <v>21</v>
      </c>
      <c r="B24" s="107">
        <v>4.5999999999999872</v>
      </c>
      <c r="C24" s="107">
        <v>0.21904761904761844</v>
      </c>
      <c r="D24" s="112">
        <v>2.0476190476190474</v>
      </c>
      <c r="E24" s="108">
        <v>0.33333333333333331</v>
      </c>
      <c r="F24" s="108">
        <v>0.27333333333333332</v>
      </c>
      <c r="G24" s="108">
        <v>0.20666666666666667</v>
      </c>
      <c r="H24" s="109">
        <v>12592.682926829268</v>
      </c>
      <c r="I24" s="109">
        <v>-7738.7096774193551</v>
      </c>
      <c r="J24" s="108">
        <v>0.19047619047619047</v>
      </c>
      <c r="K24" s="108">
        <v>0.19047619047619047</v>
      </c>
      <c r="P24" s="108">
        <v>0.43902439024390244</v>
      </c>
      <c r="Q24" s="108">
        <v>0.45</v>
      </c>
    </row>
    <row r="25" spans="1:17" x14ac:dyDescent="0.45">
      <c r="A25" s="110">
        <v>22</v>
      </c>
      <c r="B25" s="107">
        <v>-0.90000000000001279</v>
      </c>
      <c r="C25" s="107">
        <v>-4.0909090909091492E-2</v>
      </c>
      <c r="D25" s="112">
        <v>2.0454545454545454</v>
      </c>
      <c r="E25" s="108">
        <v>0.31818181818181818</v>
      </c>
      <c r="F25" s="108">
        <v>0.27564102564102566</v>
      </c>
      <c r="G25" s="108">
        <v>0.20512820512820512</v>
      </c>
      <c r="H25" s="109">
        <v>12193.023255813954</v>
      </c>
      <c r="I25" s="109">
        <v>-7746.875</v>
      </c>
      <c r="J25" s="108">
        <v>0.18181818181818182</v>
      </c>
      <c r="K25" s="108">
        <v>0.18181818181818182</v>
      </c>
      <c r="P25" s="108">
        <v>0.44186046511627908</v>
      </c>
      <c r="Q25" s="108">
        <v>0.42857142857142855</v>
      </c>
    </row>
    <row r="26" spans="1:17" x14ac:dyDescent="0.45">
      <c r="A26" s="110">
        <v>23</v>
      </c>
      <c r="B26" s="107">
        <v>22.999999999999986</v>
      </c>
      <c r="C26" s="107">
        <v>0.99999999999999933</v>
      </c>
      <c r="D26" s="112">
        <v>2</v>
      </c>
      <c r="E26" s="108">
        <v>0.34782608695652173</v>
      </c>
      <c r="F26" s="108">
        <v>0.28915662650602408</v>
      </c>
      <c r="G26" s="108">
        <v>0.20481927710843373</v>
      </c>
      <c r="H26" s="109">
        <v>11587.5</v>
      </c>
      <c r="I26" s="109">
        <v>-7482.3529411764703</v>
      </c>
      <c r="J26" s="108">
        <v>0.17391304347826086</v>
      </c>
      <c r="K26" s="108">
        <v>0.21739130434782608</v>
      </c>
      <c r="P26" s="108">
        <v>0.45833333333333331</v>
      </c>
      <c r="Q26" s="108">
        <v>0.43181818181818182</v>
      </c>
    </row>
    <row r="27" spans="1:17" x14ac:dyDescent="0.45">
      <c r="A27" s="110">
        <v>24</v>
      </c>
      <c r="B27" s="107">
        <v>10.099999999999985</v>
      </c>
      <c r="C27" s="107">
        <v>0.42083333333333273</v>
      </c>
      <c r="D27" s="112">
        <v>2.0416666666666665</v>
      </c>
      <c r="E27" s="108">
        <v>0.33333333333333331</v>
      </c>
      <c r="F27" s="108">
        <v>0.29378531073446329</v>
      </c>
      <c r="G27" s="108">
        <v>0.21468926553672316</v>
      </c>
      <c r="H27" s="109">
        <v>11465.384615384615</v>
      </c>
      <c r="I27" s="109">
        <v>-8139.4736842105267</v>
      </c>
      <c r="J27" s="108">
        <v>0.16666666666666666</v>
      </c>
      <c r="K27" s="108">
        <v>0.20833333333333334</v>
      </c>
      <c r="P27" s="108">
        <v>0.46153846153846156</v>
      </c>
      <c r="Q27" s="108">
        <v>0.4375</v>
      </c>
    </row>
    <row r="28" spans="1:17" x14ac:dyDescent="0.45">
      <c r="A28" s="110">
        <v>25</v>
      </c>
      <c r="B28" s="107">
        <v>1.7999999999999847</v>
      </c>
      <c r="C28" s="107">
        <v>7.1999999999999384E-2</v>
      </c>
      <c r="D28" s="112">
        <v>2.04</v>
      </c>
      <c r="E28" s="108">
        <v>0.32</v>
      </c>
      <c r="F28" s="108">
        <v>0.28877005347593582</v>
      </c>
      <c r="G28" s="108">
        <v>0.20855614973262032</v>
      </c>
      <c r="H28" s="109">
        <v>11300</v>
      </c>
      <c r="I28" s="109">
        <v>-7964.1025641025644</v>
      </c>
      <c r="J28" s="108">
        <v>0.16</v>
      </c>
      <c r="K28" s="108">
        <v>0.2</v>
      </c>
      <c r="P28" s="108">
        <v>0.44444444444444442</v>
      </c>
      <c r="Q28" s="108">
        <v>0.44897959183673469</v>
      </c>
    </row>
    <row r="29" spans="1:17" x14ac:dyDescent="0.45">
      <c r="A29" s="110">
        <v>26</v>
      </c>
      <c r="B29" s="107">
        <v>-8.2000000000000153</v>
      </c>
      <c r="C29" s="107">
        <v>-0.31538461538461598</v>
      </c>
      <c r="D29" s="112">
        <v>2.0769230769230771</v>
      </c>
      <c r="E29" s="108">
        <v>0.30769230769230771</v>
      </c>
      <c r="F29" s="108">
        <v>0.28497409326424872</v>
      </c>
      <c r="G29" s="108">
        <v>0.20725388601036268</v>
      </c>
      <c r="H29" s="109">
        <v>11240</v>
      </c>
      <c r="I29" s="109">
        <v>-7862.5</v>
      </c>
      <c r="J29" s="108">
        <v>0.15384615384615385</v>
      </c>
      <c r="K29" s="108">
        <v>0.19230769230769232</v>
      </c>
      <c r="L29" s="108">
        <v>0</v>
      </c>
      <c r="M29" s="108">
        <v>0.33333333333333331</v>
      </c>
      <c r="N29" s="108">
        <v>0</v>
      </c>
      <c r="O29" s="108">
        <v>0.5</v>
      </c>
      <c r="P29" s="108">
        <v>0.43636363636363634</v>
      </c>
      <c r="Q29" s="108">
        <v>0.43137254901960786</v>
      </c>
    </row>
    <row r="30" spans="1:17" x14ac:dyDescent="0.45">
      <c r="A30" s="110">
        <v>27</v>
      </c>
      <c r="B30" s="107">
        <v>-30.100000000000016</v>
      </c>
      <c r="C30" s="107">
        <v>-1.1148148148148154</v>
      </c>
      <c r="D30" s="112">
        <v>2.074074074074074</v>
      </c>
      <c r="E30" s="108">
        <v>0.29629629629629628</v>
      </c>
      <c r="F30" s="108">
        <v>0.28292682926829266</v>
      </c>
      <c r="G30" s="108">
        <v>0.20487804878048779</v>
      </c>
      <c r="H30" s="109">
        <v>11032.758620689656</v>
      </c>
      <c r="I30" s="109">
        <v>-7897.6190476190477</v>
      </c>
      <c r="J30" s="108">
        <v>0.14814814814814814</v>
      </c>
      <c r="K30" s="108">
        <v>0.18518518518518517</v>
      </c>
      <c r="L30" s="108">
        <v>0.1111111111111111</v>
      </c>
      <c r="M30" s="108">
        <v>0.33333333333333331</v>
      </c>
      <c r="N30" s="108">
        <v>0.5</v>
      </c>
      <c r="O30" s="108">
        <v>0.5</v>
      </c>
      <c r="P30" s="108">
        <v>0.44827586206896552</v>
      </c>
      <c r="Q30" s="108">
        <v>0.43636363636363634</v>
      </c>
    </row>
    <row r="31" spans="1:17" x14ac:dyDescent="0.45">
      <c r="A31" s="110">
        <v>28</v>
      </c>
      <c r="B31" s="107">
        <v>-24.000000000000014</v>
      </c>
      <c r="C31" s="107">
        <v>-0.85714285714285765</v>
      </c>
      <c r="D31" s="112">
        <v>2.0714285714285716</v>
      </c>
      <c r="E31" s="108">
        <v>0.2857142857142857</v>
      </c>
      <c r="F31" s="108">
        <v>0.28440366972477066</v>
      </c>
      <c r="G31" s="108">
        <v>0.20642201834862386</v>
      </c>
      <c r="H31" s="109">
        <v>10732.258064516129</v>
      </c>
      <c r="I31" s="109">
        <v>-7546.666666666667</v>
      </c>
      <c r="J31" s="108">
        <v>0.14285714285714285</v>
      </c>
      <c r="K31" s="108">
        <v>0.17857142857142858</v>
      </c>
      <c r="L31" s="108">
        <v>0.16129032258064516</v>
      </c>
      <c r="M31" s="108">
        <v>0.35483870967741937</v>
      </c>
      <c r="N31" s="108">
        <v>0.4</v>
      </c>
      <c r="O31" s="108">
        <v>0.45454545454545453</v>
      </c>
      <c r="P31" s="108">
        <v>0.45161290322580644</v>
      </c>
      <c r="Q31" s="108">
        <v>0.44067796610169491</v>
      </c>
    </row>
    <row r="32" spans="1:17" x14ac:dyDescent="0.45">
      <c r="A32" s="110">
        <v>29</v>
      </c>
      <c r="B32" s="107">
        <v>-23.400000000000013</v>
      </c>
      <c r="C32" s="107">
        <v>-0.80689655172413832</v>
      </c>
      <c r="D32" s="112">
        <v>2.0689655172413794</v>
      </c>
      <c r="E32" s="108">
        <v>0.27586206896551724</v>
      </c>
      <c r="F32" s="108">
        <v>0.28761061946902655</v>
      </c>
      <c r="G32" s="108">
        <v>0.21238938053097345</v>
      </c>
      <c r="H32" s="109">
        <v>10493.846153846154</v>
      </c>
      <c r="I32" s="109">
        <v>-7431.25</v>
      </c>
      <c r="J32" s="108">
        <v>0.13793103448275862</v>
      </c>
      <c r="K32" s="108">
        <v>0.17241379310344829</v>
      </c>
      <c r="L32" s="108">
        <v>0.15384615384615385</v>
      </c>
      <c r="M32" s="108">
        <v>0.38461538461538464</v>
      </c>
      <c r="N32" s="108">
        <v>0.5</v>
      </c>
      <c r="O32" s="108">
        <v>0.46666666666666667</v>
      </c>
      <c r="P32" s="108">
        <v>0.44615384615384618</v>
      </c>
      <c r="Q32" s="108">
        <v>0.44444444444444442</v>
      </c>
    </row>
    <row r="33" spans="1:17" x14ac:dyDescent="0.45">
      <c r="A33" s="110">
        <v>30</v>
      </c>
      <c r="B33" s="107">
        <v>15.79999999999999</v>
      </c>
      <c r="C33" s="107">
        <v>0.52666666666666628</v>
      </c>
      <c r="D33" s="112">
        <v>2.0333333333333332</v>
      </c>
      <c r="E33" s="108">
        <v>0.3</v>
      </c>
      <c r="F33" s="108">
        <v>0.29411764705882354</v>
      </c>
      <c r="G33" s="108">
        <v>0.20168067226890757</v>
      </c>
      <c r="H33" s="109">
        <v>10570</v>
      </c>
      <c r="I33" s="109">
        <v>-7431.25</v>
      </c>
      <c r="J33" s="108">
        <v>0.13333333333333333</v>
      </c>
      <c r="K33" s="108">
        <v>0.2</v>
      </c>
      <c r="L33" s="108">
        <v>0.17647058823529413</v>
      </c>
      <c r="M33" s="108">
        <v>0.37254901960784315</v>
      </c>
      <c r="N33" s="108">
        <v>0.44444444444444442</v>
      </c>
      <c r="O33" s="108">
        <v>0.47368421052631576</v>
      </c>
      <c r="P33" s="108">
        <v>0.42857142857142855</v>
      </c>
      <c r="Q33" s="108">
        <v>0.44285714285714284</v>
      </c>
    </row>
    <row r="34" spans="1:17" x14ac:dyDescent="0.45">
      <c r="A34" s="110">
        <v>31</v>
      </c>
      <c r="B34" s="107">
        <v>-18.900000000000013</v>
      </c>
      <c r="C34" s="107">
        <v>-0.6096774193548391</v>
      </c>
      <c r="D34" s="112">
        <v>2.064516129032258</v>
      </c>
      <c r="E34" s="108">
        <v>0.29032258064516131</v>
      </c>
      <c r="F34" s="108">
        <v>0.29098360655737704</v>
      </c>
      <c r="G34" s="108">
        <v>0.20491803278688525</v>
      </c>
      <c r="H34" s="109">
        <v>10450.704225352112</v>
      </c>
      <c r="I34" s="109">
        <v>-7610</v>
      </c>
      <c r="J34" s="108">
        <v>0.16129032258064516</v>
      </c>
      <c r="K34" s="108">
        <v>0.19354838709677419</v>
      </c>
      <c r="L34" s="108">
        <v>0.21052631578947367</v>
      </c>
      <c r="M34" s="108">
        <v>0.35087719298245612</v>
      </c>
      <c r="N34" s="108">
        <v>0.33333333333333331</v>
      </c>
      <c r="O34" s="108">
        <v>0.45</v>
      </c>
      <c r="P34" s="108">
        <v>0.43661971830985913</v>
      </c>
      <c r="Q34" s="108">
        <v>0.43661971830985913</v>
      </c>
    </row>
    <row r="35" spans="1:17" x14ac:dyDescent="0.45">
      <c r="A35" s="110">
        <v>32</v>
      </c>
      <c r="B35" s="107">
        <v>-33.900000000000013</v>
      </c>
      <c r="C35" s="107">
        <v>-1.0593750000000004</v>
      </c>
      <c r="D35" s="112">
        <v>2.09375</v>
      </c>
      <c r="E35" s="108">
        <v>0.28125</v>
      </c>
      <c r="F35" s="108">
        <v>0.28458498023715417</v>
      </c>
      <c r="G35" s="108">
        <v>0.20158102766798419</v>
      </c>
      <c r="H35" s="109">
        <v>10377.777777777777</v>
      </c>
      <c r="I35" s="109">
        <v>-7611.7647058823532</v>
      </c>
      <c r="J35" s="108">
        <v>0.15625</v>
      </c>
      <c r="K35" s="108">
        <v>0.1875</v>
      </c>
      <c r="L35" s="108">
        <v>0.19696969696969696</v>
      </c>
      <c r="M35" s="108">
        <v>0.30303030303030304</v>
      </c>
      <c r="N35" s="108">
        <v>0.38461538461538464</v>
      </c>
      <c r="O35" s="108">
        <v>0.45</v>
      </c>
      <c r="P35" s="108">
        <v>0.43055555555555558</v>
      </c>
      <c r="Q35" s="108">
        <v>0.42465753424657532</v>
      </c>
    </row>
    <row r="36" spans="1:17" x14ac:dyDescent="0.45">
      <c r="A36" s="110">
        <v>33</v>
      </c>
      <c r="B36" s="107">
        <v>-39.70000000000001</v>
      </c>
      <c r="C36" s="107">
        <v>-1.2030303030303033</v>
      </c>
      <c r="D36" s="112">
        <v>2.0909090909090908</v>
      </c>
      <c r="E36" s="108">
        <v>0.27272727272727271</v>
      </c>
      <c r="F36" s="108">
        <v>0.2846153846153846</v>
      </c>
      <c r="G36" s="108">
        <v>0.2</v>
      </c>
      <c r="H36" s="109">
        <v>10331.081081081082</v>
      </c>
      <c r="I36" s="109">
        <v>-7650</v>
      </c>
      <c r="J36" s="108">
        <v>0.15151515151515152</v>
      </c>
      <c r="K36" s="108">
        <v>0.18181818181818182</v>
      </c>
      <c r="L36" s="108">
        <v>0.20547945205479451</v>
      </c>
      <c r="M36" s="108">
        <v>0.28767123287671231</v>
      </c>
      <c r="N36" s="108">
        <v>0.4</v>
      </c>
      <c r="O36" s="108">
        <v>0.42857142857142855</v>
      </c>
      <c r="P36" s="108">
        <v>0.41891891891891891</v>
      </c>
      <c r="Q36" s="108">
        <v>0.42465753424657532</v>
      </c>
    </row>
    <row r="37" spans="1:17" x14ac:dyDescent="0.45">
      <c r="A37" s="110">
        <v>34</v>
      </c>
      <c r="B37" s="107">
        <v>-90.600000000000009</v>
      </c>
      <c r="C37" s="107">
        <v>-2.6647058823529415</v>
      </c>
      <c r="D37" s="112">
        <v>2.1176470588235294</v>
      </c>
      <c r="E37" s="108">
        <v>0.26470588235294118</v>
      </c>
      <c r="F37" s="108">
        <v>0.27985074626865669</v>
      </c>
      <c r="G37" s="108">
        <v>0.20149253731343283</v>
      </c>
      <c r="H37" s="109">
        <v>10300</v>
      </c>
      <c r="I37" s="109">
        <v>-8144.4444444444443</v>
      </c>
      <c r="J37" s="108">
        <v>0.17647058823529413</v>
      </c>
      <c r="K37" s="108">
        <v>0.17647058823529413</v>
      </c>
      <c r="L37" s="108">
        <v>0.19753086419753085</v>
      </c>
      <c r="M37" s="108">
        <v>0.27160493827160492</v>
      </c>
      <c r="N37" s="108">
        <v>0.375</v>
      </c>
      <c r="O37" s="108">
        <v>0.40909090909090912</v>
      </c>
      <c r="P37" s="108">
        <v>0.41333333333333333</v>
      </c>
      <c r="Q37" s="108">
        <v>0.41891891891891891</v>
      </c>
    </row>
    <row r="38" spans="1:17" x14ac:dyDescent="0.45">
      <c r="A38" s="110">
        <v>35</v>
      </c>
      <c r="B38" s="107">
        <v>-102.60000000000001</v>
      </c>
      <c r="C38" s="107">
        <v>-2.9314285714285715</v>
      </c>
      <c r="D38" s="112">
        <v>2.1142857142857143</v>
      </c>
      <c r="E38" s="108">
        <v>0.25714285714285712</v>
      </c>
      <c r="F38" s="108">
        <v>0.28102189781021897</v>
      </c>
      <c r="G38" s="108">
        <v>0.20072992700729927</v>
      </c>
      <c r="H38" s="109">
        <v>10240.25974025974</v>
      </c>
      <c r="I38" s="109">
        <v>-8287.2727272727279</v>
      </c>
      <c r="J38" s="108">
        <v>0.17142857142857143</v>
      </c>
      <c r="K38" s="108">
        <v>0.17142857142857143</v>
      </c>
      <c r="L38" s="108">
        <v>0.19540229885057472</v>
      </c>
      <c r="M38" s="108">
        <v>0.28735632183908044</v>
      </c>
      <c r="N38" s="108">
        <v>0.41176470588235292</v>
      </c>
      <c r="O38" s="108">
        <v>0.4</v>
      </c>
      <c r="P38" s="108">
        <v>0.40259740259740262</v>
      </c>
      <c r="Q38" s="108">
        <v>0.41333333333333333</v>
      </c>
    </row>
    <row r="39" spans="1:17" x14ac:dyDescent="0.45">
      <c r="A39" s="110">
        <v>36</v>
      </c>
      <c r="B39" s="107">
        <v>-70.200000000000017</v>
      </c>
      <c r="C39" s="107">
        <v>-1.9500000000000004</v>
      </c>
      <c r="D39" s="112">
        <v>2.0833333333333335</v>
      </c>
      <c r="E39" s="108">
        <v>0.27777777777777779</v>
      </c>
      <c r="F39" s="108">
        <v>0.28825622775800713</v>
      </c>
      <c r="G39" s="108">
        <v>0.19572953736654805</v>
      </c>
      <c r="H39" s="109">
        <v>10156.790123456791</v>
      </c>
      <c r="I39" s="109">
        <v>-8287.2727272727279</v>
      </c>
      <c r="J39" s="108">
        <v>0.16666666666666666</v>
      </c>
      <c r="K39" s="108">
        <v>0.19444444444444445</v>
      </c>
      <c r="L39" s="108">
        <v>0.22340425531914893</v>
      </c>
      <c r="M39" s="108">
        <v>0.2978723404255319</v>
      </c>
      <c r="N39" s="108">
        <v>0.42857142857142855</v>
      </c>
      <c r="O39" s="108">
        <v>0.42857142857142855</v>
      </c>
      <c r="P39" s="108">
        <v>0.41975308641975306</v>
      </c>
      <c r="Q39" s="108">
        <v>0.43037974683544306</v>
      </c>
    </row>
    <row r="40" spans="1:17" x14ac:dyDescent="0.45">
      <c r="A40" s="110">
        <v>37</v>
      </c>
      <c r="B40" s="107">
        <v>-75.800000000000011</v>
      </c>
      <c r="C40" s="107">
        <v>-2.048648648648649</v>
      </c>
      <c r="D40" s="112">
        <v>2.0810810810810811</v>
      </c>
      <c r="E40" s="108">
        <v>0.27027027027027029</v>
      </c>
      <c r="F40" s="108">
        <v>0.29166666666666669</v>
      </c>
      <c r="G40" s="108">
        <v>0.19444444444444445</v>
      </c>
      <c r="H40" s="109">
        <v>9900</v>
      </c>
      <c r="I40" s="109">
        <v>-8175</v>
      </c>
      <c r="J40" s="108">
        <v>0.16216216216216217</v>
      </c>
      <c r="K40" s="108">
        <v>0.1891891891891892</v>
      </c>
      <c r="L40" s="108">
        <v>0.22772277227722773</v>
      </c>
      <c r="M40" s="108">
        <v>0.30693069306930693</v>
      </c>
      <c r="N40" s="108">
        <v>0.39130434782608697</v>
      </c>
      <c r="O40" s="108">
        <v>0.4838709677419355</v>
      </c>
      <c r="P40" s="108">
        <v>0.41666666666666669</v>
      </c>
      <c r="Q40" s="108">
        <v>0.43209876543209874</v>
      </c>
    </row>
    <row r="41" spans="1:17" x14ac:dyDescent="0.45">
      <c r="A41" s="110">
        <v>38</v>
      </c>
      <c r="B41" s="107">
        <v>-101.80000000000001</v>
      </c>
      <c r="C41" s="107">
        <v>-2.6789473684210527</v>
      </c>
      <c r="D41" s="112">
        <v>2.1052631578947367</v>
      </c>
      <c r="E41" s="108">
        <v>0.26315789473684209</v>
      </c>
      <c r="F41" s="108">
        <v>0.28378378378378377</v>
      </c>
      <c r="G41" s="108">
        <v>0.19256756756756757</v>
      </c>
      <c r="H41" s="109">
        <v>9900</v>
      </c>
      <c r="I41" s="109">
        <v>-8242.105263157895</v>
      </c>
      <c r="J41" s="108">
        <v>0.15789473684210525</v>
      </c>
      <c r="K41" s="108">
        <v>0.18421052631578946</v>
      </c>
      <c r="L41" s="108">
        <v>0.21100917431192662</v>
      </c>
      <c r="M41" s="108">
        <v>0.31192660550458717</v>
      </c>
      <c r="N41" s="108">
        <v>0.39130434782608697</v>
      </c>
      <c r="O41" s="108">
        <v>0.44117647058823528</v>
      </c>
      <c r="P41" s="108">
        <v>0.41666666666666669</v>
      </c>
      <c r="Q41" s="108">
        <v>0.42168674698795183</v>
      </c>
    </row>
    <row r="42" spans="1:17" x14ac:dyDescent="0.45">
      <c r="A42" s="110">
        <v>39</v>
      </c>
      <c r="B42" s="107">
        <v>-96.600000000000009</v>
      </c>
      <c r="C42" s="107">
        <v>-2.476923076923077</v>
      </c>
      <c r="D42" s="112">
        <v>2.1025641025641026</v>
      </c>
      <c r="E42" s="108">
        <v>0.25641025641025639</v>
      </c>
      <c r="F42" s="108">
        <v>0.28333333333333333</v>
      </c>
      <c r="G42" s="108">
        <v>0.19</v>
      </c>
      <c r="H42" s="109">
        <v>9844.7058823529405</v>
      </c>
      <c r="I42" s="109">
        <v>-8242.105263157895</v>
      </c>
      <c r="J42" s="108">
        <v>0.15384615384615385</v>
      </c>
      <c r="K42" s="108">
        <v>0.17948717948717949</v>
      </c>
      <c r="L42" s="108">
        <v>0.21238938053097345</v>
      </c>
      <c r="M42" s="108">
        <v>0.30973451327433627</v>
      </c>
      <c r="N42" s="108">
        <v>0.41666666666666669</v>
      </c>
      <c r="O42" s="108">
        <v>0.42857142857142855</v>
      </c>
      <c r="P42" s="108">
        <v>0.41176470588235292</v>
      </c>
      <c r="Q42" s="108">
        <v>0.41666666666666669</v>
      </c>
    </row>
    <row r="43" spans="1:17" x14ac:dyDescent="0.45">
      <c r="A43" s="110">
        <v>40</v>
      </c>
      <c r="B43" s="107">
        <v>-104.30000000000001</v>
      </c>
      <c r="C43" s="107">
        <v>-2.6075000000000004</v>
      </c>
      <c r="D43" s="112">
        <v>2.1</v>
      </c>
      <c r="E43" s="108">
        <v>0.25</v>
      </c>
      <c r="F43" s="108">
        <v>0.28013029315960913</v>
      </c>
      <c r="G43" s="108">
        <v>0.1986970684039088</v>
      </c>
      <c r="H43" s="109">
        <v>9869.7674418604656</v>
      </c>
      <c r="I43" s="109">
        <v>-8024.5901639344265</v>
      </c>
      <c r="J43" s="108">
        <v>0.15</v>
      </c>
      <c r="K43" s="108">
        <v>0.17499999999999999</v>
      </c>
      <c r="L43" s="108">
        <v>0.21666666666666667</v>
      </c>
      <c r="M43" s="108">
        <v>0.31666666666666665</v>
      </c>
      <c r="N43" s="108">
        <v>0.38461538461538464</v>
      </c>
      <c r="O43" s="108">
        <v>0.42105263157894735</v>
      </c>
      <c r="P43" s="108">
        <v>0.40697674418604651</v>
      </c>
      <c r="Q43" s="108">
        <v>0.40697674418604651</v>
      </c>
    </row>
    <row r="44" spans="1:17" x14ac:dyDescent="0.45">
      <c r="A44" s="110">
        <v>41</v>
      </c>
      <c r="B44" s="107">
        <v>-119.30000000000001</v>
      </c>
      <c r="C44" s="107">
        <v>-2.909756097560976</v>
      </c>
      <c r="D44" s="112">
        <v>2.0975609756097562</v>
      </c>
      <c r="E44" s="108">
        <v>0.24390243902439024</v>
      </c>
      <c r="F44" s="108">
        <v>0.27388535031847133</v>
      </c>
      <c r="G44" s="108">
        <v>0.19745222929936307</v>
      </c>
      <c r="H44" s="109">
        <v>9869.7674418604656</v>
      </c>
      <c r="I44" s="109">
        <v>-8088.7096774193551</v>
      </c>
      <c r="J44" s="108">
        <v>0.14634146341463414</v>
      </c>
      <c r="K44" s="108">
        <v>0.17073170731707318</v>
      </c>
      <c r="L44" s="108">
        <v>0.20472440944881889</v>
      </c>
      <c r="M44" s="108">
        <v>0.30708661417322836</v>
      </c>
      <c r="N44" s="108">
        <v>0.38461538461538464</v>
      </c>
      <c r="O44" s="108">
        <v>0.41025641025641024</v>
      </c>
      <c r="P44" s="108">
        <v>0.40697674418604651</v>
      </c>
      <c r="Q44" s="108">
        <v>0.39325842696629215</v>
      </c>
    </row>
    <row r="45" spans="1:17" x14ac:dyDescent="0.45">
      <c r="A45" s="110">
        <v>42</v>
      </c>
      <c r="B45" s="107">
        <v>-168.9</v>
      </c>
      <c r="C45" s="107">
        <v>-4.0214285714285714</v>
      </c>
      <c r="D45" s="112">
        <v>2.1190476190476191</v>
      </c>
      <c r="E45" s="108">
        <v>0.23809523809523808</v>
      </c>
      <c r="F45" s="108">
        <v>0.26708074534161491</v>
      </c>
      <c r="G45" s="108">
        <v>0.20186335403726707</v>
      </c>
      <c r="H45" s="109">
        <v>9869.7674418604656</v>
      </c>
      <c r="I45" s="109">
        <v>-8132.3076923076924</v>
      </c>
      <c r="J45" s="108">
        <v>0.16666666666666666</v>
      </c>
      <c r="K45" s="108">
        <v>0.16666666666666666</v>
      </c>
      <c r="L45" s="108">
        <v>0.21481481481481482</v>
      </c>
      <c r="M45" s="108">
        <v>0.3037037037037037</v>
      </c>
      <c r="N45" s="108">
        <v>0.34482758620689657</v>
      </c>
      <c r="O45" s="108">
        <v>0.3902439024390244</v>
      </c>
      <c r="P45" s="108">
        <v>0.40697674418604651</v>
      </c>
      <c r="Q45" s="108">
        <v>0.38461538461538464</v>
      </c>
    </row>
    <row r="46" spans="1:17" x14ac:dyDescent="0.45">
      <c r="A46" s="110">
        <v>43</v>
      </c>
      <c r="B46" s="107">
        <v>-164.1</v>
      </c>
      <c r="C46" s="107">
        <v>-3.8162790697674418</v>
      </c>
      <c r="D46" s="112">
        <v>2.1162790697674421</v>
      </c>
      <c r="E46" s="108">
        <v>0.23255813953488372</v>
      </c>
      <c r="F46" s="108">
        <v>0.26506024096385544</v>
      </c>
      <c r="G46" s="108">
        <v>0.19879518072289157</v>
      </c>
      <c r="H46" s="109">
        <v>9872.7272727272721</v>
      </c>
      <c r="I46" s="109">
        <v>-8125.757575757576</v>
      </c>
      <c r="J46" s="108">
        <v>0.16279069767441862</v>
      </c>
      <c r="K46" s="108">
        <v>0.16279069767441862</v>
      </c>
      <c r="L46" s="108">
        <v>0.21379310344827587</v>
      </c>
      <c r="M46" s="108">
        <v>0.30344827586206896</v>
      </c>
      <c r="N46" s="108">
        <v>0.35483870967741937</v>
      </c>
      <c r="O46" s="108">
        <v>0.38636363636363635</v>
      </c>
      <c r="P46" s="108">
        <v>0.39772727272727271</v>
      </c>
      <c r="Q46" s="108">
        <v>0.37634408602150538</v>
      </c>
    </row>
    <row r="47" spans="1:17" x14ac:dyDescent="0.45">
      <c r="A47" s="110">
        <v>44</v>
      </c>
      <c r="B47" s="107">
        <v>-208.6</v>
      </c>
      <c r="C47" s="107">
        <v>-4.7409090909090912</v>
      </c>
      <c r="D47" s="112">
        <v>2.1363636363636362</v>
      </c>
      <c r="E47" s="108">
        <v>0.22727272727272727</v>
      </c>
      <c r="F47" s="108">
        <v>0.26331360946745563</v>
      </c>
      <c r="G47" s="108">
        <v>0.20118343195266272</v>
      </c>
      <c r="H47" s="109">
        <v>9896.6292134831456</v>
      </c>
      <c r="I47" s="109">
        <v>-8327.9411764705874</v>
      </c>
      <c r="J47" s="108">
        <v>0.18181818181818182</v>
      </c>
      <c r="K47" s="108">
        <v>0.15909090909090909</v>
      </c>
      <c r="L47" s="108">
        <v>0.2251655629139073</v>
      </c>
      <c r="M47" s="108">
        <v>0.29139072847682118</v>
      </c>
      <c r="N47" s="108">
        <v>0.35294117647058826</v>
      </c>
      <c r="O47" s="108">
        <v>0.38636363636363635</v>
      </c>
      <c r="P47" s="108">
        <v>0.4044943820224719</v>
      </c>
      <c r="Q47" s="108">
        <v>0.36842105263157893</v>
      </c>
    </row>
    <row r="48" spans="1:17" x14ac:dyDescent="0.45">
      <c r="A48" s="110">
        <v>45</v>
      </c>
      <c r="B48" s="107">
        <v>-209.7</v>
      </c>
      <c r="C48" s="107">
        <v>-4.66</v>
      </c>
      <c r="D48" s="112">
        <v>2.1333333333333333</v>
      </c>
      <c r="E48" s="108">
        <v>0.22222222222222221</v>
      </c>
      <c r="F48" s="108">
        <v>0.26074498567335241</v>
      </c>
      <c r="G48" s="108">
        <v>0.20057306590257878</v>
      </c>
      <c r="H48" s="109">
        <v>9834.0659340659349</v>
      </c>
      <c r="I48" s="109">
        <v>-8302.8571428571431</v>
      </c>
      <c r="J48" s="108">
        <v>0.17777777777777778</v>
      </c>
      <c r="K48" s="108">
        <v>0.15555555555555556</v>
      </c>
      <c r="L48" s="108">
        <v>0.22839506172839505</v>
      </c>
      <c r="M48" s="108">
        <v>0.2839506172839506</v>
      </c>
      <c r="N48" s="108">
        <v>0.35135135135135137</v>
      </c>
      <c r="O48" s="108">
        <v>0.39130434782608697</v>
      </c>
      <c r="P48" s="108">
        <v>0.4175824175824176</v>
      </c>
      <c r="Q48" s="108">
        <v>0.36734693877551022</v>
      </c>
    </row>
    <row r="49" spans="1:17" x14ac:dyDescent="0.45">
      <c r="A49" s="110">
        <v>46</v>
      </c>
      <c r="B49" s="107">
        <v>-245.89999999999998</v>
      </c>
      <c r="C49" s="107">
        <v>-5.3456521739130434</v>
      </c>
      <c r="D49" s="112">
        <v>2.152173913043478</v>
      </c>
      <c r="E49" s="108">
        <v>0.21739130434782608</v>
      </c>
      <c r="F49" s="108">
        <v>0.25706214689265539</v>
      </c>
      <c r="G49" s="108">
        <v>0.20338983050847459</v>
      </c>
      <c r="H49" s="109">
        <v>9834.0659340659349</v>
      </c>
      <c r="I49" s="109">
        <v>-8572.2222222222226</v>
      </c>
      <c r="J49" s="108">
        <v>0.19565217391304349</v>
      </c>
      <c r="K49" s="108">
        <v>0.15217391304347827</v>
      </c>
      <c r="L49" s="108">
        <v>0.22754491017964071</v>
      </c>
      <c r="M49" s="108">
        <v>0.28143712574850299</v>
      </c>
      <c r="N49" s="108">
        <v>0.34210526315789475</v>
      </c>
      <c r="O49" s="108">
        <v>0.38297872340425532</v>
      </c>
      <c r="P49" s="108">
        <v>0.4175824175824176</v>
      </c>
      <c r="Q49" s="108">
        <v>0.36</v>
      </c>
    </row>
    <row r="50" spans="1:17" x14ac:dyDescent="0.45">
      <c r="A50" s="110">
        <v>47</v>
      </c>
      <c r="B50" s="107">
        <v>-286.2</v>
      </c>
      <c r="C50" s="107">
        <v>-6.0893617021276594</v>
      </c>
      <c r="D50" s="112">
        <v>2.1702127659574466</v>
      </c>
      <c r="E50" s="108">
        <v>0.21276595744680851</v>
      </c>
      <c r="F50" s="108">
        <v>0.2541436464088398</v>
      </c>
      <c r="G50" s="108">
        <v>0.20718232044198895</v>
      </c>
      <c r="H50" s="109">
        <v>9814.1304347826081</v>
      </c>
      <c r="I50" s="109">
        <v>-8580</v>
      </c>
      <c r="J50" s="108">
        <v>0.21276595744680851</v>
      </c>
      <c r="K50" s="108">
        <v>0.14893617021276595</v>
      </c>
      <c r="L50" s="108">
        <v>0.22285714285714286</v>
      </c>
      <c r="M50" s="108">
        <v>0.28000000000000003</v>
      </c>
      <c r="N50" s="108">
        <v>0.35897435897435898</v>
      </c>
      <c r="O50" s="108">
        <v>0.36734693877551022</v>
      </c>
      <c r="P50" s="108">
        <v>0.42391304347826086</v>
      </c>
      <c r="Q50" s="108">
        <v>0.35643564356435642</v>
      </c>
    </row>
    <row r="51" spans="1:17" x14ac:dyDescent="0.45">
      <c r="A51" s="110">
        <v>48</v>
      </c>
      <c r="B51" s="107">
        <v>-289.39999999999998</v>
      </c>
      <c r="C51" s="107">
        <v>-6.0291666666666659</v>
      </c>
      <c r="D51" s="112">
        <v>2.1875</v>
      </c>
      <c r="E51" s="108">
        <v>0.20833333333333334</v>
      </c>
      <c r="F51" s="108">
        <v>0.25336927223719674</v>
      </c>
      <c r="G51" s="108">
        <v>0.20485175202156333</v>
      </c>
      <c r="H51" s="109">
        <v>9722.3404255319147</v>
      </c>
      <c r="I51" s="109">
        <v>-8509.21052631579</v>
      </c>
      <c r="J51" s="108">
        <v>0.20833333333333334</v>
      </c>
      <c r="K51" s="108">
        <v>0.14583333333333334</v>
      </c>
      <c r="L51" s="108">
        <v>0.22826086956521738</v>
      </c>
      <c r="M51" s="108">
        <v>0.27717391304347827</v>
      </c>
      <c r="N51" s="108">
        <v>0.35714285714285715</v>
      </c>
      <c r="O51" s="108">
        <v>0.37254901960784315</v>
      </c>
      <c r="P51" s="108">
        <v>0.42553191489361702</v>
      </c>
      <c r="Q51" s="108">
        <v>0.35576923076923078</v>
      </c>
    </row>
    <row r="52" spans="1:17" x14ac:dyDescent="0.45">
      <c r="A52" s="110">
        <v>49</v>
      </c>
      <c r="B52" s="107">
        <v>-348.7</v>
      </c>
      <c r="C52" s="107">
        <v>-7.1163265306122447</v>
      </c>
      <c r="D52" s="112">
        <v>2.204081632653061</v>
      </c>
      <c r="E52" s="108">
        <v>0.20408163265306123</v>
      </c>
      <c r="F52" s="108">
        <v>0.25198938992042441</v>
      </c>
      <c r="G52" s="108">
        <v>0.20689655172413793</v>
      </c>
      <c r="H52" s="109">
        <v>9701.0526315789466</v>
      </c>
      <c r="I52" s="109">
        <v>-9008.9743589743593</v>
      </c>
      <c r="J52" s="108">
        <v>0.22448979591836735</v>
      </c>
      <c r="K52" s="108">
        <v>0.14285714285714285</v>
      </c>
      <c r="L52" s="108">
        <v>0.22631578947368422</v>
      </c>
      <c r="M52" s="108">
        <v>0.27368421052631581</v>
      </c>
      <c r="N52" s="108">
        <v>0.37209302325581395</v>
      </c>
      <c r="O52" s="108">
        <v>0.36538461538461536</v>
      </c>
      <c r="P52" s="108">
        <v>0.42105263157894735</v>
      </c>
      <c r="Q52" s="108">
        <v>0.35849056603773582</v>
      </c>
    </row>
    <row r="53" spans="1:17" x14ac:dyDescent="0.45">
      <c r="A53" s="110">
        <v>50</v>
      </c>
      <c r="B53" s="107">
        <v>-363.59999999999997</v>
      </c>
      <c r="C53" s="107">
        <v>-7.2719999999999994</v>
      </c>
      <c r="D53" s="112">
        <v>2.2200000000000002</v>
      </c>
      <c r="E53" s="108">
        <v>0.2</v>
      </c>
      <c r="F53" s="108">
        <v>0.25454545454545452</v>
      </c>
      <c r="G53" s="108">
        <v>0.20259740259740261</v>
      </c>
      <c r="H53" s="109">
        <v>9637.7551020408155</v>
      </c>
      <c r="I53" s="109">
        <v>-9008.9743589743593</v>
      </c>
      <c r="J53" s="108">
        <v>0.22</v>
      </c>
      <c r="K53" s="108">
        <v>0.14000000000000001</v>
      </c>
      <c r="L53" s="108">
        <v>0.22222222222222221</v>
      </c>
      <c r="M53" s="108">
        <v>0.27777777777777779</v>
      </c>
      <c r="N53" s="108">
        <v>0.38636363636363635</v>
      </c>
      <c r="O53" s="108">
        <v>0.38181818181818183</v>
      </c>
      <c r="P53" s="108">
        <v>0.42857142857142855</v>
      </c>
      <c r="Q53" s="108">
        <v>0.3577981651376147</v>
      </c>
    </row>
    <row r="54" spans="1:17" x14ac:dyDescent="0.45">
      <c r="A54" s="110">
        <v>51</v>
      </c>
      <c r="B54" s="107">
        <v>-358.59999999999997</v>
      </c>
      <c r="C54" s="107">
        <v>-7.0313725490196068</v>
      </c>
      <c r="D54" s="112">
        <v>2.1960784313725492</v>
      </c>
      <c r="E54" s="108">
        <v>0.21568627450980393</v>
      </c>
      <c r="F54" s="108">
        <v>0.25569620253164554</v>
      </c>
      <c r="G54" s="108">
        <v>0.19746835443037974</v>
      </c>
      <c r="H54" s="109">
        <v>9569.3069306930702</v>
      </c>
      <c r="I54" s="109">
        <v>-9008.9743589743593</v>
      </c>
      <c r="J54" s="108">
        <v>0.21568627450980393</v>
      </c>
      <c r="K54" s="108">
        <v>0.13725490196078433</v>
      </c>
      <c r="L54" s="108">
        <v>0.23076923076923078</v>
      </c>
      <c r="M54" s="108">
        <v>0.27403846153846156</v>
      </c>
      <c r="N54" s="108">
        <v>0.41666666666666669</v>
      </c>
      <c r="O54" s="108">
        <v>0.36842105263157893</v>
      </c>
      <c r="P54" s="108">
        <v>0.43564356435643564</v>
      </c>
      <c r="Q54" s="108">
        <v>0.35714285714285715</v>
      </c>
    </row>
    <row r="55" spans="1:17" x14ac:dyDescent="0.45">
      <c r="A55" s="110">
        <v>52</v>
      </c>
      <c r="B55" s="107">
        <v>-378.59999999999997</v>
      </c>
      <c r="C55" s="107">
        <v>-7.2807692307692298</v>
      </c>
      <c r="D55" s="112">
        <v>2.2115384615384617</v>
      </c>
      <c r="E55" s="108">
        <v>0.21153846153846154</v>
      </c>
      <c r="F55" s="108">
        <v>0.25679012345679014</v>
      </c>
      <c r="G55" s="108">
        <v>0.2</v>
      </c>
      <c r="H55" s="109">
        <v>9467.3076923076915</v>
      </c>
      <c r="I55" s="109">
        <v>-9117.2839506172841</v>
      </c>
      <c r="J55" s="108">
        <v>0.21153846153846154</v>
      </c>
      <c r="K55" s="108">
        <v>0.13461538461538461</v>
      </c>
      <c r="L55" s="108">
        <v>0.23853211009174313</v>
      </c>
      <c r="M55" s="108">
        <v>0.27064220183486237</v>
      </c>
      <c r="N55" s="108">
        <v>0.40384615384615385</v>
      </c>
      <c r="O55" s="108">
        <v>0.3728813559322034</v>
      </c>
      <c r="P55" s="108">
        <v>0.44230769230769229</v>
      </c>
      <c r="Q55" s="108">
        <v>0.35087719298245612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F3410-FB1D-4FC2-BA2E-BC66F38308F5}">
  <sheetPr codeName="Sheet21"/>
  <dimension ref="A1:P69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137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67</v>
      </c>
      <c r="C2" s="120"/>
      <c r="E2" s="102" t="s">
        <v>67</v>
      </c>
      <c r="F2" s="98" t="s">
        <v>21</v>
      </c>
      <c r="G2" s="85">
        <v>77</v>
      </c>
      <c r="H2" s="61">
        <f t="shared" ref="H2:H51" si="0">IF(B$25=0,0,G2/B$25)</f>
        <v>0.6015625</v>
      </c>
      <c r="J2" s="60">
        <v>0</v>
      </c>
      <c r="K2" s="62">
        <v>0</v>
      </c>
      <c r="M2" s="60" t="s">
        <v>150</v>
      </c>
      <c r="N2" s="81">
        <f t="shared" ref="N2:N7" si="1">IF(P2=0,0,O2/P2)</f>
        <v>3038.4615384615386</v>
      </c>
      <c r="O2" s="78">
        <v>197500</v>
      </c>
      <c r="P2" s="76">
        <v>65</v>
      </c>
    </row>
    <row r="3" spans="1:16" x14ac:dyDescent="0.45">
      <c r="A3" s="94" t="s">
        <v>8</v>
      </c>
      <c r="B3" s="125">
        <v>511</v>
      </c>
      <c r="C3" s="126"/>
      <c r="E3" s="103" t="s">
        <v>68</v>
      </c>
      <c r="F3" s="99" t="s">
        <v>22</v>
      </c>
      <c r="G3" s="86">
        <v>20</v>
      </c>
      <c r="H3" s="64">
        <f t="shared" si="0"/>
        <v>0.15625</v>
      </c>
      <c r="J3" s="63">
        <v>1</v>
      </c>
      <c r="K3" s="65">
        <v>-35.700000000000003</v>
      </c>
      <c r="M3" s="63" t="s">
        <v>151</v>
      </c>
      <c r="N3" s="82">
        <f t="shared" si="1"/>
        <v>106.55737704918033</v>
      </c>
      <c r="O3" s="79">
        <v>6500</v>
      </c>
      <c r="P3" s="74">
        <v>61</v>
      </c>
    </row>
    <row r="4" spans="1:16" x14ac:dyDescent="0.45">
      <c r="A4" s="94" t="s">
        <v>6</v>
      </c>
      <c r="B4" s="127">
        <v>177.89999999999998</v>
      </c>
      <c r="C4" s="128"/>
      <c r="E4" s="103" t="s">
        <v>69</v>
      </c>
      <c r="F4" s="99" t="s">
        <v>23</v>
      </c>
      <c r="G4" s="86">
        <v>99</v>
      </c>
      <c r="H4" s="64">
        <f t="shared" si="0"/>
        <v>0.7734375</v>
      </c>
      <c r="J4" s="63">
        <v>2</v>
      </c>
      <c r="K4" s="65">
        <v>-44.300000000000004</v>
      </c>
      <c r="M4" s="63" t="s">
        <v>152</v>
      </c>
      <c r="N4" s="82">
        <f t="shared" si="1"/>
        <v>494.64285714285717</v>
      </c>
      <c r="O4" s="79">
        <v>27700</v>
      </c>
      <c r="P4" s="74">
        <v>56</v>
      </c>
    </row>
    <row r="5" spans="1:16" x14ac:dyDescent="0.45">
      <c r="A5" s="94" t="s">
        <v>7</v>
      </c>
      <c r="B5" s="127">
        <f>IF(B$2=0,0,B$4/B$2)</f>
        <v>2.6552238805970148</v>
      </c>
      <c r="C5" s="128"/>
      <c r="E5" s="103" t="s">
        <v>70</v>
      </c>
      <c r="F5" s="99" t="s">
        <v>24</v>
      </c>
      <c r="G5" s="86">
        <v>44</v>
      </c>
      <c r="H5" s="64">
        <f t="shared" si="0"/>
        <v>0.34375</v>
      </c>
      <c r="J5" s="63">
        <v>3</v>
      </c>
      <c r="K5" s="65">
        <v>-79.7</v>
      </c>
      <c r="M5" s="63" t="s">
        <v>153</v>
      </c>
      <c r="N5" s="82">
        <f t="shared" si="1"/>
        <v>-1160.3773584905659</v>
      </c>
      <c r="O5" s="79">
        <v>-61500</v>
      </c>
      <c r="P5" s="74">
        <v>53</v>
      </c>
    </row>
    <row r="6" spans="1:16" x14ac:dyDescent="0.45">
      <c r="A6" s="94" t="s">
        <v>1</v>
      </c>
      <c r="B6" s="117">
        <f>IF(B$2=0,0,(B$7*1+B$8*2+B$9*3)/B$2)</f>
        <v>1.9104477611940298</v>
      </c>
      <c r="C6" s="118"/>
      <c r="E6" s="103" t="s">
        <v>71</v>
      </c>
      <c r="F6" s="99" t="s">
        <v>25</v>
      </c>
      <c r="G6" s="86">
        <v>115</v>
      </c>
      <c r="H6" s="64">
        <f t="shared" si="0"/>
        <v>0.8984375</v>
      </c>
      <c r="J6" s="63">
        <v>4</v>
      </c>
      <c r="K6" s="65">
        <v>-111.30000000000001</v>
      </c>
      <c r="M6" s="63" t="s">
        <v>154</v>
      </c>
      <c r="N6" s="82">
        <f t="shared" si="1"/>
        <v>100</v>
      </c>
      <c r="O6" s="79">
        <v>4400</v>
      </c>
      <c r="P6" s="74">
        <v>44</v>
      </c>
    </row>
    <row r="7" spans="1:16" x14ac:dyDescent="0.45">
      <c r="A7" s="94" t="s">
        <v>2</v>
      </c>
      <c r="B7" s="86">
        <v>26</v>
      </c>
      <c r="C7" s="64">
        <f>IF(B$2=0,0,B7/B$2)</f>
        <v>0.38805970149253732</v>
      </c>
      <c r="E7" s="103" t="s">
        <v>72</v>
      </c>
      <c r="F7" s="99" t="s">
        <v>12</v>
      </c>
      <c r="G7" s="86">
        <v>41</v>
      </c>
      <c r="H7" s="64">
        <f t="shared" si="0"/>
        <v>0.3203125</v>
      </c>
      <c r="J7" s="63">
        <v>5</v>
      </c>
      <c r="K7" s="65">
        <v>-133.30000000000001</v>
      </c>
      <c r="M7" s="68" t="s">
        <v>155</v>
      </c>
      <c r="N7" s="83">
        <f t="shared" si="1"/>
        <v>-805.12820512820508</v>
      </c>
      <c r="O7" s="80">
        <v>-31400</v>
      </c>
      <c r="P7" s="75">
        <v>39</v>
      </c>
    </row>
    <row r="8" spans="1:16" x14ac:dyDescent="0.45">
      <c r="A8" s="94" t="s">
        <v>3</v>
      </c>
      <c r="B8" s="86">
        <v>21</v>
      </c>
      <c r="C8" s="64">
        <f t="shared" ref="C8:C9" si="2">IF(B$2=0,0,B8/B$2)</f>
        <v>0.31343283582089554</v>
      </c>
      <c r="E8" s="103" t="s">
        <v>73</v>
      </c>
      <c r="F8" s="99" t="s">
        <v>26</v>
      </c>
      <c r="G8" s="86">
        <v>23</v>
      </c>
      <c r="H8" s="64">
        <f t="shared" si="0"/>
        <v>0.1796875</v>
      </c>
      <c r="J8" s="63">
        <v>6</v>
      </c>
      <c r="K8" s="65">
        <v>-98.800000000000011</v>
      </c>
    </row>
    <row r="9" spans="1:16" x14ac:dyDescent="0.45">
      <c r="A9" s="95" t="s">
        <v>4</v>
      </c>
      <c r="B9" s="87">
        <v>20</v>
      </c>
      <c r="C9" s="66">
        <f t="shared" si="2"/>
        <v>0.29850746268656714</v>
      </c>
      <c r="E9" s="103" t="s">
        <v>74</v>
      </c>
      <c r="F9" s="99" t="s">
        <v>27</v>
      </c>
      <c r="G9" s="86">
        <v>8</v>
      </c>
      <c r="H9" s="64">
        <f t="shared" si="0"/>
        <v>6.25E-2</v>
      </c>
      <c r="J9" s="63">
        <v>7</v>
      </c>
      <c r="K9" s="65">
        <v>-103.20000000000002</v>
      </c>
    </row>
    <row r="10" spans="1:16" x14ac:dyDescent="0.45">
      <c r="A10" s="95" t="s">
        <v>19</v>
      </c>
      <c r="B10" s="87">
        <v>9</v>
      </c>
      <c r="C10" s="66">
        <f>IF(B$2=0,0,B10/B$2)</f>
        <v>0.13432835820895522</v>
      </c>
      <c r="E10" s="103" t="s">
        <v>75</v>
      </c>
      <c r="F10" s="99" t="s">
        <v>28</v>
      </c>
      <c r="G10" s="86">
        <v>8</v>
      </c>
      <c r="H10" s="64">
        <f t="shared" si="0"/>
        <v>6.25E-2</v>
      </c>
      <c r="J10" s="63">
        <v>8</v>
      </c>
      <c r="K10" s="65">
        <v>-50.300000000000018</v>
      </c>
    </row>
    <row r="11" spans="1:16" x14ac:dyDescent="0.45">
      <c r="A11" s="96" t="s">
        <v>160</v>
      </c>
      <c r="B11" s="88">
        <v>12</v>
      </c>
      <c r="C11" s="69">
        <f>IF(B$2=0,0,B11/B$2)</f>
        <v>0.17910447761194029</v>
      </c>
      <c r="E11" s="103" t="s">
        <v>76</v>
      </c>
      <c r="F11" s="99" t="s">
        <v>29</v>
      </c>
      <c r="G11" s="86">
        <v>70</v>
      </c>
      <c r="H11" s="64">
        <f t="shared" si="0"/>
        <v>0.546875</v>
      </c>
      <c r="J11" s="63">
        <v>9</v>
      </c>
      <c r="K11" s="65">
        <v>-51.500000000000021</v>
      </c>
    </row>
    <row r="12" spans="1:16" x14ac:dyDescent="0.45">
      <c r="A12" s="97" t="s">
        <v>128</v>
      </c>
      <c r="B12" s="89">
        <v>126</v>
      </c>
      <c r="C12" s="72">
        <f>IF(B$24=0,0,B12/B$24)</f>
        <v>0.33333333333333331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-69.800000000000026</v>
      </c>
    </row>
    <row r="13" spans="1:16" x14ac:dyDescent="0.45">
      <c r="A13" s="94" t="s">
        <v>123</v>
      </c>
      <c r="B13" s="86">
        <v>88</v>
      </c>
      <c r="C13" s="64">
        <f>IF(B$24=0,0,B13/B$24)</f>
        <v>0.23280423280423279</v>
      </c>
      <c r="E13" s="103" t="s">
        <v>78</v>
      </c>
      <c r="F13" s="99" t="s">
        <v>31</v>
      </c>
      <c r="G13" s="86">
        <v>1</v>
      </c>
      <c r="H13" s="64">
        <f t="shared" si="0"/>
        <v>7.8125E-3</v>
      </c>
      <c r="J13" s="63">
        <v>11</v>
      </c>
      <c r="K13" s="65">
        <v>-88.100000000000023</v>
      </c>
    </row>
    <row r="14" spans="1:16" x14ac:dyDescent="0.45">
      <c r="A14" s="93" t="s">
        <v>130</v>
      </c>
      <c r="B14" s="85">
        <v>79</v>
      </c>
      <c r="C14" s="61">
        <f>IF(B$12=0,0,B14/B$12)</f>
        <v>0.62698412698412698</v>
      </c>
      <c r="E14" s="103" t="s">
        <v>79</v>
      </c>
      <c r="F14" s="99" t="s">
        <v>32</v>
      </c>
      <c r="G14" s="86">
        <v>1</v>
      </c>
      <c r="H14" s="64">
        <f t="shared" si="0"/>
        <v>7.8125E-3</v>
      </c>
      <c r="J14" s="63">
        <v>12</v>
      </c>
      <c r="K14" s="65">
        <v>-85.100000000000023</v>
      </c>
    </row>
    <row r="15" spans="1:16" x14ac:dyDescent="0.45">
      <c r="A15" s="93" t="s">
        <v>131</v>
      </c>
      <c r="B15" s="85">
        <v>34</v>
      </c>
      <c r="C15" s="61">
        <f>IF(B$13=0,0,B15/B$13)</f>
        <v>0.38636363636363635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-70.600000000000023</v>
      </c>
    </row>
    <row r="16" spans="1:16" x14ac:dyDescent="0.45">
      <c r="A16" s="93" t="s">
        <v>10</v>
      </c>
      <c r="B16" s="85">
        <f>B18+B17</f>
        <v>166</v>
      </c>
      <c r="C16" s="61">
        <f>IF(B$3=0,0,B16/B$3)</f>
        <v>0.32485322896281799</v>
      </c>
      <c r="E16" s="103" t="s">
        <v>81</v>
      </c>
      <c r="F16" s="99" t="s">
        <v>34</v>
      </c>
      <c r="G16" s="86">
        <v>2</v>
      </c>
      <c r="H16" s="64">
        <f t="shared" si="0"/>
        <v>1.5625E-2</v>
      </c>
      <c r="J16" s="63">
        <v>14</v>
      </c>
      <c r="K16" s="65">
        <v>-60.500000000000021</v>
      </c>
    </row>
    <row r="17" spans="1:11" x14ac:dyDescent="0.45">
      <c r="A17" s="94" t="s">
        <v>12</v>
      </c>
      <c r="B17" s="86">
        <v>70</v>
      </c>
      <c r="C17" s="64">
        <f>IF(B$16=0,0,B17/B$16)</f>
        <v>0.42168674698795183</v>
      </c>
      <c r="E17" s="103" t="s">
        <v>82</v>
      </c>
      <c r="F17" s="99" t="s">
        <v>35</v>
      </c>
      <c r="G17" s="86">
        <v>7</v>
      </c>
      <c r="H17" s="64">
        <f t="shared" si="0"/>
        <v>5.46875E-2</v>
      </c>
      <c r="J17" s="63">
        <v>15</v>
      </c>
      <c r="K17" s="65">
        <v>-67.700000000000017</v>
      </c>
    </row>
    <row r="18" spans="1:11" x14ac:dyDescent="0.45">
      <c r="A18" s="94" t="s">
        <v>11</v>
      </c>
      <c r="B18" s="86">
        <v>96</v>
      </c>
      <c r="C18" s="64">
        <f>IF(B$16=0,0,B18/B$16)</f>
        <v>0.57831325301204817</v>
      </c>
      <c r="E18" s="103" t="s">
        <v>83</v>
      </c>
      <c r="F18" s="99" t="s">
        <v>36</v>
      </c>
      <c r="G18" s="86">
        <v>0</v>
      </c>
      <c r="H18" s="64">
        <f t="shared" si="0"/>
        <v>0</v>
      </c>
      <c r="J18" s="63">
        <v>16</v>
      </c>
      <c r="K18" s="65">
        <v>5.5999999999999801</v>
      </c>
    </row>
    <row r="19" spans="1:11" x14ac:dyDescent="0.45">
      <c r="A19" s="94" t="s">
        <v>13</v>
      </c>
      <c r="B19" s="86">
        <v>81</v>
      </c>
      <c r="C19" s="64">
        <f>IF(B$3=0,0,B19/B$3)</f>
        <v>0.15851272015655576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39.59999999999998</v>
      </c>
    </row>
    <row r="20" spans="1:11" x14ac:dyDescent="0.45">
      <c r="A20" s="94" t="s">
        <v>5</v>
      </c>
      <c r="B20" s="90">
        <f>IF(B$16=0,0,C20/B$16)</f>
        <v>10227.10843373494</v>
      </c>
      <c r="C20" s="67">
        <v>1697700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39.299999999999983</v>
      </c>
    </row>
    <row r="21" spans="1:11" x14ac:dyDescent="0.45">
      <c r="A21" s="96" t="s">
        <v>14</v>
      </c>
      <c r="B21" s="91">
        <f>IF(B$19=0,0,C21/B$19)</f>
        <v>-9435.8024691358023</v>
      </c>
      <c r="C21" s="84">
        <v>-764300</v>
      </c>
      <c r="E21" s="103" t="s">
        <v>86</v>
      </c>
      <c r="F21" s="99" t="s">
        <v>39</v>
      </c>
      <c r="G21" s="86">
        <v>2</v>
      </c>
      <c r="H21" s="64">
        <f t="shared" si="0"/>
        <v>1.5625E-2</v>
      </c>
      <c r="J21" s="63">
        <v>19</v>
      </c>
      <c r="K21" s="65">
        <v>102.29999999999998</v>
      </c>
    </row>
    <row r="22" spans="1:11" x14ac:dyDescent="0.45">
      <c r="A22" s="93" t="s">
        <v>147</v>
      </c>
      <c r="B22" s="85">
        <v>183</v>
      </c>
      <c r="C22" s="61">
        <f>IF(B$3=0,0,B22/B$3)</f>
        <v>0.35812133072407043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105.39999999999998</v>
      </c>
    </row>
    <row r="23" spans="1:11" x14ac:dyDescent="0.45">
      <c r="A23" s="96" t="s">
        <v>148</v>
      </c>
      <c r="B23" s="88">
        <v>65</v>
      </c>
      <c r="C23" s="69">
        <f>IF(B$22=0,0,B23/B$22)</f>
        <v>0.3551912568306011</v>
      </c>
      <c r="E23" s="103" t="s">
        <v>88</v>
      </c>
      <c r="F23" s="99" t="s">
        <v>41</v>
      </c>
      <c r="G23" s="86">
        <v>1</v>
      </c>
      <c r="H23" s="64">
        <f t="shared" si="0"/>
        <v>7.8125E-3</v>
      </c>
      <c r="J23" s="63">
        <v>21</v>
      </c>
      <c r="K23" s="65">
        <v>105.59999999999998</v>
      </c>
    </row>
    <row r="24" spans="1:11" x14ac:dyDescent="0.45">
      <c r="A24" s="93" t="s">
        <v>126</v>
      </c>
      <c r="B24" s="119">
        <v>378</v>
      </c>
      <c r="C24" s="120"/>
      <c r="E24" s="103" t="s">
        <v>89</v>
      </c>
      <c r="F24" s="99" t="s">
        <v>42</v>
      </c>
      <c r="G24" s="86">
        <v>1</v>
      </c>
      <c r="H24" s="64">
        <f t="shared" si="0"/>
        <v>7.8125E-3</v>
      </c>
      <c r="J24" s="63">
        <v>22</v>
      </c>
      <c r="K24" s="65">
        <v>108.39999999999998</v>
      </c>
    </row>
    <row r="25" spans="1:11" x14ac:dyDescent="0.45">
      <c r="A25" s="96" t="s">
        <v>127</v>
      </c>
      <c r="B25" s="121">
        <v>128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151.99999999999997</v>
      </c>
    </row>
    <row r="26" spans="1:11" x14ac:dyDescent="0.45">
      <c r="A26" s="105" t="s">
        <v>164</v>
      </c>
      <c r="B26" s="115">
        <v>9</v>
      </c>
      <c r="C26" s="116"/>
      <c r="E26" s="103" t="s">
        <v>91</v>
      </c>
      <c r="F26" s="99" t="s">
        <v>44</v>
      </c>
      <c r="G26" s="86">
        <v>7</v>
      </c>
      <c r="H26" s="64">
        <f t="shared" si="0"/>
        <v>5.46875E-2</v>
      </c>
      <c r="J26" s="63">
        <v>24</v>
      </c>
      <c r="K26" s="65">
        <v>150.59999999999997</v>
      </c>
    </row>
    <row r="27" spans="1:11" x14ac:dyDescent="0.45">
      <c r="A27" s="96" t="s">
        <v>165</v>
      </c>
      <c r="B27" s="106">
        <v>3</v>
      </c>
      <c r="C27" s="69">
        <f>IF(B$3=0,0,B27/B$3)</f>
        <v>5.8708414872798431E-3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111.89999999999996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97.099999999999966</v>
      </c>
    </row>
    <row r="29" spans="1:11" x14ac:dyDescent="0.45">
      <c r="E29" s="103" t="s">
        <v>94</v>
      </c>
      <c r="F29" s="99" t="s">
        <v>47</v>
      </c>
      <c r="G29" s="86">
        <v>18</v>
      </c>
      <c r="H29" s="64">
        <f t="shared" si="0"/>
        <v>0.140625</v>
      </c>
      <c r="J29" s="63">
        <v>27</v>
      </c>
      <c r="K29" s="65">
        <v>107.39999999999996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64.399999999999963</v>
      </c>
    </row>
    <row r="31" spans="1:11" x14ac:dyDescent="0.45">
      <c r="E31" s="103" t="s">
        <v>96</v>
      </c>
      <c r="F31" s="99" t="s">
        <v>49</v>
      </c>
      <c r="G31" s="86">
        <v>2</v>
      </c>
      <c r="H31" s="64">
        <f t="shared" si="0"/>
        <v>1.5625E-2</v>
      </c>
      <c r="J31" s="63">
        <v>29</v>
      </c>
      <c r="K31" s="65">
        <v>24.399999999999963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13.599999999999962</v>
      </c>
    </row>
    <row r="33" spans="5:11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  <c r="J33" s="63">
        <v>31</v>
      </c>
      <c r="K33" s="65">
        <v>28.19999999999996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-14.200000000000038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-13.500000000000039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-2.3000000000000398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-38.600000000000037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9.3999999999999631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-3.4000000000000377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36.599999999999966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33.199999999999967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103.79999999999995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134.29999999999995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168.69999999999996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179.19999999999996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188.29999999999995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140.89999999999995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184.79999999999995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194.69999999999996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175.69999999999996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170.79999999999995</v>
      </c>
    </row>
    <row r="52" spans="5:11" x14ac:dyDescent="0.45">
      <c r="J52" s="63">
        <v>50</v>
      </c>
      <c r="K52" s="65">
        <v>187.59999999999997</v>
      </c>
    </row>
    <row r="53" spans="5:11" x14ac:dyDescent="0.45">
      <c r="J53" s="63">
        <v>51</v>
      </c>
      <c r="K53" s="65">
        <v>162.19999999999996</v>
      </c>
    </row>
    <row r="54" spans="5:11" x14ac:dyDescent="0.45">
      <c r="J54" s="63">
        <v>52</v>
      </c>
      <c r="K54" s="65">
        <v>171.69999999999996</v>
      </c>
    </row>
    <row r="55" spans="5:11" x14ac:dyDescent="0.45">
      <c r="J55" s="63">
        <v>53</v>
      </c>
      <c r="K55" s="65">
        <v>171.29999999999995</v>
      </c>
    </row>
    <row r="56" spans="5:11" x14ac:dyDescent="0.45">
      <c r="J56" s="63">
        <v>54</v>
      </c>
      <c r="K56" s="65">
        <v>188.39999999999995</v>
      </c>
    </row>
    <row r="57" spans="5:11" x14ac:dyDescent="0.45">
      <c r="J57" s="63">
        <v>55</v>
      </c>
      <c r="K57" s="65">
        <v>210.19999999999996</v>
      </c>
    </row>
    <row r="58" spans="5:11" x14ac:dyDescent="0.45">
      <c r="J58" s="63">
        <v>56</v>
      </c>
      <c r="K58" s="65">
        <v>198.39999999999995</v>
      </c>
    </row>
    <row r="59" spans="5:11" x14ac:dyDescent="0.45">
      <c r="J59" s="63">
        <v>57</v>
      </c>
      <c r="K59" s="65">
        <v>233.39999999999995</v>
      </c>
    </row>
    <row r="60" spans="5:11" x14ac:dyDescent="0.45">
      <c r="J60" s="63">
        <v>58</v>
      </c>
      <c r="K60" s="65">
        <v>185.29999999999995</v>
      </c>
    </row>
    <row r="61" spans="5:11" x14ac:dyDescent="0.45">
      <c r="J61" s="63">
        <v>59</v>
      </c>
      <c r="K61" s="65">
        <v>182.69999999999996</v>
      </c>
    </row>
    <row r="62" spans="5:11" x14ac:dyDescent="0.45">
      <c r="J62" s="63">
        <v>60</v>
      </c>
      <c r="K62" s="65">
        <v>194.19999999999996</v>
      </c>
    </row>
    <row r="63" spans="5:11" x14ac:dyDescent="0.45">
      <c r="J63" s="63">
        <v>61</v>
      </c>
      <c r="K63" s="65">
        <v>206.49999999999997</v>
      </c>
    </row>
    <row r="64" spans="5:11" x14ac:dyDescent="0.45">
      <c r="J64" s="63">
        <v>62</v>
      </c>
      <c r="K64" s="65">
        <v>207.39999999999998</v>
      </c>
    </row>
    <row r="65" spans="10:11" x14ac:dyDescent="0.45">
      <c r="J65" s="63">
        <v>63</v>
      </c>
      <c r="K65" s="65">
        <v>203.59999999999997</v>
      </c>
    </row>
    <row r="66" spans="10:11" x14ac:dyDescent="0.45">
      <c r="J66" s="63">
        <v>64</v>
      </c>
      <c r="K66" s="65">
        <v>191.69999999999996</v>
      </c>
    </row>
    <row r="67" spans="10:11" x14ac:dyDescent="0.45">
      <c r="J67" s="63">
        <v>65</v>
      </c>
      <c r="K67" s="65">
        <v>175.19999999999996</v>
      </c>
    </row>
    <row r="68" spans="10:11" x14ac:dyDescent="0.45">
      <c r="J68" s="63">
        <v>66</v>
      </c>
      <c r="K68" s="65">
        <v>181.49999999999997</v>
      </c>
    </row>
    <row r="69" spans="10:11" x14ac:dyDescent="0.45">
      <c r="J69" s="63">
        <v>67</v>
      </c>
      <c r="K69" s="65">
        <v>177.89999999999998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45851-A118-443B-A3A6-DE8A5133C00E}">
  <sheetPr codeName="Sheet22"/>
  <dimension ref="A1:Q70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137</v>
      </c>
      <c r="B1" s="111" t="s">
        <v>137</v>
      </c>
      <c r="C1" s="111" t="s">
        <v>137</v>
      </c>
      <c r="D1" s="112" t="s">
        <v>137</v>
      </c>
      <c r="E1" s="111" t="s">
        <v>137</v>
      </c>
      <c r="F1" s="111" t="s">
        <v>137</v>
      </c>
      <c r="G1" s="111" t="s">
        <v>137</v>
      </c>
      <c r="H1" s="111" t="s">
        <v>137</v>
      </c>
      <c r="I1" s="111" t="s">
        <v>137</v>
      </c>
      <c r="J1" s="111" t="s">
        <v>137</v>
      </c>
      <c r="K1" s="111" t="s">
        <v>137</v>
      </c>
      <c r="L1" s="111" t="s">
        <v>137</v>
      </c>
      <c r="M1" s="111" t="s">
        <v>137</v>
      </c>
      <c r="N1" s="111" t="s">
        <v>137</v>
      </c>
      <c r="O1" s="111" t="s">
        <v>137</v>
      </c>
      <c r="P1" s="111" t="s">
        <v>137</v>
      </c>
      <c r="Q1" s="111" t="s">
        <v>137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-35.700000000000003</v>
      </c>
      <c r="C4" s="107">
        <v>-35.700000000000003</v>
      </c>
      <c r="D4" s="112">
        <v>3</v>
      </c>
      <c r="E4" s="108">
        <v>0</v>
      </c>
      <c r="F4" s="108">
        <v>0</v>
      </c>
      <c r="G4" s="108">
        <v>0.42857142857142855</v>
      </c>
      <c r="H4" s="109">
        <v>0</v>
      </c>
      <c r="I4" s="109">
        <v>-12400</v>
      </c>
      <c r="J4" s="108">
        <v>1</v>
      </c>
      <c r="K4" s="108">
        <v>0</v>
      </c>
      <c r="P4" s="108">
        <v>0</v>
      </c>
      <c r="Q4" s="108">
        <v>0</v>
      </c>
    </row>
    <row r="5" spans="1:17" x14ac:dyDescent="0.45">
      <c r="A5" s="110">
        <v>2</v>
      </c>
      <c r="B5" s="107">
        <v>-44.300000000000004</v>
      </c>
      <c r="C5" s="107">
        <v>-22.150000000000002</v>
      </c>
      <c r="D5" s="112">
        <v>2.5</v>
      </c>
      <c r="E5" s="108">
        <v>0</v>
      </c>
      <c r="F5" s="108">
        <v>0.2</v>
      </c>
      <c r="G5" s="108">
        <v>0.2</v>
      </c>
      <c r="H5" s="109">
        <v>12975</v>
      </c>
      <c r="I5" s="109">
        <v>-12300</v>
      </c>
      <c r="J5" s="108">
        <v>0.5</v>
      </c>
      <c r="K5" s="108">
        <v>0</v>
      </c>
      <c r="P5" s="108">
        <v>0.5</v>
      </c>
      <c r="Q5" s="108">
        <v>0.25</v>
      </c>
    </row>
    <row r="6" spans="1:17" x14ac:dyDescent="0.45">
      <c r="A6" s="110">
        <v>3</v>
      </c>
      <c r="B6" s="107">
        <v>-79.7</v>
      </c>
      <c r="C6" s="107">
        <v>-26.566666666666666</v>
      </c>
      <c r="D6" s="112">
        <v>2.6666666666666665</v>
      </c>
      <c r="E6" s="108">
        <v>0</v>
      </c>
      <c r="F6" s="108">
        <v>0.16</v>
      </c>
      <c r="G6" s="108">
        <v>0.2</v>
      </c>
      <c r="H6" s="109">
        <v>12975</v>
      </c>
      <c r="I6" s="109">
        <v>-13440</v>
      </c>
      <c r="J6" s="108">
        <v>0.66666666666666663</v>
      </c>
      <c r="K6" s="108">
        <v>0</v>
      </c>
      <c r="P6" s="108">
        <v>0.5</v>
      </c>
      <c r="Q6" s="108">
        <v>0.25</v>
      </c>
    </row>
    <row r="7" spans="1:17" x14ac:dyDescent="0.45">
      <c r="A7" s="110">
        <v>4</v>
      </c>
      <c r="B7" s="107">
        <v>-111.30000000000001</v>
      </c>
      <c r="C7" s="107">
        <v>-27.825000000000003</v>
      </c>
      <c r="D7" s="112">
        <v>2.75</v>
      </c>
      <c r="E7" s="108">
        <v>0</v>
      </c>
      <c r="F7" s="108">
        <v>0.18421052631578946</v>
      </c>
      <c r="G7" s="108">
        <v>0.18421052631578946</v>
      </c>
      <c r="H7" s="109">
        <v>10257.142857142857</v>
      </c>
      <c r="I7" s="109">
        <v>-13028.571428571429</v>
      </c>
      <c r="J7" s="108">
        <v>0.5</v>
      </c>
      <c r="K7" s="108">
        <v>0</v>
      </c>
      <c r="P7" s="108">
        <v>0.42857142857142855</v>
      </c>
      <c r="Q7" s="108">
        <v>0.33333333333333331</v>
      </c>
    </row>
    <row r="8" spans="1:17" x14ac:dyDescent="0.45">
      <c r="A8" s="110">
        <v>5</v>
      </c>
      <c r="B8" s="107">
        <v>-133.30000000000001</v>
      </c>
      <c r="C8" s="107">
        <v>-26.660000000000004</v>
      </c>
      <c r="D8" s="112">
        <v>2.6</v>
      </c>
      <c r="E8" s="108">
        <v>0</v>
      </c>
      <c r="F8" s="108">
        <v>0.20930232558139536</v>
      </c>
      <c r="G8" s="108">
        <v>0.16279069767441862</v>
      </c>
      <c r="H8" s="109">
        <v>9755.5555555555547</v>
      </c>
      <c r="I8" s="109">
        <v>-13028.571428571429</v>
      </c>
      <c r="J8" s="108">
        <v>0.4</v>
      </c>
      <c r="K8" s="108">
        <v>0</v>
      </c>
      <c r="P8" s="108">
        <v>0.33333333333333331</v>
      </c>
      <c r="Q8" s="108">
        <v>0.30769230769230771</v>
      </c>
    </row>
    <row r="9" spans="1:17" x14ac:dyDescent="0.45">
      <c r="A9" s="110">
        <v>6</v>
      </c>
      <c r="B9" s="107">
        <v>-98.800000000000011</v>
      </c>
      <c r="C9" s="107">
        <v>-16.466666666666669</v>
      </c>
      <c r="D9" s="112">
        <v>2.3333333333333335</v>
      </c>
      <c r="E9" s="108">
        <v>0.16666666666666666</v>
      </c>
      <c r="F9" s="108">
        <v>0.2391304347826087</v>
      </c>
      <c r="G9" s="108">
        <v>0.15217391304347827</v>
      </c>
      <c r="H9" s="109">
        <v>10709.09090909091</v>
      </c>
      <c r="I9" s="109">
        <v>-13028.571428571429</v>
      </c>
      <c r="J9" s="108">
        <v>0.33333333333333331</v>
      </c>
      <c r="K9" s="108">
        <v>0.16666666666666666</v>
      </c>
      <c r="P9" s="108">
        <v>0.27272727272727271</v>
      </c>
      <c r="Q9" s="108">
        <v>0.375</v>
      </c>
    </row>
    <row r="10" spans="1:17" x14ac:dyDescent="0.45">
      <c r="A10" s="110">
        <v>7</v>
      </c>
      <c r="B10" s="107">
        <v>-103.20000000000002</v>
      </c>
      <c r="C10" s="107">
        <v>-14.742857142857146</v>
      </c>
      <c r="D10" s="112">
        <v>2.4285714285714284</v>
      </c>
      <c r="E10" s="108">
        <v>0.14285714285714285</v>
      </c>
      <c r="F10" s="108">
        <v>0.24074074074074073</v>
      </c>
      <c r="G10" s="108">
        <v>0.12962962962962962</v>
      </c>
      <c r="H10" s="109">
        <v>9738.461538461539</v>
      </c>
      <c r="I10" s="109">
        <v>-13028.571428571429</v>
      </c>
      <c r="J10" s="108">
        <v>0.2857142857142857</v>
      </c>
      <c r="K10" s="108">
        <v>0.14285714285714285</v>
      </c>
      <c r="P10" s="108">
        <v>0.30769230769230771</v>
      </c>
      <c r="Q10" s="108">
        <v>0.4</v>
      </c>
    </row>
    <row r="11" spans="1:17" x14ac:dyDescent="0.45">
      <c r="A11" s="110">
        <v>8</v>
      </c>
      <c r="B11" s="107">
        <v>-50.300000000000018</v>
      </c>
      <c r="C11" s="107">
        <v>-6.2875000000000023</v>
      </c>
      <c r="D11" s="112">
        <v>2.25</v>
      </c>
      <c r="E11" s="108">
        <v>0.25</v>
      </c>
      <c r="F11" s="108">
        <v>0.30508474576271188</v>
      </c>
      <c r="G11" s="108">
        <v>0.11864406779661017</v>
      </c>
      <c r="H11" s="109">
        <v>9694.4444444444453</v>
      </c>
      <c r="I11" s="109">
        <v>-13028.571428571429</v>
      </c>
      <c r="J11" s="108">
        <v>0.25</v>
      </c>
      <c r="K11" s="108">
        <v>0.125</v>
      </c>
      <c r="P11" s="108">
        <v>0.3888888888888889</v>
      </c>
      <c r="Q11" s="108">
        <v>0.5</v>
      </c>
    </row>
    <row r="12" spans="1:17" x14ac:dyDescent="0.45">
      <c r="A12" s="110">
        <v>9</v>
      </c>
      <c r="B12" s="107">
        <v>-51.500000000000021</v>
      </c>
      <c r="C12" s="107">
        <v>-5.722222222222225</v>
      </c>
      <c r="D12" s="112">
        <v>2.2222222222222223</v>
      </c>
      <c r="E12" s="108">
        <v>0.22222222222222221</v>
      </c>
      <c r="F12" s="108">
        <v>0.2857142857142857</v>
      </c>
      <c r="G12" s="108">
        <v>0.12857142857142856</v>
      </c>
      <c r="H12" s="109">
        <v>9270</v>
      </c>
      <c r="I12" s="109">
        <v>-10777.777777777777</v>
      </c>
      <c r="J12" s="108">
        <v>0.22222222222222221</v>
      </c>
      <c r="K12" s="108">
        <v>0.1111111111111111</v>
      </c>
      <c r="P12" s="108">
        <v>0.35</v>
      </c>
      <c r="Q12" s="108">
        <v>0.48148148148148145</v>
      </c>
    </row>
    <row r="13" spans="1:17" x14ac:dyDescent="0.45">
      <c r="A13" s="110">
        <v>10</v>
      </c>
      <c r="B13" s="107">
        <v>-69.800000000000026</v>
      </c>
      <c r="C13" s="107">
        <v>-6.9800000000000022</v>
      </c>
      <c r="D13" s="112">
        <v>2.2999999999999998</v>
      </c>
      <c r="E13" s="108">
        <v>0.2</v>
      </c>
      <c r="F13" s="108">
        <v>0.27272727272727271</v>
      </c>
      <c r="G13" s="108">
        <v>0.12987012987012986</v>
      </c>
      <c r="H13" s="109">
        <v>9209.5238095238092</v>
      </c>
      <c r="I13" s="109">
        <v>-10900</v>
      </c>
      <c r="J13" s="108">
        <v>0.2</v>
      </c>
      <c r="K13" s="108">
        <v>0.1</v>
      </c>
      <c r="P13" s="108">
        <v>0.33333333333333331</v>
      </c>
      <c r="Q13" s="108">
        <v>0.44827586206896552</v>
      </c>
    </row>
    <row r="14" spans="1:17" x14ac:dyDescent="0.45">
      <c r="A14" s="110">
        <v>11</v>
      </c>
      <c r="B14" s="107">
        <v>-88.100000000000023</v>
      </c>
      <c r="C14" s="107">
        <v>-8.0090909090909115</v>
      </c>
      <c r="D14" s="112">
        <v>2.3636363636363638</v>
      </c>
      <c r="E14" s="108">
        <v>0.18181818181818182</v>
      </c>
      <c r="F14" s="108">
        <v>0.26190476190476192</v>
      </c>
      <c r="G14" s="108">
        <v>0.13095238095238096</v>
      </c>
      <c r="H14" s="109">
        <v>9154.545454545454</v>
      </c>
      <c r="I14" s="109">
        <v>-11000</v>
      </c>
      <c r="J14" s="108">
        <v>0.18181818181818182</v>
      </c>
      <c r="K14" s="108">
        <v>9.0909090909090912E-2</v>
      </c>
      <c r="P14" s="108">
        <v>0.31818181818181818</v>
      </c>
      <c r="Q14" s="108">
        <v>0.41935483870967744</v>
      </c>
    </row>
    <row r="15" spans="1:17" x14ac:dyDescent="0.45">
      <c r="A15" s="110">
        <v>12</v>
      </c>
      <c r="B15" s="107">
        <v>-85.100000000000023</v>
      </c>
      <c r="C15" s="107">
        <v>-7.0916666666666686</v>
      </c>
      <c r="D15" s="112">
        <v>2.3333333333333335</v>
      </c>
      <c r="E15" s="108">
        <v>0.16666666666666666</v>
      </c>
      <c r="F15" s="108">
        <v>0.26881720430107525</v>
      </c>
      <c r="G15" s="108">
        <v>0.11827956989247312</v>
      </c>
      <c r="H15" s="109">
        <v>9096</v>
      </c>
      <c r="I15" s="109">
        <v>-11000</v>
      </c>
      <c r="J15" s="108">
        <v>0.16666666666666666</v>
      </c>
      <c r="K15" s="108">
        <v>8.3333333333333329E-2</v>
      </c>
      <c r="P15" s="108">
        <v>0.36</v>
      </c>
      <c r="Q15" s="108">
        <v>0.42857142857142855</v>
      </c>
    </row>
    <row r="16" spans="1:17" x14ac:dyDescent="0.45">
      <c r="A16" s="110">
        <v>13</v>
      </c>
      <c r="B16" s="107">
        <v>-70.600000000000023</v>
      </c>
      <c r="C16" s="107">
        <v>-5.4307692307692328</v>
      </c>
      <c r="D16" s="112">
        <v>2.2307692307692308</v>
      </c>
      <c r="E16" s="108">
        <v>0.23076923076923078</v>
      </c>
      <c r="F16" s="108">
        <v>0.28846153846153844</v>
      </c>
      <c r="G16" s="108">
        <v>0.13461538461538461</v>
      </c>
      <c r="H16" s="109">
        <v>9176.6666666666661</v>
      </c>
      <c r="I16" s="109">
        <v>-9885.7142857142862</v>
      </c>
      <c r="J16" s="108">
        <v>0.15384615384615385</v>
      </c>
      <c r="K16" s="108">
        <v>7.6923076923076927E-2</v>
      </c>
      <c r="P16" s="108">
        <v>0.36666666666666664</v>
      </c>
      <c r="Q16" s="108">
        <v>0.41025641025641024</v>
      </c>
    </row>
    <row r="17" spans="1:17" x14ac:dyDescent="0.45">
      <c r="A17" s="110">
        <v>14</v>
      </c>
      <c r="B17" s="107">
        <v>-60.500000000000021</v>
      </c>
      <c r="C17" s="107">
        <v>-4.321428571428573</v>
      </c>
      <c r="D17" s="112">
        <v>2.1428571428571428</v>
      </c>
      <c r="E17" s="108">
        <v>0.2857142857142857</v>
      </c>
      <c r="F17" s="108">
        <v>0.2857142857142857</v>
      </c>
      <c r="G17" s="108">
        <v>0.125</v>
      </c>
      <c r="H17" s="109">
        <v>9184.375</v>
      </c>
      <c r="I17" s="109">
        <v>-9885.7142857142862</v>
      </c>
      <c r="J17" s="108">
        <v>0.14285714285714285</v>
      </c>
      <c r="K17" s="108">
        <v>7.1428571428571425E-2</v>
      </c>
      <c r="P17" s="108">
        <v>0.375</v>
      </c>
      <c r="Q17" s="108">
        <v>0.40476190476190477</v>
      </c>
    </row>
    <row r="18" spans="1:17" x14ac:dyDescent="0.45">
      <c r="A18" s="110">
        <v>15</v>
      </c>
      <c r="B18" s="107">
        <v>-67.700000000000017</v>
      </c>
      <c r="C18" s="107">
        <v>-4.5133333333333345</v>
      </c>
      <c r="D18" s="112">
        <v>2.1333333333333333</v>
      </c>
      <c r="E18" s="108">
        <v>0.26666666666666666</v>
      </c>
      <c r="F18" s="108">
        <v>0.27642276422764228</v>
      </c>
      <c r="G18" s="108">
        <v>0.13821138211382114</v>
      </c>
      <c r="H18" s="109">
        <v>9408.823529411764</v>
      </c>
      <c r="I18" s="109">
        <v>-9505.8823529411766</v>
      </c>
      <c r="J18" s="108">
        <v>0.13333333333333333</v>
      </c>
      <c r="K18" s="108">
        <v>6.6666666666666666E-2</v>
      </c>
      <c r="P18" s="108">
        <v>0.35294117647058826</v>
      </c>
      <c r="Q18" s="108">
        <v>0.4</v>
      </c>
    </row>
    <row r="19" spans="1:17" x14ac:dyDescent="0.45">
      <c r="A19" s="110">
        <v>16</v>
      </c>
      <c r="B19" s="107">
        <v>5.5999999999999801</v>
      </c>
      <c r="C19" s="107">
        <v>0.34999999999999876</v>
      </c>
      <c r="D19" s="112">
        <v>2.0625</v>
      </c>
      <c r="E19" s="108">
        <v>0.3125</v>
      </c>
      <c r="F19" s="108">
        <v>0.2857142857142857</v>
      </c>
      <c r="G19" s="108">
        <v>0.14285714285714285</v>
      </c>
      <c r="H19" s="109">
        <v>10871.052631578947</v>
      </c>
      <c r="I19" s="109">
        <v>-9263.1578947368416</v>
      </c>
      <c r="J19" s="108">
        <v>0.125</v>
      </c>
      <c r="K19" s="108">
        <v>0.125</v>
      </c>
      <c r="P19" s="108">
        <v>0.36842105263157893</v>
      </c>
      <c r="Q19" s="108">
        <v>0.40816326530612246</v>
      </c>
    </row>
    <row r="20" spans="1:17" x14ac:dyDescent="0.45">
      <c r="A20" s="110">
        <v>17</v>
      </c>
      <c r="B20" s="107">
        <v>39.59999999999998</v>
      </c>
      <c r="C20" s="107">
        <v>2.3294117647058812</v>
      </c>
      <c r="D20" s="112">
        <v>2</v>
      </c>
      <c r="E20" s="108">
        <v>0.35294117647058826</v>
      </c>
      <c r="F20" s="108">
        <v>0.2857142857142857</v>
      </c>
      <c r="G20" s="108">
        <v>0.14285714285714285</v>
      </c>
      <c r="H20" s="109">
        <v>10871.052631578947</v>
      </c>
      <c r="I20" s="109">
        <v>-9263.1578947368416</v>
      </c>
      <c r="J20" s="108">
        <v>0.11764705882352941</v>
      </c>
      <c r="K20" s="108">
        <v>0.17647058823529413</v>
      </c>
      <c r="P20" s="108">
        <v>0.36842105263157893</v>
      </c>
      <c r="Q20" s="108">
        <v>0.40816326530612246</v>
      </c>
    </row>
    <row r="21" spans="1:17" x14ac:dyDescent="0.45">
      <c r="A21" s="110">
        <v>18</v>
      </c>
      <c r="B21" s="107">
        <v>39.299999999999983</v>
      </c>
      <c r="C21" s="107">
        <v>2.1833333333333322</v>
      </c>
      <c r="D21" s="112">
        <v>2</v>
      </c>
      <c r="E21" s="108">
        <v>0.33333333333333331</v>
      </c>
      <c r="F21" s="108">
        <v>0.2857142857142857</v>
      </c>
      <c r="G21" s="108">
        <v>0.14285714285714285</v>
      </c>
      <c r="H21" s="109">
        <v>10871.052631578947</v>
      </c>
      <c r="I21" s="109">
        <v>-9263.1578947368416</v>
      </c>
      <c r="J21" s="108">
        <v>0.1111111111111111</v>
      </c>
      <c r="K21" s="108">
        <v>0.16666666666666666</v>
      </c>
      <c r="P21" s="108">
        <v>0.36842105263157893</v>
      </c>
      <c r="Q21" s="108">
        <v>0.40816326530612246</v>
      </c>
    </row>
    <row r="22" spans="1:17" x14ac:dyDescent="0.45">
      <c r="A22" s="110">
        <v>19</v>
      </c>
      <c r="B22" s="107">
        <v>102.29999999999998</v>
      </c>
      <c r="C22" s="107">
        <v>5.3842105263157887</v>
      </c>
      <c r="D22" s="112">
        <v>1.9473684210526316</v>
      </c>
      <c r="E22" s="108">
        <v>0.36842105263157893</v>
      </c>
      <c r="F22" s="108">
        <v>0.3014705882352941</v>
      </c>
      <c r="G22" s="108">
        <v>0.13970588235294118</v>
      </c>
      <c r="H22" s="109">
        <v>11539.024390243903</v>
      </c>
      <c r="I22" s="109">
        <v>-9263.1578947368416</v>
      </c>
      <c r="J22" s="108">
        <v>0.10526315789473684</v>
      </c>
      <c r="K22" s="108">
        <v>0.21052631578947367</v>
      </c>
      <c r="L22" s="108">
        <v>1</v>
      </c>
      <c r="M22" s="108">
        <v>0</v>
      </c>
      <c r="N22" s="108">
        <v>1</v>
      </c>
      <c r="O22" s="108">
        <v>0</v>
      </c>
      <c r="P22" s="108">
        <v>0.3902439024390244</v>
      </c>
      <c r="Q22" s="108">
        <v>0.44230769230769229</v>
      </c>
    </row>
    <row r="23" spans="1:17" x14ac:dyDescent="0.45">
      <c r="A23" s="110">
        <v>20</v>
      </c>
      <c r="B23" s="107">
        <v>105.39999999999998</v>
      </c>
      <c r="C23" s="107">
        <v>5.2699999999999987</v>
      </c>
      <c r="D23" s="112">
        <v>1.95</v>
      </c>
      <c r="E23" s="108">
        <v>0.35</v>
      </c>
      <c r="F23" s="108">
        <v>0.3125</v>
      </c>
      <c r="G23" s="108">
        <v>0.14583333333333334</v>
      </c>
      <c r="H23" s="109">
        <v>11286.666666666666</v>
      </c>
      <c r="I23" s="109">
        <v>-9604.7619047619046</v>
      </c>
      <c r="J23" s="108">
        <v>0.1</v>
      </c>
      <c r="K23" s="108">
        <v>0.2</v>
      </c>
      <c r="L23" s="108">
        <v>0.45454545454545453</v>
      </c>
      <c r="M23" s="108">
        <v>9.0909090909090912E-2</v>
      </c>
      <c r="N23" s="108">
        <v>1</v>
      </c>
      <c r="O23" s="108">
        <v>0</v>
      </c>
      <c r="P23" s="108">
        <v>0.35555555555555557</v>
      </c>
      <c r="Q23" s="108">
        <v>0.42592592592592593</v>
      </c>
    </row>
    <row r="24" spans="1:17" x14ac:dyDescent="0.45">
      <c r="A24" s="110">
        <v>21</v>
      </c>
      <c r="B24" s="107">
        <v>105.59999999999998</v>
      </c>
      <c r="C24" s="107">
        <v>5.0285714285714276</v>
      </c>
      <c r="D24" s="112">
        <v>1.9047619047619047</v>
      </c>
      <c r="E24" s="108">
        <v>0.38095238095238093</v>
      </c>
      <c r="F24" s="108">
        <v>0.31578947368421051</v>
      </c>
      <c r="G24" s="108">
        <v>0.15789473684210525</v>
      </c>
      <c r="H24" s="109">
        <v>11233.333333333334</v>
      </c>
      <c r="I24" s="109">
        <v>-9441.6666666666661</v>
      </c>
      <c r="J24" s="108">
        <v>9.5238095238095233E-2</v>
      </c>
      <c r="K24" s="108">
        <v>0.19047619047619047</v>
      </c>
      <c r="L24" s="108">
        <v>0.47368421052631576</v>
      </c>
      <c r="M24" s="108">
        <v>0.10526315789473684</v>
      </c>
      <c r="N24" s="108">
        <v>0.88888888888888884</v>
      </c>
      <c r="O24" s="108">
        <v>0</v>
      </c>
      <c r="P24" s="108">
        <v>0.375</v>
      </c>
      <c r="Q24" s="108">
        <v>0.42857142857142855</v>
      </c>
    </row>
    <row r="25" spans="1:17" x14ac:dyDescent="0.45">
      <c r="A25" s="110">
        <v>22</v>
      </c>
      <c r="B25" s="107">
        <v>108.39999999999998</v>
      </c>
      <c r="C25" s="107">
        <v>4.9272727272727259</v>
      </c>
      <c r="D25" s="112">
        <v>1.9090909090909092</v>
      </c>
      <c r="E25" s="108">
        <v>0.36363636363636365</v>
      </c>
      <c r="F25" s="108">
        <v>0.31645569620253167</v>
      </c>
      <c r="G25" s="108">
        <v>0.15189873417721519</v>
      </c>
      <c r="H25" s="109">
        <v>11258</v>
      </c>
      <c r="I25" s="109">
        <v>-9441.6666666666661</v>
      </c>
      <c r="J25" s="108">
        <v>9.0909090909090912E-2</v>
      </c>
      <c r="K25" s="108">
        <v>0.18181818181818182</v>
      </c>
      <c r="L25" s="108">
        <v>0.48</v>
      </c>
      <c r="M25" s="108">
        <v>0.12</v>
      </c>
      <c r="N25" s="108">
        <v>0.75</v>
      </c>
      <c r="O25" s="108">
        <v>0.33333333333333331</v>
      </c>
      <c r="P25" s="108">
        <v>0.36</v>
      </c>
      <c r="Q25" s="108">
        <v>0.43103448275862066</v>
      </c>
    </row>
    <row r="26" spans="1:17" x14ac:dyDescent="0.45">
      <c r="A26" s="110">
        <v>23</v>
      </c>
      <c r="B26" s="107">
        <v>151.99999999999997</v>
      </c>
      <c r="C26" s="107">
        <v>6.6086956521739122</v>
      </c>
      <c r="D26" s="112">
        <v>1.8695652173913044</v>
      </c>
      <c r="E26" s="108">
        <v>0.39130434782608697</v>
      </c>
      <c r="F26" s="108">
        <v>0.32727272727272727</v>
      </c>
      <c r="G26" s="108">
        <v>0.15151515151515152</v>
      </c>
      <c r="H26" s="109">
        <v>11462.962962962964</v>
      </c>
      <c r="I26" s="109">
        <v>-9144</v>
      </c>
      <c r="J26" s="108">
        <v>8.6956521739130432E-2</v>
      </c>
      <c r="K26" s="108">
        <v>0.21739130434782608</v>
      </c>
      <c r="L26" s="108">
        <v>0.46875</v>
      </c>
      <c r="M26" s="108">
        <v>0.21875</v>
      </c>
      <c r="N26" s="108">
        <v>0.8</v>
      </c>
      <c r="O26" s="108">
        <v>0.2857142857142857</v>
      </c>
      <c r="P26" s="108">
        <v>0.35185185185185186</v>
      </c>
      <c r="Q26" s="108">
        <v>0.45161290322580644</v>
      </c>
    </row>
    <row r="27" spans="1:17" x14ac:dyDescent="0.45">
      <c r="A27" s="110">
        <v>24</v>
      </c>
      <c r="B27" s="107">
        <v>150.59999999999997</v>
      </c>
      <c r="C27" s="107">
        <v>6.2749999999999986</v>
      </c>
      <c r="D27" s="112">
        <v>1.875</v>
      </c>
      <c r="E27" s="108">
        <v>0.375</v>
      </c>
      <c r="F27" s="108">
        <v>0.31791907514450868</v>
      </c>
      <c r="G27" s="108">
        <v>0.14450867052023122</v>
      </c>
      <c r="H27" s="109">
        <v>11350.90909090909</v>
      </c>
      <c r="I27" s="109">
        <v>-9144</v>
      </c>
      <c r="J27" s="108">
        <v>8.3333333333333329E-2</v>
      </c>
      <c r="K27" s="108">
        <v>0.20833333333333334</v>
      </c>
      <c r="L27" s="108">
        <v>0.42499999999999999</v>
      </c>
      <c r="M27" s="108">
        <v>0.22500000000000001</v>
      </c>
      <c r="N27" s="108">
        <v>0.70588235294117652</v>
      </c>
      <c r="O27" s="108">
        <v>0.22222222222222221</v>
      </c>
      <c r="P27" s="108">
        <v>0.36363636363636365</v>
      </c>
      <c r="Q27" s="108">
        <v>0.4375</v>
      </c>
    </row>
    <row r="28" spans="1:17" x14ac:dyDescent="0.45">
      <c r="A28" s="110">
        <v>25</v>
      </c>
      <c r="B28" s="107">
        <v>111.89999999999996</v>
      </c>
      <c r="C28" s="107">
        <v>4.4759999999999982</v>
      </c>
      <c r="D28" s="112">
        <v>1.92</v>
      </c>
      <c r="E28" s="108">
        <v>0.36</v>
      </c>
      <c r="F28" s="108">
        <v>0.30726256983240224</v>
      </c>
      <c r="G28" s="108">
        <v>0.15083798882681565</v>
      </c>
      <c r="H28" s="109">
        <v>11350.90909090909</v>
      </c>
      <c r="I28" s="109">
        <v>-9500</v>
      </c>
      <c r="J28" s="108">
        <v>0.12</v>
      </c>
      <c r="K28" s="108">
        <v>0.2</v>
      </c>
      <c r="L28" s="108">
        <v>0.43478260869565216</v>
      </c>
      <c r="M28" s="108">
        <v>0.21739130434782608</v>
      </c>
      <c r="N28" s="108">
        <v>0.6</v>
      </c>
      <c r="O28" s="108">
        <v>0.2</v>
      </c>
      <c r="P28" s="108">
        <v>0.36363636363636365</v>
      </c>
      <c r="Q28" s="108">
        <v>0.43076923076923079</v>
      </c>
    </row>
    <row r="29" spans="1:17" x14ac:dyDescent="0.45">
      <c r="A29" s="110">
        <v>26</v>
      </c>
      <c r="B29" s="107">
        <v>97.099999999999966</v>
      </c>
      <c r="C29" s="107">
        <v>3.7346153846153833</v>
      </c>
      <c r="D29" s="112">
        <v>1.9615384615384615</v>
      </c>
      <c r="E29" s="108">
        <v>0.34615384615384615</v>
      </c>
      <c r="F29" s="108">
        <v>0.30270270270270272</v>
      </c>
      <c r="G29" s="108">
        <v>0.14594594594594595</v>
      </c>
      <c r="H29" s="109">
        <v>11241.071428571429</v>
      </c>
      <c r="I29" s="109">
        <v>-9500</v>
      </c>
      <c r="J29" s="108">
        <v>0.11538461538461539</v>
      </c>
      <c r="K29" s="108">
        <v>0.19230769230769232</v>
      </c>
      <c r="L29" s="108">
        <v>0.42307692307692307</v>
      </c>
      <c r="M29" s="108">
        <v>0.19230769230769232</v>
      </c>
      <c r="N29" s="108">
        <v>0.59090909090909094</v>
      </c>
      <c r="O29" s="108">
        <v>0.2</v>
      </c>
      <c r="P29" s="108">
        <v>0.35714285714285715</v>
      </c>
      <c r="Q29" s="108">
        <v>0.41176470588235292</v>
      </c>
    </row>
    <row r="30" spans="1:17" x14ac:dyDescent="0.45">
      <c r="A30" s="110">
        <v>27</v>
      </c>
      <c r="B30" s="107">
        <v>107.39999999999996</v>
      </c>
      <c r="C30" s="107">
        <v>3.9777777777777765</v>
      </c>
      <c r="D30" s="112">
        <v>1.9259259259259258</v>
      </c>
      <c r="E30" s="108">
        <v>0.37037037037037035</v>
      </c>
      <c r="F30" s="108">
        <v>0.30729166666666669</v>
      </c>
      <c r="G30" s="108">
        <v>0.14583333333333334</v>
      </c>
      <c r="H30" s="109">
        <v>11144.06779661017</v>
      </c>
      <c r="I30" s="109">
        <v>-9435.7142857142862</v>
      </c>
      <c r="J30" s="108">
        <v>0.1111111111111111</v>
      </c>
      <c r="K30" s="108">
        <v>0.18518518518518517</v>
      </c>
      <c r="L30" s="108">
        <v>0.40677966101694918</v>
      </c>
      <c r="M30" s="108">
        <v>0.1864406779661017</v>
      </c>
      <c r="N30" s="108">
        <v>0.625</v>
      </c>
      <c r="O30" s="108">
        <v>0.27272727272727271</v>
      </c>
      <c r="P30" s="108">
        <v>0.3559322033898305</v>
      </c>
      <c r="Q30" s="108">
        <v>0.4</v>
      </c>
    </row>
    <row r="31" spans="1:17" x14ac:dyDescent="0.45">
      <c r="A31" s="110">
        <v>28</v>
      </c>
      <c r="B31" s="107">
        <v>64.399999999999963</v>
      </c>
      <c r="C31" s="107">
        <v>2.2999999999999985</v>
      </c>
      <c r="D31" s="112">
        <v>1.9642857142857142</v>
      </c>
      <c r="E31" s="108">
        <v>0.35714285714285715</v>
      </c>
      <c r="F31" s="108">
        <v>0.29949238578680204</v>
      </c>
      <c r="G31" s="108">
        <v>0.15228426395939088</v>
      </c>
      <c r="H31" s="109">
        <v>11144.06779661017</v>
      </c>
      <c r="I31" s="109">
        <v>-9940</v>
      </c>
      <c r="J31" s="108">
        <v>0.14285714285714285</v>
      </c>
      <c r="K31" s="108">
        <v>0.17857142857142858</v>
      </c>
      <c r="L31" s="108">
        <v>0.390625</v>
      </c>
      <c r="M31" s="108">
        <v>0.1875</v>
      </c>
      <c r="N31" s="108">
        <v>0.6</v>
      </c>
      <c r="O31" s="108">
        <v>0.25</v>
      </c>
      <c r="P31" s="108">
        <v>0.3559322033898305</v>
      </c>
      <c r="Q31" s="108">
        <v>0.39436619718309857</v>
      </c>
    </row>
    <row r="32" spans="1:17" x14ac:dyDescent="0.45">
      <c r="A32" s="110">
        <v>29</v>
      </c>
      <c r="B32" s="107">
        <v>24.399999999999963</v>
      </c>
      <c r="C32" s="107">
        <v>0.84137931034482627</v>
      </c>
      <c r="D32" s="112">
        <v>2</v>
      </c>
      <c r="E32" s="108">
        <v>0.34482758620689657</v>
      </c>
      <c r="F32" s="108">
        <v>0.28780487804878047</v>
      </c>
      <c r="G32" s="108">
        <v>0.15609756097560976</v>
      </c>
      <c r="H32" s="109">
        <v>11144.06779661017</v>
      </c>
      <c r="I32" s="109">
        <v>-9881.25</v>
      </c>
      <c r="J32" s="108">
        <v>0.17241379310344829</v>
      </c>
      <c r="K32" s="108">
        <v>0.17241379310344829</v>
      </c>
      <c r="L32" s="108">
        <v>0.3888888888888889</v>
      </c>
      <c r="M32" s="108">
        <v>0.20833333333333334</v>
      </c>
      <c r="N32" s="108">
        <v>0.5357142857142857</v>
      </c>
      <c r="O32" s="108">
        <v>0.2</v>
      </c>
      <c r="P32" s="108">
        <v>0.3559322033898305</v>
      </c>
      <c r="Q32" s="108">
        <v>0.38356164383561642</v>
      </c>
    </row>
    <row r="33" spans="1:17" x14ac:dyDescent="0.45">
      <c r="A33" s="110">
        <v>30</v>
      </c>
      <c r="B33" s="107">
        <v>13.599999999999962</v>
      </c>
      <c r="C33" s="107">
        <v>0.45333333333333209</v>
      </c>
      <c r="D33" s="112">
        <v>2</v>
      </c>
      <c r="E33" s="108">
        <v>0.33333333333333331</v>
      </c>
      <c r="F33" s="108">
        <v>0.28638497652582162</v>
      </c>
      <c r="G33" s="108">
        <v>0.15492957746478872</v>
      </c>
      <c r="H33" s="109">
        <v>10995.081967213115</v>
      </c>
      <c r="I33" s="109">
        <v>-9824.242424242424</v>
      </c>
      <c r="J33" s="108">
        <v>0.16666666666666666</v>
      </c>
      <c r="K33" s="108">
        <v>0.16666666666666666</v>
      </c>
      <c r="L33" s="108">
        <v>0.375</v>
      </c>
      <c r="M33" s="108">
        <v>0.21249999999999999</v>
      </c>
      <c r="N33" s="108">
        <v>0.56666666666666665</v>
      </c>
      <c r="O33" s="108">
        <v>0.17647058823529413</v>
      </c>
      <c r="P33" s="108">
        <v>0.34426229508196721</v>
      </c>
      <c r="Q33" s="108">
        <v>0.36842105263157893</v>
      </c>
    </row>
    <row r="34" spans="1:17" x14ac:dyDescent="0.45">
      <c r="A34" s="110">
        <v>31</v>
      </c>
      <c r="B34" s="107">
        <v>28.19999999999996</v>
      </c>
      <c r="C34" s="107">
        <v>0.90967741935483748</v>
      </c>
      <c r="D34" s="112">
        <v>1.967741935483871</v>
      </c>
      <c r="E34" s="108">
        <v>0.35483870967741937</v>
      </c>
      <c r="F34" s="108">
        <v>0.29411764705882354</v>
      </c>
      <c r="G34" s="108">
        <v>0.15384615384615385</v>
      </c>
      <c r="H34" s="109">
        <v>10943.076923076924</v>
      </c>
      <c r="I34" s="109">
        <v>-9888.2352941176468</v>
      </c>
      <c r="J34" s="108">
        <v>0.16129032258064516</v>
      </c>
      <c r="K34" s="108">
        <v>0.16129032258064516</v>
      </c>
      <c r="L34" s="108">
        <v>0.38636363636363635</v>
      </c>
      <c r="M34" s="108">
        <v>0.20454545454545456</v>
      </c>
      <c r="N34" s="108">
        <v>0.61764705882352944</v>
      </c>
      <c r="O34" s="108">
        <v>0.16666666666666666</v>
      </c>
      <c r="P34" s="108">
        <v>0.35384615384615387</v>
      </c>
      <c r="Q34" s="108">
        <v>0.379746835443038</v>
      </c>
    </row>
    <row r="35" spans="1:17" x14ac:dyDescent="0.45">
      <c r="A35" s="110">
        <v>32</v>
      </c>
      <c r="B35" s="107">
        <v>-14.200000000000038</v>
      </c>
      <c r="C35" s="107">
        <v>-0.4437500000000012</v>
      </c>
      <c r="D35" s="112">
        <v>2</v>
      </c>
      <c r="E35" s="108">
        <v>0.34375</v>
      </c>
      <c r="F35" s="108">
        <v>0.29184549356223177</v>
      </c>
      <c r="G35" s="108">
        <v>0.15879828326180256</v>
      </c>
      <c r="H35" s="109">
        <v>10776.470588235294</v>
      </c>
      <c r="I35" s="109">
        <v>-10167.567567567568</v>
      </c>
      <c r="J35" s="108">
        <v>0.1875</v>
      </c>
      <c r="K35" s="108">
        <v>0.15625</v>
      </c>
      <c r="L35" s="108">
        <v>0.36</v>
      </c>
      <c r="M35" s="108">
        <v>0.21</v>
      </c>
      <c r="N35" s="108">
        <v>0.61111111111111116</v>
      </c>
      <c r="O35" s="108">
        <v>0.23809523809523808</v>
      </c>
      <c r="P35" s="108">
        <v>0.35294117647058826</v>
      </c>
      <c r="Q35" s="108">
        <v>0.37804878048780488</v>
      </c>
    </row>
    <row r="36" spans="1:17" x14ac:dyDescent="0.45">
      <c r="A36" s="110">
        <v>33</v>
      </c>
      <c r="B36" s="107">
        <v>-13.500000000000039</v>
      </c>
      <c r="C36" s="107">
        <v>-0.40909090909091028</v>
      </c>
      <c r="D36" s="112">
        <v>2</v>
      </c>
      <c r="E36" s="108">
        <v>0.33333333333333331</v>
      </c>
      <c r="F36" s="108">
        <v>0.29218106995884774</v>
      </c>
      <c r="G36" s="108">
        <v>0.16049382716049382</v>
      </c>
      <c r="H36" s="109">
        <v>10760.56338028169</v>
      </c>
      <c r="I36" s="109">
        <v>-10005.128205128205</v>
      </c>
      <c r="J36" s="108">
        <v>0.18181818181818182</v>
      </c>
      <c r="K36" s="108">
        <v>0.15151515151515152</v>
      </c>
      <c r="L36" s="108">
        <v>0.35454545454545455</v>
      </c>
      <c r="M36" s="108">
        <v>0.21818181818181817</v>
      </c>
      <c r="N36" s="108">
        <v>0.61538461538461542</v>
      </c>
      <c r="O36" s="108">
        <v>0.25</v>
      </c>
      <c r="P36" s="108">
        <v>0.3380281690140845</v>
      </c>
      <c r="Q36" s="108">
        <v>0.36363636363636365</v>
      </c>
    </row>
    <row r="37" spans="1:17" x14ac:dyDescent="0.45">
      <c r="A37" s="110">
        <v>34</v>
      </c>
      <c r="B37" s="107">
        <v>-2.3000000000000398</v>
      </c>
      <c r="C37" s="107">
        <v>-6.7647058823530587E-2</v>
      </c>
      <c r="D37" s="112">
        <v>1.9705882352941178</v>
      </c>
      <c r="E37" s="108">
        <v>0.35294117647058826</v>
      </c>
      <c r="F37" s="108">
        <v>0.29761904761904762</v>
      </c>
      <c r="G37" s="108">
        <v>0.1626984126984127</v>
      </c>
      <c r="H37" s="109">
        <v>10501.333333333334</v>
      </c>
      <c r="I37" s="109">
        <v>-9770.7317073170725</v>
      </c>
      <c r="J37" s="108">
        <v>0.17647058823529413</v>
      </c>
      <c r="K37" s="108">
        <v>0.14705882352941177</v>
      </c>
      <c r="L37" s="108">
        <v>0.33613445378151263</v>
      </c>
      <c r="M37" s="108">
        <v>0.25210084033613445</v>
      </c>
      <c r="N37" s="108">
        <v>0.625</v>
      </c>
      <c r="O37" s="108">
        <v>0.3</v>
      </c>
      <c r="P37" s="108">
        <v>0.34666666666666668</v>
      </c>
      <c r="Q37" s="108">
        <v>0.36263736263736263</v>
      </c>
    </row>
    <row r="38" spans="1:17" x14ac:dyDescent="0.45">
      <c r="A38" s="110">
        <v>35</v>
      </c>
      <c r="B38" s="107">
        <v>-38.600000000000037</v>
      </c>
      <c r="C38" s="107">
        <v>-1.1028571428571439</v>
      </c>
      <c r="D38" s="112">
        <v>2</v>
      </c>
      <c r="E38" s="108">
        <v>0.34285714285714286</v>
      </c>
      <c r="F38" s="108">
        <v>0.29343629343629346</v>
      </c>
      <c r="G38" s="108">
        <v>0.16602316602316602</v>
      </c>
      <c r="H38" s="109">
        <v>10442.105263157895</v>
      </c>
      <c r="I38" s="109">
        <v>-9904.6511627906984</v>
      </c>
      <c r="J38" s="108">
        <v>0.2</v>
      </c>
      <c r="K38" s="108">
        <v>0.14285714285714285</v>
      </c>
      <c r="L38" s="108">
        <v>0.33333333333333331</v>
      </c>
      <c r="M38" s="108">
        <v>0.26190476190476192</v>
      </c>
      <c r="N38" s="108">
        <v>0.59523809523809523</v>
      </c>
      <c r="O38" s="108">
        <v>0.30303030303030304</v>
      </c>
      <c r="P38" s="108">
        <v>0.35526315789473684</v>
      </c>
      <c r="Q38" s="108">
        <v>0.36559139784946237</v>
      </c>
    </row>
    <row r="39" spans="1:17" x14ac:dyDescent="0.45">
      <c r="A39" s="110">
        <v>36</v>
      </c>
      <c r="B39" s="107">
        <v>9.3999999999999631</v>
      </c>
      <c r="C39" s="107">
        <v>0.26111111111111007</v>
      </c>
      <c r="D39" s="112">
        <v>1.9722222222222223</v>
      </c>
      <c r="E39" s="108">
        <v>0.3611111111111111</v>
      </c>
      <c r="F39" s="108">
        <v>0.29770992366412213</v>
      </c>
      <c r="G39" s="108">
        <v>0.16412213740458015</v>
      </c>
      <c r="H39" s="109">
        <v>10789.74358974359</v>
      </c>
      <c r="I39" s="109">
        <v>-9904.6511627906984</v>
      </c>
      <c r="J39" s="108">
        <v>0.19444444444444445</v>
      </c>
      <c r="K39" s="108">
        <v>0.16666666666666666</v>
      </c>
      <c r="L39" s="108">
        <v>0.34108527131782945</v>
      </c>
      <c r="M39" s="108">
        <v>0.2558139534883721</v>
      </c>
      <c r="N39" s="108">
        <v>0.61363636363636365</v>
      </c>
      <c r="O39" s="108">
        <v>0.30303030303030304</v>
      </c>
      <c r="P39" s="108">
        <v>0.37179487179487181</v>
      </c>
      <c r="Q39" s="108">
        <v>0.375</v>
      </c>
    </row>
    <row r="40" spans="1:17" x14ac:dyDescent="0.45">
      <c r="A40" s="110">
        <v>37</v>
      </c>
      <c r="B40" s="107">
        <v>-3.4000000000000377</v>
      </c>
      <c r="C40" s="107">
        <v>-9.189189189189291E-2</v>
      </c>
      <c r="D40" s="112">
        <v>2</v>
      </c>
      <c r="E40" s="108">
        <v>0.35135135135135137</v>
      </c>
      <c r="F40" s="108">
        <v>0.29368029739776952</v>
      </c>
      <c r="G40" s="108">
        <v>0.16728624535315986</v>
      </c>
      <c r="H40" s="109">
        <v>10754.430379746835</v>
      </c>
      <c r="I40" s="109">
        <v>-9820</v>
      </c>
      <c r="J40" s="108">
        <v>0.1891891891891892</v>
      </c>
      <c r="K40" s="108">
        <v>0.16216216216216217</v>
      </c>
      <c r="L40" s="108">
        <v>0.33823529411764708</v>
      </c>
      <c r="M40" s="108">
        <v>0.25735294117647056</v>
      </c>
      <c r="N40" s="108">
        <v>0.58695652173913049</v>
      </c>
      <c r="O40" s="108">
        <v>0.31428571428571428</v>
      </c>
      <c r="P40" s="108">
        <v>0.379746835443038</v>
      </c>
      <c r="Q40" s="108">
        <v>0.36734693877551022</v>
      </c>
    </row>
    <row r="41" spans="1:17" x14ac:dyDescent="0.45">
      <c r="A41" s="110">
        <v>38</v>
      </c>
      <c r="B41" s="107">
        <v>36.599999999999966</v>
      </c>
      <c r="C41" s="107">
        <v>0.96315789473684121</v>
      </c>
      <c r="D41" s="112">
        <v>1.9736842105263157</v>
      </c>
      <c r="E41" s="108">
        <v>0.36842105263157893</v>
      </c>
      <c r="F41" s="108">
        <v>0.30324909747292417</v>
      </c>
      <c r="G41" s="108">
        <v>0.16245487364620939</v>
      </c>
      <c r="H41" s="109">
        <v>10626.190476190477</v>
      </c>
      <c r="I41" s="109">
        <v>-9820</v>
      </c>
      <c r="J41" s="108">
        <v>0.18421052631578946</v>
      </c>
      <c r="K41" s="108">
        <v>0.18421052631578946</v>
      </c>
      <c r="L41" s="108">
        <v>0.34722222222222221</v>
      </c>
      <c r="M41" s="108">
        <v>0.2638888888888889</v>
      </c>
      <c r="N41" s="108">
        <v>0.6</v>
      </c>
      <c r="O41" s="108">
        <v>0.34210526315789475</v>
      </c>
      <c r="P41" s="108">
        <v>0.41666666666666669</v>
      </c>
      <c r="Q41" s="108">
        <v>0.38461538461538464</v>
      </c>
    </row>
    <row r="42" spans="1:17" x14ac:dyDescent="0.45">
      <c r="A42" s="110">
        <v>39</v>
      </c>
      <c r="B42" s="107">
        <v>33.199999999999967</v>
      </c>
      <c r="C42" s="107">
        <v>0.85128205128205048</v>
      </c>
      <c r="D42" s="112">
        <v>1.9743589743589745</v>
      </c>
      <c r="E42" s="108">
        <v>0.35897435897435898</v>
      </c>
      <c r="F42" s="108">
        <v>0.30313588850174217</v>
      </c>
      <c r="G42" s="108">
        <v>0.16376306620209058</v>
      </c>
      <c r="H42" s="109">
        <v>10626.436781609196</v>
      </c>
      <c r="I42" s="109">
        <v>-9759.5744680851058</v>
      </c>
      <c r="J42" s="108">
        <v>0.17948717948717949</v>
      </c>
      <c r="K42" s="108">
        <v>0.17948717948717949</v>
      </c>
      <c r="L42" s="108">
        <v>0.33766233766233766</v>
      </c>
      <c r="M42" s="108">
        <v>0.26623376623376621</v>
      </c>
      <c r="N42" s="108">
        <v>0.59615384615384615</v>
      </c>
      <c r="O42" s="108">
        <v>0.36585365853658536</v>
      </c>
      <c r="P42" s="108">
        <v>0.41379310344827586</v>
      </c>
      <c r="Q42" s="108">
        <v>0.3867924528301887</v>
      </c>
    </row>
    <row r="43" spans="1:17" x14ac:dyDescent="0.45">
      <c r="A43" s="110">
        <v>40</v>
      </c>
      <c r="B43" s="107">
        <v>103.79999999999995</v>
      </c>
      <c r="C43" s="107">
        <v>2.5949999999999989</v>
      </c>
      <c r="D43" s="112">
        <v>1.95</v>
      </c>
      <c r="E43" s="108">
        <v>0.375</v>
      </c>
      <c r="F43" s="108">
        <v>0.31058020477815701</v>
      </c>
      <c r="G43" s="108">
        <v>0.16040955631399317</v>
      </c>
      <c r="H43" s="109">
        <v>10902.197802197803</v>
      </c>
      <c r="I43" s="109">
        <v>-9759.5744680851058</v>
      </c>
      <c r="J43" s="108">
        <v>0.17499999999999999</v>
      </c>
      <c r="K43" s="108">
        <v>0.2</v>
      </c>
      <c r="L43" s="108">
        <v>0.33750000000000002</v>
      </c>
      <c r="M43" s="108">
        <v>0.26250000000000001</v>
      </c>
      <c r="N43" s="108">
        <v>0.61111111111111116</v>
      </c>
      <c r="O43" s="108">
        <v>0.38095238095238093</v>
      </c>
      <c r="P43" s="108">
        <v>0.42857142857142855</v>
      </c>
      <c r="Q43" s="108">
        <v>0.4</v>
      </c>
    </row>
    <row r="44" spans="1:17" x14ac:dyDescent="0.45">
      <c r="A44" s="110">
        <v>41</v>
      </c>
      <c r="B44" s="107">
        <v>134.29999999999995</v>
      </c>
      <c r="C44" s="107">
        <v>3.2756097560975599</v>
      </c>
      <c r="D44" s="112">
        <v>1.9268292682926829</v>
      </c>
      <c r="E44" s="108">
        <v>0.3902439024390244</v>
      </c>
      <c r="F44" s="108">
        <v>0.31208053691275167</v>
      </c>
      <c r="G44" s="108">
        <v>0.15771812080536912</v>
      </c>
      <c r="H44" s="109">
        <v>11054.838709677419</v>
      </c>
      <c r="I44" s="109">
        <v>-9759.5744680851058</v>
      </c>
      <c r="J44" s="108">
        <v>0.17073170731707318</v>
      </c>
      <c r="K44" s="108">
        <v>0.1951219512195122</v>
      </c>
      <c r="L44" s="108">
        <v>0.34545454545454546</v>
      </c>
      <c r="M44" s="108">
        <v>0.25454545454545452</v>
      </c>
      <c r="N44" s="108">
        <v>0.61403508771929827</v>
      </c>
      <c r="O44" s="108">
        <v>0.38095238095238093</v>
      </c>
      <c r="P44" s="108">
        <v>0.43010752688172044</v>
      </c>
      <c r="Q44" s="108">
        <v>0.40707964601769914</v>
      </c>
    </row>
    <row r="45" spans="1:17" x14ac:dyDescent="0.45">
      <c r="A45" s="110">
        <v>42</v>
      </c>
      <c r="B45" s="107">
        <v>168.69999999999996</v>
      </c>
      <c r="C45" s="107">
        <v>4.0166666666666657</v>
      </c>
      <c r="D45" s="112">
        <v>1.9047619047619047</v>
      </c>
      <c r="E45" s="108">
        <v>0.40476190476190477</v>
      </c>
      <c r="F45" s="108">
        <v>0.31189710610932475</v>
      </c>
      <c r="G45" s="108">
        <v>0.15434083601286175</v>
      </c>
      <c r="H45" s="109">
        <v>11194.845360824742</v>
      </c>
      <c r="I45" s="109">
        <v>-10056.25</v>
      </c>
      <c r="J45" s="108">
        <v>0.16666666666666666</v>
      </c>
      <c r="K45" s="108">
        <v>0.21428571428571427</v>
      </c>
      <c r="L45" s="108">
        <v>0.33707865168539325</v>
      </c>
      <c r="M45" s="108">
        <v>0.25842696629213485</v>
      </c>
      <c r="N45" s="108">
        <v>0.6</v>
      </c>
      <c r="O45" s="108">
        <v>0.39130434782608697</v>
      </c>
      <c r="P45" s="108">
        <v>0.42268041237113402</v>
      </c>
      <c r="Q45" s="108">
        <v>0.41880341880341881</v>
      </c>
    </row>
    <row r="46" spans="1:17" x14ac:dyDescent="0.45">
      <c r="A46" s="110">
        <v>43</v>
      </c>
      <c r="B46" s="107">
        <v>179.19999999999996</v>
      </c>
      <c r="C46" s="107">
        <v>4.1674418604651153</v>
      </c>
      <c r="D46" s="112">
        <v>1.8837209302325582</v>
      </c>
      <c r="E46" s="108">
        <v>0.41860465116279072</v>
      </c>
      <c r="F46" s="108">
        <v>0.3125</v>
      </c>
      <c r="G46" s="108">
        <v>0.15312500000000001</v>
      </c>
      <c r="H46" s="109">
        <v>11179</v>
      </c>
      <c r="I46" s="109">
        <v>-9891.8367346938776</v>
      </c>
      <c r="J46" s="108">
        <v>0.16279069767441862</v>
      </c>
      <c r="K46" s="108">
        <v>0.20930232558139536</v>
      </c>
      <c r="L46" s="108">
        <v>0.33689839572192515</v>
      </c>
      <c r="M46" s="108">
        <v>0.24598930481283424</v>
      </c>
      <c r="N46" s="108">
        <v>0.61904761904761907</v>
      </c>
      <c r="O46" s="108">
        <v>0.39130434782608697</v>
      </c>
      <c r="P46" s="108">
        <v>0.42</v>
      </c>
      <c r="Q46" s="108">
        <v>0.41666666666666669</v>
      </c>
    </row>
    <row r="47" spans="1:17" x14ac:dyDescent="0.45">
      <c r="A47" s="110">
        <v>44</v>
      </c>
      <c r="B47" s="107">
        <v>188.29999999999995</v>
      </c>
      <c r="C47" s="107">
        <v>4.2795454545454534</v>
      </c>
      <c r="D47" s="112">
        <v>1.8863636363636365</v>
      </c>
      <c r="E47" s="108">
        <v>0.40909090909090912</v>
      </c>
      <c r="F47" s="108">
        <v>0.31419939577039274</v>
      </c>
      <c r="G47" s="108">
        <v>0.15709969788519637</v>
      </c>
      <c r="H47" s="109">
        <v>11229.807692307691</v>
      </c>
      <c r="I47" s="109">
        <v>-9665.3846153846152</v>
      </c>
      <c r="J47" s="108">
        <v>0.15909090909090909</v>
      </c>
      <c r="K47" s="108">
        <v>0.20454545454545456</v>
      </c>
      <c r="L47" s="108">
        <v>0.3383838383838384</v>
      </c>
      <c r="M47" s="108">
        <v>0.25252525252525254</v>
      </c>
      <c r="N47" s="108">
        <v>0.61194029850746268</v>
      </c>
      <c r="O47" s="108">
        <v>0.38</v>
      </c>
      <c r="P47" s="108">
        <v>0.40384615384615385</v>
      </c>
      <c r="Q47" s="108">
        <v>0.41935483870967744</v>
      </c>
    </row>
    <row r="48" spans="1:17" x14ac:dyDescent="0.45">
      <c r="A48" s="110">
        <v>45</v>
      </c>
      <c r="B48" s="107">
        <v>140.89999999999995</v>
      </c>
      <c r="C48" s="107">
        <v>3.1311111111111098</v>
      </c>
      <c r="D48" s="112">
        <v>1.9111111111111112</v>
      </c>
      <c r="E48" s="108">
        <v>0.4</v>
      </c>
      <c r="F48" s="108">
        <v>0.31065088757396447</v>
      </c>
      <c r="G48" s="108">
        <v>0.16272189349112426</v>
      </c>
      <c r="H48" s="109">
        <v>11142.857142857143</v>
      </c>
      <c r="I48" s="109">
        <v>-9829.0909090909099</v>
      </c>
      <c r="J48" s="108">
        <v>0.17777777777777778</v>
      </c>
      <c r="K48" s="108">
        <v>0.2</v>
      </c>
      <c r="L48" s="108">
        <v>0.33658536585365856</v>
      </c>
      <c r="M48" s="108">
        <v>0.24390243902439024</v>
      </c>
      <c r="N48" s="108">
        <v>0.59420289855072461</v>
      </c>
      <c r="O48" s="108">
        <v>0.38</v>
      </c>
      <c r="P48" s="108">
        <v>0.40952380952380951</v>
      </c>
      <c r="Q48" s="108">
        <v>0.41599999999999998</v>
      </c>
    </row>
    <row r="49" spans="1:17" x14ac:dyDescent="0.45">
      <c r="A49" s="110">
        <v>46</v>
      </c>
      <c r="B49" s="107">
        <v>184.79999999999995</v>
      </c>
      <c r="C49" s="107">
        <v>4.0173913043478251</v>
      </c>
      <c r="D49" s="112">
        <v>1.8913043478260869</v>
      </c>
      <c r="E49" s="108">
        <v>0.41304347826086957</v>
      </c>
      <c r="F49" s="108">
        <v>0.3188405797101449</v>
      </c>
      <c r="G49" s="108">
        <v>0.15942028985507245</v>
      </c>
      <c r="H49" s="109">
        <v>11029.09090909091</v>
      </c>
      <c r="I49" s="109">
        <v>-9829.0909090909099</v>
      </c>
      <c r="J49" s="108">
        <v>0.17391304347826086</v>
      </c>
      <c r="K49" s="108">
        <v>0.21739130434782608</v>
      </c>
      <c r="L49" s="108">
        <v>0.34433962264150941</v>
      </c>
      <c r="M49" s="108">
        <v>0.24056603773584906</v>
      </c>
      <c r="N49" s="108">
        <v>0.61643835616438358</v>
      </c>
      <c r="O49" s="108">
        <v>0.39215686274509803</v>
      </c>
      <c r="P49" s="108">
        <v>0.40909090909090912</v>
      </c>
      <c r="Q49" s="108">
        <v>0.41860465116279072</v>
      </c>
    </row>
    <row r="50" spans="1:17" x14ac:dyDescent="0.45">
      <c r="A50" s="110">
        <v>47</v>
      </c>
      <c r="B50" s="107">
        <v>194.69999999999996</v>
      </c>
      <c r="C50" s="107">
        <v>4.1425531914893607</v>
      </c>
      <c r="D50" s="112">
        <v>1.8936170212765957</v>
      </c>
      <c r="E50" s="108">
        <v>0.40425531914893614</v>
      </c>
      <c r="F50" s="108">
        <v>0.32011331444759206</v>
      </c>
      <c r="G50" s="108">
        <v>0.16147308781869688</v>
      </c>
      <c r="H50" s="109">
        <v>11019.469026548673</v>
      </c>
      <c r="I50" s="109">
        <v>-9740.3508771929828</v>
      </c>
      <c r="J50" s="108">
        <v>0.1702127659574468</v>
      </c>
      <c r="K50" s="108">
        <v>0.21276595744680851</v>
      </c>
      <c r="L50" s="108">
        <v>0.35</v>
      </c>
      <c r="M50" s="108">
        <v>0.23181818181818181</v>
      </c>
      <c r="N50" s="108">
        <v>0.62337662337662336</v>
      </c>
      <c r="O50" s="108">
        <v>0.39215686274509803</v>
      </c>
      <c r="P50" s="108">
        <v>0.41592920353982299</v>
      </c>
      <c r="Q50" s="108">
        <v>0.41221374045801529</v>
      </c>
    </row>
    <row r="51" spans="1:17" x14ac:dyDescent="0.45">
      <c r="A51" s="110">
        <v>48</v>
      </c>
      <c r="B51" s="107">
        <v>175.69999999999996</v>
      </c>
      <c r="C51" s="107">
        <v>3.660416666666666</v>
      </c>
      <c r="D51" s="112">
        <v>1.9166666666666667</v>
      </c>
      <c r="E51" s="108">
        <v>0.39583333333333331</v>
      </c>
      <c r="F51" s="108">
        <v>0.31955922865013775</v>
      </c>
      <c r="G51" s="108">
        <v>0.16253443526170799</v>
      </c>
      <c r="H51" s="109">
        <v>10915.51724137931</v>
      </c>
      <c r="I51" s="109">
        <v>-9850.8474576271183</v>
      </c>
      <c r="J51" s="108">
        <v>0.16666666666666666</v>
      </c>
      <c r="K51" s="108">
        <v>0.20833333333333334</v>
      </c>
      <c r="L51" s="108">
        <v>0.34782608695652173</v>
      </c>
      <c r="M51" s="108">
        <v>0.23043478260869565</v>
      </c>
      <c r="N51" s="108">
        <v>0.625</v>
      </c>
      <c r="O51" s="108">
        <v>0.39622641509433965</v>
      </c>
      <c r="P51" s="108">
        <v>0.41379310344827586</v>
      </c>
      <c r="Q51" s="108">
        <v>0.41044776119402987</v>
      </c>
    </row>
    <row r="52" spans="1:17" x14ac:dyDescent="0.45">
      <c r="A52" s="110">
        <v>49</v>
      </c>
      <c r="B52" s="107">
        <v>170.79999999999995</v>
      </c>
      <c r="C52" s="107">
        <v>3.4857142857142849</v>
      </c>
      <c r="D52" s="112">
        <v>1.9183673469387754</v>
      </c>
      <c r="E52" s="108">
        <v>0.38775510204081631</v>
      </c>
      <c r="F52" s="108">
        <v>0.31989247311827956</v>
      </c>
      <c r="G52" s="108">
        <v>0.16129032258064516</v>
      </c>
      <c r="H52" s="109">
        <v>10842.857142857143</v>
      </c>
      <c r="I52" s="109">
        <v>-9886.6666666666661</v>
      </c>
      <c r="J52" s="108">
        <v>0.16326530612244897</v>
      </c>
      <c r="K52" s="108">
        <v>0.20408163265306123</v>
      </c>
      <c r="L52" s="108">
        <v>0.34728033472803349</v>
      </c>
      <c r="M52" s="108">
        <v>0.2384937238493724</v>
      </c>
      <c r="N52" s="108">
        <v>0.61445783132530118</v>
      </c>
      <c r="O52" s="108">
        <v>0.40350877192982454</v>
      </c>
      <c r="P52" s="108">
        <v>0.40336134453781514</v>
      </c>
      <c r="Q52" s="108">
        <v>0.40875912408759124</v>
      </c>
    </row>
    <row r="53" spans="1:17" x14ac:dyDescent="0.45">
      <c r="A53" s="110">
        <v>50</v>
      </c>
      <c r="B53" s="107">
        <v>187.59999999999997</v>
      </c>
      <c r="C53" s="107">
        <v>3.7519999999999993</v>
      </c>
      <c r="D53" s="112">
        <v>1.9</v>
      </c>
      <c r="E53" s="108">
        <v>0.4</v>
      </c>
      <c r="F53" s="108">
        <v>0.31853785900783288</v>
      </c>
      <c r="G53" s="108">
        <v>0.16187989556135771</v>
      </c>
      <c r="H53" s="109">
        <v>10903.27868852459</v>
      </c>
      <c r="I53" s="109">
        <v>-9738.7096774193542</v>
      </c>
      <c r="J53" s="108">
        <v>0.16</v>
      </c>
      <c r="K53" s="108">
        <v>0.2</v>
      </c>
      <c r="L53" s="108">
        <v>0.34399999999999997</v>
      </c>
      <c r="M53" s="108">
        <v>0.23599999999999999</v>
      </c>
      <c r="N53" s="108">
        <v>0.61627906976744184</v>
      </c>
      <c r="O53" s="108">
        <v>0.38983050847457629</v>
      </c>
      <c r="P53" s="108">
        <v>0.40163934426229508</v>
      </c>
      <c r="Q53" s="108">
        <v>0.40425531914893614</v>
      </c>
    </row>
    <row r="54" spans="1:17" x14ac:dyDescent="0.45">
      <c r="A54" s="110">
        <v>51</v>
      </c>
      <c r="B54" s="107">
        <v>162.19999999999996</v>
      </c>
      <c r="C54" s="107">
        <v>3.1803921568627445</v>
      </c>
      <c r="D54" s="112">
        <v>1.9215686274509804</v>
      </c>
      <c r="E54" s="108">
        <v>0.39215686274509803</v>
      </c>
      <c r="F54" s="108">
        <v>0.31282051282051282</v>
      </c>
      <c r="G54" s="108">
        <v>0.1641025641025641</v>
      </c>
      <c r="H54" s="109">
        <v>10903.27868852459</v>
      </c>
      <c r="I54" s="109">
        <v>-9809.375</v>
      </c>
      <c r="J54" s="108">
        <v>0.15686274509803921</v>
      </c>
      <c r="K54" s="108">
        <v>0.19607843137254902</v>
      </c>
      <c r="L54" s="108">
        <v>0.33852140077821014</v>
      </c>
      <c r="M54" s="108">
        <v>0.23346303501945526</v>
      </c>
      <c r="N54" s="108">
        <v>0.60919540229885061</v>
      </c>
      <c r="O54" s="108">
        <v>0.38333333333333336</v>
      </c>
      <c r="P54" s="108">
        <v>0.40163934426229508</v>
      </c>
      <c r="Q54" s="108">
        <v>0.39860139860139859</v>
      </c>
    </row>
    <row r="55" spans="1:17" x14ac:dyDescent="0.45">
      <c r="A55" s="110">
        <v>52</v>
      </c>
      <c r="B55" s="107">
        <v>171.69999999999996</v>
      </c>
      <c r="C55" s="107">
        <v>3.3019230769230763</v>
      </c>
      <c r="D55" s="112">
        <v>1.9038461538461537</v>
      </c>
      <c r="E55" s="108">
        <v>0.40384615384615385</v>
      </c>
      <c r="F55" s="108">
        <v>0.31155778894472363</v>
      </c>
      <c r="G55" s="108">
        <v>0.16582914572864321</v>
      </c>
      <c r="H55" s="109">
        <v>10945.161290322581</v>
      </c>
      <c r="I55" s="109">
        <v>-9754.545454545454</v>
      </c>
      <c r="J55" s="108">
        <v>0.15384615384615385</v>
      </c>
      <c r="K55" s="108">
        <v>0.19230769230769232</v>
      </c>
      <c r="L55" s="108">
        <v>0.33962264150943394</v>
      </c>
      <c r="M55" s="108">
        <v>0.23018867924528302</v>
      </c>
      <c r="N55" s="108">
        <v>0.61111111111111116</v>
      </c>
      <c r="O55" s="108">
        <v>0.37704918032786883</v>
      </c>
      <c r="P55" s="108">
        <v>0.41129032258064518</v>
      </c>
      <c r="Q55" s="108">
        <v>0.39726027397260272</v>
      </c>
    </row>
    <row r="56" spans="1:17" x14ac:dyDescent="0.45">
      <c r="A56" s="110">
        <v>53</v>
      </c>
      <c r="B56" s="107">
        <v>171.29999999999995</v>
      </c>
      <c r="C56" s="107">
        <v>3.2320754716981122</v>
      </c>
      <c r="D56" s="112">
        <v>1.9056603773584906</v>
      </c>
      <c r="E56" s="108">
        <v>0.39622641509433965</v>
      </c>
      <c r="F56" s="108">
        <v>0.31773399014778325</v>
      </c>
      <c r="G56" s="108">
        <v>0.16748768472906403</v>
      </c>
      <c r="H56" s="109">
        <v>10773.643410852714</v>
      </c>
      <c r="I56" s="109">
        <v>-9908.823529411764</v>
      </c>
      <c r="J56" s="108">
        <v>0.15094339622641509</v>
      </c>
      <c r="K56" s="108">
        <v>0.18867924528301888</v>
      </c>
      <c r="L56" s="108">
        <v>0.33699633699633702</v>
      </c>
      <c r="M56" s="108">
        <v>0.23809523809523808</v>
      </c>
      <c r="N56" s="108">
        <v>0.61956521739130432</v>
      </c>
      <c r="O56" s="108">
        <v>0.38461538461538464</v>
      </c>
      <c r="P56" s="108">
        <v>0.41085271317829458</v>
      </c>
      <c r="Q56" s="108">
        <v>0.39597315436241609</v>
      </c>
    </row>
    <row r="57" spans="1:17" x14ac:dyDescent="0.45">
      <c r="A57" s="110">
        <v>54</v>
      </c>
      <c r="B57" s="107">
        <v>188.39999999999995</v>
      </c>
      <c r="C57" s="107">
        <v>3.488888888888888</v>
      </c>
      <c r="D57" s="112">
        <v>1.8888888888888888</v>
      </c>
      <c r="E57" s="108">
        <v>0.40740740740740738</v>
      </c>
      <c r="F57" s="108">
        <v>0.31971153846153844</v>
      </c>
      <c r="G57" s="108">
        <v>0.16346153846153846</v>
      </c>
      <c r="H57" s="109">
        <v>10638.345864661655</v>
      </c>
      <c r="I57" s="109">
        <v>-9908.823529411764</v>
      </c>
      <c r="J57" s="108">
        <v>0.14814814814814814</v>
      </c>
      <c r="K57" s="108">
        <v>0.18518518518518517</v>
      </c>
      <c r="L57" s="108">
        <v>0.33922261484098942</v>
      </c>
      <c r="M57" s="108">
        <v>0.22968197879858657</v>
      </c>
      <c r="N57" s="108">
        <v>0.63541666666666663</v>
      </c>
      <c r="O57" s="108">
        <v>0.38461538461538464</v>
      </c>
      <c r="P57" s="108">
        <v>0.40601503759398494</v>
      </c>
      <c r="Q57" s="108">
        <v>0.39215686274509803</v>
      </c>
    </row>
    <row r="58" spans="1:17" x14ac:dyDescent="0.45">
      <c r="A58" s="110">
        <v>55</v>
      </c>
      <c r="B58" s="107">
        <v>210.19999999999996</v>
      </c>
      <c r="C58" s="107">
        <v>3.8218181818181809</v>
      </c>
      <c r="D58" s="112">
        <v>1.8727272727272728</v>
      </c>
      <c r="E58" s="108">
        <v>0.41818181818181815</v>
      </c>
      <c r="F58" s="108">
        <v>0.32380952380952382</v>
      </c>
      <c r="G58" s="108">
        <v>0.16190476190476191</v>
      </c>
      <c r="H58" s="109">
        <v>10549.264705882353</v>
      </c>
      <c r="I58" s="109">
        <v>-9908.823529411764</v>
      </c>
      <c r="J58" s="108">
        <v>0.14545454545454545</v>
      </c>
      <c r="K58" s="108">
        <v>0.2</v>
      </c>
      <c r="L58" s="108">
        <v>0.34146341463414637</v>
      </c>
      <c r="M58" s="108">
        <v>0.2264808362369338</v>
      </c>
      <c r="N58" s="108">
        <v>0.6428571428571429</v>
      </c>
      <c r="O58" s="108">
        <v>0.38461538461538464</v>
      </c>
      <c r="P58" s="108">
        <v>0.40441176470588236</v>
      </c>
      <c r="Q58" s="108">
        <v>0.39743589743589741</v>
      </c>
    </row>
    <row r="59" spans="1:17" x14ac:dyDescent="0.45">
      <c r="A59" s="110">
        <v>56</v>
      </c>
      <c r="B59" s="107">
        <v>198.39999999999995</v>
      </c>
      <c r="C59" s="107">
        <v>3.5428571428571418</v>
      </c>
      <c r="D59" s="112">
        <v>1.8928571428571428</v>
      </c>
      <c r="E59" s="108">
        <v>0.4107142857142857</v>
      </c>
      <c r="F59" s="108">
        <v>0.32084309133489464</v>
      </c>
      <c r="G59" s="108">
        <v>0.16393442622950818</v>
      </c>
      <c r="H59" s="109">
        <v>10559.854014598541</v>
      </c>
      <c r="I59" s="109">
        <v>-9737.1428571428569</v>
      </c>
      <c r="J59" s="108">
        <v>0.14285714285714285</v>
      </c>
      <c r="K59" s="108">
        <v>0.19642857142857142</v>
      </c>
      <c r="L59" s="108">
        <v>0.33333333333333331</v>
      </c>
      <c r="M59" s="108">
        <v>0.22448979591836735</v>
      </c>
      <c r="N59" s="108">
        <v>0.6428571428571429</v>
      </c>
      <c r="O59" s="108">
        <v>0.39393939393939392</v>
      </c>
      <c r="P59" s="108">
        <v>0.40145985401459855</v>
      </c>
      <c r="Q59" s="108">
        <v>0.39240506329113922</v>
      </c>
    </row>
    <row r="60" spans="1:17" x14ac:dyDescent="0.45">
      <c r="A60" s="110">
        <v>57</v>
      </c>
      <c r="B60" s="107">
        <v>233.39999999999995</v>
      </c>
      <c r="C60" s="107">
        <v>4.0947368421052621</v>
      </c>
      <c r="D60" s="112">
        <v>1.8771929824561404</v>
      </c>
      <c r="E60" s="108">
        <v>0.42105263157894735</v>
      </c>
      <c r="F60" s="108">
        <v>0.32242990654205606</v>
      </c>
      <c r="G60" s="108">
        <v>0.16355140186915887</v>
      </c>
      <c r="H60" s="109">
        <v>10744.202898550724</v>
      </c>
      <c r="I60" s="109">
        <v>-9737.1428571428569</v>
      </c>
      <c r="J60" s="108">
        <v>0.14035087719298245</v>
      </c>
      <c r="K60" s="108">
        <v>0.21052631578947367</v>
      </c>
      <c r="L60" s="108">
        <v>0.33559322033898303</v>
      </c>
      <c r="M60" s="108">
        <v>0.22372881355932203</v>
      </c>
      <c r="N60" s="108">
        <v>0.64646464646464652</v>
      </c>
      <c r="O60" s="108">
        <v>0.39393939393939392</v>
      </c>
      <c r="P60" s="108">
        <v>0.39855072463768115</v>
      </c>
      <c r="Q60" s="108">
        <v>0.39622641509433965</v>
      </c>
    </row>
    <row r="61" spans="1:17" x14ac:dyDescent="0.45">
      <c r="A61" s="110">
        <v>58</v>
      </c>
      <c r="B61" s="107">
        <v>185.29999999999995</v>
      </c>
      <c r="C61" s="107">
        <v>3.1948275862068956</v>
      </c>
      <c r="D61" s="112">
        <v>1.896551724137931</v>
      </c>
      <c r="E61" s="108">
        <v>0.41379310344827586</v>
      </c>
      <c r="F61" s="108">
        <v>0.3180778032036613</v>
      </c>
      <c r="G61" s="108">
        <v>0.16018306636155608</v>
      </c>
      <c r="H61" s="109">
        <v>10681.294964028777</v>
      </c>
      <c r="I61" s="109">
        <v>-9737.1428571428569</v>
      </c>
      <c r="J61" s="108">
        <v>0.15517241379310345</v>
      </c>
      <c r="K61" s="108">
        <v>0.20689655172413793</v>
      </c>
      <c r="L61" s="108">
        <v>0.33223684210526316</v>
      </c>
      <c r="M61" s="108">
        <v>0.22368421052631579</v>
      </c>
      <c r="N61" s="108">
        <v>0.63366336633663367</v>
      </c>
      <c r="O61" s="108">
        <v>0.39705882352941174</v>
      </c>
      <c r="P61" s="108">
        <v>0.39568345323741005</v>
      </c>
      <c r="Q61" s="108">
        <v>0.39130434782608697</v>
      </c>
    </row>
    <row r="62" spans="1:17" x14ac:dyDescent="0.45">
      <c r="A62" s="110">
        <v>59</v>
      </c>
      <c r="B62" s="107">
        <v>182.69999999999996</v>
      </c>
      <c r="C62" s="107">
        <v>3.0966101694915249</v>
      </c>
      <c r="D62" s="112">
        <v>1.8983050847457628</v>
      </c>
      <c r="E62" s="108">
        <v>0.40677966101694918</v>
      </c>
      <c r="F62" s="108">
        <v>0.31838565022421522</v>
      </c>
      <c r="G62" s="108">
        <v>0.16367713004484305</v>
      </c>
      <c r="H62" s="109">
        <v>10575.352112676057</v>
      </c>
      <c r="I62" s="109">
        <v>-9626.0273972602736</v>
      </c>
      <c r="J62" s="108">
        <v>0.15254237288135594</v>
      </c>
      <c r="K62" s="108">
        <v>0.20338983050847459</v>
      </c>
      <c r="L62" s="108">
        <v>0.33546325878594252</v>
      </c>
      <c r="M62" s="108">
        <v>0.22044728434504793</v>
      </c>
      <c r="N62" s="108">
        <v>0.62857142857142856</v>
      </c>
      <c r="O62" s="108">
        <v>0.39130434782608697</v>
      </c>
      <c r="P62" s="108">
        <v>0.39436619718309857</v>
      </c>
      <c r="Q62" s="108">
        <v>0.3902439024390244</v>
      </c>
    </row>
    <row r="63" spans="1:17" x14ac:dyDescent="0.45">
      <c r="A63" s="110">
        <v>60</v>
      </c>
      <c r="B63" s="107">
        <v>194.19999999999996</v>
      </c>
      <c r="C63" s="107">
        <v>3.2366666666666659</v>
      </c>
      <c r="D63" s="112">
        <v>1.8833333333333333</v>
      </c>
      <c r="E63" s="108">
        <v>0.41666666666666669</v>
      </c>
      <c r="F63" s="108">
        <v>0.3208791208791209</v>
      </c>
      <c r="G63" s="108">
        <v>0.16043956043956045</v>
      </c>
      <c r="H63" s="109">
        <v>10532.191780821919</v>
      </c>
      <c r="I63" s="109">
        <v>-9626.0273972602736</v>
      </c>
      <c r="J63" s="108">
        <v>0.15</v>
      </c>
      <c r="K63" s="108">
        <v>0.2</v>
      </c>
      <c r="L63" s="108">
        <v>0.32919254658385094</v>
      </c>
      <c r="M63" s="108">
        <v>0.2267080745341615</v>
      </c>
      <c r="N63" s="108">
        <v>0.63207547169811318</v>
      </c>
      <c r="O63" s="108">
        <v>0.38356164383561642</v>
      </c>
      <c r="P63" s="108">
        <v>0.4041095890410959</v>
      </c>
      <c r="Q63" s="108">
        <v>0.38554216867469882</v>
      </c>
    </row>
    <row r="64" spans="1:17" x14ac:dyDescent="0.45">
      <c r="A64" s="110">
        <v>61</v>
      </c>
      <c r="B64" s="107">
        <v>206.49999999999997</v>
      </c>
      <c r="C64" s="107">
        <v>3.3852459016393439</v>
      </c>
      <c r="D64" s="112">
        <v>1.8852459016393444</v>
      </c>
      <c r="E64" s="108">
        <v>0.4098360655737705</v>
      </c>
      <c r="F64" s="108">
        <v>0.32034632034632032</v>
      </c>
      <c r="G64" s="108">
        <v>0.16017316017316016</v>
      </c>
      <c r="H64" s="109">
        <v>10552.027027027027</v>
      </c>
      <c r="I64" s="109">
        <v>-9566.2162162162167</v>
      </c>
      <c r="J64" s="108">
        <v>0.14754098360655737</v>
      </c>
      <c r="K64" s="108">
        <v>0.19672131147540983</v>
      </c>
      <c r="L64" s="108">
        <v>0.32826747720364741</v>
      </c>
      <c r="M64" s="108">
        <v>0.22492401215805471</v>
      </c>
      <c r="N64" s="108">
        <v>0.62962962962962965</v>
      </c>
      <c r="O64" s="108">
        <v>0.39189189189189189</v>
      </c>
      <c r="P64" s="108">
        <v>0.40540540540540543</v>
      </c>
      <c r="Q64" s="108">
        <v>0.38095238095238093</v>
      </c>
    </row>
    <row r="65" spans="1:17" x14ac:dyDescent="0.45">
      <c r="A65" s="110">
        <v>62</v>
      </c>
      <c r="B65" s="107">
        <v>207.39999999999998</v>
      </c>
      <c r="C65" s="107">
        <v>3.3451612903225802</v>
      </c>
      <c r="D65" s="112">
        <v>1.8870967741935485</v>
      </c>
      <c r="E65" s="108">
        <v>0.40322580645161288</v>
      </c>
      <c r="F65" s="108">
        <v>0.32203389830508472</v>
      </c>
      <c r="G65" s="108">
        <v>0.16313559322033899</v>
      </c>
      <c r="H65" s="109">
        <v>10509.868421052632</v>
      </c>
      <c r="I65" s="109">
        <v>-9594.8051948051943</v>
      </c>
      <c r="J65" s="108">
        <v>0.14516129032258066</v>
      </c>
      <c r="K65" s="108">
        <v>0.19354838709677419</v>
      </c>
      <c r="L65" s="108">
        <v>0.3303834808259587</v>
      </c>
      <c r="M65" s="108">
        <v>0.22418879056047197</v>
      </c>
      <c r="N65" s="108">
        <v>0.6428571428571429</v>
      </c>
      <c r="O65" s="108">
        <v>0.38157894736842107</v>
      </c>
      <c r="P65" s="108">
        <v>0.40789473684210525</v>
      </c>
      <c r="Q65" s="108">
        <v>0.37790697674418605</v>
      </c>
    </row>
    <row r="66" spans="1:17" x14ac:dyDescent="0.45">
      <c r="A66" s="110">
        <v>63</v>
      </c>
      <c r="B66" s="107">
        <v>203.59999999999997</v>
      </c>
      <c r="C66" s="107">
        <v>3.2317460317460314</v>
      </c>
      <c r="D66" s="112">
        <v>1.8888888888888888</v>
      </c>
      <c r="E66" s="108">
        <v>0.3968253968253968</v>
      </c>
      <c r="F66" s="108">
        <v>0.32291666666666669</v>
      </c>
      <c r="G66" s="108">
        <v>0.16250000000000001</v>
      </c>
      <c r="H66" s="109">
        <v>10500.645161290322</v>
      </c>
      <c r="I66" s="109">
        <v>-9508.9743589743593</v>
      </c>
      <c r="J66" s="108">
        <v>0.14285714285714285</v>
      </c>
      <c r="K66" s="108">
        <v>0.19047619047619047</v>
      </c>
      <c r="L66" s="108">
        <v>0.32853025936599423</v>
      </c>
      <c r="M66" s="108">
        <v>0.22478386167146974</v>
      </c>
      <c r="N66" s="108">
        <v>0.64035087719298245</v>
      </c>
      <c r="O66" s="108">
        <v>0.37179487179487181</v>
      </c>
      <c r="P66" s="108">
        <v>0.41935483870967744</v>
      </c>
      <c r="Q66" s="108">
        <v>0.37356321839080459</v>
      </c>
    </row>
    <row r="67" spans="1:17" x14ac:dyDescent="0.45">
      <c r="A67" s="110">
        <v>64</v>
      </c>
      <c r="B67" s="107">
        <v>191.69999999999996</v>
      </c>
      <c r="C67" s="107">
        <v>2.9953124999999994</v>
      </c>
      <c r="D67" s="112">
        <v>1.890625</v>
      </c>
      <c r="E67" s="108">
        <v>0.390625</v>
      </c>
      <c r="F67" s="108">
        <v>0.32310838445807771</v>
      </c>
      <c r="G67" s="108">
        <v>0.16155419222903886</v>
      </c>
      <c r="H67" s="109">
        <v>10441.139240506329</v>
      </c>
      <c r="I67" s="109">
        <v>-9489.8734177215192</v>
      </c>
      <c r="J67" s="108">
        <v>0.140625</v>
      </c>
      <c r="K67" s="108">
        <v>0.1875</v>
      </c>
      <c r="L67" s="108">
        <v>0.3342696629213483</v>
      </c>
      <c r="M67" s="108">
        <v>0.2247191011235955</v>
      </c>
      <c r="N67" s="108">
        <v>0.63025210084033612</v>
      </c>
      <c r="O67" s="108">
        <v>0.375</v>
      </c>
      <c r="P67" s="108">
        <v>0.43037974683544306</v>
      </c>
      <c r="Q67" s="108">
        <v>0.3672316384180791</v>
      </c>
    </row>
    <row r="68" spans="1:17" x14ac:dyDescent="0.45">
      <c r="A68" s="110">
        <v>65</v>
      </c>
      <c r="B68" s="107">
        <v>175.19999999999996</v>
      </c>
      <c r="C68" s="107">
        <v>2.6953846153846146</v>
      </c>
      <c r="D68" s="112">
        <v>1.9076923076923078</v>
      </c>
      <c r="E68" s="108">
        <v>0.38461538461538464</v>
      </c>
      <c r="F68" s="108">
        <v>0.31991951710261568</v>
      </c>
      <c r="G68" s="108">
        <v>0.15895372233400401</v>
      </c>
      <c r="H68" s="109">
        <v>10388.050314465409</v>
      </c>
      <c r="I68" s="109">
        <v>-9489.8734177215192</v>
      </c>
      <c r="J68" s="108">
        <v>0.13846153846153847</v>
      </c>
      <c r="K68" s="108">
        <v>0.18461538461538463</v>
      </c>
      <c r="L68" s="108">
        <v>0.3324175824175824</v>
      </c>
      <c r="M68" s="108">
        <v>0.23076923076923078</v>
      </c>
      <c r="N68" s="108">
        <v>0.6198347107438017</v>
      </c>
      <c r="O68" s="108">
        <v>0.36904761904761907</v>
      </c>
      <c r="P68" s="108">
        <v>0.42767295597484278</v>
      </c>
      <c r="Q68" s="108">
        <v>0.36312849162011174</v>
      </c>
    </row>
    <row r="69" spans="1:17" x14ac:dyDescent="0.45">
      <c r="A69" s="110">
        <v>66</v>
      </c>
      <c r="B69" s="107">
        <v>181.49999999999997</v>
      </c>
      <c r="C69" s="107">
        <v>2.7499999999999996</v>
      </c>
      <c r="D69" s="112">
        <v>1.893939393939394</v>
      </c>
      <c r="E69" s="108">
        <v>0.39393939393939392</v>
      </c>
      <c r="F69" s="108">
        <v>0.32405566600397612</v>
      </c>
      <c r="G69" s="108">
        <v>0.15705765407554673</v>
      </c>
      <c r="H69" s="109">
        <v>10243.558282208589</v>
      </c>
      <c r="I69" s="109">
        <v>-9489.8734177215192</v>
      </c>
      <c r="J69" s="108">
        <v>0.13636363636363635</v>
      </c>
      <c r="K69" s="108">
        <v>0.18181818181818182</v>
      </c>
      <c r="L69" s="108">
        <v>0.33243243243243242</v>
      </c>
      <c r="M69" s="108">
        <v>0.23243243243243245</v>
      </c>
      <c r="N69" s="108">
        <v>0.62601626016260159</v>
      </c>
      <c r="O69" s="108">
        <v>0.38372093023255816</v>
      </c>
      <c r="P69" s="108">
        <v>0.41717791411042943</v>
      </c>
      <c r="Q69" s="108">
        <v>0.35911602209944754</v>
      </c>
    </row>
    <row r="70" spans="1:17" x14ac:dyDescent="0.45">
      <c r="A70" s="110">
        <v>67</v>
      </c>
      <c r="B70" s="107">
        <v>177.89999999999998</v>
      </c>
      <c r="C70" s="107">
        <v>2.6552238805970148</v>
      </c>
      <c r="D70" s="112">
        <v>1.9104477611940298</v>
      </c>
      <c r="E70" s="108">
        <v>0.38805970149253732</v>
      </c>
      <c r="F70" s="108">
        <v>0.32485322896281799</v>
      </c>
      <c r="G70" s="108">
        <v>0.15851272015655576</v>
      </c>
      <c r="H70" s="109">
        <v>10227.10843373494</v>
      </c>
      <c r="I70" s="109">
        <v>-9435.8024691358023</v>
      </c>
      <c r="J70" s="108">
        <v>0.13432835820895522</v>
      </c>
      <c r="K70" s="108">
        <v>0.17910447761194029</v>
      </c>
      <c r="L70" s="108">
        <v>0.33333333333333331</v>
      </c>
      <c r="M70" s="108">
        <v>0.23280423280423279</v>
      </c>
      <c r="N70" s="108">
        <v>0.62698412698412698</v>
      </c>
      <c r="O70" s="108">
        <v>0.38636363636363635</v>
      </c>
      <c r="P70" s="108">
        <v>0.42168674698795183</v>
      </c>
      <c r="Q70" s="108">
        <v>0.3551912568306011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36DFB-2CEA-4DF0-B454-018C0ECB7774}">
  <sheetPr codeName="Sheet23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138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19</v>
      </c>
      <c r="C2" s="120"/>
      <c r="E2" s="102" t="s">
        <v>67</v>
      </c>
      <c r="F2" s="98" t="s">
        <v>21</v>
      </c>
      <c r="G2" s="85">
        <v>15</v>
      </c>
      <c r="H2" s="61">
        <f t="shared" ref="H2:H51" si="0">IF(B$25=0,0,G2/B$25)</f>
        <v>0.75</v>
      </c>
      <c r="J2" s="60">
        <v>0</v>
      </c>
      <c r="K2" s="62">
        <v>0</v>
      </c>
      <c r="M2" s="60" t="s">
        <v>150</v>
      </c>
      <c r="N2" s="81">
        <f t="shared" ref="N2:N7" si="1">IF(P2=0,0,O2/P2)</f>
        <v>1878.9473684210527</v>
      </c>
      <c r="O2" s="78">
        <v>35700</v>
      </c>
      <c r="P2" s="76">
        <v>19</v>
      </c>
    </row>
    <row r="3" spans="1:16" x14ac:dyDescent="0.45">
      <c r="A3" s="94" t="s">
        <v>8</v>
      </c>
      <c r="B3" s="125">
        <v>149</v>
      </c>
      <c r="C3" s="126"/>
      <c r="E3" s="103" t="s">
        <v>68</v>
      </c>
      <c r="F3" s="99" t="s">
        <v>22</v>
      </c>
      <c r="G3" s="86">
        <v>4</v>
      </c>
      <c r="H3" s="64">
        <f t="shared" si="0"/>
        <v>0.2</v>
      </c>
      <c r="J3" s="63">
        <v>1</v>
      </c>
      <c r="K3" s="65">
        <v>-14.4</v>
      </c>
      <c r="M3" s="63" t="s">
        <v>151</v>
      </c>
      <c r="N3" s="82">
        <f t="shared" si="1"/>
        <v>6941.1764705882351</v>
      </c>
      <c r="O3" s="79">
        <v>118000</v>
      </c>
      <c r="P3" s="74">
        <v>17</v>
      </c>
    </row>
    <row r="4" spans="1:16" x14ac:dyDescent="0.45">
      <c r="A4" s="94" t="s">
        <v>6</v>
      </c>
      <c r="B4" s="127">
        <v>140.60000000000002</v>
      </c>
      <c r="C4" s="128"/>
      <c r="E4" s="103" t="s">
        <v>69</v>
      </c>
      <c r="F4" s="99" t="s">
        <v>23</v>
      </c>
      <c r="G4" s="86">
        <v>10</v>
      </c>
      <c r="H4" s="64">
        <f t="shared" si="0"/>
        <v>0.5</v>
      </c>
      <c r="J4" s="63">
        <v>2</v>
      </c>
      <c r="K4" s="65">
        <v>36.6</v>
      </c>
      <c r="M4" s="63" t="s">
        <v>152</v>
      </c>
      <c r="N4" s="82">
        <f t="shared" si="1"/>
        <v>-1892.8571428571429</v>
      </c>
      <c r="O4" s="79">
        <v>-26500</v>
      </c>
      <c r="P4" s="74">
        <v>14</v>
      </c>
    </row>
    <row r="5" spans="1:16" x14ac:dyDescent="0.45">
      <c r="A5" s="94" t="s">
        <v>7</v>
      </c>
      <c r="B5" s="127">
        <f>IF(B$2=0,0,B$4/B$2)</f>
        <v>7.4000000000000012</v>
      </c>
      <c r="C5" s="128"/>
      <c r="E5" s="103" t="s">
        <v>70</v>
      </c>
      <c r="F5" s="99" t="s">
        <v>24</v>
      </c>
      <c r="G5" s="86">
        <v>14</v>
      </c>
      <c r="H5" s="64">
        <f t="shared" si="0"/>
        <v>0.7</v>
      </c>
      <c r="J5" s="63">
        <v>3</v>
      </c>
      <c r="K5" s="65">
        <v>-2.7999999999999972</v>
      </c>
      <c r="M5" s="63" t="s">
        <v>153</v>
      </c>
      <c r="N5" s="82">
        <f t="shared" si="1"/>
        <v>1964.2857142857142</v>
      </c>
      <c r="O5" s="79">
        <v>27500</v>
      </c>
      <c r="P5" s="74">
        <v>14</v>
      </c>
    </row>
    <row r="6" spans="1:16" x14ac:dyDescent="0.45">
      <c r="A6" s="94" t="s">
        <v>1</v>
      </c>
      <c r="B6" s="117">
        <f>IF(B$2=0,0,(B$7*1+B$8*2+B$9*3)/B$2)</f>
        <v>1.8421052631578947</v>
      </c>
      <c r="C6" s="118"/>
      <c r="E6" s="103" t="s">
        <v>71</v>
      </c>
      <c r="F6" s="99" t="s">
        <v>25</v>
      </c>
      <c r="G6" s="86">
        <v>18</v>
      </c>
      <c r="H6" s="64">
        <f t="shared" si="0"/>
        <v>0.9</v>
      </c>
      <c r="J6" s="63">
        <v>4</v>
      </c>
      <c r="K6" s="65">
        <v>-43.3</v>
      </c>
      <c r="M6" s="63" t="s">
        <v>154</v>
      </c>
      <c r="N6" s="82">
        <f t="shared" si="1"/>
        <v>-483.33333333333331</v>
      </c>
      <c r="O6" s="79">
        <v>-5800</v>
      </c>
      <c r="P6" s="74">
        <v>12</v>
      </c>
    </row>
    <row r="7" spans="1:16" x14ac:dyDescent="0.45">
      <c r="A7" s="94" t="s">
        <v>2</v>
      </c>
      <c r="B7" s="86">
        <v>8</v>
      </c>
      <c r="C7" s="64">
        <f>IF(B$2=0,0,B7/B$2)</f>
        <v>0.42105263157894735</v>
      </c>
      <c r="E7" s="103" t="s">
        <v>72</v>
      </c>
      <c r="F7" s="99" t="s">
        <v>12</v>
      </c>
      <c r="G7" s="86">
        <v>7</v>
      </c>
      <c r="H7" s="64">
        <f t="shared" si="0"/>
        <v>0.35</v>
      </c>
      <c r="J7" s="63">
        <v>5</v>
      </c>
      <c r="K7" s="65">
        <v>8.2000000000000028</v>
      </c>
      <c r="M7" s="68" t="s">
        <v>155</v>
      </c>
      <c r="N7" s="83">
        <f t="shared" si="1"/>
        <v>-530</v>
      </c>
      <c r="O7" s="80">
        <v>-5300</v>
      </c>
      <c r="P7" s="75">
        <v>10</v>
      </c>
    </row>
    <row r="8" spans="1:16" x14ac:dyDescent="0.45">
      <c r="A8" s="94" t="s">
        <v>3</v>
      </c>
      <c r="B8" s="86">
        <v>6</v>
      </c>
      <c r="C8" s="64">
        <f t="shared" ref="C8:C9" si="2">IF(B$2=0,0,B8/B$2)</f>
        <v>0.31578947368421051</v>
      </c>
      <c r="E8" s="103" t="s">
        <v>73</v>
      </c>
      <c r="F8" s="99" t="s">
        <v>26</v>
      </c>
      <c r="G8" s="86">
        <v>3</v>
      </c>
      <c r="H8" s="64">
        <f t="shared" si="0"/>
        <v>0.15</v>
      </c>
      <c r="J8" s="63">
        <v>6</v>
      </c>
      <c r="K8" s="65">
        <v>22.200000000000003</v>
      </c>
    </row>
    <row r="9" spans="1:16" x14ac:dyDescent="0.45">
      <c r="A9" s="95" t="s">
        <v>4</v>
      </c>
      <c r="B9" s="87">
        <v>5</v>
      </c>
      <c r="C9" s="66">
        <f t="shared" si="2"/>
        <v>0.26315789473684209</v>
      </c>
      <c r="E9" s="103" t="s">
        <v>74</v>
      </c>
      <c r="F9" s="99" t="s">
        <v>27</v>
      </c>
      <c r="G9" s="86">
        <v>1</v>
      </c>
      <c r="H9" s="64">
        <f t="shared" si="0"/>
        <v>0.05</v>
      </c>
      <c r="J9" s="63">
        <v>7</v>
      </c>
      <c r="K9" s="65">
        <v>38</v>
      </c>
    </row>
    <row r="10" spans="1:16" x14ac:dyDescent="0.45">
      <c r="A10" s="95" t="s">
        <v>19</v>
      </c>
      <c r="B10" s="87">
        <v>3</v>
      </c>
      <c r="C10" s="66">
        <f>IF(B$2=0,0,B10/B$2)</f>
        <v>0.15789473684210525</v>
      </c>
      <c r="E10" s="103" t="s">
        <v>75</v>
      </c>
      <c r="F10" s="99" t="s">
        <v>28</v>
      </c>
      <c r="G10" s="86">
        <v>1</v>
      </c>
      <c r="H10" s="64">
        <f t="shared" si="0"/>
        <v>0.05</v>
      </c>
      <c r="J10" s="63">
        <v>8</v>
      </c>
      <c r="K10" s="65">
        <v>3.2000000000000028</v>
      </c>
    </row>
    <row r="11" spans="1:16" x14ac:dyDescent="0.45">
      <c r="A11" s="96" t="s">
        <v>160</v>
      </c>
      <c r="B11" s="88">
        <v>4</v>
      </c>
      <c r="C11" s="69">
        <f>IF(B$2=0,0,B11/B$2)</f>
        <v>0.21052631578947367</v>
      </c>
      <c r="E11" s="103" t="s">
        <v>76</v>
      </c>
      <c r="F11" s="99" t="s">
        <v>29</v>
      </c>
      <c r="G11" s="86">
        <v>7</v>
      </c>
      <c r="H11" s="64">
        <f t="shared" si="0"/>
        <v>0.35</v>
      </c>
      <c r="J11" s="63">
        <v>9</v>
      </c>
      <c r="K11" s="65">
        <v>5.8000000000000025</v>
      </c>
    </row>
    <row r="12" spans="1:16" x14ac:dyDescent="0.45">
      <c r="A12" s="97" t="s">
        <v>128</v>
      </c>
      <c r="B12" s="89">
        <v>26</v>
      </c>
      <c r="C12" s="72">
        <f>IF(B$24=0,0,B12/B$24)</f>
        <v>0.38805970149253732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54.800000000000004</v>
      </c>
    </row>
    <row r="13" spans="1:16" x14ac:dyDescent="0.45">
      <c r="A13" s="94" t="s">
        <v>123</v>
      </c>
      <c r="B13" s="86">
        <v>15</v>
      </c>
      <c r="C13" s="64">
        <f>IF(B$24=0,0,B13/B$24)</f>
        <v>0.22388059701492538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66.300000000000011</v>
      </c>
    </row>
    <row r="14" spans="1:16" x14ac:dyDescent="0.45">
      <c r="A14" s="93" t="s">
        <v>130</v>
      </c>
      <c r="B14" s="85">
        <v>14</v>
      </c>
      <c r="C14" s="61">
        <f>IF(B$12=0,0,B14/B$12)</f>
        <v>0.53846153846153844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77.800000000000011</v>
      </c>
    </row>
    <row r="15" spans="1:16" x14ac:dyDescent="0.45">
      <c r="A15" s="93" t="s">
        <v>131</v>
      </c>
      <c r="B15" s="85">
        <v>3</v>
      </c>
      <c r="C15" s="61">
        <f>IF(B$13=0,0,B15/B$13)</f>
        <v>0.2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151.10000000000002</v>
      </c>
    </row>
    <row r="16" spans="1:16" x14ac:dyDescent="0.45">
      <c r="A16" s="93" t="s">
        <v>10</v>
      </c>
      <c r="B16" s="85">
        <f>B18+B17</f>
        <v>48</v>
      </c>
      <c r="C16" s="61">
        <f>IF(B$3=0,0,B16/B$3)</f>
        <v>0.32214765100671139</v>
      </c>
      <c r="E16" s="103" t="s">
        <v>81</v>
      </c>
      <c r="F16" s="99" t="s">
        <v>34</v>
      </c>
      <c r="G16" s="86">
        <v>0</v>
      </c>
      <c r="H16" s="64">
        <f t="shared" si="0"/>
        <v>0</v>
      </c>
      <c r="J16" s="63">
        <v>14</v>
      </c>
      <c r="K16" s="65">
        <v>144.10000000000002</v>
      </c>
    </row>
    <row r="17" spans="1:11" x14ac:dyDescent="0.45">
      <c r="A17" s="94" t="s">
        <v>12</v>
      </c>
      <c r="B17" s="86">
        <v>21</v>
      </c>
      <c r="C17" s="64">
        <f>IF(B$16=0,0,B17/B$16)</f>
        <v>0.4375</v>
      </c>
      <c r="E17" s="103" t="s">
        <v>82</v>
      </c>
      <c r="F17" s="99" t="s">
        <v>35</v>
      </c>
      <c r="G17" s="86">
        <v>1</v>
      </c>
      <c r="H17" s="64">
        <f t="shared" si="0"/>
        <v>0.05</v>
      </c>
      <c r="J17" s="63">
        <v>15</v>
      </c>
      <c r="K17" s="65">
        <v>145.80000000000001</v>
      </c>
    </row>
    <row r="18" spans="1:11" x14ac:dyDescent="0.45">
      <c r="A18" s="94" t="s">
        <v>11</v>
      </c>
      <c r="B18" s="86">
        <v>27</v>
      </c>
      <c r="C18" s="64">
        <f>IF(B$16=0,0,B18/B$16)</f>
        <v>0.5625</v>
      </c>
      <c r="E18" s="103" t="s">
        <v>83</v>
      </c>
      <c r="F18" s="99" t="s">
        <v>36</v>
      </c>
      <c r="G18" s="86">
        <v>0</v>
      </c>
      <c r="H18" s="64">
        <f t="shared" si="0"/>
        <v>0</v>
      </c>
      <c r="J18" s="63">
        <v>16</v>
      </c>
      <c r="K18" s="65">
        <v>149.30000000000001</v>
      </c>
    </row>
    <row r="19" spans="1:11" x14ac:dyDescent="0.45">
      <c r="A19" s="94" t="s">
        <v>13</v>
      </c>
      <c r="B19" s="86">
        <v>24</v>
      </c>
      <c r="C19" s="64">
        <f>IF(B$3=0,0,B19/B$3)</f>
        <v>0.16107382550335569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174.10000000000002</v>
      </c>
    </row>
    <row r="20" spans="1:11" x14ac:dyDescent="0.45">
      <c r="A20" s="94" t="s">
        <v>5</v>
      </c>
      <c r="B20" s="90">
        <f>IF(B$16=0,0,C20/B$16)</f>
        <v>11364.583333333334</v>
      </c>
      <c r="C20" s="67">
        <v>545500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152.00000000000003</v>
      </c>
    </row>
    <row r="21" spans="1:11" x14ac:dyDescent="0.45">
      <c r="A21" s="96" t="s">
        <v>14</v>
      </c>
      <c r="B21" s="91">
        <f>IF(B$19=0,0,C21/B$19)</f>
        <v>-8883.3333333333339</v>
      </c>
      <c r="C21" s="84">
        <v>-213200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  <c r="J21" s="63">
        <v>19</v>
      </c>
      <c r="K21" s="65">
        <v>140.60000000000002</v>
      </c>
    </row>
    <row r="22" spans="1:11" x14ac:dyDescent="0.45">
      <c r="A22" s="93" t="s">
        <v>147</v>
      </c>
      <c r="B22" s="85">
        <v>58</v>
      </c>
      <c r="C22" s="61">
        <f>IF(B$3=0,0,B22/B$3)</f>
        <v>0.38926174496644295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11" x14ac:dyDescent="0.45">
      <c r="A23" s="96" t="s">
        <v>148</v>
      </c>
      <c r="B23" s="88">
        <v>26</v>
      </c>
      <c r="C23" s="69">
        <f>IF(B$22=0,0,B23/B$22)</f>
        <v>0.44827586206896552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11" x14ac:dyDescent="0.45">
      <c r="A24" s="93" t="s">
        <v>126</v>
      </c>
      <c r="B24" s="119">
        <v>67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11" x14ac:dyDescent="0.45">
      <c r="A25" s="96" t="s">
        <v>127</v>
      </c>
      <c r="B25" s="121">
        <v>20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11" x14ac:dyDescent="0.45">
      <c r="A26" s="105" t="s">
        <v>164</v>
      </c>
      <c r="B26" s="115">
        <v>6</v>
      </c>
      <c r="C26" s="116"/>
      <c r="E26" s="103" t="s">
        <v>91</v>
      </c>
      <c r="F26" s="99" t="s">
        <v>44</v>
      </c>
      <c r="G26" s="86">
        <v>1</v>
      </c>
      <c r="H26" s="64">
        <f t="shared" si="0"/>
        <v>0.05</v>
      </c>
    </row>
    <row r="27" spans="1:11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11" x14ac:dyDescent="0.45">
      <c r="E29" s="103" t="s">
        <v>94</v>
      </c>
      <c r="F29" s="99" t="s">
        <v>47</v>
      </c>
      <c r="G29" s="86">
        <v>1</v>
      </c>
      <c r="H29" s="64">
        <f t="shared" si="0"/>
        <v>0.05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11" x14ac:dyDescent="0.45">
      <c r="E31" s="103" t="s">
        <v>96</v>
      </c>
      <c r="F31" s="99" t="s">
        <v>49</v>
      </c>
      <c r="G31" s="86">
        <v>0</v>
      </c>
      <c r="H31" s="64">
        <f t="shared" si="0"/>
        <v>0</v>
      </c>
    </row>
    <row r="32" spans="1:11" x14ac:dyDescent="0.45">
      <c r="E32" s="103" t="s">
        <v>97</v>
      </c>
      <c r="F32" s="99" t="s">
        <v>50</v>
      </c>
      <c r="G32" s="86">
        <v>1</v>
      </c>
      <c r="H32" s="64">
        <f t="shared" si="0"/>
        <v>0.05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5CAB-1450-4856-808B-27044A4B03C1}">
  <sheetPr codeName="Sheet24"/>
  <dimension ref="A1:Q22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138</v>
      </c>
      <c r="B1" s="111" t="s">
        <v>138</v>
      </c>
      <c r="C1" s="111" t="s">
        <v>138</v>
      </c>
      <c r="D1" s="112" t="s">
        <v>138</v>
      </c>
      <c r="E1" s="111" t="s">
        <v>138</v>
      </c>
      <c r="F1" s="111" t="s">
        <v>138</v>
      </c>
      <c r="G1" s="111" t="s">
        <v>138</v>
      </c>
      <c r="H1" s="111" t="s">
        <v>138</v>
      </c>
      <c r="I1" s="111" t="s">
        <v>138</v>
      </c>
      <c r="J1" s="111" t="s">
        <v>138</v>
      </c>
      <c r="K1" s="111" t="s">
        <v>138</v>
      </c>
      <c r="L1" s="111" t="s">
        <v>138</v>
      </c>
      <c r="M1" s="111" t="s">
        <v>138</v>
      </c>
      <c r="N1" s="111" t="s">
        <v>138</v>
      </c>
      <c r="O1" s="111" t="s">
        <v>138</v>
      </c>
      <c r="P1" s="111" t="s">
        <v>138</v>
      </c>
      <c r="Q1" s="111" t="s">
        <v>138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-14.4</v>
      </c>
      <c r="C4" s="107">
        <v>-14.4</v>
      </c>
      <c r="D4" s="112">
        <v>2</v>
      </c>
      <c r="E4" s="108">
        <v>0</v>
      </c>
      <c r="F4" s="108">
        <v>0.1111111111111111</v>
      </c>
      <c r="G4" s="108">
        <v>0.22222222222222221</v>
      </c>
      <c r="H4" s="109">
        <v>16000</v>
      </c>
      <c r="I4" s="109">
        <v>-12850</v>
      </c>
      <c r="J4" s="108">
        <v>0</v>
      </c>
      <c r="K4" s="108">
        <v>0</v>
      </c>
      <c r="P4" s="108">
        <v>1</v>
      </c>
      <c r="Q4" s="108">
        <v>0</v>
      </c>
    </row>
    <row r="5" spans="1:17" x14ac:dyDescent="0.45">
      <c r="A5" s="110">
        <v>2</v>
      </c>
      <c r="B5" s="107">
        <v>36.6</v>
      </c>
      <c r="C5" s="107">
        <v>18.3</v>
      </c>
      <c r="D5" s="112">
        <v>1.5</v>
      </c>
      <c r="E5" s="108">
        <v>0.5</v>
      </c>
      <c r="F5" s="108">
        <v>0.23076923076923078</v>
      </c>
      <c r="G5" s="108">
        <v>0.15384615384615385</v>
      </c>
      <c r="H5" s="109">
        <v>23333.333333333332</v>
      </c>
      <c r="I5" s="109">
        <v>-12850</v>
      </c>
      <c r="J5" s="108">
        <v>0</v>
      </c>
      <c r="K5" s="108">
        <v>0.5</v>
      </c>
      <c r="P5" s="108">
        <v>1</v>
      </c>
      <c r="Q5" s="108">
        <v>0.5</v>
      </c>
    </row>
    <row r="6" spans="1:17" x14ac:dyDescent="0.45">
      <c r="A6" s="110">
        <v>3</v>
      </c>
      <c r="B6" s="107">
        <v>-2.7999999999999972</v>
      </c>
      <c r="C6" s="107">
        <v>-0.93333333333333235</v>
      </c>
      <c r="D6" s="112">
        <v>2</v>
      </c>
      <c r="E6" s="108">
        <v>0.33333333333333331</v>
      </c>
      <c r="F6" s="108">
        <v>0.21739130434782608</v>
      </c>
      <c r="G6" s="108">
        <v>0.21739130434782608</v>
      </c>
      <c r="H6" s="109">
        <v>16800</v>
      </c>
      <c r="I6" s="109">
        <v>-9720</v>
      </c>
      <c r="J6" s="108">
        <v>0.33333333333333331</v>
      </c>
      <c r="K6" s="108">
        <v>0.33333333333333331</v>
      </c>
      <c r="P6" s="108">
        <v>0.8</v>
      </c>
      <c r="Q6" s="108">
        <v>0.42857142857142855</v>
      </c>
    </row>
    <row r="7" spans="1:17" x14ac:dyDescent="0.45">
      <c r="A7" s="110">
        <v>4</v>
      </c>
      <c r="B7" s="107">
        <v>-43.3</v>
      </c>
      <c r="C7" s="107">
        <v>-10.824999999999999</v>
      </c>
      <c r="D7" s="112">
        <v>2.25</v>
      </c>
      <c r="E7" s="108">
        <v>0.25</v>
      </c>
      <c r="F7" s="108">
        <v>0.18518518518518517</v>
      </c>
      <c r="G7" s="108">
        <v>0.25925925925925924</v>
      </c>
      <c r="H7" s="109">
        <v>16800</v>
      </c>
      <c r="I7" s="109">
        <v>-11228.571428571429</v>
      </c>
      <c r="J7" s="108">
        <v>0.5</v>
      </c>
      <c r="K7" s="108">
        <v>0.25</v>
      </c>
      <c r="P7" s="108">
        <v>0.8</v>
      </c>
      <c r="Q7" s="108">
        <v>0.42857142857142855</v>
      </c>
    </row>
    <row r="8" spans="1:17" x14ac:dyDescent="0.45">
      <c r="A8" s="110">
        <v>5</v>
      </c>
      <c r="B8" s="107">
        <v>8.2000000000000028</v>
      </c>
      <c r="C8" s="107">
        <v>1.6400000000000006</v>
      </c>
      <c r="D8" s="112">
        <v>2</v>
      </c>
      <c r="E8" s="108">
        <v>0.4</v>
      </c>
      <c r="F8" s="108">
        <v>0.2857142857142857</v>
      </c>
      <c r="G8" s="108">
        <v>0.22857142857142856</v>
      </c>
      <c r="H8" s="109">
        <v>15800</v>
      </c>
      <c r="I8" s="109">
        <v>-12075</v>
      </c>
      <c r="J8" s="108">
        <v>0.4</v>
      </c>
      <c r="K8" s="108">
        <v>0.4</v>
      </c>
      <c r="P8" s="108">
        <v>0.8</v>
      </c>
      <c r="Q8" s="108">
        <v>0.5</v>
      </c>
    </row>
    <row r="9" spans="1:17" x14ac:dyDescent="0.45">
      <c r="A9" s="110">
        <v>6</v>
      </c>
      <c r="B9" s="107">
        <v>22.200000000000003</v>
      </c>
      <c r="C9" s="107">
        <v>3.7000000000000006</v>
      </c>
      <c r="D9" s="112">
        <v>1.8333333333333333</v>
      </c>
      <c r="E9" s="108">
        <v>0.5</v>
      </c>
      <c r="F9" s="108">
        <v>0.30952380952380953</v>
      </c>
      <c r="G9" s="108">
        <v>0.21428571428571427</v>
      </c>
      <c r="H9" s="109">
        <v>14430.76923076923</v>
      </c>
      <c r="I9" s="109">
        <v>-11022.222222222223</v>
      </c>
      <c r="J9" s="108">
        <v>0.33333333333333331</v>
      </c>
      <c r="K9" s="108">
        <v>0.33333333333333331</v>
      </c>
      <c r="P9" s="108">
        <v>0.69230769230769229</v>
      </c>
      <c r="Q9" s="108">
        <v>0.46666666666666667</v>
      </c>
    </row>
    <row r="10" spans="1:17" x14ac:dyDescent="0.45">
      <c r="A10" s="110">
        <v>7</v>
      </c>
      <c r="B10" s="107">
        <v>38</v>
      </c>
      <c r="C10" s="107">
        <v>5.4285714285714288</v>
      </c>
      <c r="D10" s="112">
        <v>1.7142857142857142</v>
      </c>
      <c r="E10" s="108">
        <v>0.5714285714285714</v>
      </c>
      <c r="F10" s="108">
        <v>0.32</v>
      </c>
      <c r="G10" s="108">
        <v>0.18</v>
      </c>
      <c r="H10" s="109">
        <v>13056.25</v>
      </c>
      <c r="I10" s="109">
        <v>-11022.222222222223</v>
      </c>
      <c r="J10" s="108">
        <v>0.2857142857142857</v>
      </c>
      <c r="K10" s="108">
        <v>0.2857142857142857</v>
      </c>
      <c r="P10" s="108">
        <v>0.625</v>
      </c>
      <c r="Q10" s="108">
        <v>0.42105263157894735</v>
      </c>
    </row>
    <row r="11" spans="1:17" x14ac:dyDescent="0.45">
      <c r="A11" s="110">
        <v>8</v>
      </c>
      <c r="B11" s="107">
        <v>3.2000000000000028</v>
      </c>
      <c r="C11" s="107">
        <v>0.40000000000000036</v>
      </c>
      <c r="D11" s="112">
        <v>1.875</v>
      </c>
      <c r="E11" s="108">
        <v>0.5</v>
      </c>
      <c r="F11" s="108">
        <v>0.28333333333333333</v>
      </c>
      <c r="G11" s="108">
        <v>0.18333333333333332</v>
      </c>
      <c r="H11" s="109">
        <v>12741.176470588236</v>
      </c>
      <c r="I11" s="109">
        <v>-9927.2727272727279</v>
      </c>
      <c r="J11" s="108">
        <v>0.375</v>
      </c>
      <c r="K11" s="108">
        <v>0.25</v>
      </c>
      <c r="P11" s="108">
        <v>0.58823529411764708</v>
      </c>
      <c r="Q11" s="108">
        <v>0.42857142857142855</v>
      </c>
    </row>
    <row r="12" spans="1:17" x14ac:dyDescent="0.45">
      <c r="A12" s="110">
        <v>9</v>
      </c>
      <c r="B12" s="107">
        <v>5.8000000000000025</v>
      </c>
      <c r="C12" s="107">
        <v>0.64444444444444471</v>
      </c>
      <c r="D12" s="112">
        <v>1.8888888888888888</v>
      </c>
      <c r="E12" s="108">
        <v>0.44444444444444442</v>
      </c>
      <c r="F12" s="108">
        <v>0.29508196721311475</v>
      </c>
      <c r="G12" s="108">
        <v>0.18032786885245902</v>
      </c>
      <c r="H12" s="109">
        <v>12177.777777777777</v>
      </c>
      <c r="I12" s="109">
        <v>-9927.2727272727279</v>
      </c>
      <c r="J12" s="108">
        <v>0.33333333333333331</v>
      </c>
      <c r="K12" s="108">
        <v>0.22222222222222221</v>
      </c>
      <c r="P12" s="108">
        <v>0.55555555555555558</v>
      </c>
      <c r="Q12" s="108">
        <v>0.42857142857142855</v>
      </c>
    </row>
    <row r="13" spans="1:17" x14ac:dyDescent="0.45">
      <c r="A13" s="110">
        <v>10</v>
      </c>
      <c r="B13" s="107">
        <v>54.800000000000004</v>
      </c>
      <c r="C13" s="107">
        <v>5.48</v>
      </c>
      <c r="D13" s="112">
        <v>1.8</v>
      </c>
      <c r="E13" s="108">
        <v>0.5</v>
      </c>
      <c r="F13" s="108">
        <v>0.33333333333333331</v>
      </c>
      <c r="G13" s="108">
        <v>0.16666666666666666</v>
      </c>
      <c r="H13" s="109">
        <v>12168.181818181818</v>
      </c>
      <c r="I13" s="109">
        <v>-9927.2727272727279</v>
      </c>
      <c r="J13" s="108">
        <v>0.3</v>
      </c>
      <c r="K13" s="108">
        <v>0.3</v>
      </c>
      <c r="P13" s="108">
        <v>0.5</v>
      </c>
      <c r="Q13" s="108">
        <v>0.52</v>
      </c>
    </row>
    <row r="14" spans="1:17" x14ac:dyDescent="0.45">
      <c r="A14" s="110">
        <v>11</v>
      </c>
      <c r="B14" s="107">
        <v>66.300000000000011</v>
      </c>
      <c r="C14" s="107">
        <v>6.0272727272727282</v>
      </c>
      <c r="D14" s="112">
        <v>1.7272727272727273</v>
      </c>
      <c r="E14" s="108">
        <v>0.54545454545454541</v>
      </c>
      <c r="F14" s="108">
        <v>0.34722222222222221</v>
      </c>
      <c r="G14" s="108">
        <v>0.15277777777777779</v>
      </c>
      <c r="H14" s="109">
        <v>11396</v>
      </c>
      <c r="I14" s="109">
        <v>-9927.2727272727279</v>
      </c>
      <c r="J14" s="108">
        <v>0.27272727272727271</v>
      </c>
      <c r="K14" s="108">
        <v>0.27272727272727271</v>
      </c>
      <c r="P14" s="108">
        <v>0.48</v>
      </c>
      <c r="Q14" s="108">
        <v>0.48148148148148145</v>
      </c>
    </row>
    <row r="15" spans="1:17" x14ac:dyDescent="0.45">
      <c r="A15" s="110">
        <v>12</v>
      </c>
      <c r="B15" s="107">
        <v>77.800000000000011</v>
      </c>
      <c r="C15" s="107">
        <v>6.4833333333333343</v>
      </c>
      <c r="D15" s="112">
        <v>1.75</v>
      </c>
      <c r="E15" s="108">
        <v>0.5</v>
      </c>
      <c r="F15" s="108">
        <v>0.34146341463414637</v>
      </c>
      <c r="G15" s="108">
        <v>0.13414634146341464</v>
      </c>
      <c r="H15" s="109">
        <v>10857.142857142857</v>
      </c>
      <c r="I15" s="109">
        <v>-9927.2727272727279</v>
      </c>
      <c r="J15" s="108">
        <v>0.25</v>
      </c>
      <c r="K15" s="108">
        <v>0.25</v>
      </c>
      <c r="P15" s="108">
        <v>0.4642857142857143</v>
      </c>
      <c r="Q15" s="108">
        <v>0.45454545454545453</v>
      </c>
    </row>
    <row r="16" spans="1:17" x14ac:dyDescent="0.45">
      <c r="A16" s="110">
        <v>13</v>
      </c>
      <c r="B16" s="107">
        <v>151.10000000000002</v>
      </c>
      <c r="C16" s="107">
        <v>11.623076923076924</v>
      </c>
      <c r="D16" s="112">
        <v>1.6923076923076923</v>
      </c>
      <c r="E16" s="108">
        <v>0.53846153846153844</v>
      </c>
      <c r="F16" s="108">
        <v>0.36363636363636365</v>
      </c>
      <c r="G16" s="108">
        <v>0.13636363636363635</v>
      </c>
      <c r="H16" s="109">
        <v>11843.75</v>
      </c>
      <c r="I16" s="109">
        <v>-9741.6666666666661</v>
      </c>
      <c r="J16" s="108">
        <v>0.23076923076923078</v>
      </c>
      <c r="K16" s="108">
        <v>0.30769230769230771</v>
      </c>
      <c r="L16" s="108">
        <v>0.33333333333333331</v>
      </c>
      <c r="M16" s="108">
        <v>0.16666666666666666</v>
      </c>
      <c r="N16" s="108">
        <v>1</v>
      </c>
      <c r="O16" s="108">
        <v>1</v>
      </c>
      <c r="P16" s="108">
        <v>0.46875</v>
      </c>
      <c r="Q16" s="108">
        <v>0.51351351351351349</v>
      </c>
    </row>
    <row r="17" spans="1:17" x14ac:dyDescent="0.45">
      <c r="A17" s="110">
        <v>14</v>
      </c>
      <c r="B17" s="107">
        <v>144.10000000000002</v>
      </c>
      <c r="C17" s="107">
        <v>10.292857142857144</v>
      </c>
      <c r="D17" s="112">
        <v>1.7857142857142858</v>
      </c>
      <c r="E17" s="108">
        <v>0.5</v>
      </c>
      <c r="F17" s="108">
        <v>0.34693877551020408</v>
      </c>
      <c r="G17" s="108">
        <v>0.1326530612244898</v>
      </c>
      <c r="H17" s="109">
        <v>11467.64705882353</v>
      </c>
      <c r="I17" s="109">
        <v>-9915.3846153846152</v>
      </c>
      <c r="J17" s="108">
        <v>0.21428571428571427</v>
      </c>
      <c r="K17" s="108">
        <v>0.2857142857142857</v>
      </c>
      <c r="L17" s="108">
        <v>0.25</v>
      </c>
      <c r="M17" s="108">
        <v>0.375</v>
      </c>
      <c r="N17" s="108">
        <v>0.5</v>
      </c>
      <c r="O17" s="108">
        <v>0.33333333333333331</v>
      </c>
      <c r="P17" s="108">
        <v>0.47058823529411764</v>
      </c>
      <c r="Q17" s="108">
        <v>0.5</v>
      </c>
    </row>
    <row r="18" spans="1:17" x14ac:dyDescent="0.45">
      <c r="A18" s="110">
        <v>15</v>
      </c>
      <c r="B18" s="107">
        <v>145.80000000000001</v>
      </c>
      <c r="C18" s="107">
        <v>9.7200000000000006</v>
      </c>
      <c r="D18" s="112">
        <v>1.8</v>
      </c>
      <c r="E18" s="108">
        <v>0.46666666666666667</v>
      </c>
      <c r="F18" s="108">
        <v>0.33333333333333331</v>
      </c>
      <c r="G18" s="108">
        <v>0.14285714285714285</v>
      </c>
      <c r="H18" s="109">
        <v>11654.285714285714</v>
      </c>
      <c r="I18" s="109">
        <v>-9113.3333333333339</v>
      </c>
      <c r="J18" s="108">
        <v>0.2</v>
      </c>
      <c r="K18" s="108">
        <v>0.26666666666666666</v>
      </c>
      <c r="L18" s="108">
        <v>0.2608695652173913</v>
      </c>
      <c r="M18" s="108">
        <v>0.30434782608695654</v>
      </c>
      <c r="N18" s="108">
        <v>0.5</v>
      </c>
      <c r="O18" s="108">
        <v>0.2857142857142857</v>
      </c>
      <c r="P18" s="108">
        <v>0.45714285714285713</v>
      </c>
      <c r="Q18" s="108">
        <v>0.48837209302325579</v>
      </c>
    </row>
    <row r="19" spans="1:17" x14ac:dyDescent="0.45">
      <c r="A19" s="110">
        <v>16</v>
      </c>
      <c r="B19" s="107">
        <v>149.30000000000001</v>
      </c>
      <c r="C19" s="107">
        <v>9.3312500000000007</v>
      </c>
      <c r="D19" s="112">
        <v>1.8125</v>
      </c>
      <c r="E19" s="108">
        <v>0.4375</v>
      </c>
      <c r="F19" s="108">
        <v>0.33913043478260868</v>
      </c>
      <c r="G19" s="108">
        <v>0.15652173913043479</v>
      </c>
      <c r="H19" s="109">
        <v>11484.615384615385</v>
      </c>
      <c r="I19" s="109">
        <v>-9150</v>
      </c>
      <c r="J19" s="108">
        <v>0.1875</v>
      </c>
      <c r="K19" s="108">
        <v>0.25</v>
      </c>
      <c r="L19" s="108">
        <v>0.30303030303030304</v>
      </c>
      <c r="M19" s="108">
        <v>0.24242424242424243</v>
      </c>
      <c r="N19" s="108">
        <v>0.7</v>
      </c>
      <c r="O19" s="108">
        <v>0.25</v>
      </c>
      <c r="P19" s="108">
        <v>0.48717948717948717</v>
      </c>
      <c r="Q19" s="108">
        <v>0.47826086956521741</v>
      </c>
    </row>
    <row r="20" spans="1:17" x14ac:dyDescent="0.45">
      <c r="A20" s="110">
        <v>17</v>
      </c>
      <c r="B20" s="107">
        <v>174.10000000000002</v>
      </c>
      <c r="C20" s="107">
        <v>10.241176470588236</v>
      </c>
      <c r="D20" s="112">
        <v>1.7647058823529411</v>
      </c>
      <c r="E20" s="108">
        <v>0.47058823529411764</v>
      </c>
      <c r="F20" s="108">
        <v>0.34399999999999997</v>
      </c>
      <c r="G20" s="108">
        <v>0.16</v>
      </c>
      <c r="H20" s="109">
        <v>11341.860465116279</v>
      </c>
      <c r="I20" s="109">
        <v>-8895</v>
      </c>
      <c r="J20" s="108">
        <v>0.17647058823529413</v>
      </c>
      <c r="K20" s="108">
        <v>0.23529411764705882</v>
      </c>
      <c r="L20" s="108">
        <v>0.30232558139534882</v>
      </c>
      <c r="M20" s="108">
        <v>0.27906976744186046</v>
      </c>
      <c r="N20" s="108">
        <v>0.76923076923076927</v>
      </c>
      <c r="O20" s="108">
        <v>0.25</v>
      </c>
      <c r="P20" s="108">
        <v>0.46511627906976744</v>
      </c>
      <c r="Q20" s="108">
        <v>0.47058823529411764</v>
      </c>
    </row>
    <row r="21" spans="1:17" x14ac:dyDescent="0.45">
      <c r="A21" s="110">
        <v>18</v>
      </c>
      <c r="B21" s="107">
        <v>152.00000000000003</v>
      </c>
      <c r="C21" s="107">
        <v>8.4444444444444464</v>
      </c>
      <c r="D21" s="112">
        <v>1.8333333333333333</v>
      </c>
      <c r="E21" s="108">
        <v>0.44444444444444442</v>
      </c>
      <c r="F21" s="108">
        <v>0.33088235294117646</v>
      </c>
      <c r="G21" s="108">
        <v>0.15441176470588236</v>
      </c>
      <c r="H21" s="109">
        <v>11131.111111111111</v>
      </c>
      <c r="I21" s="109">
        <v>-8747.6190476190477</v>
      </c>
      <c r="J21" s="108">
        <v>0.16666666666666666</v>
      </c>
      <c r="K21" s="108">
        <v>0.22222222222222221</v>
      </c>
      <c r="L21" s="108">
        <v>0.33333333333333331</v>
      </c>
      <c r="M21" s="108">
        <v>0.27777777777777779</v>
      </c>
      <c r="N21" s="108">
        <v>0.61111111111111116</v>
      </c>
      <c r="O21" s="108">
        <v>0.2</v>
      </c>
      <c r="P21" s="108">
        <v>0.44444444444444442</v>
      </c>
      <c r="Q21" s="108">
        <v>0.44444444444444442</v>
      </c>
    </row>
    <row r="22" spans="1:17" x14ac:dyDescent="0.45">
      <c r="A22" s="110">
        <v>19</v>
      </c>
      <c r="B22" s="107">
        <v>140.60000000000002</v>
      </c>
      <c r="C22" s="107">
        <v>7.4000000000000012</v>
      </c>
      <c r="D22" s="112">
        <v>1.8421052631578947</v>
      </c>
      <c r="E22" s="108">
        <v>0.42105263157894735</v>
      </c>
      <c r="F22" s="108">
        <v>0.32214765100671139</v>
      </c>
      <c r="G22" s="108">
        <v>0.16107382550335569</v>
      </c>
      <c r="H22" s="109">
        <v>11364.583333333334</v>
      </c>
      <c r="I22" s="109">
        <v>-8883.3333333333339</v>
      </c>
      <c r="J22" s="108">
        <v>0.15789473684210525</v>
      </c>
      <c r="K22" s="108">
        <v>0.21052631578947367</v>
      </c>
      <c r="L22" s="108">
        <v>0.38805970149253732</v>
      </c>
      <c r="M22" s="108">
        <v>0.22388059701492538</v>
      </c>
      <c r="N22" s="108">
        <v>0.53846153846153844</v>
      </c>
      <c r="O22" s="108">
        <v>0.2</v>
      </c>
      <c r="P22" s="108">
        <v>0.4375</v>
      </c>
      <c r="Q22" s="108">
        <v>0.44827586206896552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72BB7-4897-46C8-96EB-AA86AEBA165D}">
  <sheetPr codeName="Sheet25"/>
  <dimension ref="A1:P65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139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63</v>
      </c>
      <c r="C2" s="120"/>
      <c r="E2" s="102" t="s">
        <v>67</v>
      </c>
      <c r="F2" s="98" t="s">
        <v>21</v>
      </c>
      <c r="G2" s="85">
        <v>81</v>
      </c>
      <c r="H2" s="61">
        <f t="shared" ref="H2:H51" si="0">IF(B$25=0,0,G2/B$25)</f>
        <v>0.60447761194029848</v>
      </c>
      <c r="J2" s="60">
        <v>0</v>
      </c>
      <c r="K2" s="62">
        <v>0</v>
      </c>
      <c r="M2" s="60" t="s">
        <v>150</v>
      </c>
      <c r="N2" s="81">
        <f t="shared" ref="N2:N7" si="1">IF(P2=0,0,O2/P2)</f>
        <v>-1647.457627118644</v>
      </c>
      <c r="O2" s="78">
        <v>-97200</v>
      </c>
      <c r="P2" s="76">
        <v>59</v>
      </c>
    </row>
    <row r="3" spans="1:16" x14ac:dyDescent="0.45">
      <c r="A3" s="94" t="s">
        <v>8</v>
      </c>
      <c r="B3" s="125">
        <v>497</v>
      </c>
      <c r="C3" s="126"/>
      <c r="E3" s="103" t="s">
        <v>68</v>
      </c>
      <c r="F3" s="99" t="s">
        <v>22</v>
      </c>
      <c r="G3" s="86">
        <v>12</v>
      </c>
      <c r="H3" s="64">
        <f t="shared" si="0"/>
        <v>8.9552238805970144E-2</v>
      </c>
      <c r="J3" s="63">
        <v>1</v>
      </c>
      <c r="K3" s="65">
        <v>3.9</v>
      </c>
      <c r="M3" s="63" t="s">
        <v>151</v>
      </c>
      <c r="N3" s="82">
        <f t="shared" si="1"/>
        <v>-1205.0847457627119</v>
      </c>
      <c r="O3" s="79">
        <v>-71100</v>
      </c>
      <c r="P3" s="74">
        <v>59</v>
      </c>
    </row>
    <row r="4" spans="1:16" x14ac:dyDescent="0.45">
      <c r="A4" s="94" t="s">
        <v>6</v>
      </c>
      <c r="B4" s="127">
        <v>-402.09999999999985</v>
      </c>
      <c r="C4" s="128"/>
      <c r="E4" s="103" t="s">
        <v>69</v>
      </c>
      <c r="F4" s="99" t="s">
        <v>23</v>
      </c>
      <c r="G4" s="86">
        <v>105</v>
      </c>
      <c r="H4" s="64">
        <f t="shared" si="0"/>
        <v>0.78358208955223885</v>
      </c>
      <c r="J4" s="63">
        <v>2</v>
      </c>
      <c r="K4" s="65">
        <v>-32.9</v>
      </c>
      <c r="M4" s="63" t="s">
        <v>152</v>
      </c>
      <c r="N4" s="82">
        <f t="shared" si="1"/>
        <v>-3166.0714285714284</v>
      </c>
      <c r="O4" s="79">
        <v>-177300</v>
      </c>
      <c r="P4" s="74">
        <v>56</v>
      </c>
    </row>
    <row r="5" spans="1:16" x14ac:dyDescent="0.45">
      <c r="A5" s="94" t="s">
        <v>7</v>
      </c>
      <c r="B5" s="127">
        <f>IF(B$2=0,0,B$4/B$2)</f>
        <v>-6.3825396825396803</v>
      </c>
      <c r="C5" s="128"/>
      <c r="E5" s="103" t="s">
        <v>70</v>
      </c>
      <c r="F5" s="99" t="s">
        <v>24</v>
      </c>
      <c r="G5" s="86">
        <v>49</v>
      </c>
      <c r="H5" s="64">
        <f t="shared" si="0"/>
        <v>0.36567164179104478</v>
      </c>
      <c r="J5" s="63">
        <v>3</v>
      </c>
      <c r="K5" s="65">
        <v>-68.099999999999994</v>
      </c>
      <c r="M5" s="63" t="s">
        <v>153</v>
      </c>
      <c r="N5" s="82">
        <f t="shared" si="1"/>
        <v>-759.61538461538464</v>
      </c>
      <c r="O5" s="79">
        <v>-39500</v>
      </c>
      <c r="P5" s="74">
        <v>52</v>
      </c>
    </row>
    <row r="6" spans="1:16" x14ac:dyDescent="0.45">
      <c r="A6" s="94" t="s">
        <v>1</v>
      </c>
      <c r="B6" s="117">
        <f>IF(B$2=0,0,(B$7*1+B$8*2+B$9*3)/B$2)</f>
        <v>2.2222222222222223</v>
      </c>
      <c r="C6" s="118"/>
      <c r="E6" s="103" t="s">
        <v>71</v>
      </c>
      <c r="F6" s="99" t="s">
        <v>25</v>
      </c>
      <c r="G6" s="86">
        <v>138</v>
      </c>
      <c r="H6" s="64">
        <f t="shared" si="0"/>
        <v>1.0298507462686568</v>
      </c>
      <c r="J6" s="63">
        <v>4</v>
      </c>
      <c r="K6" s="65">
        <v>-34.099999999999994</v>
      </c>
      <c r="M6" s="63" t="s">
        <v>154</v>
      </c>
      <c r="N6" s="82">
        <f t="shared" si="1"/>
        <v>-866.66666666666663</v>
      </c>
      <c r="O6" s="79">
        <v>-41600</v>
      </c>
      <c r="P6" s="74">
        <v>48</v>
      </c>
    </row>
    <row r="7" spans="1:16" x14ac:dyDescent="0.45">
      <c r="A7" s="94" t="s">
        <v>2</v>
      </c>
      <c r="B7" s="86">
        <v>15</v>
      </c>
      <c r="C7" s="64">
        <f>IF(B$2=0,0,B7/B$2)</f>
        <v>0.23809523809523808</v>
      </c>
      <c r="E7" s="103" t="s">
        <v>72</v>
      </c>
      <c r="F7" s="99" t="s">
        <v>12</v>
      </c>
      <c r="G7" s="86">
        <v>45</v>
      </c>
      <c r="H7" s="64">
        <f t="shared" si="0"/>
        <v>0.33582089552238809</v>
      </c>
      <c r="J7" s="63">
        <v>5</v>
      </c>
      <c r="K7" s="65">
        <v>-78.099999999999994</v>
      </c>
      <c r="M7" s="68" t="s">
        <v>155</v>
      </c>
      <c r="N7" s="83">
        <f t="shared" si="1"/>
        <v>3413.8888888888887</v>
      </c>
      <c r="O7" s="80">
        <v>122900</v>
      </c>
      <c r="P7" s="75">
        <v>36</v>
      </c>
    </row>
    <row r="8" spans="1:16" x14ac:dyDescent="0.45">
      <c r="A8" s="94" t="s">
        <v>3</v>
      </c>
      <c r="B8" s="86">
        <v>19</v>
      </c>
      <c r="C8" s="64">
        <f t="shared" ref="C8:C9" si="2">IF(B$2=0,0,B8/B$2)</f>
        <v>0.30158730158730157</v>
      </c>
      <c r="E8" s="103" t="s">
        <v>73</v>
      </c>
      <c r="F8" s="99" t="s">
        <v>26</v>
      </c>
      <c r="G8" s="86">
        <v>19</v>
      </c>
      <c r="H8" s="64">
        <f t="shared" si="0"/>
        <v>0.1417910447761194</v>
      </c>
      <c r="J8" s="63">
        <v>6</v>
      </c>
      <c r="K8" s="65">
        <v>-113.1</v>
      </c>
    </row>
    <row r="9" spans="1:16" x14ac:dyDescent="0.45">
      <c r="A9" s="95" t="s">
        <v>4</v>
      </c>
      <c r="B9" s="87">
        <v>29</v>
      </c>
      <c r="C9" s="66">
        <f t="shared" si="2"/>
        <v>0.46031746031746029</v>
      </c>
      <c r="E9" s="103" t="s">
        <v>74</v>
      </c>
      <c r="F9" s="99" t="s">
        <v>27</v>
      </c>
      <c r="G9" s="86">
        <v>14</v>
      </c>
      <c r="H9" s="64">
        <f t="shared" si="0"/>
        <v>0.1044776119402985</v>
      </c>
      <c r="J9" s="63">
        <v>7</v>
      </c>
      <c r="K9" s="65">
        <v>-143.4</v>
      </c>
    </row>
    <row r="10" spans="1:16" x14ac:dyDescent="0.45">
      <c r="A10" s="95" t="s">
        <v>19</v>
      </c>
      <c r="B10" s="87">
        <v>13</v>
      </c>
      <c r="C10" s="66">
        <f>IF(B$2=0,0,B10/B$2)</f>
        <v>0.20634920634920634</v>
      </c>
      <c r="E10" s="103" t="s">
        <v>75</v>
      </c>
      <c r="F10" s="99" t="s">
        <v>28</v>
      </c>
      <c r="G10" s="86">
        <v>4</v>
      </c>
      <c r="H10" s="64">
        <f t="shared" si="0"/>
        <v>2.9850746268656716E-2</v>
      </c>
      <c r="J10" s="63">
        <v>8</v>
      </c>
      <c r="K10" s="65">
        <v>-142</v>
      </c>
    </row>
    <row r="11" spans="1:16" x14ac:dyDescent="0.45">
      <c r="A11" s="96" t="s">
        <v>160</v>
      </c>
      <c r="B11" s="88">
        <v>8</v>
      </c>
      <c r="C11" s="69">
        <f>IF(B$2=0,0,B11/B$2)</f>
        <v>0.12698412698412698</v>
      </c>
      <c r="E11" s="103" t="s">
        <v>76</v>
      </c>
      <c r="F11" s="99" t="s">
        <v>29</v>
      </c>
      <c r="G11" s="86">
        <v>90</v>
      </c>
      <c r="H11" s="64">
        <f t="shared" si="0"/>
        <v>0.67164179104477617</v>
      </c>
      <c r="J11" s="63">
        <v>9</v>
      </c>
      <c r="K11" s="65">
        <v>-168</v>
      </c>
    </row>
    <row r="12" spans="1:16" x14ac:dyDescent="0.45">
      <c r="A12" s="97" t="s">
        <v>128</v>
      </c>
      <c r="B12" s="89">
        <v>140</v>
      </c>
      <c r="C12" s="72">
        <f>IF(B$24=0,0,B12/B$24)</f>
        <v>0.30434782608695654</v>
      </c>
      <c r="E12" s="103" t="s">
        <v>77</v>
      </c>
      <c r="F12" s="99" t="s">
        <v>30</v>
      </c>
      <c r="G12" s="86">
        <v>4</v>
      </c>
      <c r="H12" s="64">
        <f t="shared" si="0"/>
        <v>2.9850746268656716E-2</v>
      </c>
      <c r="J12" s="63">
        <v>10</v>
      </c>
      <c r="K12" s="65">
        <v>-200.1</v>
      </c>
    </row>
    <row r="13" spans="1:16" x14ac:dyDescent="0.45">
      <c r="A13" s="94" t="s">
        <v>123</v>
      </c>
      <c r="B13" s="86">
        <v>98</v>
      </c>
      <c r="C13" s="64">
        <f>IF(B$24=0,0,B13/B$24)</f>
        <v>0.21304347826086956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-169</v>
      </c>
    </row>
    <row r="14" spans="1:16" x14ac:dyDescent="0.45">
      <c r="A14" s="93" t="s">
        <v>130</v>
      </c>
      <c r="B14" s="85">
        <v>84</v>
      </c>
      <c r="C14" s="61">
        <f>IF(B$12=0,0,B14/B$12)</f>
        <v>0.6</v>
      </c>
      <c r="E14" s="103" t="s">
        <v>79</v>
      </c>
      <c r="F14" s="99" t="s">
        <v>32</v>
      </c>
      <c r="G14" s="86">
        <v>1</v>
      </c>
      <c r="H14" s="64">
        <f t="shared" si="0"/>
        <v>7.462686567164179E-3</v>
      </c>
      <c r="J14" s="63">
        <v>12</v>
      </c>
      <c r="K14" s="65">
        <v>-191</v>
      </c>
    </row>
    <row r="15" spans="1:16" x14ac:dyDescent="0.45">
      <c r="A15" s="93" t="s">
        <v>131</v>
      </c>
      <c r="B15" s="85">
        <v>37</v>
      </c>
      <c r="C15" s="61">
        <f>IF(B$13=0,0,B15/B$13)</f>
        <v>0.37755102040816324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-228</v>
      </c>
    </row>
    <row r="16" spans="1:16" x14ac:dyDescent="0.45">
      <c r="A16" s="93" t="s">
        <v>10</v>
      </c>
      <c r="B16" s="85">
        <f>B18+B17</f>
        <v>144</v>
      </c>
      <c r="C16" s="61">
        <f>IF(B$3=0,0,B16/B$3)</f>
        <v>0.28973843058350102</v>
      </c>
      <c r="E16" s="103" t="s">
        <v>81</v>
      </c>
      <c r="F16" s="99" t="s">
        <v>34</v>
      </c>
      <c r="G16" s="86">
        <v>1</v>
      </c>
      <c r="H16" s="64">
        <f t="shared" si="0"/>
        <v>7.462686567164179E-3</v>
      </c>
      <c r="J16" s="63">
        <v>14</v>
      </c>
      <c r="K16" s="65">
        <v>-224</v>
      </c>
    </row>
    <row r="17" spans="1:11" x14ac:dyDescent="0.45">
      <c r="A17" s="94" t="s">
        <v>12</v>
      </c>
      <c r="B17" s="86">
        <v>67</v>
      </c>
      <c r="C17" s="64">
        <f>IF(B$16=0,0,B17/B$16)</f>
        <v>0.46527777777777779</v>
      </c>
      <c r="E17" s="103" t="s">
        <v>82</v>
      </c>
      <c r="F17" s="99" t="s">
        <v>35</v>
      </c>
      <c r="G17" s="86">
        <v>9</v>
      </c>
      <c r="H17" s="64">
        <f t="shared" si="0"/>
        <v>6.7164179104477612E-2</v>
      </c>
      <c r="J17" s="63">
        <v>15</v>
      </c>
      <c r="K17" s="65">
        <v>-205.5</v>
      </c>
    </row>
    <row r="18" spans="1:11" x14ac:dyDescent="0.45">
      <c r="A18" s="94" t="s">
        <v>11</v>
      </c>
      <c r="B18" s="86">
        <v>77</v>
      </c>
      <c r="C18" s="64">
        <f>IF(B$16=0,0,B18/B$16)</f>
        <v>0.53472222222222221</v>
      </c>
      <c r="E18" s="103" t="s">
        <v>83</v>
      </c>
      <c r="F18" s="99" t="s">
        <v>36</v>
      </c>
      <c r="G18" s="86">
        <v>1</v>
      </c>
      <c r="H18" s="64">
        <f t="shared" si="0"/>
        <v>7.462686567164179E-3</v>
      </c>
      <c r="J18" s="63">
        <v>16</v>
      </c>
      <c r="K18" s="65">
        <v>-225.2</v>
      </c>
    </row>
    <row r="19" spans="1:11" x14ac:dyDescent="0.45">
      <c r="A19" s="94" t="s">
        <v>13</v>
      </c>
      <c r="B19" s="86">
        <v>116</v>
      </c>
      <c r="C19" s="64">
        <f>IF(B$3=0,0,B19/B$3)</f>
        <v>0.23340040241448692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-259.7</v>
      </c>
    </row>
    <row r="20" spans="1:11" x14ac:dyDescent="0.45">
      <c r="A20" s="94" t="s">
        <v>5</v>
      </c>
      <c r="B20" s="90">
        <f>IF(B$16=0,0,C20/B$16)</f>
        <v>10589.583333333334</v>
      </c>
      <c r="C20" s="67">
        <v>1524900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-285.8</v>
      </c>
    </row>
    <row r="21" spans="1:11" x14ac:dyDescent="0.45">
      <c r="A21" s="96" t="s">
        <v>14</v>
      </c>
      <c r="B21" s="91">
        <f>IF(B$19=0,0,C21/B$19)</f>
        <v>-9620.689655172413</v>
      </c>
      <c r="C21" s="84">
        <v>-1116000</v>
      </c>
      <c r="E21" s="103" t="s">
        <v>86</v>
      </c>
      <c r="F21" s="99" t="s">
        <v>39</v>
      </c>
      <c r="G21" s="86">
        <v>3</v>
      </c>
      <c r="H21" s="64">
        <f t="shared" si="0"/>
        <v>2.2388059701492536E-2</v>
      </c>
      <c r="J21" s="63">
        <v>19</v>
      </c>
      <c r="K21" s="65">
        <v>-264.2</v>
      </c>
    </row>
    <row r="22" spans="1:11" x14ac:dyDescent="0.45">
      <c r="A22" s="93" t="s">
        <v>147</v>
      </c>
      <c r="B22" s="85">
        <v>158</v>
      </c>
      <c r="C22" s="61">
        <f>IF(B$3=0,0,B22/B$3)</f>
        <v>0.31790744466800802</v>
      </c>
      <c r="E22" s="103" t="s">
        <v>87</v>
      </c>
      <c r="F22" s="99" t="s">
        <v>40</v>
      </c>
      <c r="G22" s="86">
        <v>0</v>
      </c>
      <c r="H22" s="64">
        <f t="shared" si="0"/>
        <v>0</v>
      </c>
      <c r="J22" s="63">
        <v>20</v>
      </c>
      <c r="K22" s="65">
        <v>-261</v>
      </c>
    </row>
    <row r="23" spans="1:11" x14ac:dyDescent="0.45">
      <c r="A23" s="96" t="s">
        <v>148</v>
      </c>
      <c r="B23" s="88">
        <v>51</v>
      </c>
      <c r="C23" s="69">
        <f>IF(B$22=0,0,B23/B$22)</f>
        <v>0.32278481012658228</v>
      </c>
      <c r="E23" s="103" t="s">
        <v>88</v>
      </c>
      <c r="F23" s="99" t="s">
        <v>41</v>
      </c>
      <c r="G23" s="86">
        <v>4</v>
      </c>
      <c r="H23" s="64">
        <f t="shared" si="0"/>
        <v>2.9850746268656716E-2</v>
      </c>
      <c r="J23" s="63">
        <v>21</v>
      </c>
      <c r="K23" s="65">
        <v>-234</v>
      </c>
    </row>
    <row r="24" spans="1:11" x14ac:dyDescent="0.45">
      <c r="A24" s="93" t="s">
        <v>126</v>
      </c>
      <c r="B24" s="119">
        <v>460</v>
      </c>
      <c r="C24" s="120"/>
      <c r="E24" s="103" t="s">
        <v>89</v>
      </c>
      <c r="F24" s="99" t="s">
        <v>42</v>
      </c>
      <c r="G24" s="86">
        <v>1</v>
      </c>
      <c r="H24" s="64">
        <f t="shared" si="0"/>
        <v>7.462686567164179E-3</v>
      </c>
      <c r="J24" s="63">
        <v>22</v>
      </c>
      <c r="K24" s="65">
        <v>-195.9</v>
      </c>
    </row>
    <row r="25" spans="1:11" x14ac:dyDescent="0.45">
      <c r="A25" s="96" t="s">
        <v>127</v>
      </c>
      <c r="B25" s="121">
        <v>134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  <c r="J25" s="63">
        <v>23</v>
      </c>
      <c r="K25" s="65">
        <v>-193.9</v>
      </c>
    </row>
    <row r="26" spans="1:11" x14ac:dyDescent="0.45">
      <c r="A26" s="105" t="s">
        <v>164</v>
      </c>
      <c r="B26" s="115">
        <v>7</v>
      </c>
      <c r="C26" s="116"/>
      <c r="E26" s="103" t="s">
        <v>91</v>
      </c>
      <c r="F26" s="99" t="s">
        <v>44</v>
      </c>
      <c r="G26" s="86">
        <v>10</v>
      </c>
      <c r="H26" s="64">
        <f t="shared" si="0"/>
        <v>7.4626865671641784E-2</v>
      </c>
      <c r="J26" s="63">
        <v>24</v>
      </c>
      <c r="K26" s="65">
        <v>-162.19999999999999</v>
      </c>
    </row>
    <row r="27" spans="1:11" x14ac:dyDescent="0.45">
      <c r="A27" s="96" t="s">
        <v>165</v>
      </c>
      <c r="B27" s="106">
        <v>5</v>
      </c>
      <c r="C27" s="69">
        <f>IF(B$3=0,0,B27/B$3)</f>
        <v>1.0060362173038229E-2</v>
      </c>
      <c r="E27" s="103" t="s">
        <v>92</v>
      </c>
      <c r="F27" s="99" t="s">
        <v>45</v>
      </c>
      <c r="G27" s="86">
        <v>0</v>
      </c>
      <c r="H27" s="64">
        <f t="shared" si="0"/>
        <v>0</v>
      </c>
      <c r="J27" s="63">
        <v>25</v>
      </c>
      <c r="K27" s="65">
        <v>-209.89999999999998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  <c r="J28" s="63">
        <v>26</v>
      </c>
      <c r="K28" s="65">
        <v>-248.29999999999998</v>
      </c>
    </row>
    <row r="29" spans="1:11" x14ac:dyDescent="0.45">
      <c r="E29" s="103" t="s">
        <v>94</v>
      </c>
      <c r="F29" s="99" t="s">
        <v>47</v>
      </c>
      <c r="G29" s="86">
        <v>17</v>
      </c>
      <c r="H29" s="64">
        <f t="shared" si="0"/>
        <v>0.12686567164179105</v>
      </c>
      <c r="J29" s="63">
        <v>27</v>
      </c>
      <c r="K29" s="65">
        <v>-287.29999999999995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  <c r="J30" s="63">
        <v>28</v>
      </c>
      <c r="K30" s="65">
        <v>-282.19999999999993</v>
      </c>
    </row>
    <row r="31" spans="1:11" x14ac:dyDescent="0.45">
      <c r="E31" s="103" t="s">
        <v>96</v>
      </c>
      <c r="F31" s="99" t="s">
        <v>49</v>
      </c>
      <c r="G31" s="86">
        <v>1</v>
      </c>
      <c r="H31" s="64">
        <f t="shared" si="0"/>
        <v>7.462686567164179E-3</v>
      </c>
      <c r="J31" s="63">
        <v>29</v>
      </c>
      <c r="K31" s="65">
        <v>-232.19999999999993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  <c r="J32" s="63">
        <v>30</v>
      </c>
      <c r="K32" s="65">
        <v>-249.29999999999993</v>
      </c>
    </row>
    <row r="33" spans="5:11" x14ac:dyDescent="0.45">
      <c r="E33" s="103" t="s">
        <v>98</v>
      </c>
      <c r="F33" s="99" t="s">
        <v>51</v>
      </c>
      <c r="G33" s="86">
        <v>1</v>
      </c>
      <c r="H33" s="64">
        <f t="shared" si="0"/>
        <v>7.462686567164179E-3</v>
      </c>
      <c r="J33" s="63">
        <v>31</v>
      </c>
      <c r="K33" s="65">
        <v>-257.39999999999992</v>
      </c>
    </row>
    <row r="34" spans="5:11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  <c r="J34" s="63">
        <v>32</v>
      </c>
      <c r="K34" s="65">
        <v>-275.89999999999992</v>
      </c>
    </row>
    <row r="35" spans="5:11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  <c r="J35" s="63">
        <v>33</v>
      </c>
      <c r="K35" s="65">
        <v>-283.2999999999999</v>
      </c>
    </row>
    <row r="36" spans="5:11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  <c r="J36" s="63">
        <v>34</v>
      </c>
      <c r="K36" s="65">
        <v>-292.69999999999987</v>
      </c>
    </row>
    <row r="37" spans="5:11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  <c r="J37" s="63">
        <v>35</v>
      </c>
      <c r="K37" s="65">
        <v>-329.69999999999987</v>
      </c>
    </row>
    <row r="38" spans="5:11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  <c r="J38" s="63">
        <v>36</v>
      </c>
      <c r="K38" s="65">
        <v>-319.09999999999985</v>
      </c>
    </row>
    <row r="39" spans="5:11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  <c r="J39" s="63">
        <v>37</v>
      </c>
      <c r="K39" s="65">
        <v>-361.59999999999985</v>
      </c>
    </row>
    <row r="40" spans="5:11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  <c r="J40" s="63">
        <v>38</v>
      </c>
      <c r="K40" s="65">
        <v>-369.09999999999985</v>
      </c>
    </row>
    <row r="41" spans="5:11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  <c r="J41" s="63">
        <v>39</v>
      </c>
      <c r="K41" s="65">
        <v>-350.49999999999983</v>
      </c>
    </row>
    <row r="42" spans="5:11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  <c r="J42" s="63">
        <v>40</v>
      </c>
      <c r="K42" s="65">
        <v>-367.59999999999985</v>
      </c>
    </row>
    <row r="43" spans="5:11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  <c r="J43" s="63">
        <v>41</v>
      </c>
      <c r="K43" s="65">
        <v>-355.59999999999985</v>
      </c>
    </row>
    <row r="44" spans="5:11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  <c r="J44" s="63">
        <v>42</v>
      </c>
      <c r="K44" s="65">
        <v>-356.09999999999985</v>
      </c>
    </row>
    <row r="45" spans="5:11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  <c r="J45" s="63">
        <v>43</v>
      </c>
      <c r="K45" s="65">
        <v>-315.09999999999985</v>
      </c>
    </row>
    <row r="46" spans="5:11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  <c r="J46" s="63">
        <v>44</v>
      </c>
      <c r="K46" s="65">
        <v>-320.89999999999986</v>
      </c>
    </row>
    <row r="47" spans="5:11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  <c r="J47" s="63">
        <v>45</v>
      </c>
      <c r="K47" s="65">
        <v>-319.19999999999987</v>
      </c>
    </row>
    <row r="48" spans="5:11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  <c r="J48" s="63">
        <v>46</v>
      </c>
      <c r="K48" s="65">
        <v>-352.39999999999986</v>
      </c>
    </row>
    <row r="49" spans="5:11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  <c r="J49" s="63">
        <v>47</v>
      </c>
      <c r="K49" s="65">
        <v>-341.39999999999986</v>
      </c>
    </row>
    <row r="50" spans="5:11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  <c r="J50" s="63">
        <v>48</v>
      </c>
      <c r="K50" s="65">
        <v>-349.19999999999987</v>
      </c>
    </row>
    <row r="51" spans="5:11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  <c r="J51" s="63">
        <v>49</v>
      </c>
      <c r="K51" s="65">
        <v>-354.49999999999989</v>
      </c>
    </row>
    <row r="52" spans="5:11" x14ac:dyDescent="0.45">
      <c r="J52" s="63">
        <v>50</v>
      </c>
      <c r="K52" s="65">
        <v>-388.99999999999989</v>
      </c>
    </row>
    <row r="53" spans="5:11" x14ac:dyDescent="0.45">
      <c r="J53" s="63">
        <v>51</v>
      </c>
      <c r="K53" s="65">
        <v>-398.99999999999989</v>
      </c>
    </row>
    <row r="54" spans="5:11" x14ac:dyDescent="0.45">
      <c r="J54" s="63">
        <v>52</v>
      </c>
      <c r="K54" s="65">
        <v>-414.39999999999986</v>
      </c>
    </row>
    <row r="55" spans="5:11" x14ac:dyDescent="0.45">
      <c r="J55" s="63">
        <v>53</v>
      </c>
      <c r="K55" s="65">
        <v>-388.89999999999986</v>
      </c>
    </row>
    <row r="56" spans="5:11" x14ac:dyDescent="0.45">
      <c r="J56" s="63">
        <v>54</v>
      </c>
      <c r="K56" s="65">
        <v>-399.19999999999987</v>
      </c>
    </row>
    <row r="57" spans="5:11" x14ac:dyDescent="0.45">
      <c r="J57" s="63">
        <v>55</v>
      </c>
      <c r="K57" s="65">
        <v>-408.49999999999989</v>
      </c>
    </row>
    <row r="58" spans="5:11" x14ac:dyDescent="0.45">
      <c r="J58" s="63">
        <v>56</v>
      </c>
      <c r="K58" s="65">
        <v>-384.39999999999986</v>
      </c>
    </row>
    <row r="59" spans="5:11" x14ac:dyDescent="0.45">
      <c r="J59" s="63">
        <v>57</v>
      </c>
      <c r="K59" s="65">
        <v>-416.89999999999986</v>
      </c>
    </row>
    <row r="60" spans="5:11" x14ac:dyDescent="0.45">
      <c r="J60" s="63">
        <v>58</v>
      </c>
      <c r="K60" s="65">
        <v>-453.39999999999986</v>
      </c>
    </row>
    <row r="61" spans="5:11" x14ac:dyDescent="0.45">
      <c r="J61" s="63">
        <v>59</v>
      </c>
      <c r="K61" s="65">
        <v>-461.79999999999984</v>
      </c>
    </row>
    <row r="62" spans="5:11" x14ac:dyDescent="0.45">
      <c r="J62" s="63">
        <v>60</v>
      </c>
      <c r="K62" s="65">
        <v>-461.29999999999984</v>
      </c>
    </row>
    <row r="63" spans="5:11" x14ac:dyDescent="0.45">
      <c r="J63" s="63">
        <v>61</v>
      </c>
      <c r="K63" s="65">
        <v>-472.39999999999986</v>
      </c>
    </row>
    <row r="64" spans="5:11" x14ac:dyDescent="0.45">
      <c r="J64" s="63">
        <v>62</v>
      </c>
      <c r="K64" s="65">
        <v>-477.59999999999985</v>
      </c>
    </row>
    <row r="65" spans="10:11" x14ac:dyDescent="0.45">
      <c r="J65" s="63">
        <v>63</v>
      </c>
      <c r="K65" s="65">
        <v>-402.09999999999985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A75EF-33C3-4888-853D-DB0C9FE8E771}">
  <sheetPr codeName="Sheet26"/>
  <dimension ref="A1:Q66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139</v>
      </c>
      <c r="B1" s="111" t="s">
        <v>139</v>
      </c>
      <c r="C1" s="111" t="s">
        <v>139</v>
      </c>
      <c r="D1" s="112" t="s">
        <v>139</v>
      </c>
      <c r="E1" s="111" t="s">
        <v>139</v>
      </c>
      <c r="F1" s="111" t="s">
        <v>139</v>
      </c>
      <c r="G1" s="111" t="s">
        <v>139</v>
      </c>
      <c r="H1" s="111" t="s">
        <v>139</v>
      </c>
      <c r="I1" s="111" t="s">
        <v>139</v>
      </c>
      <c r="J1" s="111" t="s">
        <v>139</v>
      </c>
      <c r="K1" s="111" t="s">
        <v>139</v>
      </c>
      <c r="L1" s="111" t="s">
        <v>139</v>
      </c>
      <c r="M1" s="111" t="s">
        <v>139</v>
      </c>
      <c r="N1" s="111" t="s">
        <v>139</v>
      </c>
      <c r="O1" s="111" t="s">
        <v>139</v>
      </c>
      <c r="P1" s="111" t="s">
        <v>139</v>
      </c>
      <c r="Q1" s="111" t="s">
        <v>139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3.9</v>
      </c>
      <c r="C4" s="107">
        <v>3.9</v>
      </c>
      <c r="D4" s="112">
        <v>2</v>
      </c>
      <c r="E4" s="108">
        <v>0</v>
      </c>
      <c r="F4" s="108">
        <v>0.41666666666666669</v>
      </c>
      <c r="G4" s="108">
        <v>0.16666666666666666</v>
      </c>
      <c r="H4" s="109">
        <v>8600</v>
      </c>
      <c r="I4" s="109">
        <v>-18000</v>
      </c>
      <c r="J4" s="108">
        <v>0</v>
      </c>
      <c r="K4" s="108">
        <v>0</v>
      </c>
      <c r="P4" s="108">
        <v>0.4</v>
      </c>
      <c r="Q4" s="108">
        <v>0.5</v>
      </c>
    </row>
    <row r="5" spans="1:17" x14ac:dyDescent="0.45">
      <c r="A5" s="110">
        <v>2</v>
      </c>
      <c r="B5" s="107">
        <v>-32.9</v>
      </c>
      <c r="C5" s="107">
        <v>-16.45</v>
      </c>
      <c r="D5" s="112">
        <v>2.5</v>
      </c>
      <c r="E5" s="108">
        <v>0</v>
      </c>
      <c r="F5" s="108">
        <v>0.2857142857142857</v>
      </c>
      <c r="G5" s="108">
        <v>0.19047619047619047</v>
      </c>
      <c r="H5" s="109">
        <v>8233.3333333333339</v>
      </c>
      <c r="I5" s="109">
        <v>-13300</v>
      </c>
      <c r="J5" s="108">
        <v>0.5</v>
      </c>
      <c r="K5" s="108">
        <v>0</v>
      </c>
      <c r="P5" s="108">
        <v>0.5</v>
      </c>
      <c r="Q5" s="108">
        <v>0.33333333333333331</v>
      </c>
    </row>
    <row r="6" spans="1:17" x14ac:dyDescent="0.45">
      <c r="A6" s="110">
        <v>3</v>
      </c>
      <c r="B6" s="107">
        <v>-68.099999999999994</v>
      </c>
      <c r="C6" s="107">
        <v>-22.7</v>
      </c>
      <c r="D6" s="112">
        <v>2.6666666666666665</v>
      </c>
      <c r="E6" s="108">
        <v>0</v>
      </c>
      <c r="F6" s="108">
        <v>0.2413793103448276</v>
      </c>
      <c r="G6" s="108">
        <v>0.2413793103448276</v>
      </c>
      <c r="H6" s="109">
        <v>8200</v>
      </c>
      <c r="I6" s="109">
        <v>-12985.714285714286</v>
      </c>
      <c r="J6" s="108">
        <v>0.66666666666666663</v>
      </c>
      <c r="K6" s="108">
        <v>0</v>
      </c>
      <c r="P6" s="108">
        <v>0.42857142857142855</v>
      </c>
      <c r="Q6" s="108">
        <v>0.25</v>
      </c>
    </row>
    <row r="7" spans="1:17" x14ac:dyDescent="0.45">
      <c r="A7" s="110">
        <v>4</v>
      </c>
      <c r="B7" s="107">
        <v>-34.099999999999994</v>
      </c>
      <c r="C7" s="107">
        <v>-8.5249999999999986</v>
      </c>
      <c r="D7" s="112">
        <v>2.25</v>
      </c>
      <c r="E7" s="108">
        <v>0.25</v>
      </c>
      <c r="F7" s="108">
        <v>0.27027027027027029</v>
      </c>
      <c r="G7" s="108">
        <v>0.1891891891891892</v>
      </c>
      <c r="H7" s="109">
        <v>10540</v>
      </c>
      <c r="I7" s="109">
        <v>-12985.714285714286</v>
      </c>
      <c r="J7" s="108">
        <v>0.5</v>
      </c>
      <c r="K7" s="108">
        <v>0</v>
      </c>
      <c r="P7" s="108">
        <v>0.5</v>
      </c>
      <c r="Q7" s="108">
        <v>0.3</v>
      </c>
    </row>
    <row r="8" spans="1:17" x14ac:dyDescent="0.45">
      <c r="A8" s="110">
        <v>5</v>
      </c>
      <c r="B8" s="107">
        <v>-78.099999999999994</v>
      </c>
      <c r="C8" s="107">
        <v>-15.62</v>
      </c>
      <c r="D8" s="112">
        <v>2.4</v>
      </c>
      <c r="E8" s="108">
        <v>0.2</v>
      </c>
      <c r="F8" s="108">
        <v>0.27027027027027029</v>
      </c>
      <c r="G8" s="108">
        <v>0.1891891891891892</v>
      </c>
      <c r="H8" s="109">
        <v>10540</v>
      </c>
      <c r="I8" s="109">
        <v>-12985.714285714286</v>
      </c>
      <c r="J8" s="108">
        <v>0.6</v>
      </c>
      <c r="K8" s="108">
        <v>0</v>
      </c>
      <c r="P8" s="108">
        <v>0.5</v>
      </c>
      <c r="Q8" s="108">
        <v>0.3</v>
      </c>
    </row>
    <row r="9" spans="1:17" x14ac:dyDescent="0.45">
      <c r="A9" s="110">
        <v>6</v>
      </c>
      <c r="B9" s="107">
        <v>-113.1</v>
      </c>
      <c r="C9" s="107">
        <v>-18.849999999999998</v>
      </c>
      <c r="D9" s="112">
        <v>2.5</v>
      </c>
      <c r="E9" s="108">
        <v>0.16666666666666666</v>
      </c>
      <c r="F9" s="108">
        <v>0.27027027027027029</v>
      </c>
      <c r="G9" s="108">
        <v>0.1891891891891892</v>
      </c>
      <c r="H9" s="109">
        <v>10540</v>
      </c>
      <c r="I9" s="109">
        <v>-12985.714285714286</v>
      </c>
      <c r="J9" s="108">
        <v>0.66666666666666663</v>
      </c>
      <c r="K9" s="108">
        <v>0</v>
      </c>
      <c r="P9" s="108">
        <v>0.5</v>
      </c>
      <c r="Q9" s="108">
        <v>0.3</v>
      </c>
    </row>
    <row r="10" spans="1:17" x14ac:dyDescent="0.45">
      <c r="A10" s="110">
        <v>7</v>
      </c>
      <c r="B10" s="107">
        <v>-143.4</v>
      </c>
      <c r="C10" s="107">
        <v>-20.485714285714288</v>
      </c>
      <c r="D10" s="112">
        <v>2.5714285714285716</v>
      </c>
      <c r="E10" s="108">
        <v>0.14285714285714285</v>
      </c>
      <c r="F10" s="108">
        <v>0.27027027027027029</v>
      </c>
      <c r="G10" s="108">
        <v>0.1891891891891892</v>
      </c>
      <c r="H10" s="109">
        <v>10540</v>
      </c>
      <c r="I10" s="109">
        <v>-12985.714285714286</v>
      </c>
      <c r="J10" s="108">
        <v>0.5714285714285714</v>
      </c>
      <c r="K10" s="108">
        <v>0</v>
      </c>
      <c r="P10" s="108">
        <v>0.5</v>
      </c>
      <c r="Q10" s="108">
        <v>0.3</v>
      </c>
    </row>
    <row r="11" spans="1:17" x14ac:dyDescent="0.45">
      <c r="A11" s="110">
        <v>8</v>
      </c>
      <c r="B11" s="107">
        <v>-142</v>
      </c>
      <c r="C11" s="107">
        <v>-17.75</v>
      </c>
      <c r="D11" s="112">
        <v>2.5</v>
      </c>
      <c r="E11" s="108">
        <v>0.125</v>
      </c>
      <c r="F11" s="108">
        <v>0.27272727272727271</v>
      </c>
      <c r="G11" s="108">
        <v>0.20454545454545456</v>
      </c>
      <c r="H11" s="109">
        <v>10283.333333333334</v>
      </c>
      <c r="I11" s="109">
        <v>-11000</v>
      </c>
      <c r="J11" s="108">
        <v>0.5</v>
      </c>
      <c r="K11" s="108">
        <v>0</v>
      </c>
      <c r="L11" s="108">
        <v>0.42857142857142855</v>
      </c>
      <c r="M11" s="108">
        <v>0.14285714285714285</v>
      </c>
      <c r="N11" s="108">
        <v>0.33333333333333331</v>
      </c>
      <c r="O11" s="108">
        <v>0</v>
      </c>
      <c r="P11" s="108">
        <v>0.5</v>
      </c>
      <c r="Q11" s="108">
        <v>0.27272727272727271</v>
      </c>
    </row>
    <row r="12" spans="1:17" x14ac:dyDescent="0.45">
      <c r="A12" s="110">
        <v>9</v>
      </c>
      <c r="B12" s="107">
        <v>-168</v>
      </c>
      <c r="C12" s="107">
        <v>-18.666666666666668</v>
      </c>
      <c r="D12" s="112">
        <v>2.5555555555555554</v>
      </c>
      <c r="E12" s="108">
        <v>0.1111111111111111</v>
      </c>
      <c r="F12" s="108">
        <v>0.28846153846153844</v>
      </c>
      <c r="G12" s="108">
        <v>0.19230769230769232</v>
      </c>
      <c r="H12" s="109">
        <v>9813.3333333333339</v>
      </c>
      <c r="I12" s="109">
        <v>-13100</v>
      </c>
      <c r="J12" s="108">
        <v>0.44444444444444442</v>
      </c>
      <c r="K12" s="108">
        <v>0</v>
      </c>
      <c r="L12" s="108">
        <v>0.33333333333333331</v>
      </c>
      <c r="M12" s="108">
        <v>0.13333333333333333</v>
      </c>
      <c r="N12" s="108">
        <v>0.6</v>
      </c>
      <c r="O12" s="108">
        <v>0.5</v>
      </c>
      <c r="P12" s="108">
        <v>0.53333333333333333</v>
      </c>
      <c r="Q12" s="108">
        <v>0.33333333333333331</v>
      </c>
    </row>
    <row r="13" spans="1:17" x14ac:dyDescent="0.45">
      <c r="A13" s="110">
        <v>10</v>
      </c>
      <c r="B13" s="107">
        <v>-200.1</v>
      </c>
      <c r="C13" s="107">
        <v>-20.009999999999998</v>
      </c>
      <c r="D13" s="112">
        <v>2.6</v>
      </c>
      <c r="E13" s="108">
        <v>0.1</v>
      </c>
      <c r="F13" s="108">
        <v>0.25</v>
      </c>
      <c r="G13" s="108">
        <v>0.21666666666666667</v>
      </c>
      <c r="H13" s="109">
        <v>9813.3333333333339</v>
      </c>
      <c r="I13" s="109">
        <v>-12000</v>
      </c>
      <c r="J13" s="108">
        <v>0.4</v>
      </c>
      <c r="K13" s="108">
        <v>0</v>
      </c>
      <c r="L13" s="108">
        <v>0.2608695652173913</v>
      </c>
      <c r="M13" s="108">
        <v>0.21739130434782608</v>
      </c>
      <c r="N13" s="108">
        <v>0.5</v>
      </c>
      <c r="O13" s="108">
        <v>0.2</v>
      </c>
      <c r="P13" s="108">
        <v>0.53333333333333333</v>
      </c>
      <c r="Q13" s="108">
        <v>0.29411764705882354</v>
      </c>
    </row>
    <row r="14" spans="1:17" x14ac:dyDescent="0.45">
      <c r="A14" s="110">
        <v>11</v>
      </c>
      <c r="B14" s="107">
        <v>-169</v>
      </c>
      <c r="C14" s="107">
        <v>-15.363636363636363</v>
      </c>
      <c r="D14" s="112">
        <v>2.4545454545454546</v>
      </c>
      <c r="E14" s="108">
        <v>0.18181818181818182</v>
      </c>
      <c r="F14" s="108">
        <v>0.25</v>
      </c>
      <c r="G14" s="108">
        <v>0.22058823529411764</v>
      </c>
      <c r="H14" s="109">
        <v>11600</v>
      </c>
      <c r="I14" s="109">
        <v>-10960</v>
      </c>
      <c r="J14" s="108">
        <v>0.36363636363636365</v>
      </c>
      <c r="K14" s="108">
        <v>0</v>
      </c>
      <c r="L14" s="108">
        <v>0.25806451612903225</v>
      </c>
      <c r="M14" s="108">
        <v>0.22580645161290322</v>
      </c>
      <c r="N14" s="108">
        <v>0.5</v>
      </c>
      <c r="O14" s="108">
        <v>0.14285714285714285</v>
      </c>
      <c r="P14" s="108">
        <v>0.58823529411764708</v>
      </c>
      <c r="Q14" s="108">
        <v>0.31578947368421051</v>
      </c>
    </row>
    <row r="15" spans="1:17" x14ac:dyDescent="0.45">
      <c r="A15" s="110">
        <v>12</v>
      </c>
      <c r="B15" s="107">
        <v>-191</v>
      </c>
      <c r="C15" s="107">
        <v>-15.916666666666666</v>
      </c>
      <c r="D15" s="112">
        <v>2.5</v>
      </c>
      <c r="E15" s="108">
        <v>0.16666666666666666</v>
      </c>
      <c r="F15" s="108">
        <v>0.22500000000000001</v>
      </c>
      <c r="G15" s="108">
        <v>0.2</v>
      </c>
      <c r="H15" s="109">
        <v>11955.555555555555</v>
      </c>
      <c r="I15" s="109">
        <v>-11025</v>
      </c>
      <c r="J15" s="108">
        <v>0.33333333333333331</v>
      </c>
      <c r="K15" s="108">
        <v>0</v>
      </c>
      <c r="L15" s="108">
        <v>0.27906976744186046</v>
      </c>
      <c r="M15" s="108">
        <v>0.20930232558139536</v>
      </c>
      <c r="N15" s="108">
        <v>0.41666666666666669</v>
      </c>
      <c r="O15" s="108">
        <v>0.1111111111111111</v>
      </c>
      <c r="P15" s="108">
        <v>0.61111111111111116</v>
      </c>
      <c r="Q15" s="108">
        <v>0.31818181818181818</v>
      </c>
    </row>
    <row r="16" spans="1:17" x14ac:dyDescent="0.45">
      <c r="A16" s="110">
        <v>13</v>
      </c>
      <c r="B16" s="107">
        <v>-228</v>
      </c>
      <c r="C16" s="107">
        <v>-17.53846153846154</v>
      </c>
      <c r="D16" s="112">
        <v>2.5384615384615383</v>
      </c>
      <c r="E16" s="108">
        <v>0.15384615384615385</v>
      </c>
      <c r="F16" s="108">
        <v>0.22580645161290322</v>
      </c>
      <c r="G16" s="108">
        <v>0.21505376344086022</v>
      </c>
      <c r="H16" s="109">
        <v>10671.428571428571</v>
      </c>
      <c r="I16" s="109">
        <v>-10800</v>
      </c>
      <c r="J16" s="108">
        <v>0.38461538461538464</v>
      </c>
      <c r="K16" s="108">
        <v>0</v>
      </c>
      <c r="L16" s="108">
        <v>0.2857142857142857</v>
      </c>
      <c r="M16" s="108">
        <v>0.19642857142857142</v>
      </c>
      <c r="N16" s="108">
        <v>0.375</v>
      </c>
      <c r="O16" s="108">
        <v>0.18181818181818182</v>
      </c>
      <c r="P16" s="108">
        <v>0.5714285714285714</v>
      </c>
      <c r="Q16" s="108">
        <v>0.36</v>
      </c>
    </row>
    <row r="17" spans="1:17" x14ac:dyDescent="0.45">
      <c r="A17" s="110">
        <v>14</v>
      </c>
      <c r="B17" s="107">
        <v>-224</v>
      </c>
      <c r="C17" s="107">
        <v>-16</v>
      </c>
      <c r="D17" s="112">
        <v>2.5</v>
      </c>
      <c r="E17" s="108">
        <v>0.14285714285714285</v>
      </c>
      <c r="F17" s="108">
        <v>0.22448979591836735</v>
      </c>
      <c r="G17" s="108">
        <v>0.21428571428571427</v>
      </c>
      <c r="H17" s="109">
        <v>11004.545454545454</v>
      </c>
      <c r="I17" s="109">
        <v>-10857.142857142857</v>
      </c>
      <c r="J17" s="108">
        <v>0.35714285714285715</v>
      </c>
      <c r="K17" s="108">
        <v>0</v>
      </c>
      <c r="L17" s="108">
        <v>0.27868852459016391</v>
      </c>
      <c r="M17" s="108">
        <v>0.21311475409836064</v>
      </c>
      <c r="N17" s="108">
        <v>0.41176470588235292</v>
      </c>
      <c r="O17" s="108">
        <v>0.15384615384615385</v>
      </c>
      <c r="P17" s="108">
        <v>0.59090909090909094</v>
      </c>
      <c r="Q17" s="108">
        <v>0.35714285714285715</v>
      </c>
    </row>
    <row r="18" spans="1:17" x14ac:dyDescent="0.45">
      <c r="A18" s="110">
        <v>15</v>
      </c>
      <c r="B18" s="107">
        <v>-205.5</v>
      </c>
      <c r="C18" s="107">
        <v>-13.7</v>
      </c>
      <c r="D18" s="112">
        <v>2.4666666666666668</v>
      </c>
      <c r="E18" s="108">
        <v>0.13333333333333333</v>
      </c>
      <c r="F18" s="108">
        <v>0.23584905660377359</v>
      </c>
      <c r="G18" s="108">
        <v>0.21698113207547171</v>
      </c>
      <c r="H18" s="109">
        <v>11284</v>
      </c>
      <c r="I18" s="109">
        <v>-10573.91304347826</v>
      </c>
      <c r="J18" s="108">
        <v>0.33333333333333331</v>
      </c>
      <c r="K18" s="108">
        <v>0</v>
      </c>
      <c r="L18" s="108">
        <v>0.28985507246376813</v>
      </c>
      <c r="M18" s="108">
        <v>0.21739130434782608</v>
      </c>
      <c r="N18" s="108">
        <v>0.5</v>
      </c>
      <c r="O18" s="108">
        <v>0.13333333333333333</v>
      </c>
      <c r="P18" s="108">
        <v>0.6</v>
      </c>
      <c r="Q18" s="108">
        <v>0.34482758620689657</v>
      </c>
    </row>
    <row r="19" spans="1:17" x14ac:dyDescent="0.45">
      <c r="A19" s="110">
        <v>16</v>
      </c>
      <c r="B19" s="107">
        <v>-225.2</v>
      </c>
      <c r="C19" s="107">
        <v>-14.074999999999999</v>
      </c>
      <c r="D19" s="112">
        <v>2.5</v>
      </c>
      <c r="E19" s="108">
        <v>0.125</v>
      </c>
      <c r="F19" s="108">
        <v>0.22807017543859648</v>
      </c>
      <c r="G19" s="108">
        <v>0.21929824561403508</v>
      </c>
      <c r="H19" s="109">
        <v>11157.692307692309</v>
      </c>
      <c r="I19" s="109">
        <v>-10256</v>
      </c>
      <c r="J19" s="108">
        <v>0.3125</v>
      </c>
      <c r="K19" s="108">
        <v>0</v>
      </c>
      <c r="L19" s="108">
        <v>0.27272727272727271</v>
      </c>
      <c r="M19" s="108">
        <v>0.20779220779220781</v>
      </c>
      <c r="N19" s="108">
        <v>0.52380952380952384</v>
      </c>
      <c r="O19" s="108">
        <v>0.125</v>
      </c>
      <c r="P19" s="108">
        <v>0.57692307692307687</v>
      </c>
      <c r="Q19" s="108">
        <v>0.3125</v>
      </c>
    </row>
    <row r="20" spans="1:17" x14ac:dyDescent="0.45">
      <c r="A20" s="110">
        <v>17</v>
      </c>
      <c r="B20" s="107">
        <v>-259.7</v>
      </c>
      <c r="C20" s="107">
        <v>-15.276470588235293</v>
      </c>
      <c r="D20" s="112">
        <v>2.5294117647058822</v>
      </c>
      <c r="E20" s="108">
        <v>0.11764705882352941</v>
      </c>
      <c r="F20" s="108">
        <v>0.22689075630252101</v>
      </c>
      <c r="G20" s="108">
        <v>0.21008403361344538</v>
      </c>
      <c r="H20" s="109">
        <v>11188.888888888889</v>
      </c>
      <c r="I20" s="109">
        <v>-10256</v>
      </c>
      <c r="J20" s="108">
        <v>0.35294117647058826</v>
      </c>
      <c r="K20" s="108">
        <v>0</v>
      </c>
      <c r="L20" s="108">
        <v>0.25609756097560976</v>
      </c>
      <c r="M20" s="108">
        <v>0.21951219512195122</v>
      </c>
      <c r="N20" s="108">
        <v>0.52380952380952384</v>
      </c>
      <c r="O20" s="108">
        <v>0.1111111111111111</v>
      </c>
      <c r="P20" s="108">
        <v>0.59259259259259256</v>
      </c>
      <c r="Q20" s="108">
        <v>0.31428571428571428</v>
      </c>
    </row>
    <row r="21" spans="1:17" x14ac:dyDescent="0.45">
      <c r="A21" s="110">
        <v>18</v>
      </c>
      <c r="B21" s="107">
        <v>-285.8</v>
      </c>
      <c r="C21" s="107">
        <v>-15.877777777777778</v>
      </c>
      <c r="D21" s="112">
        <v>2.5555555555555554</v>
      </c>
      <c r="E21" s="108">
        <v>0.1111111111111111</v>
      </c>
      <c r="F21" s="108">
        <v>0.21804511278195488</v>
      </c>
      <c r="G21" s="108">
        <v>0.20300751879699247</v>
      </c>
      <c r="H21" s="109">
        <v>11013.793103448275</v>
      </c>
      <c r="I21" s="109">
        <v>-10066.666666666666</v>
      </c>
      <c r="J21" s="108">
        <v>0.33333333333333331</v>
      </c>
      <c r="K21" s="108">
        <v>0</v>
      </c>
      <c r="L21" s="108">
        <v>0.23958333333333334</v>
      </c>
      <c r="M21" s="108">
        <v>0.21875</v>
      </c>
      <c r="N21" s="108">
        <v>0.52173913043478259</v>
      </c>
      <c r="O21" s="108">
        <v>0.14285714285714285</v>
      </c>
      <c r="P21" s="108">
        <v>0.58620689655172409</v>
      </c>
      <c r="Q21" s="108">
        <v>0.31578947368421051</v>
      </c>
    </row>
    <row r="22" spans="1:17" x14ac:dyDescent="0.45">
      <c r="A22" s="110">
        <v>19</v>
      </c>
      <c r="B22" s="107">
        <v>-264.2</v>
      </c>
      <c r="C22" s="107">
        <v>-13.905263157894737</v>
      </c>
      <c r="D22" s="112">
        <v>2.4736842105263159</v>
      </c>
      <c r="E22" s="108">
        <v>0.15789473684210525</v>
      </c>
      <c r="F22" s="108">
        <v>0.23404255319148937</v>
      </c>
      <c r="G22" s="108">
        <v>0.19858156028368795</v>
      </c>
      <c r="H22" s="109">
        <v>10466.666666666666</v>
      </c>
      <c r="I22" s="109">
        <v>-9846.4285714285706</v>
      </c>
      <c r="J22" s="108">
        <v>0.31578947368421051</v>
      </c>
      <c r="K22" s="108">
        <v>0</v>
      </c>
      <c r="L22" s="108">
        <v>0.24038461538461539</v>
      </c>
      <c r="M22" s="108">
        <v>0.22115384615384615</v>
      </c>
      <c r="N22" s="108">
        <v>0.56000000000000005</v>
      </c>
      <c r="O22" s="108">
        <v>0.21739130434782608</v>
      </c>
      <c r="P22" s="108">
        <v>0.5757575757575758</v>
      </c>
      <c r="Q22" s="108">
        <v>0.3</v>
      </c>
    </row>
    <row r="23" spans="1:17" x14ac:dyDescent="0.45">
      <c r="A23" s="110">
        <v>20</v>
      </c>
      <c r="B23" s="107">
        <v>-261</v>
      </c>
      <c r="C23" s="107">
        <v>-13.05</v>
      </c>
      <c r="D23" s="112">
        <v>2.4500000000000002</v>
      </c>
      <c r="E23" s="108">
        <v>0.15</v>
      </c>
      <c r="F23" s="108">
        <v>0.24183006535947713</v>
      </c>
      <c r="G23" s="108">
        <v>0.20261437908496732</v>
      </c>
      <c r="H23" s="109">
        <v>10740.54054054054</v>
      </c>
      <c r="I23" s="109">
        <v>-10506.451612903225</v>
      </c>
      <c r="J23" s="108">
        <v>0.3</v>
      </c>
      <c r="K23" s="108">
        <v>0</v>
      </c>
      <c r="L23" s="108">
        <v>0.22413793103448276</v>
      </c>
      <c r="M23" s="108">
        <v>0.23275862068965517</v>
      </c>
      <c r="N23" s="108">
        <v>0.53846153846153844</v>
      </c>
      <c r="O23" s="108">
        <v>0.29629629629629628</v>
      </c>
      <c r="P23" s="108">
        <v>0.56756756756756754</v>
      </c>
      <c r="Q23" s="108">
        <v>0.2857142857142857</v>
      </c>
    </row>
    <row r="24" spans="1:17" x14ac:dyDescent="0.45">
      <c r="A24" s="110">
        <v>21</v>
      </c>
      <c r="B24" s="107">
        <v>-234</v>
      </c>
      <c r="C24" s="107">
        <v>-11.142857142857142</v>
      </c>
      <c r="D24" s="112">
        <v>2.3809523809523809</v>
      </c>
      <c r="E24" s="108">
        <v>0.19047619047619047</v>
      </c>
      <c r="F24" s="108">
        <v>0.25</v>
      </c>
      <c r="G24" s="108">
        <v>0.2</v>
      </c>
      <c r="H24" s="109">
        <v>10885</v>
      </c>
      <c r="I24" s="109">
        <v>-10428.125</v>
      </c>
      <c r="J24" s="108">
        <v>0.2857142857142857</v>
      </c>
      <c r="K24" s="108">
        <v>4.7619047619047616E-2</v>
      </c>
      <c r="L24" s="108">
        <v>0.22764227642276422</v>
      </c>
      <c r="M24" s="108">
        <v>0.22764227642276422</v>
      </c>
      <c r="N24" s="108">
        <v>0.5714285714285714</v>
      </c>
      <c r="O24" s="108">
        <v>0.32142857142857145</v>
      </c>
      <c r="P24" s="108">
        <v>0.52500000000000002</v>
      </c>
      <c r="Q24" s="108">
        <v>0.29545454545454547</v>
      </c>
    </row>
    <row r="25" spans="1:17" x14ac:dyDescent="0.45">
      <c r="A25" s="110">
        <v>22</v>
      </c>
      <c r="B25" s="107">
        <v>-195.9</v>
      </c>
      <c r="C25" s="107">
        <v>-8.9045454545454543</v>
      </c>
      <c r="D25" s="112">
        <v>2.3181818181818183</v>
      </c>
      <c r="E25" s="108">
        <v>0.22727272727272727</v>
      </c>
      <c r="F25" s="108">
        <v>0.26627218934911245</v>
      </c>
      <c r="G25" s="108">
        <v>0.20118343195266272</v>
      </c>
      <c r="H25" s="109">
        <v>10808.888888888889</v>
      </c>
      <c r="I25" s="109">
        <v>-10135.294117647059</v>
      </c>
      <c r="J25" s="108">
        <v>0.27272727272727271</v>
      </c>
      <c r="K25" s="108">
        <v>9.0909090909090912E-2</v>
      </c>
      <c r="L25" s="108">
        <v>0.22727272727272727</v>
      </c>
      <c r="M25" s="108">
        <v>0.23484848484848486</v>
      </c>
      <c r="N25" s="108">
        <v>0.6</v>
      </c>
      <c r="O25" s="108">
        <v>0.35483870967741937</v>
      </c>
      <c r="P25" s="108">
        <v>0.53333333333333333</v>
      </c>
      <c r="Q25" s="108">
        <v>0.33333333333333331</v>
      </c>
    </row>
    <row r="26" spans="1:17" x14ac:dyDescent="0.45">
      <c r="A26" s="110">
        <v>23</v>
      </c>
      <c r="B26" s="107">
        <v>-193.9</v>
      </c>
      <c r="C26" s="107">
        <v>-8.4304347826086961</v>
      </c>
      <c r="D26" s="112">
        <v>2.3043478260869565</v>
      </c>
      <c r="E26" s="108">
        <v>0.21739130434782608</v>
      </c>
      <c r="F26" s="108">
        <v>0.2655367231638418</v>
      </c>
      <c r="G26" s="108">
        <v>0.19774011299435029</v>
      </c>
      <c r="H26" s="109">
        <v>10944.680851063829</v>
      </c>
      <c r="I26" s="109">
        <v>-9902.8571428571431</v>
      </c>
      <c r="J26" s="108">
        <v>0.2608695652173913</v>
      </c>
      <c r="K26" s="108">
        <v>8.6956521739130432E-2</v>
      </c>
      <c r="L26" s="108">
        <v>0.23571428571428571</v>
      </c>
      <c r="M26" s="108">
        <v>0.24285714285714285</v>
      </c>
      <c r="N26" s="108">
        <v>0.5757575757575758</v>
      </c>
      <c r="O26" s="108">
        <v>0.35294117647058826</v>
      </c>
      <c r="P26" s="108">
        <v>0.53191489361702127</v>
      </c>
      <c r="Q26" s="108">
        <v>0.33333333333333331</v>
      </c>
    </row>
    <row r="27" spans="1:17" x14ac:dyDescent="0.45">
      <c r="A27" s="110">
        <v>24</v>
      </c>
      <c r="B27" s="107">
        <v>-162.19999999999999</v>
      </c>
      <c r="C27" s="107">
        <v>-6.7583333333333329</v>
      </c>
      <c r="D27" s="112">
        <v>2.25</v>
      </c>
      <c r="E27" s="108">
        <v>0.25</v>
      </c>
      <c r="F27" s="108">
        <v>0.27659574468085107</v>
      </c>
      <c r="G27" s="108">
        <v>0.20212765957446807</v>
      </c>
      <c r="H27" s="109">
        <v>11084.615384615385</v>
      </c>
      <c r="I27" s="109">
        <v>-9642.105263157895</v>
      </c>
      <c r="J27" s="108">
        <v>0.25</v>
      </c>
      <c r="K27" s="108">
        <v>0.125</v>
      </c>
      <c r="L27" s="108">
        <v>0.25827814569536423</v>
      </c>
      <c r="M27" s="108">
        <v>0.2251655629139073</v>
      </c>
      <c r="N27" s="108">
        <v>0.61538461538461542</v>
      </c>
      <c r="O27" s="108">
        <v>0.35294117647058826</v>
      </c>
      <c r="P27" s="108">
        <v>0.51923076923076927</v>
      </c>
      <c r="Q27" s="108">
        <v>0.36842105263157893</v>
      </c>
    </row>
    <row r="28" spans="1:17" x14ac:dyDescent="0.45">
      <c r="A28" s="110">
        <v>25</v>
      </c>
      <c r="B28" s="107">
        <v>-209.89999999999998</v>
      </c>
      <c r="C28" s="107">
        <v>-8.395999999999999</v>
      </c>
      <c r="D28" s="112">
        <v>2.2799999999999998</v>
      </c>
      <c r="E28" s="108">
        <v>0.24</v>
      </c>
      <c r="F28" s="108">
        <v>0.27272727272727271</v>
      </c>
      <c r="G28" s="108">
        <v>0.20707070707070707</v>
      </c>
      <c r="H28" s="109">
        <v>10729.62962962963</v>
      </c>
      <c r="I28" s="109">
        <v>-9697.5609756097565</v>
      </c>
      <c r="J28" s="108">
        <v>0.28000000000000003</v>
      </c>
      <c r="K28" s="108">
        <v>0.12</v>
      </c>
      <c r="L28" s="108">
        <v>0.24223602484472051</v>
      </c>
      <c r="M28" s="108">
        <v>0.22981366459627328</v>
      </c>
      <c r="N28" s="108">
        <v>0.61538461538461542</v>
      </c>
      <c r="O28" s="108">
        <v>0.3783783783783784</v>
      </c>
      <c r="P28" s="108">
        <v>0.5</v>
      </c>
      <c r="Q28" s="108">
        <v>0.3559322033898305</v>
      </c>
    </row>
    <row r="29" spans="1:17" x14ac:dyDescent="0.45">
      <c r="A29" s="110">
        <v>26</v>
      </c>
      <c r="B29" s="107">
        <v>-248.29999999999998</v>
      </c>
      <c r="C29" s="107">
        <v>-9.5499999999999989</v>
      </c>
      <c r="D29" s="112">
        <v>2.3076923076923075</v>
      </c>
      <c r="E29" s="108">
        <v>0.23076923076923078</v>
      </c>
      <c r="F29" s="108">
        <v>0.26829268292682928</v>
      </c>
      <c r="G29" s="108">
        <v>0.21463414634146341</v>
      </c>
      <c r="H29" s="109">
        <v>10825.454545454546</v>
      </c>
      <c r="I29" s="109">
        <v>-9990.9090909090901</v>
      </c>
      <c r="J29" s="108">
        <v>0.30769230769230771</v>
      </c>
      <c r="K29" s="108">
        <v>0.11538461538461539</v>
      </c>
      <c r="L29" s="108">
        <v>0.23809523809523808</v>
      </c>
      <c r="M29" s="108">
        <v>0.23214285714285715</v>
      </c>
      <c r="N29" s="108">
        <v>0.625</v>
      </c>
      <c r="O29" s="108">
        <v>0.35897435897435898</v>
      </c>
      <c r="P29" s="108">
        <v>0.49090909090909091</v>
      </c>
      <c r="Q29" s="108">
        <v>0.34426229508196721</v>
      </c>
    </row>
    <row r="30" spans="1:17" x14ac:dyDescent="0.45">
      <c r="A30" s="110">
        <v>27</v>
      </c>
      <c r="B30" s="107">
        <v>-287.29999999999995</v>
      </c>
      <c r="C30" s="107">
        <v>-10.640740740740739</v>
      </c>
      <c r="D30" s="112">
        <v>2.3333333333333335</v>
      </c>
      <c r="E30" s="108">
        <v>0.22222222222222221</v>
      </c>
      <c r="F30" s="108">
        <v>0.26442307692307693</v>
      </c>
      <c r="G30" s="108">
        <v>0.22115384615384615</v>
      </c>
      <c r="H30" s="109">
        <v>10825.454545454546</v>
      </c>
      <c r="I30" s="109">
        <v>-10339.130434782608</v>
      </c>
      <c r="J30" s="108">
        <v>0.33333333333333331</v>
      </c>
      <c r="K30" s="108">
        <v>0.1111111111111111</v>
      </c>
      <c r="L30" s="108">
        <v>0.23976608187134502</v>
      </c>
      <c r="M30" s="108">
        <v>0.22807017543859648</v>
      </c>
      <c r="N30" s="108">
        <v>0.6097560975609756</v>
      </c>
      <c r="O30" s="108">
        <v>0.35897435897435898</v>
      </c>
      <c r="P30" s="108">
        <v>0.49090909090909091</v>
      </c>
      <c r="Q30" s="108">
        <v>0.33870967741935482</v>
      </c>
    </row>
    <row r="31" spans="1:17" x14ac:dyDescent="0.45">
      <c r="A31" s="110">
        <v>28</v>
      </c>
      <c r="B31" s="107">
        <v>-282.19999999999993</v>
      </c>
      <c r="C31" s="107">
        <v>-10.078571428571426</v>
      </c>
      <c r="D31" s="112">
        <v>2.2857142857142856</v>
      </c>
      <c r="E31" s="108">
        <v>0.25</v>
      </c>
      <c r="F31" s="108">
        <v>0.26851851851851855</v>
      </c>
      <c r="G31" s="108">
        <v>0.22685185185185186</v>
      </c>
      <c r="H31" s="109">
        <v>10817.241379310344</v>
      </c>
      <c r="I31" s="109">
        <v>-10040.816326530612</v>
      </c>
      <c r="J31" s="108">
        <v>0.32142857142857145</v>
      </c>
      <c r="K31" s="108">
        <v>0.10714285714285714</v>
      </c>
      <c r="L31" s="108">
        <v>0.25139664804469275</v>
      </c>
      <c r="M31" s="108">
        <v>0.24022346368715083</v>
      </c>
      <c r="N31" s="108">
        <v>0.6</v>
      </c>
      <c r="O31" s="108">
        <v>0.34883720930232559</v>
      </c>
      <c r="P31" s="108">
        <v>0.48275862068965519</v>
      </c>
      <c r="Q31" s="108">
        <v>0.33846153846153848</v>
      </c>
    </row>
    <row r="32" spans="1:17" x14ac:dyDescent="0.45">
      <c r="A32" s="110">
        <v>29</v>
      </c>
      <c r="B32" s="107">
        <v>-232.19999999999993</v>
      </c>
      <c r="C32" s="107">
        <v>-8.0068965517241359</v>
      </c>
      <c r="D32" s="112">
        <v>2.2413793103448274</v>
      </c>
      <c r="E32" s="108">
        <v>0.27586206896551724</v>
      </c>
      <c r="F32" s="108">
        <v>0.27927927927927926</v>
      </c>
      <c r="G32" s="108">
        <v>0.22072072072072071</v>
      </c>
      <c r="H32" s="109">
        <v>11087.096774193549</v>
      </c>
      <c r="I32" s="109">
        <v>-10040.816326530612</v>
      </c>
      <c r="J32" s="108">
        <v>0.31034482758620691</v>
      </c>
      <c r="K32" s="108">
        <v>0.13793103448275862</v>
      </c>
      <c r="L32" s="108">
        <v>0.26486486486486488</v>
      </c>
      <c r="M32" s="108">
        <v>0.23243243243243245</v>
      </c>
      <c r="N32" s="108">
        <v>0.63265306122448983</v>
      </c>
      <c r="O32" s="108">
        <v>0.34883720930232559</v>
      </c>
      <c r="P32" s="108">
        <v>0.5</v>
      </c>
      <c r="Q32" s="108">
        <v>0.36231884057971014</v>
      </c>
    </row>
    <row r="33" spans="1:17" x14ac:dyDescent="0.45">
      <c r="A33" s="110">
        <v>30</v>
      </c>
      <c r="B33" s="107">
        <v>-249.29999999999993</v>
      </c>
      <c r="C33" s="107">
        <v>-8.3099999999999969</v>
      </c>
      <c r="D33" s="112">
        <v>2.2666666666666666</v>
      </c>
      <c r="E33" s="108">
        <v>0.26666666666666666</v>
      </c>
      <c r="F33" s="108">
        <v>0.27192982456140352</v>
      </c>
      <c r="G33" s="108">
        <v>0.22368421052631579</v>
      </c>
      <c r="H33" s="109">
        <v>11087.096774193549</v>
      </c>
      <c r="I33" s="109">
        <v>-9854.9019607843129</v>
      </c>
      <c r="J33" s="108">
        <v>0.3</v>
      </c>
      <c r="K33" s="108">
        <v>0.13333333333333333</v>
      </c>
      <c r="L33" s="108">
        <v>0.26178010471204188</v>
      </c>
      <c r="M33" s="108">
        <v>0.22513089005235601</v>
      </c>
      <c r="N33" s="108">
        <v>0.62</v>
      </c>
      <c r="O33" s="108">
        <v>0.34883720930232559</v>
      </c>
      <c r="P33" s="108">
        <v>0.5</v>
      </c>
      <c r="Q33" s="108">
        <v>0.352112676056338</v>
      </c>
    </row>
    <row r="34" spans="1:17" x14ac:dyDescent="0.45">
      <c r="A34" s="110">
        <v>31</v>
      </c>
      <c r="B34" s="107">
        <v>-257.39999999999992</v>
      </c>
      <c r="C34" s="107">
        <v>-8.3032258064516107</v>
      </c>
      <c r="D34" s="112">
        <v>2.2580645161290325</v>
      </c>
      <c r="E34" s="108">
        <v>0.25806451612903225</v>
      </c>
      <c r="F34" s="108">
        <v>0.27196652719665271</v>
      </c>
      <c r="G34" s="108">
        <v>0.22594142259414227</v>
      </c>
      <c r="H34" s="109">
        <v>11006.153846153846</v>
      </c>
      <c r="I34" s="109">
        <v>-9892.5925925925931</v>
      </c>
      <c r="J34" s="108">
        <v>0.29032258064516131</v>
      </c>
      <c r="K34" s="108">
        <v>0.12903225806451613</v>
      </c>
      <c r="L34" s="108">
        <v>0.25742574257425743</v>
      </c>
      <c r="M34" s="108">
        <v>0.21782178217821782</v>
      </c>
      <c r="N34" s="108">
        <v>0.63461538461538458</v>
      </c>
      <c r="O34" s="108">
        <v>0.36363636363636365</v>
      </c>
      <c r="P34" s="108">
        <v>0.49230769230769234</v>
      </c>
      <c r="Q34" s="108">
        <v>0.34246575342465752</v>
      </c>
    </row>
    <row r="35" spans="1:17" x14ac:dyDescent="0.45">
      <c r="A35" s="110">
        <v>32</v>
      </c>
      <c r="B35" s="107">
        <v>-275.89999999999992</v>
      </c>
      <c r="C35" s="107">
        <v>-8.6218749999999975</v>
      </c>
      <c r="D35" s="112">
        <v>2.25</v>
      </c>
      <c r="E35" s="108">
        <v>0.25</v>
      </c>
      <c r="F35" s="108">
        <v>0.26970954356846472</v>
      </c>
      <c r="G35" s="108">
        <v>0.22406639004149378</v>
      </c>
      <c r="H35" s="109">
        <v>11006.153846153846</v>
      </c>
      <c r="I35" s="109">
        <v>-9892.5925925925931</v>
      </c>
      <c r="J35" s="108">
        <v>0.28125</v>
      </c>
      <c r="K35" s="108">
        <v>0.125</v>
      </c>
      <c r="L35" s="108">
        <v>0.25490196078431371</v>
      </c>
      <c r="M35" s="108">
        <v>0.21568627450980393</v>
      </c>
      <c r="N35" s="108">
        <v>0.63461538461538458</v>
      </c>
      <c r="O35" s="108">
        <v>0.36363636363636365</v>
      </c>
      <c r="P35" s="108">
        <v>0.49230769230769234</v>
      </c>
      <c r="Q35" s="108">
        <v>0.34246575342465752</v>
      </c>
    </row>
    <row r="36" spans="1:17" x14ac:dyDescent="0.45">
      <c r="A36" s="110">
        <v>33</v>
      </c>
      <c r="B36" s="107">
        <v>-283.2999999999999</v>
      </c>
      <c r="C36" s="107">
        <v>-8.5848484848484823</v>
      </c>
      <c r="D36" s="112">
        <v>2.2424242424242422</v>
      </c>
      <c r="E36" s="108">
        <v>0.24242424242424243</v>
      </c>
      <c r="F36" s="108">
        <v>0.2661290322580645</v>
      </c>
      <c r="G36" s="108">
        <v>0.22177419354838709</v>
      </c>
      <c r="H36" s="109">
        <v>11021.212121212122</v>
      </c>
      <c r="I36" s="109">
        <v>-9783.636363636364</v>
      </c>
      <c r="J36" s="108">
        <v>0.27272727272727271</v>
      </c>
      <c r="K36" s="108">
        <v>0.12121212121212122</v>
      </c>
      <c r="L36" s="108">
        <v>0.25592417061611372</v>
      </c>
      <c r="M36" s="108">
        <v>0.2132701421800948</v>
      </c>
      <c r="N36" s="108">
        <v>0.62962962962962965</v>
      </c>
      <c r="O36" s="108">
        <v>0.35555555555555557</v>
      </c>
      <c r="P36" s="108">
        <v>0.5</v>
      </c>
      <c r="Q36" s="108">
        <v>0.33333333333333331</v>
      </c>
    </row>
    <row r="37" spans="1:17" x14ac:dyDescent="0.45">
      <c r="A37" s="110">
        <v>34</v>
      </c>
      <c r="B37" s="107">
        <v>-292.69999999999987</v>
      </c>
      <c r="C37" s="107">
        <v>-8.6088235294117617</v>
      </c>
      <c r="D37" s="112">
        <v>2.2647058823529411</v>
      </c>
      <c r="E37" s="108">
        <v>0.23529411764705882</v>
      </c>
      <c r="F37" s="108">
        <v>0.26459143968871596</v>
      </c>
      <c r="G37" s="108">
        <v>0.22178988326848248</v>
      </c>
      <c r="H37" s="109">
        <v>11108.823529411764</v>
      </c>
      <c r="I37" s="109">
        <v>-9649.1228070175439</v>
      </c>
      <c r="J37" s="108">
        <v>0.26470588235294118</v>
      </c>
      <c r="K37" s="108">
        <v>0.11764705882352941</v>
      </c>
      <c r="L37" s="108">
        <v>0.26363636363636361</v>
      </c>
      <c r="M37" s="108">
        <v>0.20909090909090908</v>
      </c>
      <c r="N37" s="108">
        <v>0.60344827586206895</v>
      </c>
      <c r="O37" s="108">
        <v>0.34782608695652173</v>
      </c>
      <c r="P37" s="108">
        <v>0.48529411764705882</v>
      </c>
      <c r="Q37" s="108">
        <v>0.33333333333333331</v>
      </c>
    </row>
    <row r="38" spans="1:17" x14ac:dyDescent="0.45">
      <c r="A38" s="110">
        <v>35</v>
      </c>
      <c r="B38" s="107">
        <v>-329.69999999999987</v>
      </c>
      <c r="C38" s="107">
        <v>-9.4199999999999964</v>
      </c>
      <c r="D38" s="112">
        <v>2.2857142857142856</v>
      </c>
      <c r="E38" s="108">
        <v>0.22857142857142856</v>
      </c>
      <c r="F38" s="108">
        <v>0.26235741444866922</v>
      </c>
      <c r="G38" s="108">
        <v>0.22813688212927757</v>
      </c>
      <c r="H38" s="109">
        <v>11179.710144927536</v>
      </c>
      <c r="I38" s="109">
        <v>-9966.6666666666661</v>
      </c>
      <c r="J38" s="108">
        <v>0.2857142857142857</v>
      </c>
      <c r="K38" s="108">
        <v>0.11428571428571428</v>
      </c>
      <c r="L38" s="108">
        <v>0.26106194690265488</v>
      </c>
      <c r="M38" s="108">
        <v>0.21238938053097345</v>
      </c>
      <c r="N38" s="108">
        <v>0.61016949152542377</v>
      </c>
      <c r="O38" s="108">
        <v>0.33333333333333331</v>
      </c>
      <c r="P38" s="108">
        <v>0.47826086956521741</v>
      </c>
      <c r="Q38" s="108">
        <v>0.32911392405063289</v>
      </c>
    </row>
    <row r="39" spans="1:17" x14ac:dyDescent="0.45">
      <c r="A39" s="110">
        <v>36</v>
      </c>
      <c r="B39" s="107">
        <v>-319.09999999999985</v>
      </c>
      <c r="C39" s="107">
        <v>-8.8638888888888854</v>
      </c>
      <c r="D39" s="112">
        <v>2.25</v>
      </c>
      <c r="E39" s="108">
        <v>0.25</v>
      </c>
      <c r="F39" s="108">
        <v>0.26373626373626374</v>
      </c>
      <c r="G39" s="108">
        <v>0.23443223443223443</v>
      </c>
      <c r="H39" s="109">
        <v>11380.555555555555</v>
      </c>
      <c r="I39" s="109">
        <v>-9904.6875</v>
      </c>
      <c r="J39" s="108">
        <v>0.27777777777777779</v>
      </c>
      <c r="K39" s="108">
        <v>0.1111111111111111</v>
      </c>
      <c r="L39" s="108">
        <v>0.25847457627118642</v>
      </c>
      <c r="M39" s="108">
        <v>0.22033898305084745</v>
      </c>
      <c r="N39" s="108">
        <v>0.5901639344262295</v>
      </c>
      <c r="O39" s="108">
        <v>0.34615384615384615</v>
      </c>
      <c r="P39" s="108">
        <v>0.47222222222222221</v>
      </c>
      <c r="Q39" s="108">
        <v>0.32926829268292684</v>
      </c>
    </row>
    <row r="40" spans="1:17" x14ac:dyDescent="0.45">
      <c r="A40" s="110">
        <v>37</v>
      </c>
      <c r="B40" s="107">
        <v>-361.59999999999985</v>
      </c>
      <c r="C40" s="107">
        <v>-9.7729729729729691</v>
      </c>
      <c r="D40" s="112">
        <v>2.2702702702702702</v>
      </c>
      <c r="E40" s="108">
        <v>0.24324324324324326</v>
      </c>
      <c r="F40" s="108">
        <v>0.25899280575539568</v>
      </c>
      <c r="G40" s="108">
        <v>0.24100719424460432</v>
      </c>
      <c r="H40" s="109">
        <v>11380.555555555555</v>
      </c>
      <c r="I40" s="109">
        <v>-9998.507462686568</v>
      </c>
      <c r="J40" s="108">
        <v>0.29729729729729731</v>
      </c>
      <c r="K40" s="108">
        <v>0.10810810810810811</v>
      </c>
      <c r="L40" s="108">
        <v>0.26141078838174275</v>
      </c>
      <c r="M40" s="108">
        <v>0.21576763485477179</v>
      </c>
      <c r="N40" s="108">
        <v>0.5714285714285714</v>
      </c>
      <c r="O40" s="108">
        <v>0.34615384615384615</v>
      </c>
      <c r="P40" s="108">
        <v>0.47222222222222221</v>
      </c>
      <c r="Q40" s="108">
        <v>0.3253012048192771</v>
      </c>
    </row>
    <row r="41" spans="1:17" x14ac:dyDescent="0.45">
      <c r="A41" s="110">
        <v>38</v>
      </c>
      <c r="B41" s="107">
        <v>-369.09999999999985</v>
      </c>
      <c r="C41" s="107">
        <v>-9.7131578947368382</v>
      </c>
      <c r="D41" s="112">
        <v>2.2894736842105261</v>
      </c>
      <c r="E41" s="108">
        <v>0.23684210526315788</v>
      </c>
      <c r="F41" s="108">
        <v>0.26132404181184671</v>
      </c>
      <c r="G41" s="108">
        <v>0.25087108013937282</v>
      </c>
      <c r="H41" s="109">
        <v>11528</v>
      </c>
      <c r="I41" s="109">
        <v>-10098.611111111111</v>
      </c>
      <c r="J41" s="108">
        <v>0.28947368421052633</v>
      </c>
      <c r="K41" s="108">
        <v>0.10526315789473684</v>
      </c>
      <c r="L41" s="108">
        <v>0.26400000000000001</v>
      </c>
      <c r="M41" s="108">
        <v>0.20799999999999999</v>
      </c>
      <c r="N41" s="108">
        <v>0.59090909090909094</v>
      </c>
      <c r="O41" s="108">
        <v>0.34615384615384615</v>
      </c>
      <c r="P41" s="108">
        <v>0.48</v>
      </c>
      <c r="Q41" s="108">
        <v>0.32558139534883723</v>
      </c>
    </row>
    <row r="42" spans="1:17" x14ac:dyDescent="0.45">
      <c r="A42" s="110">
        <v>39</v>
      </c>
      <c r="B42" s="107">
        <v>-350.49999999999983</v>
      </c>
      <c r="C42" s="107">
        <v>-8.9871794871794837</v>
      </c>
      <c r="D42" s="112">
        <v>2.2564102564102564</v>
      </c>
      <c r="E42" s="108">
        <v>0.25641025641025639</v>
      </c>
      <c r="F42" s="108">
        <v>0.26621160409556316</v>
      </c>
      <c r="G42" s="108">
        <v>0.24914675767918087</v>
      </c>
      <c r="H42" s="109">
        <v>11458.974358974359</v>
      </c>
      <c r="I42" s="109">
        <v>-9995.8904109589039</v>
      </c>
      <c r="J42" s="108">
        <v>0.28205128205128205</v>
      </c>
      <c r="K42" s="108">
        <v>0.10256410256410256</v>
      </c>
      <c r="L42" s="108">
        <v>0.2734375</v>
      </c>
      <c r="M42" s="108">
        <v>0.20703125</v>
      </c>
      <c r="N42" s="108">
        <v>0.6</v>
      </c>
      <c r="O42" s="108">
        <v>0.33962264150943394</v>
      </c>
      <c r="P42" s="108">
        <v>0.46153846153846156</v>
      </c>
      <c r="Q42" s="108">
        <v>0.31818181818181818</v>
      </c>
    </row>
    <row r="43" spans="1:17" x14ac:dyDescent="0.45">
      <c r="A43" s="110">
        <v>40</v>
      </c>
      <c r="B43" s="107">
        <v>-367.59999999999985</v>
      </c>
      <c r="C43" s="107">
        <v>-9.1899999999999959</v>
      </c>
      <c r="D43" s="112">
        <v>2.2749999999999999</v>
      </c>
      <c r="E43" s="108">
        <v>0.25</v>
      </c>
      <c r="F43" s="108">
        <v>0.26821192052980131</v>
      </c>
      <c r="G43" s="108">
        <v>0.25165562913907286</v>
      </c>
      <c r="H43" s="109">
        <v>11392.592592592593</v>
      </c>
      <c r="I43" s="109">
        <v>-9786.8421052631584</v>
      </c>
      <c r="J43" s="108">
        <v>0.27500000000000002</v>
      </c>
      <c r="K43" s="108">
        <v>0.1</v>
      </c>
      <c r="L43" s="108">
        <v>0.27547169811320754</v>
      </c>
      <c r="M43" s="108">
        <v>0.21509433962264152</v>
      </c>
      <c r="N43" s="108">
        <v>0.60273972602739723</v>
      </c>
      <c r="O43" s="108">
        <v>0.33333333333333331</v>
      </c>
      <c r="P43" s="108">
        <v>0.46913580246913578</v>
      </c>
      <c r="Q43" s="108">
        <v>0.32608695652173914</v>
      </c>
    </row>
    <row r="44" spans="1:17" x14ac:dyDescent="0.45">
      <c r="A44" s="110">
        <v>41</v>
      </c>
      <c r="B44" s="107">
        <v>-355.59999999999985</v>
      </c>
      <c r="C44" s="107">
        <v>-8.6731707317073141</v>
      </c>
      <c r="D44" s="112">
        <v>2.2682926829268291</v>
      </c>
      <c r="E44" s="108">
        <v>0.24390243902439024</v>
      </c>
      <c r="F44" s="108">
        <v>0.27035830618892509</v>
      </c>
      <c r="G44" s="108">
        <v>0.24755700325732899</v>
      </c>
      <c r="H44" s="109">
        <v>11359.036144578313</v>
      </c>
      <c r="I44" s="109">
        <v>-9786.8421052631584</v>
      </c>
      <c r="J44" s="108">
        <v>0.26829268292682928</v>
      </c>
      <c r="K44" s="108">
        <v>9.7560975609756101E-2</v>
      </c>
      <c r="L44" s="108">
        <v>0.27407407407407408</v>
      </c>
      <c r="M44" s="108">
        <v>0.21481481481481482</v>
      </c>
      <c r="N44" s="108">
        <v>0.60810810810810811</v>
      </c>
      <c r="O44" s="108">
        <v>0.32758620689655171</v>
      </c>
      <c r="P44" s="108">
        <v>0.46987951807228917</v>
      </c>
      <c r="Q44" s="108">
        <v>0.32978723404255317</v>
      </c>
    </row>
    <row r="45" spans="1:17" x14ac:dyDescent="0.45">
      <c r="A45" s="110">
        <v>42</v>
      </c>
      <c r="B45" s="107">
        <v>-356.09999999999985</v>
      </c>
      <c r="C45" s="107">
        <v>-8.4785714285714242</v>
      </c>
      <c r="D45" s="112">
        <v>2.2619047619047619</v>
      </c>
      <c r="E45" s="108">
        <v>0.23809523809523808</v>
      </c>
      <c r="F45" s="108">
        <v>0.26923076923076922</v>
      </c>
      <c r="G45" s="108">
        <v>0.24679487179487181</v>
      </c>
      <c r="H45" s="109">
        <v>11414.285714285714</v>
      </c>
      <c r="I45" s="109">
        <v>-9815.5844155844152</v>
      </c>
      <c r="J45" s="108">
        <v>0.26190476190476192</v>
      </c>
      <c r="K45" s="108">
        <v>9.5238095238095233E-2</v>
      </c>
      <c r="L45" s="108">
        <v>0.27272727272727271</v>
      </c>
      <c r="M45" s="108">
        <v>0.21454545454545454</v>
      </c>
      <c r="N45" s="108">
        <v>0.61333333333333329</v>
      </c>
      <c r="O45" s="108">
        <v>0.32203389830508472</v>
      </c>
      <c r="P45" s="108">
        <v>0.47619047619047616</v>
      </c>
      <c r="Q45" s="108">
        <v>0.32631578947368423</v>
      </c>
    </row>
    <row r="46" spans="1:17" x14ac:dyDescent="0.45">
      <c r="A46" s="110">
        <v>43</v>
      </c>
      <c r="B46" s="107">
        <v>-315.09999999999985</v>
      </c>
      <c r="C46" s="107">
        <v>-7.3279069767441829</v>
      </c>
      <c r="D46" s="112">
        <v>2.2325581395348837</v>
      </c>
      <c r="E46" s="108">
        <v>0.2558139534883721</v>
      </c>
      <c r="F46" s="108">
        <v>0.27848101265822783</v>
      </c>
      <c r="G46" s="108">
        <v>0.24367088607594936</v>
      </c>
      <c r="H46" s="109">
        <v>11361.363636363636</v>
      </c>
      <c r="I46" s="109">
        <v>-9815.5844155844152</v>
      </c>
      <c r="J46" s="108">
        <v>0.2558139534883721</v>
      </c>
      <c r="K46" s="108">
        <v>0.11627906976744186</v>
      </c>
      <c r="L46" s="108">
        <v>0.27598566308243727</v>
      </c>
      <c r="M46" s="108">
        <v>0.21863799283154123</v>
      </c>
      <c r="N46" s="108">
        <v>0.62337662337662336</v>
      </c>
      <c r="O46" s="108">
        <v>0.34426229508196721</v>
      </c>
      <c r="P46" s="108">
        <v>0.47727272727272729</v>
      </c>
      <c r="Q46" s="108">
        <v>0.34693877551020408</v>
      </c>
    </row>
    <row r="47" spans="1:17" x14ac:dyDescent="0.45">
      <c r="A47" s="110">
        <v>44</v>
      </c>
      <c r="B47" s="107">
        <v>-320.89999999999986</v>
      </c>
      <c r="C47" s="107">
        <v>-7.2931818181818153</v>
      </c>
      <c r="D47" s="112">
        <v>2.2272727272727271</v>
      </c>
      <c r="E47" s="108">
        <v>0.25</v>
      </c>
      <c r="F47" s="108">
        <v>0.28834355828220859</v>
      </c>
      <c r="G47" s="108">
        <v>0.2392638036809816</v>
      </c>
      <c r="H47" s="109">
        <v>11053.191489361701</v>
      </c>
      <c r="I47" s="109">
        <v>-10100</v>
      </c>
      <c r="J47" s="108">
        <v>0.25</v>
      </c>
      <c r="K47" s="108">
        <v>0.11363636363636363</v>
      </c>
      <c r="L47" s="108">
        <v>0.28027681660899656</v>
      </c>
      <c r="M47" s="108">
        <v>0.22491349480968859</v>
      </c>
      <c r="N47" s="108">
        <v>0.62962962962962965</v>
      </c>
      <c r="O47" s="108">
        <v>0.36923076923076925</v>
      </c>
      <c r="P47" s="108">
        <v>0.45744680851063829</v>
      </c>
      <c r="Q47" s="108">
        <v>0.35294117647058826</v>
      </c>
    </row>
    <row r="48" spans="1:17" x14ac:dyDescent="0.45">
      <c r="A48" s="110">
        <v>45</v>
      </c>
      <c r="B48" s="107">
        <v>-319.19999999999987</v>
      </c>
      <c r="C48" s="107">
        <v>-7.0933333333333302</v>
      </c>
      <c r="D48" s="112">
        <v>2.2222222222222223</v>
      </c>
      <c r="E48" s="108">
        <v>0.24444444444444444</v>
      </c>
      <c r="F48" s="108">
        <v>0.29376854599406527</v>
      </c>
      <c r="G48" s="108">
        <v>0.23738872403560832</v>
      </c>
      <c r="H48" s="109">
        <v>10793.939393939394</v>
      </c>
      <c r="I48" s="109">
        <v>-10196.25</v>
      </c>
      <c r="J48" s="108">
        <v>0.24444444444444444</v>
      </c>
      <c r="K48" s="108">
        <v>0.1111111111111111</v>
      </c>
      <c r="L48" s="108">
        <v>0.28000000000000003</v>
      </c>
      <c r="M48" s="108">
        <v>0.22666666666666666</v>
      </c>
      <c r="N48" s="108">
        <v>0.6428571428571429</v>
      </c>
      <c r="O48" s="108">
        <v>0.38235294117647056</v>
      </c>
      <c r="P48" s="108">
        <v>0.45454545454545453</v>
      </c>
      <c r="Q48" s="108">
        <v>0.35514018691588783</v>
      </c>
    </row>
    <row r="49" spans="1:17" x14ac:dyDescent="0.45">
      <c r="A49" s="110">
        <v>46</v>
      </c>
      <c r="B49" s="107">
        <v>-352.39999999999986</v>
      </c>
      <c r="C49" s="107">
        <v>-7.6608695652173884</v>
      </c>
      <c r="D49" s="112">
        <v>2.2391304347826089</v>
      </c>
      <c r="E49" s="108">
        <v>0.2391304347826087</v>
      </c>
      <c r="F49" s="108">
        <v>0.28901734104046245</v>
      </c>
      <c r="G49" s="108">
        <v>0.23699421965317918</v>
      </c>
      <c r="H49" s="109">
        <v>10766</v>
      </c>
      <c r="I49" s="109">
        <v>-10035.365853658537</v>
      </c>
      <c r="J49" s="108">
        <v>0.2391304347826087</v>
      </c>
      <c r="K49" s="108">
        <v>0.10869565217391304</v>
      </c>
      <c r="L49" s="108">
        <v>0.28155339805825241</v>
      </c>
      <c r="M49" s="108">
        <v>0.22653721682847897</v>
      </c>
      <c r="N49" s="108">
        <v>0.62068965517241381</v>
      </c>
      <c r="O49" s="108">
        <v>0.38571428571428573</v>
      </c>
      <c r="P49" s="108">
        <v>0.46</v>
      </c>
      <c r="Q49" s="108">
        <v>0.34862385321100919</v>
      </c>
    </row>
    <row r="50" spans="1:17" x14ac:dyDescent="0.45">
      <c r="A50" s="110">
        <v>47</v>
      </c>
      <c r="B50" s="107">
        <v>-341.39999999999986</v>
      </c>
      <c r="C50" s="107">
        <v>-7.26382978723404</v>
      </c>
      <c r="D50" s="112">
        <v>2.2127659574468086</v>
      </c>
      <c r="E50" s="108">
        <v>0.25531914893617019</v>
      </c>
      <c r="F50" s="108">
        <v>0.2893258426966292</v>
      </c>
      <c r="G50" s="108">
        <v>0.23595505617977527</v>
      </c>
      <c r="H50" s="109">
        <v>10674.757281553399</v>
      </c>
      <c r="I50" s="109">
        <v>-9866.6666666666661</v>
      </c>
      <c r="J50" s="108">
        <v>0.23404255319148937</v>
      </c>
      <c r="K50" s="108">
        <v>0.10638297872340426</v>
      </c>
      <c r="L50" s="108">
        <v>0.29153605015673983</v>
      </c>
      <c r="M50" s="108">
        <v>0.21943573667711599</v>
      </c>
      <c r="N50" s="108">
        <v>0.60215053763440862</v>
      </c>
      <c r="O50" s="108">
        <v>0.38571428571428573</v>
      </c>
      <c r="P50" s="108">
        <v>0.44660194174757284</v>
      </c>
      <c r="Q50" s="108">
        <v>0.34513274336283184</v>
      </c>
    </row>
    <row r="51" spans="1:17" x14ac:dyDescent="0.45">
      <c r="A51" s="110">
        <v>48</v>
      </c>
      <c r="B51" s="107">
        <v>-349.19999999999987</v>
      </c>
      <c r="C51" s="107">
        <v>-7.2749999999999977</v>
      </c>
      <c r="D51" s="112">
        <v>2.2083333333333335</v>
      </c>
      <c r="E51" s="108">
        <v>0.25</v>
      </c>
      <c r="F51" s="108">
        <v>0.28846153846153844</v>
      </c>
      <c r="G51" s="108">
        <v>0.23076923076923078</v>
      </c>
      <c r="H51" s="109">
        <v>10635.238095238095</v>
      </c>
      <c r="I51" s="109">
        <v>-9866.6666666666661</v>
      </c>
      <c r="J51" s="108">
        <v>0.22916666666666666</v>
      </c>
      <c r="K51" s="108">
        <v>0.10416666666666667</v>
      </c>
      <c r="L51" s="108">
        <v>0.29357798165137616</v>
      </c>
      <c r="M51" s="108">
        <v>0.22018348623853212</v>
      </c>
      <c r="N51" s="108">
        <v>0.59375</v>
      </c>
      <c r="O51" s="108">
        <v>0.3888888888888889</v>
      </c>
      <c r="P51" s="108">
        <v>0.44761904761904764</v>
      </c>
      <c r="Q51" s="108">
        <v>0.33620689655172414</v>
      </c>
    </row>
    <row r="52" spans="1:17" x14ac:dyDescent="0.45">
      <c r="A52" s="110">
        <v>49</v>
      </c>
      <c r="B52" s="107">
        <v>-354.49999999999989</v>
      </c>
      <c r="C52" s="107">
        <v>-7.2346938775510177</v>
      </c>
      <c r="D52" s="112">
        <v>2.204081632653061</v>
      </c>
      <c r="E52" s="108">
        <v>0.24489795918367346</v>
      </c>
      <c r="F52" s="108">
        <v>0.29032258064516131</v>
      </c>
      <c r="G52" s="108">
        <v>0.23387096774193547</v>
      </c>
      <c r="H52" s="109">
        <v>10728.703703703704</v>
      </c>
      <c r="I52" s="109">
        <v>-9742.5287356321842</v>
      </c>
      <c r="J52" s="108">
        <v>0.22448979591836735</v>
      </c>
      <c r="K52" s="108">
        <v>0.10204081632653061</v>
      </c>
      <c r="L52" s="108">
        <v>0.29850746268656714</v>
      </c>
      <c r="M52" s="108">
        <v>0.22089552238805971</v>
      </c>
      <c r="N52" s="108">
        <v>0.57999999999999996</v>
      </c>
      <c r="O52" s="108">
        <v>0.39189189189189189</v>
      </c>
      <c r="P52" s="108">
        <v>0.46296296296296297</v>
      </c>
      <c r="Q52" s="108">
        <v>0.33613445378151263</v>
      </c>
    </row>
    <row r="53" spans="1:17" x14ac:dyDescent="0.45">
      <c r="A53" s="110">
        <v>50</v>
      </c>
      <c r="B53" s="107">
        <v>-388.99999999999989</v>
      </c>
      <c r="C53" s="107">
        <v>-7.7799999999999976</v>
      </c>
      <c r="D53" s="112">
        <v>2.2200000000000002</v>
      </c>
      <c r="E53" s="108">
        <v>0.24</v>
      </c>
      <c r="F53" s="108">
        <v>0.28647214854111408</v>
      </c>
      <c r="G53" s="108">
        <v>0.23607427055702918</v>
      </c>
      <c r="H53" s="109">
        <v>10728.703703703704</v>
      </c>
      <c r="I53" s="109">
        <v>-9793.258426966293</v>
      </c>
      <c r="J53" s="108">
        <v>0.24</v>
      </c>
      <c r="K53" s="108">
        <v>0.1</v>
      </c>
      <c r="L53" s="108">
        <v>0.29705882352941176</v>
      </c>
      <c r="M53" s="108">
        <v>0.22058823529411764</v>
      </c>
      <c r="N53" s="108">
        <v>0.57425742574257421</v>
      </c>
      <c r="O53" s="108">
        <v>0.38666666666666666</v>
      </c>
      <c r="P53" s="108">
        <v>0.46296296296296297</v>
      </c>
      <c r="Q53" s="108">
        <v>0.33333333333333331</v>
      </c>
    </row>
    <row r="54" spans="1:17" x14ac:dyDescent="0.45">
      <c r="A54" s="110">
        <v>51</v>
      </c>
      <c r="B54" s="107">
        <v>-398.99999999999989</v>
      </c>
      <c r="C54" s="107">
        <v>-7.8235294117647038</v>
      </c>
      <c r="D54" s="112">
        <v>2.215686274509804</v>
      </c>
      <c r="E54" s="108">
        <v>0.23529411764705882</v>
      </c>
      <c r="F54" s="108">
        <v>0.2890625</v>
      </c>
      <c r="G54" s="108">
        <v>0.234375</v>
      </c>
      <c r="H54" s="109">
        <v>10654.954954954956</v>
      </c>
      <c r="I54" s="109">
        <v>-10040</v>
      </c>
      <c r="J54" s="108">
        <v>0.23529411764705882</v>
      </c>
      <c r="K54" s="108">
        <v>9.8039215686274508E-2</v>
      </c>
      <c r="L54" s="108">
        <v>0.29682997118155618</v>
      </c>
      <c r="M54" s="108">
        <v>0.21902017291066284</v>
      </c>
      <c r="N54" s="108">
        <v>0.58252427184466016</v>
      </c>
      <c r="O54" s="108">
        <v>0.39473684210526316</v>
      </c>
      <c r="P54" s="108">
        <v>0.45945945945945948</v>
      </c>
      <c r="Q54" s="108">
        <v>0.32786885245901637</v>
      </c>
    </row>
    <row r="55" spans="1:17" x14ac:dyDescent="0.45">
      <c r="A55" s="110">
        <v>52</v>
      </c>
      <c r="B55" s="107">
        <v>-414.39999999999986</v>
      </c>
      <c r="C55" s="107">
        <v>-7.9692307692307667</v>
      </c>
      <c r="D55" s="112">
        <v>2.2307692307692308</v>
      </c>
      <c r="E55" s="108">
        <v>0.23076923076923078</v>
      </c>
      <c r="F55" s="108">
        <v>0.2875318066157761</v>
      </c>
      <c r="G55" s="108">
        <v>0.23918575063613232</v>
      </c>
      <c r="H55" s="109">
        <v>10749.557522123894</v>
      </c>
      <c r="I55" s="109">
        <v>-10037.234042553191</v>
      </c>
      <c r="J55" s="108">
        <v>0.23076923076923078</v>
      </c>
      <c r="K55" s="108">
        <v>9.6153846153846159E-2</v>
      </c>
      <c r="L55" s="108">
        <v>0.29775280898876405</v>
      </c>
      <c r="M55" s="108">
        <v>0.21629213483146068</v>
      </c>
      <c r="N55" s="108">
        <v>0.58490566037735847</v>
      </c>
      <c r="O55" s="108">
        <v>0.38961038961038963</v>
      </c>
      <c r="P55" s="108">
        <v>0.45132743362831856</v>
      </c>
      <c r="Q55" s="108">
        <v>0.32800000000000001</v>
      </c>
    </row>
    <row r="56" spans="1:17" x14ac:dyDescent="0.45">
      <c r="A56" s="110">
        <v>53</v>
      </c>
      <c r="B56" s="107">
        <v>-388.89999999999986</v>
      </c>
      <c r="C56" s="107">
        <v>-7.3377358490566014</v>
      </c>
      <c r="D56" s="112">
        <v>2.2075471698113209</v>
      </c>
      <c r="E56" s="108">
        <v>0.24528301886792453</v>
      </c>
      <c r="F56" s="108">
        <v>0.29104477611940299</v>
      </c>
      <c r="G56" s="108">
        <v>0.23880597014925373</v>
      </c>
      <c r="H56" s="109">
        <v>10792.307692307691</v>
      </c>
      <c r="I56" s="109">
        <v>-10036.458333333334</v>
      </c>
      <c r="J56" s="108">
        <v>0.22641509433962265</v>
      </c>
      <c r="K56" s="108">
        <v>9.4339622641509441E-2</v>
      </c>
      <c r="L56" s="108">
        <v>0.29863013698630136</v>
      </c>
      <c r="M56" s="108">
        <v>0.21369863013698631</v>
      </c>
      <c r="N56" s="108">
        <v>0.59633027522935778</v>
      </c>
      <c r="O56" s="108">
        <v>0.39743589743589741</v>
      </c>
      <c r="P56" s="108">
        <v>0.46153846153846156</v>
      </c>
      <c r="Q56" s="108">
        <v>0.33333333333333331</v>
      </c>
    </row>
    <row r="57" spans="1:17" x14ac:dyDescent="0.45">
      <c r="A57" s="110">
        <v>54</v>
      </c>
      <c r="B57" s="107">
        <v>-399.19999999999987</v>
      </c>
      <c r="C57" s="107">
        <v>-7.3925925925925906</v>
      </c>
      <c r="D57" s="112">
        <v>2.2222222222222223</v>
      </c>
      <c r="E57" s="108">
        <v>0.24074074074074073</v>
      </c>
      <c r="F57" s="108">
        <v>0.28953771289537711</v>
      </c>
      <c r="G57" s="108">
        <v>0.24087591240875914</v>
      </c>
      <c r="H57" s="109">
        <v>10689.0756302521</v>
      </c>
      <c r="I57" s="109">
        <v>-9869.69696969697</v>
      </c>
      <c r="J57" s="108">
        <v>0.22222222222222221</v>
      </c>
      <c r="K57" s="108">
        <v>9.2592592592592587E-2</v>
      </c>
      <c r="L57" s="108">
        <v>0.30213903743315507</v>
      </c>
      <c r="M57" s="108">
        <v>0.21390374331550802</v>
      </c>
      <c r="N57" s="108">
        <v>0.59292035398230092</v>
      </c>
      <c r="O57" s="108">
        <v>0.38750000000000001</v>
      </c>
      <c r="P57" s="108">
        <v>0.46218487394957986</v>
      </c>
      <c r="Q57" s="108">
        <v>0.3282442748091603</v>
      </c>
    </row>
    <row r="58" spans="1:17" x14ac:dyDescent="0.45">
      <c r="A58" s="110">
        <v>55</v>
      </c>
      <c r="B58" s="107">
        <v>-408.49999999999989</v>
      </c>
      <c r="C58" s="107">
        <v>-7.427272727272725</v>
      </c>
      <c r="D58" s="112">
        <v>2.2181818181818183</v>
      </c>
      <c r="E58" s="108">
        <v>0.23636363636363636</v>
      </c>
      <c r="F58" s="108">
        <v>0.2860520094562648</v>
      </c>
      <c r="G58" s="108">
        <v>0.24113475177304963</v>
      </c>
      <c r="H58" s="109">
        <v>10842.975206611571</v>
      </c>
      <c r="I58" s="109">
        <v>-9790.1960784313724</v>
      </c>
      <c r="J58" s="108">
        <v>0.21818181818181817</v>
      </c>
      <c r="K58" s="108">
        <v>9.0909090909090912E-2</v>
      </c>
      <c r="L58" s="108">
        <v>0.29792746113989638</v>
      </c>
      <c r="M58" s="108">
        <v>0.21502590673575128</v>
      </c>
      <c r="N58" s="108">
        <v>0.59130434782608698</v>
      </c>
      <c r="O58" s="108">
        <v>0.38554216867469882</v>
      </c>
      <c r="P58" s="108">
        <v>0.47107438016528924</v>
      </c>
      <c r="Q58" s="108">
        <v>0.32835820895522388</v>
      </c>
    </row>
    <row r="59" spans="1:17" x14ac:dyDescent="0.45">
      <c r="A59" s="110">
        <v>56</v>
      </c>
      <c r="B59" s="107">
        <v>-384.39999999999986</v>
      </c>
      <c r="C59" s="107">
        <v>-6.8642857142857121</v>
      </c>
      <c r="D59" s="112">
        <v>2.1964285714285716</v>
      </c>
      <c r="E59" s="108">
        <v>0.25</v>
      </c>
      <c r="F59" s="108">
        <v>0.28837209302325584</v>
      </c>
      <c r="G59" s="108">
        <v>0.23953488372093024</v>
      </c>
      <c r="H59" s="109">
        <v>10838.709677419354</v>
      </c>
      <c r="I59" s="109">
        <v>-9733.0097087378635</v>
      </c>
      <c r="J59" s="108">
        <v>0.21428571428571427</v>
      </c>
      <c r="K59" s="108">
        <v>0.10714285714285714</v>
      </c>
      <c r="L59" s="108">
        <v>0.2951653944020356</v>
      </c>
      <c r="M59" s="108">
        <v>0.21882951653944022</v>
      </c>
      <c r="N59" s="108">
        <v>0.59482758620689657</v>
      </c>
      <c r="O59" s="108">
        <v>0.39534883720930231</v>
      </c>
      <c r="P59" s="108">
        <v>0.46774193548387094</v>
      </c>
      <c r="Q59" s="108">
        <v>0.3235294117647059</v>
      </c>
    </row>
    <row r="60" spans="1:17" x14ac:dyDescent="0.45">
      <c r="A60" s="110">
        <v>57</v>
      </c>
      <c r="B60" s="107">
        <v>-416.89999999999986</v>
      </c>
      <c r="C60" s="107">
        <v>-7.3140350877192954</v>
      </c>
      <c r="D60" s="112">
        <v>2.2105263157894739</v>
      </c>
      <c r="E60" s="108">
        <v>0.24561403508771928</v>
      </c>
      <c r="F60" s="108">
        <v>0.2847380410022779</v>
      </c>
      <c r="G60" s="108">
        <v>0.24373576309794989</v>
      </c>
      <c r="H60" s="109">
        <v>10784</v>
      </c>
      <c r="I60" s="109">
        <v>-9642.9906542056069</v>
      </c>
      <c r="J60" s="108">
        <v>0.21052631578947367</v>
      </c>
      <c r="K60" s="108">
        <v>0.10526315789473684</v>
      </c>
      <c r="L60" s="108">
        <v>0.29104477611940299</v>
      </c>
      <c r="M60" s="108">
        <v>0.22139303482587064</v>
      </c>
      <c r="N60" s="108">
        <v>0.58974358974358976</v>
      </c>
      <c r="O60" s="108">
        <v>0.39325842696629215</v>
      </c>
      <c r="P60" s="108">
        <v>0.47199999999999998</v>
      </c>
      <c r="Q60" s="108">
        <v>0.31654676258992803</v>
      </c>
    </row>
    <row r="61" spans="1:17" x14ac:dyDescent="0.45">
      <c r="A61" s="110">
        <v>58</v>
      </c>
      <c r="B61" s="107">
        <v>-453.39999999999986</v>
      </c>
      <c r="C61" s="107">
        <v>-7.8172413793103424</v>
      </c>
      <c r="D61" s="112">
        <v>2.2241379310344827</v>
      </c>
      <c r="E61" s="108">
        <v>0.2413793103448276</v>
      </c>
      <c r="F61" s="108">
        <v>0.28000000000000003</v>
      </c>
      <c r="G61" s="108">
        <v>0.24</v>
      </c>
      <c r="H61" s="109">
        <v>10761.904761904761</v>
      </c>
      <c r="I61" s="109">
        <v>-9664.8148148148157</v>
      </c>
      <c r="J61" s="108">
        <v>0.22413793103448276</v>
      </c>
      <c r="K61" s="108">
        <v>0.10344827586206896</v>
      </c>
      <c r="L61" s="108">
        <v>0.29055690072639223</v>
      </c>
      <c r="M61" s="108">
        <v>0.21791767554479419</v>
      </c>
      <c r="N61" s="108">
        <v>0.58333333333333337</v>
      </c>
      <c r="O61" s="108">
        <v>0.3888888888888889</v>
      </c>
      <c r="P61" s="108">
        <v>0.46825396825396826</v>
      </c>
      <c r="Q61" s="108">
        <v>0.31205673758865249</v>
      </c>
    </row>
    <row r="62" spans="1:17" x14ac:dyDescent="0.45">
      <c r="A62" s="110">
        <v>59</v>
      </c>
      <c r="B62" s="107">
        <v>-461.79999999999984</v>
      </c>
      <c r="C62" s="107">
        <v>-7.8271186440677942</v>
      </c>
      <c r="D62" s="112">
        <v>2.2372881355932202</v>
      </c>
      <c r="E62" s="108">
        <v>0.23728813559322035</v>
      </c>
      <c r="F62" s="108">
        <v>0.28104575163398693</v>
      </c>
      <c r="G62" s="108">
        <v>0.23965141612200436</v>
      </c>
      <c r="H62" s="109">
        <v>10663.565891472868</v>
      </c>
      <c r="I62" s="109">
        <v>-9670.9090909090901</v>
      </c>
      <c r="J62" s="108">
        <v>0.22033898305084745</v>
      </c>
      <c r="K62" s="108">
        <v>0.10169491525423729</v>
      </c>
      <c r="L62" s="108">
        <v>0.29146919431279622</v>
      </c>
      <c r="M62" s="108">
        <v>0.21800947867298578</v>
      </c>
      <c r="N62" s="108">
        <v>0.5934959349593496</v>
      </c>
      <c r="O62" s="108">
        <v>0.38043478260869568</v>
      </c>
      <c r="P62" s="108">
        <v>0.47286821705426357</v>
      </c>
      <c r="Q62" s="108">
        <v>0.30769230769230771</v>
      </c>
    </row>
    <row r="63" spans="1:17" x14ac:dyDescent="0.45">
      <c r="A63" s="110">
        <v>60</v>
      </c>
      <c r="B63" s="107">
        <v>-461.29999999999984</v>
      </c>
      <c r="C63" s="107">
        <v>-7.6883333333333308</v>
      </c>
      <c r="D63" s="112">
        <v>2.2333333333333334</v>
      </c>
      <c r="E63" s="108">
        <v>0.23333333333333334</v>
      </c>
      <c r="F63" s="108">
        <v>0.28265524625267668</v>
      </c>
      <c r="G63" s="108">
        <v>0.23768736616702354</v>
      </c>
      <c r="H63" s="109">
        <v>10678.787878787878</v>
      </c>
      <c r="I63" s="109">
        <v>-9691.8918918918916</v>
      </c>
      <c r="J63" s="108">
        <v>0.21666666666666667</v>
      </c>
      <c r="K63" s="108">
        <v>0.1</v>
      </c>
      <c r="L63" s="108">
        <v>0.29534883720930233</v>
      </c>
      <c r="M63" s="108">
        <v>0.21860465116279071</v>
      </c>
      <c r="N63" s="108">
        <v>0.59055118110236215</v>
      </c>
      <c r="O63" s="108">
        <v>0.38297872340425532</v>
      </c>
      <c r="P63" s="108">
        <v>0.4621212121212121</v>
      </c>
      <c r="Q63" s="108">
        <v>0.30821917808219179</v>
      </c>
    </row>
    <row r="64" spans="1:17" x14ac:dyDescent="0.45">
      <c r="A64" s="110">
        <v>61</v>
      </c>
      <c r="B64" s="107">
        <v>-472.39999999999986</v>
      </c>
      <c r="C64" s="107">
        <v>-7.7442622950819651</v>
      </c>
      <c r="D64" s="112">
        <v>2.2459016393442623</v>
      </c>
      <c r="E64" s="108">
        <v>0.22950819672131148</v>
      </c>
      <c r="F64" s="108">
        <v>0.28000000000000003</v>
      </c>
      <c r="G64" s="108">
        <v>0.23789473684210527</v>
      </c>
      <c r="H64" s="109">
        <v>10658.646616541353</v>
      </c>
      <c r="I64" s="109">
        <v>-9614.1592920353978</v>
      </c>
      <c r="J64" s="108">
        <v>0.21311475409836064</v>
      </c>
      <c r="K64" s="108">
        <v>9.8360655737704916E-2</v>
      </c>
      <c r="L64" s="108">
        <v>0.29680365296803651</v>
      </c>
      <c r="M64" s="108">
        <v>0.21917808219178081</v>
      </c>
      <c r="N64" s="108">
        <v>0.57692307692307687</v>
      </c>
      <c r="O64" s="108">
        <v>0.375</v>
      </c>
      <c r="P64" s="108">
        <v>0.46616541353383456</v>
      </c>
      <c r="Q64" s="108">
        <v>0.30405405405405406</v>
      </c>
    </row>
    <row r="65" spans="1:17" x14ac:dyDescent="0.45">
      <c r="A65" s="110">
        <v>62</v>
      </c>
      <c r="B65" s="107">
        <v>-477.59999999999985</v>
      </c>
      <c r="C65" s="107">
        <v>-7.7032258064516101</v>
      </c>
      <c r="D65" s="112">
        <v>2.2419354838709675</v>
      </c>
      <c r="E65" s="108">
        <v>0.22580645161290322</v>
      </c>
      <c r="F65" s="108">
        <v>0.28041237113402062</v>
      </c>
      <c r="G65" s="108">
        <v>0.23711340206185566</v>
      </c>
      <c r="H65" s="109">
        <v>10600</v>
      </c>
      <c r="I65" s="109">
        <v>-9648.6956521739139</v>
      </c>
      <c r="J65" s="108">
        <v>0.20967741935483872</v>
      </c>
      <c r="K65" s="108">
        <v>9.6774193548387094E-2</v>
      </c>
      <c r="L65" s="108">
        <v>0.29464285714285715</v>
      </c>
      <c r="M65" s="108">
        <v>0.21651785714285715</v>
      </c>
      <c r="N65" s="108">
        <v>0.58333333333333337</v>
      </c>
      <c r="O65" s="108">
        <v>0.38144329896907214</v>
      </c>
      <c r="P65" s="108">
        <v>0.47058823529411764</v>
      </c>
      <c r="Q65" s="108">
        <v>0.30463576158940397</v>
      </c>
    </row>
    <row r="66" spans="1:17" x14ac:dyDescent="0.45">
      <c r="A66" s="110">
        <v>63</v>
      </c>
      <c r="B66" s="107">
        <v>-402.09999999999985</v>
      </c>
      <c r="C66" s="107">
        <v>-6.3825396825396803</v>
      </c>
      <c r="D66" s="112">
        <v>2.2222222222222223</v>
      </c>
      <c r="E66" s="108">
        <v>0.23809523809523808</v>
      </c>
      <c r="F66" s="108">
        <v>0.28973843058350102</v>
      </c>
      <c r="G66" s="108">
        <v>0.23340040241448692</v>
      </c>
      <c r="H66" s="109">
        <v>10589.583333333334</v>
      </c>
      <c r="I66" s="109">
        <v>-9620.689655172413</v>
      </c>
      <c r="J66" s="108">
        <v>0.20634920634920634</v>
      </c>
      <c r="K66" s="108">
        <v>0.12698412698412698</v>
      </c>
      <c r="L66" s="108">
        <v>0.30434782608695654</v>
      </c>
      <c r="M66" s="108">
        <v>0.21304347826086956</v>
      </c>
      <c r="N66" s="108">
        <v>0.6</v>
      </c>
      <c r="O66" s="108">
        <v>0.37755102040816324</v>
      </c>
      <c r="P66" s="108">
        <v>0.46527777777777779</v>
      </c>
      <c r="Q66" s="108">
        <v>0.32278481012658228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0C99E-38ED-4DBD-8D4A-5B3C73C37812}">
  <sheetPr codeName="Sheet27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218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5</v>
      </c>
      <c r="C2" s="120"/>
      <c r="E2" s="102" t="s">
        <v>67</v>
      </c>
      <c r="F2" s="98" t="s">
        <v>21</v>
      </c>
      <c r="G2" s="85">
        <v>11</v>
      </c>
      <c r="H2" s="61">
        <f t="shared" ref="H2:H51" si="0">IF(B$25=0,0,G2/B$25)</f>
        <v>0.61111111111111116</v>
      </c>
      <c r="J2" s="60">
        <v>0</v>
      </c>
      <c r="K2" s="62">
        <v>0</v>
      </c>
      <c r="M2" s="60" t="s">
        <v>150</v>
      </c>
      <c r="N2" s="81">
        <f t="shared" ref="N2:N7" si="1">IF(P2=0,0,O2/P2)</f>
        <v>9780</v>
      </c>
      <c r="O2" s="78">
        <v>48900</v>
      </c>
      <c r="P2" s="76">
        <v>5</v>
      </c>
    </row>
    <row r="3" spans="1:16" x14ac:dyDescent="0.45">
      <c r="A3" s="94" t="s">
        <v>8</v>
      </c>
      <c r="B3" s="125">
        <v>46</v>
      </c>
      <c r="C3" s="126"/>
      <c r="E3" s="103" t="s">
        <v>68</v>
      </c>
      <c r="F3" s="99" t="s">
        <v>22</v>
      </c>
      <c r="G3" s="86">
        <v>2</v>
      </c>
      <c r="H3" s="64">
        <f t="shared" si="0"/>
        <v>0.1111111111111111</v>
      </c>
      <c r="J3" s="63">
        <v>1</v>
      </c>
      <c r="K3" s="65">
        <v>27.3</v>
      </c>
      <c r="M3" s="63" t="s">
        <v>151</v>
      </c>
      <c r="N3" s="82">
        <f t="shared" si="1"/>
        <v>-4740</v>
      </c>
      <c r="O3" s="79">
        <v>-23700</v>
      </c>
      <c r="P3" s="74">
        <v>5</v>
      </c>
    </row>
    <row r="4" spans="1:16" x14ac:dyDescent="0.45">
      <c r="A4" s="94" t="s">
        <v>6</v>
      </c>
      <c r="B4" s="127">
        <v>87</v>
      </c>
      <c r="C4" s="128"/>
      <c r="E4" s="103" t="s">
        <v>69</v>
      </c>
      <c r="F4" s="99" t="s">
        <v>23</v>
      </c>
      <c r="G4" s="86">
        <v>12</v>
      </c>
      <c r="H4" s="64">
        <f t="shared" si="0"/>
        <v>0.66666666666666663</v>
      </c>
      <c r="J4" s="63">
        <v>2</v>
      </c>
      <c r="K4" s="65">
        <v>69.3</v>
      </c>
      <c r="M4" s="63" t="s">
        <v>152</v>
      </c>
      <c r="N4" s="82">
        <f t="shared" si="1"/>
        <v>3000</v>
      </c>
      <c r="O4" s="79">
        <v>15000</v>
      </c>
      <c r="P4" s="74">
        <v>5</v>
      </c>
    </row>
    <row r="5" spans="1:16" x14ac:dyDescent="0.45">
      <c r="A5" s="94" t="s">
        <v>7</v>
      </c>
      <c r="B5" s="127">
        <f>IF(B$2=0,0,B$4/B$2)</f>
        <v>17.399999999999999</v>
      </c>
      <c r="C5" s="128"/>
      <c r="E5" s="103" t="s">
        <v>70</v>
      </c>
      <c r="F5" s="99" t="s">
        <v>24</v>
      </c>
      <c r="G5" s="86">
        <v>6</v>
      </c>
      <c r="H5" s="64">
        <f t="shared" si="0"/>
        <v>0.33333333333333331</v>
      </c>
      <c r="J5" s="63">
        <v>3</v>
      </c>
      <c r="K5" s="65">
        <v>56.3</v>
      </c>
      <c r="M5" s="63" t="s">
        <v>153</v>
      </c>
      <c r="N5" s="82">
        <f t="shared" si="1"/>
        <v>10700</v>
      </c>
      <c r="O5" s="79">
        <v>42800</v>
      </c>
      <c r="P5" s="74">
        <v>4</v>
      </c>
    </row>
    <row r="6" spans="1:16" x14ac:dyDescent="0.45">
      <c r="A6" s="94" t="s">
        <v>1</v>
      </c>
      <c r="B6" s="117">
        <f>IF(B$2=0,0,(B$7*1+B$8*2+B$9*3)/B$2)</f>
        <v>1.6</v>
      </c>
      <c r="C6" s="118"/>
      <c r="E6" s="103" t="s">
        <v>71</v>
      </c>
      <c r="F6" s="99" t="s">
        <v>25</v>
      </c>
      <c r="G6" s="86">
        <v>12</v>
      </c>
      <c r="H6" s="64">
        <f t="shared" si="0"/>
        <v>0.66666666666666663</v>
      </c>
      <c r="J6" s="63">
        <v>4</v>
      </c>
      <c r="K6" s="65">
        <v>63.5</v>
      </c>
      <c r="M6" s="63" t="s">
        <v>154</v>
      </c>
      <c r="N6" s="82">
        <f t="shared" si="1"/>
        <v>-1000</v>
      </c>
      <c r="O6" s="79">
        <v>-4000</v>
      </c>
      <c r="P6" s="74">
        <v>4</v>
      </c>
    </row>
    <row r="7" spans="1:16" x14ac:dyDescent="0.45">
      <c r="A7" s="94" t="s">
        <v>2</v>
      </c>
      <c r="B7" s="86">
        <v>3</v>
      </c>
      <c r="C7" s="64">
        <f>IF(B$2=0,0,B7/B$2)</f>
        <v>0.6</v>
      </c>
      <c r="E7" s="103" t="s">
        <v>72</v>
      </c>
      <c r="F7" s="99" t="s">
        <v>12</v>
      </c>
      <c r="G7" s="86">
        <v>3</v>
      </c>
      <c r="H7" s="64">
        <f t="shared" si="0"/>
        <v>0.16666666666666666</v>
      </c>
      <c r="J7" s="63">
        <v>5</v>
      </c>
      <c r="K7" s="65">
        <v>87</v>
      </c>
      <c r="M7" s="68" t="s">
        <v>155</v>
      </c>
      <c r="N7" s="83">
        <f t="shared" si="1"/>
        <v>2500</v>
      </c>
      <c r="O7" s="80">
        <v>10000</v>
      </c>
      <c r="P7" s="75">
        <v>4</v>
      </c>
    </row>
    <row r="8" spans="1:16" x14ac:dyDescent="0.45">
      <c r="A8" s="94" t="s">
        <v>3</v>
      </c>
      <c r="B8" s="86">
        <v>1</v>
      </c>
      <c r="C8" s="64">
        <f t="shared" ref="C8:C9" si="2">IF(B$2=0,0,B8/B$2)</f>
        <v>0.2</v>
      </c>
      <c r="E8" s="103" t="s">
        <v>73</v>
      </c>
      <c r="F8" s="99" t="s">
        <v>26</v>
      </c>
      <c r="G8" s="86">
        <v>3</v>
      </c>
      <c r="H8" s="64">
        <f t="shared" si="0"/>
        <v>0.16666666666666666</v>
      </c>
    </row>
    <row r="9" spans="1:16" x14ac:dyDescent="0.45">
      <c r="A9" s="95" t="s">
        <v>4</v>
      </c>
      <c r="B9" s="87">
        <v>1</v>
      </c>
      <c r="C9" s="66">
        <f t="shared" si="2"/>
        <v>0.2</v>
      </c>
      <c r="E9" s="103" t="s">
        <v>74</v>
      </c>
      <c r="F9" s="99" t="s">
        <v>27</v>
      </c>
      <c r="G9" s="86">
        <v>4</v>
      </c>
      <c r="H9" s="64">
        <f t="shared" si="0"/>
        <v>0.22222222222222221</v>
      </c>
    </row>
    <row r="10" spans="1:16" x14ac:dyDescent="0.45">
      <c r="A10" s="95" t="s">
        <v>19</v>
      </c>
      <c r="B10" s="87">
        <v>0</v>
      </c>
      <c r="C10" s="66">
        <f>IF(B$2=0,0,B10/B$2)</f>
        <v>0</v>
      </c>
      <c r="E10" s="103" t="s">
        <v>75</v>
      </c>
      <c r="F10" s="99" t="s">
        <v>28</v>
      </c>
      <c r="G10" s="86">
        <v>1</v>
      </c>
      <c r="H10" s="64">
        <f t="shared" si="0"/>
        <v>5.5555555555555552E-2</v>
      </c>
    </row>
    <row r="11" spans="1:16" x14ac:dyDescent="0.45">
      <c r="A11" s="96" t="s">
        <v>160</v>
      </c>
      <c r="B11" s="88">
        <v>1</v>
      </c>
      <c r="C11" s="69">
        <f>IF(B$2=0,0,B11/B$2)</f>
        <v>0.2</v>
      </c>
      <c r="E11" s="103" t="s">
        <v>76</v>
      </c>
      <c r="F11" s="99" t="s">
        <v>29</v>
      </c>
      <c r="G11" s="86">
        <v>10</v>
      </c>
      <c r="H11" s="64">
        <f t="shared" si="0"/>
        <v>0.55555555555555558</v>
      </c>
    </row>
    <row r="12" spans="1:16" x14ac:dyDescent="0.45">
      <c r="A12" s="97" t="s">
        <v>128</v>
      </c>
      <c r="B12" s="89">
        <v>20</v>
      </c>
      <c r="C12" s="72">
        <f>IF(B$24=0,0,B12/B$24)</f>
        <v>0.43478260869565216</v>
      </c>
      <c r="E12" s="103" t="s">
        <v>77</v>
      </c>
      <c r="F12" s="99" t="s">
        <v>30</v>
      </c>
      <c r="G12" s="86">
        <v>0</v>
      </c>
      <c r="H12" s="64">
        <f t="shared" si="0"/>
        <v>0</v>
      </c>
    </row>
    <row r="13" spans="1:16" x14ac:dyDescent="0.45">
      <c r="A13" s="94" t="s">
        <v>123</v>
      </c>
      <c r="B13" s="86">
        <v>6</v>
      </c>
      <c r="C13" s="64">
        <f>IF(B$24=0,0,B13/B$24)</f>
        <v>0.13043478260869565</v>
      </c>
      <c r="E13" s="103" t="s">
        <v>78</v>
      </c>
      <c r="F13" s="99" t="s">
        <v>31</v>
      </c>
      <c r="G13" s="86">
        <v>0</v>
      </c>
      <c r="H13" s="64">
        <f t="shared" si="0"/>
        <v>0</v>
      </c>
    </row>
    <row r="14" spans="1:16" x14ac:dyDescent="0.45">
      <c r="A14" s="93" t="s">
        <v>130</v>
      </c>
      <c r="B14" s="85">
        <v>12</v>
      </c>
      <c r="C14" s="61">
        <f>IF(B$12=0,0,B14/B$12)</f>
        <v>0.6</v>
      </c>
      <c r="E14" s="103" t="s">
        <v>79</v>
      </c>
      <c r="F14" s="99" t="s">
        <v>32</v>
      </c>
      <c r="G14" s="86">
        <v>0</v>
      </c>
      <c r="H14" s="64">
        <f t="shared" si="0"/>
        <v>0</v>
      </c>
    </row>
    <row r="15" spans="1:16" x14ac:dyDescent="0.45">
      <c r="A15" s="93" t="s">
        <v>131</v>
      </c>
      <c r="B15" s="85">
        <v>3</v>
      </c>
      <c r="C15" s="61">
        <f>IF(B$13=0,0,B15/B$13)</f>
        <v>0.5</v>
      </c>
      <c r="E15" s="103" t="s">
        <v>80</v>
      </c>
      <c r="F15" s="99" t="s">
        <v>33</v>
      </c>
      <c r="G15" s="86">
        <v>0</v>
      </c>
      <c r="H15" s="64">
        <f t="shared" si="0"/>
        <v>0</v>
      </c>
    </row>
    <row r="16" spans="1:16" x14ac:dyDescent="0.45">
      <c r="A16" s="93" t="s">
        <v>10</v>
      </c>
      <c r="B16" s="85">
        <f>B18+B17</f>
        <v>18</v>
      </c>
      <c r="C16" s="61">
        <f>IF(B$3=0,0,B16/B$3)</f>
        <v>0.39130434782608697</v>
      </c>
      <c r="E16" s="103" t="s">
        <v>81</v>
      </c>
      <c r="F16" s="99" t="s">
        <v>34</v>
      </c>
      <c r="G16" s="86">
        <v>0</v>
      </c>
      <c r="H16" s="64">
        <f t="shared" si="0"/>
        <v>0</v>
      </c>
    </row>
    <row r="17" spans="1:8" x14ac:dyDescent="0.45">
      <c r="A17" s="94" t="s">
        <v>12</v>
      </c>
      <c r="B17" s="86">
        <v>5</v>
      </c>
      <c r="C17" s="64">
        <f>IF(B$16=0,0,B17/B$16)</f>
        <v>0.27777777777777779</v>
      </c>
      <c r="E17" s="103" t="s">
        <v>82</v>
      </c>
      <c r="F17" s="99" t="s">
        <v>35</v>
      </c>
      <c r="G17" s="86">
        <v>0</v>
      </c>
      <c r="H17" s="64">
        <f t="shared" si="0"/>
        <v>0</v>
      </c>
    </row>
    <row r="18" spans="1:8" x14ac:dyDescent="0.45">
      <c r="A18" s="94" t="s">
        <v>11</v>
      </c>
      <c r="B18" s="86">
        <v>13</v>
      </c>
      <c r="C18" s="64">
        <f>IF(B$16=0,0,B18/B$16)</f>
        <v>0.72222222222222221</v>
      </c>
      <c r="E18" s="103" t="s">
        <v>83</v>
      </c>
      <c r="F18" s="99" t="s">
        <v>36</v>
      </c>
      <c r="G18" s="86">
        <v>0</v>
      </c>
      <c r="H18" s="64">
        <f t="shared" si="0"/>
        <v>0</v>
      </c>
    </row>
    <row r="19" spans="1:8" x14ac:dyDescent="0.45">
      <c r="A19" s="94" t="s">
        <v>13</v>
      </c>
      <c r="B19" s="86">
        <v>3</v>
      </c>
      <c r="C19" s="64">
        <f>IF(B$3=0,0,B19/B$3)</f>
        <v>6.5217391304347824E-2</v>
      </c>
      <c r="E19" s="103" t="s">
        <v>84</v>
      </c>
      <c r="F19" s="99" t="s">
        <v>37</v>
      </c>
      <c r="G19" s="86">
        <v>0</v>
      </c>
      <c r="H19" s="64">
        <f t="shared" si="0"/>
        <v>0</v>
      </c>
    </row>
    <row r="20" spans="1:8" x14ac:dyDescent="0.45">
      <c r="A20" s="94" t="s">
        <v>5</v>
      </c>
      <c r="B20" s="90">
        <f>IF(B$16=0,0,C20/B$16)</f>
        <v>9227.7777777777774</v>
      </c>
      <c r="C20" s="67">
        <v>166100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</row>
    <row r="21" spans="1:8" x14ac:dyDescent="0.45">
      <c r="A21" s="96" t="s">
        <v>14</v>
      </c>
      <c r="B21" s="91">
        <f>IF(B$19=0,0,C21/B$19)</f>
        <v>-5366.666666666667</v>
      </c>
      <c r="C21" s="84">
        <v>-16100</v>
      </c>
      <c r="E21" s="103" t="s">
        <v>86</v>
      </c>
      <c r="F21" s="99" t="s">
        <v>39</v>
      </c>
      <c r="G21" s="86">
        <v>0</v>
      </c>
      <c r="H21" s="64">
        <f t="shared" si="0"/>
        <v>0</v>
      </c>
    </row>
    <row r="22" spans="1:8" x14ac:dyDescent="0.45">
      <c r="A22" s="93" t="s">
        <v>147</v>
      </c>
      <c r="B22" s="85">
        <v>15</v>
      </c>
      <c r="C22" s="61">
        <f>IF(B$3=0,0,B22/B$3)</f>
        <v>0.32608695652173914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8" x14ac:dyDescent="0.45">
      <c r="A23" s="96" t="s">
        <v>148</v>
      </c>
      <c r="B23" s="88">
        <v>7</v>
      </c>
      <c r="C23" s="69">
        <f>IF(B$22=0,0,B23/B$22)</f>
        <v>0.46666666666666667</v>
      </c>
      <c r="E23" s="103" t="s">
        <v>88</v>
      </c>
      <c r="F23" s="99" t="s">
        <v>41</v>
      </c>
      <c r="G23" s="86">
        <v>0</v>
      </c>
      <c r="H23" s="64">
        <f t="shared" si="0"/>
        <v>0</v>
      </c>
    </row>
    <row r="24" spans="1:8" x14ac:dyDescent="0.45">
      <c r="A24" s="93" t="s">
        <v>126</v>
      </c>
      <c r="B24" s="119">
        <v>46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8" x14ac:dyDescent="0.45">
      <c r="A25" s="96" t="s">
        <v>127</v>
      </c>
      <c r="B25" s="121">
        <v>18</v>
      </c>
      <c r="C25" s="122"/>
      <c r="E25" s="103" t="s">
        <v>90</v>
      </c>
      <c r="F25" s="99" t="s">
        <v>43</v>
      </c>
      <c r="G25" s="86">
        <v>0</v>
      </c>
      <c r="H25" s="64">
        <f t="shared" si="0"/>
        <v>0</v>
      </c>
    </row>
    <row r="26" spans="1:8" x14ac:dyDescent="0.45">
      <c r="A26" s="105" t="s">
        <v>164</v>
      </c>
      <c r="B26" s="115">
        <v>5</v>
      </c>
      <c r="C26" s="116"/>
      <c r="E26" s="103" t="s">
        <v>91</v>
      </c>
      <c r="F26" s="99" t="s">
        <v>44</v>
      </c>
      <c r="G26" s="86">
        <v>3</v>
      </c>
      <c r="H26" s="64">
        <f t="shared" si="0"/>
        <v>0.16666666666666666</v>
      </c>
    </row>
    <row r="27" spans="1:8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8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8" x14ac:dyDescent="0.45">
      <c r="E29" s="103" t="s">
        <v>94</v>
      </c>
      <c r="F29" s="99" t="s">
        <v>47</v>
      </c>
      <c r="G29" s="86">
        <v>3</v>
      </c>
      <c r="H29" s="64">
        <f t="shared" si="0"/>
        <v>0.16666666666666666</v>
      </c>
    </row>
    <row r="30" spans="1:8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8" x14ac:dyDescent="0.45">
      <c r="E31" s="103" t="s">
        <v>96</v>
      </c>
      <c r="F31" s="99" t="s">
        <v>49</v>
      </c>
      <c r="G31" s="86">
        <v>1</v>
      </c>
      <c r="H31" s="64">
        <f t="shared" si="0"/>
        <v>5.5555555555555552E-2</v>
      </c>
    </row>
    <row r="32" spans="1:8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14F7D-5983-4650-896B-907FC142B43B}">
  <sheetPr codeName="Sheet28"/>
  <dimension ref="A1:Q8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218</v>
      </c>
      <c r="B1" s="111" t="s">
        <v>218</v>
      </c>
      <c r="C1" s="111" t="s">
        <v>218</v>
      </c>
      <c r="D1" s="112" t="s">
        <v>218</v>
      </c>
      <c r="E1" s="111" t="s">
        <v>218</v>
      </c>
      <c r="F1" s="111" t="s">
        <v>218</v>
      </c>
      <c r="G1" s="111" t="s">
        <v>218</v>
      </c>
      <c r="H1" s="111" t="s">
        <v>218</v>
      </c>
      <c r="I1" s="111" t="s">
        <v>218</v>
      </c>
      <c r="J1" s="111" t="s">
        <v>218</v>
      </c>
      <c r="K1" s="111" t="s">
        <v>218</v>
      </c>
      <c r="L1" s="111" t="s">
        <v>218</v>
      </c>
      <c r="M1" s="111" t="s">
        <v>218</v>
      </c>
      <c r="N1" s="111" t="s">
        <v>218</v>
      </c>
      <c r="O1" s="111" t="s">
        <v>218</v>
      </c>
      <c r="P1" s="111" t="s">
        <v>218</v>
      </c>
      <c r="Q1" s="111" t="s">
        <v>218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27.3</v>
      </c>
      <c r="C4" s="107">
        <v>27.3</v>
      </c>
      <c r="D4" s="112">
        <v>1</v>
      </c>
      <c r="E4" s="108">
        <v>1</v>
      </c>
      <c r="F4" s="108">
        <v>0.54545454545454541</v>
      </c>
      <c r="G4" s="108">
        <v>9.0909090909090912E-2</v>
      </c>
      <c r="H4" s="109">
        <v>7133.333333333333</v>
      </c>
      <c r="I4" s="109">
        <v>-8000</v>
      </c>
      <c r="J4" s="108">
        <v>0</v>
      </c>
      <c r="K4" s="108">
        <v>0</v>
      </c>
      <c r="L4" s="108">
        <v>0.45454545454545453</v>
      </c>
      <c r="M4" s="108">
        <v>0.18181818181818182</v>
      </c>
      <c r="N4" s="108">
        <v>0.8</v>
      </c>
      <c r="O4" s="108">
        <v>0.5</v>
      </c>
      <c r="P4" s="108">
        <v>0.16666666666666666</v>
      </c>
      <c r="Q4" s="108">
        <v>0.66666666666666663</v>
      </c>
    </row>
    <row r="5" spans="1:17" x14ac:dyDescent="0.45">
      <c r="A5" s="110">
        <v>2</v>
      </c>
      <c r="B5" s="107">
        <v>69.3</v>
      </c>
      <c r="C5" s="107">
        <v>34.65</v>
      </c>
      <c r="D5" s="112">
        <v>1</v>
      </c>
      <c r="E5" s="108">
        <v>1</v>
      </c>
      <c r="F5" s="108">
        <v>0.5714285714285714</v>
      </c>
      <c r="G5" s="108">
        <v>7.1428571428571425E-2</v>
      </c>
      <c r="H5" s="109">
        <v>10850</v>
      </c>
      <c r="I5" s="109">
        <v>-8000</v>
      </c>
      <c r="J5" s="108">
        <v>0</v>
      </c>
      <c r="K5" s="108">
        <v>0.5</v>
      </c>
      <c r="L5" s="108">
        <v>0.5714285714285714</v>
      </c>
      <c r="M5" s="108">
        <v>0.14285714285714285</v>
      </c>
      <c r="N5" s="108">
        <v>0.75</v>
      </c>
      <c r="O5" s="108">
        <v>0.5</v>
      </c>
      <c r="P5" s="108">
        <v>0.125</v>
      </c>
      <c r="Q5" s="108">
        <v>0.7142857142857143</v>
      </c>
    </row>
    <row r="6" spans="1:17" x14ac:dyDescent="0.45">
      <c r="A6" s="110">
        <v>3</v>
      </c>
      <c r="B6" s="107">
        <v>56.3</v>
      </c>
      <c r="C6" s="107">
        <v>18.766666666666666</v>
      </c>
      <c r="D6" s="112">
        <v>1.6666666666666667</v>
      </c>
      <c r="E6" s="108">
        <v>0.66666666666666663</v>
      </c>
      <c r="F6" s="108">
        <v>0.40740740740740738</v>
      </c>
      <c r="G6" s="108">
        <v>7.407407407407407E-2</v>
      </c>
      <c r="H6" s="109">
        <v>10181.818181818182</v>
      </c>
      <c r="I6" s="109">
        <v>-6600</v>
      </c>
      <c r="J6" s="108">
        <v>0</v>
      </c>
      <c r="K6" s="108">
        <v>0.33333333333333331</v>
      </c>
      <c r="L6" s="108">
        <v>0.48148148148148145</v>
      </c>
      <c r="M6" s="108">
        <v>0.14814814814814814</v>
      </c>
      <c r="N6" s="108">
        <v>0.69230769230769229</v>
      </c>
      <c r="O6" s="108">
        <v>0.25</v>
      </c>
      <c r="P6" s="108">
        <v>0.18181818181818182</v>
      </c>
      <c r="Q6" s="108">
        <v>0.54545454545454541</v>
      </c>
    </row>
    <row r="7" spans="1:17" x14ac:dyDescent="0.45">
      <c r="A7" s="110">
        <v>4</v>
      </c>
      <c r="B7" s="107">
        <v>63.5</v>
      </c>
      <c r="C7" s="107">
        <v>15.875</v>
      </c>
      <c r="D7" s="112">
        <v>1.75</v>
      </c>
      <c r="E7" s="108">
        <v>0.5</v>
      </c>
      <c r="F7" s="108">
        <v>0.40540540540540543</v>
      </c>
      <c r="G7" s="108">
        <v>5.4054054054054057E-2</v>
      </c>
      <c r="H7" s="109">
        <v>9013.3333333333339</v>
      </c>
      <c r="I7" s="109">
        <v>-6600</v>
      </c>
      <c r="J7" s="108">
        <v>0</v>
      </c>
      <c r="K7" s="108">
        <v>0.25</v>
      </c>
      <c r="L7" s="108">
        <v>0.43243243243243246</v>
      </c>
      <c r="M7" s="108">
        <v>0.13513513513513514</v>
      </c>
      <c r="N7" s="108">
        <v>0.6875</v>
      </c>
      <c r="O7" s="108">
        <v>0.4</v>
      </c>
      <c r="P7" s="108">
        <v>0.26666666666666666</v>
      </c>
      <c r="Q7" s="108">
        <v>0.46153846153846156</v>
      </c>
    </row>
    <row r="8" spans="1:17" x14ac:dyDescent="0.45">
      <c r="A8" s="110">
        <v>5</v>
      </c>
      <c r="B8" s="107">
        <v>87</v>
      </c>
      <c r="C8" s="107">
        <v>17.399999999999999</v>
      </c>
      <c r="D8" s="112">
        <v>1.6</v>
      </c>
      <c r="E8" s="108">
        <v>0.6</v>
      </c>
      <c r="F8" s="108">
        <v>0.39130434782608697</v>
      </c>
      <c r="G8" s="108">
        <v>6.5217391304347824E-2</v>
      </c>
      <c r="H8" s="109">
        <v>9227.7777777777774</v>
      </c>
      <c r="I8" s="109">
        <v>-5366.666666666667</v>
      </c>
      <c r="J8" s="108">
        <v>0</v>
      </c>
      <c r="K8" s="108">
        <v>0.2</v>
      </c>
      <c r="L8" s="108">
        <v>0.43478260869565216</v>
      </c>
      <c r="M8" s="108">
        <v>0.13043478260869565</v>
      </c>
      <c r="N8" s="108">
        <v>0.6</v>
      </c>
      <c r="O8" s="108">
        <v>0.5</v>
      </c>
      <c r="P8" s="108">
        <v>0.27777777777777779</v>
      </c>
      <c r="Q8" s="108">
        <v>0.46666666666666667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8A235-AD5E-4C89-924B-2FBE0D0DAB8A}">
  <sheetPr codeName="Sheet2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57" customWidth="1"/>
    <col min="2" max="3" width="9" style="57" customWidth="1"/>
    <col min="4" max="4" width="3.5" style="57" customWidth="1"/>
    <col min="5" max="5" width="3.5" style="70" bestFit="1" customWidth="1"/>
    <col min="6" max="6" width="11" style="71" bestFit="1" customWidth="1"/>
    <col min="7" max="8" width="9" style="57" customWidth="1"/>
    <col min="9" max="9" width="3.5" style="57" customWidth="1"/>
    <col min="10" max="10" width="3.5" style="63" customWidth="1"/>
    <col min="11" max="11" width="9" style="65" customWidth="1"/>
    <col min="12" max="12" width="3.5" style="57" customWidth="1"/>
    <col min="13" max="14" width="9" style="57" customWidth="1"/>
    <col min="15" max="16" width="3.5" style="57" customWidth="1"/>
    <col min="17" max="16384" width="9" style="57"/>
  </cols>
  <sheetData>
    <row r="1" spans="1:16" x14ac:dyDescent="0.45">
      <c r="A1" s="92" t="s">
        <v>0</v>
      </c>
      <c r="B1" s="123" t="s">
        <v>163</v>
      </c>
      <c r="C1" s="124"/>
      <c r="E1" s="101" t="s">
        <v>162</v>
      </c>
      <c r="F1" s="114" t="s">
        <v>120</v>
      </c>
      <c r="G1" s="113" t="s">
        <v>121</v>
      </c>
      <c r="H1" s="114" t="s">
        <v>122</v>
      </c>
      <c r="J1" s="58" t="s">
        <v>20</v>
      </c>
      <c r="K1" s="59" t="s">
        <v>125</v>
      </c>
      <c r="M1" s="58" t="s">
        <v>156</v>
      </c>
      <c r="N1" s="114" t="s">
        <v>158</v>
      </c>
      <c r="O1" s="77" t="s">
        <v>159</v>
      </c>
      <c r="P1" s="73" t="s">
        <v>121</v>
      </c>
    </row>
    <row r="2" spans="1:16" x14ac:dyDescent="0.45">
      <c r="A2" s="93" t="s">
        <v>9</v>
      </c>
      <c r="B2" s="119">
        <v>19</v>
      </c>
      <c r="C2" s="120"/>
      <c r="E2" s="102" t="s">
        <v>67</v>
      </c>
      <c r="F2" s="98" t="s">
        <v>21</v>
      </c>
      <c r="G2" s="85">
        <v>13</v>
      </c>
      <c r="H2" s="61">
        <f t="shared" ref="H2:H51" si="0">IF(B$25=0,0,G2/B$25)</f>
        <v>0.32500000000000001</v>
      </c>
      <c r="J2" s="60">
        <v>0</v>
      </c>
      <c r="K2" s="62">
        <v>0</v>
      </c>
      <c r="M2" s="60" t="s">
        <v>150</v>
      </c>
      <c r="N2" s="81">
        <f t="shared" ref="N2:N7" si="1">IF(P2=0,0,O2/P2)</f>
        <v>-4400</v>
      </c>
      <c r="O2" s="78">
        <v>-83600</v>
      </c>
      <c r="P2" s="76">
        <v>19</v>
      </c>
    </row>
    <row r="3" spans="1:16" x14ac:dyDescent="0.45">
      <c r="A3" s="94" t="s">
        <v>8</v>
      </c>
      <c r="B3" s="125">
        <v>151</v>
      </c>
      <c r="C3" s="126"/>
      <c r="E3" s="103" t="s">
        <v>68</v>
      </c>
      <c r="F3" s="99" t="s">
        <v>22</v>
      </c>
      <c r="G3" s="86">
        <v>5</v>
      </c>
      <c r="H3" s="64">
        <f t="shared" si="0"/>
        <v>0.125</v>
      </c>
      <c r="J3" s="63">
        <v>1</v>
      </c>
      <c r="K3" s="65">
        <v>15</v>
      </c>
      <c r="M3" s="63" t="s">
        <v>151</v>
      </c>
      <c r="N3" s="82">
        <f t="shared" si="1"/>
        <v>3484.2105263157896</v>
      </c>
      <c r="O3" s="79">
        <v>66200</v>
      </c>
      <c r="P3" s="74">
        <v>19</v>
      </c>
    </row>
    <row r="4" spans="1:16" x14ac:dyDescent="0.45">
      <c r="A4" s="94" t="s">
        <v>6</v>
      </c>
      <c r="B4" s="127">
        <v>-57</v>
      </c>
      <c r="C4" s="128"/>
      <c r="E4" s="103" t="s">
        <v>69</v>
      </c>
      <c r="F4" s="99" t="s">
        <v>23</v>
      </c>
      <c r="G4" s="86">
        <v>29</v>
      </c>
      <c r="H4" s="64">
        <f t="shared" si="0"/>
        <v>0.72499999999999998</v>
      </c>
      <c r="J4" s="63">
        <v>2</v>
      </c>
      <c r="K4" s="65">
        <v>-23.299999999999997</v>
      </c>
      <c r="M4" s="63" t="s">
        <v>152</v>
      </c>
      <c r="N4" s="82">
        <f t="shared" si="1"/>
        <v>125</v>
      </c>
      <c r="O4" s="79">
        <v>2000</v>
      </c>
      <c r="P4" s="74">
        <v>16</v>
      </c>
    </row>
    <row r="5" spans="1:16" x14ac:dyDescent="0.45">
      <c r="A5" s="94" t="s">
        <v>7</v>
      </c>
      <c r="B5" s="127">
        <f>IF(B$2=0,0,B$4/B$2)</f>
        <v>-3</v>
      </c>
      <c r="C5" s="128"/>
      <c r="E5" s="103" t="s">
        <v>70</v>
      </c>
      <c r="F5" s="99" t="s">
        <v>24</v>
      </c>
      <c r="G5" s="86">
        <v>5</v>
      </c>
      <c r="H5" s="64">
        <f t="shared" si="0"/>
        <v>0.125</v>
      </c>
      <c r="J5" s="63">
        <v>3</v>
      </c>
      <c r="K5" s="65">
        <v>-14.599999999999998</v>
      </c>
      <c r="M5" s="63" t="s">
        <v>153</v>
      </c>
      <c r="N5" s="82">
        <f t="shared" si="1"/>
        <v>300</v>
      </c>
      <c r="O5" s="79">
        <v>4500</v>
      </c>
      <c r="P5" s="74">
        <v>15</v>
      </c>
    </row>
    <row r="6" spans="1:16" x14ac:dyDescent="0.45">
      <c r="A6" s="94" t="s">
        <v>1</v>
      </c>
      <c r="B6" s="117">
        <f>IF(B$2=0,0,(B$7*1+B$8*2+B$9*3)/B$2)</f>
        <v>2.1578947368421053</v>
      </c>
      <c r="C6" s="118"/>
      <c r="E6" s="103" t="s">
        <v>71</v>
      </c>
      <c r="F6" s="99" t="s">
        <v>25</v>
      </c>
      <c r="G6" s="86">
        <v>43</v>
      </c>
      <c r="H6" s="64">
        <f t="shared" si="0"/>
        <v>1.075</v>
      </c>
      <c r="J6" s="63">
        <v>4</v>
      </c>
      <c r="K6" s="65">
        <v>6.1000000000000014</v>
      </c>
      <c r="M6" s="63" t="s">
        <v>154</v>
      </c>
      <c r="N6" s="82">
        <f t="shared" si="1"/>
        <v>-1935.7142857142858</v>
      </c>
      <c r="O6" s="79">
        <v>-27100</v>
      </c>
      <c r="P6" s="74">
        <v>14</v>
      </c>
    </row>
    <row r="7" spans="1:16" x14ac:dyDescent="0.45">
      <c r="A7" s="94" t="s">
        <v>2</v>
      </c>
      <c r="B7" s="86">
        <v>5</v>
      </c>
      <c r="C7" s="64">
        <f>IF(B$2=0,0,B7/B$2)</f>
        <v>0.26315789473684209</v>
      </c>
      <c r="E7" s="103" t="s">
        <v>72</v>
      </c>
      <c r="F7" s="99" t="s">
        <v>12</v>
      </c>
      <c r="G7" s="86">
        <v>7</v>
      </c>
      <c r="H7" s="64">
        <f t="shared" si="0"/>
        <v>0.17499999999999999</v>
      </c>
      <c r="J7" s="63">
        <v>5</v>
      </c>
      <c r="K7" s="65">
        <v>10.600000000000001</v>
      </c>
      <c r="M7" s="68" t="s">
        <v>155</v>
      </c>
      <c r="N7" s="83">
        <f t="shared" si="1"/>
        <v>-2000</v>
      </c>
      <c r="O7" s="80">
        <v>-22000</v>
      </c>
      <c r="P7" s="75">
        <v>11</v>
      </c>
    </row>
    <row r="8" spans="1:16" x14ac:dyDescent="0.45">
      <c r="A8" s="94" t="s">
        <v>3</v>
      </c>
      <c r="B8" s="86">
        <v>6</v>
      </c>
      <c r="C8" s="64">
        <f t="shared" ref="C8:C9" si="2">IF(B$2=0,0,B8/B$2)</f>
        <v>0.31578947368421051</v>
      </c>
      <c r="E8" s="103" t="s">
        <v>73</v>
      </c>
      <c r="F8" s="99" t="s">
        <v>26</v>
      </c>
      <c r="G8" s="86">
        <v>2</v>
      </c>
      <c r="H8" s="64">
        <f t="shared" si="0"/>
        <v>0.05</v>
      </c>
      <c r="J8" s="63">
        <v>6</v>
      </c>
      <c r="K8" s="65">
        <v>4.2000000000000011</v>
      </c>
    </row>
    <row r="9" spans="1:16" x14ac:dyDescent="0.45">
      <c r="A9" s="95" t="s">
        <v>4</v>
      </c>
      <c r="B9" s="87">
        <v>8</v>
      </c>
      <c r="C9" s="66">
        <f t="shared" si="2"/>
        <v>0.42105263157894735</v>
      </c>
      <c r="E9" s="103" t="s">
        <v>74</v>
      </c>
      <c r="F9" s="99" t="s">
        <v>27</v>
      </c>
      <c r="G9" s="86">
        <v>5</v>
      </c>
      <c r="H9" s="64">
        <f t="shared" si="0"/>
        <v>0.125</v>
      </c>
      <c r="J9" s="63">
        <v>7</v>
      </c>
      <c r="K9" s="65">
        <v>28.200000000000003</v>
      </c>
    </row>
    <row r="10" spans="1:16" x14ac:dyDescent="0.45">
      <c r="A10" s="95" t="s">
        <v>19</v>
      </c>
      <c r="B10" s="87">
        <v>3</v>
      </c>
      <c r="C10" s="66">
        <f>IF(B$2=0,0,B10/B$2)</f>
        <v>0.15789473684210525</v>
      </c>
      <c r="E10" s="103" t="s">
        <v>75</v>
      </c>
      <c r="F10" s="99" t="s">
        <v>28</v>
      </c>
      <c r="G10" s="86">
        <v>2</v>
      </c>
      <c r="H10" s="64">
        <f t="shared" si="0"/>
        <v>0.05</v>
      </c>
      <c r="J10" s="63">
        <v>8</v>
      </c>
      <c r="K10" s="65">
        <v>-2.4999999999999964</v>
      </c>
    </row>
    <row r="11" spans="1:16" x14ac:dyDescent="0.45">
      <c r="A11" s="96" t="s">
        <v>160</v>
      </c>
      <c r="B11" s="88">
        <v>2</v>
      </c>
      <c r="C11" s="69">
        <f>IF(B$2=0,0,B11/B$2)</f>
        <v>0.10526315789473684</v>
      </c>
      <c r="E11" s="103" t="s">
        <v>76</v>
      </c>
      <c r="F11" s="99" t="s">
        <v>29</v>
      </c>
      <c r="G11" s="86">
        <v>29</v>
      </c>
      <c r="H11" s="64">
        <f t="shared" si="0"/>
        <v>0.72499999999999998</v>
      </c>
      <c r="J11" s="63">
        <v>9</v>
      </c>
      <c r="K11" s="65">
        <v>-7.3999999999999968</v>
      </c>
    </row>
    <row r="12" spans="1:16" x14ac:dyDescent="0.45">
      <c r="A12" s="97" t="s">
        <v>128</v>
      </c>
      <c r="B12" s="89">
        <v>27</v>
      </c>
      <c r="C12" s="72">
        <f>IF(B$24=0,0,B12/B$24)</f>
        <v>0.17880794701986755</v>
      </c>
      <c r="E12" s="103" t="s">
        <v>77</v>
      </c>
      <c r="F12" s="99" t="s">
        <v>30</v>
      </c>
      <c r="G12" s="86">
        <v>0</v>
      </c>
      <c r="H12" s="64">
        <f t="shared" si="0"/>
        <v>0</v>
      </c>
      <c r="J12" s="63">
        <v>10</v>
      </c>
      <c r="K12" s="65">
        <v>-21.299999999999997</v>
      </c>
    </row>
    <row r="13" spans="1:16" x14ac:dyDescent="0.45">
      <c r="A13" s="94" t="s">
        <v>123</v>
      </c>
      <c r="B13" s="86">
        <v>58</v>
      </c>
      <c r="C13" s="64">
        <f>IF(B$24=0,0,B13/B$24)</f>
        <v>0.38410596026490068</v>
      </c>
      <c r="E13" s="103" t="s">
        <v>78</v>
      </c>
      <c r="F13" s="99" t="s">
        <v>31</v>
      </c>
      <c r="G13" s="86">
        <v>0</v>
      </c>
      <c r="H13" s="64">
        <f t="shared" si="0"/>
        <v>0</v>
      </c>
      <c r="J13" s="63">
        <v>11</v>
      </c>
      <c r="K13" s="65">
        <v>-66</v>
      </c>
    </row>
    <row r="14" spans="1:16" x14ac:dyDescent="0.45">
      <c r="A14" s="93" t="s">
        <v>130</v>
      </c>
      <c r="B14" s="85">
        <v>14</v>
      </c>
      <c r="C14" s="61">
        <f>IF(B$12=0,0,B14/B$12)</f>
        <v>0.51851851851851849</v>
      </c>
      <c r="E14" s="103" t="s">
        <v>79</v>
      </c>
      <c r="F14" s="99" t="s">
        <v>32</v>
      </c>
      <c r="G14" s="86">
        <v>0</v>
      </c>
      <c r="H14" s="64">
        <f t="shared" si="0"/>
        <v>0</v>
      </c>
      <c r="J14" s="63">
        <v>12</v>
      </c>
      <c r="K14" s="65">
        <v>-40.799999999999997</v>
      </c>
    </row>
    <row r="15" spans="1:16" x14ac:dyDescent="0.45">
      <c r="A15" s="93" t="s">
        <v>131</v>
      </c>
      <c r="B15" s="85">
        <v>21</v>
      </c>
      <c r="C15" s="61">
        <f>IF(B$13=0,0,B15/B$13)</f>
        <v>0.36206896551724138</v>
      </c>
      <c r="E15" s="103" t="s">
        <v>80</v>
      </c>
      <c r="F15" s="99" t="s">
        <v>33</v>
      </c>
      <c r="G15" s="86">
        <v>0</v>
      </c>
      <c r="H15" s="64">
        <f t="shared" si="0"/>
        <v>0</v>
      </c>
      <c r="J15" s="63">
        <v>13</v>
      </c>
      <c r="K15" s="65">
        <v>-9.0999999999999943</v>
      </c>
    </row>
    <row r="16" spans="1:16" x14ac:dyDescent="0.45">
      <c r="A16" s="93" t="s">
        <v>10</v>
      </c>
      <c r="B16" s="85">
        <f>B18+B17</f>
        <v>40</v>
      </c>
      <c r="C16" s="61">
        <f>IF(B$3=0,0,B16/B$3)</f>
        <v>0.26490066225165565</v>
      </c>
      <c r="E16" s="103" t="s">
        <v>81</v>
      </c>
      <c r="F16" s="99" t="s">
        <v>34</v>
      </c>
      <c r="G16" s="86">
        <v>1</v>
      </c>
      <c r="H16" s="64">
        <f t="shared" si="0"/>
        <v>2.5000000000000001E-2</v>
      </c>
      <c r="J16" s="63">
        <v>14</v>
      </c>
      <c r="K16" s="65">
        <v>-4.7999999999999945</v>
      </c>
    </row>
    <row r="17" spans="1:11" x14ac:dyDescent="0.45">
      <c r="A17" s="94" t="s">
        <v>12</v>
      </c>
      <c r="B17" s="86">
        <v>11</v>
      </c>
      <c r="C17" s="64">
        <f>IF(B$16=0,0,B17/B$16)</f>
        <v>0.27500000000000002</v>
      </c>
      <c r="E17" s="103" t="s">
        <v>82</v>
      </c>
      <c r="F17" s="99" t="s">
        <v>35</v>
      </c>
      <c r="G17" s="86">
        <v>1</v>
      </c>
      <c r="H17" s="64">
        <f t="shared" si="0"/>
        <v>2.5000000000000001E-2</v>
      </c>
      <c r="J17" s="63">
        <v>15</v>
      </c>
      <c r="K17" s="65">
        <v>-42.199999999999996</v>
      </c>
    </row>
    <row r="18" spans="1:11" x14ac:dyDescent="0.45">
      <c r="A18" s="94" t="s">
        <v>11</v>
      </c>
      <c r="B18" s="86">
        <v>29</v>
      </c>
      <c r="C18" s="64">
        <f>IF(B$16=0,0,B18/B$16)</f>
        <v>0.72499999999999998</v>
      </c>
      <c r="E18" s="103" t="s">
        <v>83</v>
      </c>
      <c r="F18" s="99" t="s">
        <v>36</v>
      </c>
      <c r="G18" s="86">
        <v>2</v>
      </c>
      <c r="H18" s="64">
        <f t="shared" si="0"/>
        <v>0.05</v>
      </c>
      <c r="J18" s="63">
        <v>16</v>
      </c>
      <c r="K18" s="65">
        <v>-24.599999999999994</v>
      </c>
    </row>
    <row r="19" spans="1:11" x14ac:dyDescent="0.45">
      <c r="A19" s="94" t="s">
        <v>13</v>
      </c>
      <c r="B19" s="86">
        <v>26</v>
      </c>
      <c r="C19" s="64">
        <f>IF(B$3=0,0,B19/B$3)</f>
        <v>0.17218543046357615</v>
      </c>
      <c r="E19" s="103" t="s">
        <v>84</v>
      </c>
      <c r="F19" s="99" t="s">
        <v>37</v>
      </c>
      <c r="G19" s="86">
        <v>0</v>
      </c>
      <c r="H19" s="64">
        <f t="shared" si="0"/>
        <v>0</v>
      </c>
      <c r="J19" s="63">
        <v>17</v>
      </c>
      <c r="K19" s="65">
        <v>-37.799999999999997</v>
      </c>
    </row>
    <row r="20" spans="1:11" x14ac:dyDescent="0.45">
      <c r="A20" s="94" t="s">
        <v>5</v>
      </c>
      <c r="B20" s="90">
        <f>IF(B$16=0,0,C20/B$16)</f>
        <v>9597.5</v>
      </c>
      <c r="C20" s="67">
        <v>383900</v>
      </c>
      <c r="E20" s="103" t="s">
        <v>85</v>
      </c>
      <c r="F20" s="99" t="s">
        <v>38</v>
      </c>
      <c r="G20" s="86">
        <v>0</v>
      </c>
      <c r="H20" s="64">
        <f t="shared" si="0"/>
        <v>0</v>
      </c>
      <c r="J20" s="63">
        <v>18</v>
      </c>
      <c r="K20" s="65">
        <v>-57.4</v>
      </c>
    </row>
    <row r="21" spans="1:11" x14ac:dyDescent="0.45">
      <c r="A21" s="96" t="s">
        <v>14</v>
      </c>
      <c r="B21" s="91">
        <f>IF(B$19=0,0,C21/B$19)</f>
        <v>-8165.3846153846152</v>
      </c>
      <c r="C21" s="84">
        <v>-212300</v>
      </c>
      <c r="E21" s="103" t="s">
        <v>86</v>
      </c>
      <c r="F21" s="99" t="s">
        <v>39</v>
      </c>
      <c r="G21" s="86">
        <v>2</v>
      </c>
      <c r="H21" s="64">
        <f t="shared" si="0"/>
        <v>0.05</v>
      </c>
      <c r="J21" s="63">
        <v>19</v>
      </c>
      <c r="K21" s="65">
        <v>-57</v>
      </c>
    </row>
    <row r="22" spans="1:11" x14ac:dyDescent="0.45">
      <c r="A22" s="93" t="s">
        <v>147</v>
      </c>
      <c r="B22" s="85">
        <v>45</v>
      </c>
      <c r="C22" s="61">
        <f>IF(B$3=0,0,B22/B$3)</f>
        <v>0.29801324503311261</v>
      </c>
      <c r="E22" s="103" t="s">
        <v>87</v>
      </c>
      <c r="F22" s="99" t="s">
        <v>40</v>
      </c>
      <c r="G22" s="86">
        <v>0</v>
      </c>
      <c r="H22" s="64">
        <f t="shared" si="0"/>
        <v>0</v>
      </c>
    </row>
    <row r="23" spans="1:11" x14ac:dyDescent="0.45">
      <c r="A23" s="96" t="s">
        <v>148</v>
      </c>
      <c r="B23" s="88">
        <v>12</v>
      </c>
      <c r="C23" s="69">
        <f>IF(B$22=0,0,B23/B$22)</f>
        <v>0.26666666666666666</v>
      </c>
      <c r="E23" s="103" t="s">
        <v>88</v>
      </c>
      <c r="F23" s="99" t="s">
        <v>41</v>
      </c>
      <c r="G23" s="86">
        <v>7</v>
      </c>
      <c r="H23" s="64">
        <f t="shared" si="0"/>
        <v>0.17499999999999999</v>
      </c>
    </row>
    <row r="24" spans="1:11" x14ac:dyDescent="0.45">
      <c r="A24" s="93" t="s">
        <v>126</v>
      </c>
      <c r="B24" s="119">
        <v>151</v>
      </c>
      <c r="C24" s="120"/>
      <c r="E24" s="103" t="s">
        <v>89</v>
      </c>
      <c r="F24" s="99" t="s">
        <v>42</v>
      </c>
      <c r="G24" s="86">
        <v>0</v>
      </c>
      <c r="H24" s="64">
        <f t="shared" si="0"/>
        <v>0</v>
      </c>
    </row>
    <row r="25" spans="1:11" x14ac:dyDescent="0.45">
      <c r="A25" s="96" t="s">
        <v>127</v>
      </c>
      <c r="B25" s="121">
        <v>40</v>
      </c>
      <c r="C25" s="122"/>
      <c r="E25" s="103" t="s">
        <v>90</v>
      </c>
      <c r="F25" s="99" t="s">
        <v>43</v>
      </c>
      <c r="G25" s="86">
        <v>1</v>
      </c>
      <c r="H25" s="64">
        <f t="shared" si="0"/>
        <v>2.5000000000000001E-2</v>
      </c>
    </row>
    <row r="26" spans="1:11" x14ac:dyDescent="0.45">
      <c r="A26" s="105" t="s">
        <v>164</v>
      </c>
      <c r="B26" s="115">
        <v>5</v>
      </c>
      <c r="C26" s="116"/>
      <c r="E26" s="103" t="s">
        <v>91</v>
      </c>
      <c r="F26" s="99" t="s">
        <v>44</v>
      </c>
      <c r="G26" s="86">
        <v>4</v>
      </c>
      <c r="H26" s="64">
        <f t="shared" si="0"/>
        <v>0.1</v>
      </c>
    </row>
    <row r="27" spans="1:11" x14ac:dyDescent="0.45">
      <c r="A27" s="96" t="s">
        <v>165</v>
      </c>
      <c r="B27" s="106">
        <v>0</v>
      </c>
      <c r="C27" s="69">
        <f>IF(B$3=0,0,B27/B$3)</f>
        <v>0</v>
      </c>
      <c r="E27" s="103" t="s">
        <v>92</v>
      </c>
      <c r="F27" s="99" t="s">
        <v>45</v>
      </c>
      <c r="G27" s="86">
        <v>0</v>
      </c>
      <c r="H27" s="64">
        <f t="shared" si="0"/>
        <v>0</v>
      </c>
    </row>
    <row r="28" spans="1:11" x14ac:dyDescent="0.45">
      <c r="E28" s="103" t="s">
        <v>93</v>
      </c>
      <c r="F28" s="99" t="s">
        <v>46</v>
      </c>
      <c r="G28" s="86">
        <v>0</v>
      </c>
      <c r="H28" s="64">
        <f t="shared" si="0"/>
        <v>0</v>
      </c>
    </row>
    <row r="29" spans="1:11" x14ac:dyDescent="0.45">
      <c r="E29" s="103" t="s">
        <v>94</v>
      </c>
      <c r="F29" s="99" t="s">
        <v>47</v>
      </c>
      <c r="G29" s="86">
        <v>8</v>
      </c>
      <c r="H29" s="64">
        <f t="shared" si="0"/>
        <v>0.2</v>
      </c>
    </row>
    <row r="30" spans="1:11" x14ac:dyDescent="0.45">
      <c r="E30" s="103" t="s">
        <v>95</v>
      </c>
      <c r="F30" s="99" t="s">
        <v>48</v>
      </c>
      <c r="G30" s="86">
        <v>0</v>
      </c>
      <c r="H30" s="64">
        <f t="shared" si="0"/>
        <v>0</v>
      </c>
    </row>
    <row r="31" spans="1:11" x14ac:dyDescent="0.45">
      <c r="E31" s="103" t="s">
        <v>96</v>
      </c>
      <c r="F31" s="99" t="s">
        <v>49</v>
      </c>
      <c r="G31" s="86">
        <v>1</v>
      </c>
      <c r="H31" s="64">
        <f t="shared" si="0"/>
        <v>2.5000000000000001E-2</v>
      </c>
    </row>
    <row r="32" spans="1:11" x14ac:dyDescent="0.45">
      <c r="E32" s="103" t="s">
        <v>97</v>
      </c>
      <c r="F32" s="99" t="s">
        <v>50</v>
      </c>
      <c r="G32" s="86">
        <v>0</v>
      </c>
      <c r="H32" s="64">
        <f t="shared" si="0"/>
        <v>0</v>
      </c>
    </row>
    <row r="33" spans="5:8" x14ac:dyDescent="0.45">
      <c r="E33" s="103" t="s">
        <v>98</v>
      </c>
      <c r="F33" s="99" t="s">
        <v>51</v>
      </c>
      <c r="G33" s="86">
        <v>0</v>
      </c>
      <c r="H33" s="64">
        <f t="shared" si="0"/>
        <v>0</v>
      </c>
    </row>
    <row r="34" spans="5:8" x14ac:dyDescent="0.45">
      <c r="E34" s="103" t="s">
        <v>99</v>
      </c>
      <c r="F34" s="99" t="s">
        <v>52</v>
      </c>
      <c r="G34" s="86">
        <v>0</v>
      </c>
      <c r="H34" s="64">
        <f t="shared" si="0"/>
        <v>0</v>
      </c>
    </row>
    <row r="35" spans="5:8" x14ac:dyDescent="0.45">
      <c r="E35" s="103" t="s">
        <v>100</v>
      </c>
      <c r="F35" s="99" t="s">
        <v>53</v>
      </c>
      <c r="G35" s="86">
        <v>0</v>
      </c>
      <c r="H35" s="64">
        <f t="shared" si="0"/>
        <v>0</v>
      </c>
    </row>
    <row r="36" spans="5:8" x14ac:dyDescent="0.45">
      <c r="E36" s="103" t="s">
        <v>101</v>
      </c>
      <c r="F36" s="99" t="s">
        <v>54</v>
      </c>
      <c r="G36" s="86">
        <v>0</v>
      </c>
      <c r="H36" s="64">
        <f t="shared" si="0"/>
        <v>0</v>
      </c>
    </row>
    <row r="37" spans="5:8" x14ac:dyDescent="0.45">
      <c r="E37" s="103" t="s">
        <v>102</v>
      </c>
      <c r="F37" s="99" t="s">
        <v>55</v>
      </c>
      <c r="G37" s="86">
        <v>0</v>
      </c>
      <c r="H37" s="64">
        <f t="shared" si="0"/>
        <v>0</v>
      </c>
    </row>
    <row r="38" spans="5:8" x14ac:dyDescent="0.45">
      <c r="E38" s="103" t="s">
        <v>103</v>
      </c>
      <c r="F38" s="99" t="s">
        <v>56</v>
      </c>
      <c r="G38" s="86">
        <v>0</v>
      </c>
      <c r="H38" s="64">
        <f t="shared" si="0"/>
        <v>0</v>
      </c>
    </row>
    <row r="39" spans="5:8" x14ac:dyDescent="0.45">
      <c r="E39" s="103" t="s">
        <v>104</v>
      </c>
      <c r="F39" s="99" t="s">
        <v>57</v>
      </c>
      <c r="G39" s="86">
        <v>0</v>
      </c>
      <c r="H39" s="64">
        <f t="shared" si="0"/>
        <v>0</v>
      </c>
    </row>
    <row r="40" spans="5:8" x14ac:dyDescent="0.45">
      <c r="E40" s="103" t="s">
        <v>105</v>
      </c>
      <c r="F40" s="99" t="s">
        <v>58</v>
      </c>
      <c r="G40" s="86">
        <v>0</v>
      </c>
      <c r="H40" s="64">
        <f t="shared" si="0"/>
        <v>0</v>
      </c>
    </row>
    <row r="41" spans="5:8" x14ac:dyDescent="0.45">
      <c r="E41" s="103" t="s">
        <v>106</v>
      </c>
      <c r="F41" s="99" t="s">
        <v>59</v>
      </c>
      <c r="G41" s="86">
        <v>0</v>
      </c>
      <c r="H41" s="64">
        <f t="shared" si="0"/>
        <v>0</v>
      </c>
    </row>
    <row r="42" spans="5:8" x14ac:dyDescent="0.45">
      <c r="E42" s="103" t="s">
        <v>107</v>
      </c>
      <c r="F42" s="99" t="s">
        <v>60</v>
      </c>
      <c r="G42" s="86">
        <v>0</v>
      </c>
      <c r="H42" s="64">
        <f t="shared" si="0"/>
        <v>0</v>
      </c>
    </row>
    <row r="43" spans="5:8" x14ac:dyDescent="0.45">
      <c r="E43" s="103" t="s">
        <v>108</v>
      </c>
      <c r="F43" s="99" t="s">
        <v>61</v>
      </c>
      <c r="G43" s="86">
        <v>0</v>
      </c>
      <c r="H43" s="64">
        <f t="shared" si="0"/>
        <v>0</v>
      </c>
    </row>
    <row r="44" spans="5:8" x14ac:dyDescent="0.45">
      <c r="E44" s="103" t="s">
        <v>109</v>
      </c>
      <c r="F44" s="99" t="s">
        <v>62</v>
      </c>
      <c r="G44" s="86">
        <v>0</v>
      </c>
      <c r="H44" s="64">
        <f t="shared" si="0"/>
        <v>0</v>
      </c>
    </row>
    <row r="45" spans="5:8" x14ac:dyDescent="0.45">
      <c r="E45" s="103" t="s">
        <v>110</v>
      </c>
      <c r="F45" s="99" t="s">
        <v>117</v>
      </c>
      <c r="G45" s="86">
        <v>0</v>
      </c>
      <c r="H45" s="64">
        <f t="shared" si="0"/>
        <v>0</v>
      </c>
    </row>
    <row r="46" spans="5:8" x14ac:dyDescent="0.45">
      <c r="E46" s="103" t="s">
        <v>111</v>
      </c>
      <c r="F46" s="99" t="s">
        <v>118</v>
      </c>
      <c r="G46" s="86">
        <v>0</v>
      </c>
      <c r="H46" s="64">
        <f t="shared" si="0"/>
        <v>0</v>
      </c>
    </row>
    <row r="47" spans="5:8" x14ac:dyDescent="0.45">
      <c r="E47" s="103" t="s">
        <v>112</v>
      </c>
      <c r="F47" s="99" t="s">
        <v>119</v>
      </c>
      <c r="G47" s="86">
        <v>0</v>
      </c>
      <c r="H47" s="64">
        <f t="shared" si="0"/>
        <v>0</v>
      </c>
    </row>
    <row r="48" spans="5:8" x14ac:dyDescent="0.45">
      <c r="E48" s="103" t="s">
        <v>113</v>
      </c>
      <c r="F48" s="99" t="s">
        <v>63</v>
      </c>
      <c r="G48" s="86">
        <v>0</v>
      </c>
      <c r="H48" s="64">
        <f t="shared" si="0"/>
        <v>0</v>
      </c>
    </row>
    <row r="49" spans="5:8" x14ac:dyDescent="0.45">
      <c r="E49" s="103" t="s">
        <v>114</v>
      </c>
      <c r="F49" s="99" t="s">
        <v>64</v>
      </c>
      <c r="G49" s="86">
        <v>0</v>
      </c>
      <c r="H49" s="64">
        <f t="shared" si="0"/>
        <v>0</v>
      </c>
    </row>
    <row r="50" spans="5:8" x14ac:dyDescent="0.45">
      <c r="E50" s="103" t="s">
        <v>115</v>
      </c>
      <c r="F50" s="99" t="s">
        <v>65</v>
      </c>
      <c r="G50" s="86">
        <v>0</v>
      </c>
      <c r="H50" s="64">
        <f t="shared" si="0"/>
        <v>0</v>
      </c>
    </row>
    <row r="51" spans="5:8" x14ac:dyDescent="0.45">
      <c r="E51" s="104" t="s">
        <v>116</v>
      </c>
      <c r="F51" s="100" t="s">
        <v>66</v>
      </c>
      <c r="G51" s="88">
        <v>0</v>
      </c>
      <c r="H51" s="69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1E636-69F7-499D-842B-5634669FCFA6}">
  <sheetPr codeName="Sheet30"/>
  <dimension ref="A1:Q22"/>
  <sheetViews>
    <sheetView workbookViewId="0"/>
  </sheetViews>
  <sheetFormatPr defaultColWidth="10.69921875" defaultRowHeight="18" x14ac:dyDescent="0.45"/>
  <cols>
    <col min="1" max="1" width="10.69921875" style="110"/>
    <col min="2" max="3" width="10.69921875" style="107"/>
    <col min="4" max="4" width="10.69921875" style="112"/>
    <col min="5" max="7" width="10.69921875" style="108"/>
    <col min="8" max="9" width="10.69921875" style="109"/>
    <col min="10" max="17" width="10.69921875" style="108"/>
    <col min="18" max="16384" width="10.69921875" style="111"/>
  </cols>
  <sheetData>
    <row r="1" spans="1:17" x14ac:dyDescent="0.45">
      <c r="A1" s="111" t="s">
        <v>163</v>
      </c>
      <c r="B1" s="111" t="s">
        <v>163</v>
      </c>
      <c r="C1" s="111" t="s">
        <v>163</v>
      </c>
      <c r="D1" s="112" t="s">
        <v>163</v>
      </c>
      <c r="E1" s="111" t="s">
        <v>163</v>
      </c>
      <c r="F1" s="111" t="s">
        <v>163</v>
      </c>
      <c r="G1" s="111" t="s">
        <v>163</v>
      </c>
      <c r="H1" s="111" t="s">
        <v>163</v>
      </c>
      <c r="I1" s="111" t="s">
        <v>163</v>
      </c>
      <c r="J1" s="111" t="s">
        <v>163</v>
      </c>
      <c r="K1" s="111" t="s">
        <v>163</v>
      </c>
      <c r="L1" s="111" t="s">
        <v>163</v>
      </c>
      <c r="M1" s="111" t="s">
        <v>163</v>
      </c>
      <c r="N1" s="111" t="s">
        <v>163</v>
      </c>
      <c r="O1" s="111" t="s">
        <v>163</v>
      </c>
      <c r="P1" s="111" t="s">
        <v>163</v>
      </c>
      <c r="Q1" s="111" t="s">
        <v>163</v>
      </c>
    </row>
    <row r="2" spans="1:17" x14ac:dyDescent="0.45">
      <c r="A2" s="111" t="s">
        <v>9</v>
      </c>
      <c r="B2" s="111" t="s">
        <v>6</v>
      </c>
      <c r="C2" s="111" t="s">
        <v>7</v>
      </c>
      <c r="D2" s="112" t="s">
        <v>16</v>
      </c>
      <c r="E2" s="111" t="s">
        <v>15</v>
      </c>
      <c r="F2" s="111" t="s">
        <v>176</v>
      </c>
      <c r="G2" s="111" t="s">
        <v>175</v>
      </c>
      <c r="H2" s="111" t="s">
        <v>5</v>
      </c>
      <c r="I2" s="111" t="s">
        <v>17</v>
      </c>
      <c r="J2" s="111" t="s">
        <v>18</v>
      </c>
      <c r="K2" s="111" t="s">
        <v>161</v>
      </c>
      <c r="L2" s="111" t="s">
        <v>129</v>
      </c>
      <c r="M2" s="111" t="s">
        <v>124</v>
      </c>
      <c r="N2" s="111" t="s">
        <v>132</v>
      </c>
      <c r="O2" s="111" t="s">
        <v>177</v>
      </c>
      <c r="P2" s="111" t="s">
        <v>166</v>
      </c>
      <c r="Q2" s="111" t="s">
        <v>149</v>
      </c>
    </row>
    <row r="3" spans="1:17" x14ac:dyDescent="0.45">
      <c r="A3" s="110">
        <v>0</v>
      </c>
      <c r="B3" s="107">
        <v>0</v>
      </c>
      <c r="C3" s="107">
        <v>0</v>
      </c>
    </row>
    <row r="4" spans="1:17" x14ac:dyDescent="0.45">
      <c r="A4" s="110">
        <v>1</v>
      </c>
      <c r="B4" s="107">
        <v>15</v>
      </c>
      <c r="C4" s="107">
        <v>15</v>
      </c>
      <c r="D4" s="112">
        <v>2</v>
      </c>
      <c r="E4" s="108">
        <v>0</v>
      </c>
      <c r="F4" s="108">
        <v>0.2857142857142857</v>
      </c>
      <c r="G4" s="108">
        <v>0</v>
      </c>
      <c r="H4" s="109">
        <v>13000</v>
      </c>
      <c r="I4" s="109">
        <v>0</v>
      </c>
      <c r="J4" s="108">
        <v>0</v>
      </c>
      <c r="K4" s="108">
        <v>0</v>
      </c>
      <c r="L4" s="108">
        <v>0</v>
      </c>
      <c r="M4" s="108">
        <v>0.8571428571428571</v>
      </c>
      <c r="N4" s="108">
        <v>0</v>
      </c>
      <c r="O4" s="108">
        <v>0.33333333333333331</v>
      </c>
      <c r="P4" s="108">
        <v>0</v>
      </c>
      <c r="Q4" s="108">
        <v>0.5</v>
      </c>
    </row>
    <row r="5" spans="1:17" x14ac:dyDescent="0.45">
      <c r="A5" s="110">
        <v>2</v>
      </c>
      <c r="B5" s="107">
        <v>-23.299999999999997</v>
      </c>
      <c r="C5" s="107">
        <v>-11.649999999999999</v>
      </c>
      <c r="D5" s="112">
        <v>2.5</v>
      </c>
      <c r="E5" s="108">
        <v>0</v>
      </c>
      <c r="F5" s="108">
        <v>0.14285714285714285</v>
      </c>
      <c r="G5" s="108">
        <v>0.21428571428571427</v>
      </c>
      <c r="H5" s="109">
        <v>13000</v>
      </c>
      <c r="I5" s="109">
        <v>-8000</v>
      </c>
      <c r="J5" s="108">
        <v>0.5</v>
      </c>
      <c r="K5" s="108">
        <v>0</v>
      </c>
      <c r="L5" s="108">
        <v>0</v>
      </c>
      <c r="M5" s="108">
        <v>0.5</v>
      </c>
      <c r="N5" s="108">
        <v>0</v>
      </c>
      <c r="O5" s="108">
        <v>0.2857142857142857</v>
      </c>
      <c r="P5" s="108">
        <v>0</v>
      </c>
      <c r="Q5" s="108">
        <v>0.33333333333333331</v>
      </c>
    </row>
    <row r="6" spans="1:17" x14ac:dyDescent="0.45">
      <c r="A6" s="110">
        <v>3</v>
      </c>
      <c r="B6" s="107">
        <v>-14.599999999999998</v>
      </c>
      <c r="C6" s="107">
        <v>-4.8666666666666663</v>
      </c>
      <c r="D6" s="112">
        <v>2.3333333333333335</v>
      </c>
      <c r="E6" s="108">
        <v>0</v>
      </c>
      <c r="F6" s="108">
        <v>0.25</v>
      </c>
      <c r="G6" s="108">
        <v>0.20833333333333334</v>
      </c>
      <c r="H6" s="109">
        <v>9650</v>
      </c>
      <c r="I6" s="109">
        <v>-7940</v>
      </c>
      <c r="J6" s="108">
        <v>0.33333333333333331</v>
      </c>
      <c r="K6" s="108">
        <v>0</v>
      </c>
      <c r="L6" s="108">
        <v>4.1666666666666664E-2</v>
      </c>
      <c r="M6" s="108">
        <v>0.54166666666666663</v>
      </c>
      <c r="N6" s="108">
        <v>0</v>
      </c>
      <c r="O6" s="108">
        <v>0.46153846153846156</v>
      </c>
      <c r="P6" s="108">
        <v>0</v>
      </c>
      <c r="Q6" s="108">
        <v>0.16666666666666666</v>
      </c>
    </row>
    <row r="7" spans="1:17" x14ac:dyDescent="0.45">
      <c r="A7" s="110">
        <v>4</v>
      </c>
      <c r="B7" s="107">
        <v>6.1000000000000014</v>
      </c>
      <c r="C7" s="107">
        <v>1.5250000000000004</v>
      </c>
      <c r="D7" s="112">
        <v>2.25</v>
      </c>
      <c r="E7" s="108">
        <v>0</v>
      </c>
      <c r="F7" s="108">
        <v>0.27586206896551724</v>
      </c>
      <c r="G7" s="108">
        <v>0.20689655172413793</v>
      </c>
      <c r="H7" s="109">
        <v>10237.5</v>
      </c>
      <c r="I7" s="109">
        <v>-7416.666666666667</v>
      </c>
      <c r="J7" s="108">
        <v>0.25</v>
      </c>
      <c r="K7" s="108">
        <v>0</v>
      </c>
      <c r="L7" s="108">
        <v>6.8965517241379309E-2</v>
      </c>
      <c r="M7" s="108">
        <v>0.51724137931034486</v>
      </c>
      <c r="N7" s="108">
        <v>0.5</v>
      </c>
      <c r="O7" s="108">
        <v>0.46666666666666667</v>
      </c>
      <c r="P7" s="108">
        <v>0</v>
      </c>
      <c r="Q7" s="108">
        <v>0.16666666666666666</v>
      </c>
    </row>
    <row r="8" spans="1:17" x14ac:dyDescent="0.45">
      <c r="A8" s="110">
        <v>5</v>
      </c>
      <c r="B8" s="107">
        <v>10.600000000000001</v>
      </c>
      <c r="C8" s="107">
        <v>2.12</v>
      </c>
      <c r="D8" s="112">
        <v>2.2000000000000002</v>
      </c>
      <c r="E8" s="108">
        <v>0</v>
      </c>
      <c r="F8" s="108">
        <v>0.27272727272727271</v>
      </c>
      <c r="G8" s="108">
        <v>0.18181818181818182</v>
      </c>
      <c r="H8" s="109">
        <v>9988.8888888888887</v>
      </c>
      <c r="I8" s="109">
        <v>-7416.666666666667</v>
      </c>
      <c r="J8" s="108">
        <v>0.2</v>
      </c>
      <c r="K8" s="108">
        <v>0</v>
      </c>
      <c r="L8" s="108">
        <v>6.0606060606060608E-2</v>
      </c>
      <c r="M8" s="108">
        <v>0.48484848484848486</v>
      </c>
      <c r="N8" s="108">
        <v>0.5</v>
      </c>
      <c r="O8" s="108">
        <v>0.5</v>
      </c>
      <c r="P8" s="108">
        <v>0</v>
      </c>
      <c r="Q8" s="108">
        <v>0.14285714285714285</v>
      </c>
    </row>
    <row r="9" spans="1:17" x14ac:dyDescent="0.45">
      <c r="A9" s="110">
        <v>6</v>
      </c>
      <c r="B9" s="107">
        <v>4.2000000000000011</v>
      </c>
      <c r="C9" s="107">
        <v>0.70000000000000018</v>
      </c>
      <c r="D9" s="112">
        <v>2.3333333333333335</v>
      </c>
      <c r="E9" s="108">
        <v>0</v>
      </c>
      <c r="F9" s="108">
        <v>0.20930232558139536</v>
      </c>
      <c r="G9" s="108">
        <v>0.16279069767441862</v>
      </c>
      <c r="H9" s="109">
        <v>9988.8888888888887</v>
      </c>
      <c r="I9" s="109">
        <v>-6914.2857142857147</v>
      </c>
      <c r="J9" s="108">
        <v>0.16666666666666666</v>
      </c>
      <c r="K9" s="108">
        <v>0</v>
      </c>
      <c r="L9" s="108">
        <v>6.9767441860465115E-2</v>
      </c>
      <c r="M9" s="108">
        <v>0.48837209302325579</v>
      </c>
      <c r="N9" s="108">
        <v>0.33333333333333331</v>
      </c>
      <c r="O9" s="108">
        <v>0.38095238095238093</v>
      </c>
      <c r="P9" s="108">
        <v>0</v>
      </c>
      <c r="Q9" s="108">
        <v>0.1</v>
      </c>
    </row>
    <row r="10" spans="1:17" x14ac:dyDescent="0.45">
      <c r="A10" s="110">
        <v>7</v>
      </c>
      <c r="B10" s="107">
        <v>28.200000000000003</v>
      </c>
      <c r="C10" s="107">
        <v>4.0285714285714294</v>
      </c>
      <c r="D10" s="112">
        <v>2.1428571428571428</v>
      </c>
      <c r="E10" s="108">
        <v>0.14285714285714285</v>
      </c>
      <c r="F10" s="108">
        <v>0.22916666666666666</v>
      </c>
      <c r="G10" s="108">
        <v>0.14583333333333334</v>
      </c>
      <c r="H10" s="109">
        <v>10354.545454545454</v>
      </c>
      <c r="I10" s="109">
        <v>-6914.2857142857147</v>
      </c>
      <c r="J10" s="108">
        <v>0.14285714285714285</v>
      </c>
      <c r="K10" s="108">
        <v>0.14285714285714285</v>
      </c>
      <c r="L10" s="108">
        <v>6.25E-2</v>
      </c>
      <c r="M10" s="108">
        <v>0.47916666666666669</v>
      </c>
      <c r="N10" s="108">
        <v>0.33333333333333331</v>
      </c>
      <c r="O10" s="108">
        <v>0.43478260869565216</v>
      </c>
      <c r="P10" s="108">
        <v>9.0909090909090912E-2</v>
      </c>
      <c r="Q10" s="108">
        <v>0.18181818181818182</v>
      </c>
    </row>
    <row r="11" spans="1:17" x14ac:dyDescent="0.45">
      <c r="A11" s="110">
        <v>8</v>
      </c>
      <c r="B11" s="107">
        <v>-2.4999999999999964</v>
      </c>
      <c r="C11" s="107">
        <v>-0.31249999999999956</v>
      </c>
      <c r="D11" s="112">
        <v>2.25</v>
      </c>
      <c r="E11" s="108">
        <v>0.125</v>
      </c>
      <c r="F11" s="108">
        <v>0.21052631578947367</v>
      </c>
      <c r="G11" s="108">
        <v>0.17543859649122806</v>
      </c>
      <c r="H11" s="109">
        <v>10158.333333333334</v>
      </c>
      <c r="I11" s="109">
        <v>-6560</v>
      </c>
      <c r="J11" s="108">
        <v>0.125</v>
      </c>
      <c r="K11" s="108">
        <v>0.125</v>
      </c>
      <c r="L11" s="108">
        <v>7.0175438596491224E-2</v>
      </c>
      <c r="M11" s="108">
        <v>0.43859649122807015</v>
      </c>
      <c r="N11" s="108">
        <v>0.25</v>
      </c>
      <c r="O11" s="108">
        <v>0.4</v>
      </c>
      <c r="P11" s="108">
        <v>8.3333333333333329E-2</v>
      </c>
      <c r="Q11" s="108">
        <v>0.15384615384615385</v>
      </c>
    </row>
    <row r="12" spans="1:17" x14ac:dyDescent="0.45">
      <c r="A12" s="110">
        <v>9</v>
      </c>
      <c r="B12" s="107">
        <v>-7.3999999999999968</v>
      </c>
      <c r="C12" s="107">
        <v>-0.82222222222222185</v>
      </c>
      <c r="D12" s="112">
        <v>2.2222222222222223</v>
      </c>
      <c r="E12" s="108">
        <v>0.1111111111111111</v>
      </c>
      <c r="F12" s="108">
        <v>0.22727272727272727</v>
      </c>
      <c r="G12" s="108">
        <v>0.16666666666666666</v>
      </c>
      <c r="H12" s="109">
        <v>9073.3333333333339</v>
      </c>
      <c r="I12" s="109">
        <v>-6200</v>
      </c>
      <c r="J12" s="108">
        <v>0.1111111111111111</v>
      </c>
      <c r="K12" s="108">
        <v>0.1111111111111111</v>
      </c>
      <c r="L12" s="108">
        <v>7.575757575757576E-2</v>
      </c>
      <c r="M12" s="108">
        <v>0.46969696969696972</v>
      </c>
      <c r="N12" s="108">
        <v>0.4</v>
      </c>
      <c r="O12" s="108">
        <v>0.38709677419354838</v>
      </c>
      <c r="P12" s="108">
        <v>6.6666666666666666E-2</v>
      </c>
      <c r="Q12" s="108">
        <v>0.1875</v>
      </c>
    </row>
    <row r="13" spans="1:17" x14ac:dyDescent="0.45">
      <c r="A13" s="110">
        <v>10</v>
      </c>
      <c r="B13" s="107">
        <v>-21.299999999999997</v>
      </c>
      <c r="C13" s="107">
        <v>-2.13</v>
      </c>
      <c r="D13" s="112">
        <v>2.2999999999999998</v>
      </c>
      <c r="E13" s="108">
        <v>0.1</v>
      </c>
      <c r="F13" s="108">
        <v>0.23076923076923078</v>
      </c>
      <c r="G13" s="108">
        <v>0.15384615384615385</v>
      </c>
      <c r="H13" s="109">
        <v>8566.6666666666661</v>
      </c>
      <c r="I13" s="109">
        <v>-6350</v>
      </c>
      <c r="J13" s="108">
        <v>0.1</v>
      </c>
      <c r="K13" s="108">
        <v>0.1</v>
      </c>
      <c r="L13" s="108">
        <v>0.10256410256410256</v>
      </c>
      <c r="M13" s="108">
        <v>0.47435897435897434</v>
      </c>
      <c r="N13" s="108">
        <v>0.5</v>
      </c>
      <c r="O13" s="108">
        <v>0.32432432432432434</v>
      </c>
      <c r="P13" s="108">
        <v>0.16666666666666666</v>
      </c>
      <c r="Q13" s="108">
        <v>0.15</v>
      </c>
    </row>
    <row r="14" spans="1:17" x14ac:dyDescent="0.45">
      <c r="A14" s="110">
        <v>11</v>
      </c>
      <c r="B14" s="107">
        <v>-66</v>
      </c>
      <c r="C14" s="107">
        <v>-6</v>
      </c>
      <c r="D14" s="112">
        <v>2.3636363636363638</v>
      </c>
      <c r="E14" s="108">
        <v>9.0909090909090912E-2</v>
      </c>
      <c r="F14" s="108">
        <v>0.21176470588235294</v>
      </c>
      <c r="G14" s="108">
        <v>0.17647058823529413</v>
      </c>
      <c r="H14" s="109">
        <v>8566.6666666666661</v>
      </c>
      <c r="I14" s="109">
        <v>-7726.666666666667</v>
      </c>
      <c r="J14" s="108">
        <v>0.18181818181818182</v>
      </c>
      <c r="K14" s="108">
        <v>9.0909090909090912E-2</v>
      </c>
      <c r="L14" s="108">
        <v>9.4117647058823528E-2</v>
      </c>
      <c r="M14" s="108">
        <v>0.47058823529411764</v>
      </c>
      <c r="N14" s="108">
        <v>0.5</v>
      </c>
      <c r="O14" s="108">
        <v>0.3</v>
      </c>
      <c r="P14" s="108">
        <v>0.16666666666666666</v>
      </c>
      <c r="Q14" s="108">
        <v>0.13636363636363635</v>
      </c>
    </row>
    <row r="15" spans="1:17" x14ac:dyDescent="0.45">
      <c r="A15" s="110">
        <v>12</v>
      </c>
      <c r="B15" s="107">
        <v>-40.799999999999997</v>
      </c>
      <c r="C15" s="107">
        <v>-3.4</v>
      </c>
      <c r="D15" s="112">
        <v>2.25</v>
      </c>
      <c r="E15" s="108">
        <v>0.16666666666666666</v>
      </c>
      <c r="F15" s="108">
        <v>0.23404255319148937</v>
      </c>
      <c r="G15" s="108">
        <v>0.15957446808510639</v>
      </c>
      <c r="H15" s="109">
        <v>8427.2727272727279</v>
      </c>
      <c r="I15" s="109">
        <v>-7726.666666666667</v>
      </c>
      <c r="J15" s="108">
        <v>0.16666666666666666</v>
      </c>
      <c r="K15" s="108">
        <v>8.3333333333333329E-2</v>
      </c>
      <c r="L15" s="108">
        <v>0.11702127659574468</v>
      </c>
      <c r="M15" s="108">
        <v>0.43617021276595747</v>
      </c>
      <c r="N15" s="108">
        <v>0.54545454545454541</v>
      </c>
      <c r="O15" s="108">
        <v>0.31707317073170732</v>
      </c>
      <c r="P15" s="108">
        <v>0.18181818181818182</v>
      </c>
      <c r="Q15" s="108">
        <v>0.15384615384615385</v>
      </c>
    </row>
    <row r="16" spans="1:17" x14ac:dyDescent="0.45">
      <c r="A16" s="110">
        <v>13</v>
      </c>
      <c r="B16" s="107">
        <v>-9.0999999999999943</v>
      </c>
      <c r="C16" s="107">
        <v>-0.69999999999999951</v>
      </c>
      <c r="D16" s="112">
        <v>2.1538461538461537</v>
      </c>
      <c r="E16" s="108">
        <v>0.23076923076923078</v>
      </c>
      <c r="F16" s="108">
        <v>0.25714285714285712</v>
      </c>
      <c r="G16" s="108">
        <v>0.16190476190476191</v>
      </c>
      <c r="H16" s="109">
        <v>9088.8888888888887</v>
      </c>
      <c r="I16" s="109">
        <v>-7364.7058823529414</v>
      </c>
      <c r="J16" s="108">
        <v>0.15384615384615385</v>
      </c>
      <c r="K16" s="108">
        <v>0.15384615384615385</v>
      </c>
      <c r="L16" s="108">
        <v>0.16190476190476191</v>
      </c>
      <c r="M16" s="108">
        <v>0.40952380952380951</v>
      </c>
      <c r="N16" s="108">
        <v>0.58823529411764708</v>
      </c>
      <c r="O16" s="108">
        <v>0.32558139534883723</v>
      </c>
      <c r="P16" s="108">
        <v>0.22222222222222221</v>
      </c>
      <c r="Q16" s="108">
        <v>0.22580645161290322</v>
      </c>
    </row>
    <row r="17" spans="1:17" x14ac:dyDescent="0.45">
      <c r="A17" s="110">
        <v>14</v>
      </c>
      <c r="B17" s="107">
        <v>-4.7999999999999945</v>
      </c>
      <c r="C17" s="107">
        <v>-0.34285714285714247</v>
      </c>
      <c r="D17" s="112">
        <v>2.0714285714285716</v>
      </c>
      <c r="E17" s="108">
        <v>0.2857142857142857</v>
      </c>
      <c r="F17" s="108">
        <v>0.25438596491228072</v>
      </c>
      <c r="G17" s="108">
        <v>0.16666666666666666</v>
      </c>
      <c r="H17" s="109">
        <v>9703.4482758620688</v>
      </c>
      <c r="I17" s="109">
        <v>-7494.7368421052633</v>
      </c>
      <c r="J17" s="108">
        <v>0.14285714285714285</v>
      </c>
      <c r="K17" s="108">
        <v>0.14285714285714285</v>
      </c>
      <c r="L17" s="108">
        <v>0.17543859649122806</v>
      </c>
      <c r="M17" s="108">
        <v>0.41228070175438597</v>
      </c>
      <c r="N17" s="108">
        <v>0.6</v>
      </c>
      <c r="O17" s="108">
        <v>0.2978723404255319</v>
      </c>
      <c r="P17" s="108">
        <v>0.2413793103448276</v>
      </c>
      <c r="Q17" s="108">
        <v>0.25714285714285712</v>
      </c>
    </row>
    <row r="18" spans="1:17" x14ac:dyDescent="0.45">
      <c r="A18" s="110">
        <v>15</v>
      </c>
      <c r="B18" s="107">
        <v>-42.199999999999996</v>
      </c>
      <c r="C18" s="107">
        <v>-2.813333333333333</v>
      </c>
      <c r="D18" s="112">
        <v>2.1333333333333333</v>
      </c>
      <c r="E18" s="108">
        <v>0.26666666666666666</v>
      </c>
      <c r="F18" s="108">
        <v>0.24576271186440679</v>
      </c>
      <c r="G18" s="108">
        <v>0.17796610169491525</v>
      </c>
      <c r="H18" s="109">
        <v>9703.4482758620688</v>
      </c>
      <c r="I18" s="109">
        <v>-8109.5238095238092</v>
      </c>
      <c r="J18" s="108">
        <v>0.2</v>
      </c>
      <c r="K18" s="108">
        <v>0.13333333333333333</v>
      </c>
      <c r="L18" s="108">
        <v>0.1864406779661017</v>
      </c>
      <c r="M18" s="108">
        <v>0.39830508474576271</v>
      </c>
      <c r="N18" s="108">
        <v>0.54545454545454541</v>
      </c>
      <c r="O18" s="108">
        <v>0.2978723404255319</v>
      </c>
      <c r="P18" s="108">
        <v>0.2413793103448276</v>
      </c>
      <c r="Q18" s="108">
        <v>0.25714285714285712</v>
      </c>
    </row>
    <row r="19" spans="1:17" x14ac:dyDescent="0.45">
      <c r="A19" s="110">
        <v>16</v>
      </c>
      <c r="B19" s="107">
        <v>-24.599999999999994</v>
      </c>
      <c r="C19" s="107">
        <v>-1.5374999999999996</v>
      </c>
      <c r="D19" s="112">
        <v>2.0625</v>
      </c>
      <c r="E19" s="108">
        <v>0.3125</v>
      </c>
      <c r="F19" s="108">
        <v>0.26400000000000001</v>
      </c>
      <c r="G19" s="108">
        <v>0.192</v>
      </c>
      <c r="H19" s="109">
        <v>10090.90909090909</v>
      </c>
      <c r="I19" s="109">
        <v>-8429.1666666666661</v>
      </c>
      <c r="J19" s="108">
        <v>0.1875</v>
      </c>
      <c r="K19" s="108">
        <v>0.125</v>
      </c>
      <c r="L19" s="108">
        <v>0.2</v>
      </c>
      <c r="M19" s="108">
        <v>0.39200000000000002</v>
      </c>
      <c r="N19" s="108">
        <v>0.56000000000000005</v>
      </c>
      <c r="O19" s="108">
        <v>0.30612244897959184</v>
      </c>
      <c r="P19" s="108">
        <v>0.24242424242424243</v>
      </c>
      <c r="Q19" s="108">
        <v>0.27027027027027029</v>
      </c>
    </row>
    <row r="20" spans="1:17" x14ac:dyDescent="0.45">
      <c r="A20" s="110">
        <v>17</v>
      </c>
      <c r="B20" s="107">
        <v>-37.799999999999997</v>
      </c>
      <c r="C20" s="107">
        <v>-2.2235294117647055</v>
      </c>
      <c r="D20" s="112">
        <v>2.1176470588235294</v>
      </c>
      <c r="E20" s="108">
        <v>0.29411764705882354</v>
      </c>
      <c r="F20" s="108">
        <v>0.26119402985074625</v>
      </c>
      <c r="G20" s="108">
        <v>0.17910447761194029</v>
      </c>
      <c r="H20" s="109">
        <v>10022.857142857143</v>
      </c>
      <c r="I20" s="109">
        <v>-8429.1666666666661</v>
      </c>
      <c r="J20" s="108">
        <v>0.17647058823529413</v>
      </c>
      <c r="K20" s="108">
        <v>0.11764705882352941</v>
      </c>
      <c r="L20" s="108">
        <v>0.19402985074626866</v>
      </c>
      <c r="M20" s="108">
        <v>0.38059701492537312</v>
      </c>
      <c r="N20" s="108">
        <v>0.53846153846153844</v>
      </c>
      <c r="O20" s="108">
        <v>0.33333333333333331</v>
      </c>
      <c r="P20" s="108">
        <v>0.25714285714285712</v>
      </c>
      <c r="Q20" s="108">
        <v>0.27500000000000002</v>
      </c>
    </row>
    <row r="21" spans="1:17" x14ac:dyDescent="0.45">
      <c r="A21" s="110">
        <v>18</v>
      </c>
      <c r="B21" s="107">
        <v>-57.4</v>
      </c>
      <c r="C21" s="107">
        <v>-3.1888888888888887</v>
      </c>
      <c r="D21" s="112">
        <v>2.1666666666666665</v>
      </c>
      <c r="E21" s="108">
        <v>0.27777777777777779</v>
      </c>
      <c r="F21" s="108">
        <v>0.25874125874125875</v>
      </c>
      <c r="G21" s="108">
        <v>0.16783216783216784</v>
      </c>
      <c r="H21" s="109">
        <v>9729.72972972973</v>
      </c>
      <c r="I21" s="109">
        <v>-8429.1666666666661</v>
      </c>
      <c r="J21" s="108">
        <v>0.16666666666666666</v>
      </c>
      <c r="K21" s="108">
        <v>0.1111111111111111</v>
      </c>
      <c r="L21" s="108">
        <v>0.18181818181818182</v>
      </c>
      <c r="M21" s="108">
        <v>0.3776223776223776</v>
      </c>
      <c r="N21" s="108">
        <v>0.53846153846153844</v>
      </c>
      <c r="O21" s="108">
        <v>0.33333333333333331</v>
      </c>
      <c r="P21" s="108">
        <v>0.29729729729729731</v>
      </c>
      <c r="Q21" s="108">
        <v>0.26190476190476192</v>
      </c>
    </row>
    <row r="22" spans="1:17" x14ac:dyDescent="0.45">
      <c r="A22" s="110">
        <v>19</v>
      </c>
      <c r="B22" s="107">
        <v>-57</v>
      </c>
      <c r="C22" s="107">
        <v>-3</v>
      </c>
      <c r="D22" s="112">
        <v>2.1578947368421053</v>
      </c>
      <c r="E22" s="108">
        <v>0.26315789473684209</v>
      </c>
      <c r="F22" s="108">
        <v>0.26490066225165565</v>
      </c>
      <c r="G22" s="108">
        <v>0.17218543046357615</v>
      </c>
      <c r="H22" s="109">
        <v>9597.5</v>
      </c>
      <c r="I22" s="109">
        <v>-8165.3846153846152</v>
      </c>
      <c r="J22" s="108">
        <v>0.15789473684210525</v>
      </c>
      <c r="K22" s="108">
        <v>0.10526315789473684</v>
      </c>
      <c r="L22" s="108">
        <v>0.17880794701986755</v>
      </c>
      <c r="M22" s="108">
        <v>0.38410596026490068</v>
      </c>
      <c r="N22" s="108">
        <v>0.51851851851851849</v>
      </c>
      <c r="O22" s="108">
        <v>0.36206896551724138</v>
      </c>
      <c r="P22" s="108">
        <v>0.27500000000000002</v>
      </c>
      <c r="Q22" s="108">
        <v>0.26666666666666666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30</vt:i4>
      </vt:variant>
      <vt:variant>
        <vt:lpstr>グラフ</vt:lpstr>
      </vt:variant>
      <vt:variant>
        <vt:i4>16</vt:i4>
      </vt:variant>
    </vt:vector>
  </HeadingPairs>
  <TitlesOfParts>
    <vt:vector size="46" baseType="lpstr">
      <vt:lpstr>Template1</vt:lpstr>
      <vt:lpstr>Cache</vt:lpstr>
      <vt:lpstr>Template2</vt:lpstr>
      <vt:lpstr>Players</vt:lpstr>
      <vt:lpstr>全体1</vt:lpstr>
      <vt:lpstr>全体2</vt:lpstr>
      <vt:lpstr>だいち1</vt:lpstr>
      <vt:lpstr>だいち2</vt:lpstr>
      <vt:lpstr>かこたろう1</vt:lpstr>
      <vt:lpstr>かこたろう2</vt:lpstr>
      <vt:lpstr>ともき1</vt:lpstr>
      <vt:lpstr>ともき2</vt:lpstr>
      <vt:lpstr>りくと1</vt:lpstr>
      <vt:lpstr>りくと2</vt:lpstr>
      <vt:lpstr>いっしー1</vt:lpstr>
      <vt:lpstr>いっしー2</vt:lpstr>
      <vt:lpstr>がくと1</vt:lpstr>
      <vt:lpstr>がくと2</vt:lpstr>
      <vt:lpstr>たかの1</vt:lpstr>
      <vt:lpstr>たかの2</vt:lpstr>
      <vt:lpstr>ただ1</vt:lpstr>
      <vt:lpstr>ただ2</vt:lpstr>
      <vt:lpstr>やがさき1</vt:lpstr>
      <vt:lpstr>やがさき2</vt:lpstr>
      <vt:lpstr>れんたろう1</vt:lpstr>
      <vt:lpstr>れんたろう2</vt:lpstr>
      <vt:lpstr>あさひ1</vt:lpstr>
      <vt:lpstr>あさひ2</vt:lpstr>
      <vt:lpstr>まっつん1</vt:lpstr>
      <vt:lpstr>まっつん2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2019-01-28T04:18:01Z</dcterms:modified>
</cp:coreProperties>
</file>