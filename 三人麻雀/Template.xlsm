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54F134F8-E63D-4887-9237-BE18053CDC12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W3" i="1" l="1"/>
  <c r="V3" i="1"/>
  <c r="U3" i="1"/>
  <c r="B5" i="1" l="1"/>
  <c r="A5" i="1" s="1"/>
  <c r="D6" i="1"/>
  <c r="B6" i="1"/>
  <c r="A6" i="1" s="1"/>
  <c r="D5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U4" i="1" s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U5" i="1" s="1"/>
  <c r="B9" i="1"/>
  <c r="A9" i="1" s="1"/>
  <c r="O4" i="1"/>
  <c r="V4" i="1" s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W4" i="1" s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J6" i="1" l="1"/>
  <c r="T5" i="1"/>
  <c r="W5" i="1" s="1"/>
  <c r="O6" i="1"/>
  <c r="B10" i="1"/>
  <c r="O7" i="1" l="1"/>
  <c r="V7" i="1" s="1"/>
  <c r="V6" i="1"/>
  <c r="J7" i="1"/>
  <c r="U7" i="1" s="1"/>
  <c r="U6" i="1"/>
  <c r="J8" i="1"/>
  <c r="U8" i="1" s="1"/>
  <c r="B11" i="1"/>
  <c r="A11" i="1" s="1"/>
  <c r="A10" i="1"/>
  <c r="O8" i="1"/>
  <c r="V8" i="1" s="1"/>
  <c r="T6" i="1"/>
  <c r="B12" i="1"/>
  <c r="A12" i="1" s="1"/>
  <c r="T7" i="1" l="1"/>
  <c r="W7" i="1" s="1"/>
  <c r="W6" i="1"/>
  <c r="J9" i="1"/>
  <c r="U9" i="1" s="1"/>
  <c r="T8" i="1"/>
  <c r="W8" i="1" s="1"/>
  <c r="O9" i="1"/>
  <c r="V9" i="1" s="1"/>
  <c r="B13" i="1"/>
  <c r="A13" i="1" s="1"/>
  <c r="J10" i="1" l="1"/>
  <c r="U10" i="1" s="1"/>
  <c r="J11" i="1"/>
  <c r="U11" i="1" s="1"/>
  <c r="O10" i="1"/>
  <c r="V10" i="1" s="1"/>
  <c r="T9" i="1"/>
  <c r="W9" i="1" s="1"/>
  <c r="B14" i="1"/>
  <c r="A14" i="1" s="1"/>
  <c r="O11" i="1" l="1"/>
  <c r="V11" i="1" s="1"/>
  <c r="J12" i="1"/>
  <c r="U12" i="1" s="1"/>
  <c r="T10" i="1"/>
  <c r="W10" i="1" s="1"/>
  <c r="J13" i="1" l="1"/>
  <c r="U13" i="1" s="1"/>
  <c r="O12" i="1"/>
  <c r="V12" i="1" s="1"/>
  <c r="T11" i="1"/>
  <c r="W11" i="1" s="1"/>
  <c r="J14" i="1" l="1"/>
  <c r="U14" i="1" s="1"/>
  <c r="O13" i="1"/>
  <c r="V13" i="1" s="1"/>
  <c r="T12" i="1"/>
  <c r="W12" i="1" s="1"/>
  <c r="O14" i="1" l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<sst xmlns="http://schemas.openxmlformats.org/spreadsheetml/2006/main" count="473" uniqueCount="138">
  <si>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</si>
  <si>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</si>
  <si>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</si>
  <si>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</si>
  <si>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</si>
  <si>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</si>
  <si>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</si>
  <si>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</si>
  <si>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</si>
  <si>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</si>
  <si>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</si>
  <si>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</si>
  <si>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</si>
  <si>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</si>
  <si>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</si>
  <si>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</si>
  <si>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</si>
  <si>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</si>
  <si>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</si>
  <si>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</si>
  <si>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</si>
  <si>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</si>
  <si>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</si>
  <si>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</si>
  <si>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</si>
  <si>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</si>
  <si>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</si>
  <si>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</si>
  <si>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</si>
  <si>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</si>
  <si>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</si>
  <si>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</si>
  <si>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</si>
  <si>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</si>
  <si>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</si>
  <si>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</si>
  <si>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</si>
  <si>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</si>
  <si>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</si>
  <si>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</si>
  <si>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</si>
  <si>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</si>
  <si>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</si>
  <si>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</si>
  <si>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</si>
  <si>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</si>
  <si>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</si>
  <si>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</si>
  <si>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</si>
  <si>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</si>
  <si>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</si>
  <si>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</si>
  <si>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</si>
  <si>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</si>
  <si>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</si>
  <si>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</si>
  <si>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</si>
  <si>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</si>
  <si>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</si>
  <si>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</si>
  <si>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</si>
  <si>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</si>
  <si>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</si>
  <si>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</si>
  <si>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</si>
  <si>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</si>
  <si>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</si>
  <si>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</si>
  <si>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</si>
  <si>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</si>
  <si>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</si>
  <si>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</si>
  <si>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</si>
  <si>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</si>
  <si>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</si>
  <si>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</si>
  <si>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</si>
  <si>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</si>
  <si>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</si>
  <si>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</si>
  <si>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</si>
  <si>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</si>
  <si>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</si>
  <si>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</si>
  <si>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</si>
  <si>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</si>
  <si>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</si>
  <si>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</si>
  <si>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</si>
  <si>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</si>
  <si>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</si>
  <si>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</si>
  <si>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</si>
  <si>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</si>
  <si>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</si>
  <si>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</si>
  <si>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</si>
  <si>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</si>
  <si>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</si>
  <si>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</si>
  <si>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</si>
  <si>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</si>
  <si>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</si>
  <si>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</si>
  <si>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</si>
  <si>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</si>
  <si>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</si>
  <si>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</si>
  <si>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</si>
  <si>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</si>
  <si>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</si>
  <si>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</si>
  <si>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</si>
  <si>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</si>
  <si>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</si>
  <si>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</si>
  <si>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</si>
  <si>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</si>
  <si>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</si>
  <si>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</si>
  <si>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</si>
  <si>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</si>
  <si>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</si>
  <si>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</si>
  <si>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</si>
  <si>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</si>
  <si>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</si>
  <si>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</si>
  <si>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</si>
  <si>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</si>
  <si>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</si>
  <si>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</si>
  <si>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</si>
  <si>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</si>
  <si>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</si>
  <si>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Player1</t>
  </si>
  <si>
    <t>Player2</t>
  </si>
  <si>
    <t>Player3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</si>
</sst>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8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22</v>
      </c>
      <c r="E1" s="75" t="s">
        <v>3</v>
      </c>
      <c r="F1" s="66" t="s">
        <v>135</v>
      </c>
      <c r="G1" s="68"/>
      <c r="H1" s="68"/>
      <c r="I1" s="77"/>
      <c r="J1" s="69"/>
      <c r="K1" s="66" t="s">
        <v>136</v>
      </c>
      <c r="L1" s="68"/>
      <c r="M1" s="68"/>
      <c r="N1" s="77"/>
      <c r="O1" s="69"/>
      <c r="P1" s="66" t="s">
        <v>137</v>
      </c>
      <c r="Q1" s="68"/>
      <c r="R1" s="68"/>
      <c r="S1" s="77"/>
      <c r="T1" s="69"/>
      <c r="U1" s="66" t="s">
        <v>6</v>
      </c>
      <c r="V1" s="68"/>
      <c r="W1" s="69"/>
      <c r="Y1" s="66" t="str">
        <f>F1</f>
        <v>Player1</v>
      </c>
      <c r="Z1" s="67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9"/>
      <c r="AT1" s="66" t="str">
        <f>K1</f>
        <v>Player2</v>
      </c>
      <c r="AU1" s="67"/>
      <c r="AV1" s="68"/>
      <c r="AW1" s="68"/>
      <c r="AX1" s="68"/>
      <c r="AY1" s="68"/>
      <c r="AZ1" s="68"/>
      <c r="BA1" s="68"/>
      <c r="BB1" s="68"/>
      <c r="BC1" s="68"/>
      <c r="BD1" s="68"/>
      <c r="BE1" s="68"/>
      <c r="BF1" s="68"/>
      <c r="BG1" s="68"/>
      <c r="BH1" s="68"/>
      <c r="BI1" s="68"/>
      <c r="BJ1" s="68"/>
      <c r="BK1" s="68"/>
      <c r="BL1" s="68"/>
      <c r="BM1" s="68"/>
      <c r="BN1" s="69"/>
      <c r="BO1" s="66" t="str">
        <f>P1</f>
        <v>Player3</v>
      </c>
      <c r="BP1" s="67"/>
      <c r="BQ1" s="68"/>
      <c r="BR1" s="68"/>
      <c r="BS1" s="68"/>
      <c r="BT1" s="68"/>
      <c r="BU1" s="68"/>
      <c r="BV1" s="68"/>
      <c r="BW1" s="68"/>
      <c r="BX1" s="68"/>
      <c r="BY1" s="68"/>
      <c r="BZ1" s="68"/>
      <c r="CA1" s="68"/>
      <c r="CB1" s="68"/>
      <c r="CC1" s="68"/>
      <c r="CD1" s="68"/>
      <c r="CE1" s="68"/>
      <c r="CF1" s="68"/>
      <c r="CG1" s="68"/>
      <c r="CH1" s="68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Player1</v>
      </c>
      <c r="V2" s="27" t="str">
        <f>$K$1</f>
        <v>Player2</v>
      </c>
      <c r="W2" s="16" t="str">
        <f>$P$1</f>
        <v>Player3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0" t="s">
        <v>21</v>
      </c>
      <c r="AF2" s="70"/>
      <c r="AG2" s="70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0" t="s">
        <v>21</v>
      </c>
      <c r="BA2" s="70"/>
      <c r="BB2" s="70"/>
      <c r="BC2" s="70"/>
      <c r="BD2" s="70"/>
      <c r="BE2" s="70"/>
      <c r="BF2" s="70"/>
      <c r="BG2" s="70"/>
      <c r="BH2" s="70"/>
      <c r="BI2" s="70"/>
      <c r="BJ2" s="70"/>
      <c r="BK2" s="70"/>
      <c r="BL2" s="70"/>
      <c r="BM2" s="70"/>
      <c r="BN2" s="70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0" t="s">
        <v>21</v>
      </c>
      <c r="BV2" s="70"/>
      <c r="BW2" s="70"/>
      <c r="BX2" s="70"/>
      <c r="BY2" s="70"/>
      <c r="BZ2" s="70"/>
      <c r="CA2" s="70"/>
      <c r="CB2" s="70"/>
      <c r="CC2" s="70"/>
      <c r="CD2" s="70"/>
      <c r="CE2" s="70"/>
      <c r="CF2" s="70"/>
      <c r="CG2" s="70"/>
      <c r="CH2" s="70"/>
      <c r="CI2" s="70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/>
      <c r="F4" s="8"/>
      <c r="G4" s="9"/>
      <c r="H4" s="9"/>
      <c r="I4" s="55"/>
      <c r="J4" s="21" t="str">
        <f>IF(COUNTA($F4,$K4,$P4)&gt;0,J3+SUM(G4:I4),"")</f>
        <v/>
      </c>
      <c r="K4" s="8"/>
      <c r="L4" s="9"/>
      <c r="M4" s="9"/>
      <c r="N4" s="55"/>
      <c r="O4" s="21" t="str">
        <f>IF(COUNTA($F4,$K4,$P4)&gt;0,O3+SUM(L4:N4),"")</f>
        <v/>
      </c>
      <c r="P4" s="8"/>
      <c r="Q4" s="9"/>
      <c r="R4" s="9"/>
      <c r="S4" s="55"/>
      <c r="T4" s="21" t="str">
        <f>IF(COUNTA($F4,$K4,$P4)&gt;0,T3+SUM(Q4:S4),"")</f>
        <v/>
      </c>
      <c r="U4" s="60" t="str">
        <f t="shared" ref="U4:U30" si="0">IF($J4="","",ROUND(($J4-$J$3)/1000,1))</f>
        <v/>
      </c>
      <c r="V4" s="61" t="str">
        <f t="shared" ref="V4:V30" si="1">IF($O4="","",ROUND(($O4-$O$3)/1000,1))</f>
        <v/>
      </c>
      <c r="W4" s="62" t="str">
        <f t="shared" ref="W4:W30" si="2">IF($T4="","",ROUND(($T4-$T$3)/1000,1))</f>
        <v/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3">IF($E5="","",IF(AND(B4=3,B5=1),_xlfn.SWITCH(A4,"東","南","南","西","西","北","北","東"),A4))</f>
        <v/>
      </c>
      <c r="B5" s="18" t="str">
        <f>IF($E5="","",IF($E4=$E5,B4,IF(B4=3,1,B4+1)))</f>
        <v/>
      </c>
      <c r="C5" s="18" t="str">
        <f>IF($E5="","",IF($F4="チョンボ",C4,IF(OR($E4=$E5,$F4="流局"),C4+1,0)))</f>
        <v/>
      </c>
      <c r="D5" s="18" t="str">
        <f t="shared" ref="D5:D30" si="4">IF($E5="","",IF(OR($F4="流局",$F4="チョンボ"),D4+($H4+$M4+$R4)/-1000,0))</f>
        <v/>
      </c>
      <c r="E5" s="4"/>
      <c r="F5" s="8"/>
      <c r="G5" s="9"/>
      <c r="H5" s="9"/>
      <c r="I5" s="55"/>
      <c r="J5" s="21" t="str">
        <f t="shared" ref="J5:J30" si="5">IF(COUNTA($F5,$K5,$P5)&gt;0,J4+SUM(G5:I5),"")</f>
        <v/>
      </c>
      <c r="K5" s="8"/>
      <c r="L5" s="9"/>
      <c r="M5" s="9"/>
      <c r="N5" s="55"/>
      <c r="O5" s="21" t="str">
        <f t="shared" ref="O5:O30" si="6">IF(COUNTA($F5,$K5,$P5)&gt;0,O4+SUM(L5:N5),"")</f>
        <v/>
      </c>
      <c r="P5" s="8"/>
      <c r="Q5" s="9"/>
      <c r="R5" s="9"/>
      <c r="S5" s="55"/>
      <c r="T5" s="21" t="str">
        <f t="shared" ref="T5:T30" si="7">IF(COUNTA($F5,$K5,$P5)&gt;0,T4+SUM(Q5:S5),"")</f>
        <v/>
      </c>
      <c r="U5" s="60" t="str">
        <f t="shared" si="0"/>
        <v/>
      </c>
      <c r="V5" s="61" t="str">
        <f t="shared" si="1"/>
        <v/>
      </c>
      <c r="W5" s="62" t="str">
        <f t="shared" si="2"/>
        <v/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/>
      </c>
      <c r="B6" s="18" t="str">
        <f t="shared" ref="B6:B30" si="8">IF($E6="","",IF($E5=$E6,B5,IF(B5=3,1,B5+1)))</f>
        <v/>
      </c>
      <c r="C6" s="18" t="str">
        <f t="shared" ref="C6:C30" si="9">IF($E6="","",IF($F5="チョンボ",C5,IF(OR($E5=$E6,$F5="流局"),C5+1,0)))</f>
        <v/>
      </c>
      <c r="D6" s="18" t="str">
        <f t="shared" si="4"/>
        <v/>
      </c>
      <c r="E6" s="4"/>
      <c r="F6" s="8"/>
      <c r="G6" s="9"/>
      <c r="H6" s="9"/>
      <c r="I6" s="55"/>
      <c r="J6" s="21" t="str">
        <f t="shared" si="5"/>
        <v/>
      </c>
      <c r="K6" s="8"/>
      <c r="L6" s="9"/>
      <c r="M6" s="9"/>
      <c r="N6" s="55"/>
      <c r="O6" s="21" t="str">
        <f t="shared" si="6"/>
        <v/>
      </c>
      <c r="P6" s="8"/>
      <c r="Q6" s="9"/>
      <c r="R6" s="9"/>
      <c r="S6" s="55"/>
      <c r="T6" s="21" t="str">
        <f t="shared" si="7"/>
        <v/>
      </c>
      <c r="U6" s="60" t="str">
        <f t="shared" si="0"/>
        <v/>
      </c>
      <c r="V6" s="61" t="str">
        <f t="shared" si="1"/>
        <v/>
      </c>
      <c r="W6" s="62" t="str">
        <f t="shared" si="2"/>
        <v/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10">IF($E7="","",IF(AND(B6=3,B7=1),_xlfn.SWITCH(A6,"東","南","南","西","西","北","北","東"),A6))</f>
        <v/>
      </c>
      <c r="B7" s="18" t="str">
        <f t="shared" si="8"/>
        <v/>
      </c>
      <c r="C7" s="18" t="str">
        <f t="shared" si="9"/>
        <v/>
      </c>
      <c r="D7" s="18" t="str">
        <f t="shared" si="4"/>
        <v/>
      </c>
      <c r="E7" s="4"/>
      <c r="F7" s="8"/>
      <c r="G7" s="9"/>
      <c r="H7" s="9"/>
      <c r="I7" s="55"/>
      <c r="J7" s="21" t="str">
        <f t="shared" si="5"/>
        <v/>
      </c>
      <c r="K7" s="8"/>
      <c r="L7" s="9"/>
      <c r="M7" s="9"/>
      <c r="N7" s="55"/>
      <c r="O7" s="21" t="str">
        <f t="shared" si="6"/>
        <v/>
      </c>
      <c r="P7" s="8"/>
      <c r="Q7" s="9"/>
      <c r="R7" s="9"/>
      <c r="S7" s="55"/>
      <c r="T7" s="21" t="str">
        <f t="shared" si="7"/>
        <v/>
      </c>
      <c r="U7" s="60" t="str">
        <f t="shared" si="0"/>
        <v/>
      </c>
      <c r="V7" s="61" t="str">
        <f t="shared" si="1"/>
        <v/>
      </c>
      <c r="W7" s="62" t="str">
        <f t="shared" si="2"/>
        <v/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10"/>
        <v/>
      </c>
      <c r="B8" s="18" t="str">
        <f t="shared" si="8"/>
        <v/>
      </c>
      <c r="C8" s="18" t="str">
        <f t="shared" si="9"/>
        <v/>
      </c>
      <c r="D8" s="18" t="str">
        <f t="shared" si="4"/>
        <v/>
      </c>
      <c r="E8" s="4"/>
      <c r="F8" s="8"/>
      <c r="G8" s="9"/>
      <c r="H8" s="9"/>
      <c r="I8" s="55"/>
      <c r="J8" s="21" t="str">
        <f t="shared" si="5"/>
        <v/>
      </c>
      <c r="K8" s="8"/>
      <c r="L8" s="9"/>
      <c r="M8" s="9"/>
      <c r="N8" s="55"/>
      <c r="O8" s="21" t="str">
        <f t="shared" si="6"/>
        <v/>
      </c>
      <c r="P8" s="8"/>
      <c r="Q8" s="9"/>
      <c r="R8" s="9"/>
      <c r="S8" s="55"/>
      <c r="T8" s="21" t="str">
        <f t="shared" si="7"/>
        <v/>
      </c>
      <c r="U8" s="60" t="str">
        <f t="shared" si="0"/>
        <v/>
      </c>
      <c r="V8" s="61" t="str">
        <f t="shared" si="1"/>
        <v/>
      </c>
      <c r="W8" s="62" t="str">
        <f t="shared" si="2"/>
        <v/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10"/>
        <v/>
      </c>
      <c r="B9" s="18" t="str">
        <f t="shared" si="8"/>
        <v/>
      </c>
      <c r="C9" s="18" t="str">
        <f t="shared" si="9"/>
        <v/>
      </c>
      <c r="D9" s="18" t="str">
        <f t="shared" si="4"/>
        <v/>
      </c>
      <c r="E9" s="4"/>
      <c r="F9" s="8"/>
      <c r="G9" s="9"/>
      <c r="H9" s="9"/>
      <c r="I9" s="55"/>
      <c r="J9" s="21" t="str">
        <f t="shared" si="5"/>
        <v/>
      </c>
      <c r="K9" s="8"/>
      <c r="L9" s="9"/>
      <c r="M9" s="9"/>
      <c r="N9" s="55"/>
      <c r="O9" s="21" t="str">
        <f t="shared" si="6"/>
        <v/>
      </c>
      <c r="P9" s="8"/>
      <c r="Q9" s="9"/>
      <c r="R9" s="9"/>
      <c r="S9" s="55"/>
      <c r="T9" s="21" t="str">
        <f t="shared" si="7"/>
        <v/>
      </c>
      <c r="U9" s="60" t="str">
        <f t="shared" si="0"/>
        <v/>
      </c>
      <c r="V9" s="61" t="str">
        <f t="shared" si="1"/>
        <v/>
      </c>
      <c r="W9" s="62" t="str">
        <f t="shared" si="2"/>
        <v/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10"/>
        <v/>
      </c>
      <c r="B10" s="18" t="str">
        <f t="shared" si="8"/>
        <v/>
      </c>
      <c r="C10" s="18" t="str">
        <f t="shared" si="9"/>
        <v/>
      </c>
      <c r="D10" s="18" t="str">
        <f t="shared" si="4"/>
        <v/>
      </c>
      <c r="E10" s="4"/>
      <c r="F10" s="8"/>
      <c r="G10" s="9"/>
      <c r="H10" s="9"/>
      <c r="I10" s="55"/>
      <c r="J10" s="21" t="str">
        <f t="shared" si="5"/>
        <v/>
      </c>
      <c r="K10" s="8"/>
      <c r="L10" s="9"/>
      <c r="M10" s="9"/>
      <c r="N10" s="55"/>
      <c r="O10" s="21" t="str">
        <f t="shared" si="6"/>
        <v/>
      </c>
      <c r="P10" s="8"/>
      <c r="Q10" s="9"/>
      <c r="R10" s="9"/>
      <c r="S10" s="55"/>
      <c r="T10" s="21" t="str">
        <f t="shared" si="7"/>
        <v/>
      </c>
      <c r="U10" s="60" t="str">
        <f t="shared" si="0"/>
        <v/>
      </c>
      <c r="V10" s="61" t="str">
        <f t="shared" si="1"/>
        <v/>
      </c>
      <c r="W10" s="62" t="str">
        <f t="shared" si="2"/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10"/>
        <v/>
      </c>
      <c r="B11" s="18" t="str">
        <f t="shared" si="8"/>
        <v/>
      </c>
      <c r="C11" s="18" t="str">
        <f t="shared" si="9"/>
        <v/>
      </c>
      <c r="D11" s="18" t="str">
        <f t="shared" si="4"/>
        <v/>
      </c>
      <c r="E11" s="4"/>
      <c r="F11" s="8"/>
      <c r="G11" s="9"/>
      <c r="H11" s="9"/>
      <c r="I11" s="55"/>
      <c r="J11" s="21" t="str">
        <f t="shared" si="5"/>
        <v/>
      </c>
      <c r="K11" s="8"/>
      <c r="L11" s="9"/>
      <c r="M11" s="9"/>
      <c r="N11" s="55"/>
      <c r="O11" s="21" t="str">
        <f t="shared" si="6"/>
        <v/>
      </c>
      <c r="P11" s="8"/>
      <c r="Q11" s="9"/>
      <c r="R11" s="9"/>
      <c r="S11" s="55"/>
      <c r="T11" s="21" t="str">
        <f t="shared" si="7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10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55"/>
      <c r="J12" s="21" t="str">
        <f t="shared" si="5"/>
        <v/>
      </c>
      <c r="K12" s="8"/>
      <c r="L12" s="9"/>
      <c r="M12" s="9"/>
      <c r="N12" s="55"/>
      <c r="O12" s="21" t="str">
        <f t="shared" si="6"/>
        <v/>
      </c>
      <c r="P12" s="8"/>
      <c r="Q12" s="9"/>
      <c r="R12" s="9"/>
      <c r="S12" s="55"/>
      <c r="T12" s="21" t="str">
        <f t="shared" si="7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10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10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10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10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10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10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10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10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10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10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10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10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10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10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10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10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10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10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1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3" x14ac:dyDescent="0.4">
      <c r="A49" s="43" t="s">
        <v>125</v>
      </c>
      <c r="B49" s="15" t="s">
        <v>75</v>
      </c>
      <c r="C49" s="15">
        <v>13</v>
      </c>
    </row>
    <row r="50" spans="1:3" x14ac:dyDescent="0.4">
      <c r="A50" s="43" t="s">
        <v>126</v>
      </c>
      <c r="B50" s="15" t="s">
        <v>76</v>
      </c>
      <c r="C50" s="15">
        <v>13</v>
      </c>
    </row>
    <row r="51" spans="1:3" x14ac:dyDescent="0.4">
      <c r="A51" s="43" t="s">
        <v>127</v>
      </c>
      <c r="B51" s="15" t="s">
        <v>77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12000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12000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-6000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-6000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8000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8000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8000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8000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-3000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-3000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-5000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-5000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2019-02-20T07:27:43Z</dcterms:modified>
</cp:coreProperties>
</file>