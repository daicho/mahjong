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C10E002-EC72-4A76-B7DF-104FBBFBBED3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88" r:id="rId3"/>
    <sheet name="かこたろう" sheetId="2889" r:id="rId4"/>
    <sheet name="ともき" sheetId="2890" r:id="rId5"/>
    <sheet name="りくと" sheetId="2891" r:id="rId6"/>
    <sheet name="いっしー" sheetId="2892" r:id="rId7"/>
    <sheet name="がくと" sheetId="2893" r:id="rId8"/>
    <sheet name="たかの" sheetId="2894" r:id="rId9"/>
    <sheet name="ただ" sheetId="2895" r:id="rId10"/>
    <sheet name="やがさき" sheetId="2896" r:id="rId11"/>
    <sheet name="れんたろう" sheetId="2897" r:id="rId12"/>
    <sheet name="あさひ" sheetId="2898" r:id="rId13"/>
    <sheet name="まっつん" sheetId="2899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99" l="1"/>
  <c r="H50" i="2899"/>
  <c r="H49" i="2899"/>
  <c r="H48" i="2899"/>
  <c r="H47" i="2899"/>
  <c r="H46" i="2899"/>
  <c r="H45" i="2899"/>
  <c r="H44" i="2899"/>
  <c r="H43" i="2899"/>
  <c r="H42" i="2899"/>
  <c r="H41" i="2899"/>
  <c r="H40" i="2899"/>
  <c r="H39" i="2899"/>
  <c r="H38" i="2899"/>
  <c r="H37" i="2899"/>
  <c r="H36" i="2899"/>
  <c r="H35" i="2899"/>
  <c r="H34" i="2899"/>
  <c r="H33" i="2899"/>
  <c r="H32" i="2899"/>
  <c r="H19" i="2899"/>
  <c r="H31" i="2899"/>
  <c r="H6" i="2899"/>
  <c r="H30" i="2899"/>
  <c r="H29" i="2899"/>
  <c r="C27" i="2899"/>
  <c r="H12" i="2899"/>
  <c r="H18" i="2899"/>
  <c r="H28" i="2899"/>
  <c r="H8" i="2899"/>
  <c r="C23" i="2899"/>
  <c r="H27" i="2899"/>
  <c r="C22" i="2899"/>
  <c r="H16" i="2899"/>
  <c r="B21" i="2899"/>
  <c r="H26" i="2899"/>
  <c r="H25" i="2899"/>
  <c r="C19" i="2899"/>
  <c r="H15" i="2899"/>
  <c r="H20" i="2899"/>
  <c r="H17" i="2899"/>
  <c r="B16" i="2899"/>
  <c r="C17" i="2899" s="1"/>
  <c r="H24" i="2899"/>
  <c r="C15" i="2899"/>
  <c r="H23" i="2899"/>
  <c r="C14" i="2899"/>
  <c r="H22" i="2899"/>
  <c r="C13" i="2899"/>
  <c r="H21" i="2899"/>
  <c r="C12" i="2899"/>
  <c r="H4" i="2899"/>
  <c r="C11" i="2899"/>
  <c r="H14" i="2899"/>
  <c r="C10" i="2899"/>
  <c r="H11" i="2899"/>
  <c r="C9" i="2899"/>
  <c r="H13" i="2899"/>
  <c r="C8" i="2899"/>
  <c r="N7" i="2899"/>
  <c r="H7" i="2899"/>
  <c r="C7" i="2899"/>
  <c r="N6" i="2899"/>
  <c r="H2" i="2899"/>
  <c r="B6" i="2899"/>
  <c r="N5" i="2899"/>
  <c r="H10" i="2899"/>
  <c r="B5" i="2899"/>
  <c r="N4" i="2899"/>
  <c r="H3" i="2899"/>
  <c r="N3" i="2899"/>
  <c r="H9" i="2899"/>
  <c r="N2" i="2899"/>
  <c r="H5" i="2899"/>
  <c r="C16" i="2899" l="1"/>
  <c r="C18" i="2899"/>
  <c r="B20" i="2899"/>
  <c r="H51" i="2898" l="1"/>
  <c r="H50" i="2898"/>
  <c r="H49" i="2898"/>
  <c r="H48" i="2898"/>
  <c r="H47" i="2898"/>
  <c r="H46" i="2898"/>
  <c r="H45" i="2898"/>
  <c r="H44" i="2898"/>
  <c r="H43" i="2898"/>
  <c r="H42" i="2898"/>
  <c r="H41" i="2898"/>
  <c r="H40" i="2898"/>
  <c r="H39" i="2898"/>
  <c r="H38" i="2898"/>
  <c r="H37" i="2898"/>
  <c r="H36" i="2898"/>
  <c r="H35" i="2898"/>
  <c r="H34" i="2898"/>
  <c r="H33" i="2898"/>
  <c r="H32" i="2898"/>
  <c r="H14" i="2898"/>
  <c r="H31" i="2898"/>
  <c r="H11" i="2898"/>
  <c r="H30" i="2898"/>
  <c r="H29" i="2898"/>
  <c r="C27" i="2898"/>
  <c r="H10" i="2898"/>
  <c r="H28" i="2898"/>
  <c r="H27" i="2898"/>
  <c r="H26" i="2898"/>
  <c r="C23" i="2898"/>
  <c r="H25" i="2898"/>
  <c r="C22" i="2898"/>
  <c r="H24" i="2898"/>
  <c r="B21" i="2898"/>
  <c r="H23" i="2898"/>
  <c r="H22" i="2898"/>
  <c r="C19" i="2898"/>
  <c r="H21" i="2898"/>
  <c r="H20" i="2898"/>
  <c r="H19" i="2898"/>
  <c r="B16" i="2898"/>
  <c r="B20" i="2898" s="1"/>
  <c r="H18" i="2898"/>
  <c r="C15" i="2898"/>
  <c r="H17" i="2898"/>
  <c r="C14" i="2898"/>
  <c r="H16" i="2898"/>
  <c r="C13" i="2898"/>
  <c r="H15" i="2898"/>
  <c r="C12" i="2898"/>
  <c r="H5" i="2898"/>
  <c r="C11" i="2898"/>
  <c r="H13" i="2898"/>
  <c r="C10" i="2898"/>
  <c r="H7" i="2898"/>
  <c r="C9" i="2898"/>
  <c r="H9" i="2898"/>
  <c r="C8" i="2898"/>
  <c r="N7" i="2898"/>
  <c r="H8" i="2898"/>
  <c r="C7" i="2898"/>
  <c r="N6" i="2898"/>
  <c r="H3" i="2898"/>
  <c r="B6" i="2898"/>
  <c r="N5" i="2898"/>
  <c r="H6" i="2898"/>
  <c r="B5" i="2898"/>
  <c r="N4" i="2898"/>
  <c r="H2" i="2898"/>
  <c r="N3" i="2898"/>
  <c r="H12" i="2898"/>
  <c r="N2" i="2898"/>
  <c r="H4" i="2898"/>
  <c r="C17" i="2898" l="1"/>
  <c r="C16" i="2898"/>
  <c r="C18" i="2898"/>
  <c r="H51" i="2897" l="1"/>
  <c r="H50" i="2897"/>
  <c r="H49" i="2897"/>
  <c r="H48" i="2897"/>
  <c r="H47" i="2897"/>
  <c r="H46" i="2897"/>
  <c r="H45" i="2897"/>
  <c r="H44" i="2897"/>
  <c r="H43" i="2897"/>
  <c r="H42" i="2897"/>
  <c r="H41" i="2897"/>
  <c r="H40" i="2897"/>
  <c r="H39" i="2897"/>
  <c r="H38" i="2897"/>
  <c r="H37" i="2897"/>
  <c r="H36" i="2897"/>
  <c r="H35" i="2897"/>
  <c r="H34" i="2897"/>
  <c r="H23" i="2897"/>
  <c r="H33" i="2897"/>
  <c r="H22" i="2897"/>
  <c r="H32" i="2897"/>
  <c r="H9" i="2897"/>
  <c r="H31" i="2897"/>
  <c r="H30" i="2897"/>
  <c r="C27" i="2897"/>
  <c r="H12" i="2897"/>
  <c r="H29" i="2897"/>
  <c r="H21" i="2897"/>
  <c r="H15" i="2897"/>
  <c r="C23" i="2897"/>
  <c r="H28" i="2897"/>
  <c r="C22" i="2897"/>
  <c r="H17" i="2897"/>
  <c r="B21" i="2897"/>
  <c r="H27" i="2897"/>
  <c r="H26" i="2897"/>
  <c r="C19" i="2897"/>
  <c r="H20" i="2897"/>
  <c r="H13" i="2897"/>
  <c r="H19" i="2897"/>
  <c r="B16" i="2897"/>
  <c r="B20" i="2897" s="1"/>
  <c r="H25" i="2897"/>
  <c r="C15" i="2897"/>
  <c r="H18" i="2897"/>
  <c r="C14" i="2897"/>
  <c r="H24" i="2897"/>
  <c r="C13" i="2897"/>
  <c r="H14" i="2897"/>
  <c r="C12" i="2897"/>
  <c r="H4" i="2897"/>
  <c r="C11" i="2897"/>
  <c r="H16" i="2897"/>
  <c r="C10" i="2897"/>
  <c r="H10" i="2897"/>
  <c r="C9" i="2897"/>
  <c r="H8" i="2897"/>
  <c r="C8" i="2897"/>
  <c r="N7" i="2897"/>
  <c r="H7" i="2897"/>
  <c r="C7" i="2897"/>
  <c r="N6" i="2897"/>
  <c r="H2" i="2897"/>
  <c r="B6" i="2897"/>
  <c r="N5" i="2897"/>
  <c r="H6" i="2897"/>
  <c r="B5" i="2897"/>
  <c r="N4" i="2897"/>
  <c r="H3" i="2897"/>
  <c r="N3" i="2897"/>
  <c r="H11" i="2897"/>
  <c r="N2" i="2897"/>
  <c r="H5" i="2897"/>
  <c r="C16" i="2897" l="1"/>
  <c r="C17" i="2897"/>
  <c r="C18" i="2897"/>
  <c r="H51" i="2896" l="1"/>
  <c r="H50" i="2896"/>
  <c r="H49" i="2896"/>
  <c r="H48" i="2896"/>
  <c r="H47" i="2896"/>
  <c r="H46" i="2896"/>
  <c r="H45" i="2896"/>
  <c r="H44" i="2896"/>
  <c r="H43" i="2896"/>
  <c r="H42" i="2896"/>
  <c r="H41" i="2896"/>
  <c r="H40" i="2896"/>
  <c r="H39" i="2896"/>
  <c r="H38" i="2896"/>
  <c r="H37" i="2896"/>
  <c r="H36" i="2896"/>
  <c r="H35" i="2896"/>
  <c r="H34" i="2896"/>
  <c r="H33" i="2896"/>
  <c r="H11" i="2896"/>
  <c r="H32" i="2896"/>
  <c r="H31" i="2896"/>
  <c r="H10" i="2896"/>
  <c r="H30" i="2896"/>
  <c r="H29" i="2896"/>
  <c r="C27" i="2896"/>
  <c r="H12" i="2896"/>
  <c r="H28" i="2896"/>
  <c r="H27" i="2896"/>
  <c r="H26" i="2896"/>
  <c r="C23" i="2896"/>
  <c r="H25" i="2896"/>
  <c r="C22" i="2896"/>
  <c r="H24" i="2896"/>
  <c r="B21" i="2896"/>
  <c r="H23" i="2896"/>
  <c r="H22" i="2896"/>
  <c r="C19" i="2896"/>
  <c r="H21" i="2896"/>
  <c r="H13" i="2896"/>
  <c r="H20" i="2896"/>
  <c r="B16" i="2896"/>
  <c r="B20" i="2896" s="1"/>
  <c r="H19" i="2896"/>
  <c r="C15" i="2896"/>
  <c r="H18" i="2896"/>
  <c r="C14" i="2896"/>
  <c r="H17" i="2896"/>
  <c r="C13" i="2896"/>
  <c r="H16" i="2896"/>
  <c r="C12" i="2896"/>
  <c r="H6" i="2896"/>
  <c r="C11" i="2896"/>
  <c r="H15" i="2896"/>
  <c r="C10" i="2896"/>
  <c r="H14" i="2896"/>
  <c r="C9" i="2896"/>
  <c r="H9" i="2896"/>
  <c r="C8" i="2896"/>
  <c r="N7" i="2896"/>
  <c r="H7" i="2896"/>
  <c r="C7" i="2896"/>
  <c r="N6" i="2896"/>
  <c r="H2" i="2896"/>
  <c r="B6" i="2896"/>
  <c r="N5" i="2896"/>
  <c r="H4" i="2896"/>
  <c r="B5" i="2896"/>
  <c r="N4" i="2896"/>
  <c r="H5" i="2896"/>
  <c r="N3" i="2896"/>
  <c r="H8" i="2896"/>
  <c r="N2" i="2896"/>
  <c r="H3" i="2896"/>
  <c r="C17" i="2896" l="1"/>
  <c r="C16" i="2896"/>
  <c r="C18" i="2896"/>
  <c r="H51" i="2895" l="1"/>
  <c r="H50" i="2895"/>
  <c r="H49" i="2895"/>
  <c r="H48" i="2895"/>
  <c r="H47" i="2895"/>
  <c r="H46" i="2895"/>
  <c r="H45" i="2895"/>
  <c r="H44" i="2895"/>
  <c r="H43" i="2895"/>
  <c r="H42" i="2895"/>
  <c r="H41" i="2895"/>
  <c r="H40" i="2895"/>
  <c r="H39" i="2895"/>
  <c r="H38" i="2895"/>
  <c r="H37" i="2895"/>
  <c r="H36" i="2895"/>
  <c r="H35" i="2895"/>
  <c r="H34" i="2895"/>
  <c r="H33" i="2895"/>
  <c r="H32" i="2895"/>
  <c r="H17" i="2895"/>
  <c r="H31" i="2895"/>
  <c r="H10" i="2895"/>
  <c r="H30" i="2895"/>
  <c r="H29" i="2895"/>
  <c r="C27" i="2895"/>
  <c r="H14" i="2895"/>
  <c r="H28" i="2895"/>
  <c r="H21" i="2895"/>
  <c r="H20" i="2895"/>
  <c r="C23" i="2895"/>
  <c r="H27" i="2895"/>
  <c r="C22" i="2895"/>
  <c r="H16" i="2895"/>
  <c r="B21" i="2895"/>
  <c r="H26" i="2895"/>
  <c r="H25" i="2895"/>
  <c r="C19" i="2895"/>
  <c r="H24" i="2895"/>
  <c r="H13" i="2895"/>
  <c r="H15" i="2895"/>
  <c r="B16" i="2895"/>
  <c r="C17" i="2895" s="1"/>
  <c r="H23" i="2895"/>
  <c r="C15" i="2895"/>
  <c r="H19" i="2895"/>
  <c r="C14" i="2895"/>
  <c r="H18" i="2895"/>
  <c r="C13" i="2895"/>
  <c r="H22" i="2895"/>
  <c r="C12" i="2895"/>
  <c r="H5" i="2895"/>
  <c r="C11" i="2895"/>
  <c r="H12" i="2895"/>
  <c r="C10" i="2895"/>
  <c r="H11" i="2895"/>
  <c r="C9" i="2895"/>
  <c r="H8" i="2895"/>
  <c r="C8" i="2895"/>
  <c r="N7" i="2895"/>
  <c r="H7" i="2895"/>
  <c r="C7" i="2895"/>
  <c r="N6" i="2895"/>
  <c r="H2" i="2895"/>
  <c r="B6" i="2895"/>
  <c r="N5" i="2895"/>
  <c r="H6" i="2895"/>
  <c r="B5" i="2895"/>
  <c r="N4" i="2895"/>
  <c r="H3" i="2895"/>
  <c r="N3" i="2895"/>
  <c r="H9" i="2895"/>
  <c r="N2" i="2895"/>
  <c r="H4" i="2895"/>
  <c r="H51" i="2894"/>
  <c r="H50" i="2894"/>
  <c r="H49" i="2894"/>
  <c r="H48" i="2894"/>
  <c r="H47" i="2894"/>
  <c r="H46" i="2894"/>
  <c r="H45" i="2894"/>
  <c r="H44" i="2894"/>
  <c r="H43" i="2894"/>
  <c r="H42" i="2894"/>
  <c r="H41" i="2894"/>
  <c r="H40" i="2894"/>
  <c r="H39" i="2894"/>
  <c r="H38" i="2894"/>
  <c r="H37" i="2894"/>
  <c r="H36" i="2894"/>
  <c r="H35" i="2894"/>
  <c r="H34" i="2894"/>
  <c r="H33" i="2894"/>
  <c r="H32" i="2894"/>
  <c r="H31" i="2894"/>
  <c r="H30" i="2894"/>
  <c r="H9" i="2894"/>
  <c r="H29" i="2894"/>
  <c r="H28" i="2894"/>
  <c r="C27" i="2894"/>
  <c r="H15" i="2894"/>
  <c r="H27" i="2894"/>
  <c r="H26" i="2894"/>
  <c r="H18" i="2894"/>
  <c r="C23" i="2894"/>
  <c r="H25" i="2894"/>
  <c r="C22" i="2894"/>
  <c r="H17" i="2894"/>
  <c r="B21" i="2894"/>
  <c r="H24" i="2894"/>
  <c r="H23" i="2894"/>
  <c r="C19" i="2894"/>
  <c r="H14" i="2894"/>
  <c r="H13" i="2894"/>
  <c r="H22" i="2894"/>
  <c r="B16" i="2894"/>
  <c r="C17" i="2894" s="1"/>
  <c r="H21" i="2894"/>
  <c r="C15" i="2894"/>
  <c r="H16" i="2894"/>
  <c r="C14" i="2894"/>
  <c r="H20" i="2894"/>
  <c r="C13" i="2894"/>
  <c r="H19" i="2894"/>
  <c r="C12" i="2894"/>
  <c r="H4" i="2894"/>
  <c r="C11" i="2894"/>
  <c r="H12" i="2894"/>
  <c r="C10" i="2894"/>
  <c r="H11" i="2894"/>
  <c r="C9" i="2894"/>
  <c r="H10" i="2894"/>
  <c r="C8" i="2894"/>
  <c r="N7" i="2894"/>
  <c r="H6" i="2894"/>
  <c r="C7" i="2894"/>
  <c r="N6" i="2894"/>
  <c r="H2" i="2894"/>
  <c r="B6" i="2894"/>
  <c r="N5" i="2894"/>
  <c r="H8" i="2894"/>
  <c r="B5" i="2894"/>
  <c r="N4" i="2894"/>
  <c r="H3" i="2894"/>
  <c r="N3" i="2894"/>
  <c r="H7" i="2894"/>
  <c r="N2" i="2894"/>
  <c r="H5" i="2894"/>
  <c r="C16" i="2895" l="1"/>
  <c r="B20" i="2895"/>
  <c r="C18" i="2895"/>
  <c r="C16" i="2894"/>
  <c r="C18" i="2894"/>
  <c r="B20" i="2894"/>
  <c r="H51" i="2893" l="1"/>
  <c r="H50" i="2893"/>
  <c r="H49" i="2893"/>
  <c r="H48" i="2893"/>
  <c r="H47" i="2893"/>
  <c r="H46" i="2893"/>
  <c r="H45" i="2893"/>
  <c r="H44" i="2893"/>
  <c r="H43" i="2893"/>
  <c r="H42" i="2893"/>
  <c r="H41" i="2893"/>
  <c r="H40" i="2893"/>
  <c r="H39" i="2893"/>
  <c r="H38" i="2893"/>
  <c r="H37" i="2893"/>
  <c r="H36" i="2893"/>
  <c r="H35" i="2893"/>
  <c r="H34" i="2893"/>
  <c r="H33" i="2893"/>
  <c r="H32" i="2893"/>
  <c r="H31" i="2893"/>
  <c r="H30" i="2893"/>
  <c r="H29" i="2893"/>
  <c r="H28" i="2893"/>
  <c r="H27" i="2893"/>
  <c r="C27" i="2893"/>
  <c r="H11" i="2893"/>
  <c r="H26" i="2893"/>
  <c r="H25" i="2893"/>
  <c r="H24" i="2893"/>
  <c r="C23" i="2893"/>
  <c r="H23" i="2893"/>
  <c r="C22" i="2893"/>
  <c r="H22" i="2893"/>
  <c r="B21" i="2893"/>
  <c r="H21" i="2893"/>
  <c r="H20" i="2893"/>
  <c r="C19" i="2893"/>
  <c r="H8" i="2893"/>
  <c r="H19" i="2893"/>
  <c r="H18" i="2893"/>
  <c r="B16" i="2893"/>
  <c r="C17" i="2893" s="1"/>
  <c r="H17" i="2893"/>
  <c r="C15" i="2893"/>
  <c r="H16" i="2893"/>
  <c r="C14" i="2893"/>
  <c r="H15" i="2893"/>
  <c r="C13" i="2893"/>
  <c r="H14" i="2893"/>
  <c r="C12" i="2893"/>
  <c r="H5" i="2893"/>
  <c r="C11" i="2893"/>
  <c r="H13" i="2893"/>
  <c r="C10" i="2893"/>
  <c r="H12" i="2893"/>
  <c r="C9" i="2893"/>
  <c r="H10" i="2893"/>
  <c r="C8" i="2893"/>
  <c r="N7" i="2893"/>
  <c r="H6" i="2893"/>
  <c r="C7" i="2893"/>
  <c r="N6" i="2893"/>
  <c r="H3" i="2893"/>
  <c r="B6" i="2893"/>
  <c r="N5" i="2893"/>
  <c r="H7" i="2893"/>
  <c r="B5" i="2893"/>
  <c r="N4" i="2893"/>
  <c r="H9" i="2893"/>
  <c r="N3" i="2893"/>
  <c r="H4" i="2893"/>
  <c r="N2" i="2893"/>
  <c r="H2" i="2893"/>
  <c r="C16" i="2893" l="1"/>
  <c r="C18" i="2893"/>
  <c r="B20" i="2893"/>
  <c r="H51" i="2892" l="1"/>
  <c r="H50" i="2892"/>
  <c r="H49" i="2892"/>
  <c r="H48" i="2892"/>
  <c r="H47" i="2892"/>
  <c r="H46" i="2892"/>
  <c r="H45" i="2892"/>
  <c r="H44" i="2892"/>
  <c r="H43" i="2892"/>
  <c r="H42" i="2892"/>
  <c r="H41" i="2892"/>
  <c r="H40" i="2892"/>
  <c r="H39" i="2892"/>
  <c r="H38" i="2892"/>
  <c r="H37" i="2892"/>
  <c r="H36" i="2892"/>
  <c r="H35" i="2892"/>
  <c r="H34" i="2892"/>
  <c r="H17" i="2892"/>
  <c r="H33" i="2892"/>
  <c r="H32" i="2892"/>
  <c r="H31" i="2892"/>
  <c r="H13" i="2892"/>
  <c r="H30" i="2892"/>
  <c r="H29" i="2892"/>
  <c r="C27" i="2892"/>
  <c r="H12" i="2892"/>
  <c r="H28" i="2892"/>
  <c r="H27" i="2892"/>
  <c r="H11" i="2892"/>
  <c r="C23" i="2892"/>
  <c r="H26" i="2892"/>
  <c r="C22" i="2892"/>
  <c r="H14" i="2892"/>
  <c r="B21" i="2892"/>
  <c r="H25" i="2892"/>
  <c r="H24" i="2892"/>
  <c r="C19" i="2892"/>
  <c r="H23" i="2892"/>
  <c r="H16" i="2892"/>
  <c r="H22" i="2892"/>
  <c r="B16" i="2892"/>
  <c r="B20" i="2892" s="1"/>
  <c r="H21" i="2892"/>
  <c r="C15" i="2892"/>
  <c r="H20" i="2892"/>
  <c r="C14" i="2892"/>
  <c r="H19" i="2892"/>
  <c r="C13" i="2892"/>
  <c r="H18" i="2892"/>
  <c r="C12" i="2892"/>
  <c r="H4" i="2892"/>
  <c r="C11" i="2892"/>
  <c r="H15" i="2892"/>
  <c r="C10" i="2892"/>
  <c r="H9" i="2892"/>
  <c r="C9" i="2892"/>
  <c r="H8" i="2892"/>
  <c r="C8" i="2892"/>
  <c r="N7" i="2892"/>
  <c r="H7" i="2892"/>
  <c r="C7" i="2892"/>
  <c r="N6" i="2892"/>
  <c r="H3" i="2892"/>
  <c r="B6" i="2892"/>
  <c r="N5" i="2892"/>
  <c r="H6" i="2892"/>
  <c r="B5" i="2892"/>
  <c r="N4" i="2892"/>
  <c r="H2" i="2892"/>
  <c r="N3" i="2892"/>
  <c r="H10" i="2892"/>
  <c r="N2" i="2892"/>
  <c r="H5" i="2892"/>
  <c r="H51" i="2891"/>
  <c r="H50" i="2891"/>
  <c r="H49" i="2891"/>
  <c r="H48" i="2891"/>
  <c r="H47" i="2891"/>
  <c r="H46" i="2891"/>
  <c r="H45" i="2891"/>
  <c r="H44" i="2891"/>
  <c r="H43" i="2891"/>
  <c r="H42" i="2891"/>
  <c r="H41" i="2891"/>
  <c r="H40" i="2891"/>
  <c r="H39" i="2891"/>
  <c r="H38" i="2891"/>
  <c r="H37" i="2891"/>
  <c r="H36" i="2891"/>
  <c r="H35" i="2891"/>
  <c r="H34" i="2891"/>
  <c r="H33" i="2891"/>
  <c r="H20" i="2891"/>
  <c r="H14" i="2891"/>
  <c r="H32" i="2891"/>
  <c r="H8" i="2891"/>
  <c r="H24" i="2891"/>
  <c r="H23" i="2891"/>
  <c r="C27" i="2891"/>
  <c r="H12" i="2891"/>
  <c r="H19" i="2891"/>
  <c r="H22" i="2891"/>
  <c r="H13" i="2891"/>
  <c r="C23" i="2891"/>
  <c r="H31" i="2891"/>
  <c r="C22" i="2891"/>
  <c r="H15" i="2891"/>
  <c r="B21" i="2891"/>
  <c r="H21" i="2891"/>
  <c r="H30" i="2891"/>
  <c r="C19" i="2891"/>
  <c r="H18" i="2891"/>
  <c r="H17" i="2891"/>
  <c r="H29" i="2891"/>
  <c r="B16" i="2891"/>
  <c r="C17" i="2891" s="1"/>
  <c r="H28" i="2891"/>
  <c r="C15" i="2891"/>
  <c r="H27" i="2891"/>
  <c r="C14" i="2891"/>
  <c r="H26" i="2891"/>
  <c r="C13" i="2891"/>
  <c r="H25" i="2891"/>
  <c r="C12" i="2891"/>
  <c r="H5" i="2891"/>
  <c r="C11" i="2891"/>
  <c r="H16" i="2891"/>
  <c r="C10" i="2891"/>
  <c r="H9" i="2891"/>
  <c r="C9" i="2891"/>
  <c r="H10" i="2891"/>
  <c r="C8" i="2891"/>
  <c r="N7" i="2891"/>
  <c r="H6" i="2891"/>
  <c r="C7" i="2891"/>
  <c r="N6" i="2891"/>
  <c r="H2" i="2891"/>
  <c r="B6" i="2891"/>
  <c r="N5" i="2891"/>
  <c r="H7" i="2891"/>
  <c r="B5" i="2891"/>
  <c r="N4" i="2891"/>
  <c r="H3" i="2891"/>
  <c r="N3" i="2891"/>
  <c r="H11" i="2891"/>
  <c r="N2" i="2891"/>
  <c r="H4" i="2891"/>
  <c r="C18" i="2891" l="1"/>
  <c r="C16" i="2892"/>
  <c r="C17" i="2892"/>
  <c r="C18" i="2892"/>
  <c r="B20" i="2891"/>
  <c r="C16" i="2891"/>
  <c r="H51" i="2890" l="1"/>
  <c r="H50" i="2890"/>
  <c r="H49" i="2890"/>
  <c r="H48" i="2890"/>
  <c r="H47" i="2890"/>
  <c r="H46" i="2890"/>
  <c r="H45" i="2890"/>
  <c r="H44" i="2890"/>
  <c r="H43" i="2890"/>
  <c r="H42" i="2890"/>
  <c r="H41" i="2890"/>
  <c r="H40" i="2890"/>
  <c r="H39" i="2890"/>
  <c r="H38" i="2890"/>
  <c r="H37" i="2890"/>
  <c r="H36" i="2890"/>
  <c r="H35" i="2890"/>
  <c r="H34" i="2890"/>
  <c r="H33" i="2890"/>
  <c r="H32" i="2890"/>
  <c r="H31" i="2890"/>
  <c r="H30" i="2890"/>
  <c r="H29" i="2890"/>
  <c r="H28" i="2890"/>
  <c r="H27" i="2890"/>
  <c r="C27" i="2890"/>
  <c r="H26" i="2890"/>
  <c r="H25" i="2890"/>
  <c r="H24" i="2890"/>
  <c r="H23" i="2890"/>
  <c r="C23" i="2890"/>
  <c r="H22" i="2890"/>
  <c r="C22" i="2890"/>
  <c r="H21" i="2890"/>
  <c r="B21" i="2890"/>
  <c r="H20" i="2890"/>
  <c r="H19" i="2890"/>
  <c r="C19" i="2890"/>
  <c r="H18" i="2890"/>
  <c r="H17" i="2890"/>
  <c r="H16" i="2890"/>
  <c r="B16" i="2890"/>
  <c r="C17" i="2890" s="1"/>
  <c r="H15" i="2890"/>
  <c r="C15" i="2890"/>
  <c r="H14" i="2890"/>
  <c r="C14" i="2890"/>
  <c r="H13" i="2890"/>
  <c r="C13" i="2890"/>
  <c r="H12" i="2890"/>
  <c r="C12" i="2890"/>
  <c r="H11" i="2890"/>
  <c r="C11" i="2890"/>
  <c r="H5" i="2890"/>
  <c r="C10" i="2890"/>
  <c r="H10" i="2890"/>
  <c r="C9" i="2890"/>
  <c r="H4" i="2890"/>
  <c r="C8" i="2890"/>
  <c r="N7" i="2890"/>
  <c r="H9" i="2890"/>
  <c r="C7" i="2890"/>
  <c r="N6" i="2890"/>
  <c r="H8" i="2890"/>
  <c r="B6" i="2890"/>
  <c r="N5" i="2890"/>
  <c r="H2" i="2890"/>
  <c r="B5" i="2890"/>
  <c r="N4" i="2890"/>
  <c r="H7" i="2890"/>
  <c r="N3" i="2890"/>
  <c r="H6" i="2890"/>
  <c r="N2" i="2890"/>
  <c r="H3" i="2890"/>
  <c r="H51" i="2889"/>
  <c r="H50" i="2889"/>
  <c r="H49" i="2889"/>
  <c r="H48" i="2889"/>
  <c r="H47" i="2889"/>
  <c r="H46" i="2889"/>
  <c r="H45" i="2889"/>
  <c r="H44" i="2889"/>
  <c r="H43" i="2889"/>
  <c r="H42" i="2889"/>
  <c r="H41" i="2889"/>
  <c r="H40" i="2889"/>
  <c r="H39" i="2889"/>
  <c r="H38" i="2889"/>
  <c r="H37" i="2889"/>
  <c r="H36" i="2889"/>
  <c r="H35" i="2889"/>
  <c r="H34" i="2889"/>
  <c r="H33" i="2889"/>
  <c r="H32" i="2889"/>
  <c r="H31" i="2889"/>
  <c r="H30" i="2889"/>
  <c r="H29" i="2889"/>
  <c r="H28" i="2889"/>
  <c r="H27" i="2889"/>
  <c r="C27" i="2889"/>
  <c r="H26" i="2889"/>
  <c r="H25" i="2889"/>
  <c r="H24" i="2889"/>
  <c r="H23" i="2889"/>
  <c r="C23" i="2889"/>
  <c r="H22" i="2889"/>
  <c r="C22" i="2889"/>
  <c r="H21" i="2889"/>
  <c r="B21" i="2889"/>
  <c r="H20" i="2889"/>
  <c r="H19" i="2889"/>
  <c r="C19" i="2889"/>
  <c r="H18" i="2889"/>
  <c r="H17" i="2889"/>
  <c r="H16" i="2889"/>
  <c r="B16" i="2889"/>
  <c r="C17" i="2889" s="1"/>
  <c r="H15" i="2889"/>
  <c r="C15" i="2889"/>
  <c r="H14" i="2889"/>
  <c r="C14" i="2889"/>
  <c r="H13" i="2889"/>
  <c r="C13" i="2889"/>
  <c r="H12" i="2889"/>
  <c r="C12" i="2889"/>
  <c r="H11" i="2889"/>
  <c r="C11" i="2889"/>
  <c r="H10" i="2889"/>
  <c r="C10" i="2889"/>
  <c r="H9" i="2889"/>
  <c r="C9" i="2889"/>
  <c r="H8" i="2889"/>
  <c r="C8" i="2889"/>
  <c r="N7" i="2889"/>
  <c r="H7" i="2889"/>
  <c r="C7" i="2889"/>
  <c r="N6" i="2889"/>
  <c r="H6" i="2889"/>
  <c r="B6" i="2889"/>
  <c r="N5" i="2889"/>
  <c r="H5" i="2889"/>
  <c r="B5" i="2889"/>
  <c r="N4" i="2889"/>
  <c r="H4" i="2889"/>
  <c r="N3" i="2889"/>
  <c r="H3" i="2889"/>
  <c r="N2" i="2889"/>
  <c r="H2" i="2889"/>
  <c r="H51" i="2888"/>
  <c r="H50" i="2888"/>
  <c r="H49" i="2888"/>
  <c r="H48" i="2888"/>
  <c r="H47" i="2888"/>
  <c r="H28" i="2888"/>
  <c r="H46" i="2888"/>
  <c r="H45" i="2888"/>
  <c r="H44" i="2888"/>
  <c r="H43" i="2888"/>
  <c r="H42" i="2888"/>
  <c r="H41" i="2888"/>
  <c r="H40" i="2888"/>
  <c r="H39" i="2888"/>
  <c r="H38" i="2888"/>
  <c r="H37" i="2888"/>
  <c r="H27" i="2888"/>
  <c r="H36" i="2888"/>
  <c r="H35" i="2888"/>
  <c r="H22" i="2888"/>
  <c r="H21" i="2888"/>
  <c r="H26" i="2888"/>
  <c r="H8" i="2888"/>
  <c r="H34" i="2888"/>
  <c r="H20" i="2888"/>
  <c r="C27" i="2888"/>
  <c r="H13" i="2888"/>
  <c r="H25" i="2888"/>
  <c r="H33" i="2888"/>
  <c r="H14" i="2888"/>
  <c r="C23" i="2888"/>
  <c r="H32" i="2888"/>
  <c r="C22" i="2888"/>
  <c r="H15" i="2888"/>
  <c r="B21" i="2888"/>
  <c r="H31" i="2888"/>
  <c r="H30" i="2888"/>
  <c r="C19" i="2888"/>
  <c r="H19" i="2888"/>
  <c r="H24" i="2888"/>
  <c r="H17" i="2888"/>
  <c r="B16" i="2888"/>
  <c r="C17" i="2888" s="1"/>
  <c r="H29" i="2888"/>
  <c r="C15" i="2888"/>
  <c r="H18" i="2888"/>
  <c r="C14" i="2888"/>
  <c r="H23" i="2888"/>
  <c r="C13" i="2888"/>
  <c r="H16" i="2888"/>
  <c r="C12" i="2888"/>
  <c r="H4" i="2888"/>
  <c r="C11" i="2888"/>
  <c r="H12" i="2888"/>
  <c r="C10" i="2888"/>
  <c r="H11" i="2888"/>
  <c r="C9" i="2888"/>
  <c r="H9" i="2888"/>
  <c r="C8" i="2888"/>
  <c r="N7" i="2888"/>
  <c r="H6" i="2888"/>
  <c r="C7" i="2888"/>
  <c r="N6" i="2888"/>
  <c r="H2" i="2888"/>
  <c r="B6" i="2888"/>
  <c r="N5" i="2888"/>
  <c r="H7" i="2888"/>
  <c r="B5" i="2888"/>
  <c r="N4" i="2888"/>
  <c r="H3" i="2888"/>
  <c r="N3" i="2888"/>
  <c r="H10" i="2888"/>
  <c r="N2" i="2888"/>
  <c r="H5" i="2888"/>
  <c r="C16" i="2889" l="1"/>
  <c r="C16" i="2890"/>
  <c r="C18" i="2890"/>
  <c r="B20" i="2890"/>
  <c r="C18" i="2889"/>
  <c r="B20" i="2889"/>
  <c r="C16" i="2888"/>
  <c r="C18" i="2888"/>
  <c r="B20" i="2888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2" i="2416"/>
  <c r="D46" i="2416"/>
  <c r="D45" i="2416"/>
  <c r="D44" i="2416"/>
  <c r="D43" i="2416"/>
  <c r="D42" i="2416"/>
  <c r="D41" i="2416"/>
  <c r="D40" i="2416"/>
  <c r="D39" i="2416"/>
  <c r="D38" i="2416"/>
  <c r="D37" i="2416"/>
  <c r="D30" i="2416"/>
  <c r="D36" i="2416"/>
  <c r="D26" i="2416"/>
  <c r="D22" i="2416"/>
  <c r="D17" i="2416"/>
  <c r="D29" i="2416"/>
  <c r="D8" i="2416"/>
  <c r="D31" i="2416"/>
  <c r="D24" i="2416"/>
  <c r="D12" i="2416"/>
  <c r="D23" i="2416"/>
  <c r="D25" i="2416"/>
  <c r="D14" i="2416"/>
  <c r="D35" i="2416"/>
  <c r="D16" i="2416"/>
  <c r="D28" i="2416"/>
  <c r="D34" i="2416"/>
  <c r="D18" i="2416"/>
  <c r="D15" i="2416"/>
  <c r="D20" i="2416"/>
  <c r="D33" i="2416"/>
  <c r="D21" i="2416"/>
  <c r="D27" i="2416"/>
  <c r="D19" i="2416"/>
  <c r="D4" i="2416"/>
  <c r="D13" i="2416"/>
  <c r="D11" i="2416"/>
  <c r="D9" i="2416"/>
  <c r="D6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<sst xmlns="http://schemas.openxmlformats.org/spreadsheetml/2006/main" count="2441" uniqueCount="231">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</sst>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だいち!$K$2:$K$166</c:f>
              <c:numCache>
                <c:formatCode>\+0;\-0;\±0</c:formatCode>
                <c:ptCount val="16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1-4701-BA89-DD12F5B06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1076.25</c:v>
                </c:pt>
                <c:pt idx="1">
                  <c:v>1101.9607843137255</c:v>
                </c:pt>
                <c:pt idx="2">
                  <c:v>1217.7304964539007</c:v>
                </c:pt>
                <c:pt idx="3">
                  <c:v>1270.0787401574803</c:v>
                </c:pt>
                <c:pt idx="4">
                  <c:v>1126.851851851852</c:v>
                </c:pt>
                <c:pt idx="5">
                  <c:v>1486.9047619047619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A-4380-A341-B00DB045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C28-AA7B-3375B5790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99-47B1-B3C9-CC447DD88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9-4CDB-8492-B91C18A11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B-4E6E-8BA5-BB1E163AC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りくと!$K$2:$K$108</c:f>
              <c:numCache>
                <c:formatCode>\+0;\-0;\±0</c:formatCode>
                <c:ptCount val="10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2-4A20-A17A-198DB59CC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-603.84615384615381</c:v>
                </c:pt>
                <c:pt idx="1">
                  <c:v>-2044</c:v>
                </c:pt>
                <c:pt idx="2">
                  <c:v>2568.0412371134021</c:v>
                </c:pt>
                <c:pt idx="3">
                  <c:v>-1325.5813953488373</c:v>
                </c:pt>
                <c:pt idx="4">
                  <c:v>-2777.4647887323945</c:v>
                </c:pt>
                <c:pt idx="5">
                  <c:v>-2628.5714285714284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7-4B3B-913D-17603724E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2-4EC9-BF71-C008EBA2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B-4C8F-8C6D-BAA29ACA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3B-4AC9-AD8C-1BC2CECCE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9-4A64-8DF5-376BB001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  <c:pt idx="48">
                  <c:v>-297.89999999999998</c:v>
                </c:pt>
                <c:pt idx="49">
                  <c:v>-358.2</c:v>
                </c:pt>
                <c:pt idx="50">
                  <c:v>-374.09999999999997</c:v>
                </c:pt>
                <c:pt idx="51">
                  <c:v>-368.09999999999997</c:v>
                </c:pt>
                <c:pt idx="52">
                  <c:v>-389.09999999999997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4D-4CC3-AB7F-4F8C9AC54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9-4918-999C-DF67B7CB5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  <c:pt idx="52">
                  <c:v>177.19999999999996</c:v>
                </c:pt>
                <c:pt idx="53">
                  <c:v>176.79999999999995</c:v>
                </c:pt>
                <c:pt idx="54">
                  <c:v>194.89999999999995</c:v>
                </c:pt>
                <c:pt idx="55">
                  <c:v>217.69999999999996</c:v>
                </c:pt>
                <c:pt idx="56">
                  <c:v>204.89999999999995</c:v>
                </c:pt>
                <c:pt idx="57">
                  <c:v>240.89999999999995</c:v>
                </c:pt>
                <c:pt idx="58">
                  <c:v>191.79999999999995</c:v>
                </c:pt>
                <c:pt idx="59">
                  <c:v>189.19999999999996</c:v>
                </c:pt>
                <c:pt idx="60">
                  <c:v>201.69999999999996</c:v>
                </c:pt>
                <c:pt idx="61">
                  <c:v>213.99999999999997</c:v>
                </c:pt>
                <c:pt idx="62">
                  <c:v>214.89999999999998</c:v>
                </c:pt>
                <c:pt idx="63">
                  <c:v>211.09999999999997</c:v>
                </c:pt>
                <c:pt idx="64">
                  <c:v>199.19999999999996</c:v>
                </c:pt>
                <c:pt idx="65">
                  <c:v>181.69999999999996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F-42E4-9A59-8978DB391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3293.6507936507937</c:v>
                </c:pt>
                <c:pt idx="1">
                  <c:v>262.71186440677968</c:v>
                </c:pt>
                <c:pt idx="2">
                  <c:v>475.92592592592592</c:v>
                </c:pt>
                <c:pt idx="3">
                  <c:v>-1382.3529411764705</c:v>
                </c:pt>
                <c:pt idx="4">
                  <c:v>-47.61904761904762</c:v>
                </c:pt>
                <c:pt idx="5">
                  <c:v>-951.35135135135135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7-44FC-8233-33186221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27-4007-80B6-3078D493D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333-8D58-E435CD82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4B-407E-8499-26539C61C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5-40E1-BAAC-E7DD0C41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AC1-990D-69117A0F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C-4E3C-BCC6-1F7B9E497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5D-45B7-8EDC-37BD21215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8-4355-B735-F7621A5EC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192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224</v>
      </c>
      <c r="AE1" s="85"/>
      <c r="AF1" s="84" t="s">
        <v>180</v>
      </c>
      <c r="AG1" s="85"/>
      <c r="AH1" s="84" t="s">
        <v>203</v>
      </c>
      <c r="AI1" s="85"/>
      <c r="AJ1" s="84" t="s">
        <v>204</v>
      </c>
      <c r="AK1" s="85"/>
    </row>
    <row r="2" spans="1:37" x14ac:dyDescent="0.4">
      <c r="A2" s="8">
        <v>1</v>
      </c>
      <c r="B2" s="9" t="s">
        <v>137</v>
      </c>
      <c r="C2" s="11">
        <v>956.4000000000002</v>
      </c>
      <c r="D2" s="10" t="s">
        <v>194</v>
      </c>
      <c r="E2" s="11">
        <v>17.8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250.50000000000003</v>
      </c>
      <c r="D3" s="1" t="s">
        <v>156</v>
      </c>
      <c r="E3" s="3">
        <v>7.5578947368421066</v>
      </c>
      <c r="F3" s="1" t="s">
        <v>137</v>
      </c>
      <c r="G3" s="5">
        <v>1.7987804878048781</v>
      </c>
      <c r="H3" s="1" t="s">
        <v>137</v>
      </c>
      <c r="I3" s="18">
        <v>0.42682926829268292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11244.497607655503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145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0.48823529411764705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181.69999999999996</v>
      </c>
      <c r="D4" s="1" t="s">
        <v>137</v>
      </c>
      <c r="E4" s="3">
        <v>5.8317073170731719</v>
      </c>
      <c r="F4" s="1" t="s">
        <v>156</v>
      </c>
      <c r="G4" s="5">
        <v>1.8421052631578947</v>
      </c>
      <c r="H4" s="1" t="s">
        <v>156</v>
      </c>
      <c r="I4" s="18">
        <v>0.42105263157894735</v>
      </c>
      <c r="J4" s="1" t="s">
        <v>137</v>
      </c>
      <c r="K4" s="16">
        <v>0.35020408163265304</v>
      </c>
      <c r="L4" s="1" t="s">
        <v>137</v>
      </c>
      <c r="M4" s="16">
        <v>0.14448979591836736</v>
      </c>
      <c r="N4" s="1" t="s">
        <v>160</v>
      </c>
      <c r="O4" s="2">
        <v>10600</v>
      </c>
      <c r="P4" s="1" t="s">
        <v>138</v>
      </c>
      <c r="Q4" s="2">
        <v>-8240</v>
      </c>
      <c r="R4" s="1" t="s">
        <v>137</v>
      </c>
      <c r="S4" s="18">
        <v>0.10975609756097561</v>
      </c>
      <c r="T4" s="1" t="s">
        <v>194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0.64055299539170507</v>
      </c>
      <c r="AB4" s="1" t="s">
        <v>160</v>
      </c>
      <c r="AC4" s="16">
        <v>0.38144329896907214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156</v>
      </c>
      <c r="C5" s="3">
        <v>143.60000000000002</v>
      </c>
      <c r="D5" s="1" t="s">
        <v>142</v>
      </c>
      <c r="E5" s="3">
        <v>4.6388888888888893</v>
      </c>
      <c r="F5" s="1" t="s">
        <v>142</v>
      </c>
      <c r="G5" s="5">
        <v>1.8888888888888888</v>
      </c>
      <c r="H5" s="1" t="s">
        <v>149</v>
      </c>
      <c r="I5" s="18">
        <v>0.38461538461538464</v>
      </c>
      <c r="J5" s="1" t="s">
        <v>156</v>
      </c>
      <c r="K5" s="16">
        <v>0.32214765100671139</v>
      </c>
      <c r="L5" s="1" t="s">
        <v>142</v>
      </c>
      <c r="M5" s="16">
        <v>0.15844155844155844</v>
      </c>
      <c r="N5" s="1" t="s">
        <v>149</v>
      </c>
      <c r="O5" s="2">
        <v>10388.050314465409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137</v>
      </c>
      <c r="U5" s="18">
        <v>0.1951219512195122</v>
      </c>
      <c r="V5" s="1" t="s">
        <v>149</v>
      </c>
      <c r="W5" s="16">
        <v>0.3324175824175824</v>
      </c>
      <c r="X5" s="1" t="s">
        <v>149</v>
      </c>
      <c r="Y5" s="16">
        <v>0.23076923076923078</v>
      </c>
      <c r="Z5" s="1" t="s">
        <v>149</v>
      </c>
      <c r="AA5" s="16">
        <v>0.6198347107438017</v>
      </c>
      <c r="AB5" s="1" t="s">
        <v>141</v>
      </c>
      <c r="AC5" s="16">
        <v>0.38</v>
      </c>
      <c r="AD5" s="1" t="s">
        <v>148</v>
      </c>
      <c r="AE5" s="16">
        <v>0.44230769230769229</v>
      </c>
      <c r="AF5" s="1" t="s">
        <v>137</v>
      </c>
      <c r="AG5" s="16">
        <v>0.41549295774647887</v>
      </c>
      <c r="AH5" s="1" t="s">
        <v>142</v>
      </c>
      <c r="AI5" s="77">
        <v>7</v>
      </c>
      <c r="AJ5" s="1" t="s">
        <v>148</v>
      </c>
      <c r="AK5" s="81">
        <v>2</v>
      </c>
    </row>
    <row r="6" spans="1:37" x14ac:dyDescent="0.4">
      <c r="A6" s="7">
        <v>5</v>
      </c>
      <c r="B6" s="6" t="s">
        <v>194</v>
      </c>
      <c r="C6" s="3">
        <v>89</v>
      </c>
      <c r="D6" s="1" t="s">
        <v>149</v>
      </c>
      <c r="E6" s="3">
        <v>2.7953846153846147</v>
      </c>
      <c r="F6" s="1" t="s">
        <v>149</v>
      </c>
      <c r="G6" s="5">
        <v>1.9076923076923078</v>
      </c>
      <c r="H6" s="1" t="s">
        <v>142</v>
      </c>
      <c r="I6" s="18">
        <v>0.35185185185185186</v>
      </c>
      <c r="J6" s="1" t="s">
        <v>149</v>
      </c>
      <c r="K6" s="16">
        <v>0.31991951710261568</v>
      </c>
      <c r="L6" s="1" t="s">
        <v>149</v>
      </c>
      <c r="M6" s="16">
        <v>0.15895372233400401</v>
      </c>
      <c r="N6" s="1" t="s">
        <v>137</v>
      </c>
      <c r="O6" s="2">
        <v>9893.0069930069931</v>
      </c>
      <c r="P6" s="1" t="s">
        <v>148</v>
      </c>
      <c r="Q6" s="2">
        <v>-9117.2839506172841</v>
      </c>
      <c r="R6" s="1" t="s">
        <v>149</v>
      </c>
      <c r="S6" s="18">
        <v>0.13846153846153847</v>
      </c>
      <c r="T6" s="1" t="s">
        <v>142</v>
      </c>
      <c r="U6" s="18">
        <v>0.18518518518518517</v>
      </c>
      <c r="V6" s="1" t="s">
        <v>160</v>
      </c>
      <c r="W6" s="16">
        <v>0.29464285714285715</v>
      </c>
      <c r="X6" s="1" t="s">
        <v>156</v>
      </c>
      <c r="Y6" s="16">
        <v>0.22388059701492538</v>
      </c>
      <c r="Z6" s="1" t="s">
        <v>194</v>
      </c>
      <c r="AA6" s="16">
        <v>0.6</v>
      </c>
      <c r="AB6" s="1" t="s">
        <v>148</v>
      </c>
      <c r="AC6" s="16">
        <v>0.3728813559322034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160</v>
      </c>
      <c r="AI6" s="77">
        <v>7</v>
      </c>
      <c r="AJ6" s="1" t="s">
        <v>137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195</v>
      </c>
      <c r="E7" s="3">
        <v>-3.1578947368421053</v>
      </c>
      <c r="F7" s="1" t="s">
        <v>141</v>
      </c>
      <c r="G7" s="5">
        <v>2.141509433962264</v>
      </c>
      <c r="H7" s="1" t="s">
        <v>141</v>
      </c>
      <c r="I7" s="18">
        <v>0.28301886792452829</v>
      </c>
      <c r="J7" s="1" t="s">
        <v>160</v>
      </c>
      <c r="K7" s="16">
        <v>0.28041237113402062</v>
      </c>
      <c r="L7" s="1" t="s">
        <v>156</v>
      </c>
      <c r="M7" s="16">
        <v>0.16107382550335569</v>
      </c>
      <c r="N7" s="1" t="s">
        <v>142</v>
      </c>
      <c r="O7" s="2">
        <v>9855.4744525547449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0.18461538461538463</v>
      </c>
      <c r="V7" s="1" t="s">
        <v>141</v>
      </c>
      <c r="W7" s="16">
        <v>0.29401088929219599</v>
      </c>
      <c r="X7" s="1" t="s">
        <v>137</v>
      </c>
      <c r="Y7" s="16">
        <v>0.2230971128608924</v>
      </c>
      <c r="Z7" s="1" t="s">
        <v>160</v>
      </c>
      <c r="AA7" s="16">
        <v>0.58333333333333337</v>
      </c>
      <c r="AB7" s="1" t="s">
        <v>149</v>
      </c>
      <c r="AC7" s="16">
        <v>0.36904761904761907</v>
      </c>
      <c r="AD7" s="1" t="s">
        <v>149</v>
      </c>
      <c r="AE7" s="16">
        <v>0.42767295597484278</v>
      </c>
      <c r="AF7" s="1" t="s">
        <v>149</v>
      </c>
      <c r="AG7" s="16">
        <v>0.36312849162011174</v>
      </c>
      <c r="AH7" s="1" t="s">
        <v>156</v>
      </c>
      <c r="AI7" s="77">
        <v>6</v>
      </c>
      <c r="AJ7" s="1" t="s">
        <v>142</v>
      </c>
      <c r="AK7" s="81">
        <v>1</v>
      </c>
    </row>
    <row r="8" spans="1:37" x14ac:dyDescent="0.4">
      <c r="A8" s="7">
        <v>7</v>
      </c>
      <c r="B8" s="6" t="s">
        <v>195</v>
      </c>
      <c r="C8" s="3">
        <v>-60</v>
      </c>
      <c r="D8" s="1" t="s">
        <v>141</v>
      </c>
      <c r="E8" s="3">
        <v>-4.1367924528301883</v>
      </c>
      <c r="F8" s="1" t="s">
        <v>195</v>
      </c>
      <c r="G8" s="5">
        <v>2.1578947368421053</v>
      </c>
      <c r="H8" s="1" t="s">
        <v>195</v>
      </c>
      <c r="I8" s="18">
        <v>0.26315789473684209</v>
      </c>
      <c r="J8" s="1" t="s">
        <v>145</v>
      </c>
      <c r="K8" s="16">
        <v>0.27027027027027029</v>
      </c>
      <c r="L8" s="1" t="s">
        <v>195</v>
      </c>
      <c r="M8" s="16">
        <v>0.17218543046357615</v>
      </c>
      <c r="N8" s="1" t="s">
        <v>195</v>
      </c>
      <c r="O8" s="2">
        <v>9597.5</v>
      </c>
      <c r="P8" s="1" t="s">
        <v>149</v>
      </c>
      <c r="Q8" s="2">
        <v>-9489.8734177215192</v>
      </c>
      <c r="R8" s="1" t="s">
        <v>195</v>
      </c>
      <c r="S8" s="18">
        <v>0.15789473684210525</v>
      </c>
      <c r="T8" s="1" t="s">
        <v>141</v>
      </c>
      <c r="U8" s="18">
        <v>0.14150943396226415</v>
      </c>
      <c r="V8" s="1" t="s">
        <v>137</v>
      </c>
      <c r="W8" s="16">
        <v>0.28477690288713908</v>
      </c>
      <c r="X8" s="1" t="s">
        <v>160</v>
      </c>
      <c r="Y8" s="16">
        <v>0.21651785714285715</v>
      </c>
      <c r="Z8" s="1" t="s">
        <v>141</v>
      </c>
      <c r="AA8" s="16">
        <v>0.55555555555555558</v>
      </c>
      <c r="AB8" s="1" t="s">
        <v>195</v>
      </c>
      <c r="AC8" s="16">
        <v>0.36206896551724138</v>
      </c>
      <c r="AD8" s="1" t="s">
        <v>141</v>
      </c>
      <c r="AE8" s="16">
        <v>0.41626794258373206</v>
      </c>
      <c r="AF8" s="1" t="s">
        <v>148</v>
      </c>
      <c r="AG8" s="16">
        <v>0.35087719298245612</v>
      </c>
      <c r="AH8" s="1" t="s">
        <v>148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-7.4826923076923073</v>
      </c>
      <c r="F9" s="1" t="s">
        <v>145</v>
      </c>
      <c r="G9" s="5">
        <v>2.2000000000000002</v>
      </c>
      <c r="H9" s="1" t="s">
        <v>160</v>
      </c>
      <c r="I9" s="18">
        <v>0.22580645161290322</v>
      </c>
      <c r="J9" s="1" t="s">
        <v>195</v>
      </c>
      <c r="K9" s="16">
        <v>0.26490066225165565</v>
      </c>
      <c r="L9" s="1" t="s">
        <v>141</v>
      </c>
      <c r="M9" s="16">
        <v>0.19458128078817735</v>
      </c>
      <c r="N9" s="1" t="s">
        <v>148</v>
      </c>
      <c r="O9" s="2">
        <v>9467.3076923076915</v>
      </c>
      <c r="P9" s="1" t="s">
        <v>137</v>
      </c>
      <c r="Q9" s="2">
        <v>-9502.2598870056499</v>
      </c>
      <c r="R9" s="1" t="s">
        <v>141</v>
      </c>
      <c r="S9" s="18">
        <v>0.20754716981132076</v>
      </c>
      <c r="T9" s="1" t="s">
        <v>148</v>
      </c>
      <c r="U9" s="18">
        <v>0.13461538461538461</v>
      </c>
      <c r="V9" s="1" t="s">
        <v>145</v>
      </c>
      <c r="W9" s="16">
        <v>0.25806451612903225</v>
      </c>
      <c r="X9" s="1" t="s">
        <v>141</v>
      </c>
      <c r="Y9" s="16">
        <v>0.18148820326678766</v>
      </c>
      <c r="Z9" s="1" t="s">
        <v>156</v>
      </c>
      <c r="AA9" s="16">
        <v>0.53846153846153844</v>
      </c>
      <c r="AB9" s="1" t="s">
        <v>142</v>
      </c>
      <c r="AC9" s="16">
        <v>0.35416666666666669</v>
      </c>
      <c r="AD9" s="1" t="s">
        <v>137</v>
      </c>
      <c r="AE9" s="16">
        <v>0.37995337995337997</v>
      </c>
      <c r="AF9" s="1" t="s">
        <v>141</v>
      </c>
      <c r="AG9" s="16">
        <v>0.31007751937984496</v>
      </c>
      <c r="AH9" s="1" t="s">
        <v>194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-7.945161290322579</v>
      </c>
      <c r="F10" s="1" t="s">
        <v>148</v>
      </c>
      <c r="G10" s="5">
        <v>2.2115384615384617</v>
      </c>
      <c r="H10" s="1" t="s">
        <v>148</v>
      </c>
      <c r="I10" s="18">
        <v>0.21153846153846154</v>
      </c>
      <c r="J10" s="1" t="s">
        <v>141</v>
      </c>
      <c r="K10" s="16">
        <v>0.25738916256157635</v>
      </c>
      <c r="L10" s="1" t="s">
        <v>148</v>
      </c>
      <c r="M10" s="16">
        <v>0.2</v>
      </c>
      <c r="N10" s="1" t="s">
        <v>194</v>
      </c>
      <c r="O10" s="2">
        <v>9227.7777777777774</v>
      </c>
      <c r="P10" s="1" t="s">
        <v>160</v>
      </c>
      <c r="Q10" s="2">
        <v>-9648.6956521739139</v>
      </c>
      <c r="R10" s="1" t="s">
        <v>160</v>
      </c>
      <c r="S10" s="18">
        <v>0.20967741935483872</v>
      </c>
      <c r="T10" s="1" t="s">
        <v>195</v>
      </c>
      <c r="U10" s="18">
        <v>0.10526315789473684</v>
      </c>
      <c r="V10" s="1" t="s">
        <v>148</v>
      </c>
      <c r="W10" s="16">
        <v>0.23853211009174313</v>
      </c>
      <c r="X10" s="1" t="s">
        <v>145</v>
      </c>
      <c r="Y10" s="16">
        <v>0.16129032258064516</v>
      </c>
      <c r="Z10" s="1" t="s">
        <v>195</v>
      </c>
      <c r="AA10" s="16">
        <v>0.51851851851851849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160</v>
      </c>
      <c r="AG10" s="16">
        <v>0.30463576158940397</v>
      </c>
      <c r="AH10" s="1" t="s">
        <v>195</v>
      </c>
      <c r="AI10" s="77">
        <v>5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-389.09999999999997</v>
      </c>
      <c r="D11" s="1" t="s">
        <v>139</v>
      </c>
      <c r="E11" s="3">
        <v>-8.8333333333333339</v>
      </c>
      <c r="F11" s="1" t="s">
        <v>160</v>
      </c>
      <c r="G11" s="5">
        <v>2.2419354838709675</v>
      </c>
      <c r="H11" s="1" t="s">
        <v>145</v>
      </c>
      <c r="I11" s="18">
        <v>0.2</v>
      </c>
      <c r="J11" s="1" t="s">
        <v>148</v>
      </c>
      <c r="K11" s="16">
        <v>0.25679012345679014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-10058.227848101265</v>
      </c>
      <c r="R11" s="1" t="s">
        <v>148</v>
      </c>
      <c r="S11" s="18">
        <v>0.21153846153846154</v>
      </c>
      <c r="T11" s="1" t="s">
        <v>160</v>
      </c>
      <c r="U11" s="18">
        <v>9.6774193548387094E-2</v>
      </c>
      <c r="V11" s="1" t="s">
        <v>142</v>
      </c>
      <c r="W11" s="16">
        <v>0.22448979591836735</v>
      </c>
      <c r="X11" s="1" t="s">
        <v>194</v>
      </c>
      <c r="Y11" s="16">
        <v>0.13043478260869565</v>
      </c>
      <c r="Z11" s="1" t="s">
        <v>148</v>
      </c>
      <c r="AA11" s="16">
        <v>0.40384615384615385</v>
      </c>
      <c r="AB11" s="1" t="s">
        <v>156</v>
      </c>
      <c r="AC11" s="16">
        <v>0.2</v>
      </c>
      <c r="AD11" s="1" t="s">
        <v>194</v>
      </c>
      <c r="AE11" s="16">
        <v>0.27777777777777779</v>
      </c>
      <c r="AF11" s="1" t="s">
        <v>195</v>
      </c>
      <c r="AG11" s="16">
        <v>0.26666666666666666</v>
      </c>
      <c r="AH11" s="1" t="s">
        <v>145</v>
      </c>
      <c r="AI11" s="77">
        <v>3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-438.49999999999994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0.23711340206185566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195</v>
      </c>
      <c r="W12" s="16">
        <v>0.17880794701986755</v>
      </c>
      <c r="X12" s="1" t="s">
        <v>138</v>
      </c>
      <c r="Y12" s="16">
        <v>0</v>
      </c>
      <c r="Z12" s="1" t="s">
        <v>139</v>
      </c>
      <c r="AA12" s="16">
        <v>0.2</v>
      </c>
      <c r="AB12" s="1" t="s">
        <v>138</v>
      </c>
      <c r="AC12" s="16">
        <v>0</v>
      </c>
      <c r="AD12" s="1" t="s">
        <v>195</v>
      </c>
      <c r="AE12" s="16">
        <v>0.27500000000000002</v>
      </c>
      <c r="AF12" s="1" t="s">
        <v>138</v>
      </c>
      <c r="AG12" s="16">
        <v>0</v>
      </c>
      <c r="AH12" s="1" t="s">
        <v>139</v>
      </c>
      <c r="AI12" s="77">
        <v>2</v>
      </c>
      <c r="AJ12" s="1" t="s">
        <v>194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-492.59999999999991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138</v>
      </c>
      <c r="W13" s="16">
        <v>0</v>
      </c>
      <c r="X13" s="1" t="s">
        <v>139</v>
      </c>
      <c r="Y13" s="16">
        <v>0</v>
      </c>
      <c r="Z13" s="1" t="s">
        <v>138</v>
      </c>
      <c r="AA13" s="16">
        <v>0</v>
      </c>
      <c r="AB13" s="1" t="s">
        <v>139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138</v>
      </c>
      <c r="AI13" s="77">
        <v>0</v>
      </c>
      <c r="AJ13" s="1" t="s">
        <v>195</v>
      </c>
      <c r="AK13" s="81">
        <v>0</v>
      </c>
    </row>
  </sheetData>
  <sortState ref="AJ2:AK30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193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853</v>
      </c>
    </row>
    <row r="2" spans="1:7" x14ac:dyDescent="0.4">
      <c r="A2" s="67" t="s">
        <v>73</v>
      </c>
      <c r="B2" s="63" t="s">
        <v>27</v>
      </c>
      <c r="C2" s="49">
        <v>767</v>
      </c>
      <c r="D2" s="24">
        <f>IF(G$1=0,0,C2/G$1)</f>
        <v>0.89917936694021106</v>
      </c>
    </row>
    <row r="3" spans="1:7" x14ac:dyDescent="0.4">
      <c r="A3" s="68" t="s">
        <v>71</v>
      </c>
      <c r="B3" s="64" t="s">
        <v>25</v>
      </c>
      <c r="C3" s="50">
        <v>605</v>
      </c>
      <c r="D3" s="27">
        <f>IF(G$1=0,0,C3/G$1)</f>
        <v>0.70926143024618993</v>
      </c>
    </row>
    <row r="4" spans="1:7" x14ac:dyDescent="0.4">
      <c r="A4" s="68" t="s">
        <v>78</v>
      </c>
      <c r="B4" s="64" t="s">
        <v>31</v>
      </c>
      <c r="C4" s="50">
        <v>503</v>
      </c>
      <c r="D4" s="27">
        <f>IF(G$1=0,0,C4/G$1)</f>
        <v>0.58968347010550992</v>
      </c>
    </row>
    <row r="5" spans="1:7" x14ac:dyDescent="0.4">
      <c r="A5" s="68" t="s">
        <v>200</v>
      </c>
      <c r="B5" s="64" t="s">
        <v>23</v>
      </c>
      <c r="C5" s="50">
        <v>461</v>
      </c>
      <c r="D5" s="27">
        <f>IF(G$1=0,0,C5/G$1)</f>
        <v>0.54044548651817115</v>
      </c>
    </row>
    <row r="6" spans="1:7" x14ac:dyDescent="0.4">
      <c r="A6" s="68" t="s">
        <v>74</v>
      </c>
      <c r="B6" s="64" t="s">
        <v>196</v>
      </c>
      <c r="C6" s="50">
        <v>255</v>
      </c>
      <c r="D6" s="27">
        <f>IF(G$1=0,0,C6/G$1)</f>
        <v>0.2989449003516999</v>
      </c>
    </row>
    <row r="7" spans="1:7" x14ac:dyDescent="0.4">
      <c r="A7" s="68" t="s">
        <v>72</v>
      </c>
      <c r="B7" s="64" t="s">
        <v>26</v>
      </c>
      <c r="C7" s="50">
        <v>255</v>
      </c>
      <c r="D7" s="27">
        <f>IF(G$1=0,0,C7/G$1)</f>
        <v>0.2989449003516999</v>
      </c>
    </row>
    <row r="8" spans="1:7" x14ac:dyDescent="0.4">
      <c r="A8" s="68" t="s">
        <v>96</v>
      </c>
      <c r="B8" s="64" t="s">
        <v>49</v>
      </c>
      <c r="C8" s="50">
        <v>128</v>
      </c>
      <c r="D8" s="27">
        <f>IF(G$1=0,0,C8/G$1)</f>
        <v>0.15005861664712777</v>
      </c>
    </row>
    <row r="9" spans="1:7" x14ac:dyDescent="0.4">
      <c r="A9" s="68" t="s">
        <v>75</v>
      </c>
      <c r="B9" s="64" t="s">
        <v>28</v>
      </c>
      <c r="C9" s="50">
        <v>126</v>
      </c>
      <c r="D9" s="27">
        <f>IF(G$1=0,0,C9/G$1)</f>
        <v>0.1477139507620164</v>
      </c>
    </row>
    <row r="10" spans="1:7" x14ac:dyDescent="0.4">
      <c r="A10" s="68" t="s">
        <v>201</v>
      </c>
      <c r="B10" s="64" t="s">
        <v>24</v>
      </c>
      <c r="C10" s="50">
        <v>104</v>
      </c>
      <c r="D10" s="27">
        <f>IF(G$1=0,0,C10/G$1)</f>
        <v>0.12192262602579132</v>
      </c>
    </row>
    <row r="11" spans="1:7" x14ac:dyDescent="0.4">
      <c r="A11" s="68" t="s">
        <v>76</v>
      </c>
      <c r="B11" s="64" t="s">
        <v>29</v>
      </c>
      <c r="C11" s="50">
        <v>81</v>
      </c>
      <c r="D11" s="27">
        <f>IF(G$1=0,0,C11/G$1)</f>
        <v>9.495896834701055E-2</v>
      </c>
    </row>
    <row r="12" spans="1:7" x14ac:dyDescent="0.4">
      <c r="A12" s="68" t="s">
        <v>93</v>
      </c>
      <c r="B12" s="64" t="s">
        <v>46</v>
      </c>
      <c r="C12" s="50">
        <v>59</v>
      </c>
      <c r="D12" s="27">
        <f>IF(G$1=0,0,C12/G$1)</f>
        <v>6.9167643610785465E-2</v>
      </c>
    </row>
    <row r="13" spans="1:7" x14ac:dyDescent="0.4">
      <c r="A13" s="68" t="s">
        <v>77</v>
      </c>
      <c r="B13" s="64" t="s">
        <v>30</v>
      </c>
      <c r="C13" s="50">
        <v>41</v>
      </c>
      <c r="D13" s="27">
        <f>IF(G$1=0,0,C13/G$1)</f>
        <v>4.8065650644783117E-2</v>
      </c>
    </row>
    <row r="14" spans="1:7" x14ac:dyDescent="0.4">
      <c r="A14" s="68" t="s">
        <v>90</v>
      </c>
      <c r="B14" s="64" t="s">
        <v>43</v>
      </c>
      <c r="C14" s="50">
        <v>37</v>
      </c>
      <c r="D14" s="27">
        <f>IF(G$1=0,0,C14/G$1)</f>
        <v>4.3376318874560373E-2</v>
      </c>
    </row>
    <row r="15" spans="1:7" x14ac:dyDescent="0.4">
      <c r="A15" s="68" t="s">
        <v>84</v>
      </c>
      <c r="B15" s="64" t="s">
        <v>37</v>
      </c>
      <c r="C15" s="50">
        <v>25</v>
      </c>
      <c r="D15" s="27">
        <f>IF(G$1=0,0,C15/G$1)</f>
        <v>2.9308323563892145E-2</v>
      </c>
    </row>
    <row r="16" spans="1:7" x14ac:dyDescent="0.4">
      <c r="A16" s="68" t="s">
        <v>88</v>
      </c>
      <c r="B16" s="64" t="s">
        <v>41</v>
      </c>
      <c r="C16" s="50">
        <v>22</v>
      </c>
      <c r="D16" s="27">
        <f>IF(G$1=0,0,C16/G$1)</f>
        <v>2.5791324736225089E-2</v>
      </c>
    </row>
    <row r="17" spans="1:4" x14ac:dyDescent="0.4">
      <c r="A17" s="68" t="s">
        <v>98</v>
      </c>
      <c r="B17" s="64" t="s">
        <v>51</v>
      </c>
      <c r="C17" s="50">
        <v>14</v>
      </c>
      <c r="D17" s="27">
        <f>IF(G$1=0,0,C17/G$1)</f>
        <v>1.6412661195779603E-2</v>
      </c>
    </row>
    <row r="18" spans="1:4" x14ac:dyDescent="0.4">
      <c r="A18" s="68" t="s">
        <v>85</v>
      </c>
      <c r="B18" s="64" t="s">
        <v>38</v>
      </c>
      <c r="C18" s="50">
        <v>11</v>
      </c>
      <c r="D18" s="27">
        <f>IF(G$1=0,0,C18/G$1)</f>
        <v>1.2895662368112544E-2</v>
      </c>
    </row>
    <row r="19" spans="1:4" x14ac:dyDescent="0.4">
      <c r="A19" s="68" t="s">
        <v>79</v>
      </c>
      <c r="B19" s="64" t="s">
        <v>32</v>
      </c>
      <c r="C19" s="50">
        <v>7</v>
      </c>
      <c r="D19" s="27">
        <f>IF(G$1=0,0,C19/G$1)</f>
        <v>8.2063305978898014E-3</v>
      </c>
    </row>
    <row r="20" spans="1:4" x14ac:dyDescent="0.4">
      <c r="A20" s="68" t="s">
        <v>83</v>
      </c>
      <c r="B20" s="64" t="s">
        <v>36</v>
      </c>
      <c r="C20" s="50">
        <v>7</v>
      </c>
      <c r="D20" s="27">
        <f>IF(G$1=0,0,C20/G$1)</f>
        <v>8.2063305978898014E-3</v>
      </c>
    </row>
    <row r="21" spans="1:4" x14ac:dyDescent="0.4">
      <c r="A21" s="68" t="s">
        <v>81</v>
      </c>
      <c r="B21" s="64" t="s">
        <v>34</v>
      </c>
      <c r="C21" s="50">
        <v>5</v>
      </c>
      <c r="D21" s="27">
        <f>IF(G$1=0,0,C21/G$1)</f>
        <v>5.8616647127784291E-3</v>
      </c>
    </row>
    <row r="22" spans="1:4" x14ac:dyDescent="0.4">
      <c r="A22" s="68" t="s">
        <v>99</v>
      </c>
      <c r="B22" s="64" t="s">
        <v>52</v>
      </c>
      <c r="C22" s="50">
        <v>5</v>
      </c>
      <c r="D22" s="27">
        <f>IF(G$1=0,0,C22/G$1)</f>
        <v>5.8616647127784291E-3</v>
      </c>
    </row>
    <row r="23" spans="1:4" x14ac:dyDescent="0.4">
      <c r="A23" s="68" t="s">
        <v>92</v>
      </c>
      <c r="B23" s="64" t="s">
        <v>45</v>
      </c>
      <c r="C23" s="50">
        <v>4</v>
      </c>
      <c r="D23" s="27">
        <f>IF(G$1=0,0,C23/G$1)</f>
        <v>4.6893317702227429E-3</v>
      </c>
    </row>
    <row r="24" spans="1:4" x14ac:dyDescent="0.4">
      <c r="A24" s="68" t="s">
        <v>94</v>
      </c>
      <c r="B24" s="64" t="s">
        <v>47</v>
      </c>
      <c r="C24" s="50">
        <v>3</v>
      </c>
      <c r="D24" s="27">
        <f>IF(G$1=0,0,C24/G$1)</f>
        <v>3.5169988276670576E-3</v>
      </c>
    </row>
    <row r="25" spans="1:4" x14ac:dyDescent="0.4">
      <c r="A25" s="68" t="s">
        <v>91</v>
      </c>
      <c r="B25" s="64" t="s">
        <v>44</v>
      </c>
      <c r="C25" s="50">
        <v>3</v>
      </c>
      <c r="D25" s="27">
        <f>IF(G$1=0,0,C25/G$1)</f>
        <v>3.5169988276670576E-3</v>
      </c>
    </row>
    <row r="26" spans="1:4" x14ac:dyDescent="0.4">
      <c r="A26" s="68" t="s">
        <v>100</v>
      </c>
      <c r="B26" s="64" t="s">
        <v>53</v>
      </c>
      <c r="C26" s="50">
        <v>2</v>
      </c>
      <c r="D26" s="27">
        <f>IF(G$1=0,0,C26/G$1)</f>
        <v>2.3446658851113715E-3</v>
      </c>
    </row>
    <row r="27" spans="1:4" x14ac:dyDescent="0.4">
      <c r="A27" s="68" t="s">
        <v>80</v>
      </c>
      <c r="B27" s="64" t="s">
        <v>33</v>
      </c>
      <c r="C27" s="50">
        <v>2</v>
      </c>
      <c r="D27" s="27">
        <f>IF(G$1=0,0,C27/G$1)</f>
        <v>2.3446658851113715E-3</v>
      </c>
    </row>
    <row r="28" spans="1:4" x14ac:dyDescent="0.4">
      <c r="A28" s="68" t="s">
        <v>87</v>
      </c>
      <c r="B28" s="64" t="s">
        <v>40</v>
      </c>
      <c r="C28" s="50">
        <v>1</v>
      </c>
      <c r="D28" s="27">
        <f>IF(G$1=0,0,C28/G$1)</f>
        <v>1.1723329425556857E-3</v>
      </c>
    </row>
    <row r="29" spans="1:4" x14ac:dyDescent="0.4">
      <c r="A29" s="68" t="s">
        <v>97</v>
      </c>
      <c r="B29" s="64" t="s">
        <v>50</v>
      </c>
      <c r="C29" s="50">
        <v>1</v>
      </c>
      <c r="D29" s="27">
        <f>IF(G$1=0,0,C29/G$1)</f>
        <v>1.1723329425556857E-3</v>
      </c>
    </row>
    <row r="30" spans="1:4" x14ac:dyDescent="0.4">
      <c r="A30" s="68" t="s">
        <v>102</v>
      </c>
      <c r="B30" s="64" t="s">
        <v>55</v>
      </c>
      <c r="C30" s="50">
        <v>1</v>
      </c>
      <c r="D30" s="27">
        <f>IF(G$1=0,0,C30/G$1)</f>
        <v>1.1723329425556857E-3</v>
      </c>
    </row>
    <row r="31" spans="1:4" x14ac:dyDescent="0.4">
      <c r="A31" s="68" t="s">
        <v>95</v>
      </c>
      <c r="B31" s="64" t="s">
        <v>48</v>
      </c>
      <c r="C31" s="50">
        <v>1</v>
      </c>
      <c r="D31" s="27">
        <f>IF(G$1=0,0,C31/G$1)</f>
        <v>1.1723329425556857E-3</v>
      </c>
    </row>
    <row r="32" spans="1:4" x14ac:dyDescent="0.4">
      <c r="A32" s="68" t="s">
        <v>113</v>
      </c>
      <c r="B32" s="64" t="s">
        <v>198</v>
      </c>
      <c r="C32" s="50">
        <v>1</v>
      </c>
      <c r="D32" s="27">
        <f>IF(G$1=0,0,C32/G$1)</f>
        <v>1.1723329425556857E-3</v>
      </c>
    </row>
    <row r="33" spans="1:4" x14ac:dyDescent="0.4">
      <c r="A33" s="68" t="s">
        <v>82</v>
      </c>
      <c r="B33" s="64" t="s">
        <v>35</v>
      </c>
      <c r="C33" s="50">
        <v>0</v>
      </c>
      <c r="D33" s="27">
        <f>IF(G$1=0,0,C33/G$1)</f>
        <v>0</v>
      </c>
    </row>
    <row r="34" spans="1:4" x14ac:dyDescent="0.4">
      <c r="A34" s="68" t="s">
        <v>86</v>
      </c>
      <c r="B34" s="64" t="s">
        <v>39</v>
      </c>
      <c r="C34" s="50">
        <v>0</v>
      </c>
      <c r="D34" s="27">
        <f>IF(G$1=0,0,C34/G$1)</f>
        <v>0</v>
      </c>
    </row>
    <row r="35" spans="1:4" x14ac:dyDescent="0.4">
      <c r="A35" s="68" t="s">
        <v>89</v>
      </c>
      <c r="B35" s="64" t="s">
        <v>42</v>
      </c>
      <c r="C35" s="50">
        <v>0</v>
      </c>
      <c r="D35" s="27">
        <f>IF(G$1=0,0,C35/G$1)</f>
        <v>0</v>
      </c>
    </row>
    <row r="36" spans="1:4" x14ac:dyDescent="0.4">
      <c r="A36" s="68" t="s">
        <v>101</v>
      </c>
      <c r="B36" s="64" t="s">
        <v>54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197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199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6D13-8B9D-4AD0-9DCA-D784D8F7F83A}">
  <sheetPr codeName="Sheet4"/>
  <dimension ref="A1:P16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137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164</v>
      </c>
      <c r="C2" s="87"/>
      <c r="E2" s="67" t="s">
        <v>73</v>
      </c>
      <c r="F2" s="63" t="s">
        <v>27</v>
      </c>
      <c r="G2" s="49">
        <v>244</v>
      </c>
      <c r="H2" s="24">
        <f>IF(B$25=0,0,G2/B$25)</f>
        <v>0.90370370370370368</v>
      </c>
      <c r="J2" s="23">
        <v>0</v>
      </c>
      <c r="K2" s="25">
        <v>0</v>
      </c>
      <c r="M2" s="23" t="s">
        <v>181</v>
      </c>
      <c r="N2" s="44">
        <f t="shared" ref="N2:N7" si="0">IF(P2=0,0,O2/P2)</f>
        <v>1076.25</v>
      </c>
      <c r="O2" s="41">
        <v>172200</v>
      </c>
      <c r="P2" s="39">
        <v>160</v>
      </c>
    </row>
    <row r="3" spans="1:16" x14ac:dyDescent="0.4">
      <c r="A3" s="58" t="s">
        <v>8</v>
      </c>
      <c r="B3" s="94">
        <v>1225</v>
      </c>
      <c r="C3" s="95"/>
      <c r="E3" s="68" t="s">
        <v>71</v>
      </c>
      <c r="F3" s="64" t="s">
        <v>25</v>
      </c>
      <c r="G3" s="50">
        <v>178</v>
      </c>
      <c r="H3" s="27">
        <f>IF(B$25=0,0,G3/B$25)</f>
        <v>0.65925925925925921</v>
      </c>
      <c r="J3" s="26">
        <v>1</v>
      </c>
      <c r="K3" s="28">
        <v>15</v>
      </c>
      <c r="M3" s="26" t="s">
        <v>182</v>
      </c>
      <c r="N3" s="45">
        <f t="shared" si="0"/>
        <v>1101.9607843137255</v>
      </c>
      <c r="O3" s="42">
        <v>168600</v>
      </c>
      <c r="P3" s="37">
        <v>153</v>
      </c>
    </row>
    <row r="4" spans="1:16" x14ac:dyDescent="0.4">
      <c r="A4" s="58" t="s">
        <v>6</v>
      </c>
      <c r="B4" s="96">
        <v>956.4000000000002</v>
      </c>
      <c r="C4" s="97"/>
      <c r="E4" s="68" t="s">
        <v>78</v>
      </c>
      <c r="F4" s="64" t="s">
        <v>31</v>
      </c>
      <c r="G4" s="50">
        <v>153</v>
      </c>
      <c r="H4" s="27">
        <f>IF(B$25=0,0,G4/B$25)</f>
        <v>0.56666666666666665</v>
      </c>
      <c r="J4" s="26">
        <v>2</v>
      </c>
      <c r="K4" s="28">
        <v>14</v>
      </c>
      <c r="M4" s="26" t="s">
        <v>183</v>
      </c>
      <c r="N4" s="45">
        <f t="shared" si="0"/>
        <v>1217.7304964539007</v>
      </c>
      <c r="O4" s="42">
        <v>171700</v>
      </c>
      <c r="P4" s="37">
        <v>141</v>
      </c>
    </row>
    <row r="5" spans="1:16" x14ac:dyDescent="0.4">
      <c r="A5" s="58" t="s">
        <v>7</v>
      </c>
      <c r="B5" s="96">
        <f>IF(B$2=0,0,B$4/B$2)</f>
        <v>5.8317073170731719</v>
      </c>
      <c r="C5" s="97"/>
      <c r="E5" s="68" t="s">
        <v>69</v>
      </c>
      <c r="F5" s="64" t="s">
        <v>23</v>
      </c>
      <c r="G5" s="50">
        <v>136</v>
      </c>
      <c r="H5" s="27">
        <f>IF(B$25=0,0,G5/B$25)</f>
        <v>0.50370370370370365</v>
      </c>
      <c r="J5" s="26">
        <v>3</v>
      </c>
      <c r="K5" s="28">
        <v>29.1</v>
      </c>
      <c r="M5" s="26" t="s">
        <v>184</v>
      </c>
      <c r="N5" s="45">
        <f t="shared" si="0"/>
        <v>1270.0787401574803</v>
      </c>
      <c r="O5" s="42">
        <v>161300</v>
      </c>
      <c r="P5" s="37">
        <v>127</v>
      </c>
    </row>
    <row r="6" spans="1:16" x14ac:dyDescent="0.4">
      <c r="A6" s="58" t="s">
        <v>1</v>
      </c>
      <c r="B6" s="98">
        <f>IF(B$2=0,0,(B$7*1+B$8*2+B$9*3)/B$2)</f>
        <v>1.7987804878048781</v>
      </c>
      <c r="C6" s="99"/>
      <c r="E6" s="68" t="s">
        <v>74</v>
      </c>
      <c r="F6" s="64" t="s">
        <v>12</v>
      </c>
      <c r="G6" s="50">
        <v>75</v>
      </c>
      <c r="H6" s="27">
        <f>IF(B$25=0,0,G6/B$25)</f>
        <v>0.27777777777777779</v>
      </c>
      <c r="J6" s="26">
        <v>4</v>
      </c>
      <c r="K6" s="28">
        <v>114.30000000000001</v>
      </c>
      <c r="M6" s="26" t="s">
        <v>185</v>
      </c>
      <c r="N6" s="45">
        <f t="shared" si="0"/>
        <v>1126.851851851852</v>
      </c>
      <c r="O6" s="42">
        <v>121700</v>
      </c>
      <c r="P6" s="37">
        <v>108</v>
      </c>
    </row>
    <row r="7" spans="1:16" x14ac:dyDescent="0.4">
      <c r="A7" s="58" t="s">
        <v>2</v>
      </c>
      <c r="B7" s="50">
        <v>70</v>
      </c>
      <c r="C7" s="27">
        <f>IF(B$2=0,0,B7/B$2)</f>
        <v>0.42682926829268292</v>
      </c>
      <c r="E7" s="68" t="s">
        <v>72</v>
      </c>
      <c r="F7" s="64" t="s">
        <v>26</v>
      </c>
      <c r="G7" s="50">
        <v>68</v>
      </c>
      <c r="H7" s="27">
        <f>IF(B$25=0,0,G7/B$25)</f>
        <v>0.25185185185185183</v>
      </c>
      <c r="J7" s="26">
        <v>5</v>
      </c>
      <c r="K7" s="28">
        <v>145.80000000000001</v>
      </c>
      <c r="M7" s="31" t="s">
        <v>186</v>
      </c>
      <c r="N7" s="46">
        <f t="shared" si="0"/>
        <v>1486.9047619047619</v>
      </c>
      <c r="O7" s="43">
        <v>124900</v>
      </c>
      <c r="P7" s="38">
        <v>84</v>
      </c>
    </row>
    <row r="8" spans="1:16" x14ac:dyDescent="0.4">
      <c r="A8" s="58" t="s">
        <v>3</v>
      </c>
      <c r="B8" s="50">
        <v>57</v>
      </c>
      <c r="C8" s="27">
        <f t="shared" ref="C8:C9" si="1">IF(B$2=0,0,B8/B$2)</f>
        <v>0.34756097560975607</v>
      </c>
      <c r="E8" s="68" t="s">
        <v>96</v>
      </c>
      <c r="F8" s="64" t="s">
        <v>49</v>
      </c>
      <c r="G8" s="50">
        <v>50</v>
      </c>
      <c r="H8" s="27">
        <f>IF(B$25=0,0,G8/B$25)</f>
        <v>0.18518518518518517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37</v>
      </c>
      <c r="C9" s="29">
        <f t="shared" si="1"/>
        <v>0.22560975609756098</v>
      </c>
      <c r="E9" s="68" t="s">
        <v>75</v>
      </c>
      <c r="F9" s="64" t="s">
        <v>28</v>
      </c>
      <c r="G9" s="50">
        <v>44</v>
      </c>
      <c r="H9" s="27">
        <f>IF(B$25=0,0,G9/B$25)</f>
        <v>0.16296296296296298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0.10975609756097561</v>
      </c>
      <c r="E10" s="68" t="s">
        <v>70</v>
      </c>
      <c r="F10" s="64" t="s">
        <v>24</v>
      </c>
      <c r="G10" s="50">
        <v>28</v>
      </c>
      <c r="H10" s="27">
        <f>IF(B$25=0,0,G10/B$25)</f>
        <v>0.1037037037037037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0.1951219512195122</v>
      </c>
      <c r="E11" s="68" t="s">
        <v>76</v>
      </c>
      <c r="F11" s="64" t="s">
        <v>29</v>
      </c>
      <c r="G11" s="50">
        <v>22</v>
      </c>
      <c r="H11" s="27">
        <f>IF(B$25=0,0,G11/B$25)</f>
        <v>8.1481481481481488E-2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217</v>
      </c>
      <c r="C12" s="35">
        <f>IF(B$24=0,0,B12/B$24)</f>
        <v>0.28477690288713908</v>
      </c>
      <c r="E12" s="68" t="s">
        <v>77</v>
      </c>
      <c r="F12" s="64" t="s">
        <v>30</v>
      </c>
      <c r="G12" s="50">
        <v>17</v>
      </c>
      <c r="H12" s="27">
        <f>IF(B$25=0,0,G12/B$25)</f>
        <v>6.2962962962962957E-2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170</v>
      </c>
      <c r="C13" s="27">
        <f>IF(B$24=0,0,B13/B$24)</f>
        <v>0.2230971128608924</v>
      </c>
      <c r="E13" s="68" t="s">
        <v>93</v>
      </c>
      <c r="F13" s="64" t="s">
        <v>46</v>
      </c>
      <c r="G13" s="50">
        <v>14</v>
      </c>
      <c r="H13" s="27">
        <f>IF(B$25=0,0,G13/B$25)</f>
        <v>5.185185185185185E-2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139</v>
      </c>
      <c r="C14" s="24">
        <f>IF(B$12=0,0,B14/B$12)</f>
        <v>0.64055299539170507</v>
      </c>
      <c r="E14" s="68" t="s">
        <v>90</v>
      </c>
      <c r="F14" s="64" t="s">
        <v>43</v>
      </c>
      <c r="G14" s="50">
        <v>9</v>
      </c>
      <c r="H14" s="27">
        <f>IF(B$25=0,0,G14/B$25)</f>
        <v>3.3333333333333333E-2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83</v>
      </c>
      <c r="C15" s="24">
        <f>IF(B$13=0,0,B15/B$13)</f>
        <v>0.48823529411764705</v>
      </c>
      <c r="E15" s="68" t="s">
        <v>88</v>
      </c>
      <c r="F15" s="64" t="s">
        <v>41</v>
      </c>
      <c r="G15" s="50">
        <v>6</v>
      </c>
      <c r="H15" s="27">
        <f>IF(B$25=0,0,G15/B$25)</f>
        <v>2.2222222222222223E-2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429</v>
      </c>
      <c r="C16" s="24">
        <f>IF(B$3=0,0,B16/B$3)</f>
        <v>0.35020408163265304</v>
      </c>
      <c r="E16" s="68" t="s">
        <v>79</v>
      </c>
      <c r="F16" s="64" t="s">
        <v>32</v>
      </c>
      <c r="G16" s="50">
        <v>3</v>
      </c>
      <c r="H16" s="27">
        <f>IF(B$25=0,0,G16/B$25)</f>
        <v>1.1111111111111112E-2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163</v>
      </c>
      <c r="C17" s="27">
        <f>IF(B$16=0,0,B17/B$16)</f>
        <v>0.37995337995337997</v>
      </c>
      <c r="E17" s="68" t="s">
        <v>83</v>
      </c>
      <c r="F17" s="64" t="s">
        <v>36</v>
      </c>
      <c r="G17" s="50">
        <v>3</v>
      </c>
      <c r="H17" s="27">
        <f>IF(B$25=0,0,G17/B$25)</f>
        <v>1.1111111111111112E-2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266</v>
      </c>
      <c r="C18" s="27">
        <f>IF(B$16=0,0,B18/B$16)</f>
        <v>0.62004662004662003</v>
      </c>
      <c r="E18" s="68" t="s">
        <v>81</v>
      </c>
      <c r="F18" s="64" t="s">
        <v>34</v>
      </c>
      <c r="G18" s="50">
        <v>2</v>
      </c>
      <c r="H18" s="27">
        <f>IF(B$25=0,0,G18/B$25)</f>
        <v>7.4074074074074077E-3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177</v>
      </c>
      <c r="C19" s="27">
        <f>IF(B$3=0,0,B19/B$3)</f>
        <v>0.14448979591836736</v>
      </c>
      <c r="E19" s="68" t="s">
        <v>85</v>
      </c>
      <c r="F19" s="64" t="s">
        <v>38</v>
      </c>
      <c r="G19" s="50">
        <v>2</v>
      </c>
      <c r="H19" s="27">
        <f>IF(B$25=0,0,G19/B$25)</f>
        <v>7.4074074074074077E-3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9893.0069930069931</v>
      </c>
      <c r="C20" s="30">
        <v>4244100</v>
      </c>
      <c r="E20" s="68" t="s">
        <v>94</v>
      </c>
      <c r="F20" s="64" t="s">
        <v>47</v>
      </c>
      <c r="G20" s="50">
        <v>2</v>
      </c>
      <c r="H20" s="27">
        <f>IF(B$25=0,0,G20/B$25)</f>
        <v>7.4074074074074077E-3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-9502.2598870056499</v>
      </c>
      <c r="C21" s="48">
        <v>-1681900</v>
      </c>
      <c r="E21" s="68" t="s">
        <v>98</v>
      </c>
      <c r="F21" s="64" t="s">
        <v>51</v>
      </c>
      <c r="G21" s="50">
        <v>2</v>
      </c>
      <c r="H21" s="27">
        <f>IF(B$25=0,0,G21/B$25)</f>
        <v>7.4074074074074077E-3</v>
      </c>
      <c r="J21" s="26">
        <v>19</v>
      </c>
      <c r="K21" s="28">
        <v>42.600000000000016</v>
      </c>
    </row>
    <row r="22" spans="1:11" x14ac:dyDescent="0.4">
      <c r="A22" s="57" t="s">
        <v>178</v>
      </c>
      <c r="B22" s="49">
        <v>426</v>
      </c>
      <c r="C22" s="24">
        <f>IF(B$3=0,0,B22/B$3)</f>
        <v>0.34775510204081633</v>
      </c>
      <c r="E22" s="68" t="s">
        <v>99</v>
      </c>
      <c r="F22" s="64" t="s">
        <v>52</v>
      </c>
      <c r="G22" s="50">
        <v>2</v>
      </c>
      <c r="H22" s="27">
        <f>IF(B$25=0,0,G22/B$25)</f>
        <v>7.4074074074074077E-3</v>
      </c>
      <c r="J22" s="26">
        <v>20</v>
      </c>
      <c r="K22" s="28">
        <v>68.800000000000011</v>
      </c>
    </row>
    <row r="23" spans="1:11" x14ac:dyDescent="0.4">
      <c r="A23" s="60" t="s">
        <v>179</v>
      </c>
      <c r="B23" s="52">
        <v>177</v>
      </c>
      <c r="C23" s="32">
        <f>IF(B$22=0,0,B23/B$22)</f>
        <v>0.41549295774647887</v>
      </c>
      <c r="E23" s="68" t="s">
        <v>80</v>
      </c>
      <c r="F23" s="64" t="s">
        <v>33</v>
      </c>
      <c r="G23" s="50">
        <v>1</v>
      </c>
      <c r="H23" s="27">
        <f>IF(B$25=0,0,G23/B$25)</f>
        <v>3.7037037037037038E-3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762</v>
      </c>
      <c r="C24" s="87"/>
      <c r="E24" s="68" t="s">
        <v>84</v>
      </c>
      <c r="F24" s="64" t="s">
        <v>37</v>
      </c>
      <c r="G24" s="50">
        <v>1</v>
      </c>
      <c r="H24" s="27">
        <f>IF(B$25=0,0,G24/B$25)</f>
        <v>3.7037037037037038E-3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270</v>
      </c>
      <c r="C25" s="89"/>
      <c r="E25" s="68" t="s">
        <v>92</v>
      </c>
      <c r="F25" s="64" t="s">
        <v>45</v>
      </c>
      <c r="G25" s="50">
        <v>1</v>
      </c>
      <c r="H25" s="27">
        <f>IF(B$25=0,0,G25/B$25)</f>
        <v>3.7037037037037038E-3</v>
      </c>
      <c r="J25" s="26">
        <v>23</v>
      </c>
      <c r="K25" s="28">
        <v>124.50000000000001</v>
      </c>
    </row>
    <row r="26" spans="1:11" x14ac:dyDescent="0.4">
      <c r="A26" s="78" t="s">
        <v>202</v>
      </c>
      <c r="B26" s="90">
        <v>10</v>
      </c>
      <c r="C26" s="91"/>
      <c r="E26" s="68" t="s">
        <v>97</v>
      </c>
      <c r="F26" s="64" t="s">
        <v>50</v>
      </c>
      <c r="G26" s="50">
        <v>1</v>
      </c>
      <c r="H26" s="27">
        <f>IF(B$25=0,0,G26/B$25)</f>
        <v>3.7037037037037038E-3</v>
      </c>
      <c r="J26" s="26">
        <v>24</v>
      </c>
      <c r="K26" s="28">
        <v>118.00000000000001</v>
      </c>
    </row>
    <row r="27" spans="1:11" x14ac:dyDescent="0.4">
      <c r="A27" s="60" t="s">
        <v>204</v>
      </c>
      <c r="B27" s="79">
        <v>1</v>
      </c>
      <c r="C27" s="32">
        <f>IF(B$3=0,0,B27/B$3)</f>
        <v>8.1632653061224493E-4</v>
      </c>
      <c r="E27" s="68" t="s">
        <v>102</v>
      </c>
      <c r="F27" s="64" t="s">
        <v>55</v>
      </c>
      <c r="G27" s="50">
        <v>1</v>
      </c>
      <c r="H27" s="27">
        <f>IF(B$25=0,0,G27/B$25)</f>
        <v>3.7037037037037038E-3</v>
      </c>
      <c r="J27" s="26">
        <v>25</v>
      </c>
      <c r="K27" s="28">
        <v>84.300000000000011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3.7037037037037038E-3</v>
      </c>
      <c r="J28" s="26">
        <v>26</v>
      </c>
      <c r="K28" s="28">
        <v>108.20000000000002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  <row r="142" spans="10:11" x14ac:dyDescent="0.4">
      <c r="J142" s="26">
        <v>140</v>
      </c>
      <c r="K142" s="28">
        <v>839.20000000000027</v>
      </c>
    </row>
    <row r="143" spans="10:11" x14ac:dyDescent="0.4">
      <c r="J143" s="26">
        <v>141</v>
      </c>
      <c r="K143" s="28">
        <v>844.00000000000023</v>
      </c>
    </row>
    <row r="144" spans="10:11" x14ac:dyDescent="0.4">
      <c r="J144" s="26">
        <v>142</v>
      </c>
      <c r="K144" s="28">
        <v>848.10000000000025</v>
      </c>
    </row>
    <row r="145" spans="10:11" x14ac:dyDescent="0.4">
      <c r="J145" s="26">
        <v>143</v>
      </c>
      <c r="K145" s="28">
        <v>836.10000000000025</v>
      </c>
    </row>
    <row r="146" spans="10:11" x14ac:dyDescent="0.4">
      <c r="J146" s="26">
        <v>144</v>
      </c>
      <c r="K146" s="28">
        <v>848.60000000000025</v>
      </c>
    </row>
    <row r="147" spans="10:11" x14ac:dyDescent="0.4">
      <c r="J147" s="26">
        <v>145</v>
      </c>
      <c r="K147" s="28">
        <v>835.70000000000027</v>
      </c>
    </row>
    <row r="148" spans="10:11" x14ac:dyDescent="0.4">
      <c r="J148" s="26">
        <v>146</v>
      </c>
      <c r="K148" s="28">
        <v>851.3000000000003</v>
      </c>
    </row>
    <row r="149" spans="10:11" x14ac:dyDescent="0.4">
      <c r="J149" s="26">
        <v>147</v>
      </c>
      <c r="K149" s="28">
        <v>866.90000000000032</v>
      </c>
    </row>
    <row r="150" spans="10:11" x14ac:dyDescent="0.4">
      <c r="J150" s="26">
        <v>148</v>
      </c>
      <c r="K150" s="28">
        <v>830.90000000000032</v>
      </c>
    </row>
    <row r="151" spans="10:11" x14ac:dyDescent="0.4">
      <c r="J151" s="26">
        <v>149</v>
      </c>
      <c r="K151" s="28">
        <v>801.3000000000003</v>
      </c>
    </row>
    <row r="152" spans="10:11" x14ac:dyDescent="0.4">
      <c r="J152" s="26">
        <v>150</v>
      </c>
      <c r="K152" s="28">
        <v>808.10000000000025</v>
      </c>
    </row>
    <row r="153" spans="10:11" x14ac:dyDescent="0.4">
      <c r="J153" s="26">
        <v>151</v>
      </c>
      <c r="K153" s="28">
        <v>794.10000000000025</v>
      </c>
    </row>
    <row r="154" spans="10:11" x14ac:dyDescent="0.4">
      <c r="J154" s="26">
        <v>152</v>
      </c>
      <c r="K154" s="28">
        <v>784.10000000000025</v>
      </c>
    </row>
    <row r="155" spans="10:11" x14ac:dyDescent="0.4">
      <c r="J155" s="26">
        <v>153</v>
      </c>
      <c r="K155" s="28">
        <v>828.70000000000027</v>
      </c>
    </row>
    <row r="156" spans="10:11" x14ac:dyDescent="0.4">
      <c r="J156" s="26">
        <v>154</v>
      </c>
      <c r="K156" s="28">
        <v>824.00000000000023</v>
      </c>
    </row>
    <row r="157" spans="10:11" x14ac:dyDescent="0.4">
      <c r="J157" s="26">
        <v>155</v>
      </c>
      <c r="K157" s="28">
        <v>838.4000000000002</v>
      </c>
    </row>
    <row r="158" spans="10:11" x14ac:dyDescent="0.4">
      <c r="J158" s="26">
        <v>156</v>
      </c>
      <c r="K158" s="28">
        <v>824.4000000000002</v>
      </c>
    </row>
    <row r="159" spans="10:11" x14ac:dyDescent="0.4">
      <c r="J159" s="26">
        <v>157</v>
      </c>
      <c r="K159" s="28">
        <v>831.50000000000023</v>
      </c>
    </row>
    <row r="160" spans="10:11" x14ac:dyDescent="0.4">
      <c r="J160" s="26">
        <v>158</v>
      </c>
      <c r="K160" s="28">
        <v>851.20000000000027</v>
      </c>
    </row>
    <row r="161" spans="10:11" x14ac:dyDescent="0.4">
      <c r="J161" s="26">
        <v>159</v>
      </c>
      <c r="K161" s="28">
        <v>875.00000000000023</v>
      </c>
    </row>
    <row r="162" spans="10:11" x14ac:dyDescent="0.4">
      <c r="J162" s="26">
        <v>160</v>
      </c>
      <c r="K162" s="28">
        <v>870.20000000000027</v>
      </c>
    </row>
    <row r="163" spans="10:11" x14ac:dyDescent="0.4">
      <c r="J163" s="26">
        <v>161</v>
      </c>
      <c r="K163" s="28">
        <v>902.70000000000027</v>
      </c>
    </row>
    <row r="164" spans="10:11" x14ac:dyDescent="0.4">
      <c r="J164" s="26">
        <v>162</v>
      </c>
      <c r="K164" s="28">
        <v>919.8000000000003</v>
      </c>
    </row>
    <row r="165" spans="10:11" x14ac:dyDescent="0.4">
      <c r="J165" s="26">
        <v>163</v>
      </c>
      <c r="K165" s="28">
        <v>932.10000000000025</v>
      </c>
    </row>
    <row r="166" spans="10:11" x14ac:dyDescent="0.4">
      <c r="J166" s="26">
        <v>164</v>
      </c>
      <c r="K166" s="28">
        <v>956.4000000000002</v>
      </c>
    </row>
  </sheetData>
  <sortState ref="E2:H16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E662-0736-4B7A-9C92-1C4E8F7F7D95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138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C9FD1-6858-47FE-AEE8-07B5E027C648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139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9CC9B-82C2-4A7C-A40D-28496C4537FD}">
  <sheetPr codeName="Sheet7"/>
  <dimension ref="A1:P10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141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106</v>
      </c>
      <c r="C2" s="87"/>
      <c r="E2" s="67" t="s">
        <v>73</v>
      </c>
      <c r="F2" s="63" t="s">
        <v>27</v>
      </c>
      <c r="G2" s="49">
        <v>114</v>
      </c>
      <c r="H2" s="24">
        <f>IF(B$25=0,0,G2/B$25)</f>
        <v>0.77027027027027029</v>
      </c>
      <c r="J2" s="23">
        <v>0</v>
      </c>
      <c r="K2" s="25">
        <v>0</v>
      </c>
      <c r="M2" s="23" t="s">
        <v>181</v>
      </c>
      <c r="N2" s="44">
        <f t="shared" ref="N2:N7" si="0">IF(P2=0,0,O2/P2)</f>
        <v>-603.84615384615381</v>
      </c>
      <c r="O2" s="41">
        <v>-62800</v>
      </c>
      <c r="P2" s="39">
        <v>104</v>
      </c>
    </row>
    <row r="3" spans="1:16" x14ac:dyDescent="0.4">
      <c r="A3" s="58" t="s">
        <v>8</v>
      </c>
      <c r="B3" s="94">
        <v>812</v>
      </c>
      <c r="C3" s="95"/>
      <c r="E3" s="68" t="s">
        <v>71</v>
      </c>
      <c r="F3" s="64" t="s">
        <v>25</v>
      </c>
      <c r="G3" s="50">
        <v>98</v>
      </c>
      <c r="H3" s="27">
        <f>IF(B$25=0,0,G3/B$25)</f>
        <v>0.66216216216216217</v>
      </c>
      <c r="J3" s="26">
        <v>1</v>
      </c>
      <c r="K3" s="28">
        <v>40.9</v>
      </c>
      <c r="M3" s="26" t="s">
        <v>182</v>
      </c>
      <c r="N3" s="45">
        <f t="shared" si="0"/>
        <v>-2044</v>
      </c>
      <c r="O3" s="42">
        <v>-204400</v>
      </c>
      <c r="P3" s="37">
        <v>100</v>
      </c>
    </row>
    <row r="4" spans="1:16" x14ac:dyDescent="0.4">
      <c r="A4" s="58" t="s">
        <v>6</v>
      </c>
      <c r="B4" s="96">
        <v>-438.49999999999994</v>
      </c>
      <c r="C4" s="97"/>
      <c r="E4" s="68" t="s">
        <v>69</v>
      </c>
      <c r="F4" s="64" t="s">
        <v>23</v>
      </c>
      <c r="G4" s="50">
        <v>89</v>
      </c>
      <c r="H4" s="27">
        <f>IF(B$25=0,0,G4/B$25)</f>
        <v>0.60135135135135132</v>
      </c>
      <c r="J4" s="26">
        <v>2</v>
      </c>
      <c r="K4" s="28">
        <v>-0.89999999999999858</v>
      </c>
      <c r="M4" s="26" t="s">
        <v>183</v>
      </c>
      <c r="N4" s="45">
        <f t="shared" si="0"/>
        <v>2568.0412371134021</v>
      </c>
      <c r="O4" s="42">
        <v>249100</v>
      </c>
      <c r="P4" s="37">
        <v>97</v>
      </c>
    </row>
    <row r="5" spans="1:16" x14ac:dyDescent="0.4">
      <c r="A5" s="58" t="s">
        <v>7</v>
      </c>
      <c r="B5" s="96">
        <f>IF(B$2=0,0,B$4/B$2)</f>
        <v>-4.1367924528301883</v>
      </c>
      <c r="C5" s="97"/>
      <c r="E5" s="68" t="s">
        <v>78</v>
      </c>
      <c r="F5" s="64" t="s">
        <v>31</v>
      </c>
      <c r="G5" s="50">
        <v>82</v>
      </c>
      <c r="H5" s="27">
        <f>IF(B$25=0,0,G5/B$25)</f>
        <v>0.55405405405405406</v>
      </c>
      <c r="J5" s="26">
        <v>3</v>
      </c>
      <c r="K5" s="28">
        <v>-36.4</v>
      </c>
      <c r="M5" s="26" t="s">
        <v>184</v>
      </c>
      <c r="N5" s="45">
        <f t="shared" si="0"/>
        <v>-1325.5813953488373</v>
      </c>
      <c r="O5" s="42">
        <v>-114000</v>
      </c>
      <c r="P5" s="37">
        <v>86</v>
      </c>
    </row>
    <row r="6" spans="1:16" x14ac:dyDescent="0.4">
      <c r="A6" s="58" t="s">
        <v>1</v>
      </c>
      <c r="B6" s="98">
        <f>IF(B$2=0,0,(B$7*1+B$8*2+B$9*3)/B$2)</f>
        <v>2.141509433962264</v>
      </c>
      <c r="C6" s="99"/>
      <c r="E6" s="68" t="s">
        <v>74</v>
      </c>
      <c r="F6" s="64" t="s">
        <v>12</v>
      </c>
      <c r="G6" s="50">
        <v>51</v>
      </c>
      <c r="H6" s="27">
        <f>IF(B$25=0,0,G6/B$25)</f>
        <v>0.34459459459459457</v>
      </c>
      <c r="J6" s="26">
        <v>4</v>
      </c>
      <c r="K6" s="28">
        <v>3.6000000000000014</v>
      </c>
      <c r="M6" s="26" t="s">
        <v>185</v>
      </c>
      <c r="N6" s="45">
        <f t="shared" si="0"/>
        <v>-2777.4647887323945</v>
      </c>
      <c r="O6" s="42">
        <v>-197200</v>
      </c>
      <c r="P6" s="37">
        <v>71</v>
      </c>
    </row>
    <row r="7" spans="1:16" x14ac:dyDescent="0.4">
      <c r="A7" s="58" t="s">
        <v>2</v>
      </c>
      <c r="B7" s="50">
        <v>30</v>
      </c>
      <c r="C7" s="27">
        <f>IF(B$2=0,0,B7/B$2)</f>
        <v>0.28301886792452829</v>
      </c>
      <c r="E7" s="68" t="s">
        <v>72</v>
      </c>
      <c r="F7" s="64" t="s">
        <v>26</v>
      </c>
      <c r="G7" s="50">
        <v>46</v>
      </c>
      <c r="H7" s="27">
        <f>IF(B$25=0,0,G7/B$25)</f>
        <v>0.3108108108108108</v>
      </c>
      <c r="J7" s="26">
        <v>5</v>
      </c>
      <c r="K7" s="28">
        <v>14.600000000000001</v>
      </c>
      <c r="M7" s="31" t="s">
        <v>186</v>
      </c>
      <c r="N7" s="46">
        <f t="shared" si="0"/>
        <v>-2628.5714285714284</v>
      </c>
      <c r="O7" s="43">
        <v>-147200</v>
      </c>
      <c r="P7" s="38">
        <v>56</v>
      </c>
    </row>
    <row r="8" spans="1:16" x14ac:dyDescent="0.4">
      <c r="A8" s="58" t="s">
        <v>3</v>
      </c>
      <c r="B8" s="50">
        <v>31</v>
      </c>
      <c r="C8" s="27">
        <f t="shared" ref="C8:C9" si="1">IF(B$2=0,0,B8/B$2)</f>
        <v>0.29245283018867924</v>
      </c>
      <c r="E8" s="68" t="s">
        <v>96</v>
      </c>
      <c r="F8" s="64" t="s">
        <v>49</v>
      </c>
      <c r="G8" s="50">
        <v>25</v>
      </c>
      <c r="H8" s="27">
        <f>IF(B$25=0,0,G8/B$25)</f>
        <v>0.16891891891891891</v>
      </c>
      <c r="J8" s="26">
        <v>6</v>
      </c>
      <c r="K8" s="28">
        <v>47.6</v>
      </c>
    </row>
    <row r="9" spans="1:16" x14ac:dyDescent="0.4">
      <c r="A9" s="59" t="s">
        <v>4</v>
      </c>
      <c r="B9" s="51">
        <v>45</v>
      </c>
      <c r="C9" s="29">
        <f t="shared" si="1"/>
        <v>0.42452830188679247</v>
      </c>
      <c r="E9" s="68" t="s">
        <v>76</v>
      </c>
      <c r="F9" s="64" t="s">
        <v>29</v>
      </c>
      <c r="G9" s="50">
        <v>22</v>
      </c>
      <c r="H9" s="27">
        <f>IF(B$25=0,0,G9/B$25)</f>
        <v>0.14864864864864866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0.20754716981132076</v>
      </c>
      <c r="E10" s="68" t="s">
        <v>75</v>
      </c>
      <c r="F10" s="64" t="s">
        <v>28</v>
      </c>
      <c r="G10" s="50">
        <v>22</v>
      </c>
      <c r="H10" s="27">
        <f>IF(B$25=0,0,G10/B$25)</f>
        <v>0.14864864864864866</v>
      </c>
      <c r="J10" s="26">
        <v>8</v>
      </c>
      <c r="K10" s="28">
        <v>60.199999999999996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0.14150943396226415</v>
      </c>
      <c r="E11" s="68" t="s">
        <v>70</v>
      </c>
      <c r="F11" s="64" t="s">
        <v>24</v>
      </c>
      <c r="G11" s="50">
        <v>22</v>
      </c>
      <c r="H11" s="27">
        <f>IF(B$25=0,0,G11/B$25)</f>
        <v>0.14864864864864866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162</v>
      </c>
      <c r="C12" s="35">
        <f>IF(B$24=0,0,B12/B$24)</f>
        <v>0.29401088929219599</v>
      </c>
      <c r="E12" s="68" t="s">
        <v>93</v>
      </c>
      <c r="F12" s="64" t="s">
        <v>46</v>
      </c>
      <c r="G12" s="50">
        <v>14</v>
      </c>
      <c r="H12" s="27">
        <f>IF(B$25=0,0,G12/B$25)</f>
        <v>9.45945945945946E-2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100</v>
      </c>
      <c r="C13" s="27">
        <f>IF(B$24=0,0,B13/B$24)</f>
        <v>0.18148820326678766</v>
      </c>
      <c r="E13" s="68" t="s">
        <v>90</v>
      </c>
      <c r="F13" s="64" t="s">
        <v>43</v>
      </c>
      <c r="G13" s="50">
        <v>12</v>
      </c>
      <c r="H13" s="27">
        <f>IF(B$25=0,0,G13/B$25)</f>
        <v>8.1081081081081086E-2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90</v>
      </c>
      <c r="C14" s="24">
        <f>IF(B$12=0,0,B14/B$12)</f>
        <v>0.55555555555555558</v>
      </c>
      <c r="E14" s="68" t="s">
        <v>98</v>
      </c>
      <c r="F14" s="64" t="s">
        <v>51</v>
      </c>
      <c r="G14" s="50">
        <v>7</v>
      </c>
      <c r="H14" s="27">
        <f>IF(B$25=0,0,G14/B$25)</f>
        <v>4.72972972972973E-2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38</v>
      </c>
      <c r="C15" s="24">
        <f>IF(B$13=0,0,B15/B$13)</f>
        <v>0.38</v>
      </c>
      <c r="E15" s="68" t="s">
        <v>88</v>
      </c>
      <c r="F15" s="64" t="s">
        <v>41</v>
      </c>
      <c r="G15" s="50">
        <v>6</v>
      </c>
      <c r="H15" s="27">
        <f>IF(B$25=0,0,G15/B$25)</f>
        <v>4.0540540540540543E-2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209</v>
      </c>
      <c r="C16" s="24">
        <f>IF(B$3=0,0,B16/B$3)</f>
        <v>0.25738916256157635</v>
      </c>
      <c r="E16" s="68" t="s">
        <v>77</v>
      </c>
      <c r="F16" s="64" t="s">
        <v>30</v>
      </c>
      <c r="G16" s="50">
        <v>4</v>
      </c>
      <c r="H16" s="27">
        <f>IF(B$25=0,0,G16/B$25)</f>
        <v>2.7027027027027029E-2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87</v>
      </c>
      <c r="C17" s="27">
        <f>IF(B$16=0,0,B17/B$16)</f>
        <v>0.41626794258373206</v>
      </c>
      <c r="E17" s="68" t="s">
        <v>84</v>
      </c>
      <c r="F17" s="64" t="s">
        <v>37</v>
      </c>
      <c r="G17" s="50">
        <v>3</v>
      </c>
      <c r="H17" s="27">
        <f>IF(B$25=0,0,G17/B$25)</f>
        <v>2.0270270270270271E-2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122</v>
      </c>
      <c r="C18" s="27">
        <f>IF(B$16=0,0,B18/B$16)</f>
        <v>0.58373205741626799</v>
      </c>
      <c r="E18" s="68" t="s">
        <v>85</v>
      </c>
      <c r="F18" s="64" t="s">
        <v>38</v>
      </c>
      <c r="G18" s="50">
        <v>2</v>
      </c>
      <c r="H18" s="27">
        <f>IF(B$25=0,0,G18/B$25)</f>
        <v>1.3513513513513514E-2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158</v>
      </c>
      <c r="C19" s="27">
        <f>IF(B$3=0,0,B19/B$3)</f>
        <v>0.19458128078817735</v>
      </c>
      <c r="E19" s="68" t="s">
        <v>92</v>
      </c>
      <c r="F19" s="64" t="s">
        <v>45</v>
      </c>
      <c r="G19" s="50">
        <v>2</v>
      </c>
      <c r="H19" s="27">
        <f>IF(B$25=0,0,G19/B$25)</f>
        <v>1.3513513513513514E-2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11244.497607655503</v>
      </c>
      <c r="C20" s="30">
        <v>2350100</v>
      </c>
      <c r="E20" s="68" t="s">
        <v>99</v>
      </c>
      <c r="F20" s="64" t="s">
        <v>52</v>
      </c>
      <c r="G20" s="50">
        <v>2</v>
      </c>
      <c r="H20" s="27">
        <f>IF(B$25=0,0,G20/B$25)</f>
        <v>1.3513513513513514E-2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-10058.227848101265</v>
      </c>
      <c r="C21" s="48">
        <v>-1589200</v>
      </c>
      <c r="E21" s="68" t="s">
        <v>87</v>
      </c>
      <c r="F21" s="64" t="s">
        <v>40</v>
      </c>
      <c r="G21" s="50">
        <v>1</v>
      </c>
      <c r="H21" s="27">
        <f>IF(B$25=0,0,G21/B$25)</f>
        <v>6.7567567567567571E-3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258</v>
      </c>
      <c r="C22" s="24">
        <f>IF(B$3=0,0,B22/B$3)</f>
        <v>0.31773399014778325</v>
      </c>
      <c r="E22" s="68" t="s">
        <v>91</v>
      </c>
      <c r="F22" s="64" t="s">
        <v>44</v>
      </c>
      <c r="G22" s="50">
        <v>1</v>
      </c>
      <c r="H22" s="27">
        <f>IF(B$25=0,0,G22/B$25)</f>
        <v>6.7567567567567571E-3</v>
      </c>
      <c r="J22" s="26">
        <v>20</v>
      </c>
      <c r="K22" s="28">
        <v>-57.899999999999991</v>
      </c>
    </row>
    <row r="23" spans="1:11" x14ac:dyDescent="0.4">
      <c r="A23" s="60" t="s">
        <v>179</v>
      </c>
      <c r="B23" s="52">
        <v>80</v>
      </c>
      <c r="C23" s="32">
        <f>IF(B$22=0,0,B23/B$22)</f>
        <v>0.31007751937984496</v>
      </c>
      <c r="E23" s="68" t="s">
        <v>94</v>
      </c>
      <c r="F23" s="64" t="s">
        <v>47</v>
      </c>
      <c r="G23" s="50">
        <v>1</v>
      </c>
      <c r="H23" s="27">
        <f>IF(B$25=0,0,G23/B$25)</f>
        <v>6.7567567567567571E-3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551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6.7567567567567571E-3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148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202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204</v>
      </c>
      <c r="B27" s="79">
        <v>4</v>
      </c>
      <c r="C27" s="32">
        <f>IF(B$3=0,0,B27/B$3)</f>
        <v>4.9261083743842365E-3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  <row r="99" spans="10:11" x14ac:dyDescent="0.4">
      <c r="J99" s="26">
        <v>97</v>
      </c>
      <c r="K99" s="28">
        <v>-393.5</v>
      </c>
    </row>
    <row r="100" spans="10:11" x14ac:dyDescent="0.4">
      <c r="J100" s="26">
        <v>98</v>
      </c>
      <c r="K100" s="28">
        <v>-333</v>
      </c>
    </row>
    <row r="101" spans="10:11" x14ac:dyDescent="0.4">
      <c r="J101" s="26">
        <v>99</v>
      </c>
      <c r="K101" s="28">
        <v>-362.5</v>
      </c>
    </row>
    <row r="102" spans="10:11" x14ac:dyDescent="0.4">
      <c r="J102" s="26">
        <v>100</v>
      </c>
      <c r="K102" s="28">
        <v>-376.4</v>
      </c>
    </row>
    <row r="103" spans="10:11" x14ac:dyDescent="0.4">
      <c r="J103" s="26">
        <v>101</v>
      </c>
      <c r="K103" s="28">
        <v>-374.7</v>
      </c>
    </row>
    <row r="104" spans="10:11" x14ac:dyDescent="0.4">
      <c r="J104" s="26">
        <v>102</v>
      </c>
      <c r="K104" s="28">
        <v>-401.4</v>
      </c>
    </row>
    <row r="105" spans="10:11" x14ac:dyDescent="0.4">
      <c r="J105" s="26">
        <v>103</v>
      </c>
      <c r="K105" s="28">
        <v>-426.9</v>
      </c>
    </row>
    <row r="106" spans="10:11" x14ac:dyDescent="0.4">
      <c r="J106" s="26">
        <v>104</v>
      </c>
      <c r="K106" s="28">
        <v>-436.4</v>
      </c>
    </row>
    <row r="107" spans="10:11" x14ac:dyDescent="0.4">
      <c r="J107" s="26">
        <v>105</v>
      </c>
      <c r="K107" s="28">
        <v>-425.59999999999997</v>
      </c>
    </row>
    <row r="108" spans="10:11" x14ac:dyDescent="0.4">
      <c r="J108" s="26">
        <v>106</v>
      </c>
      <c r="K108" s="28">
        <v>-438.49999999999994</v>
      </c>
    </row>
  </sheetData>
  <sortState ref="E2:H10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21E5-E5F9-483B-AC9B-A9F6D180153F}">
  <sheetPr codeName="Sheet8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142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54</v>
      </c>
      <c r="C2" s="87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4">
        <v>385</v>
      </c>
      <c r="C3" s="95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-39.9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6">
        <v>250.50000000000003</v>
      </c>
      <c r="C4" s="97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6">
        <f>IF(B$2=0,0,B$4/B$2)</f>
        <v>4.6388888888888893</v>
      </c>
      <c r="C5" s="97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-57.7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98">
        <f>IF(B$2=0,0,(B$7*1+B$8*2+B$9*3)/B$2)</f>
        <v>1.8888888888888888</v>
      </c>
      <c r="C6" s="99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-53.7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-45.7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-59.1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147</v>
      </c>
      <c r="C24" s="87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50</v>
      </c>
      <c r="C25" s="89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202</v>
      </c>
      <c r="B26" s="90">
        <v>7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204</v>
      </c>
      <c r="B27" s="79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210.90000000000003</v>
      </c>
    </row>
    <row r="52" spans="5:11" x14ac:dyDescent="0.4">
      <c r="J52" s="26">
        <v>50</v>
      </c>
      <c r="K52" s="28">
        <v>210.90000000000003</v>
      </c>
    </row>
    <row r="53" spans="5:11" x14ac:dyDescent="0.4">
      <c r="J53" s="26">
        <v>51</v>
      </c>
      <c r="K53" s="28">
        <v>289.60000000000002</v>
      </c>
    </row>
    <row r="54" spans="5:11" x14ac:dyDescent="0.4">
      <c r="J54" s="26">
        <v>52</v>
      </c>
      <c r="K54" s="28">
        <v>316.10000000000002</v>
      </c>
    </row>
    <row r="55" spans="5:11" x14ac:dyDescent="0.4">
      <c r="J55" s="26">
        <v>53</v>
      </c>
      <c r="K55" s="28">
        <v>265.60000000000002</v>
      </c>
    </row>
    <row r="56" spans="5:11" x14ac:dyDescent="0.4">
      <c r="J56" s="26">
        <v>54</v>
      </c>
      <c r="K56" s="28">
        <v>250.50000000000003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F423-5973-4D35-AA89-A10B87578B93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145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66D1F-A8A0-415F-984B-3FC964A0C387}">
  <sheetPr codeName="Sheet10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148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52</v>
      </c>
      <c r="C2" s="87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4">
        <v>405</v>
      </c>
      <c r="C3" s="95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68.2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6">
        <v>-389.09999999999997</v>
      </c>
      <c r="C4" s="97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6">
        <f>IF(B$2=0,0,B$4/B$2)</f>
        <v>-7.4826923076923073</v>
      </c>
      <c r="C5" s="97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82.1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98">
        <f>IF(B$2=0,0,(B$7*1+B$8*2+B$9*3)/B$2)</f>
        <v>2.2115384615384617</v>
      </c>
      <c r="C6" s="99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58.199999999999996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124.19999999999999</v>
      </c>
      <c r="M7" s="31" t="s">
        <v>186</v>
      </c>
      <c r="N7" s="46">
        <f t="shared" si="0"/>
        <v>-1100</v>
      </c>
      <c r="O7" s="43">
        <v>-27500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96</v>
      </c>
      <c r="F9" s="64" t="s">
        <v>49</v>
      </c>
      <c r="G9" s="50">
        <v>4</v>
      </c>
      <c r="H9" s="27">
        <f>IF(B$25=0,0,G9/B$25)</f>
        <v>0.08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75</v>
      </c>
      <c r="F10" s="64" t="s">
        <v>28</v>
      </c>
      <c r="G10" s="50">
        <v>4</v>
      </c>
      <c r="H10" s="27">
        <f>IF(B$25=0,0,G10/B$25)</f>
        <v>0.08</v>
      </c>
      <c r="J10" s="26">
        <v>8</v>
      </c>
      <c r="K10" s="28">
        <v>97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218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50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202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204</v>
      </c>
      <c r="B27" s="79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-297.89999999999998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-358.2</v>
      </c>
    </row>
    <row r="52" spans="5:11" x14ac:dyDescent="0.4">
      <c r="J52" s="26">
        <v>50</v>
      </c>
      <c r="K52" s="28">
        <v>-374.09999999999997</v>
      </c>
    </row>
    <row r="53" spans="5:11" x14ac:dyDescent="0.4">
      <c r="J53" s="26">
        <v>51</v>
      </c>
      <c r="K53" s="28">
        <v>-368.09999999999997</v>
      </c>
    </row>
    <row r="54" spans="5:11" x14ac:dyDescent="0.4">
      <c r="J54" s="26">
        <v>52</v>
      </c>
      <c r="K54" s="28">
        <v>-389.09999999999997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786B4-7C53-489E-9808-872BCCA9C320}">
  <sheetPr codeName="Sheet11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149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65</v>
      </c>
      <c r="C2" s="87"/>
      <c r="E2" s="67" t="s">
        <v>73</v>
      </c>
      <c r="F2" s="63" t="s">
        <v>27</v>
      </c>
      <c r="G2" s="49">
        <v>108</v>
      </c>
      <c r="H2" s="24">
        <f>IF(B$25=0,0,G2/B$25)</f>
        <v>0.8925619834710744</v>
      </c>
      <c r="J2" s="23">
        <v>0</v>
      </c>
      <c r="K2" s="25">
        <v>0</v>
      </c>
      <c r="M2" s="23" t="s">
        <v>181</v>
      </c>
      <c r="N2" s="44">
        <f t="shared" ref="N2:N7" si="0">IF(P2=0,0,O2/P2)</f>
        <v>3293.6507936507937</v>
      </c>
      <c r="O2" s="41">
        <v>207500</v>
      </c>
      <c r="P2" s="39">
        <v>63</v>
      </c>
    </row>
    <row r="3" spans="1:16" x14ac:dyDescent="0.4">
      <c r="A3" s="58" t="s">
        <v>8</v>
      </c>
      <c r="B3" s="94">
        <v>497</v>
      </c>
      <c r="C3" s="95"/>
      <c r="E3" s="68" t="s">
        <v>71</v>
      </c>
      <c r="F3" s="64" t="s">
        <v>25</v>
      </c>
      <c r="G3" s="50">
        <v>94</v>
      </c>
      <c r="H3" s="27">
        <f>IF(B$25=0,0,G3/B$25)</f>
        <v>0.77685950413223137</v>
      </c>
      <c r="J3" s="26">
        <v>1</v>
      </c>
      <c r="K3" s="28">
        <v>-36.700000000000003</v>
      </c>
      <c r="M3" s="26" t="s">
        <v>182</v>
      </c>
      <c r="N3" s="45">
        <f t="shared" si="0"/>
        <v>262.71186440677968</v>
      </c>
      <c r="O3" s="42">
        <v>15500</v>
      </c>
      <c r="P3" s="37">
        <v>59</v>
      </c>
    </row>
    <row r="4" spans="1:16" x14ac:dyDescent="0.4">
      <c r="A4" s="58" t="s">
        <v>6</v>
      </c>
      <c r="B4" s="96">
        <v>181.69999999999996</v>
      </c>
      <c r="C4" s="97"/>
      <c r="E4" s="68" t="s">
        <v>69</v>
      </c>
      <c r="F4" s="64" t="s">
        <v>23</v>
      </c>
      <c r="G4" s="50">
        <v>73</v>
      </c>
      <c r="H4" s="27">
        <f>IF(B$25=0,0,G4/B$25)</f>
        <v>0.60330578512396693</v>
      </c>
      <c r="J4" s="26">
        <v>2</v>
      </c>
      <c r="K4" s="28">
        <v>-45.300000000000004</v>
      </c>
      <c r="M4" s="26" t="s">
        <v>183</v>
      </c>
      <c r="N4" s="45">
        <f t="shared" si="0"/>
        <v>475.92592592592592</v>
      </c>
      <c r="O4" s="42">
        <v>25700</v>
      </c>
      <c r="P4" s="37">
        <v>54</v>
      </c>
    </row>
    <row r="5" spans="1:16" x14ac:dyDescent="0.4">
      <c r="A5" s="58" t="s">
        <v>7</v>
      </c>
      <c r="B5" s="96">
        <f>IF(B$2=0,0,B$4/B$2)</f>
        <v>2.7953846153846147</v>
      </c>
      <c r="C5" s="97"/>
      <c r="E5" s="68" t="s">
        <v>78</v>
      </c>
      <c r="F5" s="64" t="s">
        <v>31</v>
      </c>
      <c r="G5" s="50">
        <v>66</v>
      </c>
      <c r="H5" s="27">
        <f>IF(B$25=0,0,G5/B$25)</f>
        <v>0.54545454545454541</v>
      </c>
      <c r="J5" s="26">
        <v>3</v>
      </c>
      <c r="K5" s="28">
        <v>-81.7</v>
      </c>
      <c r="M5" s="26" t="s">
        <v>184</v>
      </c>
      <c r="N5" s="45">
        <f t="shared" si="0"/>
        <v>-1382.3529411764705</v>
      </c>
      <c r="O5" s="42">
        <v>-70500</v>
      </c>
      <c r="P5" s="37">
        <v>51</v>
      </c>
    </row>
    <row r="6" spans="1:16" x14ac:dyDescent="0.4">
      <c r="A6" s="58" t="s">
        <v>1</v>
      </c>
      <c r="B6" s="98">
        <f>IF(B$2=0,0,(B$7*1+B$8*2+B$9*3)/B$2)</f>
        <v>1.9076923076923078</v>
      </c>
      <c r="C6" s="99"/>
      <c r="E6" s="68" t="s">
        <v>72</v>
      </c>
      <c r="F6" s="64" t="s">
        <v>26</v>
      </c>
      <c r="G6" s="50">
        <v>44</v>
      </c>
      <c r="H6" s="27">
        <f>IF(B$25=0,0,G6/B$25)</f>
        <v>0.36363636363636365</v>
      </c>
      <c r="J6" s="26">
        <v>4</v>
      </c>
      <c r="K6" s="28">
        <v>-113.80000000000001</v>
      </c>
      <c r="M6" s="26" t="s">
        <v>185</v>
      </c>
      <c r="N6" s="45">
        <f t="shared" si="0"/>
        <v>-47.61904761904762</v>
      </c>
      <c r="O6" s="42">
        <v>-2000</v>
      </c>
      <c r="P6" s="37">
        <v>42</v>
      </c>
    </row>
    <row r="7" spans="1:16" x14ac:dyDescent="0.4">
      <c r="A7" s="58" t="s">
        <v>2</v>
      </c>
      <c r="B7" s="50">
        <v>25</v>
      </c>
      <c r="C7" s="27">
        <f>IF(B$2=0,0,B7/B$2)</f>
        <v>0.38461538461538464</v>
      </c>
      <c r="E7" s="68" t="s">
        <v>74</v>
      </c>
      <c r="F7" s="64" t="s">
        <v>12</v>
      </c>
      <c r="G7" s="50">
        <v>40</v>
      </c>
      <c r="H7" s="27">
        <f>IF(B$25=0,0,G7/B$25)</f>
        <v>0.33057851239669422</v>
      </c>
      <c r="J7" s="26">
        <v>5</v>
      </c>
      <c r="K7" s="28">
        <v>-135.80000000000001</v>
      </c>
      <c r="M7" s="31" t="s">
        <v>186</v>
      </c>
      <c r="N7" s="46">
        <f t="shared" si="0"/>
        <v>-951.35135135135135</v>
      </c>
      <c r="O7" s="43">
        <v>-35200</v>
      </c>
      <c r="P7" s="38">
        <v>37</v>
      </c>
    </row>
    <row r="8" spans="1:16" x14ac:dyDescent="0.4">
      <c r="A8" s="58" t="s">
        <v>3</v>
      </c>
      <c r="B8" s="50">
        <v>21</v>
      </c>
      <c r="C8" s="27">
        <f t="shared" ref="C8:C9" si="1">IF(B$2=0,0,B8/B$2)</f>
        <v>0.32307692307692309</v>
      </c>
      <c r="E8" s="68" t="s">
        <v>75</v>
      </c>
      <c r="F8" s="64" t="s">
        <v>28</v>
      </c>
      <c r="G8" s="50">
        <v>23</v>
      </c>
      <c r="H8" s="27">
        <f>IF(B$25=0,0,G8/B$25)</f>
        <v>0.19008264462809918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19</v>
      </c>
      <c r="C9" s="29">
        <f t="shared" si="1"/>
        <v>0.29230769230769232</v>
      </c>
      <c r="E9" s="68" t="s">
        <v>70</v>
      </c>
      <c r="F9" s="64" t="s">
        <v>24</v>
      </c>
      <c r="G9" s="50">
        <v>18</v>
      </c>
      <c r="H9" s="27">
        <f>IF(B$25=0,0,G9/B$25)</f>
        <v>0.1487603305785124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9</v>
      </c>
      <c r="C10" s="29">
        <f>IF(B$2=0,0,B10/B$2)</f>
        <v>0.13846153846153847</v>
      </c>
      <c r="E10" s="68" t="s">
        <v>96</v>
      </c>
      <c r="F10" s="64" t="s">
        <v>49</v>
      </c>
      <c r="G10" s="50">
        <v>17</v>
      </c>
      <c r="H10" s="27">
        <f>IF(B$25=0,0,G10/B$25)</f>
        <v>0.14049586776859505</v>
      </c>
      <c r="J10" s="26">
        <v>8</v>
      </c>
      <c r="K10" s="28">
        <v>-51.800000000000018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0.18461538461538463</v>
      </c>
      <c r="E11" s="68" t="s">
        <v>76</v>
      </c>
      <c r="F11" s="64" t="s">
        <v>29</v>
      </c>
      <c r="G11" s="50">
        <v>8</v>
      </c>
      <c r="H11" s="27">
        <f>IF(B$25=0,0,G11/B$25)</f>
        <v>6.6115702479338845E-2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121</v>
      </c>
      <c r="C12" s="35">
        <f>IF(B$24=0,0,B12/B$24)</f>
        <v>0.3324175824175824</v>
      </c>
      <c r="E12" s="68" t="s">
        <v>77</v>
      </c>
      <c r="F12" s="64" t="s">
        <v>30</v>
      </c>
      <c r="G12" s="50">
        <v>8</v>
      </c>
      <c r="H12" s="27">
        <f>IF(B$25=0,0,G12/B$25)</f>
        <v>6.6115702479338845E-2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84</v>
      </c>
      <c r="C13" s="27">
        <f>IF(B$24=0,0,B13/B$24)</f>
        <v>0.23076923076923078</v>
      </c>
      <c r="E13" s="68" t="s">
        <v>84</v>
      </c>
      <c r="F13" s="64" t="s">
        <v>37</v>
      </c>
      <c r="G13" s="50">
        <v>7</v>
      </c>
      <c r="H13" s="27">
        <f>IF(B$25=0,0,G13/B$25)</f>
        <v>5.7851239669421489E-2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75</v>
      </c>
      <c r="C14" s="24">
        <f>IF(B$12=0,0,B14/B$12)</f>
        <v>0.6198347107438017</v>
      </c>
      <c r="E14" s="68" t="s">
        <v>93</v>
      </c>
      <c r="F14" s="64" t="s">
        <v>46</v>
      </c>
      <c r="G14" s="50">
        <v>7</v>
      </c>
      <c r="H14" s="27">
        <f>IF(B$25=0,0,G14/B$25)</f>
        <v>5.7851239669421489E-2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31</v>
      </c>
      <c r="C15" s="24">
        <f>IF(B$13=0,0,B15/B$13)</f>
        <v>0.36904761904761907</v>
      </c>
      <c r="E15" s="68" t="s">
        <v>83</v>
      </c>
      <c r="F15" s="64" t="s">
        <v>36</v>
      </c>
      <c r="G15" s="50">
        <v>2</v>
      </c>
      <c r="H15" s="27">
        <f>IF(B$25=0,0,G15/B$25)</f>
        <v>1.6528925619834711E-2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159</v>
      </c>
      <c r="C16" s="24">
        <f>IF(B$3=0,0,B16/B$3)</f>
        <v>0.31991951710261568</v>
      </c>
      <c r="E16" s="68" t="s">
        <v>88</v>
      </c>
      <c r="F16" s="64" t="s">
        <v>41</v>
      </c>
      <c r="G16" s="50">
        <v>2</v>
      </c>
      <c r="H16" s="27">
        <f>IF(B$25=0,0,G16/B$25)</f>
        <v>1.6528925619834711E-2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68</v>
      </c>
      <c r="C17" s="27">
        <f>IF(B$16=0,0,B17/B$16)</f>
        <v>0.42767295597484278</v>
      </c>
      <c r="E17" s="68" t="s">
        <v>98</v>
      </c>
      <c r="F17" s="64" t="s">
        <v>51</v>
      </c>
      <c r="G17" s="50">
        <v>2</v>
      </c>
      <c r="H17" s="27">
        <f>IF(B$25=0,0,G17/B$25)</f>
        <v>1.6528925619834711E-2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91</v>
      </c>
      <c r="C18" s="27">
        <f>IF(B$16=0,0,B18/B$16)</f>
        <v>0.57232704402515722</v>
      </c>
      <c r="E18" s="68" t="s">
        <v>80</v>
      </c>
      <c r="F18" s="64" t="s">
        <v>33</v>
      </c>
      <c r="G18" s="50">
        <v>1</v>
      </c>
      <c r="H18" s="27">
        <f>IF(B$25=0,0,G18/B$25)</f>
        <v>8.2644628099173556E-3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79</v>
      </c>
      <c r="C19" s="27">
        <f>IF(B$3=0,0,B19/B$3)</f>
        <v>0.15895372233400401</v>
      </c>
      <c r="E19" s="68" t="s">
        <v>81</v>
      </c>
      <c r="F19" s="64" t="s">
        <v>34</v>
      </c>
      <c r="G19" s="50">
        <v>1</v>
      </c>
      <c r="H19" s="27">
        <f>IF(B$25=0,0,G19/B$25)</f>
        <v>8.2644628099173556E-3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10388.050314465409</v>
      </c>
      <c r="C20" s="30">
        <v>1651700</v>
      </c>
      <c r="E20" s="68" t="s">
        <v>90</v>
      </c>
      <c r="F20" s="64" t="s">
        <v>43</v>
      </c>
      <c r="G20" s="50">
        <v>1</v>
      </c>
      <c r="H20" s="27">
        <f>IF(B$25=0,0,G20/B$25)</f>
        <v>8.2644628099173556E-3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-9489.8734177215192</v>
      </c>
      <c r="C21" s="48">
        <v>-749700</v>
      </c>
      <c r="E21" s="68" t="s">
        <v>91</v>
      </c>
      <c r="F21" s="64" t="s">
        <v>44</v>
      </c>
      <c r="G21" s="50">
        <v>1</v>
      </c>
      <c r="H21" s="27">
        <f>IF(B$25=0,0,G21/B$25)</f>
        <v>8.2644628099173556E-3</v>
      </c>
      <c r="J21" s="26">
        <v>19</v>
      </c>
      <c r="K21" s="28">
        <v>103.79999999999998</v>
      </c>
    </row>
    <row r="22" spans="1:11" x14ac:dyDescent="0.4">
      <c r="A22" s="57" t="s">
        <v>178</v>
      </c>
      <c r="B22" s="49">
        <v>179</v>
      </c>
      <c r="C22" s="24">
        <f>IF(B$3=0,0,B22/B$3)</f>
        <v>0.36016096579476864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0.36312849162011174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364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121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202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204</v>
      </c>
      <c r="B27" s="79">
        <v>3</v>
      </c>
      <c r="C27" s="32">
        <f>IF(B$3=0,0,B27/B$3)</f>
        <v>6.0362173038229373E-3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  <row r="54" spans="5:11" x14ac:dyDescent="0.4">
      <c r="J54" s="26">
        <v>52</v>
      </c>
      <c r="K54" s="28">
        <v>177.19999999999996</v>
      </c>
    </row>
    <row r="55" spans="5:11" x14ac:dyDescent="0.4">
      <c r="J55" s="26">
        <v>53</v>
      </c>
      <c r="K55" s="28">
        <v>176.79999999999995</v>
      </c>
    </row>
    <row r="56" spans="5:11" x14ac:dyDescent="0.4">
      <c r="J56" s="26">
        <v>54</v>
      </c>
      <c r="K56" s="28">
        <v>194.89999999999995</v>
      </c>
    </row>
    <row r="57" spans="5:11" x14ac:dyDescent="0.4">
      <c r="J57" s="26">
        <v>55</v>
      </c>
      <c r="K57" s="28">
        <v>217.69999999999996</v>
      </c>
    </row>
    <row r="58" spans="5:11" x14ac:dyDescent="0.4">
      <c r="J58" s="26">
        <v>56</v>
      </c>
      <c r="K58" s="28">
        <v>204.89999999999995</v>
      </c>
    </row>
    <row r="59" spans="5:11" x14ac:dyDescent="0.4">
      <c r="J59" s="26">
        <v>57</v>
      </c>
      <c r="K59" s="28">
        <v>240.89999999999995</v>
      </c>
    </row>
    <row r="60" spans="5:11" x14ac:dyDescent="0.4">
      <c r="J60" s="26">
        <v>58</v>
      </c>
      <c r="K60" s="28">
        <v>191.79999999999995</v>
      </c>
    </row>
    <row r="61" spans="5:11" x14ac:dyDescent="0.4">
      <c r="J61" s="26">
        <v>59</v>
      </c>
      <c r="K61" s="28">
        <v>189.19999999999996</v>
      </c>
    </row>
    <row r="62" spans="5:11" x14ac:dyDescent="0.4">
      <c r="J62" s="26">
        <v>60</v>
      </c>
      <c r="K62" s="28">
        <v>201.69999999999996</v>
      </c>
    </row>
    <row r="63" spans="5:11" x14ac:dyDescent="0.4">
      <c r="J63" s="26">
        <v>61</v>
      </c>
      <c r="K63" s="28">
        <v>213.99999999999997</v>
      </c>
    </row>
    <row r="64" spans="5:11" x14ac:dyDescent="0.4">
      <c r="J64" s="26">
        <v>62</v>
      </c>
      <c r="K64" s="28">
        <v>214.89999999999998</v>
      </c>
    </row>
    <row r="65" spans="10:11" x14ac:dyDescent="0.4">
      <c r="J65" s="26">
        <v>63</v>
      </c>
      <c r="K65" s="28">
        <v>211.09999999999997</v>
      </c>
    </row>
    <row r="66" spans="10:11" x14ac:dyDescent="0.4">
      <c r="J66" s="26">
        <v>64</v>
      </c>
      <c r="K66" s="28">
        <v>199.19999999999996</v>
      </c>
    </row>
    <row r="67" spans="10:11" x14ac:dyDescent="0.4">
      <c r="J67" s="26">
        <v>65</v>
      </c>
      <c r="K67" s="28">
        <v>181.69999999999996</v>
      </c>
    </row>
  </sheetData>
  <sortState ref="E2:H6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8F131-FC1C-4B1E-ACFB-CF4DBC9D7416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156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19</v>
      </c>
      <c r="C2" s="87"/>
      <c r="E2" s="67" t="s">
        <v>73</v>
      </c>
      <c r="F2" s="63" t="s">
        <v>27</v>
      </c>
      <c r="G2" s="49">
        <v>18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1878.9473684210527</v>
      </c>
      <c r="O2" s="41">
        <v>35700</v>
      </c>
      <c r="P2" s="39">
        <v>19</v>
      </c>
    </row>
    <row r="3" spans="1:16" x14ac:dyDescent="0.4">
      <c r="A3" s="58" t="s">
        <v>8</v>
      </c>
      <c r="B3" s="94">
        <v>149</v>
      </c>
      <c r="C3" s="95"/>
      <c r="E3" s="68" t="s">
        <v>69</v>
      </c>
      <c r="F3" s="64" t="s">
        <v>23</v>
      </c>
      <c r="G3" s="50">
        <v>15</v>
      </c>
      <c r="H3" s="27">
        <f>IF(B$25=0,0,G3/B$25)</f>
        <v>0.75</v>
      </c>
      <c r="J3" s="26">
        <v>1</v>
      </c>
      <c r="K3" s="28">
        <v>-14.4</v>
      </c>
      <c r="M3" s="26" t="s">
        <v>182</v>
      </c>
      <c r="N3" s="45">
        <f t="shared" si="0"/>
        <v>6941.1764705882351</v>
      </c>
      <c r="O3" s="42">
        <v>118000</v>
      </c>
      <c r="P3" s="37">
        <v>17</v>
      </c>
    </row>
    <row r="4" spans="1:16" x14ac:dyDescent="0.4">
      <c r="A4" s="58" t="s">
        <v>6</v>
      </c>
      <c r="B4" s="96">
        <v>143.60000000000002</v>
      </c>
      <c r="C4" s="97"/>
      <c r="E4" s="68" t="s">
        <v>72</v>
      </c>
      <c r="F4" s="64" t="s">
        <v>26</v>
      </c>
      <c r="G4" s="50">
        <v>14</v>
      </c>
      <c r="H4" s="27">
        <f>IF(B$25=0,0,G4/B$25)</f>
        <v>0.7</v>
      </c>
      <c r="J4" s="26">
        <v>2</v>
      </c>
      <c r="K4" s="28">
        <v>37.6</v>
      </c>
      <c r="M4" s="26" t="s">
        <v>183</v>
      </c>
      <c r="N4" s="45">
        <f t="shared" si="0"/>
        <v>-1892.8571428571429</v>
      </c>
      <c r="O4" s="42">
        <v>-26500</v>
      </c>
      <c r="P4" s="37">
        <v>14</v>
      </c>
    </row>
    <row r="5" spans="1:16" x14ac:dyDescent="0.4">
      <c r="A5" s="58" t="s">
        <v>7</v>
      </c>
      <c r="B5" s="96">
        <f>IF(B$2=0,0,B$4/B$2)</f>
        <v>7.5578947368421066</v>
      </c>
      <c r="C5" s="97"/>
      <c r="E5" s="68" t="s">
        <v>71</v>
      </c>
      <c r="F5" s="64" t="s">
        <v>25</v>
      </c>
      <c r="G5" s="50">
        <v>10</v>
      </c>
      <c r="H5" s="27">
        <f>IF(B$25=0,0,G5/B$25)</f>
        <v>0.5</v>
      </c>
      <c r="J5" s="26">
        <v>3</v>
      </c>
      <c r="K5" s="28">
        <v>-2.7999999999999972</v>
      </c>
      <c r="M5" s="26" t="s">
        <v>184</v>
      </c>
      <c r="N5" s="45">
        <f t="shared" si="0"/>
        <v>1964.2857142857142</v>
      </c>
      <c r="O5" s="42">
        <v>27500</v>
      </c>
      <c r="P5" s="37">
        <v>14</v>
      </c>
    </row>
    <row r="6" spans="1:16" x14ac:dyDescent="0.4">
      <c r="A6" s="58" t="s">
        <v>1</v>
      </c>
      <c r="B6" s="98">
        <f>IF(B$2=0,0,(B$7*1+B$8*2+B$9*3)/B$2)</f>
        <v>1.8421052631578947</v>
      </c>
      <c r="C6" s="99"/>
      <c r="E6" s="68" t="s">
        <v>78</v>
      </c>
      <c r="F6" s="64" t="s">
        <v>31</v>
      </c>
      <c r="G6" s="50">
        <v>7</v>
      </c>
      <c r="H6" s="27">
        <f>IF(B$25=0,0,G6/B$25)</f>
        <v>0.35</v>
      </c>
      <c r="J6" s="26">
        <v>4</v>
      </c>
      <c r="K6" s="28">
        <v>-44.3</v>
      </c>
      <c r="M6" s="26" t="s">
        <v>185</v>
      </c>
      <c r="N6" s="45">
        <f t="shared" si="0"/>
        <v>-483.33333333333331</v>
      </c>
      <c r="O6" s="42">
        <v>-5800</v>
      </c>
      <c r="P6" s="37">
        <v>12</v>
      </c>
    </row>
    <row r="7" spans="1:16" x14ac:dyDescent="0.4">
      <c r="A7" s="58" t="s">
        <v>2</v>
      </c>
      <c r="B7" s="50">
        <v>8</v>
      </c>
      <c r="C7" s="27">
        <f>IF(B$2=0,0,B7/B$2)</f>
        <v>0.42105263157894735</v>
      </c>
      <c r="E7" s="68" t="s">
        <v>74</v>
      </c>
      <c r="F7" s="64" t="s">
        <v>12</v>
      </c>
      <c r="G7" s="50">
        <v>7</v>
      </c>
      <c r="H7" s="27">
        <f>IF(B$25=0,0,G7/B$25)</f>
        <v>0.35</v>
      </c>
      <c r="J7" s="26">
        <v>5</v>
      </c>
      <c r="K7" s="28">
        <v>8.2000000000000028</v>
      </c>
      <c r="M7" s="31" t="s">
        <v>186</v>
      </c>
      <c r="N7" s="46">
        <f t="shared" si="0"/>
        <v>-530</v>
      </c>
      <c r="O7" s="43">
        <v>-5300</v>
      </c>
      <c r="P7" s="38">
        <v>10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70</v>
      </c>
      <c r="F8" s="64" t="s">
        <v>24</v>
      </c>
      <c r="G8" s="50">
        <v>4</v>
      </c>
      <c r="H8" s="27">
        <f>IF(B$25=0,0,G8/B$25)</f>
        <v>0.2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5</v>
      </c>
      <c r="C9" s="29">
        <f t="shared" si="1"/>
        <v>0.26315789473684209</v>
      </c>
      <c r="E9" s="68" t="s">
        <v>75</v>
      </c>
      <c r="F9" s="64" t="s">
        <v>28</v>
      </c>
      <c r="G9" s="50">
        <v>3</v>
      </c>
      <c r="H9" s="27">
        <f>IF(B$25=0,0,G9/B$25)</f>
        <v>0.15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96</v>
      </c>
      <c r="F10" s="64" t="s">
        <v>49</v>
      </c>
      <c r="G10" s="50">
        <v>1</v>
      </c>
      <c r="H10" s="27">
        <f>IF(B$25=0,0,G10/B$25)</f>
        <v>0.05</v>
      </c>
      <c r="J10" s="26">
        <v>8</v>
      </c>
      <c r="K10" s="28">
        <v>4.2000000000000028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0.21052631578947367</v>
      </c>
      <c r="E11" s="68" t="s">
        <v>99</v>
      </c>
      <c r="F11" s="64" t="s">
        <v>52</v>
      </c>
      <c r="G11" s="50">
        <v>1</v>
      </c>
      <c r="H11" s="27">
        <f>IF(B$25=0,0,G11/B$25)</f>
        <v>0.05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26</v>
      </c>
      <c r="C12" s="35">
        <f>IF(B$24=0,0,B12/B$24)</f>
        <v>0.38805970149253732</v>
      </c>
      <c r="E12" s="68" t="s">
        <v>93</v>
      </c>
      <c r="F12" s="64" t="s">
        <v>46</v>
      </c>
      <c r="G12" s="50">
        <v>1</v>
      </c>
      <c r="H12" s="27">
        <f>IF(B$25=0,0,G12/B$25)</f>
        <v>0.05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15</v>
      </c>
      <c r="C13" s="27">
        <f>IF(B$24=0,0,B13/B$24)</f>
        <v>0.22388059701492538</v>
      </c>
      <c r="E13" s="68" t="s">
        <v>84</v>
      </c>
      <c r="F13" s="64" t="s">
        <v>37</v>
      </c>
      <c r="G13" s="50">
        <v>1</v>
      </c>
      <c r="H13" s="27">
        <f>IF(B$25=0,0,G13/B$25)</f>
        <v>0.05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76</v>
      </c>
      <c r="F14" s="64" t="s">
        <v>29</v>
      </c>
      <c r="G14" s="50">
        <v>1</v>
      </c>
      <c r="H14" s="27">
        <f>IF(B$25=0,0,G14/B$25)</f>
        <v>0.05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</v>
      </c>
      <c r="E15" s="68" t="s">
        <v>77</v>
      </c>
      <c r="F15" s="64" t="s">
        <v>30</v>
      </c>
      <c r="G15" s="50">
        <v>1</v>
      </c>
      <c r="H15" s="27">
        <f>IF(B$25=0,0,G15/B$25)</f>
        <v>0.05</v>
      </c>
      <c r="J15" s="26">
        <v>13</v>
      </c>
      <c r="K15" s="28">
        <v>155.10000000000002</v>
      </c>
    </row>
    <row r="16" spans="1:16" x14ac:dyDescent="0.4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147.10000000000002</v>
      </c>
    </row>
    <row r="17" spans="1:11" x14ac:dyDescent="0.4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148.80000000000001</v>
      </c>
    </row>
    <row r="18" spans="1:11" x14ac:dyDescent="0.4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152.30000000000001</v>
      </c>
    </row>
    <row r="19" spans="1:11" x14ac:dyDescent="0.4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178.10000000000002</v>
      </c>
    </row>
    <row r="20" spans="1:11" x14ac:dyDescent="0.4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  <c r="J20" s="26">
        <v>18</v>
      </c>
      <c r="K20" s="28">
        <v>155.00000000000003</v>
      </c>
    </row>
    <row r="21" spans="1:11" x14ac:dyDescent="0.4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  <c r="J21" s="26">
        <v>19</v>
      </c>
      <c r="K21" s="28">
        <v>143.60000000000002</v>
      </c>
    </row>
    <row r="22" spans="1:11" x14ac:dyDescent="0.4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6">
        <v>67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8">
        <v>20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8" t="s">
        <v>202</v>
      </c>
      <c r="B26" s="90">
        <v>6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204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88AB-DC28-4C32-B073-18EFF44B2618}">
  <sheetPr codeName="Sheet13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160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62</v>
      </c>
      <c r="C2" s="87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4">
        <v>485</v>
      </c>
      <c r="C3" s="95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182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6">
        <v>-492.59999999999991</v>
      </c>
      <c r="C4" s="97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-33.9</v>
      </c>
      <c r="M4" s="26" t="s">
        <v>183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6">
        <f>IF(B$2=0,0,B$4/B$2)</f>
        <v>-7.945161290322579</v>
      </c>
      <c r="C5" s="97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-70.099999999999994</v>
      </c>
      <c r="M5" s="26" t="s">
        <v>184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8">
        <f>IF(B$2=0,0,(B$7*1+B$8*2+B$9*3)/B$2)</f>
        <v>2.2419354838709675</v>
      </c>
      <c r="C6" s="99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-35.099999999999994</v>
      </c>
      <c r="M6" s="26" t="s">
        <v>185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-146</v>
      </c>
    </row>
    <row r="11" spans="1:16" x14ac:dyDescent="0.4">
      <c r="A11" s="60" t="s">
        <v>191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79</v>
      </c>
      <c r="F14" s="64" t="s">
        <v>32</v>
      </c>
      <c r="G14" s="50">
        <v>4</v>
      </c>
      <c r="H14" s="27">
        <f>IF(B$25=0,0,G14/B$25)</f>
        <v>3.1746031746031744E-2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90</v>
      </c>
      <c r="F15" s="64" t="s">
        <v>43</v>
      </c>
      <c r="G15" s="50">
        <v>4</v>
      </c>
      <c r="H15" s="27">
        <f>IF(B$25=0,0,G15/B$25)</f>
        <v>3.1746031746031744E-2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-273.2</v>
      </c>
    </row>
    <row r="22" spans="1:11" x14ac:dyDescent="0.4">
      <c r="A22" s="57" t="s">
        <v>178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-270</v>
      </c>
    </row>
    <row r="23" spans="1:11" x14ac:dyDescent="0.4">
      <c r="A23" s="60" t="s">
        <v>179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448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126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202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204</v>
      </c>
      <c r="B27" s="79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  <row r="59" spans="5:11" x14ac:dyDescent="0.4">
      <c r="J59" s="26">
        <v>57</v>
      </c>
      <c r="K59" s="28">
        <v>-428.89999999999992</v>
      </c>
    </row>
    <row r="60" spans="5:11" x14ac:dyDescent="0.4">
      <c r="J60" s="26">
        <v>58</v>
      </c>
      <c r="K60" s="28">
        <v>-466.39999999999992</v>
      </c>
    </row>
    <row r="61" spans="5:11" x14ac:dyDescent="0.4">
      <c r="J61" s="26">
        <v>59</v>
      </c>
      <c r="K61" s="28">
        <v>-475.7999999999999</v>
      </c>
    </row>
    <row r="62" spans="5:11" x14ac:dyDescent="0.4">
      <c r="J62" s="26">
        <v>60</v>
      </c>
      <c r="K62" s="28">
        <v>-475.2999999999999</v>
      </c>
    </row>
    <row r="63" spans="5:11" x14ac:dyDescent="0.4">
      <c r="J63" s="26">
        <v>61</v>
      </c>
      <c r="K63" s="28">
        <v>-487.39999999999992</v>
      </c>
    </row>
    <row r="64" spans="5:11" x14ac:dyDescent="0.4">
      <c r="J64" s="26">
        <v>62</v>
      </c>
      <c r="K64" s="28">
        <v>-492.59999999999991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9BA4A-06BE-41BD-944C-CCCE6D652A09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194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34678-E839-46A8-9DF4-3D80E9F1B26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195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19</v>
      </c>
      <c r="C2" s="87"/>
      <c r="E2" s="67" t="s">
        <v>73</v>
      </c>
      <c r="F2" s="63" t="s">
        <v>27</v>
      </c>
      <c r="G2" s="49">
        <v>43</v>
      </c>
      <c r="H2" s="24">
        <f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0">IF(P2=0,0,O2/P2)</f>
        <v>-4400</v>
      </c>
      <c r="O2" s="41">
        <v>-83600</v>
      </c>
      <c r="P2" s="39">
        <v>19</v>
      </c>
    </row>
    <row r="3" spans="1:16" x14ac:dyDescent="0.4">
      <c r="A3" s="58" t="s">
        <v>8</v>
      </c>
      <c r="B3" s="94">
        <v>151</v>
      </c>
      <c r="C3" s="95"/>
      <c r="E3" s="68" t="s">
        <v>71</v>
      </c>
      <c r="F3" s="64" t="s">
        <v>25</v>
      </c>
      <c r="G3" s="50">
        <v>29</v>
      </c>
      <c r="H3" s="27">
        <f>IF(B$25=0,0,G3/B$25)</f>
        <v>0.72499999999999998</v>
      </c>
      <c r="J3" s="26">
        <v>1</v>
      </c>
      <c r="K3" s="28">
        <v>15</v>
      </c>
      <c r="M3" s="26" t="s">
        <v>182</v>
      </c>
      <c r="N3" s="45">
        <f t="shared" si="0"/>
        <v>3484.2105263157896</v>
      </c>
      <c r="O3" s="42">
        <v>66200</v>
      </c>
      <c r="P3" s="37">
        <v>19</v>
      </c>
    </row>
    <row r="4" spans="1:16" x14ac:dyDescent="0.4">
      <c r="A4" s="58" t="s">
        <v>6</v>
      </c>
      <c r="B4" s="96">
        <v>-60</v>
      </c>
      <c r="C4" s="97"/>
      <c r="E4" s="68" t="s">
        <v>78</v>
      </c>
      <c r="F4" s="64" t="s">
        <v>31</v>
      </c>
      <c r="G4" s="50">
        <v>29</v>
      </c>
      <c r="H4" s="27">
        <f>IF(B$25=0,0,G4/B$25)</f>
        <v>0.72499999999999998</v>
      </c>
      <c r="J4" s="26">
        <v>2</v>
      </c>
      <c r="K4" s="28">
        <v>-24.299999999999997</v>
      </c>
      <c r="M4" s="26" t="s">
        <v>183</v>
      </c>
      <c r="N4" s="45">
        <f t="shared" si="0"/>
        <v>125</v>
      </c>
      <c r="O4" s="42">
        <v>2000</v>
      </c>
      <c r="P4" s="37">
        <v>16</v>
      </c>
    </row>
    <row r="5" spans="1:16" x14ac:dyDescent="0.4">
      <c r="A5" s="58" t="s">
        <v>7</v>
      </c>
      <c r="B5" s="96">
        <f>IF(B$2=0,0,B$4/B$2)</f>
        <v>-3.1578947368421053</v>
      </c>
      <c r="C5" s="97"/>
      <c r="E5" s="68" t="s">
        <v>69</v>
      </c>
      <c r="F5" s="64" t="s">
        <v>23</v>
      </c>
      <c r="G5" s="50">
        <v>13</v>
      </c>
      <c r="H5" s="27">
        <f>IF(B$25=0,0,G5/B$25)</f>
        <v>0.32500000000000001</v>
      </c>
      <c r="J5" s="26">
        <v>3</v>
      </c>
      <c r="K5" s="28">
        <v>-15.599999999999998</v>
      </c>
      <c r="M5" s="26" t="s">
        <v>184</v>
      </c>
      <c r="N5" s="45">
        <f t="shared" si="0"/>
        <v>300</v>
      </c>
      <c r="O5" s="42">
        <v>4500</v>
      </c>
      <c r="P5" s="37">
        <v>15</v>
      </c>
    </row>
    <row r="6" spans="1:16" x14ac:dyDescent="0.4">
      <c r="A6" s="58" t="s">
        <v>1</v>
      </c>
      <c r="B6" s="98">
        <f>IF(B$2=0,0,(B$7*1+B$8*2+B$9*3)/B$2)</f>
        <v>2.1578947368421053</v>
      </c>
      <c r="C6" s="99"/>
      <c r="E6" s="68" t="s">
        <v>96</v>
      </c>
      <c r="F6" s="64" t="s">
        <v>49</v>
      </c>
      <c r="G6" s="50">
        <v>8</v>
      </c>
      <c r="H6" s="27">
        <f>IF(B$25=0,0,G6/B$25)</f>
        <v>0.2</v>
      </c>
      <c r="J6" s="26">
        <v>4</v>
      </c>
      <c r="K6" s="28">
        <v>5.1000000000000014</v>
      </c>
      <c r="M6" s="26" t="s">
        <v>185</v>
      </c>
      <c r="N6" s="45">
        <f t="shared" si="0"/>
        <v>-1935.7142857142858</v>
      </c>
      <c r="O6" s="42">
        <v>-27100</v>
      </c>
      <c r="P6" s="37">
        <v>14</v>
      </c>
    </row>
    <row r="7" spans="1:16" x14ac:dyDescent="0.4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9.6000000000000014</v>
      </c>
      <c r="M7" s="31" t="s">
        <v>186</v>
      </c>
      <c r="N7" s="46">
        <f t="shared" si="0"/>
        <v>-2000</v>
      </c>
      <c r="O7" s="43">
        <v>-22000</v>
      </c>
      <c r="P7" s="38">
        <v>11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90</v>
      </c>
      <c r="F8" s="64" t="s">
        <v>43</v>
      </c>
      <c r="G8" s="50">
        <v>7</v>
      </c>
      <c r="H8" s="27">
        <f>IF(B$25=0,0,G8/B$25)</f>
        <v>0.17499999999999999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8</v>
      </c>
      <c r="C9" s="29">
        <f t="shared" si="1"/>
        <v>0.42105263157894735</v>
      </c>
      <c r="E9" s="68" t="s">
        <v>70</v>
      </c>
      <c r="F9" s="64" t="s">
        <v>24</v>
      </c>
      <c r="G9" s="50">
        <v>5</v>
      </c>
      <c r="H9" s="27">
        <f>IF(B$25=0,0,G9/B$25)</f>
        <v>0.125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>IF(B$25=0,0,G10/B$25)</f>
        <v>0.125</v>
      </c>
      <c r="J10" s="26">
        <v>8</v>
      </c>
      <c r="K10" s="28">
        <v>-4.4999999999999964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>IF(B$25=0,0,G11/B$25)</f>
        <v>0.125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>IF(B$25=0,0,G12/B$25)</f>
        <v>0.1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>IF(B$25=0,0,G13/B$25)</f>
        <v>0.05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>IF(B$25=0,0,G14/B$25)</f>
        <v>0.05</v>
      </c>
      <c r="J14" s="26">
        <v>12</v>
      </c>
      <c r="K14" s="28">
        <v>-43.8</v>
      </c>
    </row>
    <row r="15" spans="1:16" x14ac:dyDescent="0.4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>IF(B$25=0,0,G15/B$25)</f>
        <v>0.05</v>
      </c>
      <c r="J15" s="26">
        <v>13</v>
      </c>
      <c r="K15" s="28">
        <v>-11.099999999999994</v>
      </c>
    </row>
    <row r="16" spans="1:16" x14ac:dyDescent="0.4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>IF(B$25=0,0,G16/B$25)</f>
        <v>0.05</v>
      </c>
      <c r="J16" s="26">
        <v>14</v>
      </c>
      <c r="K16" s="28">
        <v>-5.7999999999999945</v>
      </c>
    </row>
    <row r="17" spans="1:11" x14ac:dyDescent="0.4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>IF(B$25=0,0,G17/B$25)</f>
        <v>2.5000000000000001E-2</v>
      </c>
      <c r="J17" s="26">
        <v>15</v>
      </c>
      <c r="K17" s="28">
        <v>-44.199999999999996</v>
      </c>
    </row>
    <row r="18" spans="1:11" x14ac:dyDescent="0.4">
      <c r="A18" s="58" t="s">
        <v>11</v>
      </c>
      <c r="B18" s="50">
        <v>29</v>
      </c>
      <c r="C18" s="27">
        <f>IF(B$16=0,0,B18/B$16)</f>
        <v>0.72499999999999998</v>
      </c>
      <c r="E18" s="68" t="s">
        <v>92</v>
      </c>
      <c r="F18" s="64" t="s">
        <v>45</v>
      </c>
      <c r="G18" s="50">
        <v>1</v>
      </c>
      <c r="H18" s="27">
        <f>IF(B$25=0,0,G18/B$25)</f>
        <v>2.5000000000000001E-2</v>
      </c>
      <c r="J18" s="26">
        <v>16</v>
      </c>
      <c r="K18" s="28">
        <v>-25.599999999999994</v>
      </c>
    </row>
    <row r="19" spans="1:11" x14ac:dyDescent="0.4">
      <c r="A19" s="58" t="s">
        <v>13</v>
      </c>
      <c r="B19" s="50">
        <v>26</v>
      </c>
      <c r="C19" s="27">
        <f>IF(B$3=0,0,B19/B$3)</f>
        <v>0.17218543046357615</v>
      </c>
      <c r="E19" s="68" t="s">
        <v>98</v>
      </c>
      <c r="F19" s="64" t="s">
        <v>51</v>
      </c>
      <c r="G19" s="50">
        <v>1</v>
      </c>
      <c r="H19" s="27">
        <f>IF(B$25=0,0,G19/B$25)</f>
        <v>2.5000000000000001E-2</v>
      </c>
      <c r="J19" s="26">
        <v>17</v>
      </c>
      <c r="K19" s="28">
        <v>-39.799999999999997</v>
      </c>
    </row>
    <row r="20" spans="1:11" x14ac:dyDescent="0.4">
      <c r="A20" s="58" t="s">
        <v>5</v>
      </c>
      <c r="B20" s="54">
        <f>IF(B$16=0,0,C20/B$16)</f>
        <v>9597.5</v>
      </c>
      <c r="C20" s="30">
        <v>383900</v>
      </c>
      <c r="E20" s="68" t="s">
        <v>84</v>
      </c>
      <c r="F20" s="64" t="s">
        <v>37</v>
      </c>
      <c r="G20" s="50">
        <v>1</v>
      </c>
      <c r="H20" s="27">
        <f>IF(B$25=0,0,G20/B$25)</f>
        <v>2.5000000000000001E-2</v>
      </c>
      <c r="J20" s="26">
        <v>18</v>
      </c>
      <c r="K20" s="28">
        <v>-60.4</v>
      </c>
    </row>
    <row r="21" spans="1:11" x14ac:dyDescent="0.4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-60</v>
      </c>
    </row>
    <row r="22" spans="1:11" x14ac:dyDescent="0.4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6">
        <v>151</v>
      </c>
      <c r="C24" s="87"/>
      <c r="E24" s="68" t="s">
        <v>82</v>
      </c>
      <c r="F24" s="64" t="s">
        <v>35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8">
        <v>40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8" t="s">
        <v>202</v>
      </c>
      <c r="B26" s="90">
        <v>5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204</v>
      </c>
      <c r="B27" s="79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202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6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205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206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207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208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209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210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211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212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213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214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215</v>
      </c>
      <c r="B32" s="75">
        <v>43475.056238425925</v>
      </c>
      <c r="C32" s="74" t="s">
        <v>166</v>
      </c>
    </row>
    <row r="33" spans="1:10" x14ac:dyDescent="0.4">
      <c r="A33" s="74" t="s">
        <v>216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217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218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219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220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221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222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223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225</v>
      </c>
      <c r="B41" s="75">
        <v>43486.066643518519</v>
      </c>
      <c r="C41" s="74" t="s">
        <v>166</v>
      </c>
      <c r="D41" s="74" t="s">
        <v>167</v>
      </c>
      <c r="E41" s="74" t="s">
        <v>168</v>
      </c>
      <c r="F41" s="74" t="s">
        <v>169</v>
      </c>
    </row>
    <row r="42" spans="1:10" x14ac:dyDescent="0.4">
      <c r="A42" s="74" t="s">
        <v>226</v>
      </c>
      <c r="B42" s="75">
        <v>43487.036203703705</v>
      </c>
      <c r="C42" s="74" t="s">
        <v>166</v>
      </c>
      <c r="D42" s="74" t="s">
        <v>167</v>
      </c>
      <c r="E42" s="74" t="s">
        <v>168</v>
      </c>
      <c r="F42" s="74" t="s">
        <v>169</v>
      </c>
      <c r="G42" s="74" t="s">
        <v>170</v>
      </c>
      <c r="H42" s="74" t="s">
        <v>171</v>
      </c>
      <c r="I42" s="74" t="s">
        <v>172</v>
      </c>
    </row>
    <row r="43" spans="1:10" x14ac:dyDescent="0.4">
      <c r="A43" s="74" t="s">
        <v>227</v>
      </c>
      <c r="B43" s="75">
        <v>43488.059837962966</v>
      </c>
      <c r="C43" s="74" t="s">
        <v>166</v>
      </c>
      <c r="D43" s="74" t="s">
        <v>167</v>
      </c>
      <c r="E43" s="74" t="s">
        <v>168</v>
      </c>
      <c r="F43" s="74" t="s">
        <v>169</v>
      </c>
      <c r="G43" s="74" t="s">
        <v>170</v>
      </c>
      <c r="H43" s="74" t="s">
        <v>171</v>
      </c>
      <c r="I43" s="74" t="s">
        <v>172</v>
      </c>
    </row>
    <row r="44" spans="1:10" x14ac:dyDescent="0.4">
      <c r="A44" s="74" t="s">
        <v>228</v>
      </c>
      <c r="B44" s="75">
        <v>43489.041319444441</v>
      </c>
      <c r="C44" s="74" t="s">
        <v>166</v>
      </c>
      <c r="D44" s="74" t="s">
        <v>167</v>
      </c>
      <c r="E44" s="74" t="s">
        <v>168</v>
      </c>
    </row>
    <row r="45" spans="1:10" x14ac:dyDescent="0.4">
      <c r="A45" s="74" t="s">
        <v>229</v>
      </c>
      <c r="B45" s="75">
        <v>43491.152187500003</v>
      </c>
      <c r="C45" s="74" t="s">
        <v>166</v>
      </c>
      <c r="D45" s="74" t="s">
        <v>167</v>
      </c>
      <c r="E45" s="74" t="s">
        <v>168</v>
      </c>
      <c r="F45" s="74" t="s">
        <v>169</v>
      </c>
      <c r="G45" s="74" t="s">
        <v>170</v>
      </c>
      <c r="H45" s="74" t="s">
        <v>171</v>
      </c>
    </row>
    <row r="46" spans="1:10" x14ac:dyDescent="0.4">
      <c r="A46" s="74" t="s">
        <v>230</v>
      </c>
      <c r="B46" s="75">
        <v>43492.103807870371</v>
      </c>
      <c r="C46" s="74" t="s">
        <v>166</v>
      </c>
      <c r="D46" s="74" t="s">
        <v>167</v>
      </c>
      <c r="E46" s="74" t="s">
        <v>168</v>
      </c>
      <c r="F46" s="74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2019-01-26T17:34:44Z</dcterms:modified>
</cp:coreProperties>
</file>