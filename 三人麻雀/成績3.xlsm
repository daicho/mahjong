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184A08EA-5994-4F2A-A408-D5266990E02F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084" r:id="rId2"/>
    <sheet name="りくと" sheetId="1085" r:id="rId3"/>
    <sheet name="いっしー" sheetId="1086" r:id="rId4"/>
    <sheet name="かこたろう" sheetId="1087" r:id="rId5"/>
    <sheet name="ともき" sheetId="1088" r:id="rId6"/>
    <sheet name="がくと" sheetId="1089" r:id="rId7"/>
    <sheet name="たかの" sheetId="1090" r:id="rId8"/>
    <sheet name="ただ" sheetId="1091" r:id="rId9"/>
    <sheet name="やがさき" sheetId="1092" r:id="rId10"/>
    <sheet name="れんたろう" sheetId="1093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093" l="1"/>
  <c r="C14" i="1093"/>
  <c r="C13" i="1093"/>
  <c r="C12" i="1093"/>
  <c r="B11" i="1093"/>
  <c r="B15" i="1093" s="1"/>
  <c r="C10" i="1093"/>
  <c r="C9" i="1093"/>
  <c r="C8" i="1093"/>
  <c r="C7" i="1093"/>
  <c r="B6" i="1093"/>
  <c r="B5" i="1093"/>
  <c r="C11" i="1093" l="1"/>
  <c r="B16" i="1092"/>
  <c r="C14" i="1092"/>
  <c r="C13" i="1092"/>
  <c r="C12" i="1092"/>
  <c r="B11" i="1092"/>
  <c r="B15" i="1092" s="1"/>
  <c r="C10" i="1092"/>
  <c r="C9" i="1092"/>
  <c r="C8" i="1092"/>
  <c r="C7" i="1092"/>
  <c r="B6" i="1092"/>
  <c r="B5" i="1092"/>
  <c r="C11" i="1092" l="1"/>
  <c r="B16" i="1091" l="1"/>
  <c r="C14" i="1091"/>
  <c r="C13" i="1091"/>
  <c r="C12" i="1091"/>
  <c r="B11" i="1091"/>
  <c r="B15" i="1091" s="1"/>
  <c r="C10" i="1091"/>
  <c r="C9" i="1091"/>
  <c r="C8" i="1091"/>
  <c r="C7" i="1091"/>
  <c r="B6" i="1091"/>
  <c r="B5" i="1091"/>
  <c r="B16" i="1090"/>
  <c r="C14" i="1090"/>
  <c r="C13" i="1090"/>
  <c r="C12" i="1090"/>
  <c r="B11" i="1090"/>
  <c r="B15" i="1090" s="1"/>
  <c r="C10" i="1090"/>
  <c r="C9" i="1090"/>
  <c r="C8" i="1090"/>
  <c r="C7" i="1090"/>
  <c r="B6" i="1090"/>
  <c r="B5" i="1090"/>
  <c r="C11" i="1091" l="1"/>
  <c r="C11" i="1090"/>
  <c r="B16" i="1089" l="1"/>
  <c r="C14" i="1089"/>
  <c r="C13" i="1089"/>
  <c r="C12" i="1089"/>
  <c r="B11" i="1089"/>
  <c r="B15" i="1089" s="1"/>
  <c r="C10" i="1089"/>
  <c r="C9" i="1089"/>
  <c r="C8" i="1089"/>
  <c r="C7" i="1089"/>
  <c r="B6" i="1089"/>
  <c r="B5" i="1089"/>
  <c r="C11" i="1089" l="1"/>
  <c r="B16" i="1088" l="1"/>
  <c r="C14" i="1088"/>
  <c r="C13" i="1088"/>
  <c r="C12" i="1088"/>
  <c r="B11" i="1088"/>
  <c r="B15" i="1088" s="1"/>
  <c r="C10" i="1088"/>
  <c r="C9" i="1088"/>
  <c r="C8" i="1088"/>
  <c r="C7" i="1088"/>
  <c r="B6" i="1088"/>
  <c r="B5" i="1088"/>
  <c r="B16" i="1087"/>
  <c r="C14" i="1087"/>
  <c r="C13" i="1087"/>
  <c r="C12" i="1087"/>
  <c r="B11" i="1087"/>
  <c r="B15" i="1087" s="1"/>
  <c r="C10" i="1087"/>
  <c r="C9" i="1087"/>
  <c r="C8" i="1087"/>
  <c r="C7" i="1087"/>
  <c r="B6" i="1087"/>
  <c r="B5" i="1087"/>
  <c r="C11" i="1088" l="1"/>
  <c r="C11" i="1087"/>
  <c r="B16" i="1086" l="1"/>
  <c r="C14" i="1086"/>
  <c r="C13" i="1086"/>
  <c r="C12" i="1086"/>
  <c r="B11" i="1086"/>
  <c r="B15" i="1086" s="1"/>
  <c r="C10" i="1086"/>
  <c r="C9" i="1086"/>
  <c r="C8" i="1086"/>
  <c r="C7" i="1086"/>
  <c r="B6" i="1086"/>
  <c r="B5" i="1086"/>
  <c r="B16" i="1085"/>
  <c r="C14" i="1085"/>
  <c r="C13" i="1085"/>
  <c r="C12" i="1085"/>
  <c r="B11" i="1085"/>
  <c r="B15" i="1085" s="1"/>
  <c r="C10" i="1085"/>
  <c r="C9" i="1085"/>
  <c r="C8" i="1085"/>
  <c r="C7" i="1085"/>
  <c r="B6" i="1085"/>
  <c r="B5" i="1085"/>
  <c r="B16" i="1084"/>
  <c r="C14" i="1084"/>
  <c r="C13" i="1084"/>
  <c r="C12" i="1084"/>
  <c r="B11" i="1084"/>
  <c r="B15" i="1084" s="1"/>
  <c r="C10" i="1084"/>
  <c r="C9" i="1084"/>
  <c r="C8" i="1084"/>
  <c r="C7" i="1084"/>
  <c r="B6" i="1084"/>
  <c r="B5" i="1084"/>
  <c r="C11" i="1086" l="1"/>
  <c r="C11" i="1085"/>
  <c r="C11" i="1084"/>
  <c r="C11" i="1" l="1"/>
  <c r="C12" i="1"/>
  <c r="C14" i="1"/>
  <c r="C13" i="1"/>
  <c r="C10" i="1" l="1"/>
  <c r="C7" i="1"/>
  <c r="C9" i="1" l="1"/>
  <c r="C8" i="1" l="1"/>
  <c r="B16" i="1" l="1"/>
  <c r="B15" i="1"/>
  <c r="B11" i="1" l="1"/>
  <c r="B5" i="1" l="1"/>
  <c r="B6" i="1"/>
</calcChain>
</file>

<file path=xl/sharedStrings.xml><?xml version="1.0" encoding="utf-8"?>
<sst xmlns="http://schemas.openxmlformats.org/spreadsheetml/2006/main" count="285" uniqueCount="40">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</sst>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1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B1" s="38" t="s">
        <v>6</v>
      </c>
      <c r="C1" s="39"/>
      <c r="D1" s="38" t="s">
        <v>7</v>
      </c>
      <c r="E1" s="39"/>
      <c r="F1" s="38" t="s">
        <v>23</v>
      </c>
      <c r="G1" s="39"/>
      <c r="H1" s="38" t="s">
        <v>22</v>
      </c>
      <c r="I1" s="39"/>
      <c r="J1" s="38" t="s">
        <v>33</v>
      </c>
      <c r="K1" s="39"/>
      <c r="L1" s="38" t="s">
        <v>24</v>
      </c>
      <c r="M1" s="39"/>
      <c r="N1" s="38" t="s">
        <v>25</v>
      </c>
      <c r="O1" s="39"/>
      <c r="P1" s="38" t="s">
        <v>5</v>
      </c>
      <c r="Q1" s="39"/>
      <c r="R1" s="38" t="s">
        <v>32</v>
      </c>
      <c r="S1" s="39"/>
    </row>
    <row r="2" spans="1:19" x14ac:dyDescent="0.4">
      <c r="A2" s="33">
        <v>1</v>
      </c>
      <c r="B2" s="32" t="s">
        <v>26</v>
      </c>
      <c r="C2" s="25">
        <v>257</v>
      </c>
      <c r="D2" s="20" t="s">
        <v>18</v>
      </c>
      <c r="E2" s="24">
        <v>7</v>
      </c>
      <c r="F2" s="20" t="s">
        <v>35</v>
      </c>
      <c r="G2" s="31">
        <v>1.75</v>
      </c>
      <c r="H2" s="20" t="s">
        <v>35</v>
      </c>
      <c r="I2" s="23">
        <v>0.5</v>
      </c>
      <c r="J2" s="20" t="s">
        <v>18</v>
      </c>
      <c r="K2" s="23">
        <v>0</v>
      </c>
      <c r="L2" s="20" t="s">
        <v>18</v>
      </c>
      <c r="M2" s="22">
        <v>0.4</v>
      </c>
      <c r="N2" s="20" t="s">
        <v>28</v>
      </c>
      <c r="O2" s="22">
        <v>0.13235294117647059</v>
      </c>
      <c r="P2" s="20" t="s">
        <v>27</v>
      </c>
      <c r="Q2" s="21">
        <v>11700</v>
      </c>
      <c r="R2" s="20" t="s">
        <v>30</v>
      </c>
      <c r="S2" s="21">
        <v>-7500</v>
      </c>
    </row>
    <row r="3" spans="1:19" x14ac:dyDescent="0.4">
      <c r="A3" s="33">
        <v>2</v>
      </c>
      <c r="B3" s="32" t="s">
        <v>28</v>
      </c>
      <c r="C3" s="25">
        <v>229</v>
      </c>
      <c r="D3" s="20" t="s">
        <v>35</v>
      </c>
      <c r="E3" s="24">
        <v>6.916666666666667</v>
      </c>
      <c r="F3" s="20" t="s">
        <v>28</v>
      </c>
      <c r="G3" s="31">
        <v>1.8461538461538463</v>
      </c>
      <c r="H3" s="20" t="s">
        <v>31</v>
      </c>
      <c r="I3" s="23">
        <v>0.37037037037037035</v>
      </c>
      <c r="J3" s="20" t="s">
        <v>31</v>
      </c>
      <c r="K3" s="23">
        <v>0.1111111111111111</v>
      </c>
      <c r="L3" s="20" t="s">
        <v>28</v>
      </c>
      <c r="M3" s="22">
        <v>0.35661764705882354</v>
      </c>
      <c r="N3" s="20" t="s">
        <v>35</v>
      </c>
      <c r="O3" s="22">
        <v>0.13414634146341464</v>
      </c>
      <c r="P3" s="20" t="s">
        <v>31</v>
      </c>
      <c r="Q3" s="21">
        <v>11100</v>
      </c>
      <c r="R3" s="20" t="s">
        <v>37</v>
      </c>
      <c r="S3" s="21">
        <v>-8200</v>
      </c>
    </row>
    <row r="4" spans="1:19" x14ac:dyDescent="0.4">
      <c r="A4" s="33">
        <v>3</v>
      </c>
      <c r="B4" s="32" t="s">
        <v>31</v>
      </c>
      <c r="C4" s="25">
        <v>112</v>
      </c>
      <c r="D4" s="20" t="s">
        <v>28</v>
      </c>
      <c r="E4" s="24">
        <v>5.8717948717948714</v>
      </c>
      <c r="F4" s="20" t="s">
        <v>26</v>
      </c>
      <c r="G4" s="31">
        <v>1.8987341772151898</v>
      </c>
      <c r="H4" s="20" t="s">
        <v>28</v>
      </c>
      <c r="I4" s="23">
        <v>0.35897435897435898</v>
      </c>
      <c r="J4" s="20" t="s">
        <v>26</v>
      </c>
      <c r="K4" s="23">
        <v>0.12658227848101267</v>
      </c>
      <c r="L4" s="20" t="s">
        <v>26</v>
      </c>
      <c r="M4" s="22">
        <v>0.34402852049910876</v>
      </c>
      <c r="N4" s="20" t="s">
        <v>31</v>
      </c>
      <c r="O4" s="22">
        <v>0.14213197969543148</v>
      </c>
      <c r="P4" s="20" t="s">
        <v>35</v>
      </c>
      <c r="Q4" s="21">
        <v>10900</v>
      </c>
      <c r="R4" s="20" t="s">
        <v>21</v>
      </c>
      <c r="S4" s="21">
        <v>-8500</v>
      </c>
    </row>
    <row r="5" spans="1:19" x14ac:dyDescent="0.4">
      <c r="A5" s="33">
        <v>4</v>
      </c>
      <c r="B5" s="32" t="s">
        <v>35</v>
      </c>
      <c r="C5" s="25">
        <v>83</v>
      </c>
      <c r="D5" s="20" t="s">
        <v>31</v>
      </c>
      <c r="E5" s="24">
        <v>4.1481481481481479</v>
      </c>
      <c r="F5" s="20" t="s">
        <v>31</v>
      </c>
      <c r="G5" s="31">
        <v>1.9259259259259258</v>
      </c>
      <c r="H5" s="20" t="s">
        <v>26</v>
      </c>
      <c r="I5" s="23">
        <v>0.35443037974683544</v>
      </c>
      <c r="J5" s="20" t="s">
        <v>28</v>
      </c>
      <c r="K5" s="23">
        <v>0.12820512820512819</v>
      </c>
      <c r="L5" s="20" t="s">
        <v>35</v>
      </c>
      <c r="M5" s="22">
        <v>0.34146341463414637</v>
      </c>
      <c r="N5" s="20" t="s">
        <v>26</v>
      </c>
      <c r="O5" s="22">
        <v>0.15508021390374332</v>
      </c>
      <c r="P5" s="20" t="s">
        <v>30</v>
      </c>
      <c r="Q5" s="21">
        <v>10700</v>
      </c>
      <c r="R5" s="20" t="s">
        <v>31</v>
      </c>
      <c r="S5" s="21">
        <v>-9400</v>
      </c>
    </row>
    <row r="6" spans="1:19" x14ac:dyDescent="0.4">
      <c r="A6" s="33">
        <v>5</v>
      </c>
      <c r="B6" s="32" t="s">
        <v>18</v>
      </c>
      <c r="C6" s="25">
        <v>7</v>
      </c>
      <c r="D6" s="20" t="s">
        <v>26</v>
      </c>
      <c r="E6" s="24">
        <v>3.2531645569620253</v>
      </c>
      <c r="F6" s="20" t="s">
        <v>18</v>
      </c>
      <c r="G6" s="31">
        <v>2</v>
      </c>
      <c r="H6" s="20" t="s">
        <v>27</v>
      </c>
      <c r="I6" s="23">
        <v>0.33333333333333331</v>
      </c>
      <c r="J6" s="20" t="s">
        <v>30</v>
      </c>
      <c r="K6" s="23">
        <v>0.14285714285714285</v>
      </c>
      <c r="L6" s="20" t="s">
        <v>31</v>
      </c>
      <c r="M6" s="22">
        <v>0.29949238578680204</v>
      </c>
      <c r="N6" s="20" t="s">
        <v>18</v>
      </c>
      <c r="O6" s="22">
        <v>0.2</v>
      </c>
      <c r="P6" s="20" t="s">
        <v>29</v>
      </c>
      <c r="Q6" s="21">
        <v>10700</v>
      </c>
      <c r="R6" s="20" t="s">
        <v>28</v>
      </c>
      <c r="S6" s="21">
        <v>-9600</v>
      </c>
    </row>
    <row r="7" spans="1:19" x14ac:dyDescent="0.4">
      <c r="A7" s="33">
        <v>6</v>
      </c>
      <c r="B7" s="32" t="s">
        <v>30</v>
      </c>
      <c r="C7" s="25">
        <v>-27</v>
      </c>
      <c r="D7" s="20" t="s">
        <v>30</v>
      </c>
      <c r="E7" s="24">
        <v>-0.9642857142857143</v>
      </c>
      <c r="F7" s="20" t="s">
        <v>21</v>
      </c>
      <c r="G7" s="31">
        <v>2</v>
      </c>
      <c r="H7" s="20" t="s">
        <v>30</v>
      </c>
      <c r="I7" s="23">
        <v>0.2857142857142857</v>
      </c>
      <c r="J7" s="20" t="s">
        <v>35</v>
      </c>
      <c r="K7" s="23">
        <v>0.25</v>
      </c>
      <c r="L7" s="20" t="s">
        <v>30</v>
      </c>
      <c r="M7" s="22">
        <v>0.2818181818181818</v>
      </c>
      <c r="N7" s="20" t="s">
        <v>30</v>
      </c>
      <c r="O7" s="22">
        <v>0.20454545454545456</v>
      </c>
      <c r="P7" s="20" t="s">
        <v>26</v>
      </c>
      <c r="Q7" s="21">
        <v>10000</v>
      </c>
      <c r="R7" s="20" t="s">
        <v>35</v>
      </c>
      <c r="S7" s="21">
        <v>-9900</v>
      </c>
    </row>
    <row r="8" spans="1:19" x14ac:dyDescent="0.4">
      <c r="A8" s="33">
        <v>7</v>
      </c>
      <c r="B8" s="32" t="s">
        <v>21</v>
      </c>
      <c r="C8" s="25">
        <v>-41</v>
      </c>
      <c r="D8" s="20" t="s">
        <v>27</v>
      </c>
      <c r="E8" s="24">
        <v>-5.7111111111111112</v>
      </c>
      <c r="F8" s="20" t="s">
        <v>30</v>
      </c>
      <c r="G8" s="31">
        <v>2.0714285714285716</v>
      </c>
      <c r="H8" s="20" t="s">
        <v>29</v>
      </c>
      <c r="I8" s="23">
        <v>0.15384615384615385</v>
      </c>
      <c r="J8" s="20" t="s">
        <v>27</v>
      </c>
      <c r="K8" s="23">
        <v>0.28888888888888886</v>
      </c>
      <c r="L8" s="20" t="s">
        <v>27</v>
      </c>
      <c r="M8" s="22">
        <v>0.23692307692307693</v>
      </c>
      <c r="N8" s="20" t="s">
        <v>29</v>
      </c>
      <c r="O8" s="22">
        <v>0.21052631578947367</v>
      </c>
      <c r="P8" s="20" t="s">
        <v>28</v>
      </c>
      <c r="Q8" s="21">
        <v>9600</v>
      </c>
      <c r="R8" s="20" t="s">
        <v>26</v>
      </c>
      <c r="S8" s="21">
        <v>-10400</v>
      </c>
    </row>
    <row r="9" spans="1:19" x14ac:dyDescent="0.4">
      <c r="A9" s="33">
        <v>8</v>
      </c>
      <c r="B9" s="32" t="s">
        <v>37</v>
      </c>
      <c r="C9" s="25">
        <v>-132</v>
      </c>
      <c r="D9" s="20" t="s">
        <v>29</v>
      </c>
      <c r="E9" s="24">
        <v>-18.076923076923077</v>
      </c>
      <c r="F9" s="20" t="s">
        <v>27</v>
      </c>
      <c r="G9" s="31">
        <v>2.1333333333333333</v>
      </c>
      <c r="H9" s="20" t="s">
        <v>37</v>
      </c>
      <c r="I9" s="23">
        <v>0</v>
      </c>
      <c r="J9" s="20" t="s">
        <v>29</v>
      </c>
      <c r="K9" s="23">
        <v>0.38461538461538464</v>
      </c>
      <c r="L9" s="20" t="s">
        <v>29</v>
      </c>
      <c r="M9" s="22">
        <v>0.22105263157894736</v>
      </c>
      <c r="N9" s="20" t="s">
        <v>27</v>
      </c>
      <c r="O9" s="22">
        <v>0.21846153846153846</v>
      </c>
      <c r="P9" s="20" t="s">
        <v>18</v>
      </c>
      <c r="Q9" s="21">
        <v>8000</v>
      </c>
      <c r="R9" s="20" t="s">
        <v>27</v>
      </c>
      <c r="S9" s="21">
        <v>-10600</v>
      </c>
    </row>
    <row r="10" spans="1:19" x14ac:dyDescent="0.4">
      <c r="A10" s="33">
        <v>9</v>
      </c>
      <c r="B10" s="32" t="s">
        <v>29</v>
      </c>
      <c r="C10" s="25">
        <v>-235</v>
      </c>
      <c r="D10" s="20" t="s">
        <v>37</v>
      </c>
      <c r="E10" s="24">
        <v>-33</v>
      </c>
      <c r="F10" s="20" t="s">
        <v>29</v>
      </c>
      <c r="G10" s="31">
        <v>2.5384615384615383</v>
      </c>
      <c r="H10" s="20" t="s">
        <v>18</v>
      </c>
      <c r="I10" s="23">
        <v>0</v>
      </c>
      <c r="J10" s="20" t="s">
        <v>37</v>
      </c>
      <c r="K10" s="23">
        <v>0.5</v>
      </c>
      <c r="L10" s="20" t="s">
        <v>21</v>
      </c>
      <c r="M10" s="22">
        <v>0.16666666666666666</v>
      </c>
      <c r="N10" s="20" t="s">
        <v>21</v>
      </c>
      <c r="O10" s="22">
        <v>0.33333333333333331</v>
      </c>
      <c r="P10" s="20" t="s">
        <v>37</v>
      </c>
      <c r="Q10" s="21">
        <v>7800</v>
      </c>
      <c r="R10" s="20" t="s">
        <v>29</v>
      </c>
      <c r="S10" s="21">
        <v>-10800</v>
      </c>
    </row>
    <row r="11" spans="1:19" x14ac:dyDescent="0.4">
      <c r="A11" s="33">
        <v>10</v>
      </c>
      <c r="B11" s="32" t="s">
        <v>27</v>
      </c>
      <c r="C11" s="25">
        <v>-257</v>
      </c>
      <c r="D11" s="20" t="s">
        <v>21</v>
      </c>
      <c r="E11" s="24">
        <v>-41</v>
      </c>
      <c r="F11" s="20" t="s">
        <v>37</v>
      </c>
      <c r="G11" s="31">
        <v>3</v>
      </c>
      <c r="H11" s="20" t="s">
        <v>21</v>
      </c>
      <c r="I11" s="23">
        <v>0</v>
      </c>
      <c r="J11" s="20" t="s">
        <v>21</v>
      </c>
      <c r="K11" s="23">
        <v>1</v>
      </c>
      <c r="L11" s="20" t="s">
        <v>37</v>
      </c>
      <c r="M11" s="22">
        <v>0.04</v>
      </c>
      <c r="N11" s="20" t="s">
        <v>37</v>
      </c>
      <c r="O11" s="22">
        <v>0.4</v>
      </c>
      <c r="P11" s="20" t="s">
        <v>21</v>
      </c>
      <c r="Q11" s="21">
        <v>1300</v>
      </c>
      <c r="R11" s="20" t="s">
        <v>18</v>
      </c>
      <c r="S11" s="21">
        <v>-12000</v>
      </c>
    </row>
  </sheetData>
  <sortState ref="R2:S19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DAC98-C3AD-42F3-BCA7-0851DF643996}">
  <sheetPr codeName="Sheet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15</v>
      </c>
      <c r="C1" s="41"/>
    </row>
    <row r="2" spans="1:3" ht="19.5" thickTop="1" x14ac:dyDescent="0.4">
      <c r="A2" s="4" t="s">
        <v>9</v>
      </c>
      <c r="B2" s="9">
        <v>79</v>
      </c>
      <c r="C2" s="11"/>
    </row>
    <row r="3" spans="1:3" x14ac:dyDescent="0.4">
      <c r="A3" s="5" t="s">
        <v>8</v>
      </c>
      <c r="B3" s="1">
        <v>561</v>
      </c>
      <c r="C3" s="12"/>
    </row>
    <row r="4" spans="1:3" x14ac:dyDescent="0.4">
      <c r="A4" s="5" t="s">
        <v>6</v>
      </c>
      <c r="B4" s="2">
        <v>257</v>
      </c>
      <c r="C4" s="13"/>
    </row>
    <row r="5" spans="1:3" x14ac:dyDescent="0.4">
      <c r="A5" s="5" t="s">
        <v>7</v>
      </c>
      <c r="B5" s="10">
        <f>B4/B2</f>
        <v>3.2531645569620253</v>
      </c>
      <c r="C5" s="14"/>
    </row>
    <row r="6" spans="1:3" x14ac:dyDescent="0.4">
      <c r="A6" s="5" t="s">
        <v>1</v>
      </c>
      <c r="B6" s="30">
        <f>(B7*1+B8*2+B9*3)/B2</f>
        <v>1.8987341772151898</v>
      </c>
      <c r="C6" s="15"/>
    </row>
    <row r="7" spans="1:3" x14ac:dyDescent="0.4">
      <c r="A7" s="5" t="s">
        <v>2</v>
      </c>
      <c r="B7" s="1">
        <v>28</v>
      </c>
      <c r="C7" s="6">
        <f>B7/B2</f>
        <v>0.35443037974683544</v>
      </c>
    </row>
    <row r="8" spans="1:3" x14ac:dyDescent="0.4">
      <c r="A8" s="5" t="s">
        <v>3</v>
      </c>
      <c r="B8" s="1">
        <v>31</v>
      </c>
      <c r="C8" s="6">
        <f>B8/B2</f>
        <v>0.39240506329113922</v>
      </c>
    </row>
    <row r="9" spans="1:3" x14ac:dyDescent="0.4">
      <c r="A9" s="27" t="s">
        <v>4</v>
      </c>
      <c r="B9" s="28">
        <v>20</v>
      </c>
      <c r="C9" s="29">
        <f>B9/B2</f>
        <v>0.25316455696202533</v>
      </c>
    </row>
    <row r="10" spans="1:3" ht="19.5" thickBot="1" x14ac:dyDescent="0.45">
      <c r="A10" s="35" t="s">
        <v>34</v>
      </c>
      <c r="B10" s="36">
        <v>10</v>
      </c>
      <c r="C10" s="37">
        <f>B10/B2</f>
        <v>0.12658227848101267</v>
      </c>
    </row>
    <row r="11" spans="1:3" ht="19.5" thickTop="1" x14ac:dyDescent="0.4">
      <c r="A11" s="4" t="s">
        <v>10</v>
      </c>
      <c r="B11" s="9">
        <f>B12+B13</f>
        <v>193</v>
      </c>
      <c r="C11" s="16">
        <f>B11/B3</f>
        <v>0.34402852049910876</v>
      </c>
    </row>
    <row r="12" spans="1:3" x14ac:dyDescent="0.4">
      <c r="A12" s="5" t="s">
        <v>11</v>
      </c>
      <c r="B12" s="1">
        <v>125</v>
      </c>
      <c r="C12" s="6">
        <f>B12/B3</f>
        <v>0.22281639928698752</v>
      </c>
    </row>
    <row r="13" spans="1:3" x14ac:dyDescent="0.4">
      <c r="A13" s="5" t="s">
        <v>12</v>
      </c>
      <c r="B13" s="1">
        <v>68</v>
      </c>
      <c r="C13" s="6">
        <f>B13/B3</f>
        <v>0.12121212121212122</v>
      </c>
    </row>
    <row r="14" spans="1:3" x14ac:dyDescent="0.4">
      <c r="A14" s="5" t="s">
        <v>13</v>
      </c>
      <c r="B14" s="1">
        <v>87</v>
      </c>
      <c r="C14" s="6">
        <f>B14/B3</f>
        <v>0.15508021390374332</v>
      </c>
    </row>
    <row r="15" spans="1:3" x14ac:dyDescent="0.4">
      <c r="A15" s="5" t="s">
        <v>5</v>
      </c>
      <c r="B15" s="8">
        <f>IF(B11=0,0,ROUND(C15/B11,-2))</f>
        <v>10000</v>
      </c>
      <c r="C15" s="17">
        <v>1926600</v>
      </c>
    </row>
    <row r="16" spans="1:3" x14ac:dyDescent="0.4">
      <c r="A16" s="7" t="s">
        <v>14</v>
      </c>
      <c r="B16" s="18">
        <f>IF(B14=0,0,ROUND(C16/B14,-2))</f>
        <v>-10400</v>
      </c>
      <c r="C16" s="19">
        <v>-904400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1DA3-7125-4263-8C74-BEA526D4A5E3}">
  <sheetPr codeName="Sheet3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19</v>
      </c>
      <c r="C1" s="41"/>
    </row>
    <row r="2" spans="1:3" ht="19.5" thickTop="1" x14ac:dyDescent="0.4">
      <c r="A2" s="4" t="s">
        <v>9</v>
      </c>
      <c r="B2" s="9">
        <v>45</v>
      </c>
      <c r="C2" s="11"/>
    </row>
    <row r="3" spans="1:3" x14ac:dyDescent="0.4">
      <c r="A3" s="5" t="s">
        <v>8</v>
      </c>
      <c r="B3" s="1">
        <v>325</v>
      </c>
      <c r="C3" s="12"/>
    </row>
    <row r="4" spans="1:3" x14ac:dyDescent="0.4">
      <c r="A4" s="5" t="s">
        <v>6</v>
      </c>
      <c r="B4" s="2">
        <v>-257</v>
      </c>
      <c r="C4" s="13"/>
    </row>
    <row r="5" spans="1:3" x14ac:dyDescent="0.4">
      <c r="A5" s="5" t="s">
        <v>7</v>
      </c>
      <c r="B5" s="10">
        <f>B4/B2</f>
        <v>-5.7111111111111112</v>
      </c>
      <c r="C5" s="14"/>
    </row>
    <row r="6" spans="1:3" x14ac:dyDescent="0.4">
      <c r="A6" s="5" t="s">
        <v>1</v>
      </c>
      <c r="B6" s="30">
        <f>(B7*1+B8*2+B9*3)/B2</f>
        <v>2.1333333333333333</v>
      </c>
      <c r="C6" s="15"/>
    </row>
    <row r="7" spans="1:3" x14ac:dyDescent="0.4">
      <c r="A7" s="5" t="s">
        <v>2</v>
      </c>
      <c r="B7" s="1">
        <v>15</v>
      </c>
      <c r="C7" s="6">
        <f>B7/B2</f>
        <v>0.33333333333333331</v>
      </c>
    </row>
    <row r="8" spans="1:3" x14ac:dyDescent="0.4">
      <c r="A8" s="5" t="s">
        <v>3</v>
      </c>
      <c r="B8" s="1">
        <v>9</v>
      </c>
      <c r="C8" s="6">
        <f>B8/B2</f>
        <v>0.2</v>
      </c>
    </row>
    <row r="9" spans="1:3" x14ac:dyDescent="0.4">
      <c r="A9" s="27" t="s">
        <v>4</v>
      </c>
      <c r="B9" s="28">
        <v>21</v>
      </c>
      <c r="C9" s="29">
        <f>B9/B2</f>
        <v>0.46666666666666667</v>
      </c>
    </row>
    <row r="10" spans="1:3" ht="19.5" thickBot="1" x14ac:dyDescent="0.45">
      <c r="A10" s="35" t="s">
        <v>34</v>
      </c>
      <c r="B10" s="36">
        <v>13</v>
      </c>
      <c r="C10" s="37">
        <f>B10/B2</f>
        <v>0.28888888888888886</v>
      </c>
    </row>
    <row r="11" spans="1:3" ht="19.5" thickTop="1" x14ac:dyDescent="0.4">
      <c r="A11" s="4" t="s">
        <v>10</v>
      </c>
      <c r="B11" s="9">
        <f>B12+B13</f>
        <v>77</v>
      </c>
      <c r="C11" s="16">
        <f>B11/B3</f>
        <v>0.23692307692307693</v>
      </c>
    </row>
    <row r="12" spans="1:3" x14ac:dyDescent="0.4">
      <c r="A12" s="5" t="s">
        <v>11</v>
      </c>
      <c r="B12" s="1">
        <v>42</v>
      </c>
      <c r="C12" s="6">
        <f>B12/B3</f>
        <v>0.12923076923076923</v>
      </c>
    </row>
    <row r="13" spans="1:3" x14ac:dyDescent="0.4">
      <c r="A13" s="5" t="s">
        <v>12</v>
      </c>
      <c r="B13" s="1">
        <v>35</v>
      </c>
      <c r="C13" s="6">
        <f>B13/B3</f>
        <v>0.1076923076923077</v>
      </c>
    </row>
    <row r="14" spans="1:3" x14ac:dyDescent="0.4">
      <c r="A14" s="5" t="s">
        <v>13</v>
      </c>
      <c r="B14" s="1">
        <v>71</v>
      </c>
      <c r="C14" s="6">
        <f>B14/B3</f>
        <v>0.21846153846153846</v>
      </c>
    </row>
    <row r="15" spans="1:3" x14ac:dyDescent="0.4">
      <c r="A15" s="5" t="s">
        <v>5</v>
      </c>
      <c r="B15" s="8">
        <f>IF(B11=0,0,ROUND(C15/B11,-2))</f>
        <v>11700</v>
      </c>
      <c r="C15" s="17">
        <v>902400</v>
      </c>
    </row>
    <row r="16" spans="1:3" x14ac:dyDescent="0.4">
      <c r="A16" s="7" t="s">
        <v>14</v>
      </c>
      <c r="B16" s="18">
        <f>IF(B14=0,0,ROUND(C16/B14,-2))</f>
        <v>-10600</v>
      </c>
      <c r="C16" s="19">
        <v>-751700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69FA8-11CC-4138-8AD1-D11638979A4B}">
  <sheetPr codeName="Sheet4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20</v>
      </c>
      <c r="C1" s="41"/>
    </row>
    <row r="2" spans="1:3" ht="19.5" thickTop="1" x14ac:dyDescent="0.4">
      <c r="A2" s="4" t="s">
        <v>9</v>
      </c>
      <c r="B2" s="9">
        <v>39</v>
      </c>
      <c r="C2" s="11"/>
    </row>
    <row r="3" spans="1:3" x14ac:dyDescent="0.4">
      <c r="A3" s="5" t="s">
        <v>8</v>
      </c>
      <c r="B3" s="1">
        <v>272</v>
      </c>
      <c r="C3" s="12"/>
    </row>
    <row r="4" spans="1:3" x14ac:dyDescent="0.4">
      <c r="A4" s="5" t="s">
        <v>6</v>
      </c>
      <c r="B4" s="2">
        <v>229</v>
      </c>
      <c r="C4" s="13"/>
    </row>
    <row r="5" spans="1:3" x14ac:dyDescent="0.4">
      <c r="A5" s="5" t="s">
        <v>7</v>
      </c>
      <c r="B5" s="10">
        <f>B4/B2</f>
        <v>5.8717948717948714</v>
      </c>
      <c r="C5" s="14"/>
    </row>
    <row r="6" spans="1:3" x14ac:dyDescent="0.4">
      <c r="A6" s="5" t="s">
        <v>1</v>
      </c>
      <c r="B6" s="30">
        <f>(B7*1+B8*2+B9*3)/B2</f>
        <v>1.8461538461538463</v>
      </c>
      <c r="C6" s="15"/>
    </row>
    <row r="7" spans="1:3" x14ac:dyDescent="0.4">
      <c r="A7" s="5" t="s">
        <v>2</v>
      </c>
      <c r="B7" s="1">
        <v>14</v>
      </c>
      <c r="C7" s="6">
        <f>B7/B2</f>
        <v>0.35897435897435898</v>
      </c>
    </row>
    <row r="8" spans="1:3" x14ac:dyDescent="0.4">
      <c r="A8" s="5" t="s">
        <v>3</v>
      </c>
      <c r="B8" s="1">
        <v>17</v>
      </c>
      <c r="C8" s="6">
        <f>B8/B2</f>
        <v>0.4358974358974359</v>
      </c>
    </row>
    <row r="9" spans="1:3" x14ac:dyDescent="0.4">
      <c r="A9" s="27" t="s">
        <v>4</v>
      </c>
      <c r="B9" s="28">
        <v>8</v>
      </c>
      <c r="C9" s="29">
        <f>B9/B2</f>
        <v>0.20512820512820512</v>
      </c>
    </row>
    <row r="10" spans="1:3" ht="19.5" thickBot="1" x14ac:dyDescent="0.45">
      <c r="A10" s="35" t="s">
        <v>34</v>
      </c>
      <c r="B10" s="36">
        <v>5</v>
      </c>
      <c r="C10" s="37">
        <f>B10/B2</f>
        <v>0.12820512820512819</v>
      </c>
    </row>
    <row r="11" spans="1:3" ht="19.5" thickTop="1" x14ac:dyDescent="0.4">
      <c r="A11" s="4" t="s">
        <v>10</v>
      </c>
      <c r="B11" s="9">
        <f>B12+B13</f>
        <v>97</v>
      </c>
      <c r="C11" s="16">
        <f>B11/B3</f>
        <v>0.35661764705882354</v>
      </c>
    </row>
    <row r="12" spans="1:3" x14ac:dyDescent="0.4">
      <c r="A12" s="5" t="s">
        <v>11</v>
      </c>
      <c r="B12" s="1">
        <v>53</v>
      </c>
      <c r="C12" s="6">
        <f>B12/B3</f>
        <v>0.19485294117647059</v>
      </c>
    </row>
    <row r="13" spans="1:3" x14ac:dyDescent="0.4">
      <c r="A13" s="5" t="s">
        <v>12</v>
      </c>
      <c r="B13" s="1">
        <v>44</v>
      </c>
      <c r="C13" s="6">
        <f>B13/B3</f>
        <v>0.16176470588235295</v>
      </c>
    </row>
    <row r="14" spans="1:3" x14ac:dyDescent="0.4">
      <c r="A14" s="5" t="s">
        <v>13</v>
      </c>
      <c r="B14" s="1">
        <v>36</v>
      </c>
      <c r="C14" s="6">
        <f>B14/B3</f>
        <v>0.13235294117647059</v>
      </c>
    </row>
    <row r="15" spans="1:3" x14ac:dyDescent="0.4">
      <c r="A15" s="5" t="s">
        <v>5</v>
      </c>
      <c r="B15" s="8">
        <f>IF(B11=0,0,ROUND(C15/B11,-2))</f>
        <v>9600</v>
      </c>
      <c r="C15" s="17">
        <v>934300</v>
      </c>
    </row>
    <row r="16" spans="1:3" x14ac:dyDescent="0.4">
      <c r="A16" s="7" t="s">
        <v>14</v>
      </c>
      <c r="B16" s="18">
        <f>IF(B14=0,0,ROUND(C16/B14,-2))</f>
        <v>-9600</v>
      </c>
      <c r="C16" s="19">
        <v>-346100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7C172-D8A7-4FD3-9B4A-D43AC43B5A91}">
  <sheetPr codeName="Sheet5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38</v>
      </c>
      <c r="C1" s="41"/>
    </row>
    <row r="2" spans="1:3" ht="19.5" thickTop="1" x14ac:dyDescent="0.4">
      <c r="A2" s="4" t="s">
        <v>9</v>
      </c>
      <c r="B2" s="9">
        <v>4</v>
      </c>
      <c r="C2" s="11"/>
    </row>
    <row r="3" spans="1:3" x14ac:dyDescent="0.4">
      <c r="A3" s="5" t="s">
        <v>8</v>
      </c>
      <c r="B3" s="1">
        <v>25</v>
      </c>
      <c r="C3" s="12"/>
    </row>
    <row r="4" spans="1:3" x14ac:dyDescent="0.4">
      <c r="A4" s="5" t="s">
        <v>6</v>
      </c>
      <c r="B4" s="2">
        <v>-132</v>
      </c>
      <c r="C4" s="13"/>
    </row>
    <row r="5" spans="1:3" x14ac:dyDescent="0.4">
      <c r="A5" s="5" t="s">
        <v>7</v>
      </c>
      <c r="B5" s="10">
        <f>B4/B2</f>
        <v>-33</v>
      </c>
      <c r="C5" s="14"/>
    </row>
    <row r="6" spans="1:3" x14ac:dyDescent="0.4">
      <c r="A6" s="5" t="s">
        <v>1</v>
      </c>
      <c r="B6" s="30">
        <f>(B7*1+B8*2+B9*3)/B2</f>
        <v>3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0</v>
      </c>
      <c r="C8" s="6">
        <f>B8/B2</f>
        <v>0</v>
      </c>
    </row>
    <row r="9" spans="1:3" x14ac:dyDescent="0.4">
      <c r="A9" s="27" t="s">
        <v>4</v>
      </c>
      <c r="B9" s="28">
        <v>4</v>
      </c>
      <c r="C9" s="29">
        <f>B9/B2</f>
        <v>1</v>
      </c>
    </row>
    <row r="10" spans="1:3" ht="19.5" thickBot="1" x14ac:dyDescent="0.45">
      <c r="A10" s="35" t="s">
        <v>34</v>
      </c>
      <c r="B10" s="36">
        <v>2</v>
      </c>
      <c r="C10" s="37">
        <f>B10/B2</f>
        <v>0.5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0.04</v>
      </c>
    </row>
    <row r="12" spans="1:3" x14ac:dyDescent="0.4">
      <c r="A12" s="5" t="s">
        <v>11</v>
      </c>
      <c r="B12" s="1">
        <v>0</v>
      </c>
      <c r="C12" s="6">
        <f>B12/B3</f>
        <v>0</v>
      </c>
    </row>
    <row r="13" spans="1:3" x14ac:dyDescent="0.4">
      <c r="A13" s="5" t="s">
        <v>12</v>
      </c>
      <c r="B13" s="1">
        <v>1</v>
      </c>
      <c r="C13" s="6">
        <f>B13/B3</f>
        <v>0.04</v>
      </c>
    </row>
    <row r="14" spans="1:3" x14ac:dyDescent="0.4">
      <c r="A14" s="5" t="s">
        <v>13</v>
      </c>
      <c r="B14" s="1">
        <v>10</v>
      </c>
      <c r="C14" s="6">
        <f>B14/B3</f>
        <v>0.4</v>
      </c>
    </row>
    <row r="15" spans="1:3" x14ac:dyDescent="0.4">
      <c r="A15" s="5" t="s">
        <v>5</v>
      </c>
      <c r="B15" s="8">
        <f>IF(B11=0,0,ROUND(C15/B11,-2))</f>
        <v>7800</v>
      </c>
      <c r="C15" s="17">
        <v>7800</v>
      </c>
    </row>
    <row r="16" spans="1:3" x14ac:dyDescent="0.4">
      <c r="A16" s="7" t="s">
        <v>14</v>
      </c>
      <c r="B16" s="18">
        <f>IF(B14=0,0,ROUND(C16/B14,-2))</f>
        <v>-8200</v>
      </c>
      <c r="C16" s="19">
        <v>-82400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68399-EE68-44D3-8379-39B509FF6C2E}">
  <sheetPr codeName="Sheet6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18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5</v>
      </c>
      <c r="C3" s="12"/>
    </row>
    <row r="4" spans="1:3" x14ac:dyDescent="0.4">
      <c r="A4" s="5" t="s">
        <v>6</v>
      </c>
      <c r="B4" s="2">
        <v>7</v>
      </c>
      <c r="C4" s="13"/>
    </row>
    <row r="5" spans="1:3" x14ac:dyDescent="0.4">
      <c r="A5" s="5" t="s">
        <v>7</v>
      </c>
      <c r="B5" s="10">
        <f>B4/B2</f>
        <v>7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0</v>
      </c>
      <c r="C10" s="37">
        <f>B10/B2</f>
        <v>0</v>
      </c>
    </row>
    <row r="11" spans="1:3" ht="19.5" thickTop="1" x14ac:dyDescent="0.4">
      <c r="A11" s="4" t="s">
        <v>10</v>
      </c>
      <c r="B11" s="9">
        <f>B12+B13</f>
        <v>2</v>
      </c>
      <c r="C11" s="16">
        <f>B11/B3</f>
        <v>0.4</v>
      </c>
    </row>
    <row r="12" spans="1:3" x14ac:dyDescent="0.4">
      <c r="A12" s="5" t="s">
        <v>11</v>
      </c>
      <c r="B12" s="1">
        <v>2</v>
      </c>
      <c r="C12" s="6">
        <f>B12/B3</f>
        <v>0.4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1</v>
      </c>
      <c r="C14" s="6">
        <f>B14/B3</f>
        <v>0.2</v>
      </c>
    </row>
    <row r="15" spans="1:3" x14ac:dyDescent="0.4">
      <c r="A15" s="5" t="s">
        <v>5</v>
      </c>
      <c r="B15" s="8">
        <f>IF(B11=0,0,ROUND(C15/B11,-2))</f>
        <v>8000</v>
      </c>
      <c r="C15" s="17">
        <v>16000</v>
      </c>
    </row>
    <row r="16" spans="1:3" x14ac:dyDescent="0.4">
      <c r="A16" s="7" t="s">
        <v>14</v>
      </c>
      <c r="B16" s="18">
        <f>IF(B14=0,0,ROUND(C16/B14,-2))</f>
        <v>-12000</v>
      </c>
      <c r="C16" s="19">
        <v>-12000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0B9C9-E34F-4565-9A1C-7EB213A5A343}">
  <sheetPr codeName="Sheet7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21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6</v>
      </c>
      <c r="C3" s="12"/>
    </row>
    <row r="4" spans="1:3" x14ac:dyDescent="0.4">
      <c r="A4" s="5" t="s">
        <v>6</v>
      </c>
      <c r="B4" s="2">
        <v>-41</v>
      </c>
      <c r="C4" s="13"/>
    </row>
    <row r="5" spans="1:3" x14ac:dyDescent="0.4">
      <c r="A5" s="5" t="s">
        <v>7</v>
      </c>
      <c r="B5" s="10">
        <f>B4/B2</f>
        <v>-41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1</v>
      </c>
      <c r="C10" s="37">
        <f>B10/B2</f>
        <v>1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0.16666666666666666</v>
      </c>
    </row>
    <row r="12" spans="1:3" x14ac:dyDescent="0.4">
      <c r="A12" s="5" t="s">
        <v>11</v>
      </c>
      <c r="B12" s="1">
        <v>1</v>
      </c>
      <c r="C12" s="6">
        <f>B12/B3</f>
        <v>0.16666666666666666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2</v>
      </c>
      <c r="C14" s="6">
        <f>B14/B3</f>
        <v>0.33333333333333331</v>
      </c>
    </row>
    <row r="15" spans="1:3" x14ac:dyDescent="0.4">
      <c r="A15" s="5" t="s">
        <v>5</v>
      </c>
      <c r="B15" s="8">
        <f>IF(B11=0,0,ROUND(C15/B11,-2))</f>
        <v>1300</v>
      </c>
      <c r="C15" s="17">
        <v>1300</v>
      </c>
    </row>
    <row r="16" spans="1:3" x14ac:dyDescent="0.4">
      <c r="A16" s="7" t="s">
        <v>14</v>
      </c>
      <c r="B16" s="18">
        <f>IF(B14=0,0,ROUND(C16/B14,-2))</f>
        <v>-8500</v>
      </c>
      <c r="C16" s="19">
        <v>-17000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BE54C-D179-49A1-BD52-B1BD3E45AC3F}">
  <sheetPr codeName="Sheet8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16</v>
      </c>
      <c r="C1" s="41"/>
    </row>
    <row r="2" spans="1:3" ht="19.5" thickTop="1" x14ac:dyDescent="0.4">
      <c r="A2" s="4" t="s">
        <v>9</v>
      </c>
      <c r="B2" s="9">
        <v>28</v>
      </c>
      <c r="C2" s="11"/>
    </row>
    <row r="3" spans="1:3" x14ac:dyDescent="0.4">
      <c r="A3" s="5" t="s">
        <v>8</v>
      </c>
      <c r="B3" s="1">
        <v>220</v>
      </c>
      <c r="C3" s="12"/>
    </row>
    <row r="4" spans="1:3" x14ac:dyDescent="0.4">
      <c r="A4" s="5" t="s">
        <v>6</v>
      </c>
      <c r="B4" s="2">
        <v>-27</v>
      </c>
      <c r="C4" s="13"/>
    </row>
    <row r="5" spans="1:3" x14ac:dyDescent="0.4">
      <c r="A5" s="5" t="s">
        <v>7</v>
      </c>
      <c r="B5" s="10">
        <f>B4/B2</f>
        <v>-0.9642857142857143</v>
      </c>
      <c r="C5" s="14"/>
    </row>
    <row r="6" spans="1:3" x14ac:dyDescent="0.4">
      <c r="A6" s="5" t="s">
        <v>1</v>
      </c>
      <c r="B6" s="30">
        <f>(B7*1+B8*2+B9*3)/B2</f>
        <v>2.0714285714285716</v>
      </c>
      <c r="C6" s="15"/>
    </row>
    <row r="7" spans="1:3" x14ac:dyDescent="0.4">
      <c r="A7" s="5" t="s">
        <v>2</v>
      </c>
      <c r="B7" s="1">
        <v>8</v>
      </c>
      <c r="C7" s="6">
        <f>B7/B2</f>
        <v>0.2857142857142857</v>
      </c>
    </row>
    <row r="8" spans="1:3" x14ac:dyDescent="0.4">
      <c r="A8" s="5" t="s">
        <v>3</v>
      </c>
      <c r="B8" s="1">
        <v>10</v>
      </c>
      <c r="C8" s="6">
        <f>B8/B2</f>
        <v>0.35714285714285715</v>
      </c>
    </row>
    <row r="9" spans="1:3" x14ac:dyDescent="0.4">
      <c r="A9" s="27" t="s">
        <v>4</v>
      </c>
      <c r="B9" s="28">
        <v>10</v>
      </c>
      <c r="C9" s="29">
        <f>B9/B2</f>
        <v>0.35714285714285715</v>
      </c>
    </row>
    <row r="10" spans="1:3" ht="19.5" thickBot="1" x14ac:dyDescent="0.45">
      <c r="A10" s="35" t="s">
        <v>34</v>
      </c>
      <c r="B10" s="36">
        <v>4</v>
      </c>
      <c r="C10" s="37">
        <f>B10/B2</f>
        <v>0.14285714285714285</v>
      </c>
    </row>
    <row r="11" spans="1:3" ht="19.5" thickTop="1" x14ac:dyDescent="0.4">
      <c r="A11" s="4" t="s">
        <v>10</v>
      </c>
      <c r="B11" s="9">
        <f>B12+B13</f>
        <v>62</v>
      </c>
      <c r="C11" s="16">
        <f>B11/B3</f>
        <v>0.2818181818181818</v>
      </c>
    </row>
    <row r="12" spans="1:3" x14ac:dyDescent="0.4">
      <c r="A12" s="5" t="s">
        <v>11</v>
      </c>
      <c r="B12" s="1">
        <v>34</v>
      </c>
      <c r="C12" s="6">
        <f>B12/B3</f>
        <v>0.15454545454545454</v>
      </c>
    </row>
    <row r="13" spans="1:3" x14ac:dyDescent="0.4">
      <c r="A13" s="5" t="s">
        <v>12</v>
      </c>
      <c r="B13" s="1">
        <v>28</v>
      </c>
      <c r="C13" s="6">
        <f>B13/B3</f>
        <v>0.12727272727272726</v>
      </c>
    </row>
    <row r="14" spans="1:3" x14ac:dyDescent="0.4">
      <c r="A14" s="5" t="s">
        <v>13</v>
      </c>
      <c r="B14" s="1">
        <v>45</v>
      </c>
      <c r="C14" s="6">
        <f>B14/B3</f>
        <v>0.20454545454545456</v>
      </c>
    </row>
    <row r="15" spans="1:3" x14ac:dyDescent="0.4">
      <c r="A15" s="5" t="s">
        <v>5</v>
      </c>
      <c r="B15" s="8">
        <f>IF(B11=0,0,ROUND(C15/B11,-2))</f>
        <v>10700</v>
      </c>
      <c r="C15" s="17">
        <v>665400</v>
      </c>
    </row>
    <row r="16" spans="1:3" x14ac:dyDescent="0.4">
      <c r="A16" s="7" t="s">
        <v>14</v>
      </c>
      <c r="B16" s="18">
        <f>IF(B14=0,0,ROUND(C16/B14,-2))</f>
        <v>-7500</v>
      </c>
      <c r="C16" s="19">
        <v>-339600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1EC5A-1470-4D8E-849F-9F562549344C}">
  <sheetPr codeName="Sheet9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17</v>
      </c>
      <c r="C1" s="41"/>
    </row>
    <row r="2" spans="1:3" ht="19.5" thickTop="1" x14ac:dyDescent="0.4">
      <c r="A2" s="4" t="s">
        <v>9</v>
      </c>
      <c r="B2" s="9">
        <v>27</v>
      </c>
      <c r="C2" s="11"/>
    </row>
    <row r="3" spans="1:3" x14ac:dyDescent="0.4">
      <c r="A3" s="5" t="s">
        <v>8</v>
      </c>
      <c r="B3" s="1">
        <v>197</v>
      </c>
      <c r="C3" s="12"/>
    </row>
    <row r="4" spans="1:3" x14ac:dyDescent="0.4">
      <c r="A4" s="5" t="s">
        <v>6</v>
      </c>
      <c r="B4" s="2">
        <v>112</v>
      </c>
      <c r="C4" s="13"/>
    </row>
    <row r="5" spans="1:3" x14ac:dyDescent="0.4">
      <c r="A5" s="5" t="s">
        <v>7</v>
      </c>
      <c r="B5" s="10">
        <f>B4/B2</f>
        <v>4.1481481481481479</v>
      </c>
      <c r="C5" s="14"/>
    </row>
    <row r="6" spans="1:3" x14ac:dyDescent="0.4">
      <c r="A6" s="5" t="s">
        <v>1</v>
      </c>
      <c r="B6" s="30">
        <f>(B7*1+B8*2+B9*3)/B2</f>
        <v>1.9259259259259258</v>
      </c>
      <c r="C6" s="15"/>
    </row>
    <row r="7" spans="1:3" x14ac:dyDescent="0.4">
      <c r="A7" s="5" t="s">
        <v>2</v>
      </c>
      <c r="B7" s="1">
        <v>10</v>
      </c>
      <c r="C7" s="6">
        <f>B7/B2</f>
        <v>0.37037037037037035</v>
      </c>
    </row>
    <row r="8" spans="1:3" x14ac:dyDescent="0.4">
      <c r="A8" s="5" t="s">
        <v>3</v>
      </c>
      <c r="B8" s="1">
        <v>9</v>
      </c>
      <c r="C8" s="6">
        <f>B8/B2</f>
        <v>0.33333333333333331</v>
      </c>
    </row>
    <row r="9" spans="1:3" x14ac:dyDescent="0.4">
      <c r="A9" s="27" t="s">
        <v>4</v>
      </c>
      <c r="B9" s="28">
        <v>8</v>
      </c>
      <c r="C9" s="29">
        <f>B9/B2</f>
        <v>0.29629629629629628</v>
      </c>
    </row>
    <row r="10" spans="1:3" ht="19.5" thickBot="1" x14ac:dyDescent="0.45">
      <c r="A10" s="35" t="s">
        <v>34</v>
      </c>
      <c r="B10" s="36">
        <v>3</v>
      </c>
      <c r="C10" s="37">
        <f>B10/B2</f>
        <v>0.1111111111111111</v>
      </c>
    </row>
    <row r="11" spans="1:3" ht="19.5" thickTop="1" x14ac:dyDescent="0.4">
      <c r="A11" s="4" t="s">
        <v>10</v>
      </c>
      <c r="B11" s="9">
        <f>B12+B13</f>
        <v>59</v>
      </c>
      <c r="C11" s="16">
        <f>B11/B3</f>
        <v>0.29949238578680204</v>
      </c>
    </row>
    <row r="12" spans="1:3" x14ac:dyDescent="0.4">
      <c r="A12" s="5" t="s">
        <v>11</v>
      </c>
      <c r="B12" s="1">
        <v>38</v>
      </c>
      <c r="C12" s="6">
        <f>B12/B3</f>
        <v>0.19289340101522842</v>
      </c>
    </row>
    <row r="13" spans="1:3" x14ac:dyDescent="0.4">
      <c r="A13" s="5" t="s">
        <v>12</v>
      </c>
      <c r="B13" s="1">
        <v>21</v>
      </c>
      <c r="C13" s="6">
        <f>B13/B3</f>
        <v>0.1065989847715736</v>
      </c>
    </row>
    <row r="14" spans="1:3" x14ac:dyDescent="0.4">
      <c r="A14" s="5" t="s">
        <v>13</v>
      </c>
      <c r="B14" s="1">
        <v>28</v>
      </c>
      <c r="C14" s="6">
        <f>B14/B3</f>
        <v>0.14213197969543148</v>
      </c>
    </row>
    <row r="15" spans="1:3" x14ac:dyDescent="0.4">
      <c r="A15" s="5" t="s">
        <v>5</v>
      </c>
      <c r="B15" s="8">
        <f>IF(B11=0,0,ROUND(C15/B11,-2))</f>
        <v>11100</v>
      </c>
      <c r="C15" s="17">
        <v>657500</v>
      </c>
    </row>
    <row r="16" spans="1:3" x14ac:dyDescent="0.4">
      <c r="A16" s="7" t="s">
        <v>14</v>
      </c>
      <c r="B16" s="18">
        <f>IF(B14=0,0,ROUND(C16/B14,-2))</f>
        <v>-9400</v>
      </c>
      <c r="C16" s="19">
        <v>-264200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36ED-987B-463B-A3F1-9D7A42B5373E}">
  <sheetPr codeName="Sheet1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36</v>
      </c>
      <c r="C1" s="41"/>
    </row>
    <row r="2" spans="1:3" ht="19.5" thickTop="1" x14ac:dyDescent="0.4">
      <c r="A2" s="4" t="s">
        <v>9</v>
      </c>
      <c r="B2" s="9">
        <v>12</v>
      </c>
      <c r="C2" s="11"/>
    </row>
    <row r="3" spans="1:3" x14ac:dyDescent="0.4">
      <c r="A3" s="5" t="s">
        <v>8</v>
      </c>
      <c r="B3" s="1">
        <v>82</v>
      </c>
      <c r="C3" s="12"/>
    </row>
    <row r="4" spans="1:3" x14ac:dyDescent="0.4">
      <c r="A4" s="5" t="s">
        <v>6</v>
      </c>
      <c r="B4" s="2">
        <v>83</v>
      </c>
      <c r="C4" s="13"/>
    </row>
    <row r="5" spans="1:3" x14ac:dyDescent="0.4">
      <c r="A5" s="5" t="s">
        <v>7</v>
      </c>
      <c r="B5" s="10">
        <f>B4/B2</f>
        <v>6.916666666666667</v>
      </c>
      <c r="C5" s="14"/>
    </row>
    <row r="6" spans="1:3" x14ac:dyDescent="0.4">
      <c r="A6" s="5" t="s">
        <v>1</v>
      </c>
      <c r="B6" s="30">
        <f>(B7*1+B8*2+B9*3)/B2</f>
        <v>1.75</v>
      </c>
      <c r="C6" s="15"/>
    </row>
    <row r="7" spans="1:3" x14ac:dyDescent="0.4">
      <c r="A7" s="5" t="s">
        <v>2</v>
      </c>
      <c r="B7" s="1">
        <v>6</v>
      </c>
      <c r="C7" s="6">
        <f>B7/B2</f>
        <v>0.5</v>
      </c>
    </row>
    <row r="8" spans="1:3" x14ac:dyDescent="0.4">
      <c r="A8" s="5" t="s">
        <v>3</v>
      </c>
      <c r="B8" s="1">
        <v>3</v>
      </c>
      <c r="C8" s="6">
        <f>B8/B2</f>
        <v>0.25</v>
      </c>
    </row>
    <row r="9" spans="1:3" x14ac:dyDescent="0.4">
      <c r="A9" s="27" t="s">
        <v>4</v>
      </c>
      <c r="B9" s="28">
        <v>3</v>
      </c>
      <c r="C9" s="29">
        <f>B9/B2</f>
        <v>0.25</v>
      </c>
    </row>
    <row r="10" spans="1:3" ht="19.5" thickBot="1" x14ac:dyDescent="0.45">
      <c r="A10" s="35" t="s">
        <v>34</v>
      </c>
      <c r="B10" s="36">
        <v>3</v>
      </c>
      <c r="C10" s="37">
        <f>B10/B2</f>
        <v>0.25</v>
      </c>
    </row>
    <row r="11" spans="1:3" ht="19.5" thickTop="1" x14ac:dyDescent="0.4">
      <c r="A11" s="4" t="s">
        <v>10</v>
      </c>
      <c r="B11" s="9">
        <f>B12+B13</f>
        <v>28</v>
      </c>
      <c r="C11" s="16">
        <f>B11/B3</f>
        <v>0.34146341463414637</v>
      </c>
    </row>
    <row r="12" spans="1:3" x14ac:dyDescent="0.4">
      <c r="A12" s="5" t="s">
        <v>11</v>
      </c>
      <c r="B12" s="1">
        <v>15</v>
      </c>
      <c r="C12" s="6">
        <f>B12/B3</f>
        <v>0.18292682926829268</v>
      </c>
    </row>
    <row r="13" spans="1:3" x14ac:dyDescent="0.4">
      <c r="A13" s="5" t="s">
        <v>12</v>
      </c>
      <c r="B13" s="1">
        <v>13</v>
      </c>
      <c r="C13" s="6">
        <f>B13/B3</f>
        <v>0.15853658536585366</v>
      </c>
    </row>
    <row r="14" spans="1:3" x14ac:dyDescent="0.4">
      <c r="A14" s="5" t="s">
        <v>13</v>
      </c>
      <c r="B14" s="1">
        <v>11</v>
      </c>
      <c r="C14" s="6">
        <f>B14/B3</f>
        <v>0.13414634146341464</v>
      </c>
    </row>
    <row r="15" spans="1:3" x14ac:dyDescent="0.4">
      <c r="A15" s="5" t="s">
        <v>5</v>
      </c>
      <c r="B15" s="8">
        <f>IF(B11=0,0,ROUND(C15/B11,-2))</f>
        <v>10900</v>
      </c>
      <c r="C15" s="17">
        <v>304000</v>
      </c>
    </row>
    <row r="16" spans="1:3" x14ac:dyDescent="0.4">
      <c r="A16" s="7" t="s">
        <v>14</v>
      </c>
      <c r="B16" s="18">
        <f>IF(B14=0,0,ROUND(C16/B14,-2))</f>
        <v>-9900</v>
      </c>
      <c r="C16" s="19">
        <v>-109200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A086D-162E-410F-8632-777A5A1249CF}">
  <sheetPr codeName="Sheet1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39</v>
      </c>
      <c r="C1" s="41"/>
    </row>
    <row r="2" spans="1:3" ht="19.5" thickTop="1" x14ac:dyDescent="0.4">
      <c r="A2" s="4" t="s">
        <v>9</v>
      </c>
      <c r="B2" s="9">
        <v>13</v>
      </c>
      <c r="C2" s="11"/>
    </row>
    <row r="3" spans="1:3" x14ac:dyDescent="0.4">
      <c r="A3" s="5" t="s">
        <v>8</v>
      </c>
      <c r="B3" s="1">
        <v>95</v>
      </c>
      <c r="C3" s="12"/>
    </row>
    <row r="4" spans="1:3" x14ac:dyDescent="0.4">
      <c r="A4" s="5" t="s">
        <v>6</v>
      </c>
      <c r="B4" s="2">
        <v>-235</v>
      </c>
      <c r="C4" s="13"/>
    </row>
    <row r="5" spans="1:3" x14ac:dyDescent="0.4">
      <c r="A5" s="5" t="s">
        <v>7</v>
      </c>
      <c r="B5" s="10">
        <f>B4/B2</f>
        <v>-18.076923076923077</v>
      </c>
      <c r="C5" s="14"/>
    </row>
    <row r="6" spans="1:3" x14ac:dyDescent="0.4">
      <c r="A6" s="5" t="s">
        <v>1</v>
      </c>
      <c r="B6" s="30">
        <f>(B7*1+B8*2+B9*3)/B2</f>
        <v>2.5384615384615383</v>
      </c>
      <c r="C6" s="15"/>
    </row>
    <row r="7" spans="1:3" x14ac:dyDescent="0.4">
      <c r="A7" s="5" t="s">
        <v>2</v>
      </c>
      <c r="B7" s="1">
        <v>2</v>
      </c>
      <c r="C7" s="6">
        <f>B7/B2</f>
        <v>0.15384615384615385</v>
      </c>
    </row>
    <row r="8" spans="1:3" x14ac:dyDescent="0.4">
      <c r="A8" s="5" t="s">
        <v>3</v>
      </c>
      <c r="B8" s="1">
        <v>2</v>
      </c>
      <c r="C8" s="6">
        <f>B8/B2</f>
        <v>0.15384615384615385</v>
      </c>
    </row>
    <row r="9" spans="1:3" x14ac:dyDescent="0.4">
      <c r="A9" s="27" t="s">
        <v>4</v>
      </c>
      <c r="B9" s="28">
        <v>9</v>
      </c>
      <c r="C9" s="29">
        <f>B9/B2</f>
        <v>0.69230769230769229</v>
      </c>
    </row>
    <row r="10" spans="1:3" ht="19.5" thickBot="1" x14ac:dyDescent="0.45">
      <c r="A10" s="35" t="s">
        <v>34</v>
      </c>
      <c r="B10" s="36">
        <v>5</v>
      </c>
      <c r="C10" s="37">
        <f>B10/B2</f>
        <v>0.38461538461538464</v>
      </c>
    </row>
    <row r="11" spans="1:3" ht="19.5" thickTop="1" x14ac:dyDescent="0.4">
      <c r="A11" s="4" t="s">
        <v>10</v>
      </c>
      <c r="B11" s="9">
        <f>B12+B13</f>
        <v>21</v>
      </c>
      <c r="C11" s="16">
        <f>B11/B3</f>
        <v>0.22105263157894736</v>
      </c>
    </row>
    <row r="12" spans="1:3" x14ac:dyDescent="0.4">
      <c r="A12" s="5" t="s">
        <v>11</v>
      </c>
      <c r="B12" s="1">
        <v>9</v>
      </c>
      <c r="C12" s="6">
        <f>B12/B3</f>
        <v>9.4736842105263161E-2</v>
      </c>
    </row>
    <row r="13" spans="1:3" x14ac:dyDescent="0.4">
      <c r="A13" s="5" t="s">
        <v>12</v>
      </c>
      <c r="B13" s="1">
        <v>12</v>
      </c>
      <c r="C13" s="6">
        <f>B13/B3</f>
        <v>0.12631578947368421</v>
      </c>
    </row>
    <row r="14" spans="1:3" x14ac:dyDescent="0.4">
      <c r="A14" s="5" t="s">
        <v>13</v>
      </c>
      <c r="B14" s="1">
        <v>20</v>
      </c>
      <c r="C14" s="6">
        <f>B14/B3</f>
        <v>0.21052631578947367</v>
      </c>
    </row>
    <row r="15" spans="1:3" x14ac:dyDescent="0.4">
      <c r="A15" s="5" t="s">
        <v>5</v>
      </c>
      <c r="B15" s="8">
        <f>IF(B11=0,0,ROUND(C15/B11,-2))</f>
        <v>10700</v>
      </c>
      <c r="C15" s="17">
        <v>224100</v>
      </c>
    </row>
    <row r="16" spans="1:3" x14ac:dyDescent="0.4">
      <c r="A16" s="7" t="s">
        <v>14</v>
      </c>
      <c r="B16" s="18">
        <f>IF(B14=0,0,ROUND(C16/B14,-2))</f>
        <v>-10800</v>
      </c>
      <c r="C16" s="19">
        <v>-216000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/>
      <c r="C1" s="41"/>
    </row>
    <row r="2" spans="1:3" ht="19.5" thickTop="1" x14ac:dyDescent="0.4">
      <c r="A2" s="4" t="s">
        <v>9</v>
      </c>
      <c r="B2" s="9">
        <v>0</v>
      </c>
      <c r="C2" s="11"/>
    </row>
    <row r="3" spans="1:3" x14ac:dyDescent="0.4">
      <c r="A3" s="5" t="s">
        <v>8</v>
      </c>
      <c r="B3" s="1">
        <v>0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 t="e">
        <f>B4/B2</f>
        <v>#DIV/0!</v>
      </c>
      <c r="C5" s="14"/>
    </row>
    <row r="6" spans="1:3" x14ac:dyDescent="0.4">
      <c r="A6" s="5" t="s">
        <v>1</v>
      </c>
      <c r="B6" s="30" t="e">
        <f>(B7*1+B8*2+B9*3)/B2</f>
        <v>#DIV/0!</v>
      </c>
      <c r="C6" s="15"/>
    </row>
    <row r="7" spans="1:3" x14ac:dyDescent="0.4">
      <c r="A7" s="5" t="s">
        <v>2</v>
      </c>
      <c r="B7" s="1">
        <v>0</v>
      </c>
      <c r="C7" s="6" t="e">
        <f>B7/B2</f>
        <v>#DIV/0!</v>
      </c>
    </row>
    <row r="8" spans="1:3" x14ac:dyDescent="0.4">
      <c r="A8" s="5" t="s">
        <v>3</v>
      </c>
      <c r="B8" s="1">
        <v>0</v>
      </c>
      <c r="C8" s="6" t="e">
        <f>B8/B2</f>
        <v>#DIV/0!</v>
      </c>
    </row>
    <row r="9" spans="1:3" x14ac:dyDescent="0.4">
      <c r="A9" s="27" t="s">
        <v>4</v>
      </c>
      <c r="B9" s="28">
        <v>0</v>
      </c>
      <c r="C9" s="29" t="e">
        <f>B9/B2</f>
        <v>#DIV/0!</v>
      </c>
    </row>
    <row r="10" spans="1:3" ht="19.5" thickBot="1" x14ac:dyDescent="0.45">
      <c r="A10" s="35" t="s">
        <v>34</v>
      </c>
      <c r="B10" s="36">
        <v>0</v>
      </c>
      <c r="C10" s="37" t="e">
        <f>B10/B2</f>
        <v>#DIV/0!</v>
      </c>
    </row>
    <row r="11" spans="1:3" ht="19.5" thickTop="1" x14ac:dyDescent="0.4">
      <c r="A11" s="4" t="s">
        <v>10</v>
      </c>
      <c r="B11" s="9">
        <f>B12+B13</f>
        <v>0</v>
      </c>
      <c r="C11" s="16" t="e">
        <f>B11/B3</f>
        <v>#DIV/0!</v>
      </c>
    </row>
    <row r="12" spans="1:3" x14ac:dyDescent="0.4">
      <c r="A12" s="5" t="s">
        <v>11</v>
      </c>
      <c r="B12" s="1">
        <v>0</v>
      </c>
      <c r="C12" s="6" t="e">
        <f>B12/B3</f>
        <v>#DIV/0!</v>
      </c>
    </row>
    <row r="13" spans="1:3" x14ac:dyDescent="0.4">
      <c r="A13" s="5" t="s">
        <v>12</v>
      </c>
      <c r="B13" s="1">
        <v>0</v>
      </c>
      <c r="C13" s="6" t="e">
        <f>B13/B3</f>
        <v>#DIV/0!</v>
      </c>
    </row>
    <row r="14" spans="1:3" x14ac:dyDescent="0.4">
      <c r="A14" s="5" t="s">
        <v>13</v>
      </c>
      <c r="B14" s="1">
        <v>0</v>
      </c>
      <c r="C14" s="6" t="e">
        <f>B14/B3</f>
        <v>#DIV/0!</v>
      </c>
    </row>
    <row r="15" spans="1:3" x14ac:dyDescent="0.4">
      <c r="A15" s="5" t="s">
        <v>5</v>
      </c>
      <c r="B15" s="8">
        <f>IF(B11=0,0,ROUND(C15/B11,-2))</f>
        <v>0</v>
      </c>
      <c r="C15" s="17">
        <v>0</v>
      </c>
    </row>
    <row r="16" spans="1:3" x14ac:dyDescent="0.4">
      <c r="A16" s="7" t="s">
        <v>14</v>
      </c>
      <c r="B16" s="18">
        <f>IF(B14=0,0,ROUND(C16/B14,-2))</f>
        <v>0</v>
      </c>
      <c r="C16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りくと</vt:lpstr>
      <vt:lpstr>いっしー</vt:lpstr>
      <vt:lpstr>かこたろう</vt:lpstr>
      <vt:lpstr>ともき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2018-12-14T19:23:33Z</dcterms:modified>
</cp:coreProperties>
</file>