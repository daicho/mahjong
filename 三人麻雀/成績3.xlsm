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F1ED73E0-7B6B-4002-AB15-F7D0E2C0D064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2289" r:id="rId2"/>
    <sheet name="かこたろう" sheetId="2290" r:id="rId3"/>
    <sheet name="ともき" sheetId="2291" r:id="rId4"/>
    <sheet name="りくと" sheetId="2292" r:id="rId5"/>
    <sheet name="いっしー" sheetId="2293" r:id="rId6"/>
    <sheet name="がくと" sheetId="2294" r:id="rId7"/>
    <sheet name="たかの" sheetId="2295" r:id="rId8"/>
    <sheet name="ただ" sheetId="2296" r:id="rId9"/>
    <sheet name="やがさき" sheetId="2297" r:id="rId10"/>
    <sheet name="れんたろう" sheetId="2298" r:id="rId11"/>
    <sheet name="Template" sheetId="2228" state="hidden" r:id="rId12"/>
    <sheet name="Cache" sheetId="2227" state="hidden" r:id="rId1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298" l="1"/>
  <c r="H50" i="2298"/>
  <c r="H49" i="2298"/>
  <c r="H48" i="2298"/>
  <c r="H47" i="2298"/>
  <c r="H46" i="2298"/>
  <c r="H45" i="2298"/>
  <c r="H44" i="2298"/>
  <c r="H43" i="2298"/>
  <c r="H42" i="2298"/>
  <c r="H41" i="2298"/>
  <c r="H40" i="2298"/>
  <c r="H39" i="2298"/>
  <c r="H38" i="2298"/>
  <c r="H37" i="2298"/>
  <c r="H36" i="2298"/>
  <c r="H35" i="2298"/>
  <c r="H34" i="2298"/>
  <c r="H18" i="2298"/>
  <c r="H33" i="2298"/>
  <c r="H32" i="2298"/>
  <c r="H31" i="2298"/>
  <c r="H8" i="2298"/>
  <c r="H30" i="2298"/>
  <c r="H29" i="2298"/>
  <c r="H17" i="2298"/>
  <c r="H28" i="2298"/>
  <c r="H27" i="2298"/>
  <c r="H14" i="2298"/>
  <c r="H26" i="2298"/>
  <c r="C22" i="2298"/>
  <c r="H16" i="2298"/>
  <c r="C21" i="2298"/>
  <c r="H25" i="2298"/>
  <c r="B20" i="2298"/>
  <c r="H24" i="2298"/>
  <c r="H23" i="2298"/>
  <c r="C18" i="2298"/>
  <c r="H11" i="2298"/>
  <c r="C17" i="2298"/>
  <c r="H22" i="2298"/>
  <c r="C16" i="2298"/>
  <c r="H21" i="2298"/>
  <c r="B15" i="2298"/>
  <c r="B19" i="2298" s="1"/>
  <c r="H15" i="2298"/>
  <c r="C14" i="2298"/>
  <c r="H20" i="2298"/>
  <c r="C13" i="2298"/>
  <c r="H13" i="2298"/>
  <c r="C12" i="2298"/>
  <c r="H3" i="2298"/>
  <c r="C11" i="2298"/>
  <c r="H19" i="2298"/>
  <c r="C10" i="2298"/>
  <c r="H10" i="2298"/>
  <c r="C9" i="2298"/>
  <c r="H9" i="2298"/>
  <c r="C8" i="2298"/>
  <c r="H6" i="2298"/>
  <c r="C7" i="2298"/>
  <c r="H2" i="2298"/>
  <c r="B6" i="2298"/>
  <c r="H7" i="2298"/>
  <c r="B5" i="2298"/>
  <c r="H4" i="2298"/>
  <c r="H12" i="2298"/>
  <c r="H5" i="2298"/>
  <c r="C15" i="2298" l="1"/>
  <c r="H51" i="2297"/>
  <c r="H50" i="2297"/>
  <c r="H49" i="2297"/>
  <c r="H48" i="2297"/>
  <c r="H47" i="2297"/>
  <c r="H46" i="2297"/>
  <c r="H45" i="2297"/>
  <c r="H44" i="2297"/>
  <c r="H43" i="2297"/>
  <c r="H42" i="2297"/>
  <c r="H41" i="2297"/>
  <c r="H40" i="2297"/>
  <c r="H39" i="2297"/>
  <c r="H38" i="2297"/>
  <c r="H37" i="2297"/>
  <c r="H36" i="2297"/>
  <c r="H35" i="2297"/>
  <c r="H34" i="2297"/>
  <c r="H33" i="2297"/>
  <c r="H32" i="2297"/>
  <c r="H31" i="2297"/>
  <c r="H30" i="2297"/>
  <c r="H29" i="2297"/>
  <c r="H28" i="2297"/>
  <c r="H27" i="2297"/>
  <c r="H26" i="2297"/>
  <c r="H25" i="2297"/>
  <c r="H24" i="2297"/>
  <c r="H23" i="2297"/>
  <c r="H22" i="2297"/>
  <c r="C22" i="2297"/>
  <c r="H21" i="2297"/>
  <c r="C21" i="2297"/>
  <c r="H20" i="2297"/>
  <c r="B20" i="2297"/>
  <c r="H19" i="2297"/>
  <c r="H18" i="2297"/>
  <c r="C18" i="2297"/>
  <c r="H17" i="2297"/>
  <c r="C17" i="2297"/>
  <c r="H16" i="2297"/>
  <c r="C16" i="2297"/>
  <c r="H15" i="2297"/>
  <c r="C15" i="2297"/>
  <c r="B15" i="2297"/>
  <c r="B19" i="2297" s="1"/>
  <c r="H14" i="2297"/>
  <c r="C14" i="2297"/>
  <c r="H13" i="2297"/>
  <c r="C13" i="2297"/>
  <c r="H12" i="2297"/>
  <c r="C12" i="2297"/>
  <c r="H11" i="2297"/>
  <c r="C11" i="2297"/>
  <c r="H10" i="2297"/>
  <c r="C10" i="2297"/>
  <c r="H9" i="2297"/>
  <c r="C9" i="2297"/>
  <c r="H8" i="2297"/>
  <c r="C8" i="2297"/>
  <c r="H7" i="2297"/>
  <c r="C7" i="2297"/>
  <c r="H6" i="2297"/>
  <c r="B6" i="2297"/>
  <c r="H5" i="2297"/>
  <c r="B5" i="2297"/>
  <c r="H4" i="2297"/>
  <c r="H3" i="2297"/>
  <c r="H2" i="2297"/>
  <c r="H51" i="2296" l="1"/>
  <c r="H50" i="2296"/>
  <c r="H49" i="2296"/>
  <c r="H48" i="2296"/>
  <c r="H47" i="2296"/>
  <c r="H46" i="2296"/>
  <c r="H45" i="2296"/>
  <c r="H44" i="2296"/>
  <c r="H43" i="2296"/>
  <c r="H42" i="2296"/>
  <c r="H41" i="2296"/>
  <c r="H40" i="2296"/>
  <c r="H39" i="2296"/>
  <c r="H38" i="2296"/>
  <c r="H37" i="2296"/>
  <c r="H36" i="2296"/>
  <c r="H35" i="2296"/>
  <c r="H34" i="2296"/>
  <c r="H33" i="2296"/>
  <c r="H32" i="2296"/>
  <c r="H18" i="2296"/>
  <c r="H31" i="2296"/>
  <c r="H9" i="2296"/>
  <c r="H30" i="2296"/>
  <c r="H29" i="2296"/>
  <c r="H13" i="2296"/>
  <c r="H28" i="2296"/>
  <c r="H27" i="2296"/>
  <c r="H17" i="2296"/>
  <c r="H26" i="2296"/>
  <c r="C22" i="2296"/>
  <c r="H16" i="2296"/>
  <c r="C21" i="2296"/>
  <c r="H25" i="2296"/>
  <c r="B20" i="2296"/>
  <c r="H24" i="2296"/>
  <c r="H23" i="2296"/>
  <c r="C18" i="2296"/>
  <c r="H14" i="2296"/>
  <c r="C17" i="2296"/>
  <c r="H22" i="2296"/>
  <c r="C16" i="2296"/>
  <c r="H21" i="2296"/>
  <c r="B15" i="2296"/>
  <c r="B19" i="2296" s="1"/>
  <c r="H20" i="2296"/>
  <c r="C14" i="2296"/>
  <c r="H15" i="2296"/>
  <c r="C13" i="2296"/>
  <c r="H19" i="2296"/>
  <c r="C12" i="2296"/>
  <c r="H5" i="2296"/>
  <c r="C11" i="2296"/>
  <c r="H12" i="2296"/>
  <c r="C10" i="2296"/>
  <c r="H11" i="2296"/>
  <c r="C9" i="2296"/>
  <c r="H8" i="2296"/>
  <c r="C8" i="2296"/>
  <c r="H7" i="2296"/>
  <c r="C7" i="2296"/>
  <c r="H3" i="2296"/>
  <c r="B6" i="2296"/>
  <c r="H6" i="2296"/>
  <c r="B5" i="2296"/>
  <c r="H2" i="2296"/>
  <c r="H10" i="2296"/>
  <c r="H4" i="2296"/>
  <c r="H51" i="2295"/>
  <c r="H50" i="2295"/>
  <c r="H49" i="2295"/>
  <c r="H48" i="2295"/>
  <c r="H47" i="2295"/>
  <c r="H46" i="2295"/>
  <c r="H45" i="2295"/>
  <c r="H44" i="2295"/>
  <c r="H43" i="2295"/>
  <c r="H42" i="2295"/>
  <c r="H41" i="2295"/>
  <c r="H40" i="2295"/>
  <c r="H39" i="2295"/>
  <c r="H38" i="2295"/>
  <c r="H37" i="2295"/>
  <c r="H36" i="2295"/>
  <c r="H35" i="2295"/>
  <c r="H34" i="2295"/>
  <c r="H33" i="2295"/>
  <c r="H32" i="2295"/>
  <c r="H31" i="2295"/>
  <c r="H30" i="2295"/>
  <c r="H8" i="2295"/>
  <c r="H29" i="2295"/>
  <c r="H28" i="2295"/>
  <c r="H10" i="2295"/>
  <c r="H27" i="2295"/>
  <c r="H26" i="2295"/>
  <c r="H16" i="2295"/>
  <c r="H25" i="2295"/>
  <c r="C22" i="2295"/>
  <c r="H15" i="2295"/>
  <c r="C21" i="2295"/>
  <c r="H24" i="2295"/>
  <c r="B20" i="2295"/>
  <c r="H23" i="2295"/>
  <c r="H9" i="2295"/>
  <c r="C18" i="2295"/>
  <c r="H14" i="2295"/>
  <c r="C17" i="2295"/>
  <c r="H22" i="2295"/>
  <c r="C16" i="2295"/>
  <c r="H21" i="2295"/>
  <c r="B15" i="2295"/>
  <c r="B19" i="2295" s="1"/>
  <c r="H13" i="2295"/>
  <c r="C14" i="2295"/>
  <c r="H20" i="2295"/>
  <c r="C13" i="2295"/>
  <c r="H19" i="2295"/>
  <c r="C12" i="2295"/>
  <c r="H4" i="2295"/>
  <c r="C11" i="2295"/>
  <c r="H18" i="2295"/>
  <c r="C10" i="2295"/>
  <c r="H12" i="2295"/>
  <c r="C9" i="2295"/>
  <c r="H11" i="2295"/>
  <c r="C8" i="2295"/>
  <c r="H7" i="2295"/>
  <c r="C7" i="2295"/>
  <c r="H2" i="2295"/>
  <c r="B6" i="2295"/>
  <c r="H17" i="2295"/>
  <c r="B5" i="2295"/>
  <c r="H3" i="2295"/>
  <c r="H6" i="2295"/>
  <c r="H5" i="2295"/>
  <c r="C15" i="2296" l="1"/>
  <c r="C15" i="2295"/>
  <c r="H51" i="2294" l="1"/>
  <c r="H50" i="2294"/>
  <c r="H49" i="2294"/>
  <c r="H48" i="2294"/>
  <c r="H47" i="2294"/>
  <c r="H46" i="2294"/>
  <c r="H45" i="2294"/>
  <c r="H44" i="2294"/>
  <c r="H43" i="2294"/>
  <c r="H42" i="2294"/>
  <c r="H41" i="2294"/>
  <c r="H40" i="2294"/>
  <c r="H39" i="2294"/>
  <c r="H38" i="2294"/>
  <c r="H37" i="2294"/>
  <c r="H36" i="2294"/>
  <c r="H35" i="2294"/>
  <c r="H34" i="2294"/>
  <c r="H33" i="2294"/>
  <c r="H32" i="2294"/>
  <c r="H31" i="2294"/>
  <c r="H30" i="2294"/>
  <c r="H29" i="2294"/>
  <c r="H28" i="2294"/>
  <c r="H27" i="2294"/>
  <c r="H26" i="2294"/>
  <c r="H25" i="2294"/>
  <c r="H24" i="2294"/>
  <c r="H23" i="2294"/>
  <c r="H22" i="2294"/>
  <c r="C22" i="2294"/>
  <c r="H21" i="2294"/>
  <c r="C21" i="2294"/>
  <c r="H20" i="2294"/>
  <c r="B20" i="2294"/>
  <c r="H19" i="2294"/>
  <c r="H18" i="2294"/>
  <c r="C18" i="2294"/>
  <c r="H17" i="2294"/>
  <c r="C17" i="2294"/>
  <c r="H16" i="2294"/>
  <c r="C16" i="2294"/>
  <c r="H15" i="2294"/>
  <c r="C15" i="2294"/>
  <c r="B15" i="2294"/>
  <c r="B19" i="2294" s="1"/>
  <c r="H14" i="2294"/>
  <c r="C14" i="2294"/>
  <c r="H13" i="2294"/>
  <c r="C13" i="2294"/>
  <c r="H12" i="2294"/>
  <c r="C12" i="2294"/>
  <c r="H11" i="2294"/>
  <c r="C11" i="2294"/>
  <c r="H10" i="2294"/>
  <c r="C10" i="2294"/>
  <c r="H9" i="2294"/>
  <c r="C9" i="2294"/>
  <c r="H8" i="2294"/>
  <c r="C8" i="2294"/>
  <c r="H7" i="2294"/>
  <c r="C7" i="2294"/>
  <c r="H6" i="2294"/>
  <c r="B6" i="2294"/>
  <c r="H5" i="2294"/>
  <c r="B5" i="2294"/>
  <c r="H4" i="2294"/>
  <c r="H3" i="2294"/>
  <c r="H2" i="2294"/>
  <c r="H51" i="2293" l="1"/>
  <c r="H50" i="2293"/>
  <c r="H49" i="2293"/>
  <c r="H48" i="2293"/>
  <c r="H47" i="2293"/>
  <c r="H46" i="2293"/>
  <c r="H45" i="2293"/>
  <c r="H44" i="2293"/>
  <c r="H43" i="2293"/>
  <c r="H42" i="2293"/>
  <c r="H41" i="2293"/>
  <c r="H40" i="2293"/>
  <c r="H39" i="2293"/>
  <c r="H38" i="2293"/>
  <c r="H37" i="2293"/>
  <c r="H36" i="2293"/>
  <c r="H35" i="2293"/>
  <c r="H34" i="2293"/>
  <c r="H33" i="2293"/>
  <c r="H32" i="2293"/>
  <c r="H31" i="2293"/>
  <c r="H30" i="2293"/>
  <c r="H29" i="2293"/>
  <c r="H28" i="2293"/>
  <c r="H27" i="2293"/>
  <c r="H26" i="2293"/>
  <c r="H25" i="2293"/>
  <c r="H24" i="2293"/>
  <c r="H11" i="2293"/>
  <c r="H23" i="2293"/>
  <c r="C22" i="2293"/>
  <c r="H10" i="2293"/>
  <c r="C21" i="2293"/>
  <c r="H22" i="2293"/>
  <c r="B20" i="2293"/>
  <c r="H21" i="2293"/>
  <c r="H20" i="2293"/>
  <c r="C18" i="2293"/>
  <c r="H19" i="2293"/>
  <c r="C17" i="2293"/>
  <c r="H18" i="2293"/>
  <c r="C16" i="2293"/>
  <c r="H17" i="2293"/>
  <c r="B15" i="2293"/>
  <c r="B19" i="2293" s="1"/>
  <c r="H16" i="2293"/>
  <c r="C14" i="2293"/>
  <c r="H15" i="2293"/>
  <c r="C13" i="2293"/>
  <c r="H14" i="2293"/>
  <c r="C12" i="2293"/>
  <c r="H4" i="2293"/>
  <c r="C11" i="2293"/>
  <c r="H13" i="2293"/>
  <c r="C10" i="2293"/>
  <c r="H12" i="2293"/>
  <c r="C9" i="2293"/>
  <c r="H9" i="2293"/>
  <c r="C8" i="2293"/>
  <c r="H7" i="2293"/>
  <c r="C7" i="2293"/>
  <c r="H3" i="2293"/>
  <c r="B6" i="2293"/>
  <c r="H6" i="2293"/>
  <c r="B5" i="2293"/>
  <c r="H2" i="2293"/>
  <c r="H8" i="2293"/>
  <c r="H5" i="2293"/>
  <c r="H51" i="2292"/>
  <c r="H50" i="2292"/>
  <c r="H49" i="2292"/>
  <c r="H48" i="2292"/>
  <c r="H47" i="2292"/>
  <c r="H46" i="2292"/>
  <c r="H45" i="2292"/>
  <c r="H44" i="2292"/>
  <c r="H43" i="2292"/>
  <c r="H42" i="2292"/>
  <c r="H41" i="2292"/>
  <c r="H40" i="2292"/>
  <c r="H39" i="2292"/>
  <c r="H38" i="2292"/>
  <c r="H37" i="2292"/>
  <c r="H36" i="2292"/>
  <c r="H35" i="2292"/>
  <c r="H34" i="2292"/>
  <c r="H33" i="2292"/>
  <c r="H17" i="2292"/>
  <c r="H16" i="2292"/>
  <c r="H32" i="2292"/>
  <c r="H8" i="2292"/>
  <c r="H22" i="2292"/>
  <c r="H21" i="2292"/>
  <c r="H10" i="2292"/>
  <c r="H20" i="2292"/>
  <c r="H19" i="2292"/>
  <c r="H13" i="2292"/>
  <c r="H31" i="2292"/>
  <c r="C22" i="2292"/>
  <c r="H15" i="2292"/>
  <c r="C21" i="2292"/>
  <c r="H30" i="2292"/>
  <c r="B20" i="2292"/>
  <c r="H29" i="2292"/>
  <c r="H18" i="2292"/>
  <c r="C18" i="2292"/>
  <c r="H28" i="2292"/>
  <c r="C17" i="2292"/>
  <c r="H27" i="2292"/>
  <c r="C16" i="2292"/>
  <c r="H26" i="2292"/>
  <c r="B15" i="2292"/>
  <c r="B19" i="2292" s="1"/>
  <c r="H25" i="2292"/>
  <c r="C14" i="2292"/>
  <c r="H24" i="2292"/>
  <c r="C13" i="2292"/>
  <c r="H23" i="2292"/>
  <c r="C12" i="2292"/>
  <c r="H4" i="2292"/>
  <c r="C11" i="2292"/>
  <c r="H14" i="2292"/>
  <c r="C10" i="2292"/>
  <c r="H9" i="2292"/>
  <c r="C9" i="2292"/>
  <c r="H12" i="2292"/>
  <c r="C8" i="2292"/>
  <c r="H6" i="2292"/>
  <c r="C7" i="2292"/>
  <c r="H2" i="2292"/>
  <c r="B6" i="2292"/>
  <c r="H7" i="2292"/>
  <c r="B5" i="2292"/>
  <c r="H5" i="2292"/>
  <c r="H11" i="2292"/>
  <c r="H3" i="2292"/>
  <c r="C15" i="2293" l="1"/>
  <c r="C15" i="2292"/>
  <c r="H51" i="2291" l="1"/>
  <c r="H50" i="2291"/>
  <c r="H49" i="2291"/>
  <c r="H48" i="2291"/>
  <c r="H47" i="2291"/>
  <c r="H46" i="2291"/>
  <c r="H45" i="2291"/>
  <c r="H44" i="2291"/>
  <c r="H43" i="2291"/>
  <c r="H42" i="2291"/>
  <c r="H41" i="2291"/>
  <c r="H40" i="2291"/>
  <c r="H39" i="2291"/>
  <c r="H38" i="2291"/>
  <c r="H37" i="2291"/>
  <c r="H36" i="2291"/>
  <c r="H35" i="2291"/>
  <c r="H34" i="2291"/>
  <c r="H33" i="2291"/>
  <c r="H32" i="2291"/>
  <c r="H31" i="2291"/>
  <c r="H30" i="2291"/>
  <c r="H29" i="2291"/>
  <c r="H28" i="2291"/>
  <c r="H27" i="2291"/>
  <c r="H26" i="2291"/>
  <c r="H25" i="2291"/>
  <c r="H24" i="2291"/>
  <c r="H23" i="2291"/>
  <c r="H22" i="2291"/>
  <c r="C22" i="2291"/>
  <c r="H21" i="2291"/>
  <c r="C21" i="2291"/>
  <c r="H20" i="2291"/>
  <c r="B20" i="2291"/>
  <c r="H19" i="2291"/>
  <c r="H18" i="2291"/>
  <c r="C18" i="2291"/>
  <c r="H17" i="2291"/>
  <c r="C17" i="2291"/>
  <c r="H16" i="2291"/>
  <c r="C16" i="2291"/>
  <c r="H15" i="2291"/>
  <c r="B15" i="2291"/>
  <c r="B19" i="2291" s="1"/>
  <c r="H14" i="2291"/>
  <c r="C14" i="2291"/>
  <c r="H13" i="2291"/>
  <c r="C13" i="2291"/>
  <c r="H12" i="2291"/>
  <c r="C12" i="2291"/>
  <c r="H11" i="2291"/>
  <c r="C11" i="2291"/>
  <c r="H10" i="2291"/>
  <c r="C10" i="2291"/>
  <c r="H9" i="2291"/>
  <c r="C9" i="2291"/>
  <c r="H8" i="2291"/>
  <c r="C8" i="2291"/>
  <c r="H7" i="2291"/>
  <c r="C7" i="2291"/>
  <c r="H6" i="2291"/>
  <c r="B6" i="2291"/>
  <c r="H5" i="2291"/>
  <c r="B5" i="2291"/>
  <c r="H4" i="2291"/>
  <c r="H3" i="2291"/>
  <c r="H2" i="2291"/>
  <c r="H51" i="2290"/>
  <c r="H50" i="2290"/>
  <c r="H49" i="2290"/>
  <c r="H48" i="2290"/>
  <c r="H47" i="2290"/>
  <c r="H46" i="2290"/>
  <c r="H45" i="2290"/>
  <c r="H44" i="2290"/>
  <c r="H43" i="2290"/>
  <c r="H42" i="2290"/>
  <c r="H41" i="2290"/>
  <c r="H40" i="2290"/>
  <c r="H39" i="2290"/>
  <c r="H38" i="2290"/>
  <c r="H37" i="2290"/>
  <c r="H36" i="2290"/>
  <c r="H35" i="2290"/>
  <c r="H34" i="2290"/>
  <c r="H33" i="2290"/>
  <c r="H32" i="2290"/>
  <c r="H31" i="2290"/>
  <c r="H30" i="2290"/>
  <c r="H29" i="2290"/>
  <c r="H28" i="2290"/>
  <c r="H27" i="2290"/>
  <c r="H26" i="2290"/>
  <c r="H25" i="2290"/>
  <c r="H24" i="2290"/>
  <c r="H23" i="2290"/>
  <c r="H22" i="2290"/>
  <c r="C22" i="2290"/>
  <c r="H21" i="2290"/>
  <c r="C21" i="2290"/>
  <c r="H20" i="2290"/>
  <c r="B20" i="2290"/>
  <c r="H19" i="2290"/>
  <c r="H18" i="2290"/>
  <c r="C18" i="2290"/>
  <c r="H17" i="2290"/>
  <c r="C17" i="2290"/>
  <c r="H16" i="2290"/>
  <c r="C16" i="2290"/>
  <c r="H15" i="2290"/>
  <c r="C15" i="2290"/>
  <c r="B15" i="2290"/>
  <c r="B19" i="2290" s="1"/>
  <c r="H14" i="2290"/>
  <c r="C14" i="2290"/>
  <c r="H13" i="2290"/>
  <c r="C13" i="2290"/>
  <c r="H12" i="2290"/>
  <c r="C12" i="2290"/>
  <c r="H11" i="2290"/>
  <c r="C11" i="2290"/>
  <c r="H10" i="2290"/>
  <c r="C10" i="2290"/>
  <c r="H9" i="2290"/>
  <c r="C9" i="2290"/>
  <c r="H8" i="2290"/>
  <c r="C8" i="2290"/>
  <c r="H7" i="2290"/>
  <c r="C7" i="2290"/>
  <c r="H6" i="2290"/>
  <c r="B6" i="2290"/>
  <c r="H5" i="2290"/>
  <c r="B5" i="2290"/>
  <c r="H4" i="2290"/>
  <c r="H3" i="2290"/>
  <c r="H2" i="2290"/>
  <c r="H51" i="2289"/>
  <c r="H50" i="2289"/>
  <c r="H49" i="2289"/>
  <c r="H48" i="2289"/>
  <c r="H47" i="2289"/>
  <c r="H20" i="2289"/>
  <c r="H46" i="2289"/>
  <c r="H45" i="2289"/>
  <c r="H44" i="2289"/>
  <c r="H43" i="2289"/>
  <c r="H42" i="2289"/>
  <c r="H41" i="2289"/>
  <c r="H40" i="2289"/>
  <c r="H39" i="2289"/>
  <c r="H38" i="2289"/>
  <c r="H37" i="2289"/>
  <c r="H36" i="2289"/>
  <c r="H35" i="2289"/>
  <c r="H34" i="2289"/>
  <c r="H17" i="2289"/>
  <c r="H19" i="2289"/>
  <c r="H33" i="2289"/>
  <c r="H9" i="2289"/>
  <c r="H32" i="2289"/>
  <c r="H31" i="2289"/>
  <c r="H11" i="2289"/>
  <c r="H30" i="2289"/>
  <c r="H29" i="2289"/>
  <c r="H14" i="2289"/>
  <c r="H28" i="2289"/>
  <c r="C22" i="2289"/>
  <c r="H15" i="2289"/>
  <c r="C21" i="2289"/>
  <c r="H27" i="2289"/>
  <c r="B20" i="2289"/>
  <c r="H26" i="2289"/>
  <c r="H18" i="2289"/>
  <c r="C18" i="2289"/>
  <c r="H25" i="2289"/>
  <c r="C17" i="2289"/>
  <c r="H16" i="2289"/>
  <c r="C16" i="2289"/>
  <c r="H24" i="2289"/>
  <c r="B15" i="2289"/>
  <c r="B19" i="2289" s="1"/>
  <c r="H23" i="2289"/>
  <c r="C14" i="2289"/>
  <c r="H22" i="2289"/>
  <c r="C13" i="2289"/>
  <c r="H21" i="2289"/>
  <c r="C12" i="2289"/>
  <c r="H3" i="2289"/>
  <c r="C11" i="2289"/>
  <c r="H10" i="2289"/>
  <c r="C10" i="2289"/>
  <c r="H12" i="2289"/>
  <c r="C9" i="2289"/>
  <c r="H8" i="2289"/>
  <c r="C8" i="2289"/>
  <c r="H7" i="2289"/>
  <c r="C7" i="2289"/>
  <c r="H2" i="2289"/>
  <c r="B6" i="2289"/>
  <c r="H6" i="2289"/>
  <c r="B5" i="2289"/>
  <c r="H5" i="2289"/>
  <c r="H13" i="2289"/>
  <c r="H4" i="2289"/>
  <c r="C15" i="2291" l="1"/>
  <c r="C15" i="2289"/>
  <c r="C22" i="2228" l="1"/>
  <c r="C21" i="2228"/>
  <c r="B20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8" i="2228"/>
  <c r="H17" i="2228"/>
  <c r="C17" i="2228"/>
  <c r="H16" i="2228"/>
  <c r="C16" i="2228"/>
  <c r="H15" i="2228"/>
  <c r="C15" i="2228"/>
  <c r="B15" i="2228"/>
  <c r="B19" i="2228" s="1"/>
  <c r="H14" i="2228"/>
  <c r="C14" i="2228"/>
  <c r="H13" i="2228"/>
  <c r="C13" i="2228"/>
  <c r="H12" i="2228"/>
  <c r="C12" i="2228"/>
  <c r="H11" i="2228"/>
  <c r="C11" i="2228"/>
  <c r="H10" i="2228"/>
  <c r="C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<sst xmlns="http://schemas.openxmlformats.org/spreadsheetml/2006/main" count="1726" uniqueCount="201">
  <si>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</si>
  <si>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</si>
  <si>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</si>
  <si>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</si>
  <si>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</si>
  <si>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</si>
  <si>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</si>
  <si>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</si>
  <si>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</si>
  <si>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</si>
  <si>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</si>
  <si>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</si>
  <si>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</si>
  <si>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</si>
  <si>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</si>
  <si>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</si>
  <si>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</si>
  <si>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</si>
  <si>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</si>
  <si>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</si>
  <si>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</si>
  <si>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</si>
  <si>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</si>
  <si>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</si>
  <si>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</si>
  <si>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</si>
  <si>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</si>
  <si>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</si>
  <si>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</si>
  <si>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</si>
  <si>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</si>
  <si>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</si>
  <si>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</si>
  <si>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</si>
  <si>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</si>
  <si>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</si>
  <si>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</si>
  <si>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</si>
  <si>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</si>
  <si>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</si>
  <si>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</si>
  <si>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</si>
  <si>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</si>
  <si>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</si>
  <si>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</si>
  <si>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</si>
  <si>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</si>
  <si>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</si>
  <si>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</si>
  <si>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</si>
  <si>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</si>
  <si>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</si>
  <si>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</si>
  <si>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</si>
  <si>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</si>
  <si>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</si>
  <si>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</si>
  <si>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</si>
  <si>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</si>
  <si>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</si>
  <si>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</si>
  <si>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</si>
  <si>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</si>
  <si>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</si>
  <si>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</si>
  <si>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</si>
  <si>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</si>
  <si>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</si>
  <si>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</si>
  <si>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</si>
  <si>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</si>
  <si>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</si>
  <si>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</si>
  <si>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</si>
  <si>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</si>
  <si>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</si>
  <si>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</si>
  <si>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</si>
  <si>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</si>
  <si>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</si>
  <si>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</si>
  <si>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</si>
  <si>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</si>
  <si>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</si>
  <si>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</si>
  <si>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</si>
  <si>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</si>
  <si>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</si>
  <si>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</si>
  <si>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</si>
  <si>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</si>
  <si>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</si>
  <si>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</si>
  <si>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</si>
  <si>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</si>
  <si>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</si>
  <si>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</si>
  <si>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</si>
  <si>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</si>
  <si>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</si>
  <si>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</si>
  <si>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</si>
  <si>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</si>
  <si>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</si>
  <si>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</si>
  <si>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</si>
  <si>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</si>
  <si>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</si>
  <si>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</si>
  <si>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</si>
  <si>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</si>
  <si>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</si>
  <si>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</si>
  <si>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</si>
  <si>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</si>
  <si>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</si>
  <si>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</si>
  <si>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</si>
  <si>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</si>
  <si>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</si>
  <si>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</si>
  <si>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</si>
  <si>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</si>
  <si>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</si>
  <si>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</si>
  <si>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</si>
  <si>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</si>
  <si>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</si>
  <si>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</si>
  <si>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</si>
  <si>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</si>
  <si>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</si>
  <si>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</si>
  <si>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</si>
  <si>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</si>
  <si>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</si>
  <si>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</si>
  <si>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</si>
  <si>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</si>
  <si>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</si>
  <si>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</si>
  <si>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</si>
  <si>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</si>
  <si>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</si>
  <si>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</si>
  <si>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</si>
  <si>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</si>
  <si>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</si>
  <si>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</si>
  <si>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</si>
  <si>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</si>
  <si>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</si>
  <si>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</si>
  <si>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</si>
  <si>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</si>
  <si>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</si>
  <si>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</si>
  <si>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</si>
  <si>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</si>
  <si>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</si>
  <si>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</si>
  <si>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</si>
  <si>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</si>
  <si>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</si>
  <si>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</si>
  <si>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</si>
  <si>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</si>
  <si>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</si>
  <si>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</si>
  <si>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</si>
  <si>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</si>
  <si>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</si>
  <si>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</si>
  <si>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</si>
  <si>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</si>
  <si>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</si>
  <si>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</si>
  <si>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</si>
  <si>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</si>
  <si>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</si>
  <si>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</si>
  <si>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</si>
  <si>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</si>
  <si>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</si>
  <si>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</si>
  <si>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</si>
  <si>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ファイル名</t>
    <rPh sb="4" eb="5">
      <t>メイ</t>
    </rPh>
    <phoneticPr fontId="1"/>
  </si>
  <si>
    <t>タイムスタンプ</t>
    <phoneticPr fontId="1"/>
  </si>
  <si>
    <t>シート</t>
    <phoneticPr fontId="1"/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</si>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</sst>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4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double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double">
        <color auto="1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81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6" fontId="0" fillId="0" borderId="7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1" xfId="0" applyNumberForma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4" xfId="0" applyNumberFormat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178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82" fontId="0" fillId="0" borderId="13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6" fontId="0" fillId="0" borderId="20" xfId="0" applyNumberFormat="1" applyBorder="1" applyAlignment="1">
      <alignment horizontal="center" vertical="center" shrinkToFit="1"/>
    </xf>
    <xf numFmtId="182" fontId="0" fillId="0" borderId="21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" fontId="0" fillId="0" borderId="1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3" fillId="0" borderId="28" xfId="0" applyNumberFormat="1" applyFon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82" fontId="0" fillId="0" borderId="35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6" xfId="0" applyNumberFormat="1" applyBorder="1" applyAlignment="1">
      <alignment horizontal="center" vertical="center"/>
    </xf>
    <xf numFmtId="22" fontId="0" fillId="0" borderId="37" xfId="0" applyNumberFormat="1" applyBorder="1" applyAlignment="1">
      <alignment horizontal="center" vertical="center"/>
    </xf>
    <xf numFmtId="22" fontId="0" fillId="0" borderId="38" xfId="0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 shrinkToFit="1"/>
    </xf>
    <xf numFmtId="1" fontId="2" fillId="0" borderId="13" xfId="0" applyNumberFormat="1" applyFont="1" applyBorder="1" applyAlignment="1">
      <alignment horizontal="center" vertical="center" shrinkToFit="1"/>
    </xf>
    <xf numFmtId="182" fontId="0" fillId="0" borderId="42" xfId="0" applyNumberFormat="1" applyBorder="1" applyAlignment="1">
      <alignment horizontal="center" vertical="center" shrinkToFit="1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だいち!$K$2:$K$106</c:f>
              <c:numCache>
                <c:formatCode>\+0;\-0;\±0</c:formatCode>
                <c:ptCount val="105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8C-4BFB-B675-DFEA515EC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4E-4736-B6EE-1D6D513E8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92-4FF0-9F1E-92C000342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りくと!$K$2:$K$70</c:f>
              <c:numCache>
                <c:formatCode>\+0;\-0;\±0</c:formatCode>
                <c:ptCount val="6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36-4B9C-AC07-5C4E790F6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4E-412A-AD93-3BAA6B4EF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4-4F07-9EDA-85327D813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D1-4DB5-A5FC-E82902A8C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ただ!$K$2:$K$46</c:f>
              <c:numCache>
                <c:formatCode>\+0;\-0;\±0</c:formatCode>
                <c:ptCount val="4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2A-43EA-BB3C-A68AF180C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74-472F-BDB7-9B98BE233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C5-4B92-9E51-5352AA132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2315DE-EA5C-4B12-A610-376FF8C092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FDC24F-C13B-4206-A742-3FFEEF88B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64087EE-EB48-497A-A739-C5B4AFBBF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A08E3A6-2BC7-47BF-9875-71CFDF7836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9E34BA0-667A-4CE7-A601-5B657EAE3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F4A1C38-F9F9-4165-83D4-1866C240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D6B3ABE-0B2E-4CA7-BDBD-05E6A48CE1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DB5CA43-99FA-4754-88A8-33F5444418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F06326B-92CB-4EF7-8766-A3E929AD63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75FE4B1-F850-4AD1-B958-137F52B6FC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C11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8" customWidth="1"/>
    <col min="12" max="12" width="10.75" style="1" customWidth="1"/>
    <col min="13" max="13" width="10.75" style="16" customWidth="1"/>
    <col min="14" max="14" width="10.75" style="1" customWidth="1"/>
    <col min="15" max="15" width="10.75" style="16" customWidth="1"/>
    <col min="16" max="16" width="10.75" style="1" customWidth="1"/>
    <col min="17" max="17" width="10.75" style="2" customWidth="1"/>
    <col min="18" max="18" width="10.75" style="1" customWidth="1"/>
    <col min="19" max="19" width="10.75" style="2" customWidth="1"/>
    <col min="20" max="20" width="10.75" style="1" customWidth="1"/>
    <col min="21" max="21" width="10.75" style="16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16384" width="9" style="4"/>
  </cols>
  <sheetData>
    <row r="1" spans="1:29" x14ac:dyDescent="0.4">
      <c r="A1" s="14"/>
      <c r="B1" s="77" t="s">
        <v>6</v>
      </c>
      <c r="C1" s="78"/>
      <c r="D1" s="77" t="s">
        <v>7</v>
      </c>
      <c r="E1" s="78"/>
      <c r="F1" s="77" t="s">
        <v>16</v>
      </c>
      <c r="G1" s="78"/>
      <c r="H1" s="77" t="s">
        <v>15</v>
      </c>
      <c r="I1" s="78"/>
      <c r="J1" s="77" t="s">
        <v>20</v>
      </c>
      <c r="K1" s="78"/>
      <c r="L1" s="77" t="s">
        <v>17</v>
      </c>
      <c r="M1" s="78"/>
      <c r="N1" s="77" t="s">
        <v>18</v>
      </c>
      <c r="O1" s="78"/>
      <c r="P1" s="77" t="s">
        <v>5</v>
      </c>
      <c r="Q1" s="78"/>
      <c r="R1" s="77" t="s">
        <v>19</v>
      </c>
      <c r="S1" s="78"/>
      <c r="T1" s="77" t="s">
        <v>131</v>
      </c>
      <c r="U1" s="78"/>
      <c r="V1" s="77" t="s">
        <v>126</v>
      </c>
      <c r="W1" s="78"/>
      <c r="X1" s="77" t="s">
        <v>134</v>
      </c>
      <c r="Y1" s="78"/>
      <c r="Z1" s="77" t="s">
        <v>135</v>
      </c>
      <c r="AA1" s="78"/>
      <c r="AB1" s="77" t="s">
        <v>200</v>
      </c>
      <c r="AC1" s="78"/>
    </row>
    <row r="2" spans="1:29" x14ac:dyDescent="0.4">
      <c r="A2" s="8">
        <v>1</v>
      </c>
      <c r="B2" s="9" t="s">
        <v>137</v>
      </c>
      <c r="C2" s="11">
        <v>386.50000000000006</v>
      </c>
      <c r="D2" s="10" t="s">
        <v>139</v>
      </c>
      <c r="E2" s="11">
        <v>7</v>
      </c>
      <c r="F2" s="10" t="s">
        <v>156</v>
      </c>
      <c r="G2" s="12">
        <v>1.75</v>
      </c>
      <c r="H2" s="10" t="s">
        <v>156</v>
      </c>
      <c r="I2" s="17">
        <v>0.5</v>
      </c>
      <c r="J2" s="10" t="s">
        <v>139</v>
      </c>
      <c r="K2" s="17">
        <v>0</v>
      </c>
      <c r="L2" s="10" t="s">
        <v>139</v>
      </c>
      <c r="M2" s="15">
        <v>0.4</v>
      </c>
      <c r="N2" s="10" t="s">
        <v>142</v>
      </c>
      <c r="O2" s="15">
        <v>0.13284132841328414</v>
      </c>
      <c r="P2" s="10" t="s">
        <v>141</v>
      </c>
      <c r="Q2" s="13">
        <v>11481.967213114754</v>
      </c>
      <c r="R2" s="10" t="s">
        <v>138</v>
      </c>
      <c r="S2" s="13">
        <v>-8240</v>
      </c>
      <c r="T2" s="10" t="s">
        <v>149</v>
      </c>
      <c r="U2" s="15">
        <v>0.3383838383838384</v>
      </c>
      <c r="V2" s="10" t="s">
        <v>142</v>
      </c>
      <c r="W2" s="15">
        <v>0.33333333333333331</v>
      </c>
      <c r="X2" s="10" t="s">
        <v>137</v>
      </c>
      <c r="Y2" s="15">
        <v>0.6987951807228916</v>
      </c>
      <c r="Z2" s="10" t="s">
        <v>137</v>
      </c>
      <c r="AA2" s="15">
        <v>0.44444444444444442</v>
      </c>
      <c r="AB2" s="10" t="s">
        <v>156</v>
      </c>
      <c r="AC2" s="15">
        <v>0.45454545454545453</v>
      </c>
    </row>
    <row r="3" spans="1:29" x14ac:dyDescent="0.4">
      <c r="A3" s="7">
        <v>2</v>
      </c>
      <c r="B3" s="6" t="s">
        <v>142</v>
      </c>
      <c r="C3" s="3">
        <v>233.00000000000003</v>
      </c>
      <c r="D3" s="1" t="s">
        <v>156</v>
      </c>
      <c r="E3" s="3">
        <v>6.7333333333333343</v>
      </c>
      <c r="F3" s="1" t="s">
        <v>142</v>
      </c>
      <c r="G3" s="5">
        <v>1.8461538461538463</v>
      </c>
      <c r="H3" s="1" t="s">
        <v>149</v>
      </c>
      <c r="I3" s="18">
        <v>0.40909090909090912</v>
      </c>
      <c r="J3" s="1" t="s">
        <v>142</v>
      </c>
      <c r="K3" s="18">
        <v>0.12820512820512819</v>
      </c>
      <c r="L3" s="1" t="s">
        <v>142</v>
      </c>
      <c r="M3" s="16">
        <v>0.35793357933579334</v>
      </c>
      <c r="N3" s="1" t="s">
        <v>156</v>
      </c>
      <c r="O3" s="16">
        <v>0.13414634146341464</v>
      </c>
      <c r="P3" s="1" t="s">
        <v>149</v>
      </c>
      <c r="Q3" s="2">
        <v>11229.807692307691</v>
      </c>
      <c r="R3" s="1" t="s">
        <v>148</v>
      </c>
      <c r="S3" s="2">
        <v>-8287.2727272727279</v>
      </c>
      <c r="T3" s="1" t="s">
        <v>137</v>
      </c>
      <c r="U3" s="16">
        <v>0.28719723183391005</v>
      </c>
      <c r="V3" s="1" t="s">
        <v>148</v>
      </c>
      <c r="W3" s="16">
        <v>0.28735632183908044</v>
      </c>
      <c r="X3" s="1" t="s">
        <v>160</v>
      </c>
      <c r="Y3" s="16">
        <v>0.61538461538461542</v>
      </c>
      <c r="Z3" s="1" t="s">
        <v>148</v>
      </c>
      <c r="AA3" s="16">
        <v>0.4</v>
      </c>
      <c r="AB3" s="1" t="s">
        <v>137</v>
      </c>
      <c r="AC3" s="16">
        <v>0.43018867924528303</v>
      </c>
    </row>
    <row r="4" spans="1:29" x14ac:dyDescent="0.4">
      <c r="A4" s="7">
        <v>3</v>
      </c>
      <c r="B4" s="6" t="s">
        <v>149</v>
      </c>
      <c r="C4" s="3">
        <v>193.79999999999995</v>
      </c>
      <c r="D4" s="1" t="s">
        <v>142</v>
      </c>
      <c r="E4" s="3">
        <v>5.9743589743589753</v>
      </c>
      <c r="F4" s="1" t="s">
        <v>137</v>
      </c>
      <c r="G4" s="5">
        <v>1.875</v>
      </c>
      <c r="H4" s="1" t="s">
        <v>137</v>
      </c>
      <c r="I4" s="18">
        <v>0.375</v>
      </c>
      <c r="J4" s="1" t="s">
        <v>137</v>
      </c>
      <c r="K4" s="18">
        <v>0.13461538461538461</v>
      </c>
      <c r="L4" s="1" t="s">
        <v>137</v>
      </c>
      <c r="M4" s="16">
        <v>0.35372340425531917</v>
      </c>
      <c r="N4" s="1" t="s">
        <v>149</v>
      </c>
      <c r="O4" s="16">
        <v>0.15709969788519637</v>
      </c>
      <c r="P4" s="1" t="s">
        <v>156</v>
      </c>
      <c r="Q4" s="2">
        <v>10857.142857142857</v>
      </c>
      <c r="R4" s="1" t="s">
        <v>145</v>
      </c>
      <c r="S4" s="2">
        <v>-8500</v>
      </c>
      <c r="T4" s="1" t="s">
        <v>141</v>
      </c>
      <c r="U4" s="16">
        <v>0.28514056224899598</v>
      </c>
      <c r="V4" s="1" t="s">
        <v>149</v>
      </c>
      <c r="W4" s="16">
        <v>0.25252525252525254</v>
      </c>
      <c r="X4" s="1" t="s">
        <v>149</v>
      </c>
      <c r="Y4" s="16">
        <v>0.61194029850746268</v>
      </c>
      <c r="Z4" s="1" t="s">
        <v>149</v>
      </c>
      <c r="AA4" s="16">
        <v>0.38</v>
      </c>
      <c r="AB4" s="1" t="s">
        <v>149</v>
      </c>
      <c r="AC4" s="16">
        <v>0.41935483870967744</v>
      </c>
    </row>
    <row r="5" spans="1:29" x14ac:dyDescent="0.4">
      <c r="A5" s="7">
        <v>4</v>
      </c>
      <c r="B5" s="6" t="s">
        <v>156</v>
      </c>
      <c r="C5" s="3">
        <v>80.800000000000011</v>
      </c>
      <c r="D5" s="1" t="s">
        <v>149</v>
      </c>
      <c r="E5" s="3">
        <v>4.4045454545454534</v>
      </c>
      <c r="F5" s="1" t="s">
        <v>149</v>
      </c>
      <c r="G5" s="5">
        <v>1.8863636363636365</v>
      </c>
      <c r="H5" s="1" t="s">
        <v>142</v>
      </c>
      <c r="I5" s="18">
        <v>0.35897435897435898</v>
      </c>
      <c r="J5" s="1" t="s">
        <v>149</v>
      </c>
      <c r="K5" s="18">
        <v>0.15909090909090909</v>
      </c>
      <c r="L5" s="1" t="s">
        <v>156</v>
      </c>
      <c r="M5" s="16">
        <v>0.34146341463414637</v>
      </c>
      <c r="N5" s="1" t="s">
        <v>137</v>
      </c>
      <c r="O5" s="16">
        <v>0.16090425531914893</v>
      </c>
      <c r="P5" s="1" t="s">
        <v>160</v>
      </c>
      <c r="Q5" s="2">
        <v>10729.62962962963</v>
      </c>
      <c r="R5" s="1" t="s">
        <v>142</v>
      </c>
      <c r="S5" s="2">
        <v>-9613.8888888888887</v>
      </c>
      <c r="T5" s="1" t="s">
        <v>160</v>
      </c>
      <c r="U5" s="16">
        <v>0.24223602484472051</v>
      </c>
      <c r="V5" s="1" t="s">
        <v>160</v>
      </c>
      <c r="W5" s="16">
        <v>0.22981366459627328</v>
      </c>
      <c r="X5" s="1" t="s">
        <v>141</v>
      </c>
      <c r="Y5" s="16">
        <v>0.52112676056338025</v>
      </c>
      <c r="Z5" s="1" t="s">
        <v>160</v>
      </c>
      <c r="AA5" s="16">
        <v>0.3783783783783784</v>
      </c>
      <c r="AB5" s="1" t="s">
        <v>148</v>
      </c>
      <c r="AC5" s="16">
        <v>0.41333333333333333</v>
      </c>
    </row>
    <row r="6" spans="1:29" x14ac:dyDescent="0.4">
      <c r="A6" s="7">
        <v>5</v>
      </c>
      <c r="B6" s="6" t="s">
        <v>139</v>
      </c>
      <c r="C6" s="3">
        <v>7</v>
      </c>
      <c r="D6" s="1" t="s">
        <v>137</v>
      </c>
      <c r="E6" s="3">
        <v>3.7163461538461542</v>
      </c>
      <c r="F6" s="1" t="s">
        <v>139</v>
      </c>
      <c r="G6" s="5">
        <v>2</v>
      </c>
      <c r="H6" s="1" t="s">
        <v>141</v>
      </c>
      <c r="I6" s="18">
        <v>0.27941176470588236</v>
      </c>
      <c r="J6" s="1" t="s">
        <v>148</v>
      </c>
      <c r="K6" s="18">
        <v>0.17142857142857143</v>
      </c>
      <c r="L6" s="1" t="s">
        <v>149</v>
      </c>
      <c r="M6" s="16">
        <v>0.31419939577039274</v>
      </c>
      <c r="N6" s="1" t="s">
        <v>139</v>
      </c>
      <c r="O6" s="16">
        <v>0.2</v>
      </c>
      <c r="P6" s="1" t="s">
        <v>148</v>
      </c>
      <c r="Q6" s="2">
        <v>10240.25974025974</v>
      </c>
      <c r="R6" s="1" t="s">
        <v>149</v>
      </c>
      <c r="S6" s="2">
        <v>-9665.3846153846152</v>
      </c>
      <c r="T6" s="1" t="s">
        <v>142</v>
      </c>
      <c r="U6" s="16">
        <v>0.21212121212121213</v>
      </c>
      <c r="V6" s="1" t="s">
        <v>137</v>
      </c>
      <c r="W6" s="16">
        <v>0.2179930795847751</v>
      </c>
      <c r="X6" s="1" t="s">
        <v>142</v>
      </c>
      <c r="Y6" s="16">
        <v>0.42857142857142855</v>
      </c>
      <c r="Z6" s="1" t="s">
        <v>142</v>
      </c>
      <c r="AA6" s="16">
        <v>0.36363636363636365</v>
      </c>
      <c r="AB6" s="1" t="s">
        <v>160</v>
      </c>
      <c r="AC6" s="16">
        <v>0.3559322033898305</v>
      </c>
    </row>
    <row r="7" spans="1:29" x14ac:dyDescent="0.4">
      <c r="A7" s="7">
        <v>6</v>
      </c>
      <c r="B7" s="6" t="s">
        <v>145</v>
      </c>
      <c r="C7" s="3">
        <v>-40.700000000000003</v>
      </c>
      <c r="D7" s="1" t="s">
        <v>148</v>
      </c>
      <c r="E7" s="3">
        <v>-3.0314285714285716</v>
      </c>
      <c r="F7" s="1" t="s">
        <v>145</v>
      </c>
      <c r="G7" s="5">
        <v>2</v>
      </c>
      <c r="H7" s="1" t="s">
        <v>148</v>
      </c>
      <c r="I7" s="18">
        <v>0.25714285714285712</v>
      </c>
      <c r="J7" s="1" t="s">
        <v>156</v>
      </c>
      <c r="K7" s="18">
        <v>0.25</v>
      </c>
      <c r="L7" s="1" t="s">
        <v>148</v>
      </c>
      <c r="M7" s="16">
        <v>0.28102189781021897</v>
      </c>
      <c r="N7" s="1" t="s">
        <v>148</v>
      </c>
      <c r="O7" s="16">
        <v>0.20072992700729927</v>
      </c>
      <c r="P7" s="1" t="s">
        <v>137</v>
      </c>
      <c r="Q7" s="2">
        <v>9861.6541353383454</v>
      </c>
      <c r="R7" s="1" t="s">
        <v>160</v>
      </c>
      <c r="S7" s="2">
        <v>-9697.5609756097565</v>
      </c>
      <c r="T7" s="1" t="s">
        <v>148</v>
      </c>
      <c r="U7" s="16">
        <v>0.19540229885057472</v>
      </c>
      <c r="V7" s="1" t="s">
        <v>141</v>
      </c>
      <c r="W7" s="16">
        <v>0.1606425702811245</v>
      </c>
      <c r="X7" s="1" t="s">
        <v>148</v>
      </c>
      <c r="Y7" s="16">
        <v>0.41176470588235292</v>
      </c>
      <c r="Z7" s="1" t="s">
        <v>141</v>
      </c>
      <c r="AA7" s="16">
        <v>0.35</v>
      </c>
      <c r="AB7" s="1" t="s">
        <v>142</v>
      </c>
      <c r="AC7" s="16">
        <v>0.34693877551020408</v>
      </c>
    </row>
    <row r="8" spans="1:29" x14ac:dyDescent="0.4">
      <c r="A8" s="7">
        <v>7</v>
      </c>
      <c r="B8" s="6" t="s">
        <v>148</v>
      </c>
      <c r="C8" s="3">
        <v>-106.10000000000001</v>
      </c>
      <c r="D8" s="1" t="s">
        <v>141</v>
      </c>
      <c r="E8" s="3">
        <v>-5.9897058823529399</v>
      </c>
      <c r="F8" s="1" t="s">
        <v>148</v>
      </c>
      <c r="G8" s="5">
        <v>2.1142857142857143</v>
      </c>
      <c r="H8" s="1" t="s">
        <v>160</v>
      </c>
      <c r="I8" s="18">
        <v>0.24</v>
      </c>
      <c r="J8" s="1" t="s">
        <v>141</v>
      </c>
      <c r="K8" s="18">
        <v>0.27941176470588236</v>
      </c>
      <c r="L8" s="1" t="s">
        <v>160</v>
      </c>
      <c r="M8" s="16">
        <v>0.27272727272727271</v>
      </c>
      <c r="N8" s="1" t="s">
        <v>141</v>
      </c>
      <c r="O8" s="16">
        <v>0.20392156862745098</v>
      </c>
      <c r="P8" s="1" t="s">
        <v>142</v>
      </c>
      <c r="Q8" s="2">
        <v>9631.9587628865975</v>
      </c>
      <c r="R8" s="1" t="s">
        <v>156</v>
      </c>
      <c r="S8" s="2">
        <v>-9927.2727272727279</v>
      </c>
      <c r="T8" s="1" t="s">
        <v>138</v>
      </c>
      <c r="U8" s="16">
        <v>0</v>
      </c>
      <c r="V8" s="1" t="s">
        <v>138</v>
      </c>
      <c r="W8" s="16">
        <v>0</v>
      </c>
      <c r="X8" s="1" t="s">
        <v>138</v>
      </c>
      <c r="Y8" s="16">
        <v>0</v>
      </c>
      <c r="Z8" s="1" t="s">
        <v>138</v>
      </c>
      <c r="AA8" s="16">
        <v>0</v>
      </c>
      <c r="AB8" s="1" t="s">
        <v>141</v>
      </c>
      <c r="AC8" s="16">
        <v>0.29677419354838708</v>
      </c>
    </row>
    <row r="9" spans="1:29" x14ac:dyDescent="0.4">
      <c r="A9" s="7">
        <v>8</v>
      </c>
      <c r="B9" s="6" t="s">
        <v>138</v>
      </c>
      <c r="C9" s="3">
        <v>-132.1</v>
      </c>
      <c r="D9" s="1" t="s">
        <v>160</v>
      </c>
      <c r="E9" s="3">
        <v>-8.6759999999999984</v>
      </c>
      <c r="F9" s="1" t="s">
        <v>141</v>
      </c>
      <c r="G9" s="5">
        <v>2.1764705882352939</v>
      </c>
      <c r="H9" s="1" t="s">
        <v>138</v>
      </c>
      <c r="I9" s="18">
        <v>0</v>
      </c>
      <c r="J9" s="1" t="s">
        <v>160</v>
      </c>
      <c r="K9" s="18">
        <v>0.28000000000000003</v>
      </c>
      <c r="L9" s="1" t="s">
        <v>141</v>
      </c>
      <c r="M9" s="16">
        <v>0.23921568627450981</v>
      </c>
      <c r="N9" s="1" t="s">
        <v>160</v>
      </c>
      <c r="O9" s="16">
        <v>0.20707070707070707</v>
      </c>
      <c r="P9" s="1" t="s">
        <v>139</v>
      </c>
      <c r="Q9" s="2">
        <v>8000</v>
      </c>
      <c r="R9" s="1" t="s">
        <v>137</v>
      </c>
      <c r="S9" s="2">
        <v>-9957.0247933884293</v>
      </c>
      <c r="T9" s="1" t="s">
        <v>139</v>
      </c>
      <c r="U9" s="16">
        <v>0</v>
      </c>
      <c r="V9" s="1" t="s">
        <v>139</v>
      </c>
      <c r="W9" s="16">
        <v>0</v>
      </c>
      <c r="X9" s="1" t="s">
        <v>139</v>
      </c>
      <c r="Y9" s="16">
        <v>0</v>
      </c>
      <c r="Z9" s="1" t="s">
        <v>139</v>
      </c>
      <c r="AA9" s="16">
        <v>0</v>
      </c>
      <c r="AB9" s="1" t="s">
        <v>138</v>
      </c>
      <c r="AC9" s="16">
        <v>0</v>
      </c>
    </row>
    <row r="10" spans="1:29" x14ac:dyDescent="0.4">
      <c r="A10" s="7">
        <v>9</v>
      </c>
      <c r="B10" s="6" t="s">
        <v>160</v>
      </c>
      <c r="C10" s="3">
        <v>-216.89999999999998</v>
      </c>
      <c r="D10" s="1" t="s">
        <v>138</v>
      </c>
      <c r="E10" s="3">
        <v>-33.024999999999999</v>
      </c>
      <c r="F10" s="1" t="s">
        <v>160</v>
      </c>
      <c r="G10" s="5">
        <v>2.2799999999999998</v>
      </c>
      <c r="H10" s="1" t="s">
        <v>139</v>
      </c>
      <c r="I10" s="18">
        <v>0</v>
      </c>
      <c r="J10" s="1" t="s">
        <v>138</v>
      </c>
      <c r="K10" s="18">
        <v>0.5</v>
      </c>
      <c r="L10" s="1" t="s">
        <v>145</v>
      </c>
      <c r="M10" s="16">
        <v>0.16666666666666666</v>
      </c>
      <c r="N10" s="1" t="s">
        <v>145</v>
      </c>
      <c r="O10" s="16">
        <v>0.33333333333333331</v>
      </c>
      <c r="P10" s="1" t="s">
        <v>138</v>
      </c>
      <c r="Q10" s="2">
        <v>7800</v>
      </c>
      <c r="R10" s="1" t="s">
        <v>141</v>
      </c>
      <c r="S10" s="2">
        <v>-10577.884615384615</v>
      </c>
      <c r="T10" s="1" t="s">
        <v>145</v>
      </c>
      <c r="U10" s="16">
        <v>0</v>
      </c>
      <c r="V10" s="1" t="s">
        <v>145</v>
      </c>
      <c r="W10" s="16">
        <v>0</v>
      </c>
      <c r="X10" s="1" t="s">
        <v>145</v>
      </c>
      <c r="Y10" s="16">
        <v>0</v>
      </c>
      <c r="Z10" s="1" t="s">
        <v>145</v>
      </c>
      <c r="AA10" s="16">
        <v>0</v>
      </c>
      <c r="AB10" s="1" t="s">
        <v>139</v>
      </c>
      <c r="AC10" s="16">
        <v>0</v>
      </c>
    </row>
    <row r="11" spans="1:29" x14ac:dyDescent="0.4">
      <c r="A11" s="7">
        <v>10</v>
      </c>
      <c r="B11" s="6" t="s">
        <v>141</v>
      </c>
      <c r="C11" s="3">
        <v>-407.2999999999999</v>
      </c>
      <c r="D11" s="1" t="s">
        <v>145</v>
      </c>
      <c r="E11" s="3">
        <v>-40.700000000000003</v>
      </c>
      <c r="F11" s="1" t="s">
        <v>138</v>
      </c>
      <c r="G11" s="5">
        <v>3</v>
      </c>
      <c r="H11" s="1" t="s">
        <v>145</v>
      </c>
      <c r="I11" s="18">
        <v>0</v>
      </c>
      <c r="J11" s="1" t="s">
        <v>145</v>
      </c>
      <c r="K11" s="18">
        <v>1</v>
      </c>
      <c r="L11" s="1" t="s">
        <v>138</v>
      </c>
      <c r="M11" s="16">
        <v>0.04</v>
      </c>
      <c r="N11" s="1" t="s">
        <v>138</v>
      </c>
      <c r="O11" s="16">
        <v>0.4</v>
      </c>
      <c r="P11" s="1" t="s">
        <v>145</v>
      </c>
      <c r="Q11" s="2">
        <v>1300</v>
      </c>
      <c r="R11" s="1" t="s">
        <v>139</v>
      </c>
      <c r="S11" s="2">
        <v>-12000</v>
      </c>
      <c r="T11" s="1" t="s">
        <v>156</v>
      </c>
      <c r="U11" s="16">
        <v>0</v>
      </c>
      <c r="V11" s="1" t="s">
        <v>156</v>
      </c>
      <c r="W11" s="16">
        <v>0</v>
      </c>
      <c r="X11" s="1" t="s">
        <v>156</v>
      </c>
      <c r="Y11" s="16">
        <v>0</v>
      </c>
      <c r="Z11" s="1" t="s">
        <v>156</v>
      </c>
      <c r="AA11" s="16">
        <v>0</v>
      </c>
      <c r="AB11" s="1" t="s">
        <v>145</v>
      </c>
      <c r="AC11" s="16">
        <v>0</v>
      </c>
    </row>
  </sheetData>
  <sortState ref="AB2:AC24">
    <sortCondition descending="1" ref="AC1"/>
  </sortState>
  <mergeCells count="14">
    <mergeCell ref="AB1:AC1"/>
    <mergeCell ref="Z1:AA1"/>
    <mergeCell ref="D1:E1"/>
    <mergeCell ref="B1:C1"/>
    <mergeCell ref="R1:S1"/>
    <mergeCell ref="P1:Q1"/>
    <mergeCell ref="N1:O1"/>
    <mergeCell ref="L1:M1"/>
    <mergeCell ref="J1:K1"/>
    <mergeCell ref="H1:I1"/>
    <mergeCell ref="F1:G1"/>
    <mergeCell ref="T1:U1"/>
    <mergeCell ref="V1:W1"/>
    <mergeCell ref="X1:Y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EBC46-1D29-41E5-B6CB-01C878B479BB}">
  <sheetPr codeName="Sheet4"/>
  <dimension ref="A1:K106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9" t="s">
        <v>189</v>
      </c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104</v>
      </c>
      <c r="C2" s="27"/>
      <c r="E2" s="28" t="s">
        <v>73</v>
      </c>
      <c r="F2" s="10" t="s">
        <v>27</v>
      </c>
      <c r="G2" s="26">
        <v>100</v>
      </c>
      <c r="H2" s="29">
        <f>IF(B$24=0,0,G2/B$24)</f>
        <v>0.93457943925233644</v>
      </c>
      <c r="J2" s="25">
        <v>0</v>
      </c>
      <c r="K2" s="30">
        <v>0</v>
      </c>
    </row>
    <row r="3" spans="1:11" x14ac:dyDescent="0.4">
      <c r="A3" s="31" t="s">
        <v>8</v>
      </c>
      <c r="B3" s="32">
        <v>752</v>
      </c>
      <c r="C3" s="33"/>
      <c r="E3" s="34" t="s">
        <v>78</v>
      </c>
      <c r="F3" s="1" t="s">
        <v>31</v>
      </c>
      <c r="G3" s="32">
        <v>60</v>
      </c>
      <c r="H3" s="35">
        <f>IF(B$24=0,0,G3/B$24)</f>
        <v>0.56074766355140182</v>
      </c>
      <c r="J3" s="31">
        <v>1</v>
      </c>
      <c r="K3" s="36">
        <v>15</v>
      </c>
    </row>
    <row r="4" spans="1:11" x14ac:dyDescent="0.4">
      <c r="A4" s="31" t="s">
        <v>6</v>
      </c>
      <c r="B4" s="37">
        <v>386.50000000000006</v>
      </c>
      <c r="C4" s="36"/>
      <c r="E4" s="34" t="s">
        <v>69</v>
      </c>
      <c r="F4" s="1" t="s">
        <v>23</v>
      </c>
      <c r="G4" s="32">
        <v>55</v>
      </c>
      <c r="H4" s="35">
        <f>IF(B$24=0,0,G4/B$24)</f>
        <v>0.51401869158878499</v>
      </c>
      <c r="J4" s="31">
        <v>2</v>
      </c>
      <c r="K4" s="36">
        <v>14</v>
      </c>
    </row>
    <row r="5" spans="1:11" x14ac:dyDescent="0.4">
      <c r="A5" s="31" t="s">
        <v>7</v>
      </c>
      <c r="B5" s="37">
        <f>IF(B$2=0,0,B$4/B$2)</f>
        <v>3.7163461538461542</v>
      </c>
      <c r="C5" s="38"/>
      <c r="E5" s="34" t="s">
        <v>71</v>
      </c>
      <c r="F5" s="1" t="s">
        <v>25</v>
      </c>
      <c r="G5" s="32">
        <v>54</v>
      </c>
      <c r="H5" s="35">
        <f>IF(B$24=0,0,G5/B$24)</f>
        <v>0.50467289719626163</v>
      </c>
      <c r="J5" s="31">
        <v>3</v>
      </c>
      <c r="K5" s="36">
        <v>29.1</v>
      </c>
    </row>
    <row r="6" spans="1:11" x14ac:dyDescent="0.4">
      <c r="A6" s="31" t="s">
        <v>1</v>
      </c>
      <c r="B6" s="39">
        <f>IF(B$2=0,0,(B$7*1+B$8*2+B$9*3)/B$2)</f>
        <v>1.875</v>
      </c>
      <c r="C6" s="40"/>
      <c r="E6" s="34" t="s">
        <v>72</v>
      </c>
      <c r="F6" s="1" t="s">
        <v>26</v>
      </c>
      <c r="G6" s="32">
        <v>28</v>
      </c>
      <c r="H6" s="35">
        <f>IF(B$24=0,0,G6/B$24)</f>
        <v>0.26168224299065418</v>
      </c>
      <c r="J6" s="31">
        <v>4</v>
      </c>
      <c r="K6" s="36">
        <v>114.30000000000001</v>
      </c>
    </row>
    <row r="7" spans="1:11" x14ac:dyDescent="0.4">
      <c r="A7" s="31" t="s">
        <v>2</v>
      </c>
      <c r="B7" s="32">
        <v>39</v>
      </c>
      <c r="C7" s="35">
        <f>IF(B$2=0,0,B7/B$2)</f>
        <v>0.375</v>
      </c>
      <c r="E7" s="34" t="s">
        <v>74</v>
      </c>
      <c r="F7" s="1" t="s">
        <v>12</v>
      </c>
      <c r="G7" s="32">
        <v>28</v>
      </c>
      <c r="H7" s="35">
        <f>IF(B$24=0,0,G7/B$24)</f>
        <v>0.26168224299065418</v>
      </c>
      <c r="J7" s="31">
        <v>5</v>
      </c>
      <c r="K7" s="36">
        <v>145.80000000000001</v>
      </c>
    </row>
    <row r="8" spans="1:11" x14ac:dyDescent="0.4">
      <c r="A8" s="31" t="s">
        <v>3</v>
      </c>
      <c r="B8" s="32">
        <v>39</v>
      </c>
      <c r="C8" s="35">
        <f t="shared" ref="C8:C9" si="0">IF(B$2=0,0,B8/B$2)</f>
        <v>0.375</v>
      </c>
      <c r="E8" s="34" t="s">
        <v>75</v>
      </c>
      <c r="F8" s="1" t="s">
        <v>28</v>
      </c>
      <c r="G8" s="32">
        <v>15</v>
      </c>
      <c r="H8" s="35">
        <f>IF(B$24=0,0,G8/B$24)</f>
        <v>0.14018691588785046</v>
      </c>
      <c r="J8" s="31">
        <v>6</v>
      </c>
      <c r="K8" s="36">
        <v>97.800000000000011</v>
      </c>
    </row>
    <row r="9" spans="1:11" x14ac:dyDescent="0.4">
      <c r="A9" s="41" t="s">
        <v>4</v>
      </c>
      <c r="B9" s="42">
        <v>26</v>
      </c>
      <c r="C9" s="43">
        <f t="shared" si="0"/>
        <v>0.25</v>
      </c>
      <c r="E9" s="34" t="s">
        <v>96</v>
      </c>
      <c r="F9" s="1" t="s">
        <v>49</v>
      </c>
      <c r="G9" s="32">
        <v>14</v>
      </c>
      <c r="H9" s="35">
        <f>IF(B$24=0,0,G9/B$24)</f>
        <v>0.13084112149532709</v>
      </c>
      <c r="J9" s="31">
        <v>7</v>
      </c>
      <c r="K9" s="36">
        <v>91.700000000000017</v>
      </c>
    </row>
    <row r="10" spans="1:11" ht="19.5" thickBot="1" x14ac:dyDescent="0.45">
      <c r="A10" s="44" t="s">
        <v>21</v>
      </c>
      <c r="B10" s="45">
        <v>14</v>
      </c>
      <c r="C10" s="46">
        <f>IF(B$2=0,0,B10/B$2)</f>
        <v>0.13461538461538461</v>
      </c>
      <c r="E10" s="34" t="s">
        <v>77</v>
      </c>
      <c r="F10" s="1" t="s">
        <v>30</v>
      </c>
      <c r="G10" s="32">
        <v>7</v>
      </c>
      <c r="H10" s="35">
        <f>IF(B$24=0,0,G10/B$24)</f>
        <v>6.5420560747663545E-2</v>
      </c>
      <c r="J10" s="31">
        <v>8</v>
      </c>
      <c r="K10" s="36">
        <v>55.700000000000017</v>
      </c>
    </row>
    <row r="11" spans="1:11" ht="19.5" thickTop="1" x14ac:dyDescent="0.4">
      <c r="A11" s="59" t="s">
        <v>130</v>
      </c>
      <c r="B11" s="60">
        <v>83</v>
      </c>
      <c r="C11" s="61">
        <f>IF(B$23=0,0,B11/B$23)</f>
        <v>0.28719723183391005</v>
      </c>
      <c r="E11" s="34" t="s">
        <v>93</v>
      </c>
      <c r="F11" s="1" t="s">
        <v>46</v>
      </c>
      <c r="G11" s="32">
        <v>7</v>
      </c>
      <c r="H11" s="35">
        <f>IF(B$24=0,0,G11/B$24)</f>
        <v>6.5420560747663545E-2</v>
      </c>
      <c r="J11" s="31">
        <v>9</v>
      </c>
      <c r="K11" s="36">
        <v>14.700000000000017</v>
      </c>
    </row>
    <row r="12" spans="1:11" x14ac:dyDescent="0.4">
      <c r="A12" s="31" t="s">
        <v>125</v>
      </c>
      <c r="B12" s="32">
        <v>63</v>
      </c>
      <c r="C12" s="35">
        <f>IF(B$23=0,0,B12/B$23)</f>
        <v>0.2179930795847751</v>
      </c>
      <c r="E12" s="34" t="s">
        <v>76</v>
      </c>
      <c r="F12" s="1" t="s">
        <v>29</v>
      </c>
      <c r="G12" s="32">
        <v>5</v>
      </c>
      <c r="H12" s="35">
        <f>IF(B$24=0,0,G12/B$24)</f>
        <v>4.6728971962616821E-2</v>
      </c>
      <c r="J12" s="31">
        <v>10</v>
      </c>
      <c r="K12" s="36">
        <v>-16.799999999999983</v>
      </c>
    </row>
    <row r="13" spans="1:11" x14ac:dyDescent="0.4">
      <c r="A13" s="25" t="s">
        <v>132</v>
      </c>
      <c r="B13" s="26">
        <v>58</v>
      </c>
      <c r="C13" s="29">
        <f>IF(B$11=0,0,B13/B$11)</f>
        <v>0.6987951807228916</v>
      </c>
      <c r="E13" s="34" t="s">
        <v>70</v>
      </c>
      <c r="F13" s="1" t="s">
        <v>24</v>
      </c>
      <c r="G13" s="32">
        <v>4</v>
      </c>
      <c r="H13" s="35">
        <f>IF(B$24=0,0,G13/B$24)</f>
        <v>3.7383177570093455E-2</v>
      </c>
      <c r="J13" s="31">
        <v>11</v>
      </c>
      <c r="K13" s="36">
        <v>1.5000000000000178</v>
      </c>
    </row>
    <row r="14" spans="1:11" x14ac:dyDescent="0.4">
      <c r="A14" s="25" t="s">
        <v>133</v>
      </c>
      <c r="B14" s="26">
        <v>28</v>
      </c>
      <c r="C14" s="29">
        <f>IF(B$12=0,0,B14/B$12)</f>
        <v>0.44444444444444442</v>
      </c>
      <c r="E14" s="34" t="s">
        <v>90</v>
      </c>
      <c r="F14" s="1" t="s">
        <v>43</v>
      </c>
      <c r="G14" s="32">
        <v>4</v>
      </c>
      <c r="H14" s="35">
        <f>IF(B$24=0,0,G14/B$24)</f>
        <v>3.7383177570093455E-2</v>
      </c>
      <c r="J14" s="31">
        <v>12</v>
      </c>
      <c r="K14" s="36">
        <v>14.300000000000018</v>
      </c>
    </row>
    <row r="15" spans="1:11" x14ac:dyDescent="0.4">
      <c r="A15" s="25" t="s">
        <v>10</v>
      </c>
      <c r="B15" s="26">
        <f>B16+B17</f>
        <v>266</v>
      </c>
      <c r="C15" s="29">
        <f>IF(B$3=0,0,B15/B$3)</f>
        <v>0.35372340425531917</v>
      </c>
      <c r="E15" s="34" t="s">
        <v>88</v>
      </c>
      <c r="F15" s="1" t="s">
        <v>41</v>
      </c>
      <c r="G15" s="32">
        <v>3</v>
      </c>
      <c r="H15" s="35">
        <f>IF(B$24=0,0,G15/B$24)</f>
        <v>2.8037383177570093E-2</v>
      </c>
      <c r="J15" s="31">
        <v>13</v>
      </c>
      <c r="K15" s="36">
        <v>71.300000000000011</v>
      </c>
    </row>
    <row r="16" spans="1:11" x14ac:dyDescent="0.4">
      <c r="A16" s="31" t="s">
        <v>11</v>
      </c>
      <c r="B16" s="32">
        <v>168</v>
      </c>
      <c r="C16" s="35">
        <f>IF(B$3=0,0,B16/B$3)</f>
        <v>0.22340425531914893</v>
      </c>
      <c r="E16" s="34" t="s">
        <v>83</v>
      </c>
      <c r="F16" s="1" t="s">
        <v>36</v>
      </c>
      <c r="G16" s="32">
        <v>2</v>
      </c>
      <c r="H16" s="35">
        <f>IF(B$24=0,0,G16/B$24)</f>
        <v>1.8691588785046728E-2</v>
      </c>
      <c r="J16" s="31">
        <v>14</v>
      </c>
      <c r="K16" s="36">
        <v>27.300000000000011</v>
      </c>
    </row>
    <row r="17" spans="1:11" x14ac:dyDescent="0.4">
      <c r="A17" s="31" t="s">
        <v>12</v>
      </c>
      <c r="B17" s="32">
        <v>98</v>
      </c>
      <c r="C17" s="35">
        <f>IF(B$3=0,0,B17/B$3)</f>
        <v>0.13031914893617022</v>
      </c>
      <c r="E17" s="34" t="s">
        <v>99</v>
      </c>
      <c r="F17" s="1" t="s">
        <v>52</v>
      </c>
      <c r="G17" s="32">
        <v>2</v>
      </c>
      <c r="H17" s="35">
        <f>IF(B$24=0,0,G17/B$24)</f>
        <v>1.8691588785046728E-2</v>
      </c>
      <c r="J17" s="31">
        <v>15</v>
      </c>
      <c r="K17" s="36">
        <v>-9.6999999999999886</v>
      </c>
    </row>
    <row r="18" spans="1:11" x14ac:dyDescent="0.4">
      <c r="A18" s="31" t="s">
        <v>13</v>
      </c>
      <c r="B18" s="32">
        <v>121</v>
      </c>
      <c r="C18" s="35">
        <f>IF(B$3=0,0,B18/B$3)</f>
        <v>0.16090425531914893</v>
      </c>
      <c r="E18" s="34" t="s">
        <v>85</v>
      </c>
      <c r="F18" s="1" t="s">
        <v>38</v>
      </c>
      <c r="G18" s="32">
        <v>1</v>
      </c>
      <c r="H18" s="35">
        <f>IF(B$24=0,0,G18/B$24)</f>
        <v>9.3457943925233638E-3</v>
      </c>
      <c r="J18" s="31">
        <v>16</v>
      </c>
      <c r="K18" s="36">
        <v>-8.099999999999989</v>
      </c>
    </row>
    <row r="19" spans="1:11" x14ac:dyDescent="0.4">
      <c r="A19" s="31" t="s">
        <v>5</v>
      </c>
      <c r="B19" s="49">
        <f>IF(B$15=0,0,C19/B$15)</f>
        <v>9861.6541353383454</v>
      </c>
      <c r="C19" s="50">
        <v>2623200</v>
      </c>
      <c r="E19" s="34" t="s">
        <v>98</v>
      </c>
      <c r="F19" s="1" t="s">
        <v>51</v>
      </c>
      <c r="G19" s="32">
        <v>1</v>
      </c>
      <c r="H19" s="35">
        <f>IF(B$24=0,0,G19/B$24)</f>
        <v>9.3457943925233638E-3</v>
      </c>
      <c r="J19" s="31">
        <v>17</v>
      </c>
      <c r="K19" s="36">
        <v>-29.499999999999986</v>
      </c>
    </row>
    <row r="20" spans="1:11" ht="19.5" thickBot="1" x14ac:dyDescent="0.45">
      <c r="A20" s="41" t="s">
        <v>14</v>
      </c>
      <c r="B20" s="74">
        <f>IF(B$18=0,0,C20/B$18)</f>
        <v>-9957.0247933884293</v>
      </c>
      <c r="C20" s="75">
        <v>-1204800</v>
      </c>
      <c r="E20" s="34" t="s">
        <v>113</v>
      </c>
      <c r="F20" s="1" t="s">
        <v>120</v>
      </c>
      <c r="G20" s="32">
        <v>1</v>
      </c>
      <c r="H20" s="35">
        <f>IF(B$24=0,0,G20/B$24)</f>
        <v>9.3457943925233638E-3</v>
      </c>
      <c r="J20" s="31">
        <v>18</v>
      </c>
      <c r="K20" s="36">
        <v>-14.599999999999985</v>
      </c>
    </row>
    <row r="21" spans="1:11" ht="19.5" thickTop="1" x14ac:dyDescent="0.4">
      <c r="A21" s="47" t="s">
        <v>198</v>
      </c>
      <c r="B21" s="48">
        <v>265</v>
      </c>
      <c r="C21" s="76">
        <f>IF(B$3=0,0,B21/B$3)</f>
        <v>0.35239361702127658</v>
      </c>
      <c r="E21" s="34" t="s">
        <v>79</v>
      </c>
      <c r="F21" s="1" t="s">
        <v>32</v>
      </c>
      <c r="G21" s="32">
        <v>0</v>
      </c>
      <c r="H21" s="35">
        <f>IF(B$24=0,0,G21/B$24)</f>
        <v>0</v>
      </c>
      <c r="J21" s="31">
        <v>19</v>
      </c>
      <c r="K21" s="36">
        <v>42.600000000000016</v>
      </c>
    </row>
    <row r="22" spans="1:11" ht="19.5" thickBot="1" x14ac:dyDescent="0.45">
      <c r="A22" s="44" t="s">
        <v>199</v>
      </c>
      <c r="B22" s="45">
        <v>114</v>
      </c>
      <c r="C22" s="46">
        <f>IF(B$21=0,0,B22/B$21)</f>
        <v>0.43018867924528303</v>
      </c>
      <c r="E22" s="34" t="s">
        <v>80</v>
      </c>
      <c r="F22" s="1" t="s">
        <v>33</v>
      </c>
      <c r="G22" s="32">
        <v>0</v>
      </c>
      <c r="H22" s="35">
        <f>IF(B$24=0,0,G22/B$24)</f>
        <v>0</v>
      </c>
      <c r="J22" s="31">
        <v>20</v>
      </c>
      <c r="K22" s="36">
        <v>68.800000000000011</v>
      </c>
    </row>
    <row r="23" spans="1:11" ht="19.5" thickTop="1" x14ac:dyDescent="0.4">
      <c r="A23" s="25" t="s">
        <v>128</v>
      </c>
      <c r="B23" s="26">
        <v>289</v>
      </c>
      <c r="C23" s="29"/>
      <c r="E23" s="34" t="s">
        <v>81</v>
      </c>
      <c r="F23" s="1" t="s">
        <v>34</v>
      </c>
      <c r="G23" s="32">
        <v>0</v>
      </c>
      <c r="H23" s="35">
        <f>IF(B$24=0,0,G23/B$24)</f>
        <v>0</v>
      </c>
      <c r="J23" s="31">
        <v>21</v>
      </c>
      <c r="K23" s="36">
        <v>125.30000000000001</v>
      </c>
    </row>
    <row r="24" spans="1:11" x14ac:dyDescent="0.4">
      <c r="A24" s="51" t="s">
        <v>129</v>
      </c>
      <c r="B24" s="54">
        <v>107</v>
      </c>
      <c r="C24" s="55"/>
      <c r="E24" s="34" t="s">
        <v>82</v>
      </c>
      <c r="F24" s="1" t="s">
        <v>35</v>
      </c>
      <c r="G24" s="32">
        <v>0</v>
      </c>
      <c r="H24" s="35">
        <f>IF(B$24=0,0,G24/B$24)</f>
        <v>0</v>
      </c>
      <c r="J24" s="31">
        <v>22</v>
      </c>
      <c r="K24" s="36">
        <v>99.800000000000011</v>
      </c>
    </row>
    <row r="25" spans="1:11" x14ac:dyDescent="0.4">
      <c r="E25" s="34" t="s">
        <v>84</v>
      </c>
      <c r="F25" s="1" t="s">
        <v>37</v>
      </c>
      <c r="G25" s="32">
        <v>0</v>
      </c>
      <c r="H25" s="35">
        <f>IF(B$24=0,0,G25/B$24)</f>
        <v>0</v>
      </c>
      <c r="J25" s="31">
        <v>23</v>
      </c>
      <c r="K25" s="36">
        <v>124.50000000000001</v>
      </c>
    </row>
    <row r="26" spans="1:11" x14ac:dyDescent="0.4">
      <c r="E26" s="34" t="s">
        <v>86</v>
      </c>
      <c r="F26" s="1" t="s">
        <v>39</v>
      </c>
      <c r="G26" s="32">
        <v>0</v>
      </c>
      <c r="H26" s="35">
        <f>IF(B$24=0,0,G26/B$24)</f>
        <v>0</v>
      </c>
      <c r="J26" s="31">
        <v>24</v>
      </c>
      <c r="K26" s="36">
        <v>118.00000000000001</v>
      </c>
    </row>
    <row r="27" spans="1:11" x14ac:dyDescent="0.4">
      <c r="E27" s="34" t="s">
        <v>87</v>
      </c>
      <c r="F27" s="1" t="s">
        <v>40</v>
      </c>
      <c r="G27" s="32">
        <v>0</v>
      </c>
      <c r="H27" s="35">
        <f>IF(B$24=0,0,G27/B$24)</f>
        <v>0</v>
      </c>
      <c r="J27" s="31">
        <v>25</v>
      </c>
      <c r="K27" s="36">
        <v>84.300000000000011</v>
      </c>
    </row>
    <row r="28" spans="1:11" x14ac:dyDescent="0.4">
      <c r="E28" s="34" t="s">
        <v>89</v>
      </c>
      <c r="F28" s="1" t="s">
        <v>42</v>
      </c>
      <c r="G28" s="32">
        <v>0</v>
      </c>
      <c r="H28" s="35">
        <f>IF(B$24=0,0,G28/B$24)</f>
        <v>0</v>
      </c>
      <c r="J28" s="31">
        <v>26</v>
      </c>
      <c r="K28" s="36">
        <v>108.20000000000002</v>
      </c>
    </row>
    <row r="29" spans="1:11" x14ac:dyDescent="0.4">
      <c r="E29" s="34" t="s">
        <v>91</v>
      </c>
      <c r="F29" s="1" t="s">
        <v>44</v>
      </c>
      <c r="G29" s="32">
        <v>0</v>
      </c>
      <c r="H29" s="35">
        <f>IF(B$24=0,0,G29/B$24)</f>
        <v>0</v>
      </c>
      <c r="J29" s="31">
        <v>27</v>
      </c>
      <c r="K29" s="36">
        <v>71.200000000000017</v>
      </c>
    </row>
    <row r="30" spans="1:11" x14ac:dyDescent="0.4">
      <c r="E30" s="34" t="s">
        <v>92</v>
      </c>
      <c r="F30" s="1" t="s">
        <v>45</v>
      </c>
      <c r="G30" s="32">
        <v>0</v>
      </c>
      <c r="H30" s="35">
        <f>IF(B$24=0,0,G30/B$24)</f>
        <v>0</v>
      </c>
      <c r="J30" s="31">
        <v>28</v>
      </c>
      <c r="K30" s="36">
        <v>129.20000000000002</v>
      </c>
    </row>
    <row r="31" spans="1:11" x14ac:dyDescent="0.4">
      <c r="E31" s="34" t="s">
        <v>94</v>
      </c>
      <c r="F31" s="1" t="s">
        <v>47</v>
      </c>
      <c r="G31" s="32">
        <v>0</v>
      </c>
      <c r="H31" s="35">
        <f>IF(B$24=0,0,G31/B$24)</f>
        <v>0</v>
      </c>
      <c r="J31" s="31">
        <v>29</v>
      </c>
      <c r="K31" s="36">
        <v>120.80000000000001</v>
      </c>
    </row>
    <row r="32" spans="1:11" x14ac:dyDescent="0.4">
      <c r="E32" s="34" t="s">
        <v>95</v>
      </c>
      <c r="F32" s="1" t="s">
        <v>48</v>
      </c>
      <c r="G32" s="32">
        <v>0</v>
      </c>
      <c r="H32" s="35">
        <f>IF(B$24=0,0,G32/B$24)</f>
        <v>0</v>
      </c>
      <c r="J32" s="31">
        <v>30</v>
      </c>
      <c r="K32" s="36">
        <v>112.4</v>
      </c>
    </row>
    <row r="33" spans="5:11" x14ac:dyDescent="0.4">
      <c r="E33" s="34" t="s">
        <v>97</v>
      </c>
      <c r="F33" s="1" t="s">
        <v>50</v>
      </c>
      <c r="G33" s="32">
        <v>0</v>
      </c>
      <c r="H33" s="35">
        <f>IF(B$24=0,0,G33/B$24)</f>
        <v>0</v>
      </c>
      <c r="J33" s="31">
        <v>31</v>
      </c>
      <c r="K33" s="36">
        <v>165.7</v>
      </c>
    </row>
    <row r="34" spans="5:11" x14ac:dyDescent="0.4">
      <c r="E34" s="34" t="s">
        <v>100</v>
      </c>
      <c r="F34" s="1" t="s">
        <v>53</v>
      </c>
      <c r="G34" s="32">
        <v>0</v>
      </c>
      <c r="H34" s="35">
        <f>IF(B$24=0,0,G34/B$24)</f>
        <v>0</v>
      </c>
      <c r="J34" s="31">
        <v>32</v>
      </c>
      <c r="K34" s="36">
        <v>151.69999999999999</v>
      </c>
    </row>
    <row r="35" spans="5:11" x14ac:dyDescent="0.4">
      <c r="E35" s="34" t="s">
        <v>101</v>
      </c>
      <c r="F35" s="1" t="s">
        <v>54</v>
      </c>
      <c r="G35" s="32">
        <v>0</v>
      </c>
      <c r="H35" s="35">
        <f>IF(B$24=0,0,G35/B$24)</f>
        <v>0</v>
      </c>
      <c r="J35" s="31">
        <v>33</v>
      </c>
      <c r="K35" s="36">
        <v>212.39999999999998</v>
      </c>
    </row>
    <row r="36" spans="5:11" x14ac:dyDescent="0.4">
      <c r="E36" s="34" t="s">
        <v>102</v>
      </c>
      <c r="F36" s="1" t="s">
        <v>55</v>
      </c>
      <c r="G36" s="32">
        <v>0</v>
      </c>
      <c r="H36" s="35">
        <f>IF(B$24=0,0,G36/B$24)</f>
        <v>0</v>
      </c>
      <c r="J36" s="31">
        <v>34</v>
      </c>
      <c r="K36" s="36">
        <v>262.39999999999998</v>
      </c>
    </row>
    <row r="37" spans="5:11" x14ac:dyDescent="0.4">
      <c r="E37" s="34" t="s">
        <v>103</v>
      </c>
      <c r="F37" s="1" t="s">
        <v>56</v>
      </c>
      <c r="G37" s="32">
        <v>0</v>
      </c>
      <c r="H37" s="35">
        <f>IF(B$24=0,0,G37/B$24)</f>
        <v>0</v>
      </c>
      <c r="J37" s="31">
        <v>35</v>
      </c>
      <c r="K37" s="36">
        <v>248.39999999999998</v>
      </c>
    </row>
    <row r="38" spans="5:11" x14ac:dyDescent="0.4">
      <c r="E38" s="34" t="s">
        <v>104</v>
      </c>
      <c r="F38" s="1" t="s">
        <v>57</v>
      </c>
      <c r="G38" s="32">
        <v>0</v>
      </c>
      <c r="H38" s="35">
        <f>IF(B$24=0,0,G38/B$24)</f>
        <v>0</v>
      </c>
      <c r="J38" s="31">
        <v>36</v>
      </c>
      <c r="K38" s="36">
        <v>244.99999999999997</v>
      </c>
    </row>
    <row r="39" spans="5:11" x14ac:dyDescent="0.4">
      <c r="E39" s="34" t="s">
        <v>105</v>
      </c>
      <c r="F39" s="1" t="s">
        <v>58</v>
      </c>
      <c r="G39" s="32">
        <v>0</v>
      </c>
      <c r="H39" s="35">
        <f>IF(B$24=0,0,G39/B$24)</f>
        <v>0</v>
      </c>
      <c r="J39" s="31">
        <v>37</v>
      </c>
      <c r="K39" s="36">
        <v>227.89999999999998</v>
      </c>
    </row>
    <row r="40" spans="5:11" x14ac:dyDescent="0.4">
      <c r="E40" s="34" t="s">
        <v>106</v>
      </c>
      <c r="F40" s="1" t="s">
        <v>59</v>
      </c>
      <c r="G40" s="32">
        <v>0</v>
      </c>
      <c r="H40" s="35">
        <f>IF(B$24=0,0,G40/B$24)</f>
        <v>0</v>
      </c>
      <c r="J40" s="31">
        <v>38</v>
      </c>
      <c r="K40" s="36">
        <v>248.99999999999997</v>
      </c>
    </row>
    <row r="41" spans="5:11" x14ac:dyDescent="0.4">
      <c r="E41" s="34" t="s">
        <v>107</v>
      </c>
      <c r="F41" s="1" t="s">
        <v>60</v>
      </c>
      <c r="G41" s="32">
        <v>0</v>
      </c>
      <c r="H41" s="35">
        <f>IF(B$24=0,0,G41/B$24)</f>
        <v>0</v>
      </c>
      <c r="J41" s="31">
        <v>39</v>
      </c>
      <c r="K41" s="36">
        <v>198.39999999999998</v>
      </c>
    </row>
    <row r="42" spans="5:11" x14ac:dyDescent="0.4">
      <c r="E42" s="34" t="s">
        <v>108</v>
      </c>
      <c r="F42" s="1" t="s">
        <v>61</v>
      </c>
      <c r="G42" s="32">
        <v>0</v>
      </c>
      <c r="H42" s="35">
        <f>IF(B$24=0,0,G42/B$24)</f>
        <v>0</v>
      </c>
      <c r="J42" s="31">
        <v>40</v>
      </c>
      <c r="K42" s="36">
        <v>190.2</v>
      </c>
    </row>
    <row r="43" spans="5:11" x14ac:dyDescent="0.4">
      <c r="E43" s="34" t="s">
        <v>109</v>
      </c>
      <c r="F43" s="1" t="s">
        <v>62</v>
      </c>
      <c r="G43" s="32">
        <v>0</v>
      </c>
      <c r="H43" s="35">
        <f>IF(B$24=0,0,G43/B$24)</f>
        <v>0</v>
      </c>
      <c r="J43" s="31">
        <v>41</v>
      </c>
      <c r="K43" s="36">
        <v>183.2</v>
      </c>
    </row>
    <row r="44" spans="5:11" x14ac:dyDescent="0.4">
      <c r="E44" s="34" t="s">
        <v>110</v>
      </c>
      <c r="F44" s="1" t="s">
        <v>63</v>
      </c>
      <c r="G44" s="32">
        <v>0</v>
      </c>
      <c r="H44" s="35">
        <f>IF(B$24=0,0,G44/B$24)</f>
        <v>0</v>
      </c>
      <c r="J44" s="31">
        <v>42</v>
      </c>
      <c r="K44" s="36">
        <v>146.79999999999998</v>
      </c>
    </row>
    <row r="45" spans="5:11" x14ac:dyDescent="0.4">
      <c r="E45" s="34" t="s">
        <v>111</v>
      </c>
      <c r="F45" s="1" t="s">
        <v>64</v>
      </c>
      <c r="G45" s="32">
        <v>0</v>
      </c>
      <c r="H45" s="35">
        <f>IF(B$24=0,0,G45/B$24)</f>
        <v>0</v>
      </c>
      <c r="J45" s="31">
        <v>43</v>
      </c>
      <c r="K45" s="36">
        <v>138.29999999999998</v>
      </c>
    </row>
    <row r="46" spans="5:11" x14ac:dyDescent="0.4">
      <c r="E46" s="34" t="s">
        <v>112</v>
      </c>
      <c r="F46" s="1" t="s">
        <v>119</v>
      </c>
      <c r="G46" s="32">
        <v>0</v>
      </c>
      <c r="H46" s="35">
        <f>IF(B$24=0,0,G46/B$24)</f>
        <v>0</v>
      </c>
      <c r="J46" s="31">
        <v>44</v>
      </c>
      <c r="K46" s="36">
        <v>146.69999999999999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  <c r="J47" s="31">
        <v>45</v>
      </c>
      <c r="K47" s="36">
        <v>136.29999999999998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  <c r="J48" s="31">
        <v>46</v>
      </c>
      <c r="K48" s="36">
        <v>164.2</v>
      </c>
    </row>
    <row r="49" spans="5:11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  <c r="J49" s="31">
        <v>47</v>
      </c>
      <c r="K49" s="36">
        <v>143.69999999999999</v>
      </c>
    </row>
    <row r="50" spans="5:11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  <c r="J50" s="31">
        <v>48</v>
      </c>
      <c r="K50" s="36">
        <v>112.6</v>
      </c>
    </row>
    <row r="51" spans="5:11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  <c r="J51" s="31">
        <v>49</v>
      </c>
      <c r="K51" s="36">
        <v>128.79999999999998</v>
      </c>
    </row>
    <row r="52" spans="5:11" x14ac:dyDescent="0.4">
      <c r="J52" s="31">
        <v>50</v>
      </c>
      <c r="K52" s="36">
        <v>123.89999999999998</v>
      </c>
    </row>
    <row r="53" spans="5:11" x14ac:dyDescent="0.4">
      <c r="J53" s="31">
        <v>51</v>
      </c>
      <c r="K53" s="36">
        <v>136.69999999999999</v>
      </c>
    </row>
    <row r="54" spans="5:11" x14ac:dyDescent="0.4">
      <c r="J54" s="31">
        <v>52</v>
      </c>
      <c r="K54" s="36">
        <v>137.39999999999998</v>
      </c>
    </row>
    <row r="55" spans="5:11" x14ac:dyDescent="0.4">
      <c r="J55" s="31">
        <v>53</v>
      </c>
      <c r="K55" s="36">
        <v>130.69999999999999</v>
      </c>
    </row>
    <row r="56" spans="5:11" x14ac:dyDescent="0.4">
      <c r="J56" s="31">
        <v>54</v>
      </c>
      <c r="K56" s="36">
        <v>102.69999999999999</v>
      </c>
    </row>
    <row r="57" spans="5:11" x14ac:dyDescent="0.4">
      <c r="J57" s="31">
        <v>55</v>
      </c>
      <c r="K57" s="36">
        <v>119.39999999999999</v>
      </c>
    </row>
    <row r="58" spans="5:11" x14ac:dyDescent="0.4">
      <c r="J58" s="31">
        <v>56</v>
      </c>
      <c r="K58" s="36">
        <v>112.39999999999999</v>
      </c>
    </row>
    <row r="59" spans="5:11" x14ac:dyDescent="0.4">
      <c r="J59" s="31">
        <v>57</v>
      </c>
      <c r="K59" s="36">
        <v>144</v>
      </c>
    </row>
    <row r="60" spans="5:11" x14ac:dyDescent="0.4">
      <c r="J60" s="31">
        <v>58</v>
      </c>
      <c r="K60" s="36">
        <v>159.80000000000001</v>
      </c>
    </row>
    <row r="61" spans="5:11" x14ac:dyDescent="0.4">
      <c r="J61" s="31">
        <v>59</v>
      </c>
      <c r="K61" s="36">
        <v>216.8</v>
      </c>
    </row>
    <row r="62" spans="5:11" x14ac:dyDescent="0.4">
      <c r="J62" s="31">
        <v>60</v>
      </c>
      <c r="K62" s="36">
        <v>222.10000000000002</v>
      </c>
    </row>
    <row r="63" spans="5:11" x14ac:dyDescent="0.4">
      <c r="J63" s="31">
        <v>61</v>
      </c>
      <c r="K63" s="36">
        <v>176.00000000000003</v>
      </c>
    </row>
    <row r="64" spans="5:11" x14ac:dyDescent="0.4">
      <c r="J64" s="31">
        <v>62</v>
      </c>
      <c r="K64" s="36">
        <v>197.10000000000002</v>
      </c>
    </row>
    <row r="65" spans="10:11" x14ac:dyDescent="0.4">
      <c r="J65" s="31">
        <v>63</v>
      </c>
      <c r="K65" s="36">
        <v>131.10000000000002</v>
      </c>
    </row>
    <row r="66" spans="10:11" x14ac:dyDescent="0.4">
      <c r="J66" s="31">
        <v>64</v>
      </c>
      <c r="K66" s="36">
        <v>126.10000000000002</v>
      </c>
    </row>
    <row r="67" spans="10:11" x14ac:dyDescent="0.4">
      <c r="J67" s="31">
        <v>65</v>
      </c>
      <c r="K67" s="36">
        <v>127.10000000000002</v>
      </c>
    </row>
    <row r="68" spans="10:11" x14ac:dyDescent="0.4">
      <c r="J68" s="31">
        <v>66</v>
      </c>
      <c r="K68" s="36">
        <v>158.70000000000002</v>
      </c>
    </row>
    <row r="69" spans="10:11" x14ac:dyDescent="0.4">
      <c r="J69" s="31">
        <v>67</v>
      </c>
      <c r="K69" s="36">
        <v>139.70000000000002</v>
      </c>
    </row>
    <row r="70" spans="10:11" x14ac:dyDescent="0.4">
      <c r="J70" s="31">
        <v>68</v>
      </c>
      <c r="K70" s="36">
        <v>129.80000000000001</v>
      </c>
    </row>
    <row r="71" spans="10:11" x14ac:dyDescent="0.4">
      <c r="J71" s="31">
        <v>69</v>
      </c>
      <c r="K71" s="36">
        <v>130.70000000000002</v>
      </c>
    </row>
    <row r="72" spans="10:11" x14ac:dyDescent="0.4">
      <c r="J72" s="31">
        <v>70</v>
      </c>
      <c r="K72" s="36">
        <v>163</v>
      </c>
    </row>
    <row r="73" spans="10:11" x14ac:dyDescent="0.4">
      <c r="J73" s="31">
        <v>71</v>
      </c>
      <c r="K73" s="36">
        <v>191.4</v>
      </c>
    </row>
    <row r="74" spans="10:11" x14ac:dyDescent="0.4">
      <c r="J74" s="31">
        <v>72</v>
      </c>
      <c r="K74" s="36">
        <v>184</v>
      </c>
    </row>
    <row r="75" spans="10:11" x14ac:dyDescent="0.4">
      <c r="J75" s="31">
        <v>73</v>
      </c>
      <c r="K75" s="36">
        <v>202.3</v>
      </c>
    </row>
    <row r="76" spans="10:11" x14ac:dyDescent="0.4">
      <c r="J76" s="31">
        <v>74</v>
      </c>
      <c r="K76" s="36">
        <v>188.4</v>
      </c>
    </row>
    <row r="77" spans="10:11" x14ac:dyDescent="0.4">
      <c r="J77" s="31">
        <v>75</v>
      </c>
      <c r="K77" s="36">
        <v>228.4</v>
      </c>
    </row>
    <row r="78" spans="10:11" x14ac:dyDescent="0.4">
      <c r="J78" s="31">
        <v>76</v>
      </c>
      <c r="K78" s="36">
        <v>233.6</v>
      </c>
    </row>
    <row r="79" spans="10:11" x14ac:dyDescent="0.4">
      <c r="J79" s="31">
        <v>77</v>
      </c>
      <c r="K79" s="36">
        <v>219.9</v>
      </c>
    </row>
    <row r="80" spans="10:11" x14ac:dyDescent="0.4">
      <c r="J80" s="31">
        <v>78</v>
      </c>
      <c r="K80" s="36">
        <v>225</v>
      </c>
    </row>
    <row r="81" spans="10:11" x14ac:dyDescent="0.4">
      <c r="J81" s="31">
        <v>79</v>
      </c>
      <c r="K81" s="36">
        <v>256.89999999999998</v>
      </c>
    </row>
    <row r="82" spans="10:11" x14ac:dyDescent="0.4">
      <c r="J82" s="31">
        <v>80</v>
      </c>
      <c r="K82" s="36">
        <v>296.89999999999998</v>
      </c>
    </row>
    <row r="83" spans="10:11" x14ac:dyDescent="0.4">
      <c r="J83" s="31">
        <v>81</v>
      </c>
      <c r="K83" s="36">
        <v>319.39999999999998</v>
      </c>
    </row>
    <row r="84" spans="10:11" x14ac:dyDescent="0.4">
      <c r="J84" s="31">
        <v>82</v>
      </c>
      <c r="K84" s="36">
        <v>350.9</v>
      </c>
    </row>
    <row r="85" spans="10:11" x14ac:dyDescent="0.4">
      <c r="J85" s="31">
        <v>83</v>
      </c>
      <c r="K85" s="36">
        <v>410.7</v>
      </c>
    </row>
    <row r="86" spans="10:11" x14ac:dyDescent="0.4">
      <c r="J86" s="31">
        <v>84</v>
      </c>
      <c r="K86" s="36">
        <v>421.8</v>
      </c>
    </row>
    <row r="87" spans="10:11" x14ac:dyDescent="0.4">
      <c r="J87" s="31">
        <v>85</v>
      </c>
      <c r="K87" s="36">
        <v>423.40000000000003</v>
      </c>
    </row>
    <row r="88" spans="10:11" x14ac:dyDescent="0.4">
      <c r="J88" s="31">
        <v>86</v>
      </c>
      <c r="K88" s="36">
        <v>402.00000000000006</v>
      </c>
    </row>
    <row r="89" spans="10:11" x14ac:dyDescent="0.4">
      <c r="J89" s="31">
        <v>87</v>
      </c>
      <c r="K89" s="36">
        <v>405.50000000000006</v>
      </c>
    </row>
    <row r="90" spans="10:11" x14ac:dyDescent="0.4">
      <c r="J90" s="31">
        <v>88</v>
      </c>
      <c r="K90" s="36">
        <v>360.00000000000006</v>
      </c>
    </row>
    <row r="91" spans="10:11" x14ac:dyDescent="0.4">
      <c r="J91" s="31">
        <v>89</v>
      </c>
      <c r="K91" s="36">
        <v>359.40000000000003</v>
      </c>
    </row>
    <row r="92" spans="10:11" x14ac:dyDescent="0.4">
      <c r="J92" s="31">
        <v>90</v>
      </c>
      <c r="K92" s="36">
        <v>385.8</v>
      </c>
    </row>
    <row r="93" spans="10:11" x14ac:dyDescent="0.4">
      <c r="J93" s="31">
        <v>91</v>
      </c>
      <c r="K93" s="36">
        <v>395.5</v>
      </c>
    </row>
    <row r="94" spans="10:11" x14ac:dyDescent="0.4">
      <c r="J94" s="31">
        <v>92</v>
      </c>
      <c r="K94" s="36">
        <v>416.6</v>
      </c>
    </row>
    <row r="95" spans="10:11" x14ac:dyDescent="0.4">
      <c r="J95" s="31">
        <v>93</v>
      </c>
      <c r="K95" s="36">
        <v>459.70000000000005</v>
      </c>
    </row>
    <row r="96" spans="10:11" x14ac:dyDescent="0.4">
      <c r="J96" s="31">
        <v>94</v>
      </c>
      <c r="K96" s="36">
        <v>453.70000000000005</v>
      </c>
    </row>
    <row r="97" spans="10:11" x14ac:dyDescent="0.4">
      <c r="J97" s="31">
        <v>95</v>
      </c>
      <c r="K97" s="36">
        <v>416.20000000000005</v>
      </c>
    </row>
    <row r="98" spans="10:11" x14ac:dyDescent="0.4">
      <c r="J98" s="31">
        <v>96</v>
      </c>
      <c r="K98" s="36">
        <v>376.70000000000005</v>
      </c>
    </row>
    <row r="99" spans="10:11" x14ac:dyDescent="0.4">
      <c r="J99" s="31">
        <v>97</v>
      </c>
      <c r="K99" s="36">
        <v>387.80000000000007</v>
      </c>
    </row>
    <row r="100" spans="10:11" x14ac:dyDescent="0.4">
      <c r="J100" s="31">
        <v>98</v>
      </c>
      <c r="K100" s="36">
        <v>385.80000000000007</v>
      </c>
    </row>
    <row r="101" spans="10:11" x14ac:dyDescent="0.4">
      <c r="J101" s="31">
        <v>99</v>
      </c>
      <c r="K101" s="36">
        <v>429.30000000000007</v>
      </c>
    </row>
    <row r="102" spans="10:11" x14ac:dyDescent="0.4">
      <c r="J102" s="31">
        <v>100</v>
      </c>
      <c r="K102" s="36">
        <v>423.70000000000005</v>
      </c>
    </row>
    <row r="103" spans="10:11" x14ac:dyDescent="0.4">
      <c r="J103" s="31">
        <v>101</v>
      </c>
      <c r="K103" s="36">
        <v>416.30000000000007</v>
      </c>
    </row>
    <row r="104" spans="10:11" x14ac:dyDescent="0.4">
      <c r="J104" s="31">
        <v>102</v>
      </c>
      <c r="K104" s="36">
        <v>378.30000000000007</v>
      </c>
    </row>
    <row r="105" spans="10:11" x14ac:dyDescent="0.4">
      <c r="J105" s="31">
        <v>103</v>
      </c>
      <c r="K105" s="36">
        <v>359.50000000000006</v>
      </c>
    </row>
    <row r="106" spans="10:11" x14ac:dyDescent="0.4">
      <c r="J106" s="31">
        <v>104</v>
      </c>
      <c r="K106" s="36">
        <v>386.50000000000006</v>
      </c>
    </row>
  </sheetData>
  <sortState ref="E2:H106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393A9-B79D-4AA7-80BA-4CE030793CD7}">
  <sheetPr codeName="Sheet5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9" t="s">
        <v>194</v>
      </c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4</v>
      </c>
      <c r="C2" s="27"/>
      <c r="E2" s="28" t="s">
        <v>69</v>
      </c>
      <c r="F2" s="10" t="s">
        <v>23</v>
      </c>
      <c r="G2" s="26">
        <v>0</v>
      </c>
      <c r="H2" s="29">
        <f>IF(B$24=0,0,G2/B$24)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25</v>
      </c>
      <c r="C3" s="33"/>
      <c r="E3" s="34" t="s">
        <v>70</v>
      </c>
      <c r="F3" s="1" t="s">
        <v>24</v>
      </c>
      <c r="G3" s="32">
        <v>0</v>
      </c>
      <c r="H3" s="35">
        <f>IF(B$24=0,0,G3/B$24)</f>
        <v>0</v>
      </c>
      <c r="J3" s="31">
        <v>1</v>
      </c>
      <c r="K3" s="36">
        <v>-22</v>
      </c>
    </row>
    <row r="4" spans="1:11" x14ac:dyDescent="0.4">
      <c r="A4" s="31" t="s">
        <v>6</v>
      </c>
      <c r="B4" s="37">
        <v>-132.1</v>
      </c>
      <c r="C4" s="36"/>
      <c r="E4" s="34" t="s">
        <v>71</v>
      </c>
      <c r="F4" s="1" t="s">
        <v>25</v>
      </c>
      <c r="G4" s="32">
        <v>0</v>
      </c>
      <c r="H4" s="35">
        <f>IF(B$24=0,0,G4/B$24)</f>
        <v>0</v>
      </c>
      <c r="J4" s="31">
        <v>2</v>
      </c>
      <c r="K4" s="36">
        <v>-60.4</v>
      </c>
    </row>
    <row r="5" spans="1:11" x14ac:dyDescent="0.4">
      <c r="A5" s="31" t="s">
        <v>7</v>
      </c>
      <c r="B5" s="37">
        <f>IF(B$2=0,0,B$4/B$2)</f>
        <v>-33.024999999999999</v>
      </c>
      <c r="C5" s="38"/>
      <c r="E5" s="34" t="s">
        <v>72</v>
      </c>
      <c r="F5" s="1" t="s">
        <v>26</v>
      </c>
      <c r="G5" s="32">
        <v>0</v>
      </c>
      <c r="H5" s="35">
        <f>IF(B$24=0,0,G5/B$24)</f>
        <v>0</v>
      </c>
      <c r="J5" s="31">
        <v>3</v>
      </c>
      <c r="K5" s="36">
        <v>-85.6</v>
      </c>
    </row>
    <row r="6" spans="1:11" x14ac:dyDescent="0.4">
      <c r="A6" s="31" t="s">
        <v>1</v>
      </c>
      <c r="B6" s="39">
        <f>IF(B$2=0,0,(B$7*1+B$8*2+B$9*3)/B$2)</f>
        <v>3</v>
      </c>
      <c r="C6" s="40"/>
      <c r="E6" s="34" t="s">
        <v>73</v>
      </c>
      <c r="F6" s="1" t="s">
        <v>27</v>
      </c>
      <c r="G6" s="32">
        <v>0</v>
      </c>
      <c r="H6" s="35">
        <f>IF(B$24=0,0,G6/B$24)</f>
        <v>0</v>
      </c>
      <c r="J6" s="31">
        <v>4</v>
      </c>
      <c r="K6" s="36">
        <v>-132.1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>IF(B$24=0,0,G7/B$24)</f>
        <v>0</v>
      </c>
    </row>
    <row r="8" spans="1:11" x14ac:dyDescent="0.4">
      <c r="A8" s="31" t="s">
        <v>3</v>
      </c>
      <c r="B8" s="32">
        <v>0</v>
      </c>
      <c r="C8" s="35">
        <f t="shared" ref="C8:C9" si="0">IF(B$2=0,0,B8/B$2)</f>
        <v>0</v>
      </c>
      <c r="E8" s="34" t="s">
        <v>75</v>
      </c>
      <c r="F8" s="1" t="s">
        <v>28</v>
      </c>
      <c r="G8" s="32">
        <v>0</v>
      </c>
      <c r="H8" s="35">
        <f>IF(B$24=0,0,G8/B$24)</f>
        <v>0</v>
      </c>
    </row>
    <row r="9" spans="1:11" x14ac:dyDescent="0.4">
      <c r="A9" s="41" t="s">
        <v>4</v>
      </c>
      <c r="B9" s="42">
        <v>4</v>
      </c>
      <c r="C9" s="43">
        <f t="shared" si="0"/>
        <v>1</v>
      </c>
      <c r="E9" s="34" t="s">
        <v>76</v>
      </c>
      <c r="F9" s="1" t="s">
        <v>29</v>
      </c>
      <c r="G9" s="32">
        <v>0</v>
      </c>
      <c r="H9" s="35">
        <f>IF(B$24=0,0,G9/B$24)</f>
        <v>0</v>
      </c>
    </row>
    <row r="10" spans="1:11" ht="19.5" thickBot="1" x14ac:dyDescent="0.45">
      <c r="A10" s="44" t="s">
        <v>21</v>
      </c>
      <c r="B10" s="45">
        <v>2</v>
      </c>
      <c r="C10" s="46">
        <f>IF(B$2=0,0,B10/B$2)</f>
        <v>0.5</v>
      </c>
      <c r="E10" s="34" t="s">
        <v>77</v>
      </c>
      <c r="F10" s="1" t="s">
        <v>30</v>
      </c>
      <c r="G10" s="32">
        <v>0</v>
      </c>
      <c r="H10" s="35">
        <f>IF(B$24=0,0,G10/B$24)</f>
        <v>0</v>
      </c>
    </row>
    <row r="11" spans="1:11" ht="19.5" thickTop="1" x14ac:dyDescent="0.4">
      <c r="A11" s="59" t="s">
        <v>130</v>
      </c>
      <c r="B11" s="60">
        <v>0</v>
      </c>
      <c r="C11" s="61">
        <f>IF(B$23=0,0,B11/B$23)</f>
        <v>0</v>
      </c>
      <c r="E11" s="34" t="s">
        <v>78</v>
      </c>
      <c r="F11" s="1" t="s">
        <v>31</v>
      </c>
      <c r="G11" s="32">
        <v>0</v>
      </c>
      <c r="H11" s="35">
        <f>IF(B$24=0,0,G11/B$24)</f>
        <v>0</v>
      </c>
    </row>
    <row r="12" spans="1:11" x14ac:dyDescent="0.4">
      <c r="A12" s="31" t="s">
        <v>125</v>
      </c>
      <c r="B12" s="32">
        <v>0</v>
      </c>
      <c r="C12" s="35">
        <f>IF(B$23=0,0,B12/B$23)</f>
        <v>0</v>
      </c>
      <c r="E12" s="34" t="s">
        <v>79</v>
      </c>
      <c r="F12" s="1" t="s">
        <v>32</v>
      </c>
      <c r="G12" s="32">
        <v>0</v>
      </c>
      <c r="H12" s="35">
        <f>IF(B$24=0,0,G12/B$24)</f>
        <v>0</v>
      </c>
    </row>
    <row r="13" spans="1:11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>IF(B$24=0,0,G13/B$24)</f>
        <v>0</v>
      </c>
    </row>
    <row r="14" spans="1:11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>IF(B$24=0,0,G14/B$24)</f>
        <v>0</v>
      </c>
    </row>
    <row r="15" spans="1:11" x14ac:dyDescent="0.4">
      <c r="A15" s="25" t="s">
        <v>10</v>
      </c>
      <c r="B15" s="26">
        <f>B16+B17</f>
        <v>1</v>
      </c>
      <c r="C15" s="29">
        <f>IF(B$3=0,0,B15/B$3)</f>
        <v>0.04</v>
      </c>
      <c r="E15" s="34" t="s">
        <v>82</v>
      </c>
      <c r="F15" s="1" t="s">
        <v>35</v>
      </c>
      <c r="G15" s="32">
        <v>0</v>
      </c>
      <c r="H15" s="35">
        <f>IF(B$24=0,0,G15/B$24)</f>
        <v>0</v>
      </c>
    </row>
    <row r="16" spans="1:11" x14ac:dyDescent="0.4">
      <c r="A16" s="31" t="s">
        <v>11</v>
      </c>
      <c r="B16" s="32">
        <v>0</v>
      </c>
      <c r="C16" s="35">
        <f>IF(B$3=0,0,B16/B$3)</f>
        <v>0</v>
      </c>
      <c r="E16" s="34" t="s">
        <v>83</v>
      </c>
      <c r="F16" s="1" t="s">
        <v>36</v>
      </c>
      <c r="G16" s="32">
        <v>0</v>
      </c>
      <c r="H16" s="35">
        <f>IF(B$24=0,0,G16/B$24)</f>
        <v>0</v>
      </c>
    </row>
    <row r="17" spans="1:8" x14ac:dyDescent="0.4">
      <c r="A17" s="31" t="s">
        <v>12</v>
      </c>
      <c r="B17" s="32">
        <v>1</v>
      </c>
      <c r="C17" s="35">
        <f>IF(B$3=0,0,B17/B$3)</f>
        <v>0.04</v>
      </c>
      <c r="E17" s="34" t="s">
        <v>84</v>
      </c>
      <c r="F17" s="1" t="s">
        <v>37</v>
      </c>
      <c r="G17" s="32">
        <v>0</v>
      </c>
      <c r="H17" s="35">
        <f>IF(B$24=0,0,G17/B$24)</f>
        <v>0</v>
      </c>
    </row>
    <row r="18" spans="1:8" x14ac:dyDescent="0.4">
      <c r="A18" s="31" t="s">
        <v>13</v>
      </c>
      <c r="B18" s="32">
        <v>10</v>
      </c>
      <c r="C18" s="35">
        <f>IF(B$3=0,0,B18/B$3)</f>
        <v>0.4</v>
      </c>
      <c r="E18" s="34" t="s">
        <v>85</v>
      </c>
      <c r="F18" s="1" t="s">
        <v>38</v>
      </c>
      <c r="G18" s="32">
        <v>0</v>
      </c>
      <c r="H18" s="35">
        <f>IF(B$24=0,0,G18/B$24)</f>
        <v>0</v>
      </c>
    </row>
    <row r="19" spans="1:8" x14ac:dyDescent="0.4">
      <c r="A19" s="31" t="s">
        <v>5</v>
      </c>
      <c r="B19" s="49">
        <f>IF(B$15=0,0,C19/B$15)</f>
        <v>7800</v>
      </c>
      <c r="C19" s="50">
        <v>7800</v>
      </c>
      <c r="E19" s="34" t="s">
        <v>86</v>
      </c>
      <c r="F19" s="1" t="s">
        <v>39</v>
      </c>
      <c r="G19" s="32">
        <v>0</v>
      </c>
      <c r="H19" s="35">
        <f>IF(B$24=0,0,G19/B$24)</f>
        <v>0</v>
      </c>
    </row>
    <row r="20" spans="1:8" ht="19.5" thickBot="1" x14ac:dyDescent="0.45">
      <c r="A20" s="41" t="s">
        <v>14</v>
      </c>
      <c r="B20" s="74">
        <f>IF(B$18=0,0,C20/B$18)</f>
        <v>-8240</v>
      </c>
      <c r="C20" s="75">
        <v>-82400</v>
      </c>
      <c r="E20" s="34" t="s">
        <v>87</v>
      </c>
      <c r="F20" s="1" t="s">
        <v>40</v>
      </c>
      <c r="G20" s="32">
        <v>0</v>
      </c>
      <c r="H20" s="35">
        <f>IF(B$24=0,0,G20/B$24)</f>
        <v>0</v>
      </c>
    </row>
    <row r="21" spans="1:8" ht="19.5" thickTop="1" x14ac:dyDescent="0.4">
      <c r="A21" s="47" t="s">
        <v>198</v>
      </c>
      <c r="B21" s="48">
        <v>0</v>
      </c>
      <c r="C21" s="76">
        <f>IF(B$3=0,0,B21/B$3)</f>
        <v>0</v>
      </c>
      <c r="E21" s="34" t="s">
        <v>88</v>
      </c>
      <c r="F21" s="1" t="s">
        <v>41</v>
      </c>
      <c r="G21" s="32">
        <v>0</v>
      </c>
      <c r="H21" s="35">
        <f>IF(B$24=0,0,G21/B$24)</f>
        <v>0</v>
      </c>
    </row>
    <row r="22" spans="1:8" ht="19.5" thickBot="1" x14ac:dyDescent="0.45">
      <c r="A22" s="44" t="s">
        <v>199</v>
      </c>
      <c r="B22" s="45">
        <v>0</v>
      </c>
      <c r="C22" s="46">
        <f>IF(B$21=0,0,B22/B$21)</f>
        <v>0</v>
      </c>
      <c r="E22" s="34" t="s">
        <v>89</v>
      </c>
      <c r="F22" s="1" t="s">
        <v>42</v>
      </c>
      <c r="G22" s="32">
        <v>0</v>
      </c>
      <c r="H22" s="35">
        <f>IF(B$24=0,0,G22/B$24)</f>
        <v>0</v>
      </c>
    </row>
    <row r="23" spans="1:8" ht="19.5" thickTop="1" x14ac:dyDescent="0.4">
      <c r="A23" s="25" t="s">
        <v>128</v>
      </c>
      <c r="B23" s="26">
        <v>0</v>
      </c>
      <c r="C23" s="29"/>
      <c r="E23" s="34" t="s">
        <v>90</v>
      </c>
      <c r="F23" s="1" t="s">
        <v>43</v>
      </c>
      <c r="G23" s="32">
        <v>0</v>
      </c>
      <c r="H23" s="35">
        <f>IF(B$24=0,0,G23/B$24)</f>
        <v>0</v>
      </c>
    </row>
    <row r="24" spans="1:8" x14ac:dyDescent="0.4">
      <c r="A24" s="51" t="s">
        <v>129</v>
      </c>
      <c r="B24" s="54">
        <v>0</v>
      </c>
      <c r="C24" s="55"/>
      <c r="E24" s="34" t="s">
        <v>91</v>
      </c>
      <c r="F24" s="1" t="s">
        <v>44</v>
      </c>
      <c r="G24" s="32">
        <v>0</v>
      </c>
      <c r="H24" s="35">
        <f>IF(B$24=0,0,G24/B$24)</f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>IF(B$24=0,0,G25/B$24)</f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>IF(B$24=0,0,G26/B$24)</f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>IF(B$24=0,0,G27/B$24)</f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>IF(B$24=0,0,G28/B$24)</f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>IF(B$24=0,0,G29/B$24)</f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>IF(B$24=0,0,G30/B$24)</f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>IF(B$24=0,0,G31/B$24)</f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C0DC9-BB8B-4A0D-AE5A-5329EE52EA55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9" t="s">
        <v>139</v>
      </c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1</v>
      </c>
      <c r="C2" s="27"/>
      <c r="E2" s="28" t="s">
        <v>69</v>
      </c>
      <c r="F2" s="10" t="s">
        <v>23</v>
      </c>
      <c r="G2" s="26">
        <v>0</v>
      </c>
      <c r="H2" s="29">
        <f>IF(B$24=0,0,G2/B$24)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5</v>
      </c>
      <c r="C3" s="33"/>
      <c r="E3" s="34" t="s">
        <v>70</v>
      </c>
      <c r="F3" s="1" t="s">
        <v>24</v>
      </c>
      <c r="G3" s="32">
        <v>0</v>
      </c>
      <c r="H3" s="35">
        <f>IF(B$24=0,0,G3/B$24)</f>
        <v>0</v>
      </c>
      <c r="J3" s="31">
        <v>1</v>
      </c>
      <c r="K3" s="36">
        <v>7</v>
      </c>
    </row>
    <row r="4" spans="1:11" x14ac:dyDescent="0.4">
      <c r="A4" s="31" t="s">
        <v>6</v>
      </c>
      <c r="B4" s="37">
        <v>7</v>
      </c>
      <c r="C4" s="36"/>
      <c r="E4" s="34" t="s">
        <v>71</v>
      </c>
      <c r="F4" s="1" t="s">
        <v>25</v>
      </c>
      <c r="G4" s="32">
        <v>0</v>
      </c>
      <c r="H4" s="35">
        <f>IF(B$24=0,0,G4/B$24)</f>
        <v>0</v>
      </c>
    </row>
    <row r="5" spans="1:11" x14ac:dyDescent="0.4">
      <c r="A5" s="31" t="s">
        <v>7</v>
      </c>
      <c r="B5" s="37">
        <f>IF(B$2=0,0,B$4/B$2)</f>
        <v>7</v>
      </c>
      <c r="C5" s="38"/>
      <c r="E5" s="34" t="s">
        <v>72</v>
      </c>
      <c r="F5" s="1" t="s">
        <v>26</v>
      </c>
      <c r="G5" s="32">
        <v>0</v>
      </c>
      <c r="H5" s="35">
        <f>IF(B$24=0,0,G5/B$24)</f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73</v>
      </c>
      <c r="F6" s="1" t="s">
        <v>27</v>
      </c>
      <c r="G6" s="32">
        <v>0</v>
      </c>
      <c r="H6" s="35">
        <f>IF(B$24=0,0,G6/B$24)</f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>IF(B$24=0,0,G7/B$24)</f>
        <v>0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75</v>
      </c>
      <c r="F8" s="1" t="s">
        <v>28</v>
      </c>
      <c r="G8" s="32">
        <v>0</v>
      </c>
      <c r="H8" s="35">
        <f>IF(B$24=0,0,G8/B$24)</f>
        <v>0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76</v>
      </c>
      <c r="F9" s="1" t="s">
        <v>29</v>
      </c>
      <c r="G9" s="32">
        <v>0</v>
      </c>
      <c r="H9" s="35">
        <f>IF(B$24=0,0,G9/B$24)</f>
        <v>0</v>
      </c>
    </row>
    <row r="10" spans="1:11" ht="19.5" thickBot="1" x14ac:dyDescent="0.45">
      <c r="A10" s="44" t="s">
        <v>21</v>
      </c>
      <c r="B10" s="45">
        <v>0</v>
      </c>
      <c r="C10" s="46">
        <f>IF(B$2=0,0,B10/B$2)</f>
        <v>0</v>
      </c>
      <c r="E10" s="34" t="s">
        <v>77</v>
      </c>
      <c r="F10" s="1" t="s">
        <v>30</v>
      </c>
      <c r="G10" s="32">
        <v>0</v>
      </c>
      <c r="H10" s="35">
        <f>IF(B$24=0,0,G10/B$24)</f>
        <v>0</v>
      </c>
    </row>
    <row r="11" spans="1:11" ht="19.5" thickTop="1" x14ac:dyDescent="0.4">
      <c r="A11" s="59" t="s">
        <v>130</v>
      </c>
      <c r="B11" s="60">
        <v>0</v>
      </c>
      <c r="C11" s="61">
        <f>IF(B$23=0,0,B11/B$23)</f>
        <v>0</v>
      </c>
      <c r="E11" s="34" t="s">
        <v>78</v>
      </c>
      <c r="F11" s="1" t="s">
        <v>31</v>
      </c>
      <c r="G11" s="32">
        <v>0</v>
      </c>
      <c r="H11" s="35">
        <f>IF(B$24=0,0,G11/B$24)</f>
        <v>0</v>
      </c>
    </row>
    <row r="12" spans="1:11" x14ac:dyDescent="0.4">
      <c r="A12" s="31" t="s">
        <v>125</v>
      </c>
      <c r="B12" s="32">
        <v>0</v>
      </c>
      <c r="C12" s="35">
        <f>IF(B$23=0,0,B12/B$23)</f>
        <v>0</v>
      </c>
      <c r="E12" s="34" t="s">
        <v>79</v>
      </c>
      <c r="F12" s="1" t="s">
        <v>32</v>
      </c>
      <c r="G12" s="32">
        <v>0</v>
      </c>
      <c r="H12" s="35">
        <f>IF(B$24=0,0,G12/B$24)</f>
        <v>0</v>
      </c>
    </row>
    <row r="13" spans="1:11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>IF(B$24=0,0,G13/B$24)</f>
        <v>0</v>
      </c>
    </row>
    <row r="14" spans="1:11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>IF(B$24=0,0,G14/B$24)</f>
        <v>0</v>
      </c>
    </row>
    <row r="15" spans="1:11" x14ac:dyDescent="0.4">
      <c r="A15" s="25" t="s">
        <v>10</v>
      </c>
      <c r="B15" s="26">
        <f>B16+B17</f>
        <v>2</v>
      </c>
      <c r="C15" s="29">
        <f>IF(B$3=0,0,B15/B$3)</f>
        <v>0.4</v>
      </c>
      <c r="E15" s="34" t="s">
        <v>82</v>
      </c>
      <c r="F15" s="1" t="s">
        <v>35</v>
      </c>
      <c r="G15" s="32">
        <v>0</v>
      </c>
      <c r="H15" s="35">
        <f>IF(B$24=0,0,G15/B$24)</f>
        <v>0</v>
      </c>
    </row>
    <row r="16" spans="1:11" x14ac:dyDescent="0.4">
      <c r="A16" s="31" t="s">
        <v>11</v>
      </c>
      <c r="B16" s="32">
        <v>2</v>
      </c>
      <c r="C16" s="35">
        <f>IF(B$3=0,0,B16/B$3)</f>
        <v>0.4</v>
      </c>
      <c r="E16" s="34" t="s">
        <v>83</v>
      </c>
      <c r="F16" s="1" t="s">
        <v>36</v>
      </c>
      <c r="G16" s="32">
        <v>0</v>
      </c>
      <c r="H16" s="35">
        <f>IF(B$24=0,0,G16/B$24)</f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84</v>
      </c>
      <c r="F17" s="1" t="s">
        <v>37</v>
      </c>
      <c r="G17" s="32">
        <v>0</v>
      </c>
      <c r="H17" s="35">
        <f>IF(B$24=0,0,G17/B$24)</f>
        <v>0</v>
      </c>
    </row>
    <row r="18" spans="1:8" x14ac:dyDescent="0.4">
      <c r="A18" s="31" t="s">
        <v>13</v>
      </c>
      <c r="B18" s="32">
        <v>1</v>
      </c>
      <c r="C18" s="35">
        <f>IF(B$3=0,0,B18/B$3)</f>
        <v>0.2</v>
      </c>
      <c r="E18" s="34" t="s">
        <v>85</v>
      </c>
      <c r="F18" s="1" t="s">
        <v>38</v>
      </c>
      <c r="G18" s="32">
        <v>0</v>
      </c>
      <c r="H18" s="35">
        <f>IF(B$24=0,0,G18/B$24)</f>
        <v>0</v>
      </c>
    </row>
    <row r="19" spans="1:8" x14ac:dyDescent="0.4">
      <c r="A19" s="31" t="s">
        <v>5</v>
      </c>
      <c r="B19" s="49">
        <f>IF(B$15=0,0,C19/B$15)</f>
        <v>8000</v>
      </c>
      <c r="C19" s="50">
        <v>16000</v>
      </c>
      <c r="E19" s="34" t="s">
        <v>86</v>
      </c>
      <c r="F19" s="1" t="s">
        <v>39</v>
      </c>
      <c r="G19" s="32">
        <v>0</v>
      </c>
      <c r="H19" s="35">
        <f>IF(B$24=0,0,G19/B$24)</f>
        <v>0</v>
      </c>
    </row>
    <row r="20" spans="1:8" ht="19.5" thickBot="1" x14ac:dyDescent="0.45">
      <c r="A20" s="41" t="s">
        <v>14</v>
      </c>
      <c r="B20" s="74">
        <f>IF(B$18=0,0,C20/B$18)</f>
        <v>-12000</v>
      </c>
      <c r="C20" s="75">
        <v>-12000</v>
      </c>
      <c r="E20" s="34" t="s">
        <v>87</v>
      </c>
      <c r="F20" s="1" t="s">
        <v>40</v>
      </c>
      <c r="G20" s="32">
        <v>0</v>
      </c>
      <c r="H20" s="35">
        <f>IF(B$24=0,0,G20/B$24)</f>
        <v>0</v>
      </c>
    </row>
    <row r="21" spans="1:8" ht="19.5" thickTop="1" x14ac:dyDescent="0.4">
      <c r="A21" s="47" t="s">
        <v>198</v>
      </c>
      <c r="B21" s="48">
        <v>1</v>
      </c>
      <c r="C21" s="76">
        <f>IF(B$3=0,0,B21/B$3)</f>
        <v>0.2</v>
      </c>
      <c r="E21" s="34" t="s">
        <v>88</v>
      </c>
      <c r="F21" s="1" t="s">
        <v>41</v>
      </c>
      <c r="G21" s="32">
        <v>0</v>
      </c>
      <c r="H21" s="35">
        <f>IF(B$24=0,0,G21/B$24)</f>
        <v>0</v>
      </c>
    </row>
    <row r="22" spans="1:8" ht="19.5" thickBot="1" x14ac:dyDescent="0.45">
      <c r="A22" s="44" t="s">
        <v>199</v>
      </c>
      <c r="B22" s="45">
        <v>0</v>
      </c>
      <c r="C22" s="46">
        <f>IF(B$21=0,0,B22/B$21)</f>
        <v>0</v>
      </c>
      <c r="E22" s="34" t="s">
        <v>89</v>
      </c>
      <c r="F22" s="1" t="s">
        <v>42</v>
      </c>
      <c r="G22" s="32">
        <v>0</v>
      </c>
      <c r="H22" s="35">
        <f>IF(B$24=0,0,G22/B$24)</f>
        <v>0</v>
      </c>
    </row>
    <row r="23" spans="1:8" ht="19.5" thickTop="1" x14ac:dyDescent="0.4">
      <c r="A23" s="25" t="s">
        <v>128</v>
      </c>
      <c r="B23" s="26">
        <v>0</v>
      </c>
      <c r="C23" s="29"/>
      <c r="E23" s="34" t="s">
        <v>90</v>
      </c>
      <c r="F23" s="1" t="s">
        <v>43</v>
      </c>
      <c r="G23" s="32">
        <v>0</v>
      </c>
      <c r="H23" s="35">
        <f>IF(B$24=0,0,G23/B$24)</f>
        <v>0</v>
      </c>
    </row>
    <row r="24" spans="1:8" x14ac:dyDescent="0.4">
      <c r="A24" s="51" t="s">
        <v>129</v>
      </c>
      <c r="B24" s="54">
        <v>0</v>
      </c>
      <c r="C24" s="55"/>
      <c r="E24" s="34" t="s">
        <v>91</v>
      </c>
      <c r="F24" s="1" t="s">
        <v>44</v>
      </c>
      <c r="G24" s="32">
        <v>0</v>
      </c>
      <c r="H24" s="35">
        <f>IF(B$24=0,0,G24/B$24)</f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>IF(B$24=0,0,G25/B$24)</f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>IF(B$24=0,0,G26/B$24)</f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>IF(B$24=0,0,G27/B$24)</f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>IF(B$24=0,0,G28/B$24)</f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>IF(B$24=0,0,G29/B$24)</f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>IF(B$24=0,0,G30/B$24)</f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>IF(B$24=0,0,G31/B$24)</f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E90C1-3650-4A17-972B-4FACC78D9603}">
  <sheetPr codeName="Sheet7"/>
  <dimension ref="A1:K70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9" t="s">
        <v>190</v>
      </c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68</v>
      </c>
      <c r="C2" s="27"/>
      <c r="E2" s="28" t="s">
        <v>73</v>
      </c>
      <c r="F2" s="10" t="s">
        <v>27</v>
      </c>
      <c r="G2" s="26">
        <v>46</v>
      </c>
      <c r="H2" s="29">
        <f>IF(B$24=0,0,G2/B$24)</f>
        <v>0.75409836065573765</v>
      </c>
      <c r="J2" s="25">
        <v>0</v>
      </c>
      <c r="K2" s="30">
        <v>0</v>
      </c>
    </row>
    <row r="3" spans="1:11" x14ac:dyDescent="0.4">
      <c r="A3" s="31" t="s">
        <v>8</v>
      </c>
      <c r="B3" s="32">
        <v>510</v>
      </c>
      <c r="C3" s="33"/>
      <c r="E3" s="34" t="s">
        <v>69</v>
      </c>
      <c r="F3" s="1" t="s">
        <v>23</v>
      </c>
      <c r="G3" s="32">
        <v>37</v>
      </c>
      <c r="H3" s="35">
        <f>IF(B$24=0,0,G3/B$24)</f>
        <v>0.60655737704918034</v>
      </c>
      <c r="J3" s="31">
        <v>1</v>
      </c>
      <c r="K3" s="36">
        <v>40.9</v>
      </c>
    </row>
    <row r="4" spans="1:11" x14ac:dyDescent="0.4">
      <c r="A4" s="31" t="s">
        <v>6</v>
      </c>
      <c r="B4" s="37">
        <v>-407.2999999999999</v>
      </c>
      <c r="C4" s="36"/>
      <c r="E4" s="34" t="s">
        <v>78</v>
      </c>
      <c r="F4" s="1" t="s">
        <v>31</v>
      </c>
      <c r="G4" s="32">
        <v>34</v>
      </c>
      <c r="H4" s="35">
        <f>IF(B$24=0,0,G4/B$24)</f>
        <v>0.55737704918032782</v>
      </c>
      <c r="J4" s="31">
        <v>2</v>
      </c>
      <c r="K4" s="36">
        <v>-0.89999999999999858</v>
      </c>
    </row>
    <row r="5" spans="1:11" x14ac:dyDescent="0.4">
      <c r="A5" s="31" t="s">
        <v>7</v>
      </c>
      <c r="B5" s="37">
        <f>IF(B$2=0,0,B$4/B$2)</f>
        <v>-5.9897058823529399</v>
      </c>
      <c r="C5" s="38"/>
      <c r="E5" s="34" t="s">
        <v>71</v>
      </c>
      <c r="F5" s="1" t="s">
        <v>25</v>
      </c>
      <c r="G5" s="32">
        <v>32</v>
      </c>
      <c r="H5" s="35">
        <f>IF(B$24=0,0,G5/B$24)</f>
        <v>0.52459016393442626</v>
      </c>
      <c r="J5" s="31">
        <v>3</v>
      </c>
      <c r="K5" s="36">
        <v>-36.4</v>
      </c>
    </row>
    <row r="6" spans="1:11" x14ac:dyDescent="0.4">
      <c r="A6" s="31" t="s">
        <v>1</v>
      </c>
      <c r="B6" s="39">
        <f>IF(B$2=0,0,(B$7*1+B$8*2+B$9*3)/B$2)</f>
        <v>2.1764705882352939</v>
      </c>
      <c r="C6" s="40"/>
      <c r="E6" s="34" t="s">
        <v>74</v>
      </c>
      <c r="F6" s="1" t="s">
        <v>12</v>
      </c>
      <c r="G6" s="32">
        <v>22</v>
      </c>
      <c r="H6" s="35">
        <f>IF(B$24=0,0,G6/B$24)</f>
        <v>0.36065573770491804</v>
      </c>
      <c r="J6" s="31">
        <v>4</v>
      </c>
      <c r="K6" s="36">
        <v>3.6000000000000014</v>
      </c>
    </row>
    <row r="7" spans="1:11" x14ac:dyDescent="0.4">
      <c r="A7" s="31" t="s">
        <v>2</v>
      </c>
      <c r="B7" s="32">
        <v>19</v>
      </c>
      <c r="C7" s="35">
        <f>IF(B$2=0,0,B7/B$2)</f>
        <v>0.27941176470588236</v>
      </c>
      <c r="E7" s="34" t="s">
        <v>72</v>
      </c>
      <c r="F7" s="1" t="s">
        <v>26</v>
      </c>
      <c r="G7" s="32">
        <v>14</v>
      </c>
      <c r="H7" s="35">
        <f>IF(B$24=0,0,G7/B$24)</f>
        <v>0.22950819672131148</v>
      </c>
      <c r="J7" s="31">
        <v>5</v>
      </c>
      <c r="K7" s="36">
        <v>14.600000000000001</v>
      </c>
    </row>
    <row r="8" spans="1:11" x14ac:dyDescent="0.4">
      <c r="A8" s="31" t="s">
        <v>3</v>
      </c>
      <c r="B8" s="32">
        <v>18</v>
      </c>
      <c r="C8" s="35">
        <f t="shared" ref="C8:C9" si="0">IF(B$2=0,0,B8/B$2)</f>
        <v>0.26470588235294118</v>
      </c>
      <c r="E8" s="34" t="s">
        <v>96</v>
      </c>
      <c r="F8" s="1" t="s">
        <v>49</v>
      </c>
      <c r="G8" s="32">
        <v>12</v>
      </c>
      <c r="H8" s="35">
        <f>IF(B$24=0,0,G8/B$24)</f>
        <v>0.19672131147540983</v>
      </c>
      <c r="J8" s="31">
        <v>6</v>
      </c>
      <c r="K8" s="36">
        <v>47.6</v>
      </c>
    </row>
    <row r="9" spans="1:11" x14ac:dyDescent="0.4">
      <c r="A9" s="41" t="s">
        <v>4</v>
      </c>
      <c r="B9" s="42">
        <v>31</v>
      </c>
      <c r="C9" s="43">
        <f t="shared" si="0"/>
        <v>0.45588235294117646</v>
      </c>
      <c r="E9" s="34" t="s">
        <v>76</v>
      </c>
      <c r="F9" s="1" t="s">
        <v>29</v>
      </c>
      <c r="G9" s="32">
        <v>10</v>
      </c>
      <c r="H9" s="35">
        <f>IF(B$24=0,0,G9/B$24)</f>
        <v>0.16393442622950818</v>
      </c>
      <c r="J9" s="31">
        <v>7</v>
      </c>
      <c r="K9" s="36">
        <v>100.1</v>
      </c>
    </row>
    <row r="10" spans="1:11" ht="19.5" thickBot="1" x14ac:dyDescent="0.45">
      <c r="A10" s="44" t="s">
        <v>21</v>
      </c>
      <c r="B10" s="45">
        <v>19</v>
      </c>
      <c r="C10" s="46">
        <f>IF(B$2=0,0,B10/B$2)</f>
        <v>0.27941176470588236</v>
      </c>
      <c r="E10" s="34" t="s">
        <v>93</v>
      </c>
      <c r="F10" s="1" t="s">
        <v>46</v>
      </c>
      <c r="G10" s="32">
        <v>9</v>
      </c>
      <c r="H10" s="35">
        <f>IF(B$24=0,0,G10/B$24)</f>
        <v>0.14754098360655737</v>
      </c>
      <c r="J10" s="31">
        <v>8</v>
      </c>
      <c r="K10" s="36">
        <v>60.199999999999996</v>
      </c>
    </row>
    <row r="11" spans="1:11" ht="19.5" thickTop="1" x14ac:dyDescent="0.4">
      <c r="A11" s="59" t="s">
        <v>130</v>
      </c>
      <c r="B11" s="60">
        <v>71</v>
      </c>
      <c r="C11" s="61">
        <f>IF(B$23=0,0,B11/B$23)</f>
        <v>0.28514056224899598</v>
      </c>
      <c r="E11" s="34" t="s">
        <v>70</v>
      </c>
      <c r="F11" s="1" t="s">
        <v>24</v>
      </c>
      <c r="G11" s="32">
        <v>7</v>
      </c>
      <c r="H11" s="35">
        <f>IF(B$24=0,0,G11/B$24)</f>
        <v>0.11475409836065574</v>
      </c>
      <c r="J11" s="31">
        <v>9</v>
      </c>
      <c r="K11" s="36">
        <v>24.4</v>
      </c>
    </row>
    <row r="12" spans="1:11" x14ac:dyDescent="0.4">
      <c r="A12" s="31" t="s">
        <v>125</v>
      </c>
      <c r="B12" s="32">
        <v>40</v>
      </c>
      <c r="C12" s="35">
        <f>IF(B$23=0,0,B12/B$23)</f>
        <v>0.1606425702811245</v>
      </c>
      <c r="E12" s="34" t="s">
        <v>75</v>
      </c>
      <c r="F12" s="1" t="s">
        <v>28</v>
      </c>
      <c r="G12" s="32">
        <v>7</v>
      </c>
      <c r="H12" s="35">
        <f>IF(B$24=0,0,G12/B$24)</f>
        <v>0.11475409836065574</v>
      </c>
      <c r="J12" s="31">
        <v>10</v>
      </c>
      <c r="K12" s="36">
        <v>-20.100000000000001</v>
      </c>
    </row>
    <row r="13" spans="1:11" x14ac:dyDescent="0.4">
      <c r="A13" s="25" t="s">
        <v>132</v>
      </c>
      <c r="B13" s="26">
        <v>37</v>
      </c>
      <c r="C13" s="29">
        <f>IF(B$11=0,0,B13/B$11)</f>
        <v>0.52112676056338025</v>
      </c>
      <c r="E13" s="34" t="s">
        <v>90</v>
      </c>
      <c r="F13" s="1" t="s">
        <v>43</v>
      </c>
      <c r="G13" s="32">
        <v>5</v>
      </c>
      <c r="H13" s="35">
        <f>IF(B$24=0,0,G13/B$24)</f>
        <v>8.1967213114754092E-2</v>
      </c>
      <c r="J13" s="31">
        <v>11</v>
      </c>
      <c r="K13" s="36">
        <v>-3.6000000000000014</v>
      </c>
    </row>
    <row r="14" spans="1:11" x14ac:dyDescent="0.4">
      <c r="A14" s="25" t="s">
        <v>133</v>
      </c>
      <c r="B14" s="26">
        <v>14</v>
      </c>
      <c r="C14" s="29">
        <f>IF(B$12=0,0,B14/B$12)</f>
        <v>0.35</v>
      </c>
      <c r="E14" s="34" t="s">
        <v>77</v>
      </c>
      <c r="F14" s="1" t="s">
        <v>30</v>
      </c>
      <c r="G14" s="32">
        <v>2</v>
      </c>
      <c r="H14" s="35">
        <f>IF(B$24=0,0,G14/B$24)</f>
        <v>3.2786885245901641E-2</v>
      </c>
      <c r="J14" s="31">
        <v>12</v>
      </c>
      <c r="K14" s="36">
        <v>-12.000000000000002</v>
      </c>
    </row>
    <row r="15" spans="1:11" x14ac:dyDescent="0.4">
      <c r="A15" s="25" t="s">
        <v>10</v>
      </c>
      <c r="B15" s="26">
        <f>B16+B17</f>
        <v>122</v>
      </c>
      <c r="C15" s="29">
        <f>IF(B$3=0,0,B15/B$3)</f>
        <v>0.23921568627450981</v>
      </c>
      <c r="E15" s="34" t="s">
        <v>88</v>
      </c>
      <c r="F15" s="1" t="s">
        <v>41</v>
      </c>
      <c r="G15" s="32">
        <v>2</v>
      </c>
      <c r="H15" s="35">
        <f>IF(B$24=0,0,G15/B$24)</f>
        <v>3.2786885245901641E-2</v>
      </c>
      <c r="J15" s="31">
        <v>13</v>
      </c>
      <c r="K15" s="36">
        <v>49.5</v>
      </c>
    </row>
    <row r="16" spans="1:11" x14ac:dyDescent="0.4">
      <c r="A16" s="31" t="s">
        <v>11</v>
      </c>
      <c r="B16" s="32">
        <v>71</v>
      </c>
      <c r="C16" s="35">
        <f>IF(B$3=0,0,B16/B$3)</f>
        <v>0.13921568627450981</v>
      </c>
      <c r="E16" s="34" t="s">
        <v>98</v>
      </c>
      <c r="F16" s="1" t="s">
        <v>51</v>
      </c>
      <c r="G16" s="32">
        <v>2</v>
      </c>
      <c r="H16" s="35">
        <f>IF(B$24=0,0,G16/B$24)</f>
        <v>3.2786885245901641E-2</v>
      </c>
      <c r="J16" s="31">
        <v>14</v>
      </c>
      <c r="K16" s="36">
        <v>33</v>
      </c>
    </row>
    <row r="17" spans="1:11" x14ac:dyDescent="0.4">
      <c r="A17" s="31" t="s">
        <v>12</v>
      </c>
      <c r="B17" s="32">
        <v>51</v>
      </c>
      <c r="C17" s="35">
        <f>IF(B$3=0,0,B17/B$3)</f>
        <v>0.1</v>
      </c>
      <c r="E17" s="34" t="s">
        <v>99</v>
      </c>
      <c r="F17" s="1" t="s">
        <v>52</v>
      </c>
      <c r="G17" s="32">
        <v>2</v>
      </c>
      <c r="H17" s="35">
        <f>IF(B$24=0,0,G17/B$24)</f>
        <v>3.2786885245901641E-2</v>
      </c>
      <c r="J17" s="31">
        <v>15</v>
      </c>
      <c r="K17" s="36">
        <v>38.5</v>
      </c>
    </row>
    <row r="18" spans="1:11" x14ac:dyDescent="0.4">
      <c r="A18" s="31" t="s">
        <v>13</v>
      </c>
      <c r="B18" s="32">
        <v>104</v>
      </c>
      <c r="C18" s="35">
        <f>IF(B$3=0,0,B18/B$3)</f>
        <v>0.20392156862745098</v>
      </c>
      <c r="E18" s="34" t="s">
        <v>85</v>
      </c>
      <c r="F18" s="1" t="s">
        <v>38</v>
      </c>
      <c r="G18" s="32">
        <v>1</v>
      </c>
      <c r="H18" s="35">
        <f>IF(B$24=0,0,G18/B$24)</f>
        <v>1.6393442622950821E-2</v>
      </c>
      <c r="J18" s="31">
        <v>16</v>
      </c>
      <c r="K18" s="36">
        <v>14.600000000000001</v>
      </c>
    </row>
    <row r="19" spans="1:11" x14ac:dyDescent="0.4">
      <c r="A19" s="31" t="s">
        <v>5</v>
      </c>
      <c r="B19" s="49">
        <f>IF(B$15=0,0,C19/B$15)</f>
        <v>11481.967213114754</v>
      </c>
      <c r="C19" s="50">
        <v>1400800</v>
      </c>
      <c r="E19" s="34" t="s">
        <v>91</v>
      </c>
      <c r="F19" s="1" t="s">
        <v>44</v>
      </c>
      <c r="G19" s="32">
        <v>1</v>
      </c>
      <c r="H19" s="35">
        <f>IF(B$24=0,0,G19/B$24)</f>
        <v>1.6393442622950821E-2</v>
      </c>
      <c r="J19" s="31">
        <v>17</v>
      </c>
      <c r="K19" s="36">
        <v>13.900000000000002</v>
      </c>
    </row>
    <row r="20" spans="1:11" ht="19.5" thickBot="1" x14ac:dyDescent="0.45">
      <c r="A20" s="41" t="s">
        <v>14</v>
      </c>
      <c r="B20" s="74">
        <f>IF(B$18=0,0,C20/B$18)</f>
        <v>-10577.884615384615</v>
      </c>
      <c r="C20" s="75">
        <v>-1100100</v>
      </c>
      <c r="E20" s="34" t="s">
        <v>92</v>
      </c>
      <c r="F20" s="1" t="s">
        <v>45</v>
      </c>
      <c r="G20" s="32">
        <v>1</v>
      </c>
      <c r="H20" s="35">
        <f>IF(B$24=0,0,G20/B$24)</f>
        <v>1.6393442622950821E-2</v>
      </c>
      <c r="J20" s="31">
        <v>18</v>
      </c>
      <c r="K20" s="36">
        <v>-21.999999999999996</v>
      </c>
    </row>
    <row r="21" spans="1:11" ht="19.5" thickTop="1" x14ac:dyDescent="0.4">
      <c r="A21" s="47" t="s">
        <v>198</v>
      </c>
      <c r="B21" s="48">
        <v>155</v>
      </c>
      <c r="C21" s="76">
        <f>IF(B$3=0,0,B21/B$3)</f>
        <v>0.30392156862745096</v>
      </c>
      <c r="E21" s="34" t="s">
        <v>94</v>
      </c>
      <c r="F21" s="1" t="s">
        <v>47</v>
      </c>
      <c r="G21" s="32">
        <v>1</v>
      </c>
      <c r="H21" s="35">
        <f>IF(B$24=0,0,G21/B$24)</f>
        <v>1.6393442622950821E-2</v>
      </c>
      <c r="J21" s="31">
        <v>19</v>
      </c>
      <c r="K21" s="36">
        <v>-26.699999999999996</v>
      </c>
    </row>
    <row r="22" spans="1:11" ht="19.5" thickBot="1" x14ac:dyDescent="0.45">
      <c r="A22" s="44" t="s">
        <v>199</v>
      </c>
      <c r="B22" s="45">
        <v>46</v>
      </c>
      <c r="C22" s="46">
        <f>IF(B$21=0,0,B22/B$21)</f>
        <v>0.29677419354838708</v>
      </c>
      <c r="E22" s="34" t="s">
        <v>95</v>
      </c>
      <c r="F22" s="1" t="s">
        <v>48</v>
      </c>
      <c r="G22" s="32">
        <v>1</v>
      </c>
      <c r="H22" s="35">
        <f>IF(B$24=0,0,G22/B$24)</f>
        <v>1.6393442622950821E-2</v>
      </c>
      <c r="J22" s="31">
        <v>20</v>
      </c>
      <c r="K22" s="36">
        <v>-57.899999999999991</v>
      </c>
    </row>
    <row r="23" spans="1:11" ht="19.5" thickTop="1" x14ac:dyDescent="0.4">
      <c r="A23" s="25" t="s">
        <v>128</v>
      </c>
      <c r="B23" s="26">
        <v>249</v>
      </c>
      <c r="C23" s="29"/>
      <c r="E23" s="34" t="s">
        <v>79</v>
      </c>
      <c r="F23" s="1" t="s">
        <v>32</v>
      </c>
      <c r="G23" s="32">
        <v>0</v>
      </c>
      <c r="H23" s="35">
        <f>IF(B$24=0,0,G23/B$24)</f>
        <v>0</v>
      </c>
      <c r="J23" s="31">
        <v>21</v>
      </c>
      <c r="K23" s="36">
        <v>-82.699999999999989</v>
      </c>
    </row>
    <row r="24" spans="1:11" x14ac:dyDescent="0.4">
      <c r="A24" s="51" t="s">
        <v>129</v>
      </c>
      <c r="B24" s="54">
        <v>61</v>
      </c>
      <c r="C24" s="55"/>
      <c r="E24" s="34" t="s">
        <v>80</v>
      </c>
      <c r="F24" s="1" t="s">
        <v>33</v>
      </c>
      <c r="G24" s="32">
        <v>0</v>
      </c>
      <c r="H24" s="35">
        <f>IF(B$24=0,0,G24/B$24)</f>
        <v>0</v>
      </c>
      <c r="J24" s="31">
        <v>22</v>
      </c>
      <c r="K24" s="36">
        <v>-94.6</v>
      </c>
    </row>
    <row r="25" spans="1:11" x14ac:dyDescent="0.4">
      <c r="E25" s="34" t="s">
        <v>81</v>
      </c>
      <c r="F25" s="1" t="s">
        <v>34</v>
      </c>
      <c r="G25" s="32">
        <v>0</v>
      </c>
      <c r="H25" s="35">
        <f>IF(B$24=0,0,G25/B$24)</f>
        <v>0</v>
      </c>
      <c r="J25" s="31">
        <v>23</v>
      </c>
      <c r="K25" s="36">
        <v>-111.3</v>
      </c>
    </row>
    <row r="26" spans="1:11" x14ac:dyDescent="0.4">
      <c r="E26" s="34" t="s">
        <v>82</v>
      </c>
      <c r="F26" s="1" t="s">
        <v>35</v>
      </c>
      <c r="G26" s="32">
        <v>0</v>
      </c>
      <c r="H26" s="35">
        <f>IF(B$24=0,0,G26/B$24)</f>
        <v>0</v>
      </c>
      <c r="J26" s="31">
        <v>24</v>
      </c>
      <c r="K26" s="36">
        <v>-68.099999999999994</v>
      </c>
    </row>
    <row r="27" spans="1:11" x14ac:dyDescent="0.4">
      <c r="E27" s="34" t="s">
        <v>83</v>
      </c>
      <c r="F27" s="1" t="s">
        <v>36</v>
      </c>
      <c r="G27" s="32">
        <v>0</v>
      </c>
      <c r="H27" s="35">
        <f>IF(B$24=0,0,G27/B$24)</f>
        <v>0</v>
      </c>
      <c r="J27" s="31">
        <v>25</v>
      </c>
      <c r="K27" s="36">
        <v>-70.899999999999991</v>
      </c>
    </row>
    <row r="28" spans="1:11" x14ac:dyDescent="0.4">
      <c r="E28" s="34" t="s">
        <v>84</v>
      </c>
      <c r="F28" s="1" t="s">
        <v>37</v>
      </c>
      <c r="G28" s="32">
        <v>0</v>
      </c>
      <c r="H28" s="35">
        <f>IF(B$24=0,0,G28/B$24)</f>
        <v>0</v>
      </c>
      <c r="J28" s="31">
        <v>26</v>
      </c>
      <c r="K28" s="36">
        <v>-125.89999999999999</v>
      </c>
    </row>
    <row r="29" spans="1:11" x14ac:dyDescent="0.4">
      <c r="E29" s="34" t="s">
        <v>86</v>
      </c>
      <c r="F29" s="1" t="s">
        <v>39</v>
      </c>
      <c r="G29" s="32">
        <v>0</v>
      </c>
      <c r="H29" s="35">
        <f>IF(B$24=0,0,G29/B$24)</f>
        <v>0</v>
      </c>
      <c r="J29" s="31">
        <v>27</v>
      </c>
      <c r="K29" s="36">
        <v>-163.6</v>
      </c>
    </row>
    <row r="30" spans="1:11" x14ac:dyDescent="0.4">
      <c r="E30" s="34" t="s">
        <v>87</v>
      </c>
      <c r="F30" s="1" t="s">
        <v>40</v>
      </c>
      <c r="G30" s="32">
        <v>0</v>
      </c>
      <c r="H30" s="35">
        <f>IF(B$24=0,0,G30/B$24)</f>
        <v>0</v>
      </c>
      <c r="J30" s="31">
        <v>28</v>
      </c>
      <c r="K30" s="36">
        <v>-169.5</v>
      </c>
    </row>
    <row r="31" spans="1:11" x14ac:dyDescent="0.4">
      <c r="E31" s="34" t="s">
        <v>89</v>
      </c>
      <c r="F31" s="1" t="s">
        <v>42</v>
      </c>
      <c r="G31" s="32">
        <v>0</v>
      </c>
      <c r="H31" s="35">
        <f>IF(B$24=0,0,G31/B$24)</f>
        <v>0</v>
      </c>
      <c r="J31" s="31">
        <v>29</v>
      </c>
      <c r="K31" s="36">
        <v>-163.30000000000001</v>
      </c>
    </row>
    <row r="32" spans="1:11" x14ac:dyDescent="0.4">
      <c r="E32" s="34" t="s">
        <v>97</v>
      </c>
      <c r="F32" s="1" t="s">
        <v>50</v>
      </c>
      <c r="G32" s="32">
        <v>0</v>
      </c>
      <c r="H32" s="35">
        <f>IF(B$24=0,0,G32/B$24)</f>
        <v>0</v>
      </c>
      <c r="J32" s="31">
        <v>30</v>
      </c>
      <c r="K32" s="36">
        <v>-209.4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  <c r="J33" s="31">
        <v>31</v>
      </c>
      <c r="K33" s="36">
        <v>-259.89999999999998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  <c r="J34" s="31">
        <v>32</v>
      </c>
      <c r="K34" s="36">
        <v>-253.59999999999997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  <c r="J35" s="31">
        <v>33</v>
      </c>
      <c r="K35" s="36">
        <v>-234.89999999999998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  <c r="J36" s="31">
        <v>34</v>
      </c>
      <c r="K36" s="36">
        <v>-229.79999999999998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  <c r="J37" s="31">
        <v>35</v>
      </c>
      <c r="K37" s="36">
        <v>-254.29999999999998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  <c r="J38" s="31">
        <v>36</v>
      </c>
      <c r="K38" s="36">
        <v>-204.29999999999998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  <c r="J39" s="31">
        <v>37</v>
      </c>
      <c r="K39" s="36">
        <v>-249.29999999999998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  <c r="J40" s="31">
        <v>38</v>
      </c>
      <c r="K40" s="36">
        <v>-242.49999999999997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  <c r="J41" s="31">
        <v>39</v>
      </c>
      <c r="K41" s="36">
        <v>-244.59999999999997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  <c r="J42" s="31">
        <v>40</v>
      </c>
      <c r="K42" s="36">
        <v>-279.7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  <c r="J43" s="31">
        <v>41</v>
      </c>
      <c r="K43" s="36">
        <v>-320.09999999999997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  <c r="J44" s="31">
        <v>42</v>
      </c>
      <c r="K44" s="36">
        <v>-314.29999999999995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  <c r="J45" s="31">
        <v>43</v>
      </c>
      <c r="K45" s="36">
        <v>-284.79999999999995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  <c r="J46" s="31">
        <v>44</v>
      </c>
      <c r="K46" s="36">
        <v>-239.89999999999995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  <c r="J47" s="31">
        <v>45</v>
      </c>
      <c r="K47" s="36">
        <v>-256.29999999999995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  <c r="J48" s="31">
        <v>46</v>
      </c>
      <c r="K48" s="36">
        <v>-280.59999999999997</v>
      </c>
    </row>
    <row r="49" spans="5:11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  <c r="J49" s="31">
        <v>47</v>
      </c>
      <c r="K49" s="36">
        <v>-264.59999999999997</v>
      </c>
    </row>
    <row r="50" spans="5:11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  <c r="J50" s="31">
        <v>48</v>
      </c>
      <c r="K50" s="36">
        <v>-288.79999999999995</v>
      </c>
    </row>
    <row r="51" spans="5:11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  <c r="J51" s="31">
        <v>49</v>
      </c>
      <c r="K51" s="36">
        <v>-282.99999999999994</v>
      </c>
    </row>
    <row r="52" spans="5:11" x14ac:dyDescent="0.4">
      <c r="J52" s="31">
        <v>50</v>
      </c>
      <c r="K52" s="36">
        <v>-287.09999999999997</v>
      </c>
    </row>
    <row r="53" spans="5:11" x14ac:dyDescent="0.4">
      <c r="J53" s="31">
        <v>51</v>
      </c>
      <c r="K53" s="36">
        <v>-269.59999999999997</v>
      </c>
    </row>
    <row r="54" spans="5:11" x14ac:dyDescent="0.4">
      <c r="J54" s="31">
        <v>52</v>
      </c>
      <c r="K54" s="36">
        <v>-308.09999999999997</v>
      </c>
    </row>
    <row r="55" spans="5:11" x14ac:dyDescent="0.4">
      <c r="J55" s="31">
        <v>53</v>
      </c>
      <c r="K55" s="36">
        <v>-336.49999999999994</v>
      </c>
    </row>
    <row r="56" spans="5:11" x14ac:dyDescent="0.4">
      <c r="J56" s="31">
        <v>54</v>
      </c>
      <c r="K56" s="36">
        <v>-378.89999999999992</v>
      </c>
    </row>
    <row r="57" spans="5:11" x14ac:dyDescent="0.4">
      <c r="J57" s="31">
        <v>55</v>
      </c>
      <c r="K57" s="36">
        <v>-364.2999999999999</v>
      </c>
    </row>
    <row r="58" spans="5:11" x14ac:dyDescent="0.4">
      <c r="J58" s="31">
        <v>56</v>
      </c>
      <c r="K58" s="36">
        <v>-316.2999999999999</v>
      </c>
    </row>
    <row r="59" spans="5:11" x14ac:dyDescent="0.4">
      <c r="J59" s="31">
        <v>57</v>
      </c>
      <c r="K59" s="36">
        <v>-312.49999999999989</v>
      </c>
    </row>
    <row r="60" spans="5:11" x14ac:dyDescent="0.4">
      <c r="J60" s="31">
        <v>58</v>
      </c>
      <c r="K60" s="36">
        <v>-254.59999999999988</v>
      </c>
    </row>
    <row r="61" spans="5:11" x14ac:dyDescent="0.4">
      <c r="J61" s="31">
        <v>59</v>
      </c>
      <c r="K61" s="36">
        <v>-205.09999999999988</v>
      </c>
    </row>
    <row r="62" spans="5:11" x14ac:dyDescent="0.4">
      <c r="J62" s="31">
        <v>60</v>
      </c>
      <c r="K62" s="36">
        <v>-214.59999999999988</v>
      </c>
    </row>
    <row r="63" spans="5:11" x14ac:dyDescent="0.4">
      <c r="J63" s="31">
        <v>61</v>
      </c>
      <c r="K63" s="36">
        <v>-211.89999999999989</v>
      </c>
    </row>
    <row r="64" spans="5:11" x14ac:dyDescent="0.4">
      <c r="J64" s="31">
        <v>62</v>
      </c>
      <c r="K64" s="36">
        <v>-250.89999999999989</v>
      </c>
    </row>
    <row r="65" spans="10:11" x14ac:dyDescent="0.4">
      <c r="J65" s="31">
        <v>63</v>
      </c>
      <c r="K65" s="36">
        <v>-290.99999999999989</v>
      </c>
    </row>
    <row r="66" spans="10:11" x14ac:dyDescent="0.4">
      <c r="J66" s="31">
        <v>64</v>
      </c>
      <c r="K66" s="36">
        <v>-356.99999999999989</v>
      </c>
    </row>
    <row r="67" spans="10:11" x14ac:dyDescent="0.4">
      <c r="J67" s="31">
        <v>65</v>
      </c>
      <c r="K67" s="36">
        <v>-381.09999999999991</v>
      </c>
    </row>
    <row r="68" spans="10:11" x14ac:dyDescent="0.4">
      <c r="J68" s="31">
        <v>66</v>
      </c>
      <c r="K68" s="36">
        <v>-378.49999999999989</v>
      </c>
    </row>
    <row r="69" spans="10:11" x14ac:dyDescent="0.4">
      <c r="J69" s="31">
        <v>67</v>
      </c>
      <c r="K69" s="36">
        <v>-371.19999999999987</v>
      </c>
    </row>
    <row r="70" spans="10:11" x14ac:dyDescent="0.4">
      <c r="J70" s="31">
        <v>68</v>
      </c>
      <c r="K70" s="36">
        <v>-407.2999999999999</v>
      </c>
    </row>
  </sheetData>
  <sortState ref="E2:H70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EC439-8A40-4335-A486-E29895641062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9" t="s">
        <v>191</v>
      </c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39</v>
      </c>
      <c r="C2" s="27"/>
      <c r="E2" s="28" t="s">
        <v>71</v>
      </c>
      <c r="F2" s="10" t="s">
        <v>25</v>
      </c>
      <c r="G2" s="26">
        <v>8</v>
      </c>
      <c r="H2" s="29">
        <f>IF(B$24=0,0,G2/B$24)</f>
        <v>0.8</v>
      </c>
      <c r="J2" s="25">
        <v>0</v>
      </c>
      <c r="K2" s="30">
        <v>0</v>
      </c>
    </row>
    <row r="3" spans="1:11" x14ac:dyDescent="0.4">
      <c r="A3" s="31" t="s">
        <v>8</v>
      </c>
      <c r="B3" s="32">
        <v>271</v>
      </c>
      <c r="C3" s="33"/>
      <c r="E3" s="34" t="s">
        <v>73</v>
      </c>
      <c r="F3" s="1" t="s">
        <v>27</v>
      </c>
      <c r="G3" s="32">
        <v>8</v>
      </c>
      <c r="H3" s="35">
        <f>IF(B$24=0,0,G3/B$24)</f>
        <v>0.8</v>
      </c>
      <c r="J3" s="31">
        <v>1</v>
      </c>
      <c r="K3" s="36">
        <v>-39.9</v>
      </c>
    </row>
    <row r="4" spans="1:11" x14ac:dyDescent="0.4">
      <c r="A4" s="31" t="s">
        <v>6</v>
      </c>
      <c r="B4" s="37">
        <v>233.00000000000003</v>
      </c>
      <c r="C4" s="36"/>
      <c r="E4" s="34" t="s">
        <v>78</v>
      </c>
      <c r="F4" s="1" t="s">
        <v>31</v>
      </c>
      <c r="G4" s="32">
        <v>8</v>
      </c>
      <c r="H4" s="35">
        <f>IF(B$24=0,0,G4/B$24)</f>
        <v>0.8</v>
      </c>
      <c r="J4" s="31">
        <v>2</v>
      </c>
      <c r="K4" s="36">
        <v>-13.2</v>
      </c>
    </row>
    <row r="5" spans="1:11" x14ac:dyDescent="0.4">
      <c r="A5" s="31" t="s">
        <v>7</v>
      </c>
      <c r="B5" s="37">
        <f>IF(B$2=0,0,B$4/B$2)</f>
        <v>5.9743589743589753</v>
      </c>
      <c r="C5" s="38"/>
      <c r="E5" s="34" t="s">
        <v>69</v>
      </c>
      <c r="F5" s="1" t="s">
        <v>23</v>
      </c>
      <c r="G5" s="32">
        <v>3</v>
      </c>
      <c r="H5" s="35">
        <f>IF(B$24=0,0,G5/B$24)</f>
        <v>0.3</v>
      </c>
      <c r="J5" s="31">
        <v>3</v>
      </c>
      <c r="K5" s="36">
        <v>-57.7</v>
      </c>
    </row>
    <row r="6" spans="1:11" x14ac:dyDescent="0.4">
      <c r="A6" s="31" t="s">
        <v>1</v>
      </c>
      <c r="B6" s="39">
        <f>IF(B$2=0,0,(B$7*1+B$8*2+B$9*3)/B$2)</f>
        <v>1.8461538461538463</v>
      </c>
      <c r="C6" s="40"/>
      <c r="E6" s="34" t="s">
        <v>72</v>
      </c>
      <c r="F6" s="1" t="s">
        <v>26</v>
      </c>
      <c r="G6" s="32">
        <v>3</v>
      </c>
      <c r="H6" s="35">
        <f>IF(B$24=0,0,G6/B$24)</f>
        <v>0.3</v>
      </c>
      <c r="J6" s="31">
        <v>4</v>
      </c>
      <c r="K6" s="36">
        <v>-53.7</v>
      </c>
    </row>
    <row r="7" spans="1:11" x14ac:dyDescent="0.4">
      <c r="A7" s="31" t="s">
        <v>2</v>
      </c>
      <c r="B7" s="32">
        <v>14</v>
      </c>
      <c r="C7" s="35">
        <f>IF(B$2=0,0,B7/B$2)</f>
        <v>0.35897435897435898</v>
      </c>
      <c r="E7" s="34" t="s">
        <v>74</v>
      </c>
      <c r="F7" s="1" t="s">
        <v>12</v>
      </c>
      <c r="G7" s="32">
        <v>2</v>
      </c>
      <c r="H7" s="35">
        <f>IF(B$24=0,0,G7/B$24)</f>
        <v>0.2</v>
      </c>
      <c r="J7" s="31">
        <v>5</v>
      </c>
      <c r="K7" s="36">
        <v>-45.7</v>
      </c>
    </row>
    <row r="8" spans="1:11" x14ac:dyDescent="0.4">
      <c r="A8" s="31" t="s">
        <v>3</v>
      </c>
      <c r="B8" s="32">
        <v>17</v>
      </c>
      <c r="C8" s="35">
        <f t="shared" ref="C8:C9" si="0">IF(B$2=0,0,B8/B$2)</f>
        <v>0.4358974358974359</v>
      </c>
      <c r="E8" s="34" t="s">
        <v>70</v>
      </c>
      <c r="F8" s="1" t="s">
        <v>24</v>
      </c>
      <c r="G8" s="32">
        <v>1</v>
      </c>
      <c r="H8" s="35">
        <f>IF(B$24=0,0,G8/B$24)</f>
        <v>0.1</v>
      </c>
      <c r="J8" s="31">
        <v>6</v>
      </c>
      <c r="K8" s="36">
        <v>-50.6</v>
      </c>
    </row>
    <row r="9" spans="1:11" x14ac:dyDescent="0.4">
      <c r="A9" s="41" t="s">
        <v>4</v>
      </c>
      <c r="B9" s="42">
        <v>8</v>
      </c>
      <c r="C9" s="43">
        <f t="shared" si="0"/>
        <v>0.20512820512820512</v>
      </c>
      <c r="E9" s="34" t="s">
        <v>75</v>
      </c>
      <c r="F9" s="1" t="s">
        <v>28</v>
      </c>
      <c r="G9" s="32">
        <v>1</v>
      </c>
      <c r="H9" s="35">
        <f>IF(B$24=0,0,G9/B$24)</f>
        <v>0.1</v>
      </c>
      <c r="J9" s="31">
        <v>7</v>
      </c>
      <c r="K9" s="36">
        <v>-47.6</v>
      </c>
    </row>
    <row r="10" spans="1:11" ht="19.5" thickBot="1" x14ac:dyDescent="0.45">
      <c r="A10" s="44" t="s">
        <v>21</v>
      </c>
      <c r="B10" s="45">
        <v>5</v>
      </c>
      <c r="C10" s="46">
        <f>IF(B$2=0,0,B10/B$2)</f>
        <v>0.12820512820512819</v>
      </c>
      <c r="E10" s="34" t="s">
        <v>88</v>
      </c>
      <c r="F10" s="1" t="s">
        <v>41</v>
      </c>
      <c r="G10" s="32">
        <v>1</v>
      </c>
      <c r="H10" s="35">
        <f>IF(B$24=0,0,G10/B$24)</f>
        <v>0.1</v>
      </c>
      <c r="J10" s="31">
        <v>8</v>
      </c>
      <c r="K10" s="36">
        <v>-59.1</v>
      </c>
    </row>
    <row r="11" spans="1:11" ht="19.5" thickTop="1" x14ac:dyDescent="0.4">
      <c r="A11" s="59" t="s">
        <v>130</v>
      </c>
      <c r="B11" s="60">
        <v>7</v>
      </c>
      <c r="C11" s="61">
        <f>IF(B$23=0,0,B11/B$23)</f>
        <v>0.21212121212121213</v>
      </c>
      <c r="E11" s="34" t="s">
        <v>90</v>
      </c>
      <c r="F11" s="1" t="s">
        <v>43</v>
      </c>
      <c r="G11" s="32">
        <v>1</v>
      </c>
      <c r="H11" s="35">
        <f>IF(B$24=0,0,G11/B$24)</f>
        <v>0.1</v>
      </c>
      <c r="J11" s="31">
        <v>9</v>
      </c>
      <c r="K11" s="36">
        <v>-77.900000000000006</v>
      </c>
    </row>
    <row r="12" spans="1:11" x14ac:dyDescent="0.4">
      <c r="A12" s="31" t="s">
        <v>125</v>
      </c>
      <c r="B12" s="32">
        <v>11</v>
      </c>
      <c r="C12" s="35">
        <f>IF(B$23=0,0,B12/B$23)</f>
        <v>0.33333333333333331</v>
      </c>
      <c r="E12" s="34" t="s">
        <v>76</v>
      </c>
      <c r="F12" s="1" t="s">
        <v>29</v>
      </c>
      <c r="G12" s="32">
        <v>0</v>
      </c>
      <c r="H12" s="35">
        <f>IF(B$24=0,0,G12/B$24)</f>
        <v>0</v>
      </c>
      <c r="J12" s="31">
        <v>10</v>
      </c>
      <c r="K12" s="36">
        <v>-78.900000000000006</v>
      </c>
    </row>
    <row r="13" spans="1:11" x14ac:dyDescent="0.4">
      <c r="A13" s="25" t="s">
        <v>132</v>
      </c>
      <c r="B13" s="26">
        <v>3</v>
      </c>
      <c r="C13" s="29">
        <f>IF(B$11=0,0,B13/B$11)</f>
        <v>0.42857142857142855</v>
      </c>
      <c r="E13" s="34" t="s">
        <v>77</v>
      </c>
      <c r="F13" s="1" t="s">
        <v>30</v>
      </c>
      <c r="G13" s="32">
        <v>0</v>
      </c>
      <c r="H13" s="35">
        <f>IF(B$24=0,0,G13/B$24)</f>
        <v>0</v>
      </c>
      <c r="J13" s="31">
        <v>11</v>
      </c>
      <c r="K13" s="36">
        <v>-88.9</v>
      </c>
    </row>
    <row r="14" spans="1:11" x14ac:dyDescent="0.4">
      <c r="A14" s="25" t="s">
        <v>133</v>
      </c>
      <c r="B14" s="26">
        <v>4</v>
      </c>
      <c r="C14" s="29">
        <f>IF(B$12=0,0,B14/B$12)</f>
        <v>0.36363636363636365</v>
      </c>
      <c r="E14" s="34" t="s">
        <v>79</v>
      </c>
      <c r="F14" s="1" t="s">
        <v>32</v>
      </c>
      <c r="G14" s="32">
        <v>0</v>
      </c>
      <c r="H14" s="35">
        <f>IF(B$24=0,0,G14/B$24)</f>
        <v>0</v>
      </c>
      <c r="J14" s="31">
        <v>12</v>
      </c>
      <c r="K14" s="36">
        <v>-23.5</v>
      </c>
    </row>
    <row r="15" spans="1:11" x14ac:dyDescent="0.4">
      <c r="A15" s="25" t="s">
        <v>10</v>
      </c>
      <c r="B15" s="26">
        <f>B16+B17</f>
        <v>97</v>
      </c>
      <c r="C15" s="29">
        <f>IF(B$3=0,0,B15/B$3)</f>
        <v>0.35793357933579334</v>
      </c>
      <c r="E15" s="34" t="s">
        <v>80</v>
      </c>
      <c r="F15" s="1" t="s">
        <v>33</v>
      </c>
      <c r="G15" s="32">
        <v>0</v>
      </c>
      <c r="H15" s="35">
        <f>IF(B$24=0,0,G15/B$24)</f>
        <v>0</v>
      </c>
      <c r="J15" s="31">
        <v>13</v>
      </c>
      <c r="K15" s="36">
        <v>-12.4</v>
      </c>
    </row>
    <row r="16" spans="1:11" x14ac:dyDescent="0.4">
      <c r="A16" s="31" t="s">
        <v>11</v>
      </c>
      <c r="B16" s="32">
        <v>53</v>
      </c>
      <c r="C16" s="35">
        <f>IF(B$3=0,0,B16/B$3)</f>
        <v>0.19557195571955718</v>
      </c>
      <c r="E16" s="34" t="s">
        <v>81</v>
      </c>
      <c r="F16" s="1" t="s">
        <v>34</v>
      </c>
      <c r="G16" s="32">
        <v>0</v>
      </c>
      <c r="H16" s="35">
        <f>IF(B$24=0,0,G16/B$24)</f>
        <v>0</v>
      </c>
      <c r="J16" s="31">
        <v>14</v>
      </c>
      <c r="K16" s="36">
        <v>38.6</v>
      </c>
    </row>
    <row r="17" spans="1:11" x14ac:dyDescent="0.4">
      <c r="A17" s="31" t="s">
        <v>12</v>
      </c>
      <c r="B17" s="32">
        <v>44</v>
      </c>
      <c r="C17" s="35">
        <f>IF(B$3=0,0,B17/B$3)</f>
        <v>0.16236162361623616</v>
      </c>
      <c r="E17" s="34" t="s">
        <v>82</v>
      </c>
      <c r="F17" s="1" t="s">
        <v>35</v>
      </c>
      <c r="G17" s="32">
        <v>0</v>
      </c>
      <c r="H17" s="35">
        <f>IF(B$24=0,0,G17/B$24)</f>
        <v>0</v>
      </c>
      <c r="J17" s="31">
        <v>15</v>
      </c>
      <c r="K17" s="36">
        <v>55.8</v>
      </c>
    </row>
    <row r="18" spans="1:11" x14ac:dyDescent="0.4">
      <c r="A18" s="31" t="s">
        <v>13</v>
      </c>
      <c r="B18" s="32">
        <v>36</v>
      </c>
      <c r="C18" s="35">
        <f>IF(B$3=0,0,B18/B$3)</f>
        <v>0.13284132841328414</v>
      </c>
      <c r="E18" s="34" t="s">
        <v>83</v>
      </c>
      <c r="F18" s="1" t="s">
        <v>36</v>
      </c>
      <c r="G18" s="32">
        <v>0</v>
      </c>
      <c r="H18" s="35">
        <f>IF(B$24=0,0,G18/B$24)</f>
        <v>0</v>
      </c>
      <c r="J18" s="31">
        <v>16</v>
      </c>
      <c r="K18" s="36">
        <v>40.299999999999997</v>
      </c>
    </row>
    <row r="19" spans="1:11" x14ac:dyDescent="0.4">
      <c r="A19" s="31" t="s">
        <v>5</v>
      </c>
      <c r="B19" s="49">
        <f>IF(B$15=0,0,C19/B$15)</f>
        <v>9631.9587628865975</v>
      </c>
      <c r="C19" s="50">
        <v>934300</v>
      </c>
      <c r="E19" s="34" t="s">
        <v>84</v>
      </c>
      <c r="F19" s="1" t="s">
        <v>37</v>
      </c>
      <c r="G19" s="32">
        <v>0</v>
      </c>
      <c r="H19" s="35">
        <f>IF(B$24=0,0,G19/B$24)</f>
        <v>0</v>
      </c>
      <c r="J19" s="31">
        <v>17</v>
      </c>
      <c r="K19" s="36">
        <v>15.799999999999997</v>
      </c>
    </row>
    <row r="20" spans="1:11" ht="19.5" thickBot="1" x14ac:dyDescent="0.45">
      <c r="A20" s="41" t="s">
        <v>14</v>
      </c>
      <c r="B20" s="74">
        <f>IF(B$18=0,0,C20/B$18)</f>
        <v>-9613.8888888888887</v>
      </c>
      <c r="C20" s="75">
        <v>-346100</v>
      </c>
      <c r="E20" s="34" t="s">
        <v>85</v>
      </c>
      <c r="F20" s="1" t="s">
        <v>38</v>
      </c>
      <c r="G20" s="32">
        <v>0</v>
      </c>
      <c r="H20" s="35">
        <f>IF(B$24=0,0,G20/B$24)</f>
        <v>0</v>
      </c>
      <c r="J20" s="31">
        <v>18</v>
      </c>
      <c r="K20" s="36">
        <v>-25.700000000000003</v>
      </c>
    </row>
    <row r="21" spans="1:11" ht="19.5" thickTop="1" x14ac:dyDescent="0.4">
      <c r="A21" s="47" t="s">
        <v>198</v>
      </c>
      <c r="B21" s="48">
        <v>98</v>
      </c>
      <c r="C21" s="76">
        <f>IF(B$3=0,0,B21/B$3)</f>
        <v>0.36162361623616235</v>
      </c>
      <c r="E21" s="34" t="s">
        <v>86</v>
      </c>
      <c r="F21" s="1" t="s">
        <v>39</v>
      </c>
      <c r="G21" s="32">
        <v>0</v>
      </c>
      <c r="H21" s="35">
        <f>IF(B$24=0,0,G21/B$24)</f>
        <v>0</v>
      </c>
      <c r="J21" s="31">
        <v>19</v>
      </c>
      <c r="K21" s="36">
        <v>-17.700000000000003</v>
      </c>
    </row>
    <row r="22" spans="1:11" ht="19.5" thickBot="1" x14ac:dyDescent="0.45">
      <c r="A22" s="44" t="s">
        <v>199</v>
      </c>
      <c r="B22" s="45">
        <v>34</v>
      </c>
      <c r="C22" s="46">
        <f>IF(B$21=0,0,B22/B$21)</f>
        <v>0.34693877551020408</v>
      </c>
      <c r="E22" s="34" t="s">
        <v>87</v>
      </c>
      <c r="F22" s="1" t="s">
        <v>40</v>
      </c>
      <c r="G22" s="32">
        <v>0</v>
      </c>
      <c r="H22" s="35">
        <f>IF(B$24=0,0,G22/B$24)</f>
        <v>0</v>
      </c>
      <c r="J22" s="31">
        <v>20</v>
      </c>
      <c r="K22" s="36">
        <v>7.4999999999999964</v>
      </c>
    </row>
    <row r="23" spans="1:11" ht="19.5" thickTop="1" x14ac:dyDescent="0.4">
      <c r="A23" s="25" t="s">
        <v>128</v>
      </c>
      <c r="B23" s="26">
        <v>33</v>
      </c>
      <c r="C23" s="29"/>
      <c r="E23" s="34" t="s">
        <v>89</v>
      </c>
      <c r="F23" s="1" t="s">
        <v>42</v>
      </c>
      <c r="G23" s="32">
        <v>0</v>
      </c>
      <c r="H23" s="35">
        <f>IF(B$24=0,0,G23/B$24)</f>
        <v>0</v>
      </c>
      <c r="J23" s="31">
        <v>21</v>
      </c>
      <c r="K23" s="36">
        <v>69.8</v>
      </c>
    </row>
    <row r="24" spans="1:11" x14ac:dyDescent="0.4">
      <c r="A24" s="51" t="s">
        <v>129</v>
      </c>
      <c r="B24" s="54">
        <v>10</v>
      </c>
      <c r="C24" s="55"/>
      <c r="E24" s="34" t="s">
        <v>91</v>
      </c>
      <c r="F24" s="1" t="s">
        <v>44</v>
      </c>
      <c r="G24" s="32">
        <v>0</v>
      </c>
      <c r="H24" s="35">
        <f>IF(B$24=0,0,G24/B$24)</f>
        <v>0</v>
      </c>
      <c r="J24" s="31">
        <v>22</v>
      </c>
      <c r="K24" s="36">
        <v>78.399999999999991</v>
      </c>
    </row>
    <row r="25" spans="1:11" x14ac:dyDescent="0.4">
      <c r="E25" s="34" t="s">
        <v>92</v>
      </c>
      <c r="F25" s="1" t="s">
        <v>45</v>
      </c>
      <c r="G25" s="32">
        <v>0</v>
      </c>
      <c r="H25" s="35">
        <f>IF(B$24=0,0,G25/B$24)</f>
        <v>0</v>
      </c>
      <c r="J25" s="31">
        <v>23</v>
      </c>
      <c r="K25" s="36">
        <v>93.199999999999989</v>
      </c>
    </row>
    <row r="26" spans="1:11" x14ac:dyDescent="0.4">
      <c r="E26" s="34" t="s">
        <v>93</v>
      </c>
      <c r="F26" s="1" t="s">
        <v>46</v>
      </c>
      <c r="G26" s="32">
        <v>0</v>
      </c>
      <c r="H26" s="35">
        <f>IF(B$24=0,0,G26/B$24)</f>
        <v>0</v>
      </c>
      <c r="J26" s="31">
        <v>24</v>
      </c>
      <c r="K26" s="36">
        <v>49.29999999999999</v>
      </c>
    </row>
    <row r="27" spans="1:11" x14ac:dyDescent="0.4">
      <c r="E27" s="34" t="s">
        <v>94</v>
      </c>
      <c r="F27" s="1" t="s">
        <v>47</v>
      </c>
      <c r="G27" s="32">
        <v>0</v>
      </c>
      <c r="H27" s="35">
        <f>IF(B$24=0,0,G27/B$24)</f>
        <v>0</v>
      </c>
      <c r="J27" s="31">
        <v>25</v>
      </c>
      <c r="K27" s="36">
        <v>58.79999999999999</v>
      </c>
    </row>
    <row r="28" spans="1:11" x14ac:dyDescent="0.4">
      <c r="E28" s="34" t="s">
        <v>95</v>
      </c>
      <c r="F28" s="1" t="s">
        <v>48</v>
      </c>
      <c r="G28" s="32">
        <v>0</v>
      </c>
      <c r="H28" s="35">
        <f>IF(B$24=0,0,G28/B$24)</f>
        <v>0</v>
      </c>
      <c r="J28" s="31">
        <v>26</v>
      </c>
      <c r="K28" s="36">
        <v>141.79999999999998</v>
      </c>
    </row>
    <row r="29" spans="1:11" x14ac:dyDescent="0.4">
      <c r="E29" s="34" t="s">
        <v>96</v>
      </c>
      <c r="F29" s="1" t="s">
        <v>49</v>
      </c>
      <c r="G29" s="32">
        <v>0</v>
      </c>
      <c r="H29" s="35">
        <f>IF(B$24=0,0,G29/B$24)</f>
        <v>0</v>
      </c>
      <c r="J29" s="31">
        <v>27</v>
      </c>
      <c r="K29" s="36">
        <v>162.79999999999998</v>
      </c>
    </row>
    <row r="30" spans="1:11" x14ac:dyDescent="0.4">
      <c r="E30" s="34" t="s">
        <v>97</v>
      </c>
      <c r="F30" s="1" t="s">
        <v>50</v>
      </c>
      <c r="G30" s="32">
        <v>0</v>
      </c>
      <c r="H30" s="35">
        <f>IF(B$24=0,0,G30/B$24)</f>
        <v>0</v>
      </c>
      <c r="J30" s="31">
        <v>28</v>
      </c>
      <c r="K30" s="36">
        <v>174.7</v>
      </c>
    </row>
    <row r="31" spans="1:11" x14ac:dyDescent="0.4">
      <c r="E31" s="34" t="s">
        <v>98</v>
      </c>
      <c r="F31" s="1" t="s">
        <v>51</v>
      </c>
      <c r="G31" s="32">
        <v>0</v>
      </c>
      <c r="H31" s="35">
        <f>IF(B$24=0,0,G31/B$24)</f>
        <v>0</v>
      </c>
      <c r="J31" s="31">
        <v>29</v>
      </c>
      <c r="K31" s="36">
        <v>205</v>
      </c>
    </row>
    <row r="32" spans="1:11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  <c r="J32" s="31">
        <v>30</v>
      </c>
      <c r="K32" s="36">
        <v>198.5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  <c r="J33" s="31">
        <v>31</v>
      </c>
      <c r="K33" s="36">
        <v>186.9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  <c r="J34" s="31">
        <v>32</v>
      </c>
      <c r="K34" s="36">
        <v>204.4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  <c r="J35" s="31">
        <v>33</v>
      </c>
      <c r="K35" s="36">
        <v>245.4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  <c r="J36" s="31">
        <v>34</v>
      </c>
      <c r="K36" s="36">
        <v>234.9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  <c r="J37" s="31">
        <v>35</v>
      </c>
      <c r="K37" s="36">
        <v>188.9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  <c r="J38" s="31">
        <v>36</v>
      </c>
      <c r="K38" s="36">
        <v>236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  <c r="J39" s="31">
        <v>37</v>
      </c>
      <c r="K39" s="36">
        <v>250.8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  <c r="J40" s="31">
        <v>38</v>
      </c>
      <c r="K40" s="36">
        <v>232.60000000000002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  <c r="J41" s="31">
        <v>39</v>
      </c>
      <c r="K41" s="36">
        <v>233.00000000000003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49728-E624-4F1C-974E-D46287DACC1B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9" t="s">
        <v>145</v>
      </c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1</v>
      </c>
      <c r="C2" s="27"/>
      <c r="E2" s="28" t="s">
        <v>69</v>
      </c>
      <c r="F2" s="10" t="s">
        <v>23</v>
      </c>
      <c r="G2" s="26">
        <v>0</v>
      </c>
      <c r="H2" s="29">
        <f>IF(B$24=0,0,G2/B$24)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6</v>
      </c>
      <c r="C3" s="33"/>
      <c r="E3" s="34" t="s">
        <v>70</v>
      </c>
      <c r="F3" s="1" t="s">
        <v>24</v>
      </c>
      <c r="G3" s="32">
        <v>0</v>
      </c>
      <c r="H3" s="35">
        <f>IF(B$24=0,0,G3/B$24)</f>
        <v>0</v>
      </c>
      <c r="J3" s="31">
        <v>1</v>
      </c>
      <c r="K3" s="36">
        <v>-40.700000000000003</v>
      </c>
    </row>
    <row r="4" spans="1:11" x14ac:dyDescent="0.4">
      <c r="A4" s="31" t="s">
        <v>6</v>
      </c>
      <c r="B4" s="37">
        <v>-40.700000000000003</v>
      </c>
      <c r="C4" s="36"/>
      <c r="E4" s="34" t="s">
        <v>71</v>
      </c>
      <c r="F4" s="1" t="s">
        <v>25</v>
      </c>
      <c r="G4" s="32">
        <v>0</v>
      </c>
      <c r="H4" s="35">
        <f>IF(B$24=0,0,G4/B$24)</f>
        <v>0</v>
      </c>
    </row>
    <row r="5" spans="1:11" x14ac:dyDescent="0.4">
      <c r="A5" s="31" t="s">
        <v>7</v>
      </c>
      <c r="B5" s="37">
        <f>IF(B$2=0,0,B$4/B$2)</f>
        <v>-40.700000000000003</v>
      </c>
      <c r="C5" s="38"/>
      <c r="E5" s="34" t="s">
        <v>72</v>
      </c>
      <c r="F5" s="1" t="s">
        <v>26</v>
      </c>
      <c r="G5" s="32">
        <v>0</v>
      </c>
      <c r="H5" s="35">
        <f>IF(B$24=0,0,G5/B$24)</f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73</v>
      </c>
      <c r="F6" s="1" t="s">
        <v>27</v>
      </c>
      <c r="G6" s="32">
        <v>0</v>
      </c>
      <c r="H6" s="35">
        <f>IF(B$24=0,0,G6/B$24)</f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>IF(B$24=0,0,G7/B$24)</f>
        <v>0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75</v>
      </c>
      <c r="F8" s="1" t="s">
        <v>28</v>
      </c>
      <c r="G8" s="32">
        <v>0</v>
      </c>
      <c r="H8" s="35">
        <f>IF(B$24=0,0,G8/B$24)</f>
        <v>0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76</v>
      </c>
      <c r="F9" s="1" t="s">
        <v>29</v>
      </c>
      <c r="G9" s="32">
        <v>0</v>
      </c>
      <c r="H9" s="35">
        <f>IF(B$24=0,0,G9/B$24)</f>
        <v>0</v>
      </c>
    </row>
    <row r="10" spans="1:11" ht="19.5" thickBot="1" x14ac:dyDescent="0.45">
      <c r="A10" s="44" t="s">
        <v>21</v>
      </c>
      <c r="B10" s="45">
        <v>1</v>
      </c>
      <c r="C10" s="46">
        <f>IF(B$2=0,0,B10/B$2)</f>
        <v>1</v>
      </c>
      <c r="E10" s="34" t="s">
        <v>77</v>
      </c>
      <c r="F10" s="1" t="s">
        <v>30</v>
      </c>
      <c r="G10" s="32">
        <v>0</v>
      </c>
      <c r="H10" s="35">
        <f>IF(B$24=0,0,G10/B$24)</f>
        <v>0</v>
      </c>
    </row>
    <row r="11" spans="1:11" ht="19.5" thickTop="1" x14ac:dyDescent="0.4">
      <c r="A11" s="59" t="s">
        <v>130</v>
      </c>
      <c r="B11" s="60">
        <v>0</v>
      </c>
      <c r="C11" s="61">
        <f>IF(B$23=0,0,B11/B$23)</f>
        <v>0</v>
      </c>
      <c r="E11" s="34" t="s">
        <v>78</v>
      </c>
      <c r="F11" s="1" t="s">
        <v>31</v>
      </c>
      <c r="G11" s="32">
        <v>0</v>
      </c>
      <c r="H11" s="35">
        <f>IF(B$24=0,0,G11/B$24)</f>
        <v>0</v>
      </c>
    </row>
    <row r="12" spans="1:11" x14ac:dyDescent="0.4">
      <c r="A12" s="31" t="s">
        <v>125</v>
      </c>
      <c r="B12" s="32">
        <v>0</v>
      </c>
      <c r="C12" s="35">
        <f>IF(B$23=0,0,B12/B$23)</f>
        <v>0</v>
      </c>
      <c r="E12" s="34" t="s">
        <v>79</v>
      </c>
      <c r="F12" s="1" t="s">
        <v>32</v>
      </c>
      <c r="G12" s="32">
        <v>0</v>
      </c>
      <c r="H12" s="35">
        <f>IF(B$24=0,0,G12/B$24)</f>
        <v>0</v>
      </c>
    </row>
    <row r="13" spans="1:11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>IF(B$24=0,0,G13/B$24)</f>
        <v>0</v>
      </c>
    </row>
    <row r="14" spans="1:11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>IF(B$24=0,0,G14/B$24)</f>
        <v>0</v>
      </c>
    </row>
    <row r="15" spans="1:11" x14ac:dyDescent="0.4">
      <c r="A15" s="25" t="s">
        <v>10</v>
      </c>
      <c r="B15" s="26">
        <f>B16+B17</f>
        <v>1</v>
      </c>
      <c r="C15" s="29">
        <f>IF(B$3=0,0,B15/B$3)</f>
        <v>0.16666666666666666</v>
      </c>
      <c r="E15" s="34" t="s">
        <v>82</v>
      </c>
      <c r="F15" s="1" t="s">
        <v>35</v>
      </c>
      <c r="G15" s="32">
        <v>0</v>
      </c>
      <c r="H15" s="35">
        <f>IF(B$24=0,0,G15/B$24)</f>
        <v>0</v>
      </c>
    </row>
    <row r="16" spans="1:11" x14ac:dyDescent="0.4">
      <c r="A16" s="31" t="s">
        <v>11</v>
      </c>
      <c r="B16" s="32">
        <v>1</v>
      </c>
      <c r="C16" s="35">
        <f>IF(B$3=0,0,B16/B$3)</f>
        <v>0.16666666666666666</v>
      </c>
      <c r="E16" s="34" t="s">
        <v>83</v>
      </c>
      <c r="F16" s="1" t="s">
        <v>36</v>
      </c>
      <c r="G16" s="32">
        <v>0</v>
      </c>
      <c r="H16" s="35">
        <f>IF(B$24=0,0,G16/B$24)</f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84</v>
      </c>
      <c r="F17" s="1" t="s">
        <v>37</v>
      </c>
      <c r="G17" s="32">
        <v>0</v>
      </c>
      <c r="H17" s="35">
        <f>IF(B$24=0,0,G17/B$24)</f>
        <v>0</v>
      </c>
    </row>
    <row r="18" spans="1:8" x14ac:dyDescent="0.4">
      <c r="A18" s="31" t="s">
        <v>13</v>
      </c>
      <c r="B18" s="32">
        <v>2</v>
      </c>
      <c r="C18" s="35">
        <f>IF(B$3=0,0,B18/B$3)</f>
        <v>0.33333333333333331</v>
      </c>
      <c r="E18" s="34" t="s">
        <v>85</v>
      </c>
      <c r="F18" s="1" t="s">
        <v>38</v>
      </c>
      <c r="G18" s="32">
        <v>0</v>
      </c>
      <c r="H18" s="35">
        <f>IF(B$24=0,0,G18/B$24)</f>
        <v>0</v>
      </c>
    </row>
    <row r="19" spans="1:8" x14ac:dyDescent="0.4">
      <c r="A19" s="31" t="s">
        <v>5</v>
      </c>
      <c r="B19" s="49">
        <f>IF(B$15=0,0,C19/B$15)</f>
        <v>1300</v>
      </c>
      <c r="C19" s="50">
        <v>1300</v>
      </c>
      <c r="E19" s="34" t="s">
        <v>86</v>
      </c>
      <c r="F19" s="1" t="s">
        <v>39</v>
      </c>
      <c r="G19" s="32">
        <v>0</v>
      </c>
      <c r="H19" s="35">
        <f>IF(B$24=0,0,G19/B$24)</f>
        <v>0</v>
      </c>
    </row>
    <row r="20" spans="1:8" ht="19.5" thickBot="1" x14ac:dyDescent="0.45">
      <c r="A20" s="41" t="s">
        <v>14</v>
      </c>
      <c r="B20" s="74">
        <f>IF(B$18=0,0,C20/B$18)</f>
        <v>-8500</v>
      </c>
      <c r="C20" s="75">
        <v>-17000</v>
      </c>
      <c r="E20" s="34" t="s">
        <v>87</v>
      </c>
      <c r="F20" s="1" t="s">
        <v>40</v>
      </c>
      <c r="G20" s="32">
        <v>0</v>
      </c>
      <c r="H20" s="35">
        <f>IF(B$24=0,0,G20/B$24)</f>
        <v>0</v>
      </c>
    </row>
    <row r="21" spans="1:8" ht="19.5" thickTop="1" x14ac:dyDescent="0.4">
      <c r="A21" s="47" t="s">
        <v>198</v>
      </c>
      <c r="B21" s="48">
        <v>1</v>
      </c>
      <c r="C21" s="76">
        <f>IF(B$3=0,0,B21/B$3)</f>
        <v>0.16666666666666666</v>
      </c>
      <c r="E21" s="34" t="s">
        <v>88</v>
      </c>
      <c r="F21" s="1" t="s">
        <v>41</v>
      </c>
      <c r="G21" s="32">
        <v>0</v>
      </c>
      <c r="H21" s="35">
        <f>IF(B$24=0,0,G21/B$24)</f>
        <v>0</v>
      </c>
    </row>
    <row r="22" spans="1:8" ht="19.5" thickBot="1" x14ac:dyDescent="0.45">
      <c r="A22" s="44" t="s">
        <v>199</v>
      </c>
      <c r="B22" s="45">
        <v>0</v>
      </c>
      <c r="C22" s="46">
        <f>IF(B$21=0,0,B22/B$21)</f>
        <v>0</v>
      </c>
      <c r="E22" s="34" t="s">
        <v>89</v>
      </c>
      <c r="F22" s="1" t="s">
        <v>42</v>
      </c>
      <c r="G22" s="32">
        <v>0</v>
      </c>
      <c r="H22" s="35">
        <f>IF(B$24=0,0,G22/B$24)</f>
        <v>0</v>
      </c>
    </row>
    <row r="23" spans="1:8" ht="19.5" thickTop="1" x14ac:dyDescent="0.4">
      <c r="A23" s="25" t="s">
        <v>128</v>
      </c>
      <c r="B23" s="26">
        <v>0</v>
      </c>
      <c r="C23" s="29"/>
      <c r="E23" s="34" t="s">
        <v>90</v>
      </c>
      <c r="F23" s="1" t="s">
        <v>43</v>
      </c>
      <c r="G23" s="32">
        <v>0</v>
      </c>
      <c r="H23" s="35">
        <f>IF(B$24=0,0,G23/B$24)</f>
        <v>0</v>
      </c>
    </row>
    <row r="24" spans="1:8" x14ac:dyDescent="0.4">
      <c r="A24" s="51" t="s">
        <v>129</v>
      </c>
      <c r="B24" s="54">
        <v>0</v>
      </c>
      <c r="C24" s="55"/>
      <c r="E24" s="34" t="s">
        <v>91</v>
      </c>
      <c r="F24" s="1" t="s">
        <v>44</v>
      </c>
      <c r="G24" s="32">
        <v>0</v>
      </c>
      <c r="H24" s="35">
        <f>IF(B$24=0,0,G24/B$24)</f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>IF(B$24=0,0,G25/B$24)</f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>IF(B$24=0,0,G26/B$24)</f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>IF(B$24=0,0,G27/B$24)</f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>IF(B$24=0,0,G28/B$24)</f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>IF(B$24=0,0,G29/B$24)</f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>IF(B$24=0,0,G30/B$24)</f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>IF(B$24=0,0,G31/B$24)</f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D521-A354-4497-B1E9-58B87720D8D9}">
  <sheetPr codeName="Sheet10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9" t="s">
        <v>192</v>
      </c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35</v>
      </c>
      <c r="C2" s="27"/>
      <c r="E2" s="28" t="s">
        <v>73</v>
      </c>
      <c r="F2" s="10" t="s">
        <v>27</v>
      </c>
      <c r="G2" s="26">
        <v>22</v>
      </c>
      <c r="H2" s="29">
        <f>IF(B$24=0,0,G2/B$24)</f>
        <v>0.95652173913043481</v>
      </c>
      <c r="J2" s="25">
        <v>0</v>
      </c>
      <c r="K2" s="30">
        <v>0</v>
      </c>
    </row>
    <row r="3" spans="1:11" x14ac:dyDescent="0.4">
      <c r="A3" s="31" t="s">
        <v>8</v>
      </c>
      <c r="B3" s="32">
        <v>274</v>
      </c>
      <c r="C3" s="33"/>
      <c r="E3" s="34" t="s">
        <v>71</v>
      </c>
      <c r="F3" s="1" t="s">
        <v>25</v>
      </c>
      <c r="G3" s="32">
        <v>17</v>
      </c>
      <c r="H3" s="35">
        <f>IF(B$24=0,0,G3/B$24)</f>
        <v>0.73913043478260865</v>
      </c>
      <c r="J3" s="31">
        <v>1</v>
      </c>
      <c r="K3" s="36">
        <v>68.2</v>
      </c>
    </row>
    <row r="4" spans="1:11" x14ac:dyDescent="0.4">
      <c r="A4" s="31" t="s">
        <v>6</v>
      </c>
      <c r="B4" s="37">
        <v>-106.10000000000001</v>
      </c>
      <c r="C4" s="36"/>
      <c r="E4" s="34" t="s">
        <v>78</v>
      </c>
      <c r="F4" s="1" t="s">
        <v>31</v>
      </c>
      <c r="G4" s="32">
        <v>15</v>
      </c>
      <c r="H4" s="35">
        <f>IF(B$24=0,0,G4/B$24)</f>
        <v>0.65217391304347827</v>
      </c>
      <c r="J4" s="31">
        <v>2</v>
      </c>
      <c r="K4" s="36">
        <v>58.5</v>
      </c>
    </row>
    <row r="5" spans="1:11" x14ac:dyDescent="0.4">
      <c r="A5" s="31" t="s">
        <v>7</v>
      </c>
      <c r="B5" s="37">
        <f>IF(B$2=0,0,B$4/B$2)</f>
        <v>-3.0314285714285716</v>
      </c>
      <c r="C5" s="38"/>
      <c r="E5" s="34" t="s">
        <v>69</v>
      </c>
      <c r="F5" s="1" t="s">
        <v>23</v>
      </c>
      <c r="G5" s="32">
        <v>7</v>
      </c>
      <c r="H5" s="35">
        <f>IF(B$24=0,0,G5/B$24)</f>
        <v>0.30434782608695654</v>
      </c>
      <c r="J5" s="31">
        <v>3</v>
      </c>
      <c r="K5" s="36">
        <v>82.1</v>
      </c>
    </row>
    <row r="6" spans="1:11" x14ac:dyDescent="0.4">
      <c r="A6" s="31" t="s">
        <v>1</v>
      </c>
      <c r="B6" s="39">
        <f>IF(B$2=0,0,(B$7*1+B$8*2+B$9*3)/B$2)</f>
        <v>2.1142857142857143</v>
      </c>
      <c r="C6" s="40"/>
      <c r="E6" s="34" t="s">
        <v>70</v>
      </c>
      <c r="F6" s="1" t="s">
        <v>24</v>
      </c>
      <c r="G6" s="32">
        <v>3</v>
      </c>
      <c r="H6" s="35">
        <f>IF(B$24=0,0,G6/B$24)</f>
        <v>0.13043478260869565</v>
      </c>
      <c r="J6" s="31">
        <v>4</v>
      </c>
      <c r="K6" s="36">
        <v>58.199999999999996</v>
      </c>
    </row>
    <row r="7" spans="1:11" x14ac:dyDescent="0.4">
      <c r="A7" s="31" t="s">
        <v>2</v>
      </c>
      <c r="B7" s="32">
        <v>9</v>
      </c>
      <c r="C7" s="35">
        <f>IF(B$2=0,0,B7/B$2)</f>
        <v>0.25714285714285712</v>
      </c>
      <c r="E7" s="34" t="s">
        <v>74</v>
      </c>
      <c r="F7" s="1" t="s">
        <v>12</v>
      </c>
      <c r="G7" s="32">
        <v>3</v>
      </c>
      <c r="H7" s="35">
        <f>IF(B$24=0,0,G7/B$24)</f>
        <v>0.13043478260869565</v>
      </c>
      <c r="J7" s="31">
        <v>5</v>
      </c>
      <c r="K7" s="36">
        <v>124.19999999999999</v>
      </c>
    </row>
    <row r="8" spans="1:11" x14ac:dyDescent="0.4">
      <c r="A8" s="31" t="s">
        <v>3</v>
      </c>
      <c r="B8" s="32">
        <v>13</v>
      </c>
      <c r="C8" s="35">
        <f t="shared" ref="C8:C9" si="0">IF(B$2=0,0,B8/B$2)</f>
        <v>0.37142857142857144</v>
      </c>
      <c r="E8" s="34" t="s">
        <v>96</v>
      </c>
      <c r="F8" s="1" t="s">
        <v>49</v>
      </c>
      <c r="G8" s="32">
        <v>3</v>
      </c>
      <c r="H8" s="35">
        <f>IF(B$24=0,0,G8/B$24)</f>
        <v>0.13043478260869565</v>
      </c>
      <c r="J8" s="31">
        <v>6</v>
      </c>
      <c r="K8" s="36">
        <v>125.69999999999999</v>
      </c>
    </row>
    <row r="9" spans="1:11" x14ac:dyDescent="0.4">
      <c r="A9" s="41" t="s">
        <v>4</v>
      </c>
      <c r="B9" s="42">
        <v>13</v>
      </c>
      <c r="C9" s="43">
        <f t="shared" si="0"/>
        <v>0.37142857142857144</v>
      </c>
      <c r="E9" s="34" t="s">
        <v>85</v>
      </c>
      <c r="F9" s="1" t="s">
        <v>38</v>
      </c>
      <c r="G9" s="32">
        <v>2</v>
      </c>
      <c r="H9" s="35">
        <f>IF(B$24=0,0,G9/B$24)</f>
        <v>8.6956521739130432E-2</v>
      </c>
      <c r="J9" s="31">
        <v>7</v>
      </c>
      <c r="K9" s="36">
        <v>129.5</v>
      </c>
    </row>
    <row r="10" spans="1:11" ht="19.5" thickBot="1" x14ac:dyDescent="0.45">
      <c r="A10" s="44" t="s">
        <v>21</v>
      </c>
      <c r="B10" s="45">
        <v>6</v>
      </c>
      <c r="C10" s="46">
        <f>IF(B$2=0,0,B10/B$2)</f>
        <v>0.17142857142857143</v>
      </c>
      <c r="E10" s="34" t="s">
        <v>93</v>
      </c>
      <c r="F10" s="1" t="s">
        <v>46</v>
      </c>
      <c r="G10" s="32">
        <v>2</v>
      </c>
      <c r="H10" s="35">
        <f>IF(B$24=0,0,G10/B$24)</f>
        <v>8.6956521739130432E-2</v>
      </c>
      <c r="J10" s="31">
        <v>8</v>
      </c>
      <c r="K10" s="36">
        <v>97</v>
      </c>
    </row>
    <row r="11" spans="1:11" ht="19.5" thickTop="1" x14ac:dyDescent="0.4">
      <c r="A11" s="59" t="s">
        <v>130</v>
      </c>
      <c r="B11" s="60">
        <v>17</v>
      </c>
      <c r="C11" s="61">
        <f>IF(B$23=0,0,B11/B$23)</f>
        <v>0.19540229885057472</v>
      </c>
      <c r="E11" s="34" t="s">
        <v>75</v>
      </c>
      <c r="F11" s="1" t="s">
        <v>28</v>
      </c>
      <c r="G11" s="32">
        <v>1</v>
      </c>
      <c r="H11" s="35">
        <f>IF(B$24=0,0,G11/B$24)</f>
        <v>4.3478260869565216E-2</v>
      </c>
      <c r="J11" s="31">
        <v>9</v>
      </c>
      <c r="K11" s="36">
        <v>83.3</v>
      </c>
    </row>
    <row r="12" spans="1:11" x14ac:dyDescent="0.4">
      <c r="A12" s="31" t="s">
        <v>125</v>
      </c>
      <c r="B12" s="32">
        <v>25</v>
      </c>
      <c r="C12" s="35">
        <f>IF(B$23=0,0,B12/B$23)</f>
        <v>0.28735632183908044</v>
      </c>
      <c r="E12" s="34" t="s">
        <v>76</v>
      </c>
      <c r="F12" s="1" t="s">
        <v>29</v>
      </c>
      <c r="G12" s="32">
        <v>1</v>
      </c>
      <c r="H12" s="35">
        <f>IF(B$24=0,0,G12/B$24)</f>
        <v>4.3478260869565216E-2</v>
      </c>
      <c r="J12" s="31">
        <v>10</v>
      </c>
      <c r="K12" s="36">
        <v>111</v>
      </c>
    </row>
    <row r="13" spans="1:11" x14ac:dyDescent="0.4">
      <c r="A13" s="25" t="s">
        <v>132</v>
      </c>
      <c r="B13" s="26">
        <v>7</v>
      </c>
      <c r="C13" s="29">
        <f>IF(B$11=0,0,B13/B$11)</f>
        <v>0.41176470588235292</v>
      </c>
      <c r="E13" s="34" t="s">
        <v>81</v>
      </c>
      <c r="F13" s="1" t="s">
        <v>34</v>
      </c>
      <c r="G13" s="32">
        <v>1</v>
      </c>
      <c r="H13" s="35">
        <f>IF(B$24=0,0,G13/B$24)</f>
        <v>4.3478260869565216E-2</v>
      </c>
      <c r="J13" s="31">
        <v>11</v>
      </c>
      <c r="K13" s="36">
        <v>138.69999999999999</v>
      </c>
    </row>
    <row r="14" spans="1:11" x14ac:dyDescent="0.4">
      <c r="A14" s="25" t="s">
        <v>133</v>
      </c>
      <c r="B14" s="26">
        <v>10</v>
      </c>
      <c r="C14" s="29">
        <f>IF(B$12=0,0,B14/B$12)</f>
        <v>0.4</v>
      </c>
      <c r="E14" s="34" t="s">
        <v>84</v>
      </c>
      <c r="F14" s="1" t="s">
        <v>37</v>
      </c>
      <c r="G14" s="32">
        <v>1</v>
      </c>
      <c r="H14" s="35">
        <f>IF(B$24=0,0,G14/B$24)</f>
        <v>4.3478260869565216E-2</v>
      </c>
      <c r="J14" s="31">
        <v>12</v>
      </c>
      <c r="K14" s="36">
        <v>99.799999999999983</v>
      </c>
    </row>
    <row r="15" spans="1:11" x14ac:dyDescent="0.4">
      <c r="A15" s="25" t="s">
        <v>10</v>
      </c>
      <c r="B15" s="26">
        <f>B16+B17</f>
        <v>77</v>
      </c>
      <c r="C15" s="29">
        <f>IF(B$3=0,0,B15/B$3)</f>
        <v>0.28102189781021897</v>
      </c>
      <c r="E15" s="34" t="s">
        <v>88</v>
      </c>
      <c r="F15" s="1" t="s">
        <v>41</v>
      </c>
      <c r="G15" s="32">
        <v>1</v>
      </c>
      <c r="H15" s="35">
        <f>IF(B$24=0,0,G15/B$24)</f>
        <v>4.3478260869565216E-2</v>
      </c>
      <c r="J15" s="31">
        <v>13</v>
      </c>
      <c r="K15" s="36">
        <v>61.799999999999983</v>
      </c>
    </row>
    <row r="16" spans="1:11" x14ac:dyDescent="0.4">
      <c r="A16" s="31" t="s">
        <v>11</v>
      </c>
      <c r="B16" s="32">
        <v>46</v>
      </c>
      <c r="C16" s="35">
        <f>IF(B$3=0,0,B16/B$3)</f>
        <v>0.16788321167883211</v>
      </c>
      <c r="E16" s="34" t="s">
        <v>90</v>
      </c>
      <c r="F16" s="1" t="s">
        <v>43</v>
      </c>
      <c r="G16" s="32">
        <v>1</v>
      </c>
      <c r="H16" s="35">
        <f>IF(B$24=0,0,G16/B$24)</f>
        <v>4.3478260869565216E-2</v>
      </c>
      <c r="J16" s="31">
        <v>14</v>
      </c>
      <c r="K16" s="36">
        <v>41.499999999999986</v>
      </c>
    </row>
    <row r="17" spans="1:11" x14ac:dyDescent="0.4">
      <c r="A17" s="31" t="s">
        <v>12</v>
      </c>
      <c r="B17" s="32">
        <v>31</v>
      </c>
      <c r="C17" s="35">
        <f>IF(B$3=0,0,B17/B$3)</f>
        <v>0.11313868613138686</v>
      </c>
      <c r="E17" s="34" t="s">
        <v>72</v>
      </c>
      <c r="F17" s="1" t="s">
        <v>26</v>
      </c>
      <c r="G17" s="32">
        <v>0</v>
      </c>
      <c r="H17" s="35">
        <f>IF(B$24=0,0,G17/B$24)</f>
        <v>0</v>
      </c>
      <c r="J17" s="31">
        <v>15</v>
      </c>
      <c r="K17" s="36">
        <v>32.999999999999986</v>
      </c>
    </row>
    <row r="18" spans="1:11" x14ac:dyDescent="0.4">
      <c r="A18" s="31" t="s">
        <v>13</v>
      </c>
      <c r="B18" s="32">
        <v>55</v>
      </c>
      <c r="C18" s="35">
        <f>IF(B$3=0,0,B18/B$3)</f>
        <v>0.20072992700729927</v>
      </c>
      <c r="E18" s="34" t="s">
        <v>77</v>
      </c>
      <c r="F18" s="1" t="s">
        <v>30</v>
      </c>
      <c r="G18" s="32">
        <v>0</v>
      </c>
      <c r="H18" s="35">
        <f>IF(B$24=0,0,G18/B$24)</f>
        <v>0</v>
      </c>
      <c r="J18" s="31">
        <v>16</v>
      </c>
      <c r="K18" s="36">
        <v>-5.5000000000000142</v>
      </c>
    </row>
    <row r="19" spans="1:11" x14ac:dyDescent="0.4">
      <c r="A19" s="31" t="s">
        <v>5</v>
      </c>
      <c r="B19" s="49">
        <f>IF(B$15=0,0,C19/B$15)</f>
        <v>10240.25974025974</v>
      </c>
      <c r="C19" s="50">
        <v>788500</v>
      </c>
      <c r="E19" s="34" t="s">
        <v>79</v>
      </c>
      <c r="F19" s="1" t="s">
        <v>32</v>
      </c>
      <c r="G19" s="32">
        <v>0</v>
      </c>
      <c r="H19" s="35">
        <f>IF(B$24=0,0,G19/B$24)</f>
        <v>0</v>
      </c>
      <c r="J19" s="31">
        <v>17</v>
      </c>
      <c r="K19" s="36">
        <v>-17.100000000000016</v>
      </c>
    </row>
    <row r="20" spans="1:11" ht="19.5" thickBot="1" x14ac:dyDescent="0.45">
      <c r="A20" s="41" t="s">
        <v>14</v>
      </c>
      <c r="B20" s="74">
        <f>IF(B$18=0,0,C20/B$18)</f>
        <v>-8287.2727272727279</v>
      </c>
      <c r="C20" s="75">
        <v>-455800</v>
      </c>
      <c r="E20" s="34" t="s">
        <v>80</v>
      </c>
      <c r="F20" s="1" t="s">
        <v>33</v>
      </c>
      <c r="G20" s="32">
        <v>0</v>
      </c>
      <c r="H20" s="35">
        <f>IF(B$24=0,0,G20/B$24)</f>
        <v>0</v>
      </c>
      <c r="J20" s="31">
        <v>18</v>
      </c>
      <c r="K20" s="36">
        <v>-16.800000000000015</v>
      </c>
    </row>
    <row r="21" spans="1:11" ht="19.5" thickTop="1" x14ac:dyDescent="0.4">
      <c r="A21" s="47" t="s">
        <v>198</v>
      </c>
      <c r="B21" s="48">
        <v>75</v>
      </c>
      <c r="C21" s="76">
        <f>IF(B$3=0,0,B21/B$3)</f>
        <v>0.27372262773722628</v>
      </c>
      <c r="E21" s="34" t="s">
        <v>82</v>
      </c>
      <c r="F21" s="1" t="s">
        <v>35</v>
      </c>
      <c r="G21" s="32">
        <v>0</v>
      </c>
      <c r="H21" s="35">
        <f>IF(B$24=0,0,G21/B$24)</f>
        <v>0</v>
      </c>
      <c r="J21" s="31">
        <v>19</v>
      </c>
      <c r="K21" s="36">
        <v>-2.1000000000000156</v>
      </c>
    </row>
    <row r="22" spans="1:11" ht="19.5" thickBot="1" x14ac:dyDescent="0.45">
      <c r="A22" s="44" t="s">
        <v>199</v>
      </c>
      <c r="B22" s="45">
        <v>31</v>
      </c>
      <c r="C22" s="46">
        <f>IF(B$21=0,0,B22/B$21)</f>
        <v>0.41333333333333333</v>
      </c>
      <c r="E22" s="34" t="s">
        <v>83</v>
      </c>
      <c r="F22" s="1" t="s">
        <v>36</v>
      </c>
      <c r="G22" s="32">
        <v>0</v>
      </c>
      <c r="H22" s="35">
        <f>IF(B$24=0,0,G22/B$24)</f>
        <v>0</v>
      </c>
      <c r="J22" s="31">
        <v>20</v>
      </c>
      <c r="K22" s="36">
        <v>45.899999999999984</v>
      </c>
    </row>
    <row r="23" spans="1:11" ht="19.5" thickTop="1" x14ac:dyDescent="0.4">
      <c r="A23" s="25" t="s">
        <v>128</v>
      </c>
      <c r="B23" s="26">
        <v>87</v>
      </c>
      <c r="C23" s="29"/>
      <c r="E23" s="34" t="s">
        <v>86</v>
      </c>
      <c r="F23" s="1" t="s">
        <v>39</v>
      </c>
      <c r="G23" s="32">
        <v>0</v>
      </c>
      <c r="H23" s="35">
        <f>IF(B$24=0,0,G23/B$24)</f>
        <v>0</v>
      </c>
      <c r="J23" s="31">
        <v>21</v>
      </c>
      <c r="K23" s="36">
        <v>4.0999999999999872</v>
      </c>
    </row>
    <row r="24" spans="1:11" x14ac:dyDescent="0.4">
      <c r="A24" s="51" t="s">
        <v>129</v>
      </c>
      <c r="B24" s="54">
        <v>23</v>
      </c>
      <c r="C24" s="55"/>
      <c r="E24" s="34" t="s">
        <v>87</v>
      </c>
      <c r="F24" s="1" t="s">
        <v>40</v>
      </c>
      <c r="G24" s="32">
        <v>0</v>
      </c>
      <c r="H24" s="35">
        <f>IF(B$24=0,0,G24/B$24)</f>
        <v>0</v>
      </c>
      <c r="J24" s="31">
        <v>22</v>
      </c>
      <c r="K24" s="36">
        <v>-1.4000000000000128</v>
      </c>
    </row>
    <row r="25" spans="1:11" x14ac:dyDescent="0.4">
      <c r="E25" s="34" t="s">
        <v>89</v>
      </c>
      <c r="F25" s="1" t="s">
        <v>42</v>
      </c>
      <c r="G25" s="32">
        <v>0</v>
      </c>
      <c r="H25" s="35">
        <f>IF(B$24=0,0,G25/B$24)</f>
        <v>0</v>
      </c>
      <c r="J25" s="31">
        <v>23</v>
      </c>
      <c r="K25" s="36">
        <v>23.499999999999986</v>
      </c>
    </row>
    <row r="26" spans="1:11" x14ac:dyDescent="0.4">
      <c r="E26" s="34" t="s">
        <v>91</v>
      </c>
      <c r="F26" s="1" t="s">
        <v>44</v>
      </c>
      <c r="G26" s="32">
        <v>0</v>
      </c>
      <c r="H26" s="35">
        <f>IF(B$24=0,0,G26/B$24)</f>
        <v>0</v>
      </c>
      <c r="J26" s="31">
        <v>24</v>
      </c>
      <c r="K26" s="36">
        <v>9.5999999999999854</v>
      </c>
    </row>
    <row r="27" spans="1:11" x14ac:dyDescent="0.4">
      <c r="E27" s="34" t="s">
        <v>92</v>
      </c>
      <c r="F27" s="1" t="s">
        <v>45</v>
      </c>
      <c r="G27" s="32">
        <v>0</v>
      </c>
      <c r="H27" s="35">
        <f>IF(B$24=0,0,G27/B$24)</f>
        <v>0</v>
      </c>
      <c r="J27" s="31">
        <v>25</v>
      </c>
      <c r="K27" s="36">
        <v>1.2999999999999847</v>
      </c>
    </row>
    <row r="28" spans="1:11" x14ac:dyDescent="0.4">
      <c r="E28" s="34" t="s">
        <v>94</v>
      </c>
      <c r="F28" s="1" t="s">
        <v>47</v>
      </c>
      <c r="G28" s="32">
        <v>0</v>
      </c>
      <c r="H28" s="35">
        <f>IF(B$24=0,0,G28/B$24)</f>
        <v>0</v>
      </c>
      <c r="J28" s="31">
        <v>26</v>
      </c>
      <c r="K28" s="36">
        <v>-9.7000000000000153</v>
      </c>
    </row>
    <row r="29" spans="1:11" x14ac:dyDescent="0.4">
      <c r="E29" s="34" t="s">
        <v>95</v>
      </c>
      <c r="F29" s="1" t="s">
        <v>48</v>
      </c>
      <c r="G29" s="32">
        <v>0</v>
      </c>
      <c r="H29" s="35">
        <f>IF(B$24=0,0,G29/B$24)</f>
        <v>0</v>
      </c>
      <c r="J29" s="31">
        <v>27</v>
      </c>
      <c r="K29" s="36">
        <v>-31.600000000000016</v>
      </c>
    </row>
    <row r="30" spans="1:11" x14ac:dyDescent="0.4">
      <c r="E30" s="34" t="s">
        <v>97</v>
      </c>
      <c r="F30" s="1" t="s">
        <v>50</v>
      </c>
      <c r="G30" s="32">
        <v>0</v>
      </c>
      <c r="H30" s="35">
        <f>IF(B$24=0,0,G30/B$24)</f>
        <v>0</v>
      </c>
      <c r="J30" s="31">
        <v>28</v>
      </c>
      <c r="K30" s="36">
        <v>-25.500000000000014</v>
      </c>
    </row>
    <row r="31" spans="1:11" x14ac:dyDescent="0.4">
      <c r="E31" s="34" t="s">
        <v>98</v>
      </c>
      <c r="F31" s="1" t="s">
        <v>51</v>
      </c>
      <c r="G31" s="32">
        <v>0</v>
      </c>
      <c r="H31" s="35">
        <f>IF(B$24=0,0,G31/B$24)</f>
        <v>0</v>
      </c>
      <c r="J31" s="31">
        <v>29</v>
      </c>
      <c r="K31" s="36">
        <v>-24.900000000000013</v>
      </c>
    </row>
    <row r="32" spans="1:11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  <c r="J32" s="31">
        <v>30</v>
      </c>
      <c r="K32" s="36">
        <v>15.29999999999999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  <c r="J33" s="31">
        <v>31</v>
      </c>
      <c r="K33" s="36">
        <v>-20.400000000000013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  <c r="J34" s="31">
        <v>32</v>
      </c>
      <c r="K34" s="36">
        <v>-36.400000000000013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  <c r="J35" s="31">
        <v>33</v>
      </c>
      <c r="K35" s="36">
        <v>-42.20000000000001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  <c r="J36" s="31">
        <v>34</v>
      </c>
      <c r="K36" s="36">
        <v>-94.100000000000009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  <c r="J37" s="31">
        <v>35</v>
      </c>
      <c r="K37" s="36">
        <v>-106.10000000000001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336B9-C94E-4FFB-B36B-D994FB71112A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9" t="s">
        <v>193</v>
      </c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44</v>
      </c>
      <c r="C2" s="27"/>
      <c r="E2" s="28" t="s">
        <v>71</v>
      </c>
      <c r="F2" s="10" t="s">
        <v>25</v>
      </c>
      <c r="G2" s="26">
        <v>68</v>
      </c>
      <c r="H2" s="29">
        <f>IF(B$24=0,0,G2/B$24)</f>
        <v>1.0303030303030303</v>
      </c>
      <c r="J2" s="25">
        <v>0</v>
      </c>
      <c r="K2" s="30">
        <v>0</v>
      </c>
    </row>
    <row r="3" spans="1:11" x14ac:dyDescent="0.4">
      <c r="A3" s="31" t="s">
        <v>8</v>
      </c>
      <c r="B3" s="32">
        <v>331</v>
      </c>
      <c r="C3" s="33"/>
      <c r="E3" s="34" t="s">
        <v>73</v>
      </c>
      <c r="F3" s="1" t="s">
        <v>27</v>
      </c>
      <c r="G3" s="32">
        <v>59</v>
      </c>
      <c r="H3" s="35">
        <f>IF(B$24=0,0,G3/B$24)</f>
        <v>0.89393939393939392</v>
      </c>
      <c r="J3" s="31">
        <v>1</v>
      </c>
      <c r="K3" s="36">
        <v>-36.700000000000003</v>
      </c>
    </row>
    <row r="4" spans="1:11" x14ac:dyDescent="0.4">
      <c r="A4" s="31" t="s">
        <v>6</v>
      </c>
      <c r="B4" s="37">
        <v>193.79999999999995</v>
      </c>
      <c r="C4" s="36"/>
      <c r="E4" s="34" t="s">
        <v>69</v>
      </c>
      <c r="F4" s="1" t="s">
        <v>23</v>
      </c>
      <c r="G4" s="32">
        <v>40</v>
      </c>
      <c r="H4" s="35">
        <f>IF(B$24=0,0,G4/B$24)</f>
        <v>0.60606060606060608</v>
      </c>
      <c r="J4" s="31">
        <v>2</v>
      </c>
      <c r="K4" s="36">
        <v>-45.300000000000004</v>
      </c>
    </row>
    <row r="5" spans="1:11" x14ac:dyDescent="0.4">
      <c r="A5" s="31" t="s">
        <v>7</v>
      </c>
      <c r="B5" s="37">
        <f>IF(B$2=0,0,B$4/B$2)</f>
        <v>4.4045454545454534</v>
      </c>
      <c r="C5" s="38"/>
      <c r="E5" s="34" t="s">
        <v>78</v>
      </c>
      <c r="F5" s="1" t="s">
        <v>31</v>
      </c>
      <c r="G5" s="32">
        <v>40</v>
      </c>
      <c r="H5" s="35">
        <f>IF(B$24=0,0,G5/B$24)</f>
        <v>0.60606060606060608</v>
      </c>
      <c r="J5" s="31">
        <v>3</v>
      </c>
      <c r="K5" s="36">
        <v>-81.7</v>
      </c>
    </row>
    <row r="6" spans="1:11" x14ac:dyDescent="0.4">
      <c r="A6" s="31" t="s">
        <v>1</v>
      </c>
      <c r="B6" s="39">
        <f>IF(B$2=0,0,(B$7*1+B$8*2+B$9*3)/B$2)</f>
        <v>1.8863636363636365</v>
      </c>
      <c r="C6" s="40"/>
      <c r="E6" s="34" t="s">
        <v>72</v>
      </c>
      <c r="F6" s="1" t="s">
        <v>26</v>
      </c>
      <c r="G6" s="32">
        <v>22</v>
      </c>
      <c r="H6" s="35">
        <f>IF(B$24=0,0,G6/B$24)</f>
        <v>0.33333333333333331</v>
      </c>
      <c r="J6" s="31">
        <v>4</v>
      </c>
      <c r="K6" s="36">
        <v>-113.80000000000001</v>
      </c>
    </row>
    <row r="7" spans="1:11" x14ac:dyDescent="0.4">
      <c r="A7" s="31" t="s">
        <v>2</v>
      </c>
      <c r="B7" s="32">
        <v>18</v>
      </c>
      <c r="C7" s="35">
        <f>IF(B$2=0,0,B7/B$2)</f>
        <v>0.40909090909090912</v>
      </c>
      <c r="E7" s="34" t="s">
        <v>74</v>
      </c>
      <c r="F7" s="1" t="s">
        <v>12</v>
      </c>
      <c r="G7" s="32">
        <v>20</v>
      </c>
      <c r="H7" s="35">
        <f>IF(B$24=0,0,G7/B$24)</f>
        <v>0.30303030303030304</v>
      </c>
      <c r="J7" s="31">
        <v>5</v>
      </c>
      <c r="K7" s="36">
        <v>-135.80000000000001</v>
      </c>
    </row>
    <row r="8" spans="1:11" x14ac:dyDescent="0.4">
      <c r="A8" s="31" t="s">
        <v>3</v>
      </c>
      <c r="B8" s="32">
        <v>13</v>
      </c>
      <c r="C8" s="35">
        <f t="shared" ref="C8:C9" si="0">IF(B$2=0,0,B8/B$2)</f>
        <v>0.29545454545454547</v>
      </c>
      <c r="E8" s="34" t="s">
        <v>75</v>
      </c>
      <c r="F8" s="1" t="s">
        <v>28</v>
      </c>
      <c r="G8" s="32">
        <v>11</v>
      </c>
      <c r="H8" s="35">
        <f>IF(B$24=0,0,G8/B$24)</f>
        <v>0.16666666666666666</v>
      </c>
      <c r="J8" s="31">
        <v>6</v>
      </c>
      <c r="K8" s="36">
        <v>-100.30000000000001</v>
      </c>
    </row>
    <row r="9" spans="1:11" x14ac:dyDescent="0.4">
      <c r="A9" s="41" t="s">
        <v>4</v>
      </c>
      <c r="B9" s="42">
        <v>13</v>
      </c>
      <c r="C9" s="43">
        <f t="shared" si="0"/>
        <v>0.29545454545454547</v>
      </c>
      <c r="E9" s="34" t="s">
        <v>96</v>
      </c>
      <c r="F9" s="1" t="s">
        <v>49</v>
      </c>
      <c r="G9" s="32">
        <v>10</v>
      </c>
      <c r="H9" s="35">
        <f>IF(B$24=0,0,G9/B$24)</f>
        <v>0.15151515151515152</v>
      </c>
      <c r="J9" s="31">
        <v>7</v>
      </c>
      <c r="K9" s="36">
        <v>-105.70000000000002</v>
      </c>
    </row>
    <row r="10" spans="1:11" ht="19.5" thickBot="1" x14ac:dyDescent="0.45">
      <c r="A10" s="44" t="s">
        <v>21</v>
      </c>
      <c r="B10" s="45">
        <v>7</v>
      </c>
      <c r="C10" s="46">
        <f>IF(B$2=0,0,B10/B$2)</f>
        <v>0.15909090909090909</v>
      </c>
      <c r="E10" s="34" t="s">
        <v>70</v>
      </c>
      <c r="F10" s="1" t="s">
        <v>24</v>
      </c>
      <c r="G10" s="32">
        <v>7</v>
      </c>
      <c r="H10" s="35">
        <f>IF(B$24=0,0,G10/B$24)</f>
        <v>0.10606060606060606</v>
      </c>
      <c r="J10" s="31">
        <v>8</v>
      </c>
      <c r="K10" s="36">
        <v>-51.800000000000018</v>
      </c>
    </row>
    <row r="11" spans="1:11" ht="19.5" thickTop="1" x14ac:dyDescent="0.4">
      <c r="A11" s="59" t="s">
        <v>130</v>
      </c>
      <c r="B11" s="60">
        <v>67</v>
      </c>
      <c r="C11" s="61">
        <f>IF(B$23=0,0,B11/B$23)</f>
        <v>0.3383838383838384</v>
      </c>
      <c r="E11" s="34" t="s">
        <v>76</v>
      </c>
      <c r="F11" s="1" t="s">
        <v>29</v>
      </c>
      <c r="G11" s="32">
        <v>6</v>
      </c>
      <c r="H11" s="35">
        <f>IF(B$24=0,0,G11/B$24)</f>
        <v>9.0909090909090912E-2</v>
      </c>
      <c r="J11" s="31">
        <v>9</v>
      </c>
      <c r="K11" s="36">
        <v>-53.000000000000021</v>
      </c>
    </row>
    <row r="12" spans="1:11" x14ac:dyDescent="0.4">
      <c r="A12" s="31" t="s">
        <v>125</v>
      </c>
      <c r="B12" s="32">
        <v>50</v>
      </c>
      <c r="C12" s="35">
        <f>IF(B$23=0,0,B12/B$23)</f>
        <v>0.25252525252525254</v>
      </c>
      <c r="E12" s="34" t="s">
        <v>77</v>
      </c>
      <c r="F12" s="1" t="s">
        <v>30</v>
      </c>
      <c r="G12" s="32">
        <v>5</v>
      </c>
      <c r="H12" s="35">
        <f>IF(B$24=0,0,G12/B$24)</f>
        <v>7.575757575757576E-2</v>
      </c>
      <c r="J12" s="31">
        <v>10</v>
      </c>
      <c r="K12" s="36">
        <v>-72.300000000000026</v>
      </c>
    </row>
    <row r="13" spans="1:11" x14ac:dyDescent="0.4">
      <c r="A13" s="25" t="s">
        <v>132</v>
      </c>
      <c r="B13" s="26">
        <v>41</v>
      </c>
      <c r="C13" s="29">
        <f>IF(B$11=0,0,B13/B$11)</f>
        <v>0.61194029850746268</v>
      </c>
      <c r="E13" s="34" t="s">
        <v>93</v>
      </c>
      <c r="F13" s="1" t="s">
        <v>46</v>
      </c>
      <c r="G13" s="32">
        <v>5</v>
      </c>
      <c r="H13" s="35">
        <f>IF(B$24=0,0,G13/B$24)</f>
        <v>7.575757575757576E-2</v>
      </c>
      <c r="J13" s="31">
        <v>11</v>
      </c>
      <c r="K13" s="36">
        <v>-91.600000000000023</v>
      </c>
    </row>
    <row r="14" spans="1:11" x14ac:dyDescent="0.4">
      <c r="A14" s="25" t="s">
        <v>133</v>
      </c>
      <c r="B14" s="26">
        <v>19</v>
      </c>
      <c r="C14" s="29">
        <f>IF(B$12=0,0,B14/B$12)</f>
        <v>0.38</v>
      </c>
      <c r="E14" s="34" t="s">
        <v>84</v>
      </c>
      <c r="F14" s="1" t="s">
        <v>37</v>
      </c>
      <c r="G14" s="32">
        <v>2</v>
      </c>
      <c r="H14" s="35">
        <f>IF(B$24=0,0,G14/B$24)</f>
        <v>3.0303030303030304E-2</v>
      </c>
      <c r="J14" s="31">
        <v>12</v>
      </c>
      <c r="K14" s="36">
        <v>-88.600000000000023</v>
      </c>
    </row>
    <row r="15" spans="1:11" x14ac:dyDescent="0.4">
      <c r="A15" s="25" t="s">
        <v>10</v>
      </c>
      <c r="B15" s="26">
        <f>B16+B17</f>
        <v>104</v>
      </c>
      <c r="C15" s="29">
        <f>IF(B$3=0,0,B15/B$3)</f>
        <v>0.31419939577039274</v>
      </c>
      <c r="E15" s="34" t="s">
        <v>80</v>
      </c>
      <c r="F15" s="1" t="s">
        <v>33</v>
      </c>
      <c r="G15" s="32">
        <v>1</v>
      </c>
      <c r="H15" s="35">
        <f>IF(B$24=0,0,G15/B$24)</f>
        <v>1.5151515151515152E-2</v>
      </c>
      <c r="J15" s="31">
        <v>13</v>
      </c>
      <c r="K15" s="36">
        <v>-73.100000000000023</v>
      </c>
    </row>
    <row r="16" spans="1:11" x14ac:dyDescent="0.4">
      <c r="A16" s="31" t="s">
        <v>11</v>
      </c>
      <c r="B16" s="32">
        <v>62</v>
      </c>
      <c r="C16" s="35">
        <f>IF(B$3=0,0,B16/B$3)</f>
        <v>0.18731117824773413</v>
      </c>
      <c r="E16" s="34" t="s">
        <v>88</v>
      </c>
      <c r="F16" s="1" t="s">
        <v>41</v>
      </c>
      <c r="G16" s="32">
        <v>1</v>
      </c>
      <c r="H16" s="35">
        <f>IF(B$24=0,0,G16/B$24)</f>
        <v>1.5151515151515152E-2</v>
      </c>
      <c r="J16" s="31">
        <v>14</v>
      </c>
      <c r="K16" s="36">
        <v>-62.000000000000021</v>
      </c>
    </row>
    <row r="17" spans="1:11" x14ac:dyDescent="0.4">
      <c r="A17" s="31" t="s">
        <v>12</v>
      </c>
      <c r="B17" s="32">
        <v>42</v>
      </c>
      <c r="C17" s="35">
        <f>IF(B$3=0,0,B17/B$3)</f>
        <v>0.12688821752265861</v>
      </c>
      <c r="E17" s="34" t="s">
        <v>90</v>
      </c>
      <c r="F17" s="1" t="s">
        <v>43</v>
      </c>
      <c r="G17" s="32">
        <v>1</v>
      </c>
      <c r="H17" s="35">
        <f>IF(B$24=0,0,G17/B$24)</f>
        <v>1.5151515151515152E-2</v>
      </c>
      <c r="J17" s="31">
        <v>15</v>
      </c>
      <c r="K17" s="36">
        <v>-69.200000000000017</v>
      </c>
    </row>
    <row r="18" spans="1:11" x14ac:dyDescent="0.4">
      <c r="A18" s="31" t="s">
        <v>13</v>
      </c>
      <c r="B18" s="32">
        <v>52</v>
      </c>
      <c r="C18" s="35">
        <f>IF(B$3=0,0,B18/B$3)</f>
        <v>0.15709969788519637</v>
      </c>
      <c r="E18" s="34" t="s">
        <v>98</v>
      </c>
      <c r="F18" s="1" t="s">
        <v>51</v>
      </c>
      <c r="G18" s="32">
        <v>1</v>
      </c>
      <c r="H18" s="35">
        <f>IF(B$24=0,0,G18/B$24)</f>
        <v>1.5151515151515152E-2</v>
      </c>
      <c r="J18" s="31">
        <v>16</v>
      </c>
      <c r="K18" s="36">
        <v>5.0999999999999801</v>
      </c>
    </row>
    <row r="19" spans="1:11" x14ac:dyDescent="0.4">
      <c r="A19" s="31" t="s">
        <v>5</v>
      </c>
      <c r="B19" s="49">
        <f>IF(B$15=0,0,C19/B$15)</f>
        <v>11229.807692307691</v>
      </c>
      <c r="C19" s="50">
        <v>1167900</v>
      </c>
      <c r="E19" s="34" t="s">
        <v>79</v>
      </c>
      <c r="F19" s="1" t="s">
        <v>32</v>
      </c>
      <c r="G19" s="32">
        <v>0</v>
      </c>
      <c r="H19" s="35">
        <f>IF(B$24=0,0,G19/B$24)</f>
        <v>0</v>
      </c>
      <c r="J19" s="31">
        <v>17</v>
      </c>
      <c r="K19" s="36">
        <v>40.09999999999998</v>
      </c>
    </row>
    <row r="20" spans="1:11" ht="19.5" thickBot="1" x14ac:dyDescent="0.45">
      <c r="A20" s="41" t="s">
        <v>14</v>
      </c>
      <c r="B20" s="74">
        <f>IF(B$18=0,0,C20/B$18)</f>
        <v>-9665.3846153846152</v>
      </c>
      <c r="C20" s="75">
        <v>-502600</v>
      </c>
      <c r="E20" s="34" t="s">
        <v>81</v>
      </c>
      <c r="F20" s="1" t="s">
        <v>34</v>
      </c>
      <c r="G20" s="32">
        <v>0</v>
      </c>
      <c r="H20" s="35">
        <f>IF(B$24=0,0,G20/B$24)</f>
        <v>0</v>
      </c>
      <c r="J20" s="31">
        <v>18</v>
      </c>
      <c r="K20" s="36">
        <v>39.799999999999983</v>
      </c>
    </row>
    <row r="21" spans="1:11" ht="19.5" thickTop="1" x14ac:dyDescent="0.4">
      <c r="A21" s="47" t="s">
        <v>198</v>
      </c>
      <c r="B21" s="48">
        <v>124</v>
      </c>
      <c r="C21" s="76">
        <f>IF(B$3=0,0,B21/B$3)</f>
        <v>0.37462235649546827</v>
      </c>
      <c r="E21" s="34" t="s">
        <v>82</v>
      </c>
      <c r="F21" s="1" t="s">
        <v>35</v>
      </c>
      <c r="G21" s="32">
        <v>0</v>
      </c>
      <c r="H21" s="35">
        <f>IF(B$24=0,0,G21/B$24)</f>
        <v>0</v>
      </c>
      <c r="J21" s="31">
        <v>19</v>
      </c>
      <c r="K21" s="36">
        <v>103.79999999999998</v>
      </c>
    </row>
    <row r="22" spans="1:11" ht="19.5" thickBot="1" x14ac:dyDescent="0.45">
      <c r="A22" s="44" t="s">
        <v>199</v>
      </c>
      <c r="B22" s="45">
        <v>52</v>
      </c>
      <c r="C22" s="46">
        <f>IF(B$21=0,0,B22/B$21)</f>
        <v>0.41935483870967744</v>
      </c>
      <c r="E22" s="34" t="s">
        <v>83</v>
      </c>
      <c r="F22" s="1" t="s">
        <v>36</v>
      </c>
      <c r="G22" s="32">
        <v>0</v>
      </c>
      <c r="H22" s="35">
        <f>IF(B$24=0,0,G22/B$24)</f>
        <v>0</v>
      </c>
      <c r="J22" s="31">
        <v>20</v>
      </c>
      <c r="K22" s="36">
        <v>106.89999999999998</v>
      </c>
    </row>
    <row r="23" spans="1:11" ht="19.5" thickTop="1" x14ac:dyDescent="0.4">
      <c r="A23" s="25" t="s">
        <v>128</v>
      </c>
      <c r="B23" s="26">
        <v>198</v>
      </c>
      <c r="C23" s="29"/>
      <c r="E23" s="34" t="s">
        <v>85</v>
      </c>
      <c r="F23" s="1" t="s">
        <v>38</v>
      </c>
      <c r="G23" s="32">
        <v>0</v>
      </c>
      <c r="H23" s="35">
        <f>IF(B$24=0,0,G23/B$24)</f>
        <v>0</v>
      </c>
      <c r="J23" s="31">
        <v>21</v>
      </c>
      <c r="K23" s="36">
        <v>108.09999999999998</v>
      </c>
    </row>
    <row r="24" spans="1:11" x14ac:dyDescent="0.4">
      <c r="A24" s="51" t="s">
        <v>129</v>
      </c>
      <c r="B24" s="54">
        <v>66</v>
      </c>
      <c r="C24" s="55"/>
      <c r="E24" s="34" t="s">
        <v>86</v>
      </c>
      <c r="F24" s="1" t="s">
        <v>39</v>
      </c>
      <c r="G24" s="32">
        <v>0</v>
      </c>
      <c r="H24" s="35">
        <f>IF(B$24=0,0,G24/B$24)</f>
        <v>0</v>
      </c>
      <c r="J24" s="31">
        <v>22</v>
      </c>
      <c r="K24" s="36">
        <v>110.89999999999998</v>
      </c>
    </row>
    <row r="25" spans="1:11" x14ac:dyDescent="0.4">
      <c r="E25" s="34" t="s">
        <v>87</v>
      </c>
      <c r="F25" s="1" t="s">
        <v>40</v>
      </c>
      <c r="G25" s="32">
        <v>0</v>
      </c>
      <c r="H25" s="35">
        <f>IF(B$24=0,0,G25/B$24)</f>
        <v>0</v>
      </c>
      <c r="J25" s="31">
        <v>23</v>
      </c>
      <c r="K25" s="36">
        <v>155.49999999999997</v>
      </c>
    </row>
    <row r="26" spans="1:11" x14ac:dyDescent="0.4">
      <c r="E26" s="34" t="s">
        <v>89</v>
      </c>
      <c r="F26" s="1" t="s">
        <v>42</v>
      </c>
      <c r="G26" s="32">
        <v>0</v>
      </c>
      <c r="H26" s="35">
        <f>IF(B$24=0,0,G26/B$24)</f>
        <v>0</v>
      </c>
      <c r="J26" s="31">
        <v>24</v>
      </c>
      <c r="K26" s="36">
        <v>154.09999999999997</v>
      </c>
    </row>
    <row r="27" spans="1:11" x14ac:dyDescent="0.4">
      <c r="E27" s="34" t="s">
        <v>91</v>
      </c>
      <c r="F27" s="1" t="s">
        <v>44</v>
      </c>
      <c r="G27" s="32">
        <v>0</v>
      </c>
      <c r="H27" s="35">
        <f>IF(B$24=0,0,G27/B$24)</f>
        <v>0</v>
      </c>
      <c r="J27" s="31">
        <v>25</v>
      </c>
      <c r="K27" s="36">
        <v>114.39999999999996</v>
      </c>
    </row>
    <row r="28" spans="1:11" x14ac:dyDescent="0.4">
      <c r="E28" s="34" t="s">
        <v>92</v>
      </c>
      <c r="F28" s="1" t="s">
        <v>45</v>
      </c>
      <c r="G28" s="32">
        <v>0</v>
      </c>
      <c r="H28" s="35">
        <f>IF(B$24=0,0,G28/B$24)</f>
        <v>0</v>
      </c>
      <c r="J28" s="31">
        <v>26</v>
      </c>
      <c r="K28" s="36">
        <v>98.599999999999966</v>
      </c>
    </row>
    <row r="29" spans="1:11" x14ac:dyDescent="0.4">
      <c r="E29" s="34" t="s">
        <v>94</v>
      </c>
      <c r="F29" s="1" t="s">
        <v>47</v>
      </c>
      <c r="G29" s="32">
        <v>0</v>
      </c>
      <c r="H29" s="35">
        <f>IF(B$24=0,0,G29/B$24)</f>
        <v>0</v>
      </c>
      <c r="J29" s="31">
        <v>27</v>
      </c>
      <c r="K29" s="36">
        <v>109.89999999999996</v>
      </c>
    </row>
    <row r="30" spans="1:11" x14ac:dyDescent="0.4">
      <c r="E30" s="34" t="s">
        <v>95</v>
      </c>
      <c r="F30" s="1" t="s">
        <v>48</v>
      </c>
      <c r="G30" s="32">
        <v>0</v>
      </c>
      <c r="H30" s="35">
        <f>IF(B$24=0,0,G30/B$24)</f>
        <v>0</v>
      </c>
      <c r="J30" s="31">
        <v>28</v>
      </c>
      <c r="K30" s="36">
        <v>65.899999999999963</v>
      </c>
    </row>
    <row r="31" spans="1:11" x14ac:dyDescent="0.4">
      <c r="E31" s="34" t="s">
        <v>97</v>
      </c>
      <c r="F31" s="1" t="s">
        <v>50</v>
      </c>
      <c r="G31" s="32">
        <v>0</v>
      </c>
      <c r="H31" s="35">
        <f>IF(B$24=0,0,G31/B$24)</f>
        <v>0</v>
      </c>
      <c r="J31" s="31">
        <v>29</v>
      </c>
      <c r="K31" s="36">
        <v>24.899999999999963</v>
      </c>
    </row>
    <row r="32" spans="1:11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  <c r="J32" s="31">
        <v>30</v>
      </c>
      <c r="K32" s="36">
        <v>14.099999999999962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  <c r="J33" s="31">
        <v>31</v>
      </c>
      <c r="K33" s="36">
        <v>29.69999999999996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  <c r="J34" s="31">
        <v>32</v>
      </c>
      <c r="K34" s="36">
        <v>-13.700000000000038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  <c r="J35" s="31">
        <v>33</v>
      </c>
      <c r="K35" s="36">
        <v>-13.000000000000039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  <c r="J36" s="31">
        <v>34</v>
      </c>
      <c r="K36" s="36">
        <v>-0.80000000000003979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  <c r="J37" s="31">
        <v>35</v>
      </c>
      <c r="K37" s="36">
        <v>-38.100000000000037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  <c r="J38" s="31">
        <v>36</v>
      </c>
      <c r="K38" s="36">
        <v>10.899999999999963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  <c r="J39" s="31">
        <v>37</v>
      </c>
      <c r="K39" s="36">
        <v>-2.9000000000000377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  <c r="J40" s="31">
        <v>38</v>
      </c>
      <c r="K40" s="36">
        <v>38.099999999999966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  <c r="J41" s="31">
        <v>39</v>
      </c>
      <c r="K41" s="36">
        <v>34.699999999999967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  <c r="J42" s="31">
        <v>40</v>
      </c>
      <c r="K42" s="36">
        <v>106.29999999999995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  <c r="J43" s="31">
        <v>41</v>
      </c>
      <c r="K43" s="36">
        <v>137.79999999999995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  <c r="J44" s="31">
        <v>42</v>
      </c>
      <c r="K44" s="36">
        <v>173.19999999999996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  <c r="J45" s="31">
        <v>43</v>
      </c>
      <c r="K45" s="36">
        <v>184.69999999999996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  <c r="J46" s="31">
        <v>44</v>
      </c>
      <c r="K46" s="36">
        <v>193.79999999999995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9AB5-9E4F-4E0D-904F-E041592EEC13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9" t="s">
        <v>195</v>
      </c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12</v>
      </c>
      <c r="C2" s="27"/>
      <c r="E2" s="28" t="s">
        <v>69</v>
      </c>
      <c r="F2" s="10" t="s">
        <v>23</v>
      </c>
      <c r="G2" s="26">
        <v>0</v>
      </c>
      <c r="H2" s="29">
        <f>IF(B$24=0,0,G2/B$24)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82</v>
      </c>
      <c r="C3" s="33"/>
      <c r="E3" s="34" t="s">
        <v>70</v>
      </c>
      <c r="F3" s="1" t="s">
        <v>24</v>
      </c>
      <c r="G3" s="32">
        <v>0</v>
      </c>
      <c r="H3" s="35">
        <f>IF(B$24=0,0,G3/B$24)</f>
        <v>0</v>
      </c>
      <c r="J3" s="31">
        <v>1</v>
      </c>
      <c r="K3" s="36">
        <v>-14.4</v>
      </c>
    </row>
    <row r="4" spans="1:11" x14ac:dyDescent="0.4">
      <c r="A4" s="31" t="s">
        <v>6</v>
      </c>
      <c r="B4" s="37">
        <v>80.800000000000011</v>
      </c>
      <c r="C4" s="36"/>
      <c r="E4" s="34" t="s">
        <v>71</v>
      </c>
      <c r="F4" s="1" t="s">
        <v>25</v>
      </c>
      <c r="G4" s="32">
        <v>0</v>
      </c>
      <c r="H4" s="35">
        <f>IF(B$24=0,0,G4/B$24)</f>
        <v>0</v>
      </c>
      <c r="J4" s="31">
        <v>2</v>
      </c>
      <c r="K4" s="36">
        <v>37.6</v>
      </c>
    </row>
    <row r="5" spans="1:11" x14ac:dyDescent="0.4">
      <c r="A5" s="31" t="s">
        <v>7</v>
      </c>
      <c r="B5" s="37">
        <f>IF(B$2=0,0,B$4/B$2)</f>
        <v>6.7333333333333343</v>
      </c>
      <c r="C5" s="38"/>
      <c r="E5" s="34" t="s">
        <v>72</v>
      </c>
      <c r="F5" s="1" t="s">
        <v>26</v>
      </c>
      <c r="G5" s="32">
        <v>0</v>
      </c>
      <c r="H5" s="35">
        <f>IF(B$24=0,0,G5/B$24)</f>
        <v>0</v>
      </c>
      <c r="J5" s="31">
        <v>3</v>
      </c>
      <c r="K5" s="36">
        <v>-2.7999999999999972</v>
      </c>
    </row>
    <row r="6" spans="1:11" x14ac:dyDescent="0.4">
      <c r="A6" s="31" t="s">
        <v>1</v>
      </c>
      <c r="B6" s="39">
        <f>IF(B$2=0,0,(B$7*1+B$8*2+B$9*3)/B$2)</f>
        <v>1.75</v>
      </c>
      <c r="C6" s="40"/>
      <c r="E6" s="34" t="s">
        <v>73</v>
      </c>
      <c r="F6" s="1" t="s">
        <v>27</v>
      </c>
      <c r="G6" s="32">
        <v>0</v>
      </c>
      <c r="H6" s="35">
        <f>IF(B$24=0,0,G6/B$24)</f>
        <v>0</v>
      </c>
      <c r="J6" s="31">
        <v>4</v>
      </c>
      <c r="K6" s="36">
        <v>-44.3</v>
      </c>
    </row>
    <row r="7" spans="1:11" x14ac:dyDescent="0.4">
      <c r="A7" s="31" t="s">
        <v>2</v>
      </c>
      <c r="B7" s="32">
        <v>6</v>
      </c>
      <c r="C7" s="35">
        <f>IF(B$2=0,0,B7/B$2)</f>
        <v>0.5</v>
      </c>
      <c r="E7" s="34" t="s">
        <v>74</v>
      </c>
      <c r="F7" s="1" t="s">
        <v>12</v>
      </c>
      <c r="G7" s="32">
        <v>0</v>
      </c>
      <c r="H7" s="35">
        <f>IF(B$24=0,0,G7/B$24)</f>
        <v>0</v>
      </c>
      <c r="J7" s="31">
        <v>5</v>
      </c>
      <c r="K7" s="36">
        <v>8.2000000000000028</v>
      </c>
    </row>
    <row r="8" spans="1:11" x14ac:dyDescent="0.4">
      <c r="A8" s="31" t="s">
        <v>3</v>
      </c>
      <c r="B8" s="32">
        <v>3</v>
      </c>
      <c r="C8" s="35">
        <f t="shared" ref="C8:C9" si="0">IF(B$2=0,0,B8/B$2)</f>
        <v>0.25</v>
      </c>
      <c r="E8" s="34" t="s">
        <v>75</v>
      </c>
      <c r="F8" s="1" t="s">
        <v>28</v>
      </c>
      <c r="G8" s="32">
        <v>0</v>
      </c>
      <c r="H8" s="35">
        <f>IF(B$24=0,0,G8/B$24)</f>
        <v>0</v>
      </c>
      <c r="J8" s="31">
        <v>6</v>
      </c>
      <c r="K8" s="36">
        <v>23.200000000000003</v>
      </c>
    </row>
    <row r="9" spans="1:11" x14ac:dyDescent="0.4">
      <c r="A9" s="41" t="s">
        <v>4</v>
      </c>
      <c r="B9" s="42">
        <v>3</v>
      </c>
      <c r="C9" s="43">
        <f t="shared" si="0"/>
        <v>0.25</v>
      </c>
      <c r="E9" s="34" t="s">
        <v>76</v>
      </c>
      <c r="F9" s="1" t="s">
        <v>29</v>
      </c>
      <c r="G9" s="32">
        <v>0</v>
      </c>
      <c r="H9" s="35">
        <f>IF(B$24=0,0,G9/B$24)</f>
        <v>0</v>
      </c>
      <c r="J9" s="31">
        <v>7</v>
      </c>
      <c r="K9" s="36">
        <v>40</v>
      </c>
    </row>
    <row r="10" spans="1:11" ht="19.5" thickBot="1" x14ac:dyDescent="0.45">
      <c r="A10" s="44" t="s">
        <v>21</v>
      </c>
      <c r="B10" s="45">
        <v>3</v>
      </c>
      <c r="C10" s="46">
        <f>IF(B$2=0,0,B10/B$2)</f>
        <v>0.25</v>
      </c>
      <c r="E10" s="34" t="s">
        <v>77</v>
      </c>
      <c r="F10" s="1" t="s">
        <v>30</v>
      </c>
      <c r="G10" s="32">
        <v>0</v>
      </c>
      <c r="H10" s="35">
        <f>IF(B$24=0,0,G10/B$24)</f>
        <v>0</v>
      </c>
      <c r="J10" s="31">
        <v>8</v>
      </c>
      <c r="K10" s="36">
        <v>4.2000000000000028</v>
      </c>
    </row>
    <row r="11" spans="1:11" ht="19.5" thickTop="1" x14ac:dyDescent="0.4">
      <c r="A11" s="59" t="s">
        <v>130</v>
      </c>
      <c r="B11" s="60">
        <v>0</v>
      </c>
      <c r="C11" s="61">
        <f>IF(B$23=0,0,B11/B$23)</f>
        <v>0</v>
      </c>
      <c r="E11" s="34" t="s">
        <v>78</v>
      </c>
      <c r="F11" s="1" t="s">
        <v>31</v>
      </c>
      <c r="G11" s="32">
        <v>0</v>
      </c>
      <c r="H11" s="35">
        <f>IF(B$24=0,0,G11/B$24)</f>
        <v>0</v>
      </c>
      <c r="J11" s="31">
        <v>9</v>
      </c>
      <c r="K11" s="36">
        <v>6.8000000000000025</v>
      </c>
    </row>
    <row r="12" spans="1:11" x14ac:dyDescent="0.4">
      <c r="A12" s="31" t="s">
        <v>125</v>
      </c>
      <c r="B12" s="32">
        <v>0</v>
      </c>
      <c r="C12" s="35">
        <f>IF(B$23=0,0,B12/B$23)</f>
        <v>0</v>
      </c>
      <c r="E12" s="34" t="s">
        <v>79</v>
      </c>
      <c r="F12" s="1" t="s">
        <v>32</v>
      </c>
      <c r="G12" s="32">
        <v>0</v>
      </c>
      <c r="H12" s="35">
        <f>IF(B$24=0,0,G12/B$24)</f>
        <v>0</v>
      </c>
      <c r="J12" s="31">
        <v>10</v>
      </c>
      <c r="K12" s="36">
        <v>56.800000000000004</v>
      </c>
    </row>
    <row r="13" spans="1:11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>IF(B$24=0,0,G13/B$24)</f>
        <v>0</v>
      </c>
      <c r="J13" s="31">
        <v>11</v>
      </c>
      <c r="K13" s="36">
        <v>69.300000000000011</v>
      </c>
    </row>
    <row r="14" spans="1:11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>IF(B$24=0,0,G14/B$24)</f>
        <v>0</v>
      </c>
      <c r="J14" s="31">
        <v>12</v>
      </c>
      <c r="K14" s="36">
        <v>80.800000000000011</v>
      </c>
    </row>
    <row r="15" spans="1:11" x14ac:dyDescent="0.4">
      <c r="A15" s="25" t="s">
        <v>10</v>
      </c>
      <c r="B15" s="26">
        <f>B16+B17</f>
        <v>28</v>
      </c>
      <c r="C15" s="29">
        <f>IF(B$3=0,0,B15/B$3)</f>
        <v>0.34146341463414637</v>
      </c>
      <c r="E15" s="34" t="s">
        <v>82</v>
      </c>
      <c r="F15" s="1" t="s">
        <v>35</v>
      </c>
      <c r="G15" s="32">
        <v>0</v>
      </c>
      <c r="H15" s="35">
        <f>IF(B$24=0,0,G15/B$24)</f>
        <v>0</v>
      </c>
    </row>
    <row r="16" spans="1:11" x14ac:dyDescent="0.4">
      <c r="A16" s="31" t="s">
        <v>11</v>
      </c>
      <c r="B16" s="32">
        <v>15</v>
      </c>
      <c r="C16" s="35">
        <f>IF(B$3=0,0,B16/B$3)</f>
        <v>0.18292682926829268</v>
      </c>
      <c r="E16" s="34" t="s">
        <v>83</v>
      </c>
      <c r="F16" s="1" t="s">
        <v>36</v>
      </c>
      <c r="G16" s="32">
        <v>0</v>
      </c>
      <c r="H16" s="35">
        <f>IF(B$24=0,0,G16/B$24)</f>
        <v>0</v>
      </c>
    </row>
    <row r="17" spans="1:8" x14ac:dyDescent="0.4">
      <c r="A17" s="31" t="s">
        <v>12</v>
      </c>
      <c r="B17" s="32">
        <v>13</v>
      </c>
      <c r="C17" s="35">
        <f>IF(B$3=0,0,B17/B$3)</f>
        <v>0.15853658536585366</v>
      </c>
      <c r="E17" s="34" t="s">
        <v>84</v>
      </c>
      <c r="F17" s="1" t="s">
        <v>37</v>
      </c>
      <c r="G17" s="32">
        <v>0</v>
      </c>
      <c r="H17" s="35">
        <f>IF(B$24=0,0,G17/B$24)</f>
        <v>0</v>
      </c>
    </row>
    <row r="18" spans="1:8" x14ac:dyDescent="0.4">
      <c r="A18" s="31" t="s">
        <v>13</v>
      </c>
      <c r="B18" s="32">
        <v>11</v>
      </c>
      <c r="C18" s="35">
        <f>IF(B$3=0,0,B18/B$3)</f>
        <v>0.13414634146341464</v>
      </c>
      <c r="E18" s="34" t="s">
        <v>85</v>
      </c>
      <c r="F18" s="1" t="s">
        <v>38</v>
      </c>
      <c r="G18" s="32">
        <v>0</v>
      </c>
      <c r="H18" s="35">
        <f>IF(B$24=0,0,G18/B$24)</f>
        <v>0</v>
      </c>
    </row>
    <row r="19" spans="1:8" x14ac:dyDescent="0.4">
      <c r="A19" s="31" t="s">
        <v>5</v>
      </c>
      <c r="B19" s="49">
        <f>IF(B$15=0,0,C19/B$15)</f>
        <v>10857.142857142857</v>
      </c>
      <c r="C19" s="50">
        <v>304000</v>
      </c>
      <c r="E19" s="34" t="s">
        <v>86</v>
      </c>
      <c r="F19" s="1" t="s">
        <v>39</v>
      </c>
      <c r="G19" s="32">
        <v>0</v>
      </c>
      <c r="H19" s="35">
        <f>IF(B$24=0,0,G19/B$24)</f>
        <v>0</v>
      </c>
    </row>
    <row r="20" spans="1:8" ht="19.5" thickBot="1" x14ac:dyDescent="0.45">
      <c r="A20" s="41" t="s">
        <v>14</v>
      </c>
      <c r="B20" s="74">
        <f>IF(B$18=0,0,C20/B$18)</f>
        <v>-9927.2727272727279</v>
      </c>
      <c r="C20" s="75">
        <v>-109200</v>
      </c>
      <c r="E20" s="34" t="s">
        <v>87</v>
      </c>
      <c r="F20" s="1" t="s">
        <v>40</v>
      </c>
      <c r="G20" s="32">
        <v>0</v>
      </c>
      <c r="H20" s="35">
        <f>IF(B$24=0,0,G20/B$24)</f>
        <v>0</v>
      </c>
    </row>
    <row r="21" spans="1:8" ht="19.5" thickTop="1" x14ac:dyDescent="0.4">
      <c r="A21" s="47" t="s">
        <v>198</v>
      </c>
      <c r="B21" s="48">
        <v>33</v>
      </c>
      <c r="C21" s="76">
        <f>IF(B$3=0,0,B21/B$3)</f>
        <v>0.40243902439024393</v>
      </c>
      <c r="E21" s="34" t="s">
        <v>88</v>
      </c>
      <c r="F21" s="1" t="s">
        <v>41</v>
      </c>
      <c r="G21" s="32">
        <v>0</v>
      </c>
      <c r="H21" s="35">
        <f>IF(B$24=0,0,G21/B$24)</f>
        <v>0</v>
      </c>
    </row>
    <row r="22" spans="1:8" ht="19.5" thickBot="1" x14ac:dyDescent="0.45">
      <c r="A22" s="44" t="s">
        <v>199</v>
      </c>
      <c r="B22" s="45">
        <v>15</v>
      </c>
      <c r="C22" s="46">
        <f>IF(B$21=0,0,B22/B$21)</f>
        <v>0.45454545454545453</v>
      </c>
      <c r="E22" s="34" t="s">
        <v>89</v>
      </c>
      <c r="F22" s="1" t="s">
        <v>42</v>
      </c>
      <c r="G22" s="32">
        <v>0</v>
      </c>
      <c r="H22" s="35">
        <f>IF(B$24=0,0,G22/B$24)</f>
        <v>0</v>
      </c>
    </row>
    <row r="23" spans="1:8" ht="19.5" thickTop="1" x14ac:dyDescent="0.4">
      <c r="A23" s="25" t="s">
        <v>128</v>
      </c>
      <c r="B23" s="26">
        <v>0</v>
      </c>
      <c r="C23" s="29"/>
      <c r="E23" s="34" t="s">
        <v>90</v>
      </c>
      <c r="F23" s="1" t="s">
        <v>43</v>
      </c>
      <c r="G23" s="32">
        <v>0</v>
      </c>
      <c r="H23" s="35">
        <f>IF(B$24=0,0,G23/B$24)</f>
        <v>0</v>
      </c>
    </row>
    <row r="24" spans="1:8" x14ac:dyDescent="0.4">
      <c r="A24" s="51" t="s">
        <v>129</v>
      </c>
      <c r="B24" s="54">
        <v>0</v>
      </c>
      <c r="C24" s="55"/>
      <c r="E24" s="34" t="s">
        <v>91</v>
      </c>
      <c r="F24" s="1" t="s">
        <v>44</v>
      </c>
      <c r="G24" s="32">
        <v>0</v>
      </c>
      <c r="H24" s="35">
        <f>IF(B$24=0,0,G24/B$24)</f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>IF(B$24=0,0,G25/B$24)</f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>IF(B$24=0,0,G26/B$24)</f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>IF(B$24=0,0,G27/B$24)</f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>IF(B$24=0,0,G28/B$24)</f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>IF(B$24=0,0,G29/B$24)</f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>IF(B$24=0,0,G30/B$24)</f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>IF(B$24=0,0,G31/B$24)</f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B390B-001C-46A2-9180-1ECBFBB152E3}">
  <sheetPr codeName="Sheet13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9" t="s">
        <v>196</v>
      </c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25</v>
      </c>
      <c r="C2" s="27"/>
      <c r="E2" s="28" t="s">
        <v>73</v>
      </c>
      <c r="F2" s="10" t="s">
        <v>27</v>
      </c>
      <c r="G2" s="26">
        <v>41</v>
      </c>
      <c r="H2" s="29">
        <f>IF(B$24=0,0,G2/B$24)</f>
        <v>0.93181818181818177</v>
      </c>
      <c r="J2" s="25">
        <v>0</v>
      </c>
      <c r="K2" s="30">
        <v>0</v>
      </c>
    </row>
    <row r="3" spans="1:11" x14ac:dyDescent="0.4">
      <c r="A3" s="31" t="s">
        <v>8</v>
      </c>
      <c r="B3" s="32">
        <v>198</v>
      </c>
      <c r="C3" s="33"/>
      <c r="E3" s="34" t="s">
        <v>78</v>
      </c>
      <c r="F3" s="1" t="s">
        <v>31</v>
      </c>
      <c r="G3" s="32">
        <v>38</v>
      </c>
      <c r="H3" s="35">
        <f>IF(B$24=0,0,G3/B$24)</f>
        <v>0.86363636363636365</v>
      </c>
      <c r="J3" s="31">
        <v>1</v>
      </c>
      <c r="K3" s="36">
        <v>3.9</v>
      </c>
    </row>
    <row r="4" spans="1:11" x14ac:dyDescent="0.4">
      <c r="A4" s="31" t="s">
        <v>6</v>
      </c>
      <c r="B4" s="37">
        <v>-216.89999999999998</v>
      </c>
      <c r="C4" s="36"/>
      <c r="E4" s="34" t="s">
        <v>71</v>
      </c>
      <c r="F4" s="1" t="s">
        <v>25</v>
      </c>
      <c r="G4" s="32">
        <v>27</v>
      </c>
      <c r="H4" s="35">
        <f>IF(B$24=0,0,G4/B$24)</f>
        <v>0.61363636363636365</v>
      </c>
      <c r="J4" s="31">
        <v>2</v>
      </c>
      <c r="K4" s="36">
        <v>-33.9</v>
      </c>
    </row>
    <row r="5" spans="1:11" x14ac:dyDescent="0.4">
      <c r="A5" s="31" t="s">
        <v>7</v>
      </c>
      <c r="B5" s="37">
        <f>IF(B$2=0,0,B$4/B$2)</f>
        <v>-8.6759999999999984</v>
      </c>
      <c r="C5" s="38"/>
      <c r="E5" s="34" t="s">
        <v>69</v>
      </c>
      <c r="F5" s="1" t="s">
        <v>23</v>
      </c>
      <c r="G5" s="32">
        <v>23</v>
      </c>
      <c r="H5" s="35">
        <f>IF(B$24=0,0,G5/B$24)</f>
        <v>0.52272727272727271</v>
      </c>
      <c r="J5" s="31">
        <v>3</v>
      </c>
      <c r="K5" s="36">
        <v>-70.099999999999994</v>
      </c>
    </row>
    <row r="6" spans="1:11" x14ac:dyDescent="0.4">
      <c r="A6" s="31" t="s">
        <v>1</v>
      </c>
      <c r="B6" s="39">
        <f>IF(B$2=0,0,(B$7*1+B$8*2+B$9*3)/B$2)</f>
        <v>2.2799999999999998</v>
      </c>
      <c r="C6" s="40"/>
      <c r="E6" s="34" t="s">
        <v>74</v>
      </c>
      <c r="F6" s="1" t="s">
        <v>12</v>
      </c>
      <c r="G6" s="32">
        <v>17</v>
      </c>
      <c r="H6" s="35">
        <f>IF(B$24=0,0,G6/B$24)</f>
        <v>0.38636363636363635</v>
      </c>
      <c r="J6" s="31">
        <v>4</v>
      </c>
      <c r="K6" s="36">
        <v>-35.099999999999994</v>
      </c>
    </row>
    <row r="7" spans="1:11" x14ac:dyDescent="0.4">
      <c r="A7" s="31" t="s">
        <v>2</v>
      </c>
      <c r="B7" s="32">
        <v>6</v>
      </c>
      <c r="C7" s="35">
        <f>IF(B$2=0,0,B7/B$2)</f>
        <v>0.24</v>
      </c>
      <c r="E7" s="34" t="s">
        <v>72</v>
      </c>
      <c r="F7" s="1" t="s">
        <v>26</v>
      </c>
      <c r="G7" s="32">
        <v>14</v>
      </c>
      <c r="H7" s="35">
        <f>IF(B$24=0,0,G7/B$24)</f>
        <v>0.31818181818181818</v>
      </c>
      <c r="J7" s="31">
        <v>5</v>
      </c>
      <c r="K7" s="36">
        <v>-80.099999999999994</v>
      </c>
    </row>
    <row r="8" spans="1:11" x14ac:dyDescent="0.4">
      <c r="A8" s="31" t="s">
        <v>3</v>
      </c>
      <c r="B8" s="32">
        <v>6</v>
      </c>
      <c r="C8" s="35">
        <f t="shared" ref="C8:C9" si="0">IF(B$2=0,0,B8/B$2)</f>
        <v>0.24</v>
      </c>
      <c r="E8" s="34" t="s">
        <v>96</v>
      </c>
      <c r="F8" s="1" t="s">
        <v>49</v>
      </c>
      <c r="G8" s="32">
        <v>8</v>
      </c>
      <c r="H8" s="35">
        <f>IF(B$24=0,0,G8/B$24)</f>
        <v>0.18181818181818182</v>
      </c>
      <c r="J8" s="31">
        <v>6</v>
      </c>
      <c r="K8" s="36">
        <v>-116.1</v>
      </c>
    </row>
    <row r="9" spans="1:11" x14ac:dyDescent="0.4">
      <c r="A9" s="41" t="s">
        <v>4</v>
      </c>
      <c r="B9" s="42">
        <v>13</v>
      </c>
      <c r="C9" s="43">
        <f t="shared" si="0"/>
        <v>0.52</v>
      </c>
      <c r="E9" s="34" t="s">
        <v>75</v>
      </c>
      <c r="F9" s="1" t="s">
        <v>28</v>
      </c>
      <c r="G9" s="32">
        <v>7</v>
      </c>
      <c r="H9" s="35">
        <f>IF(B$24=0,0,G9/B$24)</f>
        <v>0.15909090909090909</v>
      </c>
      <c r="J9" s="31">
        <v>7</v>
      </c>
      <c r="K9" s="36">
        <v>-147.4</v>
      </c>
    </row>
    <row r="10" spans="1:11" ht="19.5" thickBot="1" x14ac:dyDescent="0.45">
      <c r="A10" s="44" t="s">
        <v>21</v>
      </c>
      <c r="B10" s="45">
        <v>7</v>
      </c>
      <c r="C10" s="46">
        <f>IF(B$2=0,0,B10/B$2)</f>
        <v>0.28000000000000003</v>
      </c>
      <c r="E10" s="34" t="s">
        <v>76</v>
      </c>
      <c r="F10" s="1" t="s">
        <v>29</v>
      </c>
      <c r="G10" s="32">
        <v>4</v>
      </c>
      <c r="H10" s="35">
        <f>IF(B$24=0,0,G10/B$24)</f>
        <v>9.0909090909090912E-2</v>
      </c>
      <c r="J10" s="31">
        <v>8</v>
      </c>
      <c r="K10" s="36">
        <v>-146</v>
      </c>
    </row>
    <row r="11" spans="1:11" ht="19.5" thickTop="1" x14ac:dyDescent="0.4">
      <c r="A11" s="59" t="s">
        <v>130</v>
      </c>
      <c r="B11" s="60">
        <v>39</v>
      </c>
      <c r="C11" s="61">
        <f>IF(B$23=0,0,B11/B$23)</f>
        <v>0.24223602484472051</v>
      </c>
      <c r="E11" s="34" t="s">
        <v>84</v>
      </c>
      <c r="F11" s="1" t="s">
        <v>37</v>
      </c>
      <c r="G11" s="32">
        <v>4</v>
      </c>
      <c r="H11" s="35">
        <f>IF(B$24=0,0,G11/B$24)</f>
        <v>9.0909090909090912E-2</v>
      </c>
      <c r="J11" s="31">
        <v>9</v>
      </c>
      <c r="K11" s="36">
        <v>-173</v>
      </c>
    </row>
    <row r="12" spans="1:11" x14ac:dyDescent="0.4">
      <c r="A12" s="31" t="s">
        <v>125</v>
      </c>
      <c r="B12" s="32">
        <v>37</v>
      </c>
      <c r="C12" s="35">
        <f>IF(B$23=0,0,B12/B$23)</f>
        <v>0.22981366459627328</v>
      </c>
      <c r="E12" s="34" t="s">
        <v>70</v>
      </c>
      <c r="F12" s="1" t="s">
        <v>24</v>
      </c>
      <c r="G12" s="32">
        <v>3</v>
      </c>
      <c r="H12" s="35">
        <f>IF(B$24=0,0,G12/B$24)</f>
        <v>6.8181818181818177E-2</v>
      </c>
      <c r="J12" s="31">
        <v>10</v>
      </c>
      <c r="K12" s="36">
        <v>-206.1</v>
      </c>
    </row>
    <row r="13" spans="1:11" x14ac:dyDescent="0.4">
      <c r="A13" s="25" t="s">
        <v>132</v>
      </c>
      <c r="B13" s="26">
        <v>24</v>
      </c>
      <c r="C13" s="29">
        <f>IF(B$11=0,0,B13/B$11)</f>
        <v>0.61538461538461542</v>
      </c>
      <c r="E13" s="34" t="s">
        <v>79</v>
      </c>
      <c r="F13" s="1" t="s">
        <v>32</v>
      </c>
      <c r="G13" s="32">
        <v>2</v>
      </c>
      <c r="H13" s="35">
        <f>IF(B$24=0,0,G13/B$24)</f>
        <v>4.5454545454545456E-2</v>
      </c>
      <c r="J13" s="31">
        <v>11</v>
      </c>
      <c r="K13" s="36">
        <v>-174</v>
      </c>
    </row>
    <row r="14" spans="1:11" x14ac:dyDescent="0.4">
      <c r="A14" s="25" t="s">
        <v>133</v>
      </c>
      <c r="B14" s="26">
        <v>14</v>
      </c>
      <c r="C14" s="29">
        <f>IF(B$12=0,0,B14/B$12)</f>
        <v>0.3783783783783784</v>
      </c>
      <c r="E14" s="34" t="s">
        <v>90</v>
      </c>
      <c r="F14" s="1" t="s">
        <v>43</v>
      </c>
      <c r="G14" s="32">
        <v>2</v>
      </c>
      <c r="H14" s="35">
        <f>IF(B$24=0,0,G14/B$24)</f>
        <v>4.5454545454545456E-2</v>
      </c>
      <c r="J14" s="31">
        <v>12</v>
      </c>
      <c r="K14" s="36">
        <v>-197</v>
      </c>
    </row>
    <row r="15" spans="1:11" x14ac:dyDescent="0.4">
      <c r="A15" s="25" t="s">
        <v>10</v>
      </c>
      <c r="B15" s="26">
        <f>B16+B17</f>
        <v>54</v>
      </c>
      <c r="C15" s="29">
        <f>IF(B$3=0,0,B15/B$3)</f>
        <v>0.27272727272727271</v>
      </c>
      <c r="E15" s="34" t="s">
        <v>81</v>
      </c>
      <c r="F15" s="1" t="s">
        <v>34</v>
      </c>
      <c r="G15" s="32">
        <v>1</v>
      </c>
      <c r="H15" s="35">
        <f>IF(B$24=0,0,G15/B$24)</f>
        <v>2.2727272727272728E-2</v>
      </c>
      <c r="J15" s="31">
        <v>13</v>
      </c>
      <c r="K15" s="36">
        <v>-235</v>
      </c>
    </row>
    <row r="16" spans="1:11" x14ac:dyDescent="0.4">
      <c r="A16" s="31" t="s">
        <v>11</v>
      </c>
      <c r="B16" s="32">
        <v>27</v>
      </c>
      <c r="C16" s="35">
        <f>IF(B$3=0,0,B16/B$3)</f>
        <v>0.13636363636363635</v>
      </c>
      <c r="E16" s="34" t="s">
        <v>88</v>
      </c>
      <c r="F16" s="1" t="s">
        <v>41</v>
      </c>
      <c r="G16" s="32">
        <v>1</v>
      </c>
      <c r="H16" s="35">
        <f>IF(B$24=0,0,G16/B$24)</f>
        <v>2.2727272727272728E-2</v>
      </c>
      <c r="J16" s="31">
        <v>14</v>
      </c>
      <c r="K16" s="36">
        <v>-231</v>
      </c>
    </row>
    <row r="17" spans="1:11" x14ac:dyDescent="0.4">
      <c r="A17" s="31" t="s">
        <v>12</v>
      </c>
      <c r="B17" s="32">
        <v>27</v>
      </c>
      <c r="C17" s="35">
        <f>IF(B$3=0,0,B17/B$3)</f>
        <v>0.13636363636363635</v>
      </c>
      <c r="E17" s="34" t="s">
        <v>93</v>
      </c>
      <c r="F17" s="1" t="s">
        <v>46</v>
      </c>
      <c r="G17" s="32">
        <v>1</v>
      </c>
      <c r="H17" s="35">
        <f>IF(B$24=0,0,G17/B$24)</f>
        <v>2.2727272727272728E-2</v>
      </c>
      <c r="J17" s="31">
        <v>15</v>
      </c>
      <c r="K17" s="36">
        <v>-212.5</v>
      </c>
    </row>
    <row r="18" spans="1:11" x14ac:dyDescent="0.4">
      <c r="A18" s="31" t="s">
        <v>13</v>
      </c>
      <c r="B18" s="32">
        <v>41</v>
      </c>
      <c r="C18" s="35">
        <f>IF(B$3=0,0,B18/B$3)</f>
        <v>0.20707070707070707</v>
      </c>
      <c r="E18" s="34" t="s">
        <v>100</v>
      </c>
      <c r="F18" s="1" t="s">
        <v>53</v>
      </c>
      <c r="G18" s="32">
        <v>1</v>
      </c>
      <c r="H18" s="35">
        <f>IF(B$24=0,0,G18/B$24)</f>
        <v>2.2727272727272728E-2</v>
      </c>
      <c r="J18" s="31">
        <v>16</v>
      </c>
      <c r="K18" s="36">
        <v>-233.2</v>
      </c>
    </row>
    <row r="19" spans="1:11" x14ac:dyDescent="0.4">
      <c r="A19" s="31" t="s">
        <v>5</v>
      </c>
      <c r="B19" s="49">
        <f>IF(B$15=0,0,C19/B$15)</f>
        <v>10729.62962962963</v>
      </c>
      <c r="C19" s="50">
        <v>579400</v>
      </c>
      <c r="E19" s="34" t="s">
        <v>77</v>
      </c>
      <c r="F19" s="1" t="s">
        <v>30</v>
      </c>
      <c r="G19" s="32">
        <v>0</v>
      </c>
      <c r="H19" s="35">
        <f>IF(B$24=0,0,G19/B$24)</f>
        <v>0</v>
      </c>
      <c r="J19" s="31">
        <v>17</v>
      </c>
      <c r="K19" s="36">
        <v>-268.7</v>
      </c>
    </row>
    <row r="20" spans="1:11" ht="19.5" thickBot="1" x14ac:dyDescent="0.45">
      <c r="A20" s="41" t="s">
        <v>14</v>
      </c>
      <c r="B20" s="74">
        <f>IF(B$18=0,0,C20/B$18)</f>
        <v>-9697.5609756097565</v>
      </c>
      <c r="C20" s="75">
        <v>-397600</v>
      </c>
      <c r="E20" s="34" t="s">
        <v>80</v>
      </c>
      <c r="F20" s="1" t="s">
        <v>33</v>
      </c>
      <c r="G20" s="32">
        <v>0</v>
      </c>
      <c r="H20" s="35">
        <f>IF(B$24=0,0,G20/B$24)</f>
        <v>0</v>
      </c>
      <c r="J20" s="31">
        <v>18</v>
      </c>
      <c r="K20" s="36">
        <v>-295.8</v>
      </c>
    </row>
    <row r="21" spans="1:11" ht="19.5" thickTop="1" x14ac:dyDescent="0.4">
      <c r="A21" s="47" t="s">
        <v>198</v>
      </c>
      <c r="B21" s="48">
        <v>59</v>
      </c>
      <c r="C21" s="76">
        <f>IF(B$3=0,0,B21/B$3)</f>
        <v>0.29797979797979796</v>
      </c>
      <c r="E21" s="34" t="s">
        <v>82</v>
      </c>
      <c r="F21" s="1" t="s">
        <v>35</v>
      </c>
      <c r="G21" s="32">
        <v>0</v>
      </c>
      <c r="H21" s="35">
        <f>IF(B$24=0,0,G21/B$24)</f>
        <v>0</v>
      </c>
      <c r="J21" s="31">
        <v>19</v>
      </c>
      <c r="K21" s="36">
        <v>-273.2</v>
      </c>
    </row>
    <row r="22" spans="1:11" ht="19.5" thickBot="1" x14ac:dyDescent="0.45">
      <c r="A22" s="44" t="s">
        <v>199</v>
      </c>
      <c r="B22" s="45">
        <v>21</v>
      </c>
      <c r="C22" s="46">
        <f>IF(B$21=0,0,B22/B$21)</f>
        <v>0.3559322033898305</v>
      </c>
      <c r="E22" s="34" t="s">
        <v>83</v>
      </c>
      <c r="F22" s="1" t="s">
        <v>36</v>
      </c>
      <c r="G22" s="32">
        <v>0</v>
      </c>
      <c r="H22" s="35">
        <f>IF(B$24=0,0,G22/B$24)</f>
        <v>0</v>
      </c>
      <c r="J22" s="31">
        <v>20</v>
      </c>
      <c r="K22" s="36">
        <v>-270</v>
      </c>
    </row>
    <row r="23" spans="1:11" ht="19.5" thickTop="1" x14ac:dyDescent="0.4">
      <c r="A23" s="25" t="s">
        <v>128</v>
      </c>
      <c r="B23" s="26">
        <v>161</v>
      </c>
      <c r="C23" s="29"/>
      <c r="E23" s="34" t="s">
        <v>85</v>
      </c>
      <c r="F23" s="1" t="s">
        <v>38</v>
      </c>
      <c r="G23" s="32">
        <v>0</v>
      </c>
      <c r="H23" s="35">
        <f>IF(B$24=0,0,G23/B$24)</f>
        <v>0</v>
      </c>
      <c r="J23" s="31">
        <v>21</v>
      </c>
      <c r="K23" s="36">
        <v>-242</v>
      </c>
    </row>
    <row r="24" spans="1:11" x14ac:dyDescent="0.4">
      <c r="A24" s="51" t="s">
        <v>129</v>
      </c>
      <c r="B24" s="54">
        <v>44</v>
      </c>
      <c r="C24" s="55"/>
      <c r="E24" s="34" t="s">
        <v>86</v>
      </c>
      <c r="F24" s="1" t="s">
        <v>39</v>
      </c>
      <c r="G24" s="32">
        <v>0</v>
      </c>
      <c r="H24" s="35">
        <f>IF(B$24=0,0,G24/B$24)</f>
        <v>0</v>
      </c>
      <c r="J24" s="31">
        <v>22</v>
      </c>
      <c r="K24" s="36">
        <v>-202.9</v>
      </c>
    </row>
    <row r="25" spans="1:11" x14ac:dyDescent="0.4">
      <c r="E25" s="34" t="s">
        <v>87</v>
      </c>
      <c r="F25" s="1" t="s">
        <v>40</v>
      </c>
      <c r="G25" s="32">
        <v>0</v>
      </c>
      <c r="H25" s="35">
        <f>IF(B$24=0,0,G25/B$24)</f>
        <v>0</v>
      </c>
      <c r="J25" s="31">
        <v>23</v>
      </c>
      <c r="K25" s="36">
        <v>-200.9</v>
      </c>
    </row>
    <row r="26" spans="1:11" x14ac:dyDescent="0.4">
      <c r="E26" s="34" t="s">
        <v>89</v>
      </c>
      <c r="F26" s="1" t="s">
        <v>42</v>
      </c>
      <c r="G26" s="32">
        <v>0</v>
      </c>
      <c r="H26" s="35">
        <f>IF(B$24=0,0,G26/B$24)</f>
        <v>0</v>
      </c>
      <c r="J26" s="31">
        <v>24</v>
      </c>
      <c r="K26" s="36">
        <v>-168.2</v>
      </c>
    </row>
    <row r="27" spans="1:11" x14ac:dyDescent="0.4">
      <c r="E27" s="34" t="s">
        <v>91</v>
      </c>
      <c r="F27" s="1" t="s">
        <v>44</v>
      </c>
      <c r="G27" s="32">
        <v>0</v>
      </c>
      <c r="H27" s="35">
        <f>IF(B$24=0,0,G27/B$24)</f>
        <v>0</v>
      </c>
      <c r="J27" s="31">
        <v>25</v>
      </c>
      <c r="K27" s="36">
        <v>-216.89999999999998</v>
      </c>
    </row>
    <row r="28" spans="1:11" x14ac:dyDescent="0.4">
      <c r="E28" s="34" t="s">
        <v>92</v>
      </c>
      <c r="F28" s="1" t="s">
        <v>45</v>
      </c>
      <c r="G28" s="32">
        <v>0</v>
      </c>
      <c r="H28" s="35">
        <f>IF(B$24=0,0,G28/B$24)</f>
        <v>0</v>
      </c>
    </row>
    <row r="29" spans="1:11" x14ac:dyDescent="0.4">
      <c r="E29" s="34" t="s">
        <v>94</v>
      </c>
      <c r="F29" s="1" t="s">
        <v>47</v>
      </c>
      <c r="G29" s="32">
        <v>0</v>
      </c>
      <c r="H29" s="35">
        <f>IF(B$24=0,0,G29/B$24)</f>
        <v>0</v>
      </c>
    </row>
    <row r="30" spans="1:11" x14ac:dyDescent="0.4">
      <c r="E30" s="34" t="s">
        <v>95</v>
      </c>
      <c r="F30" s="1" t="s">
        <v>48</v>
      </c>
      <c r="G30" s="32">
        <v>0</v>
      </c>
      <c r="H30" s="35">
        <f>IF(B$24=0,0,G30/B$24)</f>
        <v>0</v>
      </c>
    </row>
    <row r="31" spans="1:11" x14ac:dyDescent="0.4">
      <c r="E31" s="34" t="s">
        <v>97</v>
      </c>
      <c r="F31" s="1" t="s">
        <v>50</v>
      </c>
      <c r="G31" s="32">
        <v>0</v>
      </c>
      <c r="H31" s="35">
        <f>IF(B$24=0,0,G31/B$24)</f>
        <v>0</v>
      </c>
    </row>
    <row r="32" spans="1:11" x14ac:dyDescent="0.4">
      <c r="E32" s="34" t="s">
        <v>98</v>
      </c>
      <c r="F32" s="1" t="s">
        <v>51</v>
      </c>
      <c r="G32" s="32">
        <v>0</v>
      </c>
      <c r="H32" s="35">
        <f>IF(B$24=0,0,G32/B$24)</f>
        <v>0</v>
      </c>
    </row>
    <row r="33" spans="5:8" x14ac:dyDescent="0.4">
      <c r="E33" s="34" t="s">
        <v>99</v>
      </c>
      <c r="F33" s="1" t="s">
        <v>52</v>
      </c>
      <c r="G33" s="32">
        <v>0</v>
      </c>
      <c r="H33" s="35">
        <f>IF(B$24=0,0,G33/B$24)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9"/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0</v>
      </c>
      <c r="C2" s="27"/>
      <c r="E2" s="28" t="s">
        <v>69</v>
      </c>
      <c r="F2" s="10" t="s">
        <v>23</v>
      </c>
      <c r="G2" s="26">
        <v>0</v>
      </c>
      <c r="H2" s="29">
        <f t="shared" ref="H2:H33" si="0">IF(B$24=0,0,G2/B$24)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0</v>
      </c>
      <c r="C3" s="33"/>
      <c r="E3" s="34" t="s">
        <v>70</v>
      </c>
      <c r="F3" s="1" t="s">
        <v>24</v>
      </c>
      <c r="G3" s="32">
        <v>0</v>
      </c>
      <c r="H3" s="35">
        <f t="shared" si="0"/>
        <v>0</v>
      </c>
    </row>
    <row r="4" spans="1:11" x14ac:dyDescent="0.4">
      <c r="A4" s="31" t="s">
        <v>6</v>
      </c>
      <c r="B4" s="37">
        <v>0</v>
      </c>
      <c r="C4" s="36"/>
      <c r="E4" s="34" t="s">
        <v>71</v>
      </c>
      <c r="F4" s="1" t="s">
        <v>25</v>
      </c>
      <c r="G4" s="32">
        <v>0</v>
      </c>
      <c r="H4" s="35">
        <f t="shared" si="0"/>
        <v>0</v>
      </c>
    </row>
    <row r="5" spans="1:11" x14ac:dyDescent="0.4">
      <c r="A5" s="31" t="s">
        <v>7</v>
      </c>
      <c r="B5" s="37">
        <f>IF(B$2=0,0,B$4/B$2)</f>
        <v>0</v>
      </c>
      <c r="C5" s="38"/>
      <c r="E5" s="34" t="s">
        <v>72</v>
      </c>
      <c r="F5" s="1" t="s">
        <v>26</v>
      </c>
      <c r="G5" s="32">
        <v>0</v>
      </c>
      <c r="H5" s="35">
        <f t="shared" si="0"/>
        <v>0</v>
      </c>
    </row>
    <row r="6" spans="1:11" x14ac:dyDescent="0.4">
      <c r="A6" s="31" t="s">
        <v>1</v>
      </c>
      <c r="B6" s="39">
        <f>IF(B$2=0,0,(B$7*1+B$8*2+B$9*3)/B$2)</f>
        <v>0</v>
      </c>
      <c r="C6" s="40"/>
      <c r="E6" s="34" t="s">
        <v>73</v>
      </c>
      <c r="F6" s="1" t="s">
        <v>27</v>
      </c>
      <c r="G6" s="32">
        <v>0</v>
      </c>
      <c r="H6" s="35">
        <f t="shared" si="0"/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 t="shared" si="0"/>
        <v>0</v>
      </c>
    </row>
    <row r="8" spans="1:11" x14ac:dyDescent="0.4">
      <c r="A8" s="31" t="s">
        <v>3</v>
      </c>
      <c r="B8" s="32">
        <v>0</v>
      </c>
      <c r="C8" s="35">
        <f t="shared" ref="C8:C9" si="1">IF(B$2=0,0,B8/B$2)</f>
        <v>0</v>
      </c>
      <c r="E8" s="34" t="s">
        <v>75</v>
      </c>
      <c r="F8" s="1" t="s">
        <v>28</v>
      </c>
      <c r="G8" s="32">
        <v>0</v>
      </c>
      <c r="H8" s="35">
        <f t="shared" si="0"/>
        <v>0</v>
      </c>
    </row>
    <row r="9" spans="1:11" x14ac:dyDescent="0.4">
      <c r="A9" s="41" t="s">
        <v>4</v>
      </c>
      <c r="B9" s="42">
        <v>0</v>
      </c>
      <c r="C9" s="43">
        <f t="shared" si="1"/>
        <v>0</v>
      </c>
      <c r="E9" s="34" t="s">
        <v>76</v>
      </c>
      <c r="F9" s="1" t="s">
        <v>29</v>
      </c>
      <c r="G9" s="32">
        <v>0</v>
      </c>
      <c r="H9" s="35">
        <f t="shared" si="0"/>
        <v>0</v>
      </c>
    </row>
    <row r="10" spans="1:11" ht="19.5" thickBot="1" x14ac:dyDescent="0.45">
      <c r="A10" s="44" t="s">
        <v>21</v>
      </c>
      <c r="B10" s="45">
        <v>0</v>
      </c>
      <c r="C10" s="46">
        <f>IF(B$2=0,0,B10/B$2)</f>
        <v>0</v>
      </c>
      <c r="E10" s="34" t="s">
        <v>77</v>
      </c>
      <c r="F10" s="1" t="s">
        <v>30</v>
      </c>
      <c r="G10" s="32">
        <v>0</v>
      </c>
      <c r="H10" s="35">
        <f t="shared" si="0"/>
        <v>0</v>
      </c>
    </row>
    <row r="11" spans="1:11" ht="19.5" thickTop="1" x14ac:dyDescent="0.4">
      <c r="A11" s="59" t="s">
        <v>130</v>
      </c>
      <c r="B11" s="60">
        <v>0</v>
      </c>
      <c r="C11" s="61">
        <f>IF(B$23=0,0,B11/B$23)</f>
        <v>0</v>
      </c>
      <c r="E11" s="34" t="s">
        <v>78</v>
      </c>
      <c r="F11" s="1" t="s">
        <v>31</v>
      </c>
      <c r="G11" s="32">
        <v>0</v>
      </c>
      <c r="H11" s="35">
        <f t="shared" si="0"/>
        <v>0</v>
      </c>
    </row>
    <row r="12" spans="1:11" x14ac:dyDescent="0.4">
      <c r="A12" s="31" t="s">
        <v>125</v>
      </c>
      <c r="B12" s="32">
        <v>0</v>
      </c>
      <c r="C12" s="35">
        <f>IF(B$23=0,0,B12/B$23)</f>
        <v>0</v>
      </c>
      <c r="E12" s="34" t="s">
        <v>79</v>
      </c>
      <c r="F12" s="1" t="s">
        <v>32</v>
      </c>
      <c r="G12" s="32">
        <v>0</v>
      </c>
      <c r="H12" s="35">
        <f t="shared" si="0"/>
        <v>0</v>
      </c>
    </row>
    <row r="13" spans="1:11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 t="shared" si="0"/>
        <v>0</v>
      </c>
    </row>
    <row r="14" spans="1:11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 t="shared" si="0"/>
        <v>0</v>
      </c>
    </row>
    <row r="15" spans="1:11" x14ac:dyDescent="0.4">
      <c r="A15" s="25" t="s">
        <v>10</v>
      </c>
      <c r="B15" s="26">
        <f>B16+B17</f>
        <v>0</v>
      </c>
      <c r="C15" s="29">
        <f>IF(B$3=0,0,B15/B$3)</f>
        <v>0</v>
      </c>
      <c r="E15" s="34" t="s">
        <v>82</v>
      </c>
      <c r="F15" s="1" t="s">
        <v>35</v>
      </c>
      <c r="G15" s="32">
        <v>0</v>
      </c>
      <c r="H15" s="35">
        <f t="shared" si="0"/>
        <v>0</v>
      </c>
    </row>
    <row r="16" spans="1:11" x14ac:dyDescent="0.4">
      <c r="A16" s="31" t="s">
        <v>11</v>
      </c>
      <c r="B16" s="32">
        <v>0</v>
      </c>
      <c r="C16" s="35">
        <f>IF(B$3=0,0,B16/B$3)</f>
        <v>0</v>
      </c>
      <c r="E16" s="34" t="s">
        <v>83</v>
      </c>
      <c r="F16" s="1" t="s">
        <v>36</v>
      </c>
      <c r="G16" s="32">
        <v>0</v>
      </c>
      <c r="H16" s="35">
        <f t="shared" si="0"/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84</v>
      </c>
      <c r="F17" s="1" t="s">
        <v>37</v>
      </c>
      <c r="G17" s="32">
        <v>0</v>
      </c>
      <c r="H17" s="35">
        <f t="shared" si="0"/>
        <v>0</v>
      </c>
    </row>
    <row r="18" spans="1:8" x14ac:dyDescent="0.4">
      <c r="A18" s="31" t="s">
        <v>13</v>
      </c>
      <c r="B18" s="32">
        <v>0</v>
      </c>
      <c r="C18" s="35">
        <f>IF(B$3=0,0,B18/B$3)</f>
        <v>0</v>
      </c>
      <c r="E18" s="34" t="s">
        <v>85</v>
      </c>
      <c r="F18" s="1" t="s">
        <v>38</v>
      </c>
      <c r="G18" s="32">
        <v>0</v>
      </c>
      <c r="H18" s="35">
        <f t="shared" si="0"/>
        <v>0</v>
      </c>
    </row>
    <row r="19" spans="1:8" x14ac:dyDescent="0.4">
      <c r="A19" s="31" t="s">
        <v>5</v>
      </c>
      <c r="B19" s="49">
        <f>IF(B$15=0,0,C19/B$15)</f>
        <v>0</v>
      </c>
      <c r="C19" s="50">
        <v>0</v>
      </c>
      <c r="E19" s="34" t="s">
        <v>86</v>
      </c>
      <c r="F19" s="1" t="s">
        <v>39</v>
      </c>
      <c r="G19" s="32">
        <v>0</v>
      </c>
      <c r="H19" s="35">
        <f t="shared" si="0"/>
        <v>0</v>
      </c>
    </row>
    <row r="20" spans="1:8" ht="19.5" thickBot="1" x14ac:dyDescent="0.45">
      <c r="A20" s="41" t="s">
        <v>14</v>
      </c>
      <c r="B20" s="74">
        <f>IF(B$18=0,0,C20/B$18)</f>
        <v>0</v>
      </c>
      <c r="C20" s="75">
        <v>0</v>
      </c>
      <c r="E20" s="34" t="s">
        <v>87</v>
      </c>
      <c r="F20" s="1" t="s">
        <v>40</v>
      </c>
      <c r="G20" s="32">
        <v>0</v>
      </c>
      <c r="H20" s="35">
        <f t="shared" si="0"/>
        <v>0</v>
      </c>
    </row>
    <row r="21" spans="1:8" ht="19.5" thickTop="1" x14ac:dyDescent="0.4">
      <c r="A21" s="47" t="s">
        <v>198</v>
      </c>
      <c r="B21" s="48">
        <v>0</v>
      </c>
      <c r="C21" s="76">
        <f>IF(B$3=0,0,B21/B$3)</f>
        <v>0</v>
      </c>
      <c r="E21" s="34" t="s">
        <v>88</v>
      </c>
      <c r="F21" s="1" t="s">
        <v>41</v>
      </c>
      <c r="G21" s="32">
        <v>0</v>
      </c>
      <c r="H21" s="35">
        <f t="shared" si="0"/>
        <v>0</v>
      </c>
    </row>
    <row r="22" spans="1:8" ht="19.5" thickBot="1" x14ac:dyDescent="0.45">
      <c r="A22" s="44" t="s">
        <v>199</v>
      </c>
      <c r="B22" s="45">
        <v>0</v>
      </c>
      <c r="C22" s="46">
        <f>IF(B$21=0,0,B22/B$21)</f>
        <v>0</v>
      </c>
      <c r="E22" s="34" t="s">
        <v>89</v>
      </c>
      <c r="F22" s="1" t="s">
        <v>42</v>
      </c>
      <c r="G22" s="32">
        <v>0</v>
      </c>
      <c r="H22" s="35">
        <f t="shared" si="0"/>
        <v>0</v>
      </c>
    </row>
    <row r="23" spans="1:8" ht="19.5" thickTop="1" x14ac:dyDescent="0.4">
      <c r="A23" s="25" t="s">
        <v>128</v>
      </c>
      <c r="B23" s="26">
        <v>0</v>
      </c>
      <c r="C23" s="29"/>
      <c r="E23" s="34" t="s">
        <v>90</v>
      </c>
      <c r="F23" s="1" t="s">
        <v>43</v>
      </c>
      <c r="G23" s="32">
        <v>0</v>
      </c>
      <c r="H23" s="35">
        <f t="shared" si="0"/>
        <v>0</v>
      </c>
    </row>
    <row r="24" spans="1:8" x14ac:dyDescent="0.4">
      <c r="A24" s="51" t="s">
        <v>129</v>
      </c>
      <c r="B24" s="54">
        <v>0</v>
      </c>
      <c r="C24" s="55"/>
      <c r="E24" s="34" t="s">
        <v>91</v>
      </c>
      <c r="F24" s="1" t="s">
        <v>44</v>
      </c>
      <c r="G24" s="32">
        <v>0</v>
      </c>
      <c r="H24" s="35">
        <f t="shared" si="0"/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 t="shared" si="0"/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 t="shared" si="0"/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 t="shared" si="0"/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 t="shared" si="0"/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 t="shared" si="0"/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 t="shared" si="0"/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 t="shared" si="0"/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 t="shared" si="0"/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 t="shared" si="0"/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 t="shared" ref="H34:H65" si="2">IF(B$24=0,0,G34/B$24)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 t="shared" si="2"/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 t="shared" si="2"/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 t="shared" si="2"/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 t="shared" si="2"/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 t="shared" si="2"/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 t="shared" si="2"/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 t="shared" si="2"/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 t="shared" si="2"/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 t="shared" si="2"/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 t="shared" si="2"/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 t="shared" si="2"/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 t="shared" si="2"/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 t="shared" si="2"/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 t="shared" si="2"/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 t="shared" si="2"/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 t="shared" si="2"/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 t="shared" si="2"/>
        <v>0</v>
      </c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0"/>
  <sheetViews>
    <sheetView workbookViewId="0"/>
  </sheetViews>
  <sheetFormatPr defaultRowHeight="18.75" x14ac:dyDescent="0.4"/>
  <cols>
    <col min="1" max="1" width="16.375" style="67" bestFit="1" customWidth="1"/>
    <col min="2" max="2" width="16.875" style="70" bestFit="1" customWidth="1"/>
    <col min="3" max="3" width="9" style="73"/>
    <col min="4" max="16384" width="9" style="62"/>
  </cols>
  <sheetData>
    <row r="1" spans="1:14" s="64" customFormat="1" x14ac:dyDescent="0.4">
      <c r="A1" s="65" t="s">
        <v>186</v>
      </c>
      <c r="B1" s="68" t="s">
        <v>187</v>
      </c>
      <c r="C1" s="71" t="s">
        <v>188</v>
      </c>
    </row>
    <row r="2" spans="1:14" s="63" customFormat="1" x14ac:dyDescent="0.4">
      <c r="A2" s="66" t="s">
        <v>136</v>
      </c>
      <c r="B2" s="69">
        <v>43454.62740740741</v>
      </c>
      <c r="C2" s="72" t="s">
        <v>174</v>
      </c>
    </row>
    <row r="3" spans="1:14" x14ac:dyDescent="0.4">
      <c r="A3" s="67" t="s">
        <v>140</v>
      </c>
      <c r="B3" s="70">
        <v>43454.62740740741</v>
      </c>
      <c r="C3" s="73" t="s">
        <v>174</v>
      </c>
    </row>
    <row r="4" spans="1:14" x14ac:dyDescent="0.4">
      <c r="A4" s="67" t="s">
        <v>143</v>
      </c>
      <c r="B4" s="70">
        <v>43454.62740740741</v>
      </c>
      <c r="C4" s="73" t="s">
        <v>174</v>
      </c>
    </row>
    <row r="5" spans="1:14" x14ac:dyDescent="0.4">
      <c r="A5" s="67" t="s">
        <v>144</v>
      </c>
      <c r="B5" s="70">
        <v>43454.62740740741</v>
      </c>
      <c r="C5" s="73" t="s">
        <v>174</v>
      </c>
      <c r="D5" s="62" t="s">
        <v>175</v>
      </c>
      <c r="E5" s="62" t="s">
        <v>176</v>
      </c>
      <c r="F5" s="62" t="s">
        <v>177</v>
      </c>
      <c r="G5" s="62" t="s">
        <v>178</v>
      </c>
    </row>
    <row r="6" spans="1:14" x14ac:dyDescent="0.4">
      <c r="A6" s="67" t="s">
        <v>146</v>
      </c>
      <c r="B6" s="70">
        <v>43454.62740740741</v>
      </c>
      <c r="C6" s="73" t="s">
        <v>174</v>
      </c>
    </row>
    <row r="7" spans="1:14" x14ac:dyDescent="0.4">
      <c r="A7" s="67" t="s">
        <v>147</v>
      </c>
      <c r="B7" s="70">
        <v>43454.62740740741</v>
      </c>
      <c r="C7" s="73" t="s">
        <v>174</v>
      </c>
      <c r="D7" s="62" t="s">
        <v>175</v>
      </c>
      <c r="E7" s="62" t="s">
        <v>176</v>
      </c>
    </row>
    <row r="8" spans="1:14" x14ac:dyDescent="0.4">
      <c r="A8" s="67" t="s">
        <v>150</v>
      </c>
      <c r="B8" s="70">
        <v>43454.62740740741</v>
      </c>
      <c r="C8" s="73" t="s">
        <v>174</v>
      </c>
      <c r="D8" s="62" t="s">
        <v>175</v>
      </c>
    </row>
    <row r="9" spans="1:14" x14ac:dyDescent="0.4">
      <c r="A9" s="67" t="s">
        <v>151</v>
      </c>
      <c r="B9" s="70">
        <v>43454.62740740741</v>
      </c>
      <c r="C9" s="73" t="s">
        <v>174</v>
      </c>
      <c r="D9" s="62" t="s">
        <v>175</v>
      </c>
      <c r="E9" s="62" t="s">
        <v>176</v>
      </c>
      <c r="F9" s="62" t="s">
        <v>177</v>
      </c>
    </row>
    <row r="10" spans="1:14" x14ac:dyDescent="0.4">
      <c r="A10" s="67" t="s">
        <v>152</v>
      </c>
      <c r="B10" s="70">
        <v>43454.62740740741</v>
      </c>
      <c r="C10" s="73" t="s">
        <v>174</v>
      </c>
      <c r="D10" s="62" t="s">
        <v>175</v>
      </c>
      <c r="E10" s="62" t="s">
        <v>176</v>
      </c>
    </row>
    <row r="11" spans="1:14" x14ac:dyDescent="0.4">
      <c r="A11" s="67" t="s">
        <v>153</v>
      </c>
      <c r="B11" s="70">
        <v>43454.62740740741</v>
      </c>
      <c r="C11" s="73" t="s">
        <v>174</v>
      </c>
      <c r="D11" s="62" t="s">
        <v>175</v>
      </c>
      <c r="E11" s="62" t="s">
        <v>176</v>
      </c>
      <c r="F11" s="62" t="s">
        <v>177</v>
      </c>
      <c r="G11" s="62" t="s">
        <v>178</v>
      </c>
      <c r="H11" s="62" t="s">
        <v>179</v>
      </c>
      <c r="I11" s="62" t="s">
        <v>180</v>
      </c>
    </row>
    <row r="12" spans="1:14" x14ac:dyDescent="0.4">
      <c r="A12" s="67" t="s">
        <v>154</v>
      </c>
      <c r="B12" s="70">
        <v>43454.62740740741</v>
      </c>
      <c r="C12" s="73" t="s">
        <v>174</v>
      </c>
      <c r="D12" s="62" t="s">
        <v>175</v>
      </c>
    </row>
    <row r="13" spans="1:14" x14ac:dyDescent="0.4">
      <c r="A13" s="67" t="s">
        <v>155</v>
      </c>
      <c r="B13" s="70">
        <v>43454.62740740741</v>
      </c>
      <c r="C13" s="73" t="s">
        <v>174</v>
      </c>
      <c r="D13" s="62" t="s">
        <v>175</v>
      </c>
      <c r="E13" s="62" t="s">
        <v>176</v>
      </c>
      <c r="F13" s="62" t="s">
        <v>177</v>
      </c>
      <c r="G13" s="62" t="s">
        <v>178</v>
      </c>
      <c r="H13" s="62" t="s">
        <v>179</v>
      </c>
      <c r="I13" s="62" t="s">
        <v>180</v>
      </c>
      <c r="J13" s="62" t="s">
        <v>181</v>
      </c>
      <c r="K13" s="62" t="s">
        <v>182</v>
      </c>
      <c r="L13" s="62" t="s">
        <v>183</v>
      </c>
      <c r="M13" s="62" t="s">
        <v>184</v>
      </c>
      <c r="N13" s="62" t="s">
        <v>185</v>
      </c>
    </row>
    <row r="14" spans="1:14" x14ac:dyDescent="0.4">
      <c r="A14" s="67" t="s">
        <v>157</v>
      </c>
      <c r="B14" s="70">
        <v>43454.62740740741</v>
      </c>
      <c r="C14" s="73" t="s">
        <v>174</v>
      </c>
      <c r="D14" s="62" t="s">
        <v>175</v>
      </c>
      <c r="E14" s="62" t="s">
        <v>176</v>
      </c>
    </row>
    <row r="15" spans="1:14" x14ac:dyDescent="0.4">
      <c r="A15" s="67" t="s">
        <v>158</v>
      </c>
      <c r="B15" s="70">
        <v>43454.62740740741</v>
      </c>
      <c r="C15" s="73" t="s">
        <v>174</v>
      </c>
      <c r="D15" s="62" t="s">
        <v>175</v>
      </c>
      <c r="E15" s="62" t="s">
        <v>176</v>
      </c>
    </row>
    <row r="16" spans="1:14" x14ac:dyDescent="0.4">
      <c r="A16" s="67" t="s">
        <v>159</v>
      </c>
      <c r="B16" s="70">
        <v>43454.62740740741</v>
      </c>
      <c r="C16" s="73" t="s">
        <v>174</v>
      </c>
      <c r="D16" s="62" t="s">
        <v>175</v>
      </c>
      <c r="E16" s="62" t="s">
        <v>176</v>
      </c>
    </row>
    <row r="17" spans="1:9" x14ac:dyDescent="0.4">
      <c r="A17" s="67" t="s">
        <v>161</v>
      </c>
      <c r="B17" s="70">
        <v>43454.62740740741</v>
      </c>
      <c r="C17" s="73" t="s">
        <v>174</v>
      </c>
      <c r="D17" s="62" t="s">
        <v>175</v>
      </c>
      <c r="E17" s="62" t="s">
        <v>176</v>
      </c>
      <c r="F17" s="62" t="s">
        <v>177</v>
      </c>
      <c r="G17" s="62" t="s">
        <v>178</v>
      </c>
      <c r="H17" s="62" t="s">
        <v>179</v>
      </c>
    </row>
    <row r="18" spans="1:9" x14ac:dyDescent="0.4">
      <c r="A18" s="67" t="s">
        <v>162</v>
      </c>
      <c r="B18" s="70">
        <v>43454.62740740741</v>
      </c>
      <c r="C18" s="73" t="s">
        <v>174</v>
      </c>
      <c r="D18" s="62" t="s">
        <v>175</v>
      </c>
      <c r="E18" s="62" t="s">
        <v>176</v>
      </c>
      <c r="F18" s="62" t="s">
        <v>177</v>
      </c>
      <c r="G18" s="62" t="s">
        <v>178</v>
      </c>
      <c r="H18" s="62" t="s">
        <v>179</v>
      </c>
    </row>
    <row r="19" spans="1:9" x14ac:dyDescent="0.4">
      <c r="A19" s="67" t="s">
        <v>163</v>
      </c>
      <c r="B19" s="70">
        <v>43454.62740740741</v>
      </c>
      <c r="C19" s="73" t="s">
        <v>174</v>
      </c>
      <c r="D19" s="62" t="s">
        <v>175</v>
      </c>
    </row>
    <row r="20" spans="1:9" x14ac:dyDescent="0.4">
      <c r="A20" s="67" t="s">
        <v>164</v>
      </c>
      <c r="B20" s="70">
        <v>43454.629004629627</v>
      </c>
      <c r="C20" s="73" t="s">
        <v>174</v>
      </c>
      <c r="D20" s="62" t="s">
        <v>175</v>
      </c>
      <c r="E20" s="62" t="s">
        <v>176</v>
      </c>
    </row>
    <row r="21" spans="1:9" x14ac:dyDescent="0.4">
      <c r="A21" s="67" t="s">
        <v>165</v>
      </c>
      <c r="B21" s="70">
        <v>43454.62740740741</v>
      </c>
      <c r="C21" s="73" t="s">
        <v>174</v>
      </c>
      <c r="D21" s="62" t="s">
        <v>175</v>
      </c>
      <c r="E21" s="62" t="s">
        <v>176</v>
      </c>
      <c r="F21" s="62" t="s">
        <v>177</v>
      </c>
    </row>
    <row r="22" spans="1:9" x14ac:dyDescent="0.4">
      <c r="A22" s="67" t="s">
        <v>166</v>
      </c>
      <c r="B22" s="70">
        <v>43454.62740740741</v>
      </c>
      <c r="C22" s="73" t="s">
        <v>174</v>
      </c>
      <c r="D22" s="62" t="s">
        <v>175</v>
      </c>
      <c r="E22" s="62" t="s">
        <v>176</v>
      </c>
      <c r="F22" s="62" t="s">
        <v>177</v>
      </c>
    </row>
    <row r="23" spans="1:9" x14ac:dyDescent="0.4">
      <c r="A23" s="67" t="s">
        <v>167</v>
      </c>
      <c r="B23" s="70">
        <v>43454.62740740741</v>
      </c>
      <c r="C23" s="73" t="s">
        <v>174</v>
      </c>
      <c r="D23" s="62" t="s">
        <v>175</v>
      </c>
      <c r="E23" s="62" t="s">
        <v>176</v>
      </c>
      <c r="F23" s="62" t="s">
        <v>177</v>
      </c>
      <c r="G23" s="62" t="s">
        <v>178</v>
      </c>
      <c r="H23" s="62" t="s">
        <v>179</v>
      </c>
      <c r="I23" s="62" t="s">
        <v>180</v>
      </c>
    </row>
    <row r="24" spans="1:9" x14ac:dyDescent="0.4">
      <c r="A24" s="67" t="s">
        <v>168</v>
      </c>
      <c r="B24" s="70">
        <v>43454.62740740741</v>
      </c>
      <c r="C24" s="73" t="s">
        <v>174</v>
      </c>
      <c r="D24" s="62" t="s">
        <v>175</v>
      </c>
      <c r="E24" s="62" t="s">
        <v>176</v>
      </c>
    </row>
    <row r="25" spans="1:9" x14ac:dyDescent="0.4">
      <c r="A25" s="67" t="s">
        <v>169</v>
      </c>
      <c r="B25" s="70">
        <v>43454.62740740741</v>
      </c>
      <c r="C25" s="73" t="s">
        <v>174</v>
      </c>
      <c r="D25" s="62" t="s">
        <v>175</v>
      </c>
      <c r="E25" s="62" t="s">
        <v>176</v>
      </c>
      <c r="F25" s="62" t="s">
        <v>177</v>
      </c>
      <c r="G25" s="62" t="s">
        <v>178</v>
      </c>
      <c r="H25" s="62" t="s">
        <v>179</v>
      </c>
    </row>
    <row r="26" spans="1:9" x14ac:dyDescent="0.4">
      <c r="A26" s="67" t="s">
        <v>170</v>
      </c>
      <c r="B26" s="70">
        <v>43454.62740740741</v>
      </c>
      <c r="C26" s="73" t="s">
        <v>174</v>
      </c>
      <c r="D26" s="62" t="s">
        <v>175</v>
      </c>
    </row>
    <row r="27" spans="1:9" x14ac:dyDescent="0.4">
      <c r="A27" s="67" t="s">
        <v>171</v>
      </c>
      <c r="B27" s="70">
        <v>43454.62740740741</v>
      </c>
      <c r="C27" s="73" t="s">
        <v>174</v>
      </c>
      <c r="D27" s="62" t="s">
        <v>175</v>
      </c>
    </row>
    <row r="28" spans="1:9" x14ac:dyDescent="0.4">
      <c r="A28" s="67" t="s">
        <v>172</v>
      </c>
      <c r="B28" s="70">
        <v>43454.62740740741</v>
      </c>
      <c r="C28" s="73" t="s">
        <v>174</v>
      </c>
      <c r="D28" s="62" t="s">
        <v>175</v>
      </c>
      <c r="E28" s="62" t="s">
        <v>176</v>
      </c>
      <c r="F28" s="62" t="s">
        <v>177</v>
      </c>
    </row>
    <row r="29" spans="1:9" x14ac:dyDescent="0.4">
      <c r="A29" s="67" t="s">
        <v>173</v>
      </c>
      <c r="B29" s="70">
        <v>43455.084918981483</v>
      </c>
      <c r="C29" s="73" t="s">
        <v>174</v>
      </c>
      <c r="D29" s="62" t="s">
        <v>175</v>
      </c>
      <c r="E29" s="62" t="s">
        <v>176</v>
      </c>
      <c r="F29" s="62" t="s">
        <v>177</v>
      </c>
      <c r="G29" s="62" t="s">
        <v>178</v>
      </c>
      <c r="H29" s="62" t="s">
        <v>179</v>
      </c>
    </row>
    <row r="30" spans="1:9" x14ac:dyDescent="0.4">
      <c r="A30" s="67" t="s">
        <v>197</v>
      </c>
      <c r="B30" s="70">
        <v>43456.147789351853</v>
      </c>
      <c r="C30" s="73" t="s">
        <v>174</v>
      </c>
      <c r="D30" s="62" t="s">
        <v>175</v>
      </c>
      <c r="E30" s="62" t="s">
        <v>176</v>
      </c>
      <c r="F30" s="62" t="s">
        <v>177</v>
      </c>
      <c r="G30" s="62" t="s">
        <v>178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2018-12-22T00:57:34Z</dcterms:modified>
</cp:coreProperties>
</file>