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04A89278-CC97-4924-BBFE-27B61B6FE61A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06" r:id="rId2"/>
    <sheet name="かこたろう" sheetId="1607" r:id="rId3"/>
    <sheet name="ともき" sheetId="1608" r:id="rId4"/>
    <sheet name="りくと" sheetId="1609" r:id="rId5"/>
    <sheet name="いっしー" sheetId="1610" r:id="rId6"/>
    <sheet name="がくと" sheetId="1611" r:id="rId7"/>
    <sheet name="たかの" sheetId="1612" r:id="rId8"/>
    <sheet name="ただ" sheetId="1613" r:id="rId9"/>
    <sheet name="やがさき" sheetId="1614" r:id="rId10"/>
    <sheet name="れんたろう" sheetId="161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615" l="1"/>
  <c r="C15" i="1615"/>
  <c r="C14" i="1615"/>
  <c r="C13" i="1615"/>
  <c r="B12" i="1615"/>
  <c r="H50" i="1615" s="1"/>
  <c r="C11" i="1615"/>
  <c r="C10" i="1615"/>
  <c r="C9" i="1615"/>
  <c r="C8" i="1615"/>
  <c r="C7" i="1615"/>
  <c r="B6" i="1615"/>
  <c r="B5" i="1615"/>
  <c r="H12" i="1615"/>
  <c r="H14" i="1615" l="1"/>
  <c r="H15" i="1615"/>
  <c r="H24" i="1615"/>
  <c r="H13" i="1615"/>
  <c r="H22" i="1615"/>
  <c r="H29" i="1615"/>
  <c r="H32" i="1615"/>
  <c r="H35" i="1615"/>
  <c r="H39" i="1615"/>
  <c r="H43" i="1615"/>
  <c r="H47" i="1615"/>
  <c r="H51" i="1615"/>
  <c r="H5" i="1615"/>
  <c r="H7" i="1615"/>
  <c r="H6" i="1615"/>
  <c r="H10" i="1615"/>
  <c r="H3" i="1615"/>
  <c r="H25" i="1615"/>
  <c r="H27" i="1615"/>
  <c r="H30" i="1615"/>
  <c r="H33" i="1615"/>
  <c r="H36" i="1615"/>
  <c r="H40" i="1615"/>
  <c r="H44" i="1615"/>
  <c r="H48" i="1615"/>
  <c r="H20" i="1615"/>
  <c r="H21" i="1615"/>
  <c r="H11" i="1615"/>
  <c r="H16" i="1615"/>
  <c r="H28" i="1615"/>
  <c r="H8" i="1615"/>
  <c r="H18" i="1615"/>
  <c r="H37" i="1615"/>
  <c r="H41" i="1615"/>
  <c r="H45" i="1615"/>
  <c r="H49" i="1615"/>
  <c r="H4" i="1615"/>
  <c r="H2" i="1615"/>
  <c r="H9" i="1615"/>
  <c r="H19" i="1615"/>
  <c r="C12" i="1615"/>
  <c r="B16" i="1615"/>
  <c r="H23" i="1615"/>
  <c r="H26" i="1615"/>
  <c r="H17" i="1615"/>
  <c r="H31" i="1615"/>
  <c r="H34" i="1615"/>
  <c r="H38" i="1615"/>
  <c r="H42" i="1615"/>
  <c r="H46" i="1615"/>
  <c r="B17" i="1614" l="1"/>
  <c r="C15" i="1614"/>
  <c r="C14" i="1614"/>
  <c r="C13" i="1614"/>
  <c r="B12" i="1614"/>
  <c r="H49" i="1614" s="1"/>
  <c r="C11" i="1614"/>
  <c r="C10" i="1614"/>
  <c r="C9" i="1614"/>
  <c r="C8" i="1614"/>
  <c r="C7" i="1614"/>
  <c r="B6" i="1614"/>
  <c r="B5" i="1614"/>
  <c r="H38" i="1614" l="1"/>
  <c r="H46" i="1614"/>
  <c r="H3" i="1614"/>
  <c r="H22" i="1614"/>
  <c r="H8" i="1614"/>
  <c r="H10" i="1614"/>
  <c r="C12" i="1614"/>
  <c r="H14" i="1614"/>
  <c r="H23" i="1614"/>
  <c r="H31" i="1614"/>
  <c r="H39" i="1614"/>
  <c r="H47" i="1614"/>
  <c r="H16" i="1614"/>
  <c r="H30" i="1614"/>
  <c r="H4" i="1614"/>
  <c r="H6" i="1614"/>
  <c r="H12" i="1614"/>
  <c r="H18" i="1614"/>
  <c r="H26" i="1614"/>
  <c r="H34" i="1614"/>
  <c r="H42" i="1614"/>
  <c r="H50" i="1614"/>
  <c r="H2" i="1614"/>
  <c r="H5" i="1614"/>
  <c r="H7" i="1614"/>
  <c r="H9" i="1614"/>
  <c r="H11" i="1614"/>
  <c r="B16" i="1614"/>
  <c r="H19" i="1614"/>
  <c r="H27" i="1614"/>
  <c r="H35" i="1614"/>
  <c r="H43" i="1614"/>
  <c r="H51" i="1614"/>
  <c r="H20" i="1614"/>
  <c r="H24" i="1614"/>
  <c r="H28" i="1614"/>
  <c r="H32" i="1614"/>
  <c r="H36" i="1614"/>
  <c r="H40" i="1614"/>
  <c r="H44" i="1614"/>
  <c r="H48" i="1614"/>
  <c r="H13" i="1614"/>
  <c r="H15" i="1614"/>
  <c r="H17" i="1614"/>
  <c r="H21" i="1614"/>
  <c r="H25" i="1614"/>
  <c r="H29" i="1614"/>
  <c r="H33" i="1614"/>
  <c r="H37" i="1614"/>
  <c r="H41" i="1614"/>
  <c r="H45" i="1614"/>
  <c r="B17" i="1613" l="1"/>
  <c r="C15" i="1613"/>
  <c r="C14" i="1613"/>
  <c r="C13" i="1613"/>
  <c r="B12" i="1613"/>
  <c r="H48" i="1613" s="1"/>
  <c r="C11" i="1613"/>
  <c r="C10" i="1613"/>
  <c r="C9" i="1613"/>
  <c r="C8" i="1613"/>
  <c r="C7" i="1613"/>
  <c r="B6" i="1613"/>
  <c r="B5" i="1613"/>
  <c r="H11" i="1613"/>
  <c r="B17" i="1612"/>
  <c r="C15" i="1612"/>
  <c r="C14" i="1612"/>
  <c r="C13" i="1612"/>
  <c r="B12" i="1612"/>
  <c r="H49" i="1612" s="1"/>
  <c r="C11" i="1612"/>
  <c r="C10" i="1612"/>
  <c r="C9" i="1612"/>
  <c r="C8" i="1612"/>
  <c r="C7" i="1612"/>
  <c r="B6" i="1612"/>
  <c r="B5" i="1612"/>
  <c r="H14" i="1613" l="1"/>
  <c r="H18" i="1613"/>
  <c r="H15" i="1613"/>
  <c r="H23" i="1613"/>
  <c r="H27" i="1613"/>
  <c r="H13" i="1613"/>
  <c r="H33" i="1613"/>
  <c r="H37" i="1613"/>
  <c r="H41" i="1613"/>
  <c r="H45" i="1613"/>
  <c r="H49" i="1613"/>
  <c r="H2" i="1613"/>
  <c r="H3" i="1613"/>
  <c r="H8" i="1613"/>
  <c r="H12" i="1613"/>
  <c r="C12" i="1613"/>
  <c r="B16" i="1613"/>
  <c r="H20" i="1613"/>
  <c r="H24" i="1613"/>
  <c r="H10" i="1613"/>
  <c r="H30" i="1613"/>
  <c r="H34" i="1613"/>
  <c r="H38" i="1613"/>
  <c r="H42" i="1613"/>
  <c r="H46" i="1613"/>
  <c r="H50" i="1613"/>
  <c r="H16" i="1613"/>
  <c r="H17" i="1613"/>
  <c r="H19" i="1613"/>
  <c r="H21" i="1613"/>
  <c r="H25" i="1613"/>
  <c r="H28" i="1613"/>
  <c r="H31" i="1613"/>
  <c r="H35" i="1613"/>
  <c r="H39" i="1613"/>
  <c r="H43" i="1613"/>
  <c r="H47" i="1613"/>
  <c r="H51" i="1613"/>
  <c r="H4" i="1613"/>
  <c r="H5" i="1613"/>
  <c r="H7" i="1613"/>
  <c r="H9" i="1613"/>
  <c r="H6" i="1613"/>
  <c r="H22" i="1613"/>
  <c r="H26" i="1613"/>
  <c r="H29" i="1613"/>
  <c r="H32" i="1613"/>
  <c r="H36" i="1613"/>
  <c r="H40" i="1613"/>
  <c r="H44" i="1613"/>
  <c r="H21" i="1612"/>
  <c r="H30" i="1612"/>
  <c r="H15" i="1612"/>
  <c r="H11" i="1612"/>
  <c r="H13" i="1612"/>
  <c r="H31" i="1612"/>
  <c r="H39" i="1612"/>
  <c r="H47" i="1612"/>
  <c r="H10" i="1612"/>
  <c r="H25" i="1612"/>
  <c r="H38" i="1612"/>
  <c r="H4" i="1612"/>
  <c r="H17" i="1612"/>
  <c r="H9" i="1612"/>
  <c r="H34" i="1612"/>
  <c r="H42" i="1612"/>
  <c r="H50" i="1612"/>
  <c r="H46" i="1612"/>
  <c r="H3" i="1612"/>
  <c r="C12" i="1612"/>
  <c r="H18" i="1612"/>
  <c r="H8" i="1612"/>
  <c r="H5" i="1612"/>
  <c r="H14" i="1612"/>
  <c r="H6" i="1612"/>
  <c r="H16" i="1612"/>
  <c r="H2" i="1612"/>
  <c r="B16" i="1612"/>
  <c r="H22" i="1612"/>
  <c r="H28" i="1612"/>
  <c r="H35" i="1612"/>
  <c r="H43" i="1612"/>
  <c r="H51" i="1612"/>
  <c r="H23" i="1612"/>
  <c r="H26" i="1612"/>
  <c r="H29" i="1612"/>
  <c r="H32" i="1612"/>
  <c r="H36" i="1612"/>
  <c r="H40" i="1612"/>
  <c r="H44" i="1612"/>
  <c r="H48" i="1612"/>
  <c r="H19" i="1612"/>
  <c r="H20" i="1612"/>
  <c r="H12" i="1612"/>
  <c r="H24" i="1612"/>
  <c r="H27" i="1612"/>
  <c r="H7" i="1612"/>
  <c r="H33" i="1612"/>
  <c r="H37" i="1612"/>
  <c r="H41" i="1612"/>
  <c r="H45" i="1612"/>
  <c r="H44" i="1611" l="1"/>
  <c r="H40" i="1611"/>
  <c r="H36" i="1611"/>
  <c r="H28" i="1611"/>
  <c r="H24" i="1611"/>
  <c r="H20" i="1611"/>
  <c r="B17" i="1611"/>
  <c r="C15" i="1611"/>
  <c r="C14" i="1611"/>
  <c r="C13" i="1611"/>
  <c r="B12" i="1611"/>
  <c r="H51" i="1611" s="1"/>
  <c r="H11" i="1611"/>
  <c r="C11" i="1611"/>
  <c r="C10" i="1611"/>
  <c r="H9" i="1611"/>
  <c r="C9" i="1611"/>
  <c r="C8" i="1611"/>
  <c r="H7" i="1611"/>
  <c r="C7" i="1611"/>
  <c r="B6" i="1611"/>
  <c r="H5" i="1611"/>
  <c r="B5" i="1611"/>
  <c r="H3" i="1611"/>
  <c r="H2" i="1611"/>
  <c r="H32" i="1611" l="1"/>
  <c r="H48" i="1611"/>
  <c r="H15" i="1611"/>
  <c r="H17" i="1611"/>
  <c r="H25" i="1611"/>
  <c r="H33" i="1611"/>
  <c r="H41" i="1611"/>
  <c r="H49" i="1611"/>
  <c r="H4" i="1611"/>
  <c r="H6" i="1611"/>
  <c r="H8" i="1611"/>
  <c r="H10" i="1611"/>
  <c r="C12" i="1611"/>
  <c r="B16" i="1611"/>
  <c r="H18" i="1611"/>
  <c r="H22" i="1611"/>
  <c r="H26" i="1611"/>
  <c r="H30" i="1611"/>
  <c r="H34" i="1611"/>
  <c r="H38" i="1611"/>
  <c r="H42" i="1611"/>
  <c r="H46" i="1611"/>
  <c r="H50" i="1611"/>
  <c r="H13" i="1611"/>
  <c r="H21" i="1611"/>
  <c r="H29" i="1611"/>
  <c r="H37" i="1611"/>
  <c r="H45" i="1611"/>
  <c r="H12" i="1611"/>
  <c r="H14" i="1611"/>
  <c r="H16" i="1611"/>
  <c r="H19" i="1611"/>
  <c r="H23" i="1611"/>
  <c r="H27" i="1611"/>
  <c r="H31" i="1611"/>
  <c r="H35" i="1611"/>
  <c r="H39" i="1611"/>
  <c r="H43" i="1611"/>
  <c r="H47" i="1611"/>
  <c r="B17" i="1610" l="1"/>
  <c r="C15" i="1610"/>
  <c r="C14" i="1610"/>
  <c r="C13" i="1610"/>
  <c r="B12" i="1610"/>
  <c r="H49" i="1610" s="1"/>
  <c r="C11" i="1610"/>
  <c r="C10" i="1610"/>
  <c r="C9" i="1610"/>
  <c r="C8" i="1610"/>
  <c r="C7" i="1610"/>
  <c r="B6" i="1610"/>
  <c r="B5" i="1610"/>
  <c r="B17" i="1609"/>
  <c r="C15" i="1609"/>
  <c r="C14" i="1609"/>
  <c r="C13" i="1609"/>
  <c r="B12" i="1609"/>
  <c r="H50" i="1609" s="1"/>
  <c r="C11" i="1609"/>
  <c r="C10" i="1609"/>
  <c r="C9" i="1609"/>
  <c r="C8" i="1609"/>
  <c r="C7" i="1609"/>
  <c r="B6" i="1609"/>
  <c r="B5" i="1609"/>
  <c r="B16" i="1610" l="1"/>
  <c r="H6" i="1610"/>
  <c r="H11" i="1610"/>
  <c r="H8" i="1610"/>
  <c r="H12" i="1610"/>
  <c r="H7" i="1610"/>
  <c r="H5" i="1610"/>
  <c r="H4" i="1610"/>
  <c r="H34" i="1610"/>
  <c r="H43" i="1610"/>
  <c r="H47" i="1610"/>
  <c r="H26" i="1610"/>
  <c r="H3" i="1610"/>
  <c r="H16" i="1610"/>
  <c r="H50" i="1610"/>
  <c r="H35" i="1610"/>
  <c r="H2" i="1610"/>
  <c r="H9" i="1610"/>
  <c r="H13" i="1610"/>
  <c r="C12" i="1610"/>
  <c r="H20" i="1610"/>
  <c r="H27" i="1610"/>
  <c r="H39" i="1610"/>
  <c r="H14" i="1610"/>
  <c r="H21" i="1610"/>
  <c r="H31" i="1610"/>
  <c r="H42" i="1610"/>
  <c r="H51" i="1610"/>
  <c r="H18" i="1610"/>
  <c r="H23" i="1610"/>
  <c r="H30" i="1610"/>
  <c r="H38" i="1610"/>
  <c r="H46" i="1610"/>
  <c r="H22" i="1610"/>
  <c r="H24" i="1610"/>
  <c r="H28" i="1610"/>
  <c r="H32" i="1610"/>
  <c r="H36" i="1610"/>
  <c r="H40" i="1610"/>
  <c r="H44" i="1610"/>
  <c r="H48" i="1610"/>
  <c r="H15" i="1610"/>
  <c r="H17" i="1610"/>
  <c r="H19" i="1610"/>
  <c r="H10" i="1610"/>
  <c r="H25" i="1610"/>
  <c r="H29" i="1610"/>
  <c r="H33" i="1610"/>
  <c r="H37" i="1610"/>
  <c r="H41" i="1610"/>
  <c r="H45" i="1610"/>
  <c r="H36" i="1609"/>
  <c r="H29" i="1609"/>
  <c r="H3" i="1609"/>
  <c r="H4" i="1609"/>
  <c r="H39" i="1609"/>
  <c r="H25" i="1609"/>
  <c r="H44" i="1609"/>
  <c r="H13" i="1609"/>
  <c r="H8" i="1609"/>
  <c r="H11" i="1609"/>
  <c r="H5" i="1609"/>
  <c r="H21" i="1609"/>
  <c r="H18" i="1609"/>
  <c r="H7" i="1609"/>
  <c r="H19" i="1609"/>
  <c r="H47" i="1609"/>
  <c r="H31" i="1609"/>
  <c r="H20" i="1609"/>
  <c r="H40" i="1609"/>
  <c r="H48" i="1609"/>
  <c r="H6" i="1609"/>
  <c r="H2" i="1609"/>
  <c r="H10" i="1609"/>
  <c r="H14" i="1609"/>
  <c r="C12" i="1609"/>
  <c r="H23" i="1609"/>
  <c r="H28" i="1609"/>
  <c r="H17" i="1609"/>
  <c r="H35" i="1609"/>
  <c r="H43" i="1609"/>
  <c r="H51" i="1609"/>
  <c r="H22" i="1609"/>
  <c r="H24" i="1609"/>
  <c r="H26" i="1609"/>
  <c r="H15" i="1609"/>
  <c r="H16" i="1609"/>
  <c r="H9" i="1609"/>
  <c r="H33" i="1609"/>
  <c r="H37" i="1609"/>
  <c r="H41" i="1609"/>
  <c r="H45" i="1609"/>
  <c r="H49" i="1609"/>
  <c r="B16" i="1609"/>
  <c r="H27" i="1609"/>
  <c r="H30" i="1609"/>
  <c r="H12" i="1609"/>
  <c r="H32" i="1609"/>
  <c r="H34" i="1609"/>
  <c r="H38" i="1609"/>
  <c r="H42" i="1609"/>
  <c r="H46" i="1609"/>
  <c r="B17" i="1608" l="1"/>
  <c r="C15" i="1608"/>
  <c r="C14" i="1608"/>
  <c r="C13" i="1608"/>
  <c r="B12" i="1608"/>
  <c r="H50" i="1608" s="1"/>
  <c r="C11" i="1608"/>
  <c r="C10" i="1608"/>
  <c r="C9" i="1608"/>
  <c r="C8" i="1608"/>
  <c r="C7" i="1608"/>
  <c r="B6" i="1608"/>
  <c r="B5" i="1608"/>
  <c r="H47" i="1607"/>
  <c r="H44" i="1607"/>
  <c r="H39" i="1607"/>
  <c r="H36" i="1607"/>
  <c r="H32" i="1607"/>
  <c r="H31" i="1607"/>
  <c r="H28" i="1607"/>
  <c r="H24" i="1607"/>
  <c r="H23" i="1607"/>
  <c r="H20" i="1607"/>
  <c r="B17" i="1607"/>
  <c r="H16" i="1607"/>
  <c r="C15" i="1607"/>
  <c r="C14" i="1607"/>
  <c r="C13" i="1607"/>
  <c r="H12" i="1607"/>
  <c r="B12" i="1607"/>
  <c r="H50" i="1607" s="1"/>
  <c r="H11" i="1607"/>
  <c r="C11" i="1607"/>
  <c r="C10" i="1607"/>
  <c r="H9" i="1607"/>
  <c r="C9" i="1607"/>
  <c r="C8" i="1607"/>
  <c r="H7" i="1607"/>
  <c r="C7" i="1607"/>
  <c r="B6" i="1607"/>
  <c r="H5" i="1607"/>
  <c r="B5" i="1607"/>
  <c r="H3" i="1607"/>
  <c r="H2" i="1607"/>
  <c r="B17" i="1606"/>
  <c r="C15" i="1606"/>
  <c r="C14" i="1606"/>
  <c r="C13" i="1606"/>
  <c r="B12" i="1606"/>
  <c r="H51" i="1606" s="1"/>
  <c r="C11" i="1606"/>
  <c r="C10" i="1606"/>
  <c r="C9" i="1606"/>
  <c r="C8" i="1606"/>
  <c r="C7" i="1606"/>
  <c r="B6" i="1606"/>
  <c r="B5" i="1606"/>
  <c r="H40" i="1607" l="1"/>
  <c r="H48" i="1607"/>
  <c r="H14" i="1607"/>
  <c r="H19" i="1607"/>
  <c r="H27" i="1607"/>
  <c r="H35" i="1607"/>
  <c r="H43" i="1607"/>
  <c r="H51" i="1607"/>
  <c r="H13" i="1606"/>
  <c r="H35" i="1608"/>
  <c r="H7" i="1608"/>
  <c r="H12" i="1608"/>
  <c r="H20" i="1608"/>
  <c r="H28" i="1608"/>
  <c r="H36" i="1608"/>
  <c r="H44" i="1608"/>
  <c r="H43" i="1608"/>
  <c r="H5" i="1608"/>
  <c r="H16" i="1608"/>
  <c r="H31" i="1608"/>
  <c r="H39" i="1608"/>
  <c r="H47" i="1608"/>
  <c r="H3" i="1608"/>
  <c r="H9" i="1608"/>
  <c r="H14" i="1608"/>
  <c r="H19" i="1608"/>
  <c r="H27" i="1608"/>
  <c r="H51" i="1608"/>
  <c r="H23" i="1608"/>
  <c r="H2" i="1608"/>
  <c r="H11" i="1608"/>
  <c r="H24" i="1608"/>
  <c r="H32" i="1608"/>
  <c r="H40" i="1608"/>
  <c r="H48" i="1608"/>
  <c r="H13" i="1608"/>
  <c r="H15" i="1608"/>
  <c r="H17" i="1608"/>
  <c r="H21" i="1608"/>
  <c r="H25" i="1608"/>
  <c r="H29" i="1608"/>
  <c r="H33" i="1608"/>
  <c r="H37" i="1608"/>
  <c r="H41" i="1608"/>
  <c r="H45" i="1608"/>
  <c r="H49" i="1608"/>
  <c r="H4" i="1608"/>
  <c r="H6" i="1608"/>
  <c r="H8" i="1608"/>
  <c r="H10" i="1608"/>
  <c r="C12" i="1608"/>
  <c r="B16" i="1608"/>
  <c r="H18" i="1608"/>
  <c r="H22" i="1608"/>
  <c r="H26" i="1608"/>
  <c r="H30" i="1608"/>
  <c r="H34" i="1608"/>
  <c r="H38" i="1608"/>
  <c r="H42" i="1608"/>
  <c r="H46" i="1608"/>
  <c r="H13" i="1607"/>
  <c r="H15" i="1607"/>
  <c r="H17" i="1607"/>
  <c r="H21" i="1607"/>
  <c r="H25" i="1607"/>
  <c r="H29" i="1607"/>
  <c r="H33" i="1607"/>
  <c r="H37" i="1607"/>
  <c r="H41" i="1607"/>
  <c r="H45" i="1607"/>
  <c r="H49" i="1607"/>
  <c r="H4" i="1607"/>
  <c r="H6" i="1607"/>
  <c r="H8" i="1607"/>
  <c r="H10" i="1607"/>
  <c r="C12" i="1607"/>
  <c r="B16" i="1607"/>
  <c r="H18" i="1607"/>
  <c r="H22" i="1607"/>
  <c r="H26" i="1607"/>
  <c r="H30" i="1607"/>
  <c r="H34" i="1607"/>
  <c r="H38" i="1607"/>
  <c r="H42" i="1607"/>
  <c r="H46" i="1607"/>
  <c r="H11" i="1606"/>
  <c r="H7" i="1606"/>
  <c r="H35" i="1606"/>
  <c r="H17" i="1606"/>
  <c r="H6" i="1606"/>
  <c r="H5" i="1606"/>
  <c r="H3" i="1606"/>
  <c r="H50" i="1606"/>
  <c r="B16" i="1606"/>
  <c r="H28" i="1606"/>
  <c r="H39" i="1606"/>
  <c r="H4" i="1606"/>
  <c r="H2" i="1606"/>
  <c r="H8" i="1606"/>
  <c r="H10" i="1606"/>
  <c r="C12" i="1606"/>
  <c r="H12" i="1606"/>
  <c r="H43" i="1606"/>
  <c r="H33" i="1606"/>
  <c r="H20" i="1606"/>
  <c r="H27" i="1606"/>
  <c r="H29" i="1606"/>
  <c r="H32" i="1606"/>
  <c r="H16" i="1606"/>
  <c r="H37" i="1606"/>
  <c r="H41" i="1606"/>
  <c r="H45" i="1606"/>
  <c r="H48" i="1606"/>
  <c r="H22" i="1606"/>
  <c r="H24" i="1606"/>
  <c r="H25" i="1606"/>
  <c r="H18" i="1606"/>
  <c r="H30" i="1606"/>
  <c r="H9" i="1606"/>
  <c r="H34" i="1606"/>
  <c r="H38" i="1606"/>
  <c r="H42" i="1606"/>
  <c r="H46" i="1606"/>
  <c r="H49" i="1606"/>
  <c r="H21" i="1606"/>
  <c r="H23" i="1606"/>
  <c r="H14" i="1606"/>
  <c r="H26" i="1606"/>
  <c r="H15" i="1606"/>
  <c r="H31" i="1606"/>
  <c r="H19" i="1606"/>
  <c r="H36" i="1606"/>
  <c r="H40" i="1606"/>
  <c r="H44" i="1606"/>
  <c r="H47" i="160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<sst xmlns="http://schemas.openxmlformats.org/spreadsheetml/2006/main" count="1462" uniqueCount="147">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</sst>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だいち!$K$2:$K$94</c:f>
              <c:numCache>
                <c:formatCode>\+0;\-0;\±0</c:formatCode>
                <c:ptCount val="9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23-45CE-AAC1-50FA0267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D-4B2C-B728-0B9BBBEF7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9-49D3-A438-7CE7C3760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りくと!$K$2:$K$58</c:f>
              <c:numCache>
                <c:formatCode>\+0;\-0;\±0</c:formatCode>
                <c:ptCount val="57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2-490C-9E63-C599DA4B7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C-469A-869A-36D34066C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8-46F1-997C-925AE3769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たかの!$K$2:$K$33</c:f>
              <c:numCache>
                <c:formatCode>\+0;\-0;\±0</c:formatCode>
                <c:ptCount val="32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AA-4BBE-9CF6-7A6635053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76-4219-A13C-0B38D9A6B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C-4F1C-A333-C7FC09FD4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F-4168-9C52-0B7C1B2CF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19C0D0-ED01-46C9-B8A1-8BC09EFE94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F07A41-F0FF-484A-8CA8-D39A2C175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F65EE3-1992-47C1-B08C-2359A097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D65D08-CFE5-4431-9357-A7DE720DD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F04043-8FE9-4CD7-AEB1-6DE1BC115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881B53-2A22-4DEE-A2A4-3B6B3636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134268-334C-43B2-84A5-7E3CCE547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BEF2FD-9AA8-4C31-B4C2-B91ABA37F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25B9BA-6586-488C-A101-905EBC6EA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A7933F-5F12-492A-8AC7-A15D36F41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418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11300</v>
      </c>
      <c r="R2" s="35" t="s">
        <v>30</v>
      </c>
      <c r="S2" s="38">
        <v>-7600</v>
      </c>
      <c r="T2" s="35" t="s">
        <v>29</v>
      </c>
      <c r="U2" s="47">
        <v>0.19170984455958548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0.38043478260869568</v>
      </c>
      <c r="J3" s="18" t="s">
        <v>26</v>
      </c>
      <c r="K3" s="50">
        <v>0.11956521739130435</v>
      </c>
      <c r="L3" s="18" t="s">
        <v>28</v>
      </c>
      <c r="M3" s="48">
        <v>0.35793357933579334</v>
      </c>
      <c r="N3" s="18" t="s">
        <v>35</v>
      </c>
      <c r="O3" s="48">
        <v>0.13414634146341464</v>
      </c>
      <c r="P3" s="18" t="s">
        <v>35</v>
      </c>
      <c r="Q3" s="19">
        <v>10900</v>
      </c>
      <c r="R3" s="18" t="s">
        <v>37</v>
      </c>
      <c r="S3" s="19">
        <v>-8200</v>
      </c>
      <c r="T3" s="18" t="s">
        <v>31</v>
      </c>
      <c r="U3" s="48">
        <v>8.8235294117647065E-2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1.8586956521739131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26</v>
      </c>
      <c r="M4" s="48">
        <v>0.3566009104704097</v>
      </c>
      <c r="N4" s="18" t="s">
        <v>26</v>
      </c>
      <c r="O4" s="48">
        <v>0.15781487101669195</v>
      </c>
      <c r="P4" s="18" t="s">
        <v>31</v>
      </c>
      <c r="Q4" s="19">
        <v>10700</v>
      </c>
      <c r="R4" s="18" t="s">
        <v>21</v>
      </c>
      <c r="S4" s="19">
        <v>-8500</v>
      </c>
      <c r="T4" s="18" t="s">
        <v>30</v>
      </c>
      <c r="U4" s="48">
        <v>8.1967213114754092E-2</v>
      </c>
    </row>
    <row r="5" spans="1:21" x14ac:dyDescent="0.4">
      <c r="A5" s="28">
        <v>4</v>
      </c>
      <c r="B5" s="27" t="s">
        <v>18</v>
      </c>
      <c r="C5" s="21">
        <v>7</v>
      </c>
      <c r="D5" s="18" t="s">
        <v>26</v>
      </c>
      <c r="E5" s="20">
        <v>4.5434782608695654</v>
      </c>
      <c r="F5" s="18" t="s">
        <v>18</v>
      </c>
      <c r="G5" s="26">
        <v>2</v>
      </c>
      <c r="H5" s="18" t="s">
        <v>31</v>
      </c>
      <c r="I5" s="50">
        <v>0.33333333333333331</v>
      </c>
      <c r="J5" s="18" t="s">
        <v>30</v>
      </c>
      <c r="K5" s="50">
        <v>0.16129032258064516</v>
      </c>
      <c r="L5" s="18" t="s">
        <v>35</v>
      </c>
      <c r="M5" s="48">
        <v>0.34146341463414637</v>
      </c>
      <c r="N5" s="18" t="s">
        <v>31</v>
      </c>
      <c r="O5" s="48">
        <v>0.1638655462184874</v>
      </c>
      <c r="P5" s="18" t="s">
        <v>29</v>
      </c>
      <c r="Q5" s="19">
        <v>10700</v>
      </c>
      <c r="R5" s="18" t="s">
        <v>29</v>
      </c>
      <c r="S5" s="19">
        <v>-9500</v>
      </c>
      <c r="T5" s="18" t="s">
        <v>27</v>
      </c>
      <c r="U5" s="48">
        <v>7.0731707317073164E-2</v>
      </c>
    </row>
    <row r="6" spans="1:21" x14ac:dyDescent="0.4">
      <c r="A6" s="28">
        <v>5</v>
      </c>
      <c r="B6" s="27" t="s">
        <v>31</v>
      </c>
      <c r="C6" s="21">
        <v>-14</v>
      </c>
      <c r="D6" s="18" t="s">
        <v>31</v>
      </c>
      <c r="E6" s="20">
        <v>-0.42424242424242425</v>
      </c>
      <c r="F6" s="18" t="s">
        <v>21</v>
      </c>
      <c r="G6" s="26">
        <v>2</v>
      </c>
      <c r="H6" s="18" t="s">
        <v>27</v>
      </c>
      <c r="I6" s="50">
        <v>0.30357142857142855</v>
      </c>
      <c r="J6" s="18" t="s">
        <v>31</v>
      </c>
      <c r="K6" s="50">
        <v>0.18181818181818182</v>
      </c>
      <c r="L6" s="18" t="s">
        <v>31</v>
      </c>
      <c r="M6" s="48">
        <v>0.29411764705882354</v>
      </c>
      <c r="N6" s="18" t="s">
        <v>18</v>
      </c>
      <c r="O6" s="48">
        <v>0.2</v>
      </c>
      <c r="P6" s="18" t="s">
        <v>30</v>
      </c>
      <c r="Q6" s="19">
        <v>10500</v>
      </c>
      <c r="R6" s="18" t="s">
        <v>28</v>
      </c>
      <c r="S6" s="19">
        <v>-9600</v>
      </c>
      <c r="T6" s="18" t="s">
        <v>26</v>
      </c>
      <c r="U6" s="48">
        <v>6.9802731411229141E-2</v>
      </c>
    </row>
    <row r="7" spans="1:21" x14ac:dyDescent="0.4">
      <c r="A7" s="28">
        <v>6</v>
      </c>
      <c r="B7" s="27" t="s">
        <v>30</v>
      </c>
      <c r="C7" s="21">
        <v>-22</v>
      </c>
      <c r="D7" s="18" t="s">
        <v>30</v>
      </c>
      <c r="E7" s="20">
        <v>-0.70967741935483875</v>
      </c>
      <c r="F7" s="18" t="s">
        <v>31</v>
      </c>
      <c r="G7" s="26">
        <v>2</v>
      </c>
      <c r="H7" s="18" t="s">
        <v>30</v>
      </c>
      <c r="I7" s="50">
        <v>0.29032258064516131</v>
      </c>
      <c r="J7" s="18" t="s">
        <v>29</v>
      </c>
      <c r="K7" s="50">
        <v>0.24</v>
      </c>
      <c r="L7" s="18" t="s">
        <v>30</v>
      </c>
      <c r="M7" s="48">
        <v>0.29098360655737704</v>
      </c>
      <c r="N7" s="18" t="s">
        <v>30</v>
      </c>
      <c r="O7" s="48">
        <v>0.20491803278688525</v>
      </c>
      <c r="P7" s="18" t="s">
        <v>26</v>
      </c>
      <c r="Q7" s="19">
        <v>10000</v>
      </c>
      <c r="R7" s="18" t="s">
        <v>35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21</v>
      </c>
      <c r="C8" s="21">
        <v>-41</v>
      </c>
      <c r="D8" s="18" t="s">
        <v>27</v>
      </c>
      <c r="E8" s="20">
        <v>-6.2678571428571432</v>
      </c>
      <c r="F8" s="18" t="s">
        <v>30</v>
      </c>
      <c r="G8" s="26">
        <v>2.064516129032258</v>
      </c>
      <c r="H8" s="18" t="s">
        <v>29</v>
      </c>
      <c r="I8" s="50">
        <v>0.24</v>
      </c>
      <c r="J8" s="18" t="s">
        <v>35</v>
      </c>
      <c r="K8" s="50">
        <v>0.25</v>
      </c>
      <c r="L8" s="18" t="s">
        <v>29</v>
      </c>
      <c r="M8" s="48">
        <v>0.27979274611398963</v>
      </c>
      <c r="N8" s="18" t="s">
        <v>29</v>
      </c>
      <c r="O8" s="48">
        <v>0.20725388601036268</v>
      </c>
      <c r="P8" s="18" t="s">
        <v>28</v>
      </c>
      <c r="Q8" s="19">
        <v>9600</v>
      </c>
      <c r="R8" s="18" t="s">
        <v>26</v>
      </c>
      <c r="S8" s="19">
        <v>-10000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-7.08</v>
      </c>
      <c r="F9" s="18" t="s">
        <v>27</v>
      </c>
      <c r="G9" s="26">
        <v>2.1607142857142856</v>
      </c>
      <c r="H9" s="18" t="s">
        <v>37</v>
      </c>
      <c r="I9" s="50">
        <v>0</v>
      </c>
      <c r="J9" s="18" t="s">
        <v>27</v>
      </c>
      <c r="K9" s="50">
        <v>0.26785714285714285</v>
      </c>
      <c r="L9" s="18" t="s">
        <v>27</v>
      </c>
      <c r="M9" s="48">
        <v>0.23414634146341465</v>
      </c>
      <c r="N9" s="18" t="s">
        <v>27</v>
      </c>
      <c r="O9" s="48">
        <v>0.21219512195121951</v>
      </c>
      <c r="P9" s="18" t="s">
        <v>18</v>
      </c>
      <c r="Q9" s="19">
        <v>8000</v>
      </c>
      <c r="R9" s="18" t="s">
        <v>31</v>
      </c>
      <c r="S9" s="19">
        <v>-10000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-177</v>
      </c>
      <c r="D10" s="18" t="s">
        <v>37</v>
      </c>
      <c r="E10" s="20">
        <v>-33</v>
      </c>
      <c r="F10" s="18" t="s">
        <v>29</v>
      </c>
      <c r="G10" s="26">
        <v>2.2799999999999998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-10200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-351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3D280-3593-40B8-9A33-F883303C3721}">
  <sheetPr codeName="Sheet2"/>
  <dimension ref="A1:K94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92</v>
      </c>
      <c r="C2" s="10"/>
      <c r="E2" s="58" t="s">
        <v>93</v>
      </c>
      <c r="F2" s="59" t="s">
        <v>46</v>
      </c>
      <c r="G2" s="8">
        <v>70</v>
      </c>
      <c r="H2" s="46">
        <f>G2/B$12</f>
        <v>0.2978723404255319</v>
      </c>
      <c r="J2" s="4">
        <v>0</v>
      </c>
      <c r="K2" s="40">
        <v>0</v>
      </c>
    </row>
    <row r="3" spans="1:11" x14ac:dyDescent="0.4">
      <c r="A3" s="5" t="s">
        <v>8</v>
      </c>
      <c r="B3" s="1">
        <v>659</v>
      </c>
      <c r="C3" s="11"/>
      <c r="E3" s="52" t="s">
        <v>98</v>
      </c>
      <c r="F3" s="55" t="s">
        <v>50</v>
      </c>
      <c r="G3" s="1">
        <v>44</v>
      </c>
      <c r="H3" s="43">
        <f>G3/B$12</f>
        <v>0.18723404255319148</v>
      </c>
      <c r="J3" s="5">
        <v>1</v>
      </c>
      <c r="K3" s="12">
        <v>15</v>
      </c>
    </row>
    <row r="4" spans="1:11" x14ac:dyDescent="0.4">
      <c r="A4" s="5" t="s">
        <v>6</v>
      </c>
      <c r="B4" s="2">
        <v>418</v>
      </c>
      <c r="C4" s="12"/>
      <c r="E4" s="52" t="s">
        <v>91</v>
      </c>
      <c r="F4" s="55" t="s">
        <v>44</v>
      </c>
      <c r="G4" s="1">
        <v>42</v>
      </c>
      <c r="H4" s="43">
        <f>G4/B$12</f>
        <v>0.17872340425531916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4.5434782608695654</v>
      </c>
      <c r="C5" s="13"/>
      <c r="E5" s="52" t="s">
        <v>89</v>
      </c>
      <c r="F5" s="55" t="s">
        <v>42</v>
      </c>
      <c r="G5" s="1">
        <v>40</v>
      </c>
      <c r="H5" s="43">
        <f>G5/B$12</f>
        <v>0.1702127659574468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1.8586956521739131</v>
      </c>
      <c r="C6" s="14"/>
      <c r="E6" s="52" t="s">
        <v>92</v>
      </c>
      <c r="F6" s="55" t="s">
        <v>45</v>
      </c>
      <c r="G6" s="1">
        <v>25</v>
      </c>
      <c r="H6" s="43">
        <f>G6/B$12</f>
        <v>0.10638297872340426</v>
      </c>
      <c r="J6" s="5">
        <v>4</v>
      </c>
      <c r="K6" s="12">
        <v>114</v>
      </c>
    </row>
    <row r="7" spans="1:11" x14ac:dyDescent="0.4">
      <c r="A7" s="5" t="s">
        <v>2</v>
      </c>
      <c r="B7" s="1">
        <v>35</v>
      </c>
      <c r="C7" s="43">
        <f>B7/B$2</f>
        <v>0.38043478260869568</v>
      </c>
      <c r="E7" s="52" t="s">
        <v>94</v>
      </c>
      <c r="F7" s="55" t="s">
        <v>12</v>
      </c>
      <c r="G7" s="1">
        <v>18</v>
      </c>
      <c r="H7" s="43">
        <f>G7/B$12</f>
        <v>7.6595744680851063E-2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0.38043478260869568</v>
      </c>
      <c r="E8" s="52" t="s">
        <v>95</v>
      </c>
      <c r="F8" s="55" t="s">
        <v>47</v>
      </c>
      <c r="G8" s="1">
        <v>12</v>
      </c>
      <c r="H8" s="43">
        <f>G8/B$12</f>
        <v>5.106382978723404E-2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0.2391304347826087</v>
      </c>
      <c r="E9" s="52" t="s">
        <v>116</v>
      </c>
      <c r="F9" s="55" t="s">
        <v>68</v>
      </c>
      <c r="G9" s="1">
        <v>8</v>
      </c>
      <c r="H9" s="43">
        <f>G9/B$12</f>
        <v>3.4042553191489362E-2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0.11956521739130435</v>
      </c>
      <c r="E10" s="52" t="s">
        <v>97</v>
      </c>
      <c r="F10" s="55" t="s">
        <v>49</v>
      </c>
      <c r="G10" s="1">
        <v>5</v>
      </c>
      <c r="H10" s="43">
        <f>G10/B$12</f>
        <v>2.1276595744680851E-2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46</v>
      </c>
      <c r="C11" s="65">
        <f t="shared" ref="C11" si="1">B11/B$3</f>
        <v>6.9802731411229141E-2</v>
      </c>
      <c r="E11" s="52" t="s">
        <v>96</v>
      </c>
      <c r="F11" s="55" t="s">
        <v>48</v>
      </c>
      <c r="G11" s="1">
        <v>3</v>
      </c>
      <c r="H11" s="43">
        <f>G11/B$12</f>
        <v>1.276595744680851E-2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235</v>
      </c>
      <c r="C12" s="46">
        <f>B12/B$3</f>
        <v>0.3566009104704097</v>
      </c>
      <c r="E12" s="52" t="s">
        <v>113</v>
      </c>
      <c r="F12" s="55" t="s">
        <v>65</v>
      </c>
      <c r="G12" s="1">
        <v>3</v>
      </c>
      <c r="H12" s="43">
        <f>G12/B$12</f>
        <v>1.276595744680851E-2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152</v>
      </c>
      <c r="C13" s="43">
        <f t="shared" ref="C13:C15" si="2">B13/B$3</f>
        <v>0.2306525037936267</v>
      </c>
      <c r="E13" s="52" t="s">
        <v>90</v>
      </c>
      <c r="F13" s="55" t="s">
        <v>43</v>
      </c>
      <c r="G13" s="1">
        <v>2</v>
      </c>
      <c r="H13" s="43">
        <f>G13/B$12</f>
        <v>8.5106382978723406E-3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83</v>
      </c>
      <c r="C14" s="43">
        <f t="shared" si="2"/>
        <v>0.125948406676783</v>
      </c>
      <c r="E14" s="52" t="s">
        <v>103</v>
      </c>
      <c r="F14" s="55" t="s">
        <v>55</v>
      </c>
      <c r="G14" s="1">
        <v>2</v>
      </c>
      <c r="H14" s="43">
        <f>G14/B$12</f>
        <v>8.5106382978723406E-3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0.15781487101669195</v>
      </c>
      <c r="E15" s="52" t="s">
        <v>110</v>
      </c>
      <c r="F15" s="55" t="s">
        <v>62</v>
      </c>
      <c r="G15" s="1">
        <v>2</v>
      </c>
      <c r="H15" s="43">
        <f>G15/B$12</f>
        <v>8.5106382978723406E-3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10000</v>
      </c>
      <c r="C16" s="15">
        <v>2357600</v>
      </c>
      <c r="E16" s="52" t="s">
        <v>119</v>
      </c>
      <c r="F16" s="55" t="s">
        <v>71</v>
      </c>
      <c r="G16" s="1">
        <v>2</v>
      </c>
      <c r="H16" s="43">
        <f>G16/B$12</f>
        <v>8.5106382978723406E-3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4.2553191489361703E-3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4.2553191489361703E-3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4.2553191489361703E-3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4.2553191489361703E-3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  <row r="94" spans="10:11" x14ac:dyDescent="0.4">
      <c r="J94" s="5">
        <v>92</v>
      </c>
      <c r="K94" s="12">
        <v>418</v>
      </c>
    </row>
  </sheetData>
  <sortState ref="E2:H94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FEA37-F62F-43FA-9E11-F574304269A9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9D3F2-4E48-4B8E-BD39-D41E1F207E24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3319-26A6-4019-BA9A-7001775798E7}">
  <sheetPr codeName="Sheet5"/>
  <dimension ref="A1:K58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56</v>
      </c>
      <c r="C2" s="10"/>
      <c r="E2" s="58" t="s">
        <v>93</v>
      </c>
      <c r="F2" s="59" t="s">
        <v>46</v>
      </c>
      <c r="G2" s="8">
        <v>23</v>
      </c>
      <c r="H2" s="46">
        <f>G2/B$12</f>
        <v>0.23958333333333334</v>
      </c>
      <c r="J2" s="4">
        <v>0</v>
      </c>
      <c r="K2" s="40">
        <v>0</v>
      </c>
    </row>
    <row r="3" spans="1:11" x14ac:dyDescent="0.4">
      <c r="A3" s="5" t="s">
        <v>8</v>
      </c>
      <c r="B3" s="1">
        <v>410</v>
      </c>
      <c r="C3" s="11"/>
      <c r="E3" s="52" t="s">
        <v>89</v>
      </c>
      <c r="F3" s="55" t="s">
        <v>42</v>
      </c>
      <c r="G3" s="1">
        <v>22</v>
      </c>
      <c r="H3" s="43">
        <f>G3/B$12</f>
        <v>0.22916666666666666</v>
      </c>
      <c r="J3" s="5">
        <v>1</v>
      </c>
      <c r="K3" s="12">
        <v>41</v>
      </c>
    </row>
    <row r="4" spans="1:11" x14ac:dyDescent="0.4">
      <c r="A4" s="5" t="s">
        <v>6</v>
      </c>
      <c r="B4" s="2">
        <v>-351</v>
      </c>
      <c r="C4" s="12"/>
      <c r="E4" s="52" t="s">
        <v>98</v>
      </c>
      <c r="F4" s="55" t="s">
        <v>50</v>
      </c>
      <c r="G4" s="1">
        <v>19</v>
      </c>
      <c r="H4" s="43">
        <f>G4/B$12</f>
        <v>0.19791666666666666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-6.2678571428571432</v>
      </c>
      <c r="C5" s="13"/>
      <c r="E5" s="52" t="s">
        <v>94</v>
      </c>
      <c r="F5" s="55" t="s">
        <v>12</v>
      </c>
      <c r="G5" s="1">
        <v>17</v>
      </c>
      <c r="H5" s="43">
        <f>G5/B$12</f>
        <v>0.17708333333333334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2.1607142857142856</v>
      </c>
      <c r="C6" s="14"/>
      <c r="E6" s="52" t="s">
        <v>91</v>
      </c>
      <c r="F6" s="55" t="s">
        <v>44</v>
      </c>
      <c r="G6" s="1">
        <v>14</v>
      </c>
      <c r="H6" s="43">
        <f>G6/B$12</f>
        <v>0.14583333333333334</v>
      </c>
      <c r="J6" s="5">
        <v>4</v>
      </c>
      <c r="K6" s="12">
        <v>3</v>
      </c>
    </row>
    <row r="7" spans="1:11" x14ac:dyDescent="0.4">
      <c r="A7" s="5" t="s">
        <v>2</v>
      </c>
      <c r="B7" s="1">
        <v>17</v>
      </c>
      <c r="C7" s="43">
        <f>B7/B$2</f>
        <v>0.30357142857142855</v>
      </c>
      <c r="E7" s="52" t="s">
        <v>92</v>
      </c>
      <c r="F7" s="55" t="s">
        <v>45</v>
      </c>
      <c r="G7" s="1">
        <v>8</v>
      </c>
      <c r="H7" s="43">
        <f>G7/B$12</f>
        <v>8.3333333333333329E-2</v>
      </c>
      <c r="J7" s="5">
        <v>5</v>
      </c>
      <c r="K7" s="12">
        <v>14</v>
      </c>
    </row>
    <row r="8" spans="1:11" x14ac:dyDescent="0.4">
      <c r="A8" s="5" t="s">
        <v>3</v>
      </c>
      <c r="B8" s="1">
        <v>13</v>
      </c>
      <c r="C8" s="43">
        <f t="shared" ref="C8:C10" si="0">B8/B$2</f>
        <v>0.23214285714285715</v>
      </c>
      <c r="E8" s="52" t="s">
        <v>96</v>
      </c>
      <c r="F8" s="55" t="s">
        <v>48</v>
      </c>
      <c r="G8" s="1">
        <v>6</v>
      </c>
      <c r="H8" s="43">
        <f>G8/B$12</f>
        <v>6.25E-2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0.4642857142857143</v>
      </c>
      <c r="E9" s="52" t="s">
        <v>116</v>
      </c>
      <c r="F9" s="55" t="s">
        <v>68</v>
      </c>
      <c r="G9" s="1">
        <v>6</v>
      </c>
      <c r="H9" s="43">
        <f>G9/B$12</f>
        <v>6.25E-2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0.26785714285714285</v>
      </c>
      <c r="E10" s="52" t="s">
        <v>95</v>
      </c>
      <c r="F10" s="55" t="s">
        <v>47</v>
      </c>
      <c r="G10" s="1">
        <v>5</v>
      </c>
      <c r="H10" s="43">
        <f>G10/B$12</f>
        <v>5.2083333333333336E-2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29</v>
      </c>
      <c r="C11" s="65">
        <f t="shared" ref="C11" si="1">B11/B$3</f>
        <v>7.0731707317073164E-2</v>
      </c>
      <c r="E11" s="52" t="s">
        <v>110</v>
      </c>
      <c r="F11" s="55" t="s">
        <v>62</v>
      </c>
      <c r="G11" s="1">
        <v>4</v>
      </c>
      <c r="H11" s="43">
        <f>G11/B$12</f>
        <v>4.1666666666666664E-2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96</v>
      </c>
      <c r="C12" s="46">
        <f>B12/B$3</f>
        <v>0.23414634146341465</v>
      </c>
      <c r="E12" s="52" t="s">
        <v>113</v>
      </c>
      <c r="F12" s="55" t="s">
        <v>65</v>
      </c>
      <c r="G12" s="1">
        <v>4</v>
      </c>
      <c r="H12" s="43">
        <f>G12/B$12</f>
        <v>4.1666666666666664E-2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54</v>
      </c>
      <c r="C13" s="43">
        <f t="shared" ref="C13:C15" si="2">B13/B$3</f>
        <v>0.13170731707317074</v>
      </c>
      <c r="E13" s="52" t="s">
        <v>90</v>
      </c>
      <c r="F13" s="55" t="s">
        <v>43</v>
      </c>
      <c r="G13" s="1">
        <v>3</v>
      </c>
      <c r="H13" s="43">
        <f>G13/B$12</f>
        <v>3.125E-2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42</v>
      </c>
      <c r="C14" s="43">
        <f t="shared" si="2"/>
        <v>0.1024390243902439</v>
      </c>
      <c r="E14" s="52" t="s">
        <v>97</v>
      </c>
      <c r="F14" s="55" t="s">
        <v>49</v>
      </c>
      <c r="G14" s="1">
        <v>2</v>
      </c>
      <c r="H14" s="43">
        <f>G14/B$12</f>
        <v>2.0833333333333332E-2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87</v>
      </c>
      <c r="C15" s="43">
        <f t="shared" si="2"/>
        <v>0.21219512195121951</v>
      </c>
      <c r="E15" s="52" t="s">
        <v>108</v>
      </c>
      <c r="F15" s="55" t="s">
        <v>60</v>
      </c>
      <c r="G15" s="1">
        <v>2</v>
      </c>
      <c r="H15" s="43">
        <f>G15/B$12</f>
        <v>2.0833333333333332E-2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11300</v>
      </c>
      <c r="C16" s="15">
        <v>1088500</v>
      </c>
      <c r="E16" s="52" t="s">
        <v>112</v>
      </c>
      <c r="F16" s="55" t="s">
        <v>64</v>
      </c>
      <c r="G16" s="1">
        <v>1</v>
      </c>
      <c r="H16" s="43">
        <f>G16/B$12</f>
        <v>1.0416666666666666E-2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-10200</v>
      </c>
      <c r="C17" s="17">
        <v>-891700</v>
      </c>
      <c r="E17" s="52" t="s">
        <v>114</v>
      </c>
      <c r="F17" s="55" t="s">
        <v>66</v>
      </c>
      <c r="G17" s="1">
        <v>1</v>
      </c>
      <c r="H17" s="43">
        <f>G17/B$12</f>
        <v>1.0416666666666666E-2</v>
      </c>
      <c r="J17" s="5">
        <v>15</v>
      </c>
      <c r="K17" s="12">
        <v>39</v>
      </c>
    </row>
    <row r="18" spans="1:11" x14ac:dyDescent="0.4">
      <c r="E18" s="52" t="s">
        <v>115</v>
      </c>
      <c r="F18" s="55" t="s">
        <v>67</v>
      </c>
      <c r="G18" s="1">
        <v>1</v>
      </c>
      <c r="H18" s="43">
        <f>G18/B$12</f>
        <v>1.0416666666666666E-2</v>
      </c>
      <c r="J18" s="5">
        <v>16</v>
      </c>
      <c r="K18" s="12">
        <v>15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1.0416666666666666E-2</v>
      </c>
      <c r="J19" s="5">
        <v>17</v>
      </c>
      <c r="K19" s="12">
        <v>14</v>
      </c>
    </row>
    <row r="20" spans="1:11" x14ac:dyDescent="0.4">
      <c r="E20" s="52" t="s">
        <v>119</v>
      </c>
      <c r="F20" s="55" t="s">
        <v>71</v>
      </c>
      <c r="G20" s="1">
        <v>1</v>
      </c>
      <c r="H20" s="43">
        <f>G20/B$12</f>
        <v>1.0416666666666666E-2</v>
      </c>
      <c r="J20" s="5">
        <v>18</v>
      </c>
      <c r="K20" s="12">
        <v>-22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103</v>
      </c>
      <c r="F25" s="55" t="s">
        <v>55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104</v>
      </c>
      <c r="F26" s="55" t="s">
        <v>56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105</v>
      </c>
      <c r="F27" s="55" t="s">
        <v>57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106</v>
      </c>
      <c r="F28" s="55" t="s">
        <v>58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107</v>
      </c>
      <c r="F29" s="55" t="s">
        <v>59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109</v>
      </c>
      <c r="F30" s="55" t="s">
        <v>61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111</v>
      </c>
      <c r="F31" s="55" t="s">
        <v>63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117</v>
      </c>
      <c r="F32" s="55" t="s">
        <v>69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  <row r="57" spans="5:11" x14ac:dyDescent="0.4">
      <c r="J57" s="5">
        <v>55</v>
      </c>
      <c r="K57" s="12">
        <v>-363</v>
      </c>
    </row>
    <row r="58" spans="5:11" x14ac:dyDescent="0.4">
      <c r="J58" s="5">
        <v>56</v>
      </c>
      <c r="K58" s="12">
        <v>-351</v>
      </c>
    </row>
  </sheetData>
  <sortState ref="E2:H58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E26CD-BEA8-4802-8238-4DC9AAF922DF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C7E6-794F-4268-8D10-0D97CAA5EC5E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E9D69-2908-4A7B-ABE4-32D62325A8D7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31</v>
      </c>
      <c r="C2" s="10"/>
      <c r="E2" s="58" t="s">
        <v>98</v>
      </c>
      <c r="F2" s="59" t="s">
        <v>50</v>
      </c>
      <c r="G2" s="8">
        <v>14</v>
      </c>
      <c r="H2" s="46">
        <f>G2/B$12</f>
        <v>0.19718309859154928</v>
      </c>
      <c r="J2" s="4">
        <v>0</v>
      </c>
      <c r="K2" s="40">
        <v>0</v>
      </c>
    </row>
    <row r="3" spans="1:11" x14ac:dyDescent="0.4">
      <c r="A3" s="5" t="s">
        <v>8</v>
      </c>
      <c r="B3" s="1">
        <v>244</v>
      </c>
      <c r="C3" s="11"/>
      <c r="E3" s="52" t="s">
        <v>93</v>
      </c>
      <c r="F3" s="55" t="s">
        <v>46</v>
      </c>
      <c r="G3" s="1">
        <v>13</v>
      </c>
      <c r="H3" s="43">
        <f>G3/B$12</f>
        <v>0.18309859154929578</v>
      </c>
      <c r="J3" s="5">
        <v>1</v>
      </c>
      <c r="K3" s="12">
        <v>68</v>
      </c>
    </row>
    <row r="4" spans="1:11" x14ac:dyDescent="0.4">
      <c r="A4" s="5" t="s">
        <v>6</v>
      </c>
      <c r="B4" s="2">
        <v>-22</v>
      </c>
      <c r="C4" s="12"/>
      <c r="E4" s="52" t="s">
        <v>91</v>
      </c>
      <c r="F4" s="55" t="s">
        <v>44</v>
      </c>
      <c r="G4" s="1">
        <v>12</v>
      </c>
      <c r="H4" s="43">
        <f>G4/B$12</f>
        <v>0.16901408450704225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-0.70967741935483875</v>
      </c>
      <c r="C5" s="13"/>
      <c r="E5" s="52" t="s">
        <v>89</v>
      </c>
      <c r="F5" s="55" t="s">
        <v>42</v>
      </c>
      <c r="G5" s="1">
        <v>3</v>
      </c>
      <c r="H5" s="43">
        <f>G5/B$12</f>
        <v>4.2253521126760563E-2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2.064516129032258</v>
      </c>
      <c r="C6" s="14"/>
      <c r="E6" s="52" t="s">
        <v>94</v>
      </c>
      <c r="F6" s="55" t="s">
        <v>12</v>
      </c>
      <c r="G6" s="1">
        <v>3</v>
      </c>
      <c r="H6" s="43">
        <f>G6/B$12</f>
        <v>4.2253521126760563E-2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0.29032258064516131</v>
      </c>
      <c r="E7" s="52" t="s">
        <v>116</v>
      </c>
      <c r="F7" s="55" t="s">
        <v>68</v>
      </c>
      <c r="G7" s="1">
        <v>3</v>
      </c>
      <c r="H7" s="43">
        <f>G7/B$12</f>
        <v>4.2253521126760563E-2</v>
      </c>
      <c r="J7" s="5">
        <v>5</v>
      </c>
      <c r="K7" s="12">
        <v>124</v>
      </c>
    </row>
    <row r="8" spans="1:11" x14ac:dyDescent="0.4">
      <c r="A8" s="5" t="s">
        <v>3</v>
      </c>
      <c r="B8" s="1">
        <v>11</v>
      </c>
      <c r="C8" s="43">
        <f t="shared" ref="C8:C10" si="0">B8/B$2</f>
        <v>0.35483870967741937</v>
      </c>
      <c r="E8" s="52" t="s">
        <v>105</v>
      </c>
      <c r="F8" s="55" t="s">
        <v>57</v>
      </c>
      <c r="G8" s="1">
        <v>2</v>
      </c>
      <c r="H8" s="43">
        <f>G8/B$12</f>
        <v>2.8169014084507043E-2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11</v>
      </c>
      <c r="C9" s="44">
        <f t="shared" si="0"/>
        <v>0.35483870967741937</v>
      </c>
      <c r="E9" s="52" t="s">
        <v>113</v>
      </c>
      <c r="F9" s="55" t="s">
        <v>65</v>
      </c>
      <c r="G9" s="1">
        <v>2</v>
      </c>
      <c r="H9" s="43">
        <f>G9/B$12</f>
        <v>2.8169014084507043E-2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0.16129032258064516</v>
      </c>
      <c r="E10" s="52" t="s">
        <v>90</v>
      </c>
      <c r="F10" s="55" t="s">
        <v>43</v>
      </c>
      <c r="G10" s="1">
        <v>1</v>
      </c>
      <c r="H10" s="43">
        <f>G10/B$12</f>
        <v>1.4084507042253521E-2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20</v>
      </c>
      <c r="C11" s="65">
        <f t="shared" ref="C11" si="1">B11/B$3</f>
        <v>8.1967213114754092E-2</v>
      </c>
      <c r="E11" s="52" t="s">
        <v>101</v>
      </c>
      <c r="F11" s="55" t="s">
        <v>53</v>
      </c>
      <c r="G11" s="1">
        <v>1</v>
      </c>
      <c r="H11" s="43">
        <f>G11/B$12</f>
        <v>1.4084507042253521E-2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71</v>
      </c>
      <c r="C12" s="46">
        <f>B12/B$3</f>
        <v>0.29098360655737704</v>
      </c>
      <c r="E12" s="52" t="s">
        <v>104</v>
      </c>
      <c r="F12" s="55" t="s">
        <v>56</v>
      </c>
      <c r="G12" s="1">
        <v>1</v>
      </c>
      <c r="H12" s="43">
        <f>G12/B$12</f>
        <v>1.4084507042253521E-2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40</v>
      </c>
      <c r="C13" s="43">
        <f t="shared" ref="C13:C15" si="2">B13/B$3</f>
        <v>0.16393442622950818</v>
      </c>
      <c r="E13" s="52" t="s">
        <v>110</v>
      </c>
      <c r="F13" s="55" t="s">
        <v>62</v>
      </c>
      <c r="G13" s="1">
        <v>1</v>
      </c>
      <c r="H13" s="43">
        <f>G13/B$12</f>
        <v>1.4084507042253521E-2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31</v>
      </c>
      <c r="C14" s="43">
        <f t="shared" si="2"/>
        <v>0.12704918032786885</v>
      </c>
      <c r="E14" s="52" t="s">
        <v>92</v>
      </c>
      <c r="F14" s="55" t="s">
        <v>45</v>
      </c>
      <c r="G14" s="1">
        <v>0</v>
      </c>
      <c r="H14" s="43">
        <f>G14/B$12</f>
        <v>0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50</v>
      </c>
      <c r="C15" s="43">
        <f t="shared" si="2"/>
        <v>0.20491803278688525</v>
      </c>
      <c r="E15" s="52" t="s">
        <v>95</v>
      </c>
      <c r="F15" s="55" t="s">
        <v>47</v>
      </c>
      <c r="G15" s="1">
        <v>0</v>
      </c>
      <c r="H15" s="43">
        <f>G15/B$12</f>
        <v>0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10500</v>
      </c>
      <c r="C16" s="15">
        <v>742000</v>
      </c>
      <c r="E16" s="52" t="s">
        <v>96</v>
      </c>
      <c r="F16" s="55" t="s">
        <v>48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-7600</v>
      </c>
      <c r="C17" s="17">
        <v>-380500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BD051-00E8-44FB-B28F-3135D34A6E7E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33</v>
      </c>
      <c r="C2" s="10"/>
      <c r="E2" s="58" t="s">
        <v>91</v>
      </c>
      <c r="F2" s="59" t="s">
        <v>44</v>
      </c>
      <c r="G2" s="8">
        <v>36</v>
      </c>
      <c r="H2" s="46">
        <f>G2/B$12</f>
        <v>0.51428571428571423</v>
      </c>
      <c r="J2" s="4">
        <v>0</v>
      </c>
      <c r="K2" s="40">
        <v>0</v>
      </c>
    </row>
    <row r="3" spans="1:11" x14ac:dyDescent="0.4">
      <c r="A3" s="5" t="s">
        <v>8</v>
      </c>
      <c r="B3" s="1">
        <v>238</v>
      </c>
      <c r="C3" s="11"/>
      <c r="E3" s="52" t="s">
        <v>93</v>
      </c>
      <c r="F3" s="55" t="s">
        <v>46</v>
      </c>
      <c r="G3" s="1">
        <v>26</v>
      </c>
      <c r="H3" s="43">
        <f>G3/B$12</f>
        <v>0.37142857142857144</v>
      </c>
      <c r="J3" s="5">
        <v>1</v>
      </c>
      <c r="K3" s="12">
        <v>-37</v>
      </c>
    </row>
    <row r="4" spans="1:11" x14ac:dyDescent="0.4">
      <c r="A4" s="5" t="s">
        <v>6</v>
      </c>
      <c r="B4" s="2">
        <v>-14</v>
      </c>
      <c r="C4" s="12"/>
      <c r="E4" s="52" t="s">
        <v>89</v>
      </c>
      <c r="F4" s="55" t="s">
        <v>42</v>
      </c>
      <c r="G4" s="1">
        <v>23</v>
      </c>
      <c r="H4" s="43">
        <f>G4/B$12</f>
        <v>0.32857142857142857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-0.42424242424242425</v>
      </c>
      <c r="C5" s="13"/>
      <c r="E5" s="52" t="s">
        <v>92</v>
      </c>
      <c r="F5" s="55" t="s">
        <v>45</v>
      </c>
      <c r="G5" s="1">
        <v>16</v>
      </c>
      <c r="H5" s="43">
        <f>G5/B$12</f>
        <v>0.22857142857142856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98</v>
      </c>
      <c r="F6" s="55" t="s">
        <v>50</v>
      </c>
      <c r="G6" s="1">
        <v>13</v>
      </c>
      <c r="H6" s="43">
        <f>G6/B$12</f>
        <v>0.18571428571428572</v>
      </c>
      <c r="J6" s="5">
        <v>4</v>
      </c>
      <c r="K6" s="12">
        <v>-114</v>
      </c>
    </row>
    <row r="7" spans="1:11" x14ac:dyDescent="0.4">
      <c r="A7" s="5" t="s">
        <v>2</v>
      </c>
      <c r="B7" s="1">
        <v>11</v>
      </c>
      <c r="C7" s="43">
        <f>B7/B$2</f>
        <v>0.33333333333333331</v>
      </c>
      <c r="E7" s="52" t="s">
        <v>94</v>
      </c>
      <c r="F7" s="55" t="s">
        <v>12</v>
      </c>
      <c r="G7" s="1">
        <v>9</v>
      </c>
      <c r="H7" s="43">
        <f>G7/B$12</f>
        <v>0.12857142857142856</v>
      </c>
      <c r="J7" s="5">
        <v>5</v>
      </c>
      <c r="K7" s="12">
        <v>-136</v>
      </c>
    </row>
    <row r="8" spans="1:11" x14ac:dyDescent="0.4">
      <c r="A8" s="5" t="s">
        <v>3</v>
      </c>
      <c r="B8" s="1">
        <v>11</v>
      </c>
      <c r="C8" s="43">
        <f t="shared" ref="C8:C10" si="0">B8/B$2</f>
        <v>0.33333333333333331</v>
      </c>
      <c r="E8" s="52" t="s">
        <v>95</v>
      </c>
      <c r="F8" s="55" t="s">
        <v>47</v>
      </c>
      <c r="G8" s="1">
        <v>6</v>
      </c>
      <c r="H8" s="43">
        <f>G8/B$12</f>
        <v>8.5714285714285715E-2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11</v>
      </c>
      <c r="C9" s="44">
        <f t="shared" si="0"/>
        <v>0.33333333333333331</v>
      </c>
      <c r="E9" s="52" t="s">
        <v>96</v>
      </c>
      <c r="F9" s="55" t="s">
        <v>48</v>
      </c>
      <c r="G9" s="1">
        <v>5</v>
      </c>
      <c r="H9" s="43">
        <f>G9/B$12</f>
        <v>7.1428571428571425E-2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0.18181818181818182</v>
      </c>
      <c r="E10" s="52" t="s">
        <v>113</v>
      </c>
      <c r="F10" s="55" t="s">
        <v>65</v>
      </c>
      <c r="G10" s="1">
        <v>4</v>
      </c>
      <c r="H10" s="43">
        <f>G10/B$12</f>
        <v>5.7142857142857141E-2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21</v>
      </c>
      <c r="C11" s="65">
        <f t="shared" ref="C11" si="1">B11/B$3</f>
        <v>8.8235294117647065E-2</v>
      </c>
      <c r="E11" s="52" t="s">
        <v>90</v>
      </c>
      <c r="F11" s="55" t="s">
        <v>43</v>
      </c>
      <c r="G11" s="1">
        <v>3</v>
      </c>
      <c r="H11" s="43">
        <f>G11/B$12</f>
        <v>4.2857142857142858E-2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70</v>
      </c>
      <c r="C12" s="46">
        <f>B12/B$3</f>
        <v>0.29411764705882354</v>
      </c>
      <c r="E12" s="52" t="s">
        <v>97</v>
      </c>
      <c r="F12" s="55" t="s">
        <v>49</v>
      </c>
      <c r="G12" s="1">
        <v>3</v>
      </c>
      <c r="H12" s="43">
        <f>G12/B$12</f>
        <v>4.2857142857142858E-2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46</v>
      </c>
      <c r="C13" s="43">
        <f t="shared" ref="C13:C15" si="2">B13/B$3</f>
        <v>0.19327731092436976</v>
      </c>
      <c r="E13" s="52" t="s">
        <v>116</v>
      </c>
      <c r="F13" s="55" t="s">
        <v>68</v>
      </c>
      <c r="G13" s="1">
        <v>2</v>
      </c>
      <c r="H13" s="43">
        <f>G13/B$12</f>
        <v>2.8571428571428571E-2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24</v>
      </c>
      <c r="C14" s="43">
        <f t="shared" si="2"/>
        <v>0.10084033613445378</v>
      </c>
      <c r="E14" s="52" t="s">
        <v>100</v>
      </c>
      <c r="F14" s="55" t="s">
        <v>52</v>
      </c>
      <c r="G14" s="1">
        <v>1</v>
      </c>
      <c r="H14" s="43">
        <f>G14/B$12</f>
        <v>1.4285714285714285E-2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39</v>
      </c>
      <c r="C15" s="43">
        <f t="shared" si="2"/>
        <v>0.1638655462184874</v>
      </c>
      <c r="E15" s="52" t="s">
        <v>104</v>
      </c>
      <c r="F15" s="55" t="s">
        <v>56</v>
      </c>
      <c r="G15" s="1">
        <v>1</v>
      </c>
      <c r="H15" s="43">
        <f>G15/B$12</f>
        <v>1.4285714285714285E-2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10700</v>
      </c>
      <c r="C16" s="15">
        <v>746000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-390200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-14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6B77B-20E3-46E6-8848-2B7126D28DB2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946F-95C0-4B8E-92D3-0BED4953C1B9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25</v>
      </c>
      <c r="C2" s="10"/>
      <c r="E2" s="58" t="s">
        <v>93</v>
      </c>
      <c r="F2" s="59" t="s">
        <v>46</v>
      </c>
      <c r="G2" s="8">
        <v>41</v>
      </c>
      <c r="H2" s="46">
        <f>G2/B$12</f>
        <v>0.7592592592592593</v>
      </c>
      <c r="J2" s="4">
        <v>0</v>
      </c>
      <c r="K2" s="40">
        <v>0</v>
      </c>
    </row>
    <row r="3" spans="1:11" x14ac:dyDescent="0.4">
      <c r="A3" s="5" t="s">
        <v>8</v>
      </c>
      <c r="B3" s="1">
        <v>193</v>
      </c>
      <c r="C3" s="11"/>
      <c r="E3" s="52" t="s">
        <v>98</v>
      </c>
      <c r="F3" s="55" t="s">
        <v>50</v>
      </c>
      <c r="G3" s="1">
        <v>38</v>
      </c>
      <c r="H3" s="43">
        <f>G3/B$12</f>
        <v>0.70370370370370372</v>
      </c>
      <c r="J3" s="5">
        <v>1</v>
      </c>
      <c r="K3" s="12">
        <v>4</v>
      </c>
    </row>
    <row r="4" spans="1:11" x14ac:dyDescent="0.4">
      <c r="A4" s="5" t="s">
        <v>6</v>
      </c>
      <c r="B4" s="2">
        <v>-177</v>
      </c>
      <c r="C4" s="12"/>
      <c r="E4" s="52" t="s">
        <v>91</v>
      </c>
      <c r="F4" s="55" t="s">
        <v>44</v>
      </c>
      <c r="G4" s="1">
        <v>27</v>
      </c>
      <c r="H4" s="43">
        <f>G4/B$12</f>
        <v>0.5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-7.08</v>
      </c>
      <c r="C5" s="13"/>
      <c r="E5" s="52" t="s">
        <v>89</v>
      </c>
      <c r="F5" s="55" t="s">
        <v>42</v>
      </c>
      <c r="G5" s="1">
        <v>23</v>
      </c>
      <c r="H5" s="43">
        <f>G5/B$12</f>
        <v>0.42592592592592593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2.2799999999999998</v>
      </c>
      <c r="C6" s="14"/>
      <c r="E6" s="52" t="s">
        <v>94</v>
      </c>
      <c r="F6" s="55" t="s">
        <v>12</v>
      </c>
      <c r="G6" s="1">
        <v>17</v>
      </c>
      <c r="H6" s="43">
        <f>G6/B$12</f>
        <v>0.31481481481481483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0.24</v>
      </c>
      <c r="E7" s="52" t="s">
        <v>92</v>
      </c>
      <c r="F7" s="55" t="s">
        <v>45</v>
      </c>
      <c r="G7" s="1">
        <v>14</v>
      </c>
      <c r="H7" s="43">
        <f>G7/B$12</f>
        <v>0.25925925925925924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0.24</v>
      </c>
      <c r="E8" s="52" t="s">
        <v>116</v>
      </c>
      <c r="F8" s="55" t="s">
        <v>68</v>
      </c>
      <c r="G8" s="1">
        <v>8</v>
      </c>
      <c r="H8" s="43">
        <f>G8/B$12</f>
        <v>0.14814814814814814</v>
      </c>
      <c r="J8" s="5">
        <v>6</v>
      </c>
      <c r="K8" s="12">
        <v>-116</v>
      </c>
    </row>
    <row r="9" spans="1:11" x14ac:dyDescent="0.4">
      <c r="A9" s="23" t="s">
        <v>4</v>
      </c>
      <c r="B9" s="24">
        <v>13</v>
      </c>
      <c r="C9" s="44">
        <f t="shared" si="0"/>
        <v>0.52</v>
      </c>
      <c r="E9" s="52" t="s">
        <v>95</v>
      </c>
      <c r="F9" s="55" t="s">
        <v>47</v>
      </c>
      <c r="G9" s="1">
        <v>7</v>
      </c>
      <c r="H9" s="43">
        <f>G9/B$12</f>
        <v>0.12962962962962962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0.24</v>
      </c>
      <c r="E10" s="52" t="s">
        <v>96</v>
      </c>
      <c r="F10" s="55" t="s">
        <v>48</v>
      </c>
      <c r="G10" s="1">
        <v>4</v>
      </c>
      <c r="H10" s="43">
        <f>G10/B$12</f>
        <v>7.407407407407407E-2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37</v>
      </c>
      <c r="C11" s="65">
        <f t="shared" ref="C11" si="1">B11/B$3</f>
        <v>0.19170984455958548</v>
      </c>
      <c r="E11" s="52" t="s">
        <v>104</v>
      </c>
      <c r="F11" s="55" t="s">
        <v>56</v>
      </c>
      <c r="G11" s="1">
        <v>4</v>
      </c>
      <c r="H11" s="43">
        <f>G11/B$12</f>
        <v>7.407407407407407E-2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54</v>
      </c>
      <c r="C12" s="46">
        <f>B12/B$3</f>
        <v>0.27979274611398963</v>
      </c>
      <c r="E12" s="52" t="s">
        <v>90</v>
      </c>
      <c r="F12" s="55" t="s">
        <v>43</v>
      </c>
      <c r="G12" s="1">
        <v>3</v>
      </c>
      <c r="H12" s="43">
        <f>G12/B$12</f>
        <v>5.5555555555555552E-2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27</v>
      </c>
      <c r="C13" s="43">
        <f t="shared" ref="C13:C15" si="2">B13/B$3</f>
        <v>0.13989637305699482</v>
      </c>
      <c r="E13" s="52" t="s">
        <v>99</v>
      </c>
      <c r="F13" s="55" t="s">
        <v>51</v>
      </c>
      <c r="G13" s="1">
        <v>2</v>
      </c>
      <c r="H13" s="43">
        <f>G13/B$12</f>
        <v>3.7037037037037035E-2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0.13989637305699482</v>
      </c>
      <c r="E14" s="52" t="s">
        <v>110</v>
      </c>
      <c r="F14" s="55" t="s">
        <v>62</v>
      </c>
      <c r="G14" s="1">
        <v>2</v>
      </c>
      <c r="H14" s="43">
        <f>G14/B$12</f>
        <v>3.7037037037037035E-2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40</v>
      </c>
      <c r="C15" s="43">
        <f t="shared" si="2"/>
        <v>0.20725388601036268</v>
      </c>
      <c r="E15" s="52" t="s">
        <v>101</v>
      </c>
      <c r="F15" s="55" t="s">
        <v>53</v>
      </c>
      <c r="G15" s="1">
        <v>1</v>
      </c>
      <c r="H15" s="43">
        <f>G15/B$12</f>
        <v>1.8518518518518517E-2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10700</v>
      </c>
      <c r="C16" s="15">
        <v>579400</v>
      </c>
      <c r="E16" s="52" t="s">
        <v>108</v>
      </c>
      <c r="F16" s="55" t="s">
        <v>60</v>
      </c>
      <c r="G16" s="1">
        <v>1</v>
      </c>
      <c r="H16" s="43">
        <f>G16/B$12</f>
        <v>1.8518518518518517E-2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-9500</v>
      </c>
      <c r="C17" s="17">
        <v>-379600</v>
      </c>
      <c r="E17" s="52" t="s">
        <v>113</v>
      </c>
      <c r="F17" s="55" t="s">
        <v>65</v>
      </c>
      <c r="G17" s="1">
        <v>1</v>
      </c>
      <c r="H17" s="43">
        <f>G17/B$12</f>
        <v>1.8518518518518517E-2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1.8518518518518517E-2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  <c r="J27" s="5">
        <v>25</v>
      </c>
      <c r="K27" s="12">
        <v>-177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2018-12-19T15:10:17Z</dcterms:modified>
</cp:coreProperties>
</file>