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995D975-A4E2-4EF5-B6CA-3F1E1F7B615D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80" r:id="rId2"/>
    <sheet name="かこたろう" sheetId="2381" r:id="rId3"/>
    <sheet name="ともき" sheetId="2382" r:id="rId4"/>
    <sheet name="りくと" sheetId="2383" r:id="rId5"/>
    <sheet name="いっしー" sheetId="2384" r:id="rId6"/>
    <sheet name="がくと" sheetId="2385" r:id="rId7"/>
    <sheet name="たかの" sheetId="2386" r:id="rId8"/>
    <sheet name="ただ" sheetId="2387" r:id="rId9"/>
    <sheet name="やがさき" sheetId="2388" r:id="rId10"/>
    <sheet name="れんたろう" sheetId="2389" r:id="rId11"/>
    <sheet name="あさひ" sheetId="2390" r:id="rId12"/>
    <sheet name="Template" sheetId="2228" state="hidden" r:id="rId13"/>
    <sheet name="Cache" sheetId="2227" state="hidden" r:id="rId1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90" l="1"/>
  <c r="H50" i="2390"/>
  <c r="H49" i="2390"/>
  <c r="H48" i="2390"/>
  <c r="H47" i="2390"/>
  <c r="H46" i="2390"/>
  <c r="H45" i="2390"/>
  <c r="H44" i="2390"/>
  <c r="H43" i="2390"/>
  <c r="H42" i="2390"/>
  <c r="H41" i="2390"/>
  <c r="H40" i="2390"/>
  <c r="H39" i="2390"/>
  <c r="H38" i="2390"/>
  <c r="H37" i="2390"/>
  <c r="H36" i="2390"/>
  <c r="H35" i="2390"/>
  <c r="H34" i="2390"/>
  <c r="H33" i="2390"/>
  <c r="H32" i="2390"/>
  <c r="H31" i="2390"/>
  <c r="H30" i="2390"/>
  <c r="H10" i="2390"/>
  <c r="H29" i="2390"/>
  <c r="H28" i="2390"/>
  <c r="H6" i="2390"/>
  <c r="H27" i="2390"/>
  <c r="H26" i="2390"/>
  <c r="H25" i="2390"/>
  <c r="C23" i="2390"/>
  <c r="H24" i="2390"/>
  <c r="C22" i="2390"/>
  <c r="H23" i="2390"/>
  <c r="B21" i="2390"/>
  <c r="H22" i="2390"/>
  <c r="B20" i="2390"/>
  <c r="H21" i="2390"/>
  <c r="C19" i="2390"/>
  <c r="H20" i="2390"/>
  <c r="C18" i="2390"/>
  <c r="H19" i="2390"/>
  <c r="C17" i="2390"/>
  <c r="H18" i="2390"/>
  <c r="C16" i="2390"/>
  <c r="B16" i="2390"/>
  <c r="H17" i="2390"/>
  <c r="C15" i="2390"/>
  <c r="H16" i="2390"/>
  <c r="C14" i="2390"/>
  <c r="H15" i="2390"/>
  <c r="C13" i="2390"/>
  <c r="H14" i="2390"/>
  <c r="C12" i="2390"/>
  <c r="H5" i="2390"/>
  <c r="C11" i="2390"/>
  <c r="H13" i="2390"/>
  <c r="C10" i="2390"/>
  <c r="H9" i="2390"/>
  <c r="C9" i="2390"/>
  <c r="H12" i="2390"/>
  <c r="C8" i="2390"/>
  <c r="N7" i="2390"/>
  <c r="H11" i="2390"/>
  <c r="C7" i="2390"/>
  <c r="N6" i="2390"/>
  <c r="H3" i="2390"/>
  <c r="B6" i="2390"/>
  <c r="N5" i="2390"/>
  <c r="H4" i="2390"/>
  <c r="B5" i="2390"/>
  <c r="N4" i="2390"/>
  <c r="H8" i="2390"/>
  <c r="N3" i="2390"/>
  <c r="H7" i="2390"/>
  <c r="N2" i="2390"/>
  <c r="H2" i="2390"/>
  <c r="H51" i="2389" l="1"/>
  <c r="H50" i="2389"/>
  <c r="H49" i="2389"/>
  <c r="H48" i="2389"/>
  <c r="H47" i="2389"/>
  <c r="H46" i="2389"/>
  <c r="H45" i="2389"/>
  <c r="H44" i="2389"/>
  <c r="H43" i="2389"/>
  <c r="H42" i="2389"/>
  <c r="H41" i="2389"/>
  <c r="H40" i="2389"/>
  <c r="H39" i="2389"/>
  <c r="H38" i="2389"/>
  <c r="H37" i="2389"/>
  <c r="H36" i="2389"/>
  <c r="H35" i="2389"/>
  <c r="H34" i="2389"/>
  <c r="H18" i="2389"/>
  <c r="H33" i="2389"/>
  <c r="H32" i="2389"/>
  <c r="H31" i="2389"/>
  <c r="H8" i="2389"/>
  <c r="H30" i="2389"/>
  <c r="H29" i="2389"/>
  <c r="H16" i="2389"/>
  <c r="H28" i="2389"/>
  <c r="H27" i="2389"/>
  <c r="H13" i="2389"/>
  <c r="C23" i="2389"/>
  <c r="H26" i="2389"/>
  <c r="C22" i="2389"/>
  <c r="H15" i="2389"/>
  <c r="B21" i="2389"/>
  <c r="H25" i="2389"/>
  <c r="H24" i="2389"/>
  <c r="C19" i="2389"/>
  <c r="H23" i="2389"/>
  <c r="C18" i="2389"/>
  <c r="H11" i="2389"/>
  <c r="C17" i="2389"/>
  <c r="H22" i="2389"/>
  <c r="B16" i="2389"/>
  <c r="B20" i="2389" s="1"/>
  <c r="H21" i="2389"/>
  <c r="C15" i="2389"/>
  <c r="H17" i="2389"/>
  <c r="C14" i="2389"/>
  <c r="H20" i="2389"/>
  <c r="C13" i="2389"/>
  <c r="H14" i="2389"/>
  <c r="C12" i="2389"/>
  <c r="H3" i="2389"/>
  <c r="C11" i="2389"/>
  <c r="H19" i="2389"/>
  <c r="C10" i="2389"/>
  <c r="H10" i="2389"/>
  <c r="C9" i="2389"/>
  <c r="H9" i="2389"/>
  <c r="C8" i="2389"/>
  <c r="N7" i="2389"/>
  <c r="H7" i="2389"/>
  <c r="C7" i="2389"/>
  <c r="N6" i="2389"/>
  <c r="H2" i="2389"/>
  <c r="B6" i="2389"/>
  <c r="N5" i="2389"/>
  <c r="H6" i="2389"/>
  <c r="B5" i="2389"/>
  <c r="N4" i="2389"/>
  <c r="H4" i="2389"/>
  <c r="N3" i="2389"/>
  <c r="H12" i="2389"/>
  <c r="N2" i="2389"/>
  <c r="H5" i="2389"/>
  <c r="C16" i="2389" l="1"/>
  <c r="H51" i="2388" l="1"/>
  <c r="H50" i="2388"/>
  <c r="H49" i="2388"/>
  <c r="H48" i="2388"/>
  <c r="H47" i="2388"/>
  <c r="H46" i="2388"/>
  <c r="H45" i="2388"/>
  <c r="H44" i="2388"/>
  <c r="H43" i="2388"/>
  <c r="H42" i="2388"/>
  <c r="H41" i="2388"/>
  <c r="H40" i="2388"/>
  <c r="H39" i="2388"/>
  <c r="H38" i="2388"/>
  <c r="H37" i="2388"/>
  <c r="H36" i="2388"/>
  <c r="H35" i="2388"/>
  <c r="H34" i="2388"/>
  <c r="H33" i="2388"/>
  <c r="H32" i="2388"/>
  <c r="H31" i="2388"/>
  <c r="H30" i="2388"/>
  <c r="H29" i="2388"/>
  <c r="H28" i="2388"/>
  <c r="H27" i="2388"/>
  <c r="H26" i="2388"/>
  <c r="H25" i="2388"/>
  <c r="H24" i="2388"/>
  <c r="H23" i="2388"/>
  <c r="C23" i="2388"/>
  <c r="H22" i="2388"/>
  <c r="C22" i="2388"/>
  <c r="H21" i="2388"/>
  <c r="B21" i="2388"/>
  <c r="H20" i="2388"/>
  <c r="H19" i="2388"/>
  <c r="C19" i="2388"/>
  <c r="H18" i="2388"/>
  <c r="C18" i="2388"/>
  <c r="H17" i="2388"/>
  <c r="C17" i="2388"/>
  <c r="H16" i="2388"/>
  <c r="B16" i="2388"/>
  <c r="B20" i="2388" s="1"/>
  <c r="H15" i="2388"/>
  <c r="C15" i="2388"/>
  <c r="H14" i="2388"/>
  <c r="C14" i="2388"/>
  <c r="H13" i="2388"/>
  <c r="C13" i="2388"/>
  <c r="H12" i="2388"/>
  <c r="C12" i="2388"/>
  <c r="H11" i="2388"/>
  <c r="C11" i="2388"/>
  <c r="H10" i="2388"/>
  <c r="C10" i="2388"/>
  <c r="H9" i="2388"/>
  <c r="C9" i="2388"/>
  <c r="H8" i="2388"/>
  <c r="C8" i="2388"/>
  <c r="N7" i="2388"/>
  <c r="H7" i="2388"/>
  <c r="C7" i="2388"/>
  <c r="N6" i="2388"/>
  <c r="H6" i="2388"/>
  <c r="B6" i="2388"/>
  <c r="N5" i="2388"/>
  <c r="H5" i="2388"/>
  <c r="B5" i="2388"/>
  <c r="N4" i="2388"/>
  <c r="H4" i="2388"/>
  <c r="N3" i="2388"/>
  <c r="H3" i="2388"/>
  <c r="N2" i="2388"/>
  <c r="H2" i="2388"/>
  <c r="C16" i="2388" l="1"/>
  <c r="H51" i="2387" l="1"/>
  <c r="H50" i="2387"/>
  <c r="H49" i="2387"/>
  <c r="H48" i="2387"/>
  <c r="H47" i="2387"/>
  <c r="H46" i="2387"/>
  <c r="H45" i="2387"/>
  <c r="H44" i="2387"/>
  <c r="H43" i="2387"/>
  <c r="H42" i="2387"/>
  <c r="H41" i="2387"/>
  <c r="H40" i="2387"/>
  <c r="H39" i="2387"/>
  <c r="H38" i="2387"/>
  <c r="H37" i="2387"/>
  <c r="H36" i="2387"/>
  <c r="H35" i="2387"/>
  <c r="H34" i="2387"/>
  <c r="H33" i="2387"/>
  <c r="H32" i="2387"/>
  <c r="H18" i="2387"/>
  <c r="H31" i="2387"/>
  <c r="H9" i="2387"/>
  <c r="H30" i="2387"/>
  <c r="H29" i="2387"/>
  <c r="H13" i="2387"/>
  <c r="H28" i="2387"/>
  <c r="H27" i="2387"/>
  <c r="H17" i="2387"/>
  <c r="C23" i="2387"/>
  <c r="H26" i="2387"/>
  <c r="C22" i="2387"/>
  <c r="H16" i="2387"/>
  <c r="B21" i="2387"/>
  <c r="H25" i="2387"/>
  <c r="H24" i="2387"/>
  <c r="C19" i="2387"/>
  <c r="H23" i="2387"/>
  <c r="C18" i="2387"/>
  <c r="H14" i="2387"/>
  <c r="C17" i="2387"/>
  <c r="H22" i="2387"/>
  <c r="B16" i="2387"/>
  <c r="B20" i="2387" s="1"/>
  <c r="H21" i="2387"/>
  <c r="C15" i="2387"/>
  <c r="H20" i="2387"/>
  <c r="C14" i="2387"/>
  <c r="H15" i="2387"/>
  <c r="C13" i="2387"/>
  <c r="H19" i="2387"/>
  <c r="C12" i="2387"/>
  <c r="H5" i="2387"/>
  <c r="C11" i="2387"/>
  <c r="H12" i="2387"/>
  <c r="C10" i="2387"/>
  <c r="H11" i="2387"/>
  <c r="C9" i="2387"/>
  <c r="H8" i="2387"/>
  <c r="C8" i="2387"/>
  <c r="N7" i="2387"/>
  <c r="H7" i="2387"/>
  <c r="C7" i="2387"/>
  <c r="N6" i="2387"/>
  <c r="H3" i="2387"/>
  <c r="B6" i="2387"/>
  <c r="N5" i="2387"/>
  <c r="H6" i="2387"/>
  <c r="B5" i="2387"/>
  <c r="N4" i="2387"/>
  <c r="H2" i="2387"/>
  <c r="N3" i="2387"/>
  <c r="H10" i="2387"/>
  <c r="N2" i="2387"/>
  <c r="H4" i="2387"/>
  <c r="H51" i="2386"/>
  <c r="H50" i="2386"/>
  <c r="H49" i="2386"/>
  <c r="H48" i="2386"/>
  <c r="H47" i="2386"/>
  <c r="H46" i="2386"/>
  <c r="H45" i="2386"/>
  <c r="H44" i="2386"/>
  <c r="H43" i="2386"/>
  <c r="H42" i="2386"/>
  <c r="H41" i="2386"/>
  <c r="H40" i="2386"/>
  <c r="H39" i="2386"/>
  <c r="H38" i="2386"/>
  <c r="H37" i="2386"/>
  <c r="H36" i="2386"/>
  <c r="H35" i="2386"/>
  <c r="H34" i="2386"/>
  <c r="H33" i="2386"/>
  <c r="H32" i="2386"/>
  <c r="H31" i="2386"/>
  <c r="H30" i="2386"/>
  <c r="H8" i="2386"/>
  <c r="H29" i="2386"/>
  <c r="H28" i="2386"/>
  <c r="H10" i="2386"/>
  <c r="H27" i="2386"/>
  <c r="H26" i="2386"/>
  <c r="H16" i="2386"/>
  <c r="C23" i="2386"/>
  <c r="H25" i="2386"/>
  <c r="C22" i="2386"/>
  <c r="H15" i="2386"/>
  <c r="B21" i="2386"/>
  <c r="H24" i="2386"/>
  <c r="H23" i="2386"/>
  <c r="C19" i="2386"/>
  <c r="H9" i="2386"/>
  <c r="C18" i="2386"/>
  <c r="H14" i="2386"/>
  <c r="C17" i="2386"/>
  <c r="H22" i="2386"/>
  <c r="B16" i="2386"/>
  <c r="B20" i="2386" s="1"/>
  <c r="H21" i="2386"/>
  <c r="C15" i="2386"/>
  <c r="H13" i="2386"/>
  <c r="C14" i="2386"/>
  <c r="H20" i="2386"/>
  <c r="C13" i="2386"/>
  <c r="H19" i="2386"/>
  <c r="C12" i="2386"/>
  <c r="H4" i="2386"/>
  <c r="C11" i="2386"/>
  <c r="H18" i="2386"/>
  <c r="C10" i="2386"/>
  <c r="H12" i="2386"/>
  <c r="C9" i="2386"/>
  <c r="H11" i="2386"/>
  <c r="C8" i="2386"/>
  <c r="N7" i="2386"/>
  <c r="H7" i="2386"/>
  <c r="C7" i="2386"/>
  <c r="N6" i="2386"/>
  <c r="H2" i="2386"/>
  <c r="B6" i="2386"/>
  <c r="N5" i="2386"/>
  <c r="H17" i="2386"/>
  <c r="B5" i="2386"/>
  <c r="N4" i="2386"/>
  <c r="H3" i="2386"/>
  <c r="N3" i="2386"/>
  <c r="H6" i="2386"/>
  <c r="N2" i="2386"/>
  <c r="H5" i="2386"/>
  <c r="C16" i="2387" l="1"/>
  <c r="C16" i="2386"/>
  <c r="H51" i="2385" l="1"/>
  <c r="H50" i="2385"/>
  <c r="H49" i="2385"/>
  <c r="H48" i="2385"/>
  <c r="H47" i="2385"/>
  <c r="H46" i="2385"/>
  <c r="H45" i="2385"/>
  <c r="H44" i="2385"/>
  <c r="H43" i="2385"/>
  <c r="H42" i="2385"/>
  <c r="H41" i="2385"/>
  <c r="H40" i="2385"/>
  <c r="H39" i="2385"/>
  <c r="H38" i="2385"/>
  <c r="H37" i="2385"/>
  <c r="H36" i="2385"/>
  <c r="H35" i="2385"/>
  <c r="H34" i="2385"/>
  <c r="H33" i="2385"/>
  <c r="H32" i="2385"/>
  <c r="H31" i="2385"/>
  <c r="H30" i="2385"/>
  <c r="H29" i="2385"/>
  <c r="H28" i="2385"/>
  <c r="H27" i="2385"/>
  <c r="H26" i="2385"/>
  <c r="H25" i="2385"/>
  <c r="H24" i="2385"/>
  <c r="H23" i="2385"/>
  <c r="C23" i="2385"/>
  <c r="H22" i="2385"/>
  <c r="C22" i="2385"/>
  <c r="H21" i="2385"/>
  <c r="B21" i="2385"/>
  <c r="H20" i="2385"/>
  <c r="H19" i="2385"/>
  <c r="C19" i="2385"/>
  <c r="H18" i="2385"/>
  <c r="C18" i="2385"/>
  <c r="H17" i="2385"/>
  <c r="C17" i="2385"/>
  <c r="H16" i="2385"/>
  <c r="B16" i="2385"/>
  <c r="B20" i="2385" s="1"/>
  <c r="H15" i="2385"/>
  <c r="C15" i="2385"/>
  <c r="H14" i="2385"/>
  <c r="C14" i="2385"/>
  <c r="H13" i="2385"/>
  <c r="C13" i="2385"/>
  <c r="H12" i="2385"/>
  <c r="C12" i="2385"/>
  <c r="H11" i="2385"/>
  <c r="C11" i="2385"/>
  <c r="H10" i="2385"/>
  <c r="C10" i="2385"/>
  <c r="H9" i="2385"/>
  <c r="C9" i="2385"/>
  <c r="H8" i="2385"/>
  <c r="C8" i="2385"/>
  <c r="N7" i="2385"/>
  <c r="H7" i="2385"/>
  <c r="C7" i="2385"/>
  <c r="N6" i="2385"/>
  <c r="H6" i="2385"/>
  <c r="B6" i="2385"/>
  <c r="N5" i="2385"/>
  <c r="H5" i="2385"/>
  <c r="B5" i="2385"/>
  <c r="N4" i="2385"/>
  <c r="H4" i="2385"/>
  <c r="N3" i="2385"/>
  <c r="H3" i="2385"/>
  <c r="N2" i="2385"/>
  <c r="H2" i="2385"/>
  <c r="C16" i="2385" l="1"/>
  <c r="H51" i="2384" l="1"/>
  <c r="H50" i="2384"/>
  <c r="H49" i="2384"/>
  <c r="H48" i="2384"/>
  <c r="H47" i="2384"/>
  <c r="H46" i="2384"/>
  <c r="H45" i="2384"/>
  <c r="H44" i="2384"/>
  <c r="H43" i="2384"/>
  <c r="H42" i="2384"/>
  <c r="H41" i="2384"/>
  <c r="H40" i="2384"/>
  <c r="H39" i="2384"/>
  <c r="H38" i="2384"/>
  <c r="H37" i="2384"/>
  <c r="H36" i="2384"/>
  <c r="H35" i="2384"/>
  <c r="H34" i="2384"/>
  <c r="H33" i="2384"/>
  <c r="H32" i="2384"/>
  <c r="H31" i="2384"/>
  <c r="H30" i="2384"/>
  <c r="H12" i="2384"/>
  <c r="H29" i="2384"/>
  <c r="H28" i="2384"/>
  <c r="H27" i="2384"/>
  <c r="H26" i="2384"/>
  <c r="H25" i="2384"/>
  <c r="H8" i="2384"/>
  <c r="C23" i="2384"/>
  <c r="H24" i="2384"/>
  <c r="C22" i="2384"/>
  <c r="H10" i="2384"/>
  <c r="B21" i="2384"/>
  <c r="H23" i="2384"/>
  <c r="H22" i="2384"/>
  <c r="C19" i="2384"/>
  <c r="H21" i="2384"/>
  <c r="C18" i="2384"/>
  <c r="H20" i="2384"/>
  <c r="C17" i="2384"/>
  <c r="H19" i="2384"/>
  <c r="B16" i="2384"/>
  <c r="B20" i="2384" s="1"/>
  <c r="H18" i="2384"/>
  <c r="C15" i="2384"/>
  <c r="H17" i="2384"/>
  <c r="C14" i="2384"/>
  <c r="H16" i="2384"/>
  <c r="C13" i="2384"/>
  <c r="H15" i="2384"/>
  <c r="C12" i="2384"/>
  <c r="H4" i="2384"/>
  <c r="C11" i="2384"/>
  <c r="H14" i="2384"/>
  <c r="C10" i="2384"/>
  <c r="H13" i="2384"/>
  <c r="C9" i="2384"/>
  <c r="H9" i="2384"/>
  <c r="C8" i="2384"/>
  <c r="N7" i="2384"/>
  <c r="H7" i="2384"/>
  <c r="C7" i="2384"/>
  <c r="N6" i="2384"/>
  <c r="H3" i="2384"/>
  <c r="B6" i="2384"/>
  <c r="N5" i="2384"/>
  <c r="H6" i="2384"/>
  <c r="B5" i="2384"/>
  <c r="N4" i="2384"/>
  <c r="H2" i="2384"/>
  <c r="N3" i="2384"/>
  <c r="H11" i="2384"/>
  <c r="N2" i="2384"/>
  <c r="H5" i="2384"/>
  <c r="H51" i="2383"/>
  <c r="H50" i="2383"/>
  <c r="H49" i="2383"/>
  <c r="H48" i="2383"/>
  <c r="H47" i="2383"/>
  <c r="H46" i="2383"/>
  <c r="H45" i="2383"/>
  <c r="H44" i="2383"/>
  <c r="H43" i="2383"/>
  <c r="H42" i="2383"/>
  <c r="H41" i="2383"/>
  <c r="H40" i="2383"/>
  <c r="H39" i="2383"/>
  <c r="H38" i="2383"/>
  <c r="H37" i="2383"/>
  <c r="H36" i="2383"/>
  <c r="H35" i="2383"/>
  <c r="H34" i="2383"/>
  <c r="H33" i="2383"/>
  <c r="H19" i="2383"/>
  <c r="H14" i="2383"/>
  <c r="H32" i="2383"/>
  <c r="H9" i="2383"/>
  <c r="H24" i="2383"/>
  <c r="H23" i="2383"/>
  <c r="H12" i="2383"/>
  <c r="H22" i="2383"/>
  <c r="H21" i="2383"/>
  <c r="H13" i="2383"/>
  <c r="C23" i="2383"/>
  <c r="H31" i="2383"/>
  <c r="C22" i="2383"/>
  <c r="H15" i="2383"/>
  <c r="B21" i="2383"/>
  <c r="H20" i="2383"/>
  <c r="H30" i="2383"/>
  <c r="C19" i="2383"/>
  <c r="H18" i="2383"/>
  <c r="C18" i="2383"/>
  <c r="H17" i="2383"/>
  <c r="C17" i="2383"/>
  <c r="H29" i="2383"/>
  <c r="B16" i="2383"/>
  <c r="B20" i="2383" s="1"/>
  <c r="H28" i="2383"/>
  <c r="C15" i="2383"/>
  <c r="H27" i="2383"/>
  <c r="C14" i="2383"/>
  <c r="H26" i="2383"/>
  <c r="C13" i="2383"/>
  <c r="H25" i="2383"/>
  <c r="C12" i="2383"/>
  <c r="H5" i="2383"/>
  <c r="C11" i="2383"/>
  <c r="H16" i="2383"/>
  <c r="C10" i="2383"/>
  <c r="H8" i="2383"/>
  <c r="C9" i="2383"/>
  <c r="H10" i="2383"/>
  <c r="C8" i="2383"/>
  <c r="N7" i="2383"/>
  <c r="H6" i="2383"/>
  <c r="C7" i="2383"/>
  <c r="N6" i="2383"/>
  <c r="H2" i="2383"/>
  <c r="B6" i="2383"/>
  <c r="N5" i="2383"/>
  <c r="H7" i="2383"/>
  <c r="B5" i="2383"/>
  <c r="N4" i="2383"/>
  <c r="H4" i="2383"/>
  <c r="N3" i="2383"/>
  <c r="H11" i="2383"/>
  <c r="N2" i="2383"/>
  <c r="H3" i="2383"/>
  <c r="C16" i="2384" l="1"/>
  <c r="C16" i="2383"/>
  <c r="H51" i="2382" l="1"/>
  <c r="H50" i="2382"/>
  <c r="H49" i="2382"/>
  <c r="H48" i="2382"/>
  <c r="H47" i="2382"/>
  <c r="H46" i="2382"/>
  <c r="H45" i="2382"/>
  <c r="H44" i="2382"/>
  <c r="H43" i="2382"/>
  <c r="H42" i="2382"/>
  <c r="H41" i="2382"/>
  <c r="H40" i="2382"/>
  <c r="H39" i="2382"/>
  <c r="H38" i="2382"/>
  <c r="H37" i="2382"/>
  <c r="H36" i="2382"/>
  <c r="H35" i="2382"/>
  <c r="H34" i="2382"/>
  <c r="H33" i="2382"/>
  <c r="H32" i="2382"/>
  <c r="H31" i="2382"/>
  <c r="H30" i="2382"/>
  <c r="H29" i="2382"/>
  <c r="H28" i="2382"/>
  <c r="H27" i="2382"/>
  <c r="H26" i="2382"/>
  <c r="H25" i="2382"/>
  <c r="H24" i="2382"/>
  <c r="H23" i="2382"/>
  <c r="C23" i="2382"/>
  <c r="H22" i="2382"/>
  <c r="C22" i="2382"/>
  <c r="H21" i="2382"/>
  <c r="B21" i="2382"/>
  <c r="H20" i="2382"/>
  <c r="B20" i="2382"/>
  <c r="H19" i="2382"/>
  <c r="C19" i="2382"/>
  <c r="H18" i="2382"/>
  <c r="C18" i="2382"/>
  <c r="H17" i="2382"/>
  <c r="C17" i="2382"/>
  <c r="H16" i="2382"/>
  <c r="C16" i="2382"/>
  <c r="B16" i="2382"/>
  <c r="H15" i="2382"/>
  <c r="C15" i="2382"/>
  <c r="H14" i="2382"/>
  <c r="C14" i="2382"/>
  <c r="H13" i="2382"/>
  <c r="C13" i="2382"/>
  <c r="H12" i="2382"/>
  <c r="C12" i="2382"/>
  <c r="H11" i="2382"/>
  <c r="C11" i="2382"/>
  <c r="H10" i="2382"/>
  <c r="C10" i="2382"/>
  <c r="H9" i="2382"/>
  <c r="C9" i="2382"/>
  <c r="H8" i="2382"/>
  <c r="C8" i="2382"/>
  <c r="N7" i="2382"/>
  <c r="H7" i="2382"/>
  <c r="C7" i="2382"/>
  <c r="N6" i="2382"/>
  <c r="H6" i="2382"/>
  <c r="B6" i="2382"/>
  <c r="N5" i="2382"/>
  <c r="H5" i="2382"/>
  <c r="B5" i="2382"/>
  <c r="N4" i="2382"/>
  <c r="H4" i="2382"/>
  <c r="N3" i="2382"/>
  <c r="H3" i="2382"/>
  <c r="N2" i="2382"/>
  <c r="H2" i="2382"/>
  <c r="H51" i="2381"/>
  <c r="H50" i="2381"/>
  <c r="H49" i="2381"/>
  <c r="H48" i="2381"/>
  <c r="H47" i="2381"/>
  <c r="H46" i="2381"/>
  <c r="H45" i="2381"/>
  <c r="H44" i="2381"/>
  <c r="H43" i="2381"/>
  <c r="H42" i="2381"/>
  <c r="H41" i="2381"/>
  <c r="H40" i="2381"/>
  <c r="H39" i="2381"/>
  <c r="H38" i="2381"/>
  <c r="H37" i="2381"/>
  <c r="H36" i="2381"/>
  <c r="H35" i="2381"/>
  <c r="H34" i="2381"/>
  <c r="H33" i="2381"/>
  <c r="H32" i="2381"/>
  <c r="H31" i="2381"/>
  <c r="H30" i="2381"/>
  <c r="H29" i="2381"/>
  <c r="H28" i="2381"/>
  <c r="H27" i="2381"/>
  <c r="H26" i="2381"/>
  <c r="H25" i="2381"/>
  <c r="H24" i="2381"/>
  <c r="H23" i="2381"/>
  <c r="C23" i="2381"/>
  <c r="H22" i="2381"/>
  <c r="C22" i="2381"/>
  <c r="H21" i="2381"/>
  <c r="B21" i="2381"/>
  <c r="H20" i="2381"/>
  <c r="B20" i="2381"/>
  <c r="H19" i="2381"/>
  <c r="C19" i="2381"/>
  <c r="H18" i="2381"/>
  <c r="C18" i="2381"/>
  <c r="H17" i="2381"/>
  <c r="C17" i="2381"/>
  <c r="H16" i="2381"/>
  <c r="C16" i="2381"/>
  <c r="B16" i="2381"/>
  <c r="H15" i="2381"/>
  <c r="C15" i="2381"/>
  <c r="H14" i="2381"/>
  <c r="C14" i="2381"/>
  <c r="H13" i="2381"/>
  <c r="C13" i="2381"/>
  <c r="H12" i="2381"/>
  <c r="C12" i="2381"/>
  <c r="H11" i="2381"/>
  <c r="C11" i="2381"/>
  <c r="H10" i="2381"/>
  <c r="C10" i="2381"/>
  <c r="H9" i="2381"/>
  <c r="C9" i="2381"/>
  <c r="H8" i="2381"/>
  <c r="C8" i="2381"/>
  <c r="N7" i="2381"/>
  <c r="H7" i="2381"/>
  <c r="C7" i="2381"/>
  <c r="N6" i="2381"/>
  <c r="H6" i="2381"/>
  <c r="B6" i="2381"/>
  <c r="N5" i="2381"/>
  <c r="H5" i="2381"/>
  <c r="B5" i="2381"/>
  <c r="N4" i="2381"/>
  <c r="H4" i="2381"/>
  <c r="N3" i="2381"/>
  <c r="H3" i="2381"/>
  <c r="N2" i="2381"/>
  <c r="H2" i="2381"/>
  <c r="H51" i="2380"/>
  <c r="H50" i="2380"/>
  <c r="H49" i="2380"/>
  <c r="H48" i="2380"/>
  <c r="H47" i="2380"/>
  <c r="H21" i="2380"/>
  <c r="H46" i="2380"/>
  <c r="H45" i="2380"/>
  <c r="H44" i="2380"/>
  <c r="H43" i="2380"/>
  <c r="H42" i="2380"/>
  <c r="H41" i="2380"/>
  <c r="H40" i="2380"/>
  <c r="H39" i="2380"/>
  <c r="H38" i="2380"/>
  <c r="H37" i="2380"/>
  <c r="H36" i="2380"/>
  <c r="H35" i="2380"/>
  <c r="H34" i="2380"/>
  <c r="H17" i="2380"/>
  <c r="H20" i="2380"/>
  <c r="H33" i="2380"/>
  <c r="H9" i="2380"/>
  <c r="H32" i="2380"/>
  <c r="H31" i="2380"/>
  <c r="H11" i="2380"/>
  <c r="H30" i="2380"/>
  <c r="H29" i="2380"/>
  <c r="H14" i="2380"/>
  <c r="C23" i="2380"/>
  <c r="H28" i="2380"/>
  <c r="C22" i="2380"/>
  <c r="H15" i="2380"/>
  <c r="B21" i="2380"/>
  <c r="H27" i="2380"/>
  <c r="H26" i="2380"/>
  <c r="C19" i="2380"/>
  <c r="H19" i="2380"/>
  <c r="C18" i="2380"/>
  <c r="H25" i="2380"/>
  <c r="C17" i="2380"/>
  <c r="H16" i="2380"/>
  <c r="B16" i="2380"/>
  <c r="B20" i="2380" s="1"/>
  <c r="H24" i="2380"/>
  <c r="C15" i="2380"/>
  <c r="H23" i="2380"/>
  <c r="C14" i="2380"/>
  <c r="H22" i="2380"/>
  <c r="C13" i="2380"/>
  <c r="H18" i="2380"/>
  <c r="C12" i="2380"/>
  <c r="H3" i="2380"/>
  <c r="C11" i="2380"/>
  <c r="H12" i="2380"/>
  <c r="C10" i="2380"/>
  <c r="H13" i="2380"/>
  <c r="C9" i="2380"/>
  <c r="H8" i="2380"/>
  <c r="C8" i="2380"/>
  <c r="N7" i="2380"/>
  <c r="H6" i="2380"/>
  <c r="C7" i="2380"/>
  <c r="N6" i="2380"/>
  <c r="H2" i="2380"/>
  <c r="B6" i="2380"/>
  <c r="N5" i="2380"/>
  <c r="H7" i="2380"/>
  <c r="B5" i="2380"/>
  <c r="N4" i="2380"/>
  <c r="H5" i="2380"/>
  <c r="N3" i="2380"/>
  <c r="H10" i="2380"/>
  <c r="N2" i="2380"/>
  <c r="H4" i="2380"/>
  <c r="C16" i="2380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<sst xmlns="http://schemas.openxmlformats.org/spreadsheetml/2006/main" count="2037" uniqueCount="219">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</sst>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だいち!$K$2:$K$112</c:f>
              <c:numCache>
                <c:formatCode>\+0;\-0;\±0</c:formatCode>
                <c:ptCount val="11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9-4E60-A388-BB191B8BA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816.03773584905662</c:v>
                </c:pt>
                <c:pt idx="1">
                  <c:v>1749</c:v>
                </c:pt>
                <c:pt idx="2">
                  <c:v>1378.2608695652175</c:v>
                </c:pt>
                <c:pt idx="3">
                  <c:v>656.79012345679007</c:v>
                </c:pt>
                <c:pt idx="4">
                  <c:v>-307.69230769230768</c:v>
                </c:pt>
                <c:pt idx="5">
                  <c:v>-900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1-42C2-8B82-F07F93C02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F-4224-B434-BA424923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C-426C-A9C7-52B4CD952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4-46C0-B8C3-88C39F50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5-43A8-BC23-EFF577376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りくと!$K$2:$K$78</c:f>
              <c:numCache>
                <c:formatCode>\+0;\-0;\±0</c:formatCode>
                <c:ptCount val="7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B-426F-B88F-7332923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-301.35135135135135</c:v>
                </c:pt>
                <c:pt idx="1">
                  <c:v>-1872.8571428571429</c:v>
                </c:pt>
                <c:pt idx="2">
                  <c:v>1705.8823529411766</c:v>
                </c:pt>
                <c:pt idx="3">
                  <c:v>-1595</c:v>
                </c:pt>
                <c:pt idx="4">
                  <c:v>-4018.75</c:v>
                </c:pt>
                <c:pt idx="5">
                  <c:v>-2334.2857142857142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1-4780-A86E-15F5DECD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いっしー!$K$2:$K$42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B-4D1A-9C1E-BF6325D14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-867.5</c:v>
                </c:pt>
                <c:pt idx="1">
                  <c:v>3084.2105263157896</c:v>
                </c:pt>
                <c:pt idx="2">
                  <c:v>-1480.5555555555557</c:v>
                </c:pt>
                <c:pt idx="3">
                  <c:v>-1212.9032258064517</c:v>
                </c:pt>
                <c:pt idx="4">
                  <c:v>8588</c:v>
                </c:pt>
                <c:pt idx="5">
                  <c:v>2146.6666666666665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0-4A52-A473-5D5523E66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3-4868-A61F-9A4C43E98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D-479C-8B56-05AA45D68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F-467A-9501-1111D6D1A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22-46B5-AD2A-FDF1639FB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E-4746-8334-11AE8FE2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8-4064-90D6-52F89793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0-4D68-971E-85B320457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8-44E1-A0B0-25A47F3B1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れんたろう!$K$2:$K$34</c:f>
              <c:numCache>
                <c:formatCode>\+0;\-0;\±0</c:formatCode>
                <c:ptCount val="3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D-428A-841D-5461172A1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-4114.2857142857147</c:v>
                </c:pt>
                <c:pt idx="1">
                  <c:v>-1257.1428571428571</c:v>
                </c:pt>
                <c:pt idx="2">
                  <c:v>-1578.5714285714287</c:v>
                </c:pt>
                <c:pt idx="3">
                  <c:v>850</c:v>
                </c:pt>
                <c:pt idx="4">
                  <c:v>-1665.2173913043478</c:v>
                </c:pt>
                <c:pt idx="5">
                  <c:v>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9-4794-A6DB-B6F7182EA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あさひ!$K$2:$K$3</c:f>
              <c:numCache>
                <c:formatCode>\+0;\-0;\±0</c:formatCode>
                <c:ptCount val="2"/>
                <c:pt idx="0">
                  <c:v>0</c:v>
                </c:pt>
                <c:pt idx="1">
                  <c:v>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F-40DB-9486-5E78CE20B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20100</c:v>
                </c:pt>
                <c:pt idx="1">
                  <c:v>-8000</c:v>
                </c:pt>
                <c:pt idx="2">
                  <c:v>8000</c:v>
                </c:pt>
                <c:pt idx="3">
                  <c:v>11600</c:v>
                </c:pt>
                <c:pt idx="4">
                  <c:v>-5000</c:v>
                </c:pt>
                <c:pt idx="5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7-48A0-B33D-D9977F6E4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A173CB-FA5F-48BC-A1F1-B64E09E0CD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488C7A-371B-4CF0-8E54-A12BA1CBB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654E05-E1CE-4E4C-A1C1-9D6946C0F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3B9D8F-ED46-49D6-8D26-18B94BE2A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4F86B4-CE44-4598-A929-201D38826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D6AEBF-4C1E-48F5-BD11-8678B2DB9E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69F8D4-69DD-48E5-9EE8-03808008B3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58841F-3FC1-4D00-9F6C-25DB9BD7E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E3D9A7-EF8A-4136-9C8C-BA3E3817A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8942F5-4586-4E44-B331-872B7A8D6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06509B-02B7-46A4-875C-0D648577FD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A2FA62-861A-4BDD-A5E5-9E02D3E62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7CF0B7-9C5C-4DB3-B456-34B15C419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34E7C6-F1E8-493D-B7F9-F212796D2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594DE3-0BAD-470B-9B46-9CBAFCCD8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43CCE8-CDC1-4963-9730-899040F3C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8ABF43-6579-4C7C-85AE-CBB033426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E0ED2D-7863-4C3D-AB80-D2813AC9D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914177-6CD1-4C65-B787-35DBFA347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FDB42C-43F3-433E-AF68-7A6BD18A6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45B0CE-7C96-4994-B541-6DF7A4182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EC7408-FF8D-406E-8C4E-270CF1161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2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212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200</v>
      </c>
      <c r="AE1" s="85"/>
    </row>
    <row r="2" spans="1:31" x14ac:dyDescent="0.4">
      <c r="A2" s="8">
        <v>1</v>
      </c>
      <c r="B2" s="9" t="s">
        <v>137</v>
      </c>
      <c r="C2" s="11">
        <v>416.00000000000006</v>
      </c>
      <c r="D2" s="10" t="s">
        <v>217</v>
      </c>
      <c r="E2" s="11">
        <v>28.3</v>
      </c>
      <c r="F2" s="10" t="s">
        <v>217</v>
      </c>
      <c r="G2" s="12">
        <v>1</v>
      </c>
      <c r="H2" s="10" t="s">
        <v>217</v>
      </c>
      <c r="I2" s="17">
        <v>1</v>
      </c>
      <c r="J2" s="10" t="s">
        <v>217</v>
      </c>
      <c r="K2" s="15">
        <v>0.54545454545454541</v>
      </c>
      <c r="L2" s="10" t="s">
        <v>217</v>
      </c>
      <c r="M2" s="15">
        <v>9.0909090909090912E-2</v>
      </c>
      <c r="N2" s="10" t="s">
        <v>141</v>
      </c>
      <c r="O2" s="13">
        <v>11477.464788732394</v>
      </c>
      <c r="P2" s="10" t="s">
        <v>217</v>
      </c>
      <c r="Q2" s="13">
        <v>-8000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142</v>
      </c>
      <c r="Y2" s="15">
        <v>0.34782608695652173</v>
      </c>
      <c r="Z2" s="10" t="s">
        <v>217</v>
      </c>
      <c r="AA2" s="15">
        <v>0.8</v>
      </c>
      <c r="AB2" s="10" t="s">
        <v>217</v>
      </c>
      <c r="AC2" s="15">
        <v>0.5</v>
      </c>
      <c r="AD2" s="10" t="s">
        <v>217</v>
      </c>
      <c r="AE2" s="15">
        <v>0.66666666666666663</v>
      </c>
    </row>
    <row r="3" spans="1:31" x14ac:dyDescent="0.4">
      <c r="A3" s="7">
        <v>2</v>
      </c>
      <c r="B3" s="6" t="s">
        <v>142</v>
      </c>
      <c r="C3" s="3">
        <v>236.10000000000002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0.35345911949685532</v>
      </c>
      <c r="L3" s="1" t="s">
        <v>156</v>
      </c>
      <c r="M3" s="16">
        <v>0.13414634146341464</v>
      </c>
      <c r="N3" s="1" t="s">
        <v>149</v>
      </c>
      <c r="O3" s="2">
        <v>11229.807692307691</v>
      </c>
      <c r="P3" s="1" t="s">
        <v>138</v>
      </c>
      <c r="Q3" s="2">
        <v>-8240</v>
      </c>
      <c r="R3" s="1" t="s">
        <v>217</v>
      </c>
      <c r="S3" s="18">
        <v>0</v>
      </c>
      <c r="T3" s="1" t="s">
        <v>137</v>
      </c>
      <c r="U3" s="18">
        <v>0.22727272727272727</v>
      </c>
      <c r="V3" s="1" t="s">
        <v>217</v>
      </c>
      <c r="W3" s="16">
        <v>0.45454545454545453</v>
      </c>
      <c r="X3" s="1" t="s">
        <v>148</v>
      </c>
      <c r="Y3" s="16">
        <v>0.28735632183908044</v>
      </c>
      <c r="Z3" s="1" t="s">
        <v>137</v>
      </c>
      <c r="AA3" s="16">
        <v>0.71276595744680848</v>
      </c>
      <c r="AB3" s="1" t="s">
        <v>137</v>
      </c>
      <c r="AC3" s="16">
        <v>0.44594594594594594</v>
      </c>
      <c r="AD3" s="1" t="s">
        <v>156</v>
      </c>
      <c r="AE3" s="16">
        <v>0.45454545454545453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5.9025000000000007</v>
      </c>
      <c r="F4" s="1" t="s">
        <v>142</v>
      </c>
      <c r="G4" s="5">
        <v>1.85</v>
      </c>
      <c r="H4" s="1" t="s">
        <v>149</v>
      </c>
      <c r="I4" s="18">
        <v>0.40909090909090912</v>
      </c>
      <c r="J4" s="1" t="s">
        <v>142</v>
      </c>
      <c r="K4" s="16">
        <v>0.352112676056338</v>
      </c>
      <c r="L4" s="1" t="s">
        <v>142</v>
      </c>
      <c r="M4" s="16">
        <v>0.14084507042253522</v>
      </c>
      <c r="N4" s="1" t="s">
        <v>160</v>
      </c>
      <c r="O4" s="2">
        <v>11006.153846153846</v>
      </c>
      <c r="P4" s="1" t="s">
        <v>148</v>
      </c>
      <c r="Q4" s="2">
        <v>-8287.2727272727279</v>
      </c>
      <c r="R4" s="1" t="s">
        <v>142</v>
      </c>
      <c r="S4" s="18">
        <v>0.125</v>
      </c>
      <c r="T4" s="1" t="s">
        <v>149</v>
      </c>
      <c r="U4" s="18">
        <v>0.20454545454545456</v>
      </c>
      <c r="V4" s="1" t="s">
        <v>149</v>
      </c>
      <c r="W4" s="16">
        <v>0.3383838383838384</v>
      </c>
      <c r="X4" s="1" t="s">
        <v>149</v>
      </c>
      <c r="Y4" s="16">
        <v>0.25252525252525254</v>
      </c>
      <c r="Z4" s="1" t="s">
        <v>160</v>
      </c>
      <c r="AA4" s="16">
        <v>0.63461538461538458</v>
      </c>
      <c r="AB4" s="1" t="s">
        <v>148</v>
      </c>
      <c r="AC4" s="16">
        <v>0.4</v>
      </c>
      <c r="AD4" s="1" t="s">
        <v>137</v>
      </c>
      <c r="AE4" s="16">
        <v>0.42805755395683454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137</v>
      </c>
      <c r="G5" s="5">
        <v>1.8818181818181818</v>
      </c>
      <c r="H5" s="1" t="s">
        <v>137</v>
      </c>
      <c r="I5" s="18">
        <v>0.37272727272727274</v>
      </c>
      <c r="J5" s="1" t="s">
        <v>156</v>
      </c>
      <c r="K5" s="16">
        <v>0.34146341463414637</v>
      </c>
      <c r="L5" s="1" t="s">
        <v>149</v>
      </c>
      <c r="M5" s="16">
        <v>0.15709969788519637</v>
      </c>
      <c r="N5" s="1" t="s">
        <v>156</v>
      </c>
      <c r="O5" s="2">
        <v>10857.142857142857</v>
      </c>
      <c r="P5" s="1" t="s">
        <v>145</v>
      </c>
      <c r="Q5" s="2">
        <v>-8500</v>
      </c>
      <c r="R5" s="1" t="s">
        <v>137</v>
      </c>
      <c r="S5" s="18">
        <v>0.12727272727272726</v>
      </c>
      <c r="T5" s="1" t="s">
        <v>142</v>
      </c>
      <c r="U5" s="18">
        <v>0.2</v>
      </c>
      <c r="V5" s="1" t="s">
        <v>141</v>
      </c>
      <c r="W5" s="16">
        <v>0.28852459016393445</v>
      </c>
      <c r="X5" s="1" t="s">
        <v>137</v>
      </c>
      <c r="Y5" s="16">
        <v>0.22289156626506024</v>
      </c>
      <c r="Z5" s="1" t="s">
        <v>149</v>
      </c>
      <c r="AA5" s="16">
        <v>0.61194029850746268</v>
      </c>
      <c r="AB5" s="1" t="s">
        <v>149</v>
      </c>
      <c r="AC5" s="16">
        <v>0.38</v>
      </c>
      <c r="AD5" s="1" t="s">
        <v>149</v>
      </c>
      <c r="AE5" s="16">
        <v>0.41935483870967744</v>
      </c>
    </row>
    <row r="6" spans="1:31" x14ac:dyDescent="0.4">
      <c r="A6" s="7">
        <v>5</v>
      </c>
      <c r="B6" s="6" t="s">
        <v>217</v>
      </c>
      <c r="C6" s="3">
        <v>28.3</v>
      </c>
      <c r="D6" s="1" t="s">
        <v>137</v>
      </c>
      <c r="E6" s="3">
        <v>3.7818181818181822</v>
      </c>
      <c r="F6" s="1" t="s">
        <v>149</v>
      </c>
      <c r="G6" s="5">
        <v>1.8863636363636365</v>
      </c>
      <c r="H6" s="1" t="s">
        <v>142</v>
      </c>
      <c r="I6" s="18">
        <v>0.35</v>
      </c>
      <c r="J6" s="1" t="s">
        <v>149</v>
      </c>
      <c r="K6" s="16">
        <v>0.31419939577039274</v>
      </c>
      <c r="L6" s="1" t="s">
        <v>137</v>
      </c>
      <c r="M6" s="16">
        <v>0.15723270440251572</v>
      </c>
      <c r="N6" s="1" t="s">
        <v>148</v>
      </c>
      <c r="O6" s="2">
        <v>10240.25974025974</v>
      </c>
      <c r="P6" s="1" t="s">
        <v>149</v>
      </c>
      <c r="Q6" s="2">
        <v>-9665.3846153846152</v>
      </c>
      <c r="R6" s="1" t="s">
        <v>149</v>
      </c>
      <c r="S6" s="18">
        <v>0.15909090909090909</v>
      </c>
      <c r="T6" s="1" t="s">
        <v>148</v>
      </c>
      <c r="U6" s="18">
        <v>0.17142857142857143</v>
      </c>
      <c r="V6" s="1" t="s">
        <v>137</v>
      </c>
      <c r="W6" s="16">
        <v>0.28313253012048195</v>
      </c>
      <c r="X6" s="1" t="s">
        <v>160</v>
      </c>
      <c r="Y6" s="16">
        <v>0.21568627450980393</v>
      </c>
      <c r="Z6" s="1" t="s">
        <v>141</v>
      </c>
      <c r="AA6" s="16">
        <v>0.55681818181818177</v>
      </c>
      <c r="AB6" s="1" t="s">
        <v>142</v>
      </c>
      <c r="AC6" s="16">
        <v>0.375</v>
      </c>
      <c r="AD6" s="1" t="s">
        <v>148</v>
      </c>
      <c r="AE6" s="16">
        <v>0.41333333333333333</v>
      </c>
    </row>
    <row r="7" spans="1:31" x14ac:dyDescent="0.4">
      <c r="A7" s="7">
        <v>6</v>
      </c>
      <c r="B7" s="6" t="s">
        <v>139</v>
      </c>
      <c r="C7" s="3">
        <v>-24.5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141</v>
      </c>
      <c r="I7" s="18">
        <v>0.28947368421052633</v>
      </c>
      <c r="J7" s="1" t="s">
        <v>139</v>
      </c>
      <c r="K7" s="16">
        <v>0.2857142857142857</v>
      </c>
      <c r="L7" s="1" t="s">
        <v>141</v>
      </c>
      <c r="M7" s="16">
        <v>0.19787985865724381</v>
      </c>
      <c r="N7" s="1" t="s">
        <v>142</v>
      </c>
      <c r="O7" s="2">
        <v>9943</v>
      </c>
      <c r="P7" s="1" t="s">
        <v>142</v>
      </c>
      <c r="Q7" s="2">
        <v>-9747.5</v>
      </c>
      <c r="R7" s="1" t="s">
        <v>148</v>
      </c>
      <c r="S7" s="18">
        <v>0.17142857142857143</v>
      </c>
      <c r="T7" s="1" t="s">
        <v>141</v>
      </c>
      <c r="U7" s="18">
        <v>0.15789473684210525</v>
      </c>
      <c r="V7" s="1" t="s">
        <v>160</v>
      </c>
      <c r="W7" s="16">
        <v>0.25490196078431371</v>
      </c>
      <c r="X7" s="1" t="s">
        <v>217</v>
      </c>
      <c r="Y7" s="16">
        <v>0.18181818181818182</v>
      </c>
      <c r="Z7" s="1" t="s">
        <v>142</v>
      </c>
      <c r="AA7" s="16">
        <v>0.5</v>
      </c>
      <c r="AB7" s="1" t="s">
        <v>141</v>
      </c>
      <c r="AC7" s="16">
        <v>0.37254901960784315</v>
      </c>
      <c r="AD7" s="1" t="s">
        <v>142</v>
      </c>
      <c r="AE7" s="16">
        <v>0.35294117647058826</v>
      </c>
    </row>
    <row r="8" spans="1:31" x14ac:dyDescent="0.4">
      <c r="A8" s="7">
        <v>7</v>
      </c>
      <c r="B8" s="6" t="s">
        <v>145</v>
      </c>
      <c r="C8" s="3">
        <v>-40.700000000000003</v>
      </c>
      <c r="D8" s="1" t="s">
        <v>141</v>
      </c>
      <c r="E8" s="3">
        <v>-4.864473684210525</v>
      </c>
      <c r="F8" s="1" t="s">
        <v>148</v>
      </c>
      <c r="G8" s="5">
        <v>2.1142857142857143</v>
      </c>
      <c r="H8" s="1" t="s">
        <v>148</v>
      </c>
      <c r="I8" s="18">
        <v>0.25714285714285712</v>
      </c>
      <c r="J8" s="1" t="s">
        <v>148</v>
      </c>
      <c r="K8" s="16">
        <v>0.28102189781021897</v>
      </c>
      <c r="L8" s="1" t="s">
        <v>148</v>
      </c>
      <c r="M8" s="16">
        <v>0.20072992700729927</v>
      </c>
      <c r="N8" s="1" t="s">
        <v>137</v>
      </c>
      <c r="O8" s="2">
        <v>9822.0640569395018</v>
      </c>
      <c r="P8" s="1" t="s">
        <v>160</v>
      </c>
      <c r="Q8" s="2">
        <v>-9892.5925925925931</v>
      </c>
      <c r="R8" s="1" t="s">
        <v>156</v>
      </c>
      <c r="S8" s="18">
        <v>0.25</v>
      </c>
      <c r="T8" s="1" t="s">
        <v>160</v>
      </c>
      <c r="U8" s="18">
        <v>0.125</v>
      </c>
      <c r="V8" s="1" t="s">
        <v>148</v>
      </c>
      <c r="W8" s="16">
        <v>0.19540229885057472</v>
      </c>
      <c r="X8" s="1" t="s">
        <v>141</v>
      </c>
      <c r="Y8" s="16">
        <v>0.16721311475409836</v>
      </c>
      <c r="Z8" s="1" t="s">
        <v>148</v>
      </c>
      <c r="AA8" s="16">
        <v>0.41176470588235292</v>
      </c>
      <c r="AB8" s="1" t="s">
        <v>160</v>
      </c>
      <c r="AC8" s="16">
        <v>0.36363636363636365</v>
      </c>
      <c r="AD8" s="1" t="s">
        <v>160</v>
      </c>
      <c r="AE8" s="16">
        <v>0.34246575342465752</v>
      </c>
    </row>
    <row r="9" spans="1:31" x14ac:dyDescent="0.4">
      <c r="A9" s="7">
        <v>8</v>
      </c>
      <c r="B9" s="6" t="s">
        <v>148</v>
      </c>
      <c r="C9" s="3">
        <v>-106.10000000000001</v>
      </c>
      <c r="D9" s="1" t="s">
        <v>160</v>
      </c>
      <c r="E9" s="3">
        <v>-8.8718749999999993</v>
      </c>
      <c r="F9" s="1" t="s">
        <v>141</v>
      </c>
      <c r="G9" s="5">
        <v>2.1447368421052633</v>
      </c>
      <c r="H9" s="1" t="s">
        <v>160</v>
      </c>
      <c r="I9" s="18">
        <v>0.25</v>
      </c>
      <c r="J9" s="1" t="s">
        <v>160</v>
      </c>
      <c r="K9" s="16">
        <v>0.26970954356846472</v>
      </c>
      <c r="L9" s="1" t="s">
        <v>160</v>
      </c>
      <c r="M9" s="16">
        <v>0.22406639004149378</v>
      </c>
      <c r="N9" s="1" t="s">
        <v>139</v>
      </c>
      <c r="O9" s="2">
        <v>8000</v>
      </c>
      <c r="P9" s="1" t="s">
        <v>156</v>
      </c>
      <c r="Q9" s="2">
        <v>-9927.2727272727279</v>
      </c>
      <c r="R9" s="1" t="s">
        <v>141</v>
      </c>
      <c r="S9" s="18">
        <v>0.26315789473684209</v>
      </c>
      <c r="T9" s="1" t="s">
        <v>138</v>
      </c>
      <c r="U9" s="18">
        <v>0</v>
      </c>
      <c r="V9" s="1" t="s">
        <v>142</v>
      </c>
      <c r="W9" s="16">
        <v>0.17391304347826086</v>
      </c>
      <c r="X9" s="1" t="s">
        <v>138</v>
      </c>
      <c r="Y9" s="16">
        <v>0</v>
      </c>
      <c r="Z9" s="1" t="s">
        <v>138</v>
      </c>
      <c r="AA9" s="16">
        <v>0</v>
      </c>
      <c r="AB9" s="1" t="s">
        <v>138</v>
      </c>
      <c r="AC9" s="16">
        <v>0</v>
      </c>
      <c r="AD9" s="1" t="s">
        <v>141</v>
      </c>
      <c r="AE9" s="16">
        <v>0.31609195402298851</v>
      </c>
    </row>
    <row r="10" spans="1:31" x14ac:dyDescent="0.4">
      <c r="A10" s="7">
        <v>9</v>
      </c>
      <c r="B10" s="6" t="s">
        <v>138</v>
      </c>
      <c r="C10" s="3">
        <v>-132.1</v>
      </c>
      <c r="D10" s="1" t="s">
        <v>139</v>
      </c>
      <c r="E10" s="3">
        <v>-12.25</v>
      </c>
      <c r="F10" s="1" t="s">
        <v>160</v>
      </c>
      <c r="G10" s="5">
        <v>2.25</v>
      </c>
      <c r="H10" s="1" t="s">
        <v>138</v>
      </c>
      <c r="I10" s="18">
        <v>0</v>
      </c>
      <c r="J10" s="1" t="s">
        <v>141</v>
      </c>
      <c r="K10" s="16">
        <v>0.25088339222614842</v>
      </c>
      <c r="L10" s="1" t="s">
        <v>139</v>
      </c>
      <c r="M10" s="16">
        <v>0.2857142857142857</v>
      </c>
      <c r="N10" s="1" t="s">
        <v>138</v>
      </c>
      <c r="O10" s="2">
        <v>7800</v>
      </c>
      <c r="P10" s="1" t="s">
        <v>137</v>
      </c>
      <c r="Q10" s="2">
        <v>-9947.2000000000007</v>
      </c>
      <c r="R10" s="1" t="s">
        <v>160</v>
      </c>
      <c r="S10" s="18">
        <v>0.28125</v>
      </c>
      <c r="T10" s="1" t="s">
        <v>139</v>
      </c>
      <c r="U10" s="18">
        <v>0</v>
      </c>
      <c r="V10" s="1" t="s">
        <v>138</v>
      </c>
      <c r="W10" s="16">
        <v>0</v>
      </c>
      <c r="X10" s="1" t="s">
        <v>139</v>
      </c>
      <c r="Y10" s="16">
        <v>0</v>
      </c>
      <c r="Z10" s="1" t="s">
        <v>139</v>
      </c>
      <c r="AA10" s="16">
        <v>0</v>
      </c>
      <c r="AB10" s="1" t="s">
        <v>139</v>
      </c>
      <c r="AC10" s="16">
        <v>0</v>
      </c>
      <c r="AD10" s="1" t="s">
        <v>138</v>
      </c>
      <c r="AE10" s="16">
        <v>0</v>
      </c>
    </row>
    <row r="11" spans="1:31" x14ac:dyDescent="0.4">
      <c r="A11" s="7">
        <v>10</v>
      </c>
      <c r="B11" s="6" t="s">
        <v>160</v>
      </c>
      <c r="C11" s="3">
        <v>-283.89999999999998</v>
      </c>
      <c r="D11" s="1" t="s">
        <v>138</v>
      </c>
      <c r="E11" s="3">
        <v>-33.024999999999999</v>
      </c>
      <c r="F11" s="1" t="s">
        <v>139</v>
      </c>
      <c r="G11" s="5">
        <v>2.5</v>
      </c>
      <c r="H11" s="1" t="s">
        <v>139</v>
      </c>
      <c r="I11" s="18">
        <v>0</v>
      </c>
      <c r="J11" s="1" t="s">
        <v>145</v>
      </c>
      <c r="K11" s="16">
        <v>0.16666666666666666</v>
      </c>
      <c r="L11" s="1" t="s">
        <v>145</v>
      </c>
      <c r="M11" s="16">
        <v>0.33333333333333331</v>
      </c>
      <c r="N11" s="1" t="s">
        <v>217</v>
      </c>
      <c r="O11" s="2">
        <v>7133.333333333333</v>
      </c>
      <c r="P11" s="1" t="s">
        <v>141</v>
      </c>
      <c r="Q11" s="2">
        <v>-10466.071428571429</v>
      </c>
      <c r="R11" s="1" t="s">
        <v>138</v>
      </c>
      <c r="S11" s="18">
        <v>0.5</v>
      </c>
      <c r="T11" s="1" t="s">
        <v>145</v>
      </c>
      <c r="U11" s="18">
        <v>0</v>
      </c>
      <c r="V11" s="1" t="s">
        <v>145</v>
      </c>
      <c r="W11" s="16">
        <v>0</v>
      </c>
      <c r="X11" s="1" t="s">
        <v>145</v>
      </c>
      <c r="Y11" s="16">
        <v>0</v>
      </c>
      <c r="Z11" s="1" t="s">
        <v>145</v>
      </c>
      <c r="AA11" s="16">
        <v>0</v>
      </c>
      <c r="AB11" s="1" t="s">
        <v>145</v>
      </c>
      <c r="AC11" s="16">
        <v>0</v>
      </c>
      <c r="AD11" s="1" t="s">
        <v>139</v>
      </c>
      <c r="AE11" s="16">
        <v>0</v>
      </c>
    </row>
    <row r="12" spans="1:31" x14ac:dyDescent="0.4">
      <c r="A12" s="7">
        <v>11</v>
      </c>
      <c r="B12" s="6" t="s">
        <v>141</v>
      </c>
      <c r="C12" s="3">
        <v>-369.69999999999987</v>
      </c>
      <c r="D12" s="1" t="s">
        <v>145</v>
      </c>
      <c r="E12" s="3">
        <v>-40.700000000000003</v>
      </c>
      <c r="F12" s="1" t="s">
        <v>138</v>
      </c>
      <c r="G12" s="5">
        <v>3</v>
      </c>
      <c r="H12" s="1" t="s">
        <v>145</v>
      </c>
      <c r="I12" s="18">
        <v>0</v>
      </c>
      <c r="J12" s="1" t="s">
        <v>138</v>
      </c>
      <c r="K12" s="16">
        <v>0.04</v>
      </c>
      <c r="L12" s="1" t="s">
        <v>138</v>
      </c>
      <c r="M12" s="16">
        <v>0.4</v>
      </c>
      <c r="N12" s="1" t="s">
        <v>145</v>
      </c>
      <c r="O12" s="2">
        <v>1300</v>
      </c>
      <c r="P12" s="1" t="s">
        <v>139</v>
      </c>
      <c r="Q12" s="2">
        <v>-12000</v>
      </c>
      <c r="R12" s="1" t="s">
        <v>145</v>
      </c>
      <c r="S12" s="18">
        <v>1</v>
      </c>
      <c r="T12" s="1" t="s">
        <v>217</v>
      </c>
      <c r="U12" s="18">
        <v>0</v>
      </c>
      <c r="V12" s="1" t="s">
        <v>156</v>
      </c>
      <c r="W12" s="16">
        <v>0</v>
      </c>
      <c r="X12" s="1" t="s">
        <v>156</v>
      </c>
      <c r="Y12" s="16">
        <v>0</v>
      </c>
      <c r="Z12" s="1" t="s">
        <v>156</v>
      </c>
      <c r="AA12" s="16">
        <v>0</v>
      </c>
      <c r="AB12" s="1" t="s">
        <v>156</v>
      </c>
      <c r="AC12" s="16">
        <v>0</v>
      </c>
      <c r="AD12" s="1" t="s">
        <v>145</v>
      </c>
      <c r="AE12" s="16">
        <v>0</v>
      </c>
    </row>
  </sheetData>
  <sortState ref="AD2:AE26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E569-63DD-46C6-B372-721A6A3ECC12}">
  <sheetPr codeName="Sheet4"/>
  <dimension ref="A1:P112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189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110</v>
      </c>
      <c r="C2" s="87"/>
      <c r="E2" s="79" t="s">
        <v>73</v>
      </c>
      <c r="F2" s="75" t="s">
        <v>27</v>
      </c>
      <c r="G2" s="61">
        <v>114</v>
      </c>
      <c r="H2" s="24">
        <f>IF(B$25=0,0,G2/B$25)</f>
        <v>0.93442622950819676</v>
      </c>
      <c r="J2" s="23">
        <v>0</v>
      </c>
      <c r="K2" s="25">
        <v>0</v>
      </c>
      <c r="M2" s="23" t="s">
        <v>201</v>
      </c>
      <c r="N2" s="56">
        <f t="shared" ref="N2:N7" si="0">IF(P2=0,0,O2/P2)</f>
        <v>816.03773584905662</v>
      </c>
      <c r="O2" s="53">
        <v>86500</v>
      </c>
      <c r="P2" s="51">
        <v>106</v>
      </c>
    </row>
    <row r="3" spans="1:16" x14ac:dyDescent="0.4">
      <c r="A3" s="70" t="s">
        <v>8</v>
      </c>
      <c r="B3" s="92">
        <v>795</v>
      </c>
      <c r="C3" s="93"/>
      <c r="E3" s="80" t="s">
        <v>78</v>
      </c>
      <c r="F3" s="76" t="s">
        <v>31</v>
      </c>
      <c r="G3" s="62">
        <v>69</v>
      </c>
      <c r="H3" s="27">
        <f>IF(B$25=0,0,G3/B$25)</f>
        <v>0.56557377049180324</v>
      </c>
      <c r="J3" s="26">
        <v>1</v>
      </c>
      <c r="K3" s="28">
        <v>15</v>
      </c>
      <c r="M3" s="26" t="s">
        <v>202</v>
      </c>
      <c r="N3" s="57">
        <f t="shared" si="0"/>
        <v>1749</v>
      </c>
      <c r="O3" s="54">
        <v>174900</v>
      </c>
      <c r="P3" s="49">
        <v>100</v>
      </c>
    </row>
    <row r="4" spans="1:16" x14ac:dyDescent="0.4">
      <c r="A4" s="70" t="s">
        <v>6</v>
      </c>
      <c r="B4" s="94">
        <v>416.00000000000006</v>
      </c>
      <c r="C4" s="95"/>
      <c r="E4" s="80" t="s">
        <v>69</v>
      </c>
      <c r="F4" s="76" t="s">
        <v>23</v>
      </c>
      <c r="G4" s="62">
        <v>64</v>
      </c>
      <c r="H4" s="27">
        <f>IF(B$25=0,0,G4/B$25)</f>
        <v>0.52459016393442626</v>
      </c>
      <c r="J4" s="26">
        <v>2</v>
      </c>
      <c r="K4" s="28">
        <v>14</v>
      </c>
      <c r="M4" s="26" t="s">
        <v>203</v>
      </c>
      <c r="N4" s="57">
        <f t="shared" si="0"/>
        <v>1378.2608695652175</v>
      </c>
      <c r="O4" s="54">
        <v>126800</v>
      </c>
      <c r="P4" s="49">
        <v>92</v>
      </c>
    </row>
    <row r="5" spans="1:16" x14ac:dyDescent="0.4">
      <c r="A5" s="70" t="s">
        <v>7</v>
      </c>
      <c r="B5" s="94">
        <f>IF(B$2=0,0,B$4/B$2)</f>
        <v>3.7818181818181822</v>
      </c>
      <c r="C5" s="95"/>
      <c r="E5" s="80" t="s">
        <v>71</v>
      </c>
      <c r="F5" s="76" t="s">
        <v>25</v>
      </c>
      <c r="G5" s="62">
        <v>63</v>
      </c>
      <c r="H5" s="27">
        <f>IF(B$25=0,0,G5/B$25)</f>
        <v>0.51639344262295084</v>
      </c>
      <c r="J5" s="26">
        <v>3</v>
      </c>
      <c r="K5" s="28">
        <v>29.1</v>
      </c>
      <c r="M5" s="26" t="s">
        <v>204</v>
      </c>
      <c r="N5" s="57">
        <f t="shared" si="0"/>
        <v>656.79012345679007</v>
      </c>
      <c r="O5" s="54">
        <v>53200</v>
      </c>
      <c r="P5" s="49">
        <v>81</v>
      </c>
    </row>
    <row r="6" spans="1:16" x14ac:dyDescent="0.4">
      <c r="A6" s="70" t="s">
        <v>1</v>
      </c>
      <c r="B6" s="96">
        <f>IF(B$2=0,0,(B$7*1+B$8*2+B$9*3)/B$2)</f>
        <v>1.8818181818181818</v>
      </c>
      <c r="C6" s="97"/>
      <c r="E6" s="80" t="s">
        <v>74</v>
      </c>
      <c r="F6" s="76" t="s">
        <v>12</v>
      </c>
      <c r="G6" s="62">
        <v>33</v>
      </c>
      <c r="H6" s="27">
        <f>IF(B$25=0,0,G6/B$25)</f>
        <v>0.27049180327868855</v>
      </c>
      <c r="J6" s="26">
        <v>4</v>
      </c>
      <c r="K6" s="28">
        <v>114.30000000000001</v>
      </c>
      <c r="M6" s="26" t="s">
        <v>205</v>
      </c>
      <c r="N6" s="57">
        <f t="shared" si="0"/>
        <v>-307.69230769230768</v>
      </c>
      <c r="O6" s="54">
        <v>-20000</v>
      </c>
      <c r="P6" s="49">
        <v>65</v>
      </c>
    </row>
    <row r="7" spans="1:16" x14ac:dyDescent="0.4">
      <c r="A7" s="70" t="s">
        <v>2</v>
      </c>
      <c r="B7" s="62">
        <v>41</v>
      </c>
      <c r="C7" s="27">
        <f>IF(B$2=0,0,B7/B$2)</f>
        <v>0.37272727272727274</v>
      </c>
      <c r="E7" s="80" t="s">
        <v>72</v>
      </c>
      <c r="F7" s="76" t="s">
        <v>26</v>
      </c>
      <c r="G7" s="62">
        <v>29</v>
      </c>
      <c r="H7" s="27">
        <f>IF(B$25=0,0,G7/B$25)</f>
        <v>0.23770491803278687</v>
      </c>
      <c r="J7" s="26">
        <v>5</v>
      </c>
      <c r="K7" s="28">
        <v>145.80000000000001</v>
      </c>
      <c r="M7" s="31" t="s">
        <v>206</v>
      </c>
      <c r="N7" s="58">
        <f t="shared" si="0"/>
        <v>-900</v>
      </c>
      <c r="O7" s="55">
        <v>-41400</v>
      </c>
      <c r="P7" s="50">
        <v>46</v>
      </c>
    </row>
    <row r="8" spans="1:16" x14ac:dyDescent="0.4">
      <c r="A8" s="70" t="s">
        <v>3</v>
      </c>
      <c r="B8" s="62">
        <v>41</v>
      </c>
      <c r="C8" s="27">
        <f t="shared" ref="C8:C9" si="1">IF(B$2=0,0,B8/B$2)</f>
        <v>0.37272727272727274</v>
      </c>
      <c r="E8" s="80" t="s">
        <v>75</v>
      </c>
      <c r="F8" s="76" t="s">
        <v>28</v>
      </c>
      <c r="G8" s="62">
        <v>20</v>
      </c>
      <c r="H8" s="27">
        <f>IF(B$25=0,0,G8/B$25)</f>
        <v>0.16393442622950818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28</v>
      </c>
      <c r="C9" s="29">
        <f t="shared" si="1"/>
        <v>0.25454545454545452</v>
      </c>
      <c r="E9" s="80" t="s">
        <v>96</v>
      </c>
      <c r="F9" s="76" t="s">
        <v>49</v>
      </c>
      <c r="G9" s="62">
        <v>18</v>
      </c>
      <c r="H9" s="27">
        <f>IF(B$25=0,0,G9/B$25)</f>
        <v>0.14754098360655737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14</v>
      </c>
      <c r="C10" s="29">
        <f>IF(B$2=0,0,B10/B$2)</f>
        <v>0.12727272727272726</v>
      </c>
      <c r="E10" s="80" t="s">
        <v>70</v>
      </c>
      <c r="F10" s="76" t="s">
        <v>24</v>
      </c>
      <c r="G10" s="62">
        <v>8</v>
      </c>
      <c r="H10" s="27">
        <f>IF(B$25=0,0,G10/B$25)</f>
        <v>6.5573770491803282E-2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25</v>
      </c>
      <c r="C11" s="32">
        <f>IF(B$2=0,0,B11/B$2)</f>
        <v>0.22727272727272727</v>
      </c>
      <c r="E11" s="80" t="s">
        <v>93</v>
      </c>
      <c r="F11" s="76" t="s">
        <v>46</v>
      </c>
      <c r="G11" s="62">
        <v>8</v>
      </c>
      <c r="H11" s="27">
        <f>IF(B$25=0,0,G11/B$25)</f>
        <v>6.5573770491803282E-2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94</v>
      </c>
      <c r="C12" s="35">
        <f>IF(B$24=0,0,B12/B$24)</f>
        <v>0.28313253012048195</v>
      </c>
      <c r="E12" s="80" t="s">
        <v>77</v>
      </c>
      <c r="F12" s="76" t="s">
        <v>30</v>
      </c>
      <c r="G12" s="62">
        <v>7</v>
      </c>
      <c r="H12" s="27">
        <f>IF(B$25=0,0,G12/B$25)</f>
        <v>5.737704918032787E-2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74</v>
      </c>
      <c r="C13" s="27">
        <f>IF(B$24=0,0,B13/B$24)</f>
        <v>0.22289156626506024</v>
      </c>
      <c r="E13" s="80" t="s">
        <v>76</v>
      </c>
      <c r="F13" s="76" t="s">
        <v>29</v>
      </c>
      <c r="G13" s="62">
        <v>6</v>
      </c>
      <c r="H13" s="27">
        <f>IF(B$25=0,0,G13/B$25)</f>
        <v>4.9180327868852458E-2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67</v>
      </c>
      <c r="C14" s="24">
        <f>IF(B$12=0,0,B14/B$12)</f>
        <v>0.71276595744680848</v>
      </c>
      <c r="E14" s="80" t="s">
        <v>90</v>
      </c>
      <c r="F14" s="76" t="s">
        <v>43</v>
      </c>
      <c r="G14" s="62">
        <v>4</v>
      </c>
      <c r="H14" s="27">
        <f>IF(B$25=0,0,G14/B$25)</f>
        <v>3.2786885245901641E-2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33</v>
      </c>
      <c r="C15" s="24">
        <f>IF(B$13=0,0,B15/B$13)</f>
        <v>0.44594594594594594</v>
      </c>
      <c r="E15" s="80" t="s">
        <v>88</v>
      </c>
      <c r="F15" s="76" t="s">
        <v>41</v>
      </c>
      <c r="G15" s="62">
        <v>3</v>
      </c>
      <c r="H15" s="27">
        <f>IF(B$25=0,0,G15/B$25)</f>
        <v>2.4590163934426229E-2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281</v>
      </c>
      <c r="C16" s="24">
        <f>IF(B$3=0,0,B16/B$3)</f>
        <v>0.35345911949685532</v>
      </c>
      <c r="E16" s="80" t="s">
        <v>83</v>
      </c>
      <c r="F16" s="76" t="s">
        <v>36</v>
      </c>
      <c r="G16" s="62">
        <v>2</v>
      </c>
      <c r="H16" s="27">
        <f>IF(B$25=0,0,G16/B$25)</f>
        <v>1.6393442622950821E-2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175</v>
      </c>
      <c r="C17" s="27">
        <f>IF(B$3=0,0,B17/B$3)</f>
        <v>0.22012578616352202</v>
      </c>
      <c r="E17" s="80" t="s">
        <v>99</v>
      </c>
      <c r="F17" s="76" t="s">
        <v>52</v>
      </c>
      <c r="G17" s="62">
        <v>2</v>
      </c>
      <c r="H17" s="27">
        <f>IF(B$25=0,0,G17/B$25)</f>
        <v>1.6393442622950821E-2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106</v>
      </c>
      <c r="C18" s="27">
        <f>IF(B$3=0,0,B18/B$3)</f>
        <v>0.13333333333333333</v>
      </c>
      <c r="E18" s="80" t="s">
        <v>79</v>
      </c>
      <c r="F18" s="76" t="s">
        <v>32</v>
      </c>
      <c r="G18" s="62">
        <v>1</v>
      </c>
      <c r="H18" s="27">
        <f>IF(B$25=0,0,G18/B$25)</f>
        <v>8.1967213114754103E-3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125</v>
      </c>
      <c r="C19" s="27">
        <f>IF(B$3=0,0,B19/B$3)</f>
        <v>0.15723270440251572</v>
      </c>
      <c r="E19" s="80" t="s">
        <v>85</v>
      </c>
      <c r="F19" s="76" t="s">
        <v>38</v>
      </c>
      <c r="G19" s="62">
        <v>1</v>
      </c>
      <c r="H19" s="27">
        <f>IF(B$25=0,0,G19/B$25)</f>
        <v>8.1967213114754103E-3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9822.0640569395018</v>
      </c>
      <c r="C20" s="30">
        <v>2760000</v>
      </c>
      <c r="E20" s="80" t="s">
        <v>98</v>
      </c>
      <c r="F20" s="76" t="s">
        <v>51</v>
      </c>
      <c r="G20" s="62">
        <v>1</v>
      </c>
      <c r="H20" s="27">
        <f>IF(B$25=0,0,G20/B$25)</f>
        <v>8.1967213114754103E-3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-9947.2000000000007</v>
      </c>
      <c r="C21" s="60">
        <v>-1243400</v>
      </c>
      <c r="E21" s="80" t="s">
        <v>113</v>
      </c>
      <c r="F21" s="76" t="s">
        <v>120</v>
      </c>
      <c r="G21" s="62">
        <v>1</v>
      </c>
      <c r="H21" s="27">
        <f>IF(B$25=0,0,G21/B$25)</f>
        <v>8.1967213114754103E-3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278</v>
      </c>
      <c r="C22" s="24">
        <f>IF(B$3=0,0,B22/B$3)</f>
        <v>0.34968553459119495</v>
      </c>
      <c r="E22" s="80" t="s">
        <v>80</v>
      </c>
      <c r="F22" s="76" t="s">
        <v>33</v>
      </c>
      <c r="G22" s="62">
        <v>0</v>
      </c>
      <c r="H22" s="27">
        <f>IF(B$25=0,0,G22/B$25)</f>
        <v>0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119</v>
      </c>
      <c r="C23" s="32">
        <f>IF(B$22=0,0,B23/B$22)</f>
        <v>0.42805755395683454</v>
      </c>
      <c r="E23" s="80" t="s">
        <v>81</v>
      </c>
      <c r="F23" s="76" t="s">
        <v>34</v>
      </c>
      <c r="G23" s="62">
        <v>0</v>
      </c>
      <c r="H23" s="27">
        <f>IF(B$25=0,0,G23/B$25)</f>
        <v>0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6">
        <v>332</v>
      </c>
      <c r="C24" s="87"/>
      <c r="E24" s="80" t="s">
        <v>82</v>
      </c>
      <c r="F24" s="76" t="s">
        <v>35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8">
        <v>122</v>
      </c>
      <c r="C25" s="89"/>
      <c r="E25" s="80" t="s">
        <v>84</v>
      </c>
      <c r="F25" s="76" t="s">
        <v>37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86</v>
      </c>
      <c r="F26" s="76" t="s">
        <v>39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87</v>
      </c>
      <c r="F27" s="76" t="s">
        <v>40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89</v>
      </c>
      <c r="F28" s="76" t="s">
        <v>42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91</v>
      </c>
      <c r="F29" s="76" t="s">
        <v>44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92</v>
      </c>
      <c r="F30" s="76" t="s">
        <v>45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</sheetData>
  <sortState ref="E2:H112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4D73-58F4-4A60-AA44-D01D387667BE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194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2">
        <v>25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4">
        <v>-132.1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4">
        <f>IF(B$2=0,0,B$4/B$2)</f>
        <v>-33.024999999999999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6">
        <f>IF(B$2=0,0,(B$7*1+B$8*2+B$9*3)/B$2)</f>
        <v>3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C9D0A-D062-44F0-AD14-4EBD175BD158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218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2">
        <v>7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4">
        <v>-24.5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-24.5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4">
        <f>IF(B$2=0,0,B$4/B$2)</f>
        <v>-12.25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2.5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2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EC35-A2DD-4AB5-9073-14722322CC89}">
  <sheetPr codeName="Sheet7"/>
  <dimension ref="A1:P78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76</v>
      </c>
      <c r="C2" s="87"/>
      <c r="E2" s="79" t="s">
        <v>73</v>
      </c>
      <c r="F2" s="75" t="s">
        <v>27</v>
      </c>
      <c r="G2" s="61">
        <v>58</v>
      </c>
      <c r="H2" s="24">
        <f>IF(B$25=0,0,G2/B$25)</f>
        <v>0.71604938271604934</v>
      </c>
      <c r="J2" s="23">
        <v>0</v>
      </c>
      <c r="K2" s="25">
        <v>0</v>
      </c>
      <c r="M2" s="23" t="s">
        <v>201</v>
      </c>
      <c r="N2" s="56">
        <f t="shared" ref="N2:N7" si="0">IF(P2=0,0,O2/P2)</f>
        <v>-301.35135135135135</v>
      </c>
      <c r="O2" s="53">
        <v>-22300</v>
      </c>
      <c r="P2" s="51">
        <v>74</v>
      </c>
    </row>
    <row r="3" spans="1:16" x14ac:dyDescent="0.4">
      <c r="A3" s="70" t="s">
        <v>8</v>
      </c>
      <c r="B3" s="92">
        <v>566</v>
      </c>
      <c r="C3" s="93"/>
      <c r="E3" s="80" t="s">
        <v>69</v>
      </c>
      <c r="F3" s="76" t="s">
        <v>23</v>
      </c>
      <c r="G3" s="62">
        <v>49</v>
      </c>
      <c r="H3" s="27">
        <f>IF(B$25=0,0,G3/B$25)</f>
        <v>0.60493827160493829</v>
      </c>
      <c r="J3" s="26">
        <v>1</v>
      </c>
      <c r="K3" s="28">
        <v>40.9</v>
      </c>
      <c r="M3" s="26" t="s">
        <v>202</v>
      </c>
      <c r="N3" s="57">
        <f t="shared" si="0"/>
        <v>-1872.8571428571429</v>
      </c>
      <c r="O3" s="54">
        <v>-131100</v>
      </c>
      <c r="P3" s="49">
        <v>70</v>
      </c>
    </row>
    <row r="4" spans="1:16" x14ac:dyDescent="0.4">
      <c r="A4" s="70" t="s">
        <v>6</v>
      </c>
      <c r="B4" s="94">
        <v>-369.69999999999987</v>
      </c>
      <c r="C4" s="95"/>
      <c r="E4" s="80" t="s">
        <v>71</v>
      </c>
      <c r="F4" s="76" t="s">
        <v>25</v>
      </c>
      <c r="G4" s="62">
        <v>46</v>
      </c>
      <c r="H4" s="27">
        <f>IF(B$25=0,0,G4/B$25)</f>
        <v>0.5679012345679012</v>
      </c>
      <c r="J4" s="26">
        <v>2</v>
      </c>
      <c r="K4" s="28">
        <v>-0.89999999999999858</v>
      </c>
      <c r="M4" s="26" t="s">
        <v>203</v>
      </c>
      <c r="N4" s="57">
        <f t="shared" si="0"/>
        <v>1705.8823529411766</v>
      </c>
      <c r="O4" s="54">
        <v>116000</v>
      </c>
      <c r="P4" s="49">
        <v>68</v>
      </c>
    </row>
    <row r="5" spans="1:16" x14ac:dyDescent="0.4">
      <c r="A5" s="70" t="s">
        <v>7</v>
      </c>
      <c r="B5" s="94">
        <f>IF(B$2=0,0,B$4/B$2)</f>
        <v>-4.864473684210525</v>
      </c>
      <c r="C5" s="95"/>
      <c r="E5" s="80" t="s">
        <v>78</v>
      </c>
      <c r="F5" s="76" t="s">
        <v>31</v>
      </c>
      <c r="G5" s="62">
        <v>45</v>
      </c>
      <c r="H5" s="27">
        <f>IF(B$25=0,0,G5/B$25)</f>
        <v>0.55555555555555558</v>
      </c>
      <c r="J5" s="26">
        <v>3</v>
      </c>
      <c r="K5" s="28">
        <v>-36.4</v>
      </c>
      <c r="M5" s="26" t="s">
        <v>204</v>
      </c>
      <c r="N5" s="57">
        <f t="shared" si="0"/>
        <v>-1595</v>
      </c>
      <c r="O5" s="54">
        <v>-95700</v>
      </c>
      <c r="P5" s="49">
        <v>60</v>
      </c>
    </row>
    <row r="6" spans="1:16" x14ac:dyDescent="0.4">
      <c r="A6" s="70" t="s">
        <v>1</v>
      </c>
      <c r="B6" s="96">
        <f>IF(B$2=0,0,(B$7*1+B$8*2+B$9*3)/B$2)</f>
        <v>2.1447368421052633</v>
      </c>
      <c r="C6" s="97"/>
      <c r="E6" s="80" t="s">
        <v>74</v>
      </c>
      <c r="F6" s="76" t="s">
        <v>12</v>
      </c>
      <c r="G6" s="62">
        <v>27</v>
      </c>
      <c r="H6" s="27">
        <f>IF(B$25=0,0,G6/B$25)</f>
        <v>0.33333333333333331</v>
      </c>
      <c r="J6" s="26">
        <v>4</v>
      </c>
      <c r="K6" s="28">
        <v>3.6000000000000014</v>
      </c>
      <c r="M6" s="26" t="s">
        <v>205</v>
      </c>
      <c r="N6" s="57">
        <f t="shared" si="0"/>
        <v>-4018.75</v>
      </c>
      <c r="O6" s="54">
        <v>-192900</v>
      </c>
      <c r="P6" s="49">
        <v>48</v>
      </c>
    </row>
    <row r="7" spans="1:16" x14ac:dyDescent="0.4">
      <c r="A7" s="70" t="s">
        <v>2</v>
      </c>
      <c r="B7" s="62">
        <v>22</v>
      </c>
      <c r="C7" s="27">
        <f>IF(B$2=0,0,B7/B$2)</f>
        <v>0.28947368421052633</v>
      </c>
      <c r="E7" s="80" t="s">
        <v>72</v>
      </c>
      <c r="F7" s="76" t="s">
        <v>26</v>
      </c>
      <c r="G7" s="62">
        <v>16</v>
      </c>
      <c r="H7" s="27">
        <f>IF(B$25=0,0,G7/B$25)</f>
        <v>0.19753086419753085</v>
      </c>
      <c r="J7" s="26">
        <v>5</v>
      </c>
      <c r="K7" s="28">
        <v>14.600000000000001</v>
      </c>
      <c r="M7" s="31" t="s">
        <v>206</v>
      </c>
      <c r="N7" s="58">
        <f t="shared" si="0"/>
        <v>-2334.2857142857142</v>
      </c>
      <c r="O7" s="55">
        <v>-81700</v>
      </c>
      <c r="P7" s="50">
        <v>35</v>
      </c>
    </row>
    <row r="8" spans="1:16" x14ac:dyDescent="0.4">
      <c r="A8" s="70" t="s">
        <v>3</v>
      </c>
      <c r="B8" s="62">
        <v>21</v>
      </c>
      <c r="C8" s="27">
        <f t="shared" ref="C8:C9" si="1">IF(B$2=0,0,B8/B$2)</f>
        <v>0.27631578947368424</v>
      </c>
      <c r="E8" s="80" t="s">
        <v>76</v>
      </c>
      <c r="F8" s="76" t="s">
        <v>29</v>
      </c>
      <c r="G8" s="62">
        <v>14</v>
      </c>
      <c r="H8" s="27">
        <f>IF(B$25=0,0,G8/B$25)</f>
        <v>0.1728395061728395</v>
      </c>
      <c r="J8" s="26">
        <v>6</v>
      </c>
      <c r="K8" s="28">
        <v>47.6</v>
      </c>
    </row>
    <row r="9" spans="1:16" x14ac:dyDescent="0.4">
      <c r="A9" s="71" t="s">
        <v>4</v>
      </c>
      <c r="B9" s="63">
        <v>33</v>
      </c>
      <c r="C9" s="29">
        <f t="shared" si="1"/>
        <v>0.43421052631578949</v>
      </c>
      <c r="E9" s="80" t="s">
        <v>96</v>
      </c>
      <c r="F9" s="76" t="s">
        <v>49</v>
      </c>
      <c r="G9" s="62">
        <v>13</v>
      </c>
      <c r="H9" s="27">
        <f>IF(B$25=0,0,G9/B$25)</f>
        <v>0.16049382716049382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0.26315789473684209</v>
      </c>
      <c r="E10" s="80" t="s">
        <v>75</v>
      </c>
      <c r="F10" s="76" t="s">
        <v>28</v>
      </c>
      <c r="G10" s="62">
        <v>12</v>
      </c>
      <c r="H10" s="27">
        <f>IF(B$25=0,0,G10/B$25)</f>
        <v>0.14814814814814814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0.15789473684210525</v>
      </c>
      <c r="E11" s="80" t="s">
        <v>70</v>
      </c>
      <c r="F11" s="76" t="s">
        <v>24</v>
      </c>
      <c r="G11" s="62">
        <v>10</v>
      </c>
      <c r="H11" s="27">
        <f>IF(B$25=0,0,G11/B$25)</f>
        <v>0.12345679012345678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88</v>
      </c>
      <c r="C12" s="35">
        <f>IF(B$24=0,0,B12/B$24)</f>
        <v>0.28852459016393445</v>
      </c>
      <c r="E12" s="80" t="s">
        <v>93</v>
      </c>
      <c r="F12" s="76" t="s">
        <v>46</v>
      </c>
      <c r="G12" s="62">
        <v>10</v>
      </c>
      <c r="H12" s="27">
        <f>IF(B$25=0,0,G12/B$25)</f>
        <v>0.12345679012345678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51</v>
      </c>
      <c r="C13" s="27">
        <f>IF(B$24=0,0,B13/B$24)</f>
        <v>0.16721311475409836</v>
      </c>
      <c r="E13" s="80" t="s">
        <v>90</v>
      </c>
      <c r="F13" s="76" t="s">
        <v>43</v>
      </c>
      <c r="G13" s="62">
        <v>7</v>
      </c>
      <c r="H13" s="27">
        <f>IF(B$25=0,0,G13/B$25)</f>
        <v>8.6419753086419748E-2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49</v>
      </c>
      <c r="C14" s="24">
        <f>IF(B$12=0,0,B14/B$12)</f>
        <v>0.55681818181818177</v>
      </c>
      <c r="E14" s="80" t="s">
        <v>98</v>
      </c>
      <c r="F14" s="76" t="s">
        <v>51</v>
      </c>
      <c r="G14" s="62">
        <v>5</v>
      </c>
      <c r="H14" s="27">
        <f>IF(B$25=0,0,G14/B$25)</f>
        <v>6.1728395061728392E-2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19</v>
      </c>
      <c r="C15" s="24">
        <f>IF(B$13=0,0,B15/B$13)</f>
        <v>0.37254901960784315</v>
      </c>
      <c r="E15" s="80" t="s">
        <v>88</v>
      </c>
      <c r="F15" s="76" t="s">
        <v>41</v>
      </c>
      <c r="G15" s="62">
        <v>3</v>
      </c>
      <c r="H15" s="27">
        <f>IF(B$25=0,0,G15/B$25)</f>
        <v>3.7037037037037035E-2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142</v>
      </c>
      <c r="C16" s="24">
        <f>IF(B$3=0,0,B16/B$3)</f>
        <v>0.25088339222614842</v>
      </c>
      <c r="E16" s="80" t="s">
        <v>77</v>
      </c>
      <c r="F16" s="76" t="s">
        <v>30</v>
      </c>
      <c r="G16" s="62">
        <v>2</v>
      </c>
      <c r="H16" s="27">
        <f>IF(B$25=0,0,G16/B$25)</f>
        <v>2.4691358024691357E-2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84</v>
      </c>
      <c r="C17" s="27">
        <f>IF(B$3=0,0,B17/B$3)</f>
        <v>0.14840989399293286</v>
      </c>
      <c r="E17" s="80" t="s">
        <v>84</v>
      </c>
      <c r="F17" s="76" t="s">
        <v>37</v>
      </c>
      <c r="G17" s="62">
        <v>2</v>
      </c>
      <c r="H17" s="27">
        <f>IF(B$25=0,0,G17/B$25)</f>
        <v>2.4691358024691357E-2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58</v>
      </c>
      <c r="C18" s="27">
        <f>IF(B$3=0,0,B18/B$3)</f>
        <v>0.10247349823321555</v>
      </c>
      <c r="E18" s="80" t="s">
        <v>85</v>
      </c>
      <c r="F18" s="76" t="s">
        <v>38</v>
      </c>
      <c r="G18" s="62">
        <v>2</v>
      </c>
      <c r="H18" s="27">
        <f>IF(B$25=0,0,G18/B$25)</f>
        <v>2.4691358024691357E-2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112</v>
      </c>
      <c r="C19" s="27">
        <f>IF(B$3=0,0,B19/B$3)</f>
        <v>0.19787985865724381</v>
      </c>
      <c r="E19" s="80" t="s">
        <v>99</v>
      </c>
      <c r="F19" s="76" t="s">
        <v>52</v>
      </c>
      <c r="G19" s="62">
        <v>2</v>
      </c>
      <c r="H19" s="27">
        <f>IF(B$25=0,0,G19/B$25)</f>
        <v>2.4691358024691357E-2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11477.464788732394</v>
      </c>
      <c r="C20" s="30">
        <v>1629800</v>
      </c>
      <c r="E20" s="80" t="s">
        <v>87</v>
      </c>
      <c r="F20" s="76" t="s">
        <v>40</v>
      </c>
      <c r="G20" s="62">
        <v>1</v>
      </c>
      <c r="H20" s="27">
        <f>IF(B$25=0,0,G20/B$25)</f>
        <v>1.2345679012345678E-2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-10466.071428571429</v>
      </c>
      <c r="C21" s="60">
        <v>-1172200</v>
      </c>
      <c r="E21" s="80" t="s">
        <v>91</v>
      </c>
      <c r="F21" s="76" t="s">
        <v>44</v>
      </c>
      <c r="G21" s="62">
        <v>1</v>
      </c>
      <c r="H21" s="27">
        <f>IF(B$25=0,0,G21/B$25)</f>
        <v>1.2345679012345678E-2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174</v>
      </c>
      <c r="C22" s="24">
        <f>IF(B$3=0,0,B22/B$3)</f>
        <v>0.30742049469964666</v>
      </c>
      <c r="E22" s="80" t="s">
        <v>92</v>
      </c>
      <c r="F22" s="76" t="s">
        <v>45</v>
      </c>
      <c r="G22" s="62">
        <v>1</v>
      </c>
      <c r="H22" s="27">
        <f>IF(B$25=0,0,G22/B$25)</f>
        <v>1.2345679012345678E-2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55</v>
      </c>
      <c r="C23" s="32">
        <f>IF(B$22=0,0,B23/B$22)</f>
        <v>0.31609195402298851</v>
      </c>
      <c r="E23" s="80" t="s">
        <v>94</v>
      </c>
      <c r="F23" s="76" t="s">
        <v>47</v>
      </c>
      <c r="G23" s="62">
        <v>1</v>
      </c>
      <c r="H23" s="27">
        <f>IF(B$25=0,0,G23/B$25)</f>
        <v>1.2345679012345678E-2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6">
        <v>305</v>
      </c>
      <c r="C24" s="87"/>
      <c r="E24" s="80" t="s">
        <v>95</v>
      </c>
      <c r="F24" s="76" t="s">
        <v>48</v>
      </c>
      <c r="G24" s="62">
        <v>1</v>
      </c>
      <c r="H24" s="27">
        <f>IF(B$25=0,0,G24/B$25)</f>
        <v>1.2345679012345678E-2</v>
      </c>
      <c r="J24" s="26">
        <v>22</v>
      </c>
      <c r="K24" s="28">
        <v>-94.6</v>
      </c>
    </row>
    <row r="25" spans="1:11" x14ac:dyDescent="0.4">
      <c r="A25" s="72" t="s">
        <v>129</v>
      </c>
      <c r="B25" s="88">
        <v>81</v>
      </c>
      <c r="C25" s="89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</sheetData>
  <sortState ref="E2:H78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CB99B-0B0B-427E-A2E7-DB4A0A69C6A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40</v>
      </c>
      <c r="C2" s="87"/>
      <c r="E2" s="79" t="s">
        <v>71</v>
      </c>
      <c r="F2" s="75" t="s">
        <v>25</v>
      </c>
      <c r="G2" s="61">
        <v>14</v>
      </c>
      <c r="H2" s="24">
        <f>IF(B$25=0,0,G2/B$25)</f>
        <v>1.0769230769230769</v>
      </c>
      <c r="J2" s="23">
        <v>0</v>
      </c>
      <c r="K2" s="25">
        <v>0</v>
      </c>
      <c r="M2" s="23" t="s">
        <v>201</v>
      </c>
      <c r="N2" s="56">
        <f t="shared" ref="N2:N7" si="0">IF(P2=0,0,O2/P2)</f>
        <v>-867.5</v>
      </c>
      <c r="O2" s="53">
        <v>-34700</v>
      </c>
      <c r="P2" s="51">
        <v>40</v>
      </c>
    </row>
    <row r="3" spans="1:16" x14ac:dyDescent="0.4">
      <c r="A3" s="70" t="s">
        <v>8</v>
      </c>
      <c r="B3" s="92">
        <v>284</v>
      </c>
      <c r="C3" s="93"/>
      <c r="E3" s="80" t="s">
        <v>73</v>
      </c>
      <c r="F3" s="76" t="s">
        <v>27</v>
      </c>
      <c r="G3" s="62">
        <v>12</v>
      </c>
      <c r="H3" s="27">
        <f>IF(B$25=0,0,G3/B$25)</f>
        <v>0.92307692307692313</v>
      </c>
      <c r="J3" s="26">
        <v>1</v>
      </c>
      <c r="K3" s="28">
        <v>-39.9</v>
      </c>
      <c r="M3" s="26" t="s">
        <v>202</v>
      </c>
      <c r="N3" s="57">
        <f t="shared" si="0"/>
        <v>3084.2105263157896</v>
      </c>
      <c r="O3" s="54">
        <v>117200</v>
      </c>
      <c r="P3" s="49">
        <v>38</v>
      </c>
    </row>
    <row r="4" spans="1:16" x14ac:dyDescent="0.4">
      <c r="A4" s="70" t="s">
        <v>6</v>
      </c>
      <c r="B4" s="94">
        <v>236.10000000000002</v>
      </c>
      <c r="C4" s="95"/>
      <c r="E4" s="80" t="s">
        <v>78</v>
      </c>
      <c r="F4" s="76" t="s">
        <v>31</v>
      </c>
      <c r="G4" s="62">
        <v>12</v>
      </c>
      <c r="H4" s="27">
        <f>IF(B$25=0,0,G4/B$25)</f>
        <v>0.92307692307692313</v>
      </c>
      <c r="J4" s="26">
        <v>2</v>
      </c>
      <c r="K4" s="28">
        <v>-13.2</v>
      </c>
      <c r="M4" s="26" t="s">
        <v>203</v>
      </c>
      <c r="N4" s="57">
        <f t="shared" si="0"/>
        <v>-1480.5555555555557</v>
      </c>
      <c r="O4" s="54">
        <v>-53300</v>
      </c>
      <c r="P4" s="49">
        <v>36</v>
      </c>
    </row>
    <row r="5" spans="1:16" x14ac:dyDescent="0.4">
      <c r="A5" s="70" t="s">
        <v>7</v>
      </c>
      <c r="B5" s="94">
        <f>IF(B$2=0,0,B$4/B$2)</f>
        <v>5.9025000000000007</v>
      </c>
      <c r="C5" s="95"/>
      <c r="E5" s="80" t="s">
        <v>69</v>
      </c>
      <c r="F5" s="76" t="s">
        <v>23</v>
      </c>
      <c r="G5" s="62">
        <v>4</v>
      </c>
      <c r="H5" s="27">
        <f>IF(B$25=0,0,G5/B$25)</f>
        <v>0.30769230769230771</v>
      </c>
      <c r="J5" s="26">
        <v>3</v>
      </c>
      <c r="K5" s="28">
        <v>-57.7</v>
      </c>
      <c r="M5" s="26" t="s">
        <v>204</v>
      </c>
      <c r="N5" s="57">
        <f t="shared" si="0"/>
        <v>-1212.9032258064517</v>
      </c>
      <c r="O5" s="54">
        <v>-37600</v>
      </c>
      <c r="P5" s="49">
        <v>31</v>
      </c>
    </row>
    <row r="6" spans="1:16" x14ac:dyDescent="0.4">
      <c r="A6" s="70" t="s">
        <v>1</v>
      </c>
      <c r="B6" s="96">
        <f>IF(B$2=0,0,(B$7*1+B$8*2+B$9*3)/B$2)</f>
        <v>1.85</v>
      </c>
      <c r="C6" s="97"/>
      <c r="E6" s="80" t="s">
        <v>72</v>
      </c>
      <c r="F6" s="76" t="s">
        <v>26</v>
      </c>
      <c r="G6" s="62">
        <v>4</v>
      </c>
      <c r="H6" s="27">
        <f>IF(B$25=0,0,G6/B$25)</f>
        <v>0.30769230769230771</v>
      </c>
      <c r="J6" s="26">
        <v>4</v>
      </c>
      <c r="K6" s="28">
        <v>-53.7</v>
      </c>
      <c r="M6" s="26" t="s">
        <v>205</v>
      </c>
      <c r="N6" s="57">
        <f t="shared" si="0"/>
        <v>8588</v>
      </c>
      <c r="O6" s="54">
        <v>214700</v>
      </c>
      <c r="P6" s="49">
        <v>25</v>
      </c>
    </row>
    <row r="7" spans="1:16" x14ac:dyDescent="0.4">
      <c r="A7" s="70" t="s">
        <v>2</v>
      </c>
      <c r="B7" s="62">
        <v>14</v>
      </c>
      <c r="C7" s="27">
        <f>IF(B$2=0,0,B7/B$2)</f>
        <v>0.35</v>
      </c>
      <c r="E7" s="80" t="s">
        <v>74</v>
      </c>
      <c r="F7" s="76" t="s">
        <v>12</v>
      </c>
      <c r="G7" s="62">
        <v>3</v>
      </c>
      <c r="H7" s="27">
        <f>IF(B$25=0,0,G7/B$25)</f>
        <v>0.23076923076923078</v>
      </c>
      <c r="J7" s="26">
        <v>5</v>
      </c>
      <c r="K7" s="28">
        <v>-45.7</v>
      </c>
      <c r="M7" s="31" t="s">
        <v>206</v>
      </c>
      <c r="N7" s="58">
        <f t="shared" si="0"/>
        <v>2146.6666666666665</v>
      </c>
      <c r="O7" s="55">
        <v>32200</v>
      </c>
      <c r="P7" s="50">
        <v>15</v>
      </c>
    </row>
    <row r="8" spans="1:16" x14ac:dyDescent="0.4">
      <c r="A8" s="70" t="s">
        <v>3</v>
      </c>
      <c r="B8" s="62">
        <v>18</v>
      </c>
      <c r="C8" s="27">
        <f t="shared" ref="C8:C9" si="1">IF(B$2=0,0,B8/B$2)</f>
        <v>0.45</v>
      </c>
      <c r="E8" s="80" t="s">
        <v>90</v>
      </c>
      <c r="F8" s="76" t="s">
        <v>43</v>
      </c>
      <c r="G8" s="62">
        <v>3</v>
      </c>
      <c r="H8" s="27">
        <f>IF(B$25=0,0,G8/B$25)</f>
        <v>0.23076923076923078</v>
      </c>
      <c r="J8" s="26">
        <v>6</v>
      </c>
      <c r="K8" s="28">
        <v>-50.6</v>
      </c>
    </row>
    <row r="9" spans="1:16" x14ac:dyDescent="0.4">
      <c r="A9" s="71" t="s">
        <v>4</v>
      </c>
      <c r="B9" s="63">
        <v>8</v>
      </c>
      <c r="C9" s="29">
        <f t="shared" si="1"/>
        <v>0.2</v>
      </c>
      <c r="E9" s="80" t="s">
        <v>75</v>
      </c>
      <c r="F9" s="76" t="s">
        <v>28</v>
      </c>
      <c r="G9" s="62">
        <v>2</v>
      </c>
      <c r="H9" s="27">
        <f>IF(B$25=0,0,G9/B$25)</f>
        <v>0.15384615384615385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0.125</v>
      </c>
      <c r="E10" s="80" t="s">
        <v>88</v>
      </c>
      <c r="F10" s="76" t="s">
        <v>41</v>
      </c>
      <c r="G10" s="62">
        <v>2</v>
      </c>
      <c r="H10" s="27">
        <f>IF(B$25=0,0,G10/B$25)</f>
        <v>0.15384615384615385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8</v>
      </c>
      <c r="C11" s="32">
        <f>IF(B$2=0,0,B11/B$2)</f>
        <v>0.2</v>
      </c>
      <c r="E11" s="80" t="s">
        <v>70</v>
      </c>
      <c r="F11" s="76" t="s">
        <v>24</v>
      </c>
      <c r="G11" s="62">
        <v>1</v>
      </c>
      <c r="H11" s="27">
        <f>IF(B$25=0,0,G11/B$25)</f>
        <v>7.6923076923076927E-2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8</v>
      </c>
      <c r="C12" s="35">
        <f>IF(B$24=0,0,B12/B$24)</f>
        <v>0.17391304347826086</v>
      </c>
      <c r="E12" s="80" t="s">
        <v>96</v>
      </c>
      <c r="F12" s="76" t="s">
        <v>49</v>
      </c>
      <c r="G12" s="62">
        <v>1</v>
      </c>
      <c r="H12" s="27">
        <f>IF(B$25=0,0,G12/B$25)</f>
        <v>7.6923076923076927E-2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16</v>
      </c>
      <c r="C13" s="27">
        <f>IF(B$24=0,0,B13/B$24)</f>
        <v>0.34782608695652173</v>
      </c>
      <c r="E13" s="80" t="s">
        <v>76</v>
      </c>
      <c r="F13" s="76" t="s">
        <v>29</v>
      </c>
      <c r="G13" s="62">
        <v>0</v>
      </c>
      <c r="H13" s="27">
        <f>IF(B$25=0,0,G13/B$25)</f>
        <v>0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4</v>
      </c>
      <c r="C14" s="24">
        <f>IF(B$12=0,0,B14/B$12)</f>
        <v>0.5</v>
      </c>
      <c r="E14" s="80" t="s">
        <v>77</v>
      </c>
      <c r="F14" s="76" t="s">
        <v>30</v>
      </c>
      <c r="G14" s="62">
        <v>0</v>
      </c>
      <c r="H14" s="27">
        <f>IF(B$25=0,0,G14/B$25)</f>
        <v>0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6</v>
      </c>
      <c r="C15" s="24">
        <f>IF(B$13=0,0,B15/B$13)</f>
        <v>0.375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100</v>
      </c>
      <c r="C16" s="24">
        <f>IF(B$3=0,0,B16/B$3)</f>
        <v>0.352112676056338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53</v>
      </c>
      <c r="C17" s="27">
        <f>IF(B$3=0,0,B17/B$3)</f>
        <v>0.18661971830985916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47</v>
      </c>
      <c r="C18" s="27">
        <f>IF(B$3=0,0,B18/B$3)</f>
        <v>0.16549295774647887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40</v>
      </c>
      <c r="C19" s="27">
        <f>IF(B$3=0,0,B19/B$3)</f>
        <v>0.14084507042253522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9943</v>
      </c>
      <c r="C20" s="30">
        <v>994300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-9747.5</v>
      </c>
      <c r="C21" s="60">
        <v>-389900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102</v>
      </c>
      <c r="C22" s="24">
        <f>IF(B$3=0,0,B22/B$3)</f>
        <v>0.35915492957746481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36</v>
      </c>
      <c r="C23" s="32">
        <f>IF(B$22=0,0,B23/B$22)</f>
        <v>0.35294117647058826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6">
        <v>46</v>
      </c>
      <c r="C24" s="87"/>
      <c r="E24" s="80" t="s">
        <v>89</v>
      </c>
      <c r="F24" s="76" t="s">
        <v>42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8">
        <v>13</v>
      </c>
      <c r="C25" s="89"/>
      <c r="E25" s="80" t="s">
        <v>91</v>
      </c>
      <c r="F25" s="76" t="s">
        <v>44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769E-C31F-4CCB-8DC1-65EAC6951A4D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145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300</v>
      </c>
      <c r="O2" s="53">
        <v>300</v>
      </c>
      <c r="P2" s="51">
        <v>1</v>
      </c>
    </row>
    <row r="3" spans="1:16" x14ac:dyDescent="0.4">
      <c r="A3" s="70" t="s">
        <v>8</v>
      </c>
      <c r="B3" s="92">
        <v>6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-40.700000000000003</v>
      </c>
      <c r="M3" s="26" t="s">
        <v>202</v>
      </c>
      <c r="N3" s="57">
        <f t="shared" si="0"/>
        <v>-16000</v>
      </c>
      <c r="O3" s="54">
        <v>-16000</v>
      </c>
      <c r="P3" s="49">
        <v>1</v>
      </c>
    </row>
    <row r="4" spans="1:16" x14ac:dyDescent="0.4">
      <c r="A4" s="70" t="s">
        <v>6</v>
      </c>
      <c r="B4" s="94">
        <v>-40.700000000000003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-1000</v>
      </c>
      <c r="O4" s="54">
        <v>-1000</v>
      </c>
      <c r="P4" s="49">
        <v>1</v>
      </c>
    </row>
    <row r="5" spans="1:16" x14ac:dyDescent="0.4">
      <c r="A5" s="70" t="s">
        <v>7</v>
      </c>
      <c r="B5" s="94">
        <f>IF(B$2=0,0,B$4/B$2)</f>
        <v>-40.700000000000003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-24000</v>
      </c>
      <c r="O5" s="54">
        <v>-24000</v>
      </c>
      <c r="P5" s="49">
        <v>1</v>
      </c>
    </row>
    <row r="6" spans="1:16" x14ac:dyDescent="0.4">
      <c r="A6" s="70" t="s">
        <v>1</v>
      </c>
      <c r="B6" s="96">
        <f>IF(B$2=0,0,(B$7*1+B$8*2+B$9*3)/B$2)</f>
        <v>2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1</v>
      </c>
      <c r="C10" s="29">
        <f>IF(B$2=0,0,B10/B$2)</f>
        <v>1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0.16666666666666666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</v>
      </c>
      <c r="C17" s="27">
        <f>IF(B$3=0,0,B17/B$3)</f>
        <v>0.16666666666666666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0.33333333333333331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1300</v>
      </c>
      <c r="C20" s="30">
        <v>1300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-8500</v>
      </c>
      <c r="C21" s="60">
        <v>-17000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0.16666666666666666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7878C-A45F-43F0-9B19-8568191D98A9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192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35</v>
      </c>
      <c r="C2" s="87"/>
      <c r="E2" s="79" t="s">
        <v>73</v>
      </c>
      <c r="F2" s="75" t="s">
        <v>27</v>
      </c>
      <c r="G2" s="61">
        <v>22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-1391.4285714285713</v>
      </c>
      <c r="O2" s="53">
        <v>-48700</v>
      </c>
      <c r="P2" s="51">
        <v>35</v>
      </c>
    </row>
    <row r="3" spans="1:16" x14ac:dyDescent="0.4">
      <c r="A3" s="70" t="s">
        <v>8</v>
      </c>
      <c r="B3" s="92">
        <v>274</v>
      </c>
      <c r="C3" s="93"/>
      <c r="E3" s="80" t="s">
        <v>71</v>
      </c>
      <c r="F3" s="76" t="s">
        <v>25</v>
      </c>
      <c r="G3" s="62">
        <v>17</v>
      </c>
      <c r="H3" s="27">
        <f>IF(B$25=0,0,G3/B$25)</f>
        <v>0.73913043478260865</v>
      </c>
      <c r="J3" s="26">
        <v>1</v>
      </c>
      <c r="K3" s="28">
        <v>68.2</v>
      </c>
      <c r="M3" s="26" t="s">
        <v>202</v>
      </c>
      <c r="N3" s="57">
        <f t="shared" si="0"/>
        <v>-2903.125</v>
      </c>
      <c r="O3" s="54">
        <v>-92900</v>
      </c>
      <c r="P3" s="49">
        <v>32</v>
      </c>
    </row>
    <row r="4" spans="1:16" x14ac:dyDescent="0.4">
      <c r="A4" s="70" t="s">
        <v>6</v>
      </c>
      <c r="B4" s="94">
        <v>-106.10000000000001</v>
      </c>
      <c r="C4" s="95"/>
      <c r="E4" s="80" t="s">
        <v>78</v>
      </c>
      <c r="F4" s="76" t="s">
        <v>31</v>
      </c>
      <c r="G4" s="62">
        <v>15</v>
      </c>
      <c r="H4" s="27">
        <f>IF(B$25=0,0,G4/B$25)</f>
        <v>0.65217391304347827</v>
      </c>
      <c r="J4" s="26">
        <v>2</v>
      </c>
      <c r="K4" s="28">
        <v>58.5</v>
      </c>
      <c r="M4" s="26" t="s">
        <v>203</v>
      </c>
      <c r="N4" s="57">
        <f t="shared" si="0"/>
        <v>-2534.6153846153848</v>
      </c>
      <c r="O4" s="54">
        <v>-65900</v>
      </c>
      <c r="P4" s="49">
        <v>26</v>
      </c>
    </row>
    <row r="5" spans="1:16" x14ac:dyDescent="0.4">
      <c r="A5" s="70" t="s">
        <v>7</v>
      </c>
      <c r="B5" s="94">
        <f>IF(B$2=0,0,B$4/B$2)</f>
        <v>-3.0314285714285716</v>
      </c>
      <c r="C5" s="95"/>
      <c r="E5" s="80" t="s">
        <v>69</v>
      </c>
      <c r="F5" s="76" t="s">
        <v>23</v>
      </c>
      <c r="G5" s="62">
        <v>7</v>
      </c>
      <c r="H5" s="27">
        <f>IF(B$25=0,0,G5/B$25)</f>
        <v>0.30434782608695654</v>
      </c>
      <c r="J5" s="26">
        <v>3</v>
      </c>
      <c r="K5" s="28">
        <v>82.1</v>
      </c>
      <c r="M5" s="26" t="s">
        <v>204</v>
      </c>
      <c r="N5" s="57">
        <f t="shared" si="0"/>
        <v>4156</v>
      </c>
      <c r="O5" s="54">
        <v>103900</v>
      </c>
      <c r="P5" s="49">
        <v>25</v>
      </c>
    </row>
    <row r="6" spans="1:16" x14ac:dyDescent="0.4">
      <c r="A6" s="70" t="s">
        <v>1</v>
      </c>
      <c r="B6" s="96">
        <f>IF(B$2=0,0,(B$7*1+B$8*2+B$9*3)/B$2)</f>
        <v>2.1142857142857143</v>
      </c>
      <c r="C6" s="97"/>
      <c r="E6" s="80" t="s">
        <v>70</v>
      </c>
      <c r="F6" s="76" t="s">
        <v>24</v>
      </c>
      <c r="G6" s="62">
        <v>3</v>
      </c>
      <c r="H6" s="27">
        <f>IF(B$25=0,0,G6/B$25)</f>
        <v>0.13043478260869565</v>
      </c>
      <c r="J6" s="26">
        <v>4</v>
      </c>
      <c r="K6" s="28">
        <v>58.199999999999996</v>
      </c>
      <c r="M6" s="26" t="s">
        <v>205</v>
      </c>
      <c r="N6" s="57">
        <f t="shared" si="0"/>
        <v>-626.31578947368416</v>
      </c>
      <c r="O6" s="54">
        <v>-11900</v>
      </c>
      <c r="P6" s="49">
        <v>19</v>
      </c>
    </row>
    <row r="7" spans="1:16" x14ac:dyDescent="0.4">
      <c r="A7" s="70" t="s">
        <v>2</v>
      </c>
      <c r="B7" s="62">
        <v>9</v>
      </c>
      <c r="C7" s="27">
        <f>IF(B$2=0,0,B7/B$2)</f>
        <v>0.25714285714285712</v>
      </c>
      <c r="E7" s="80" t="s">
        <v>74</v>
      </c>
      <c r="F7" s="76" t="s">
        <v>12</v>
      </c>
      <c r="G7" s="62">
        <v>3</v>
      </c>
      <c r="H7" s="27">
        <f>IF(B$25=0,0,G7/B$25)</f>
        <v>0.13043478260869565</v>
      </c>
      <c r="J7" s="26">
        <v>5</v>
      </c>
      <c r="K7" s="28">
        <v>124.19999999999999</v>
      </c>
      <c r="M7" s="31" t="s">
        <v>206</v>
      </c>
      <c r="N7" s="58">
        <f t="shared" si="0"/>
        <v>587.5</v>
      </c>
      <c r="O7" s="55">
        <v>9400</v>
      </c>
      <c r="P7" s="50">
        <v>16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0.37142857142857144</v>
      </c>
      <c r="E8" s="80" t="s">
        <v>96</v>
      </c>
      <c r="F8" s="76" t="s">
        <v>49</v>
      </c>
      <c r="G8" s="62">
        <v>3</v>
      </c>
      <c r="H8" s="27">
        <f>IF(B$25=0,0,G8/B$25)</f>
        <v>0.13043478260869565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13</v>
      </c>
      <c r="C9" s="29">
        <f t="shared" si="1"/>
        <v>0.37142857142857144</v>
      </c>
      <c r="E9" s="80" t="s">
        <v>85</v>
      </c>
      <c r="F9" s="76" t="s">
        <v>38</v>
      </c>
      <c r="G9" s="62">
        <v>2</v>
      </c>
      <c r="H9" s="27">
        <f>IF(B$25=0,0,G9/B$25)</f>
        <v>8.6956521739130432E-2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0.17142857142857143</v>
      </c>
      <c r="E10" s="80" t="s">
        <v>93</v>
      </c>
      <c r="F10" s="76" t="s">
        <v>46</v>
      </c>
      <c r="G10" s="62">
        <v>2</v>
      </c>
      <c r="H10" s="27">
        <f>IF(B$25=0,0,G10/B$25)</f>
        <v>8.6956521739130432E-2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6</v>
      </c>
      <c r="C11" s="32">
        <f>IF(B$2=0,0,B11/B$2)</f>
        <v>0.17142857142857143</v>
      </c>
      <c r="E11" s="80" t="s">
        <v>75</v>
      </c>
      <c r="F11" s="76" t="s">
        <v>28</v>
      </c>
      <c r="G11" s="62">
        <v>1</v>
      </c>
      <c r="H11" s="27">
        <f>IF(B$25=0,0,G11/B$25)</f>
        <v>4.3478260869565216E-2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17</v>
      </c>
      <c r="C12" s="35">
        <f>IF(B$24=0,0,B12/B$24)</f>
        <v>0.19540229885057472</v>
      </c>
      <c r="E12" s="80" t="s">
        <v>76</v>
      </c>
      <c r="F12" s="76" t="s">
        <v>29</v>
      </c>
      <c r="G12" s="62">
        <v>1</v>
      </c>
      <c r="H12" s="27">
        <f>IF(B$25=0,0,G12/B$25)</f>
        <v>4.3478260869565216E-2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25</v>
      </c>
      <c r="C13" s="27">
        <f>IF(B$24=0,0,B13/B$24)</f>
        <v>0.28735632183908044</v>
      </c>
      <c r="E13" s="80" t="s">
        <v>81</v>
      </c>
      <c r="F13" s="76" t="s">
        <v>34</v>
      </c>
      <c r="G13" s="62">
        <v>1</v>
      </c>
      <c r="H13" s="27">
        <f>IF(B$25=0,0,G13/B$25)</f>
        <v>4.3478260869565216E-2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7</v>
      </c>
      <c r="C14" s="24">
        <f>IF(B$12=0,0,B14/B$12)</f>
        <v>0.41176470588235292</v>
      </c>
      <c r="E14" s="80" t="s">
        <v>84</v>
      </c>
      <c r="F14" s="76" t="s">
        <v>37</v>
      </c>
      <c r="G14" s="62">
        <v>1</v>
      </c>
      <c r="H14" s="27">
        <f>IF(B$25=0,0,G14/B$25)</f>
        <v>4.3478260869565216E-2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10</v>
      </c>
      <c r="C15" s="24">
        <f>IF(B$13=0,0,B15/B$13)</f>
        <v>0.4</v>
      </c>
      <c r="E15" s="80" t="s">
        <v>88</v>
      </c>
      <c r="F15" s="76" t="s">
        <v>41</v>
      </c>
      <c r="G15" s="62">
        <v>1</v>
      </c>
      <c r="H15" s="27">
        <f>IF(B$25=0,0,G15/B$25)</f>
        <v>4.3478260869565216E-2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77</v>
      </c>
      <c r="C16" s="24">
        <f>IF(B$3=0,0,B16/B$3)</f>
        <v>0.28102189781021897</v>
      </c>
      <c r="E16" s="80" t="s">
        <v>90</v>
      </c>
      <c r="F16" s="76" t="s">
        <v>43</v>
      </c>
      <c r="G16" s="62">
        <v>1</v>
      </c>
      <c r="H16" s="27">
        <f>IF(B$25=0,0,G16/B$25)</f>
        <v>4.3478260869565216E-2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46</v>
      </c>
      <c r="C17" s="27">
        <f>IF(B$3=0,0,B17/B$3)</f>
        <v>0.16788321167883211</v>
      </c>
      <c r="E17" s="80" t="s">
        <v>72</v>
      </c>
      <c r="F17" s="76" t="s">
        <v>26</v>
      </c>
      <c r="G17" s="62">
        <v>0</v>
      </c>
      <c r="H17" s="27">
        <f>IF(B$25=0,0,G17/B$25)</f>
        <v>0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31</v>
      </c>
      <c r="C18" s="27">
        <f>IF(B$3=0,0,B18/B$3)</f>
        <v>0.11313868613138686</v>
      </c>
      <c r="E18" s="80" t="s">
        <v>77</v>
      </c>
      <c r="F18" s="76" t="s">
        <v>30</v>
      </c>
      <c r="G18" s="62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55</v>
      </c>
      <c r="C19" s="27">
        <f>IF(B$3=0,0,B19/B$3)</f>
        <v>0.20072992700729927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10240.25974025974</v>
      </c>
      <c r="C20" s="30">
        <v>788500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-8287.2727272727279</v>
      </c>
      <c r="C21" s="60">
        <v>-455800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75</v>
      </c>
      <c r="C22" s="24">
        <f>IF(B$3=0,0,B22/B$3)</f>
        <v>0.27372262773722628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31</v>
      </c>
      <c r="C23" s="32">
        <f>IF(B$22=0,0,B23/B$22)</f>
        <v>0.41333333333333333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6">
        <v>87</v>
      </c>
      <c r="C24" s="87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8">
        <v>23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EE1F-F1DE-43D8-B4E9-4516B631101E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44</v>
      </c>
      <c r="C2" s="87"/>
      <c r="E2" s="79" t="s">
        <v>71</v>
      </c>
      <c r="F2" s="75" t="s">
        <v>25</v>
      </c>
      <c r="G2" s="61">
        <v>68</v>
      </c>
      <c r="H2" s="24">
        <f>IF(B$25=0,0,G2/B$25)</f>
        <v>1.0303030303030303</v>
      </c>
      <c r="J2" s="23">
        <v>0</v>
      </c>
      <c r="K2" s="25">
        <v>0</v>
      </c>
      <c r="M2" s="23" t="s">
        <v>201</v>
      </c>
      <c r="N2" s="56">
        <f t="shared" ref="N2:N7" si="0">IF(P2=0,0,O2/P2)</f>
        <v>3242.8571428571427</v>
      </c>
      <c r="O2" s="53">
        <v>136200</v>
      </c>
      <c r="P2" s="51">
        <v>42</v>
      </c>
    </row>
    <row r="3" spans="1:16" x14ac:dyDescent="0.4">
      <c r="A3" s="70" t="s">
        <v>8</v>
      </c>
      <c r="B3" s="92">
        <v>331</v>
      </c>
      <c r="C3" s="93"/>
      <c r="E3" s="80" t="s">
        <v>73</v>
      </c>
      <c r="F3" s="76" t="s">
        <v>27</v>
      </c>
      <c r="G3" s="62">
        <v>59</v>
      </c>
      <c r="H3" s="27">
        <f>IF(B$25=0,0,G3/B$25)</f>
        <v>0.89393939393939392</v>
      </c>
      <c r="J3" s="26">
        <v>1</v>
      </c>
      <c r="K3" s="28">
        <v>-36.700000000000003</v>
      </c>
      <c r="M3" s="26" t="s">
        <v>202</v>
      </c>
      <c r="N3" s="57">
        <f t="shared" si="0"/>
        <v>-192.30769230769232</v>
      </c>
      <c r="O3" s="54">
        <v>-7500</v>
      </c>
      <c r="P3" s="49">
        <v>39</v>
      </c>
    </row>
    <row r="4" spans="1:16" x14ac:dyDescent="0.4">
      <c r="A4" s="70" t="s">
        <v>6</v>
      </c>
      <c r="B4" s="94">
        <v>193.79999999999995</v>
      </c>
      <c r="C4" s="95"/>
      <c r="E4" s="80" t="s">
        <v>69</v>
      </c>
      <c r="F4" s="76" t="s">
        <v>23</v>
      </c>
      <c r="G4" s="62">
        <v>40</v>
      </c>
      <c r="H4" s="27">
        <f>IF(B$25=0,0,G4/B$25)</f>
        <v>0.60606060606060608</v>
      </c>
      <c r="J4" s="26">
        <v>2</v>
      </c>
      <c r="K4" s="28">
        <v>-45.300000000000004</v>
      </c>
      <c r="M4" s="26" t="s">
        <v>203</v>
      </c>
      <c r="N4" s="57">
        <f t="shared" si="0"/>
        <v>-791.42857142857144</v>
      </c>
      <c r="O4" s="54">
        <v>-27700</v>
      </c>
      <c r="P4" s="49">
        <v>35</v>
      </c>
    </row>
    <row r="5" spans="1:16" x14ac:dyDescent="0.4">
      <c r="A5" s="70" t="s">
        <v>7</v>
      </c>
      <c r="B5" s="94">
        <f>IF(B$2=0,0,B$4/B$2)</f>
        <v>4.4045454545454534</v>
      </c>
      <c r="C5" s="95"/>
      <c r="E5" s="80" t="s">
        <v>78</v>
      </c>
      <c r="F5" s="76" t="s">
        <v>31</v>
      </c>
      <c r="G5" s="62">
        <v>40</v>
      </c>
      <c r="H5" s="27">
        <f>IF(B$25=0,0,G5/B$25)</f>
        <v>0.60606060606060608</v>
      </c>
      <c r="J5" s="26">
        <v>3</v>
      </c>
      <c r="K5" s="28">
        <v>-81.7</v>
      </c>
      <c r="M5" s="26" t="s">
        <v>204</v>
      </c>
      <c r="N5" s="57">
        <f t="shared" si="0"/>
        <v>-1353.125</v>
      </c>
      <c r="O5" s="54">
        <v>-43300</v>
      </c>
      <c r="P5" s="49">
        <v>32</v>
      </c>
    </row>
    <row r="6" spans="1:16" x14ac:dyDescent="0.4">
      <c r="A6" s="70" t="s">
        <v>1</v>
      </c>
      <c r="B6" s="96">
        <f>IF(B$2=0,0,(B$7*1+B$8*2+B$9*3)/B$2)</f>
        <v>1.8863636363636365</v>
      </c>
      <c r="C6" s="97"/>
      <c r="E6" s="80" t="s">
        <v>72</v>
      </c>
      <c r="F6" s="76" t="s">
        <v>26</v>
      </c>
      <c r="G6" s="62">
        <v>22</v>
      </c>
      <c r="H6" s="27">
        <f>IF(B$25=0,0,G6/B$25)</f>
        <v>0.33333333333333331</v>
      </c>
      <c r="J6" s="26">
        <v>4</v>
      </c>
      <c r="K6" s="28">
        <v>-113.80000000000001</v>
      </c>
      <c r="M6" s="26" t="s">
        <v>205</v>
      </c>
      <c r="N6" s="57">
        <f t="shared" si="0"/>
        <v>3000</v>
      </c>
      <c r="O6" s="54">
        <v>72000</v>
      </c>
      <c r="P6" s="49">
        <v>24</v>
      </c>
    </row>
    <row r="7" spans="1:16" x14ac:dyDescent="0.4">
      <c r="A7" s="70" t="s">
        <v>2</v>
      </c>
      <c r="B7" s="62">
        <v>18</v>
      </c>
      <c r="C7" s="27">
        <f>IF(B$2=0,0,B7/B$2)</f>
        <v>0.40909090909090912</v>
      </c>
      <c r="E7" s="80" t="s">
        <v>74</v>
      </c>
      <c r="F7" s="76" t="s">
        <v>12</v>
      </c>
      <c r="G7" s="62">
        <v>20</v>
      </c>
      <c r="H7" s="27">
        <f>IF(B$25=0,0,G7/B$25)</f>
        <v>0.30303030303030304</v>
      </c>
      <c r="J7" s="26">
        <v>5</v>
      </c>
      <c r="K7" s="28">
        <v>-135.80000000000001</v>
      </c>
      <c r="M7" s="31" t="s">
        <v>206</v>
      </c>
      <c r="N7" s="58">
        <f t="shared" si="0"/>
        <v>1114.2857142857142</v>
      </c>
      <c r="O7" s="55">
        <v>23400</v>
      </c>
      <c r="P7" s="50">
        <v>21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0.29545454545454547</v>
      </c>
      <c r="E8" s="80" t="s">
        <v>75</v>
      </c>
      <c r="F8" s="76" t="s">
        <v>28</v>
      </c>
      <c r="G8" s="62">
        <v>11</v>
      </c>
      <c r="H8" s="27">
        <f>IF(B$25=0,0,G8/B$25)</f>
        <v>0.16666666666666666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13</v>
      </c>
      <c r="C9" s="29">
        <f t="shared" si="1"/>
        <v>0.29545454545454547</v>
      </c>
      <c r="E9" s="80" t="s">
        <v>96</v>
      </c>
      <c r="F9" s="76" t="s">
        <v>49</v>
      </c>
      <c r="G9" s="62">
        <v>10</v>
      </c>
      <c r="H9" s="27">
        <f>IF(B$25=0,0,G9/B$25)</f>
        <v>0.15151515151515152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7</v>
      </c>
      <c r="C10" s="29">
        <f>IF(B$2=0,0,B10/B$2)</f>
        <v>0.15909090909090909</v>
      </c>
      <c r="E10" s="80" t="s">
        <v>70</v>
      </c>
      <c r="F10" s="76" t="s">
        <v>24</v>
      </c>
      <c r="G10" s="62">
        <v>7</v>
      </c>
      <c r="H10" s="27">
        <f>IF(B$25=0,0,G10/B$25)</f>
        <v>0.10606060606060606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9</v>
      </c>
      <c r="C11" s="32">
        <f>IF(B$2=0,0,B11/B$2)</f>
        <v>0.20454545454545456</v>
      </c>
      <c r="E11" s="80" t="s">
        <v>76</v>
      </c>
      <c r="F11" s="76" t="s">
        <v>29</v>
      </c>
      <c r="G11" s="62">
        <v>6</v>
      </c>
      <c r="H11" s="27">
        <f>IF(B$25=0,0,G11/B$25)</f>
        <v>9.0909090909090912E-2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67</v>
      </c>
      <c r="C12" s="35">
        <f>IF(B$24=0,0,B12/B$24)</f>
        <v>0.3383838383838384</v>
      </c>
      <c r="E12" s="80" t="s">
        <v>77</v>
      </c>
      <c r="F12" s="76" t="s">
        <v>30</v>
      </c>
      <c r="G12" s="62">
        <v>5</v>
      </c>
      <c r="H12" s="27">
        <f>IF(B$25=0,0,G12/B$25)</f>
        <v>7.575757575757576E-2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50</v>
      </c>
      <c r="C13" s="27">
        <f>IF(B$24=0,0,B13/B$24)</f>
        <v>0.25252525252525254</v>
      </c>
      <c r="E13" s="80" t="s">
        <v>93</v>
      </c>
      <c r="F13" s="76" t="s">
        <v>46</v>
      </c>
      <c r="G13" s="62">
        <v>5</v>
      </c>
      <c r="H13" s="27">
        <f>IF(B$25=0,0,G13/B$25)</f>
        <v>7.575757575757576E-2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41</v>
      </c>
      <c r="C14" s="24">
        <f>IF(B$12=0,0,B14/B$12)</f>
        <v>0.61194029850746268</v>
      </c>
      <c r="E14" s="80" t="s">
        <v>84</v>
      </c>
      <c r="F14" s="76" t="s">
        <v>37</v>
      </c>
      <c r="G14" s="62">
        <v>2</v>
      </c>
      <c r="H14" s="27">
        <f>IF(B$25=0,0,G14/B$25)</f>
        <v>3.0303030303030304E-2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19</v>
      </c>
      <c r="C15" s="24">
        <f>IF(B$13=0,0,B15/B$13)</f>
        <v>0.38</v>
      </c>
      <c r="E15" s="80" t="s">
        <v>80</v>
      </c>
      <c r="F15" s="76" t="s">
        <v>33</v>
      </c>
      <c r="G15" s="62">
        <v>1</v>
      </c>
      <c r="H15" s="27">
        <f>IF(B$25=0,0,G15/B$25)</f>
        <v>1.5151515151515152E-2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104</v>
      </c>
      <c r="C16" s="24">
        <f>IF(B$3=0,0,B16/B$3)</f>
        <v>0.31419939577039274</v>
      </c>
      <c r="E16" s="80" t="s">
        <v>88</v>
      </c>
      <c r="F16" s="76" t="s">
        <v>41</v>
      </c>
      <c r="G16" s="62">
        <v>1</v>
      </c>
      <c r="H16" s="27">
        <f>IF(B$25=0,0,G16/B$25)</f>
        <v>1.5151515151515152E-2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62</v>
      </c>
      <c r="C17" s="27">
        <f>IF(B$3=0,0,B17/B$3)</f>
        <v>0.18731117824773413</v>
      </c>
      <c r="E17" s="80" t="s">
        <v>90</v>
      </c>
      <c r="F17" s="76" t="s">
        <v>43</v>
      </c>
      <c r="G17" s="62">
        <v>1</v>
      </c>
      <c r="H17" s="27">
        <f>IF(B$25=0,0,G17/B$25)</f>
        <v>1.5151515151515152E-2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42</v>
      </c>
      <c r="C18" s="27">
        <f>IF(B$3=0,0,B18/B$3)</f>
        <v>0.12688821752265861</v>
      </c>
      <c r="E18" s="80" t="s">
        <v>98</v>
      </c>
      <c r="F18" s="76" t="s">
        <v>51</v>
      </c>
      <c r="G18" s="62">
        <v>1</v>
      </c>
      <c r="H18" s="27">
        <f>IF(B$25=0,0,G18/B$25)</f>
        <v>1.5151515151515152E-2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52</v>
      </c>
      <c r="C19" s="27">
        <f>IF(B$3=0,0,B19/B$3)</f>
        <v>0.15709969788519637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11229.807692307691</v>
      </c>
      <c r="C20" s="30">
        <v>1167900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-9665.3846153846152</v>
      </c>
      <c r="C21" s="60">
        <v>-502600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124</v>
      </c>
      <c r="C22" s="24">
        <f>IF(B$3=0,0,B22/B$3)</f>
        <v>0.37462235649546827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52</v>
      </c>
      <c r="C23" s="32">
        <f>IF(B$22=0,0,B23/B$22)</f>
        <v>0.41935483870967744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6">
        <v>198</v>
      </c>
      <c r="C24" s="87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8">
        <v>66</v>
      </c>
      <c r="C25" s="89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8112-3BDB-41F6-B794-8A4155468BA5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2">
        <v>82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4">
        <v>80.800000000000011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4">
        <f>IF(B$2=0,0,B$4/B$2)</f>
        <v>6.7333333333333343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6">
        <f>IF(B$2=0,0,(B$7*1+B$8*2+B$9*3)/B$2)</f>
        <v>1.75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39C3-9F62-4CAC-B3FF-FA1B8F14B355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196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32</v>
      </c>
      <c r="C2" s="87"/>
      <c r="E2" s="79" t="s">
        <v>73</v>
      </c>
      <c r="F2" s="75" t="s">
        <v>27</v>
      </c>
      <c r="G2" s="61">
        <v>51</v>
      </c>
      <c r="H2" s="24">
        <f>IF(B$25=0,0,G2/B$25)</f>
        <v>0.92727272727272725</v>
      </c>
      <c r="J2" s="23">
        <v>0</v>
      </c>
      <c r="K2" s="25">
        <v>0</v>
      </c>
      <c r="M2" s="23" t="s">
        <v>201</v>
      </c>
      <c r="N2" s="56">
        <f t="shared" ref="N2:N7" si="0">IF(P2=0,0,O2/P2)</f>
        <v>-4114.2857142857147</v>
      </c>
      <c r="O2" s="53">
        <v>-115200</v>
      </c>
      <c r="P2" s="51">
        <v>28</v>
      </c>
    </row>
    <row r="3" spans="1:16" x14ac:dyDescent="0.4">
      <c r="A3" s="70" t="s">
        <v>8</v>
      </c>
      <c r="B3" s="92">
        <v>241</v>
      </c>
      <c r="C3" s="93"/>
      <c r="E3" s="80" t="s">
        <v>78</v>
      </c>
      <c r="F3" s="76" t="s">
        <v>31</v>
      </c>
      <c r="G3" s="62">
        <v>45</v>
      </c>
      <c r="H3" s="27">
        <f>IF(B$25=0,0,G3/B$25)</f>
        <v>0.81818181818181823</v>
      </c>
      <c r="J3" s="26">
        <v>1</v>
      </c>
      <c r="K3" s="28">
        <v>3.9</v>
      </c>
      <c r="M3" s="26" t="s">
        <v>202</v>
      </c>
      <c r="N3" s="57">
        <f t="shared" si="0"/>
        <v>-1257.1428571428571</v>
      </c>
      <c r="O3" s="54">
        <v>-35200</v>
      </c>
      <c r="P3" s="49">
        <v>28</v>
      </c>
    </row>
    <row r="4" spans="1:16" x14ac:dyDescent="0.4">
      <c r="A4" s="70" t="s">
        <v>6</v>
      </c>
      <c r="B4" s="94">
        <v>-283.89999999999998</v>
      </c>
      <c r="C4" s="95"/>
      <c r="E4" s="80" t="s">
        <v>71</v>
      </c>
      <c r="F4" s="76" t="s">
        <v>25</v>
      </c>
      <c r="G4" s="62">
        <v>34</v>
      </c>
      <c r="H4" s="27">
        <f>IF(B$25=0,0,G4/B$25)</f>
        <v>0.61818181818181817</v>
      </c>
      <c r="J4" s="26">
        <v>2</v>
      </c>
      <c r="K4" s="28">
        <v>-33.9</v>
      </c>
      <c r="M4" s="26" t="s">
        <v>203</v>
      </c>
      <c r="N4" s="57">
        <f t="shared" si="0"/>
        <v>-1578.5714285714287</v>
      </c>
      <c r="O4" s="54">
        <v>-44200</v>
      </c>
      <c r="P4" s="49">
        <v>28</v>
      </c>
    </row>
    <row r="5" spans="1:16" x14ac:dyDescent="0.4">
      <c r="A5" s="70" t="s">
        <v>7</v>
      </c>
      <c r="B5" s="94">
        <f>IF(B$2=0,0,B$4/B$2)</f>
        <v>-8.8718749999999993</v>
      </c>
      <c r="C5" s="95"/>
      <c r="E5" s="80" t="s">
        <v>69</v>
      </c>
      <c r="F5" s="76" t="s">
        <v>23</v>
      </c>
      <c r="G5" s="62">
        <v>32</v>
      </c>
      <c r="H5" s="27">
        <f>IF(B$25=0,0,G5/B$25)</f>
        <v>0.58181818181818179</v>
      </c>
      <c r="J5" s="26">
        <v>3</v>
      </c>
      <c r="K5" s="28">
        <v>-70.099999999999994</v>
      </c>
      <c r="M5" s="26" t="s">
        <v>204</v>
      </c>
      <c r="N5" s="57">
        <f t="shared" si="0"/>
        <v>850</v>
      </c>
      <c r="O5" s="54">
        <v>22100</v>
      </c>
      <c r="P5" s="49">
        <v>26</v>
      </c>
    </row>
    <row r="6" spans="1:16" x14ac:dyDescent="0.4">
      <c r="A6" s="70" t="s">
        <v>1</v>
      </c>
      <c r="B6" s="96">
        <f>IF(B$2=0,0,(B$7*1+B$8*2+B$9*3)/B$2)</f>
        <v>2.25</v>
      </c>
      <c r="C6" s="97"/>
      <c r="E6" s="80" t="s">
        <v>72</v>
      </c>
      <c r="F6" s="76" t="s">
        <v>26</v>
      </c>
      <c r="G6" s="62">
        <v>21</v>
      </c>
      <c r="H6" s="27">
        <f>IF(B$25=0,0,G6/B$25)</f>
        <v>0.38181818181818183</v>
      </c>
      <c r="J6" s="26">
        <v>4</v>
      </c>
      <c r="K6" s="28">
        <v>-35.099999999999994</v>
      </c>
      <c r="M6" s="26" t="s">
        <v>205</v>
      </c>
      <c r="N6" s="57">
        <f t="shared" si="0"/>
        <v>-1665.2173913043478</v>
      </c>
      <c r="O6" s="54">
        <v>-38300</v>
      </c>
      <c r="P6" s="49">
        <v>23</v>
      </c>
    </row>
    <row r="7" spans="1:16" x14ac:dyDescent="0.4">
      <c r="A7" s="70" t="s">
        <v>2</v>
      </c>
      <c r="B7" s="62">
        <v>8</v>
      </c>
      <c r="C7" s="27">
        <f>IF(B$2=0,0,B7/B$2)</f>
        <v>0.25</v>
      </c>
      <c r="E7" s="80" t="s">
        <v>74</v>
      </c>
      <c r="F7" s="76" t="s">
        <v>12</v>
      </c>
      <c r="G7" s="62">
        <v>21</v>
      </c>
      <c r="H7" s="27">
        <f>IF(B$25=0,0,G7/B$25)</f>
        <v>0.38181818181818183</v>
      </c>
      <c r="J7" s="26">
        <v>5</v>
      </c>
      <c r="K7" s="28">
        <v>-80.099999999999994</v>
      </c>
      <c r="M7" s="31" t="s">
        <v>206</v>
      </c>
      <c r="N7" s="58">
        <f t="shared" si="0"/>
        <v>2800</v>
      </c>
      <c r="O7" s="55">
        <v>39200</v>
      </c>
      <c r="P7" s="50">
        <v>14</v>
      </c>
    </row>
    <row r="8" spans="1:16" x14ac:dyDescent="0.4">
      <c r="A8" s="70" t="s">
        <v>3</v>
      </c>
      <c r="B8" s="62">
        <v>8</v>
      </c>
      <c r="C8" s="27">
        <f t="shared" ref="C8:C9" si="1">IF(B$2=0,0,B8/B$2)</f>
        <v>0.25</v>
      </c>
      <c r="E8" s="80" t="s">
        <v>96</v>
      </c>
      <c r="F8" s="76" t="s">
        <v>49</v>
      </c>
      <c r="G8" s="62">
        <v>11</v>
      </c>
      <c r="H8" s="27">
        <f>IF(B$25=0,0,G8/B$25)</f>
        <v>0.2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16</v>
      </c>
      <c r="C9" s="29">
        <f t="shared" si="1"/>
        <v>0.5</v>
      </c>
      <c r="E9" s="80" t="s">
        <v>75</v>
      </c>
      <c r="F9" s="76" t="s">
        <v>28</v>
      </c>
      <c r="G9" s="62">
        <v>9</v>
      </c>
      <c r="H9" s="27">
        <f>IF(B$25=0,0,G9/B$25)</f>
        <v>0.16363636363636364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9</v>
      </c>
      <c r="C10" s="29">
        <f>IF(B$2=0,0,B10/B$2)</f>
        <v>0.28125</v>
      </c>
      <c r="E10" s="80" t="s">
        <v>76</v>
      </c>
      <c r="F10" s="76" t="s">
        <v>29</v>
      </c>
      <c r="G10" s="62">
        <v>5</v>
      </c>
      <c r="H10" s="27">
        <f>IF(B$25=0,0,G10/B$25)</f>
        <v>9.0909090909090912E-2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0.125</v>
      </c>
      <c r="E11" s="80" t="s">
        <v>84</v>
      </c>
      <c r="F11" s="76" t="s">
        <v>37</v>
      </c>
      <c r="G11" s="62">
        <v>5</v>
      </c>
      <c r="H11" s="27">
        <f>IF(B$25=0,0,G11/B$25)</f>
        <v>9.0909090909090912E-2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52</v>
      </c>
      <c r="C12" s="35">
        <f>IF(B$24=0,0,B12/B$24)</f>
        <v>0.25490196078431371</v>
      </c>
      <c r="E12" s="80" t="s">
        <v>70</v>
      </c>
      <c r="F12" s="76" t="s">
        <v>24</v>
      </c>
      <c r="G12" s="62">
        <v>3</v>
      </c>
      <c r="H12" s="27">
        <f>IF(B$25=0,0,G12/B$25)</f>
        <v>5.4545454545454543E-2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44</v>
      </c>
      <c r="C13" s="27">
        <f>IF(B$24=0,0,B13/B$24)</f>
        <v>0.21568627450980393</v>
      </c>
      <c r="E13" s="80" t="s">
        <v>90</v>
      </c>
      <c r="F13" s="76" t="s">
        <v>43</v>
      </c>
      <c r="G13" s="62">
        <v>3</v>
      </c>
      <c r="H13" s="27">
        <f>IF(B$25=0,0,G13/B$25)</f>
        <v>5.4545454545454543E-2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33</v>
      </c>
      <c r="C14" s="24">
        <f>IF(B$12=0,0,B14/B$12)</f>
        <v>0.63461538461538458</v>
      </c>
      <c r="E14" s="80" t="s">
        <v>79</v>
      </c>
      <c r="F14" s="76" t="s">
        <v>32</v>
      </c>
      <c r="G14" s="62">
        <v>2</v>
      </c>
      <c r="H14" s="27">
        <f>IF(B$25=0,0,G14/B$25)</f>
        <v>3.6363636363636362E-2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16</v>
      </c>
      <c r="C15" s="24">
        <f>IF(B$13=0,0,B15/B$13)</f>
        <v>0.36363636363636365</v>
      </c>
      <c r="E15" s="80" t="s">
        <v>88</v>
      </c>
      <c r="F15" s="76" t="s">
        <v>41</v>
      </c>
      <c r="G15" s="62">
        <v>2</v>
      </c>
      <c r="H15" s="27">
        <f>IF(B$25=0,0,G15/B$25)</f>
        <v>3.6363636363636362E-2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65</v>
      </c>
      <c r="C16" s="24">
        <f>IF(B$3=0,0,B16/B$3)</f>
        <v>0.26970954356846472</v>
      </c>
      <c r="E16" s="80" t="s">
        <v>93</v>
      </c>
      <c r="F16" s="76" t="s">
        <v>46</v>
      </c>
      <c r="G16" s="62">
        <v>2</v>
      </c>
      <c r="H16" s="27">
        <f>IF(B$25=0,0,G16/B$25)</f>
        <v>3.6363636363636362E-2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33</v>
      </c>
      <c r="C17" s="27">
        <f>IF(B$3=0,0,B17/B$3)</f>
        <v>0.13692946058091288</v>
      </c>
      <c r="E17" s="80" t="s">
        <v>81</v>
      </c>
      <c r="F17" s="76" t="s">
        <v>34</v>
      </c>
      <c r="G17" s="62">
        <v>1</v>
      </c>
      <c r="H17" s="27">
        <f>IF(B$25=0,0,G17/B$25)</f>
        <v>1.8181818181818181E-2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32</v>
      </c>
      <c r="C18" s="27">
        <f>IF(B$3=0,0,B18/B$3)</f>
        <v>0.13278008298755187</v>
      </c>
      <c r="E18" s="80" t="s">
        <v>100</v>
      </c>
      <c r="F18" s="76" t="s">
        <v>53</v>
      </c>
      <c r="G18" s="62">
        <v>1</v>
      </c>
      <c r="H18" s="27">
        <f>IF(B$25=0,0,G18/B$25)</f>
        <v>1.8181818181818181E-2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54</v>
      </c>
      <c r="C19" s="27">
        <f>IF(B$3=0,0,B19/B$3)</f>
        <v>0.22406639004149378</v>
      </c>
      <c r="E19" s="80" t="s">
        <v>77</v>
      </c>
      <c r="F19" s="76" t="s">
        <v>30</v>
      </c>
      <c r="G19" s="62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11006.153846153846</v>
      </c>
      <c r="C20" s="30">
        <v>715400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-9892.5925925925931</v>
      </c>
      <c r="C21" s="60">
        <v>-534200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73</v>
      </c>
      <c r="C22" s="24">
        <f>IF(B$3=0,0,B22/B$3)</f>
        <v>0.30290456431535268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25</v>
      </c>
      <c r="C23" s="32">
        <f>IF(B$22=0,0,B23/B$22)</f>
        <v>0.34246575342465752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6">
        <v>204</v>
      </c>
      <c r="C24" s="87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8">
        <v>55</v>
      </c>
      <c r="C25" s="89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2B4A-A2B2-44D3-A6D9-859F73130379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217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</v>
      </c>
      <c r="C2" s="87"/>
      <c r="E2" s="79" t="s">
        <v>69</v>
      </c>
      <c r="F2" s="75" t="s">
        <v>23</v>
      </c>
      <c r="G2" s="61">
        <v>4</v>
      </c>
      <c r="H2" s="24">
        <f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0">IF(P2=0,0,O2/P2)</f>
        <v>20100</v>
      </c>
      <c r="O2" s="53">
        <v>20100</v>
      </c>
      <c r="P2" s="51">
        <v>1</v>
      </c>
    </row>
    <row r="3" spans="1:16" x14ac:dyDescent="0.4">
      <c r="A3" s="70" t="s">
        <v>8</v>
      </c>
      <c r="B3" s="92">
        <v>11</v>
      </c>
      <c r="C3" s="93"/>
      <c r="E3" s="80" t="s">
        <v>73</v>
      </c>
      <c r="F3" s="76" t="s">
        <v>27</v>
      </c>
      <c r="G3" s="62">
        <v>3</v>
      </c>
      <c r="H3" s="27">
        <f>IF(B$25=0,0,G3/B$25)</f>
        <v>0.5</v>
      </c>
      <c r="J3" s="26">
        <v>1</v>
      </c>
      <c r="K3" s="28">
        <v>28.3</v>
      </c>
      <c r="M3" s="26" t="s">
        <v>202</v>
      </c>
      <c r="N3" s="57">
        <f t="shared" si="0"/>
        <v>-8000</v>
      </c>
      <c r="O3" s="54">
        <v>-8000</v>
      </c>
      <c r="P3" s="49">
        <v>1</v>
      </c>
    </row>
    <row r="4" spans="1:16" x14ac:dyDescent="0.4">
      <c r="A4" s="70" t="s">
        <v>6</v>
      </c>
      <c r="B4" s="94">
        <v>28.3</v>
      </c>
      <c r="C4" s="95"/>
      <c r="E4" s="80" t="s">
        <v>72</v>
      </c>
      <c r="F4" s="76" t="s">
        <v>26</v>
      </c>
      <c r="G4" s="62">
        <v>2</v>
      </c>
      <c r="H4" s="27">
        <f>IF(B$25=0,0,G4/B$25)</f>
        <v>0.33333333333333331</v>
      </c>
      <c r="M4" s="26" t="s">
        <v>203</v>
      </c>
      <c r="N4" s="57">
        <f t="shared" si="0"/>
        <v>8000</v>
      </c>
      <c r="O4" s="54">
        <v>8000</v>
      </c>
      <c r="P4" s="49">
        <v>1</v>
      </c>
    </row>
    <row r="5" spans="1:16" x14ac:dyDescent="0.4">
      <c r="A5" s="70" t="s">
        <v>7</v>
      </c>
      <c r="B5" s="94">
        <f>IF(B$2=0,0,B$4/B$2)</f>
        <v>28.3</v>
      </c>
      <c r="C5" s="95"/>
      <c r="E5" s="80" t="s">
        <v>78</v>
      </c>
      <c r="F5" s="76" t="s">
        <v>31</v>
      </c>
      <c r="G5" s="62">
        <v>2</v>
      </c>
      <c r="H5" s="27">
        <f>IF(B$25=0,0,G5/B$25)</f>
        <v>0.33333333333333331</v>
      </c>
      <c r="M5" s="26" t="s">
        <v>204</v>
      </c>
      <c r="N5" s="57">
        <f t="shared" si="0"/>
        <v>11600</v>
      </c>
      <c r="O5" s="54">
        <v>11600</v>
      </c>
      <c r="P5" s="49">
        <v>1</v>
      </c>
    </row>
    <row r="6" spans="1:16" x14ac:dyDescent="0.4">
      <c r="A6" s="70" t="s">
        <v>1</v>
      </c>
      <c r="B6" s="96">
        <f>IF(B$2=0,0,(B$7*1+B$8*2+B$9*3)/B$2)</f>
        <v>1</v>
      </c>
      <c r="C6" s="97"/>
      <c r="E6" s="80" t="s">
        <v>93</v>
      </c>
      <c r="F6" s="76" t="s">
        <v>46</v>
      </c>
      <c r="G6" s="62">
        <v>2</v>
      </c>
      <c r="H6" s="27">
        <f>IF(B$25=0,0,G6/B$25)</f>
        <v>0.33333333333333331</v>
      </c>
      <c r="M6" s="26" t="s">
        <v>205</v>
      </c>
      <c r="N6" s="57">
        <f t="shared" si="0"/>
        <v>-5000</v>
      </c>
      <c r="O6" s="54">
        <v>-5000</v>
      </c>
      <c r="P6" s="49">
        <v>1</v>
      </c>
    </row>
    <row r="7" spans="1:16" x14ac:dyDescent="0.4">
      <c r="A7" s="70" t="s">
        <v>2</v>
      </c>
      <c r="B7" s="62">
        <v>1</v>
      </c>
      <c r="C7" s="27">
        <f>IF(B$2=0,0,B7/B$2)</f>
        <v>1</v>
      </c>
      <c r="E7" s="80" t="s">
        <v>70</v>
      </c>
      <c r="F7" s="76" t="s">
        <v>24</v>
      </c>
      <c r="G7" s="62">
        <v>1</v>
      </c>
      <c r="H7" s="27">
        <f>IF(B$25=0,0,G7/B$25)</f>
        <v>0.16666666666666666</v>
      </c>
      <c r="M7" s="31" t="s">
        <v>206</v>
      </c>
      <c r="N7" s="58">
        <f t="shared" si="0"/>
        <v>1600</v>
      </c>
      <c r="O7" s="55">
        <v>1600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71</v>
      </c>
      <c r="F8" s="76" t="s">
        <v>25</v>
      </c>
      <c r="G8" s="62">
        <v>1</v>
      </c>
      <c r="H8" s="27">
        <f>IF(B$25=0,0,G8/B$25)</f>
        <v>0.16666666666666666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1</v>
      </c>
      <c r="H9" s="27">
        <f>IF(B$25=0,0,G9/B$25)</f>
        <v>0.16666666666666666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96</v>
      </c>
      <c r="F10" s="76" t="s">
        <v>49</v>
      </c>
      <c r="G10" s="62">
        <v>1</v>
      </c>
      <c r="H10" s="27">
        <f>IF(B$25=0,0,G10/B$25)</f>
        <v>0.16666666666666666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74</v>
      </c>
      <c r="F11" s="76" t="s">
        <v>12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5</v>
      </c>
      <c r="C12" s="35">
        <f>IF(B$24=0,0,B12/B$24)</f>
        <v>0.45454545454545453</v>
      </c>
      <c r="E12" s="80" t="s">
        <v>75</v>
      </c>
      <c r="F12" s="76" t="s">
        <v>28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2</v>
      </c>
      <c r="C13" s="27">
        <f>IF(B$24=0,0,B13/B$24)</f>
        <v>0.18181818181818182</v>
      </c>
      <c r="E13" s="80" t="s">
        <v>77</v>
      </c>
      <c r="F13" s="76" t="s">
        <v>30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4</v>
      </c>
      <c r="C14" s="24">
        <f>IF(B$12=0,0,B14/B$12)</f>
        <v>0.8</v>
      </c>
      <c r="E14" s="80" t="s">
        <v>79</v>
      </c>
      <c r="F14" s="76" t="s">
        <v>32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0.5</v>
      </c>
      <c r="E15" s="80" t="s">
        <v>80</v>
      </c>
      <c r="F15" s="76" t="s">
        <v>33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6</v>
      </c>
      <c r="C16" s="24">
        <f>IF(B$3=0,0,B16/B$3)</f>
        <v>0.54545454545454541</v>
      </c>
      <c r="E16" s="80" t="s">
        <v>81</v>
      </c>
      <c r="F16" s="76" t="s">
        <v>34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5</v>
      </c>
      <c r="C17" s="27">
        <f>IF(B$3=0,0,B17/B$3)</f>
        <v>0.45454545454545453</v>
      </c>
      <c r="E17" s="80" t="s">
        <v>82</v>
      </c>
      <c r="F17" s="76" t="s">
        <v>35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9.0909090909090912E-2</v>
      </c>
      <c r="E18" s="80" t="s">
        <v>83</v>
      </c>
      <c r="F18" s="76" t="s">
        <v>36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</v>
      </c>
      <c r="C19" s="27">
        <f>IF(B$3=0,0,B19/B$3)</f>
        <v>9.0909090909090912E-2</v>
      </c>
      <c r="E19" s="80" t="s">
        <v>84</v>
      </c>
      <c r="F19" s="76" t="s">
        <v>37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7133.333333333333</v>
      </c>
      <c r="C20" s="30">
        <v>42800</v>
      </c>
      <c r="E20" s="80" t="s">
        <v>85</v>
      </c>
      <c r="F20" s="76" t="s">
        <v>38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-8000</v>
      </c>
      <c r="C21" s="60">
        <v>-8000</v>
      </c>
      <c r="E21" s="80" t="s">
        <v>86</v>
      </c>
      <c r="F21" s="76" t="s">
        <v>39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6</v>
      </c>
      <c r="C22" s="24">
        <f>IF(B$3=0,0,B22/B$3)</f>
        <v>0.54545454545454541</v>
      </c>
      <c r="E22" s="80" t="s">
        <v>87</v>
      </c>
      <c r="F22" s="76" t="s">
        <v>40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4</v>
      </c>
      <c r="C23" s="32">
        <f>IF(B$22=0,0,B23/B$22)</f>
        <v>0.66666666666666663</v>
      </c>
      <c r="E23" s="80" t="s">
        <v>88</v>
      </c>
      <c r="F23" s="76" t="s">
        <v>41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11</v>
      </c>
      <c r="C24" s="87"/>
      <c r="E24" s="80" t="s">
        <v>89</v>
      </c>
      <c r="F24" s="76" t="s">
        <v>42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6</v>
      </c>
      <c r="C25" s="89"/>
      <c r="E25" s="80" t="s">
        <v>90</v>
      </c>
      <c r="F25" s="76" t="s">
        <v>43</v>
      </c>
      <c r="G25" s="62">
        <v>0</v>
      </c>
      <c r="H25" s="27">
        <f>IF(B$25=0,0,G25/B$25)</f>
        <v>0</v>
      </c>
    </row>
    <row r="26" spans="1:8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</row>
    <row r="27" spans="1:8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</row>
    <row r="28" spans="1:8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</row>
    <row r="29" spans="1:8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/>
      <c r="C1" s="91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6">
        <v>0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2">
        <v>0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4">
        <v>0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4">
        <f>IF(B$2=0,0,B$4/B$2)</f>
        <v>0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0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3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5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2019-01-13T01:57:27Z</dcterms:modified>
</cp:coreProperties>
</file>