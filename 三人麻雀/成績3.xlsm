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90944C53-03B0-4DB7-BB8D-650AEC91250F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816" r:id="rId2"/>
    <sheet name="かこたろう" sheetId="1817" r:id="rId3"/>
    <sheet name="ともき" sheetId="1818" r:id="rId4"/>
    <sheet name="りくと" sheetId="1819" r:id="rId5"/>
    <sheet name="いっしー" sheetId="1820" r:id="rId6"/>
    <sheet name="がくと" sheetId="1821" r:id="rId7"/>
    <sheet name="たかの" sheetId="1822" r:id="rId8"/>
    <sheet name="ただ" sheetId="1823" r:id="rId9"/>
    <sheet name="やがさき" sheetId="1824" r:id="rId10"/>
    <sheet name="れんたろう" sheetId="182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825" l="1"/>
  <c r="H50" i="1825"/>
  <c r="H49" i="1825"/>
  <c r="H48" i="1825"/>
  <c r="H47" i="1825"/>
  <c r="H46" i="1825"/>
  <c r="H45" i="1825"/>
  <c r="H44" i="1825"/>
  <c r="H43" i="1825"/>
  <c r="H42" i="1825"/>
  <c r="H41" i="1825"/>
  <c r="H40" i="1825"/>
  <c r="H39" i="1825"/>
  <c r="H38" i="1825"/>
  <c r="H37" i="1825"/>
  <c r="H36" i="1825"/>
  <c r="H35" i="1825"/>
  <c r="H34" i="1825"/>
  <c r="H18" i="1825"/>
  <c r="H33" i="1825"/>
  <c r="H32" i="1825"/>
  <c r="H31" i="1825"/>
  <c r="H8" i="1825"/>
  <c r="H30" i="1825"/>
  <c r="H29" i="1825"/>
  <c r="H17" i="1825"/>
  <c r="H28" i="1825"/>
  <c r="H27" i="1825"/>
  <c r="H14" i="1825"/>
  <c r="H26" i="1825"/>
  <c r="H16" i="1825"/>
  <c r="H25" i="1825"/>
  <c r="H24" i="1825"/>
  <c r="H23" i="1825"/>
  <c r="B18" i="1825"/>
  <c r="H11" i="1825"/>
  <c r="H22" i="1825"/>
  <c r="C16" i="1825"/>
  <c r="H21" i="1825"/>
  <c r="C15" i="1825"/>
  <c r="H15" i="1825"/>
  <c r="C14" i="1825"/>
  <c r="H20" i="1825"/>
  <c r="B13" i="1825"/>
  <c r="B17" i="1825" s="1"/>
  <c r="H13" i="1825"/>
  <c r="C12" i="1825"/>
  <c r="H3" i="1825"/>
  <c r="C11" i="1825"/>
  <c r="H19" i="1825"/>
  <c r="C10" i="1825"/>
  <c r="H10" i="1825"/>
  <c r="C9" i="1825"/>
  <c r="H9" i="1825"/>
  <c r="C8" i="1825"/>
  <c r="H6" i="1825"/>
  <c r="C7" i="1825"/>
  <c r="H2" i="1825"/>
  <c r="B6" i="1825"/>
  <c r="H7" i="1825"/>
  <c r="B5" i="1825"/>
  <c r="H4" i="1825"/>
  <c r="H12" i="1825"/>
  <c r="H5" i="1825"/>
  <c r="C13" i="1825" l="1"/>
  <c r="H51" i="1824"/>
  <c r="H50" i="1824"/>
  <c r="H49" i="1824"/>
  <c r="H48" i="1824"/>
  <c r="H47" i="1824"/>
  <c r="H46" i="1824"/>
  <c r="H45" i="1824"/>
  <c r="H44" i="1824"/>
  <c r="H43" i="1824"/>
  <c r="H42" i="1824"/>
  <c r="H41" i="1824"/>
  <c r="H40" i="1824"/>
  <c r="H39" i="1824"/>
  <c r="H38" i="1824"/>
  <c r="H37" i="1824"/>
  <c r="H36" i="1824"/>
  <c r="H35" i="1824"/>
  <c r="H34" i="1824"/>
  <c r="H33" i="1824"/>
  <c r="H32" i="1824"/>
  <c r="H31" i="1824"/>
  <c r="H30" i="1824"/>
  <c r="H29" i="1824"/>
  <c r="H28" i="1824"/>
  <c r="H27" i="1824"/>
  <c r="H26" i="1824"/>
  <c r="H25" i="1824"/>
  <c r="H24" i="1824"/>
  <c r="H23" i="1824"/>
  <c r="H22" i="1824"/>
  <c r="H21" i="1824"/>
  <c r="H20" i="1824"/>
  <c r="H19" i="1824"/>
  <c r="H18" i="1824"/>
  <c r="B18" i="1824"/>
  <c r="H17" i="1824"/>
  <c r="H16" i="1824"/>
  <c r="C16" i="1824"/>
  <c r="H15" i="1824"/>
  <c r="C15" i="1824"/>
  <c r="H14" i="1824"/>
  <c r="C14" i="1824"/>
  <c r="H13" i="1824"/>
  <c r="C13" i="1824"/>
  <c r="B13" i="1824"/>
  <c r="B17" i="1824" s="1"/>
  <c r="H12" i="1824"/>
  <c r="C12" i="1824"/>
  <c r="H11" i="1824"/>
  <c r="C11" i="1824"/>
  <c r="H10" i="1824"/>
  <c r="C10" i="1824"/>
  <c r="H9" i="1824"/>
  <c r="C9" i="1824"/>
  <c r="H8" i="1824"/>
  <c r="C8" i="1824"/>
  <c r="H7" i="1824"/>
  <c r="C7" i="1824"/>
  <c r="H6" i="1824"/>
  <c r="B6" i="1824"/>
  <c r="H5" i="1824"/>
  <c r="B5" i="1824"/>
  <c r="H4" i="1824"/>
  <c r="H3" i="1824"/>
  <c r="H2" i="1824"/>
  <c r="H51" i="1823" l="1"/>
  <c r="H50" i="1823"/>
  <c r="H49" i="1823"/>
  <c r="H48" i="1823"/>
  <c r="H47" i="1823"/>
  <c r="H46" i="1823"/>
  <c r="H45" i="1823"/>
  <c r="H44" i="1823"/>
  <c r="H43" i="1823"/>
  <c r="H42" i="1823"/>
  <c r="H41" i="1823"/>
  <c r="H40" i="1823"/>
  <c r="H39" i="1823"/>
  <c r="H38" i="1823"/>
  <c r="H37" i="1823"/>
  <c r="H36" i="1823"/>
  <c r="H35" i="1823"/>
  <c r="H34" i="1823"/>
  <c r="H33" i="1823"/>
  <c r="H32" i="1823"/>
  <c r="H31" i="1823"/>
  <c r="H30" i="1823"/>
  <c r="H11" i="1823"/>
  <c r="H29" i="1823"/>
  <c r="H28" i="1823"/>
  <c r="H10" i="1823"/>
  <c r="H27" i="1823"/>
  <c r="H26" i="1823"/>
  <c r="H25" i="1823"/>
  <c r="H24" i="1823"/>
  <c r="H23" i="1823"/>
  <c r="H22" i="1823"/>
  <c r="H21" i="1823"/>
  <c r="H20" i="1823"/>
  <c r="B18" i="1823"/>
  <c r="H15" i="1823"/>
  <c r="H19" i="1823"/>
  <c r="C16" i="1823"/>
  <c r="H18" i="1823"/>
  <c r="C15" i="1823"/>
  <c r="H17" i="1823"/>
  <c r="C14" i="1823"/>
  <c r="H14" i="1823"/>
  <c r="B13" i="1823"/>
  <c r="B17" i="1823" s="1"/>
  <c r="H16" i="1823"/>
  <c r="C12" i="1823"/>
  <c r="H5" i="1823"/>
  <c r="C11" i="1823"/>
  <c r="H13" i="1823"/>
  <c r="C10" i="1823"/>
  <c r="H9" i="1823"/>
  <c r="C9" i="1823"/>
  <c r="H8" i="1823"/>
  <c r="C8" i="1823"/>
  <c r="H7" i="1823"/>
  <c r="C7" i="1823"/>
  <c r="H3" i="1823"/>
  <c r="B6" i="1823"/>
  <c r="H6" i="1823"/>
  <c r="B5" i="1823"/>
  <c r="H2" i="1823"/>
  <c r="H12" i="1823"/>
  <c r="H4" i="1823"/>
  <c r="H51" i="1822"/>
  <c r="H50" i="1822"/>
  <c r="H49" i="1822"/>
  <c r="H48" i="1822"/>
  <c r="H47" i="1822"/>
  <c r="H46" i="1822"/>
  <c r="H45" i="1822"/>
  <c r="H44" i="1822"/>
  <c r="H43" i="1822"/>
  <c r="H42" i="1822"/>
  <c r="H41" i="1822"/>
  <c r="H40" i="1822"/>
  <c r="H39" i="1822"/>
  <c r="H38" i="1822"/>
  <c r="H37" i="1822"/>
  <c r="H36" i="1822"/>
  <c r="H35" i="1822"/>
  <c r="H34" i="1822"/>
  <c r="H33" i="1822"/>
  <c r="H32" i="1822"/>
  <c r="H31" i="1822"/>
  <c r="H30" i="1822"/>
  <c r="H8" i="1822"/>
  <c r="H29" i="1822"/>
  <c r="H28" i="1822"/>
  <c r="H10" i="1822"/>
  <c r="H27" i="1822"/>
  <c r="H26" i="1822"/>
  <c r="H16" i="1822"/>
  <c r="H25" i="1822"/>
  <c r="H15" i="1822"/>
  <c r="H24" i="1822"/>
  <c r="H23" i="1822"/>
  <c r="H9" i="1822"/>
  <c r="B18" i="1822"/>
  <c r="H14" i="1822"/>
  <c r="H22" i="1822"/>
  <c r="C16" i="1822"/>
  <c r="H21" i="1822"/>
  <c r="C15" i="1822"/>
  <c r="H13" i="1822"/>
  <c r="C14" i="1822"/>
  <c r="H20" i="1822"/>
  <c r="B13" i="1822"/>
  <c r="B17" i="1822" s="1"/>
  <c r="H19" i="1822"/>
  <c r="C12" i="1822"/>
  <c r="H4" i="1822"/>
  <c r="C11" i="1822"/>
  <c r="H18" i="1822"/>
  <c r="C10" i="1822"/>
  <c r="H12" i="1822"/>
  <c r="C9" i="1822"/>
  <c r="H11" i="1822"/>
  <c r="C8" i="1822"/>
  <c r="H7" i="1822"/>
  <c r="C7" i="1822"/>
  <c r="H2" i="1822"/>
  <c r="B6" i="1822"/>
  <c r="H17" i="1822"/>
  <c r="B5" i="1822"/>
  <c r="H3" i="1822"/>
  <c r="H6" i="1822"/>
  <c r="H5" i="1822"/>
  <c r="C13" i="1823" l="1"/>
  <c r="C13" i="1822"/>
  <c r="H51" i="1821"/>
  <c r="H50" i="1821"/>
  <c r="H49" i="1821"/>
  <c r="H48" i="1821"/>
  <c r="H47" i="1821"/>
  <c r="H46" i="1821"/>
  <c r="H45" i="1821"/>
  <c r="H44" i="1821"/>
  <c r="H43" i="1821"/>
  <c r="H42" i="1821"/>
  <c r="H41" i="1821"/>
  <c r="H40" i="1821"/>
  <c r="H39" i="1821"/>
  <c r="H38" i="1821"/>
  <c r="H37" i="1821"/>
  <c r="H36" i="1821"/>
  <c r="H35" i="1821"/>
  <c r="H34" i="1821"/>
  <c r="H33" i="1821"/>
  <c r="H32" i="1821"/>
  <c r="H31" i="1821"/>
  <c r="H30" i="1821"/>
  <c r="H29" i="1821"/>
  <c r="H28" i="1821"/>
  <c r="H27" i="1821"/>
  <c r="H26" i="1821"/>
  <c r="H25" i="1821"/>
  <c r="H24" i="1821"/>
  <c r="H23" i="1821"/>
  <c r="H22" i="1821"/>
  <c r="H21" i="1821"/>
  <c r="H20" i="1821"/>
  <c r="H19" i="1821"/>
  <c r="H18" i="1821"/>
  <c r="B18" i="1821"/>
  <c r="H17" i="1821"/>
  <c r="H16" i="1821"/>
  <c r="C16" i="1821"/>
  <c r="H15" i="1821"/>
  <c r="C15" i="1821"/>
  <c r="H14" i="1821"/>
  <c r="C14" i="1821"/>
  <c r="H13" i="1821"/>
  <c r="B13" i="1821"/>
  <c r="B17" i="1821" s="1"/>
  <c r="H12" i="1821"/>
  <c r="C12" i="1821"/>
  <c r="H11" i="1821"/>
  <c r="C11" i="1821"/>
  <c r="H10" i="1821"/>
  <c r="C10" i="1821"/>
  <c r="H9" i="1821"/>
  <c r="C9" i="1821"/>
  <c r="H8" i="1821"/>
  <c r="C8" i="1821"/>
  <c r="H7" i="1821"/>
  <c r="C7" i="1821"/>
  <c r="H6" i="1821"/>
  <c r="B6" i="1821"/>
  <c r="H5" i="1821"/>
  <c r="B5" i="1821"/>
  <c r="H4" i="1821"/>
  <c r="H3" i="1821"/>
  <c r="H2" i="1821"/>
  <c r="C13" i="1821" l="1"/>
  <c r="H51" i="1820" l="1"/>
  <c r="H50" i="1820"/>
  <c r="H49" i="1820"/>
  <c r="H48" i="1820"/>
  <c r="H47" i="1820"/>
  <c r="H46" i="1820"/>
  <c r="H45" i="1820"/>
  <c r="H44" i="1820"/>
  <c r="H43" i="1820"/>
  <c r="H42" i="1820"/>
  <c r="H41" i="1820"/>
  <c r="H40" i="1820"/>
  <c r="H39" i="1820"/>
  <c r="H38" i="1820"/>
  <c r="H37" i="1820"/>
  <c r="H36" i="1820"/>
  <c r="H35" i="1820"/>
  <c r="H34" i="1820"/>
  <c r="H33" i="1820"/>
  <c r="H32" i="1820"/>
  <c r="H31" i="1820"/>
  <c r="H30" i="1820"/>
  <c r="H29" i="1820"/>
  <c r="H28" i="1820"/>
  <c r="H27" i="1820"/>
  <c r="H26" i="1820"/>
  <c r="H25" i="1820"/>
  <c r="H24" i="1820"/>
  <c r="H11" i="1820"/>
  <c r="H23" i="1820"/>
  <c r="H10" i="1820"/>
  <c r="H22" i="1820"/>
  <c r="H21" i="1820"/>
  <c r="H20" i="1820"/>
  <c r="B18" i="1820"/>
  <c r="H19" i="1820"/>
  <c r="H18" i="1820"/>
  <c r="C16" i="1820"/>
  <c r="H17" i="1820"/>
  <c r="C15" i="1820"/>
  <c r="H16" i="1820"/>
  <c r="C14" i="1820"/>
  <c r="H15" i="1820"/>
  <c r="C13" i="1820"/>
  <c r="B13" i="1820"/>
  <c r="B17" i="1820" s="1"/>
  <c r="H14" i="1820"/>
  <c r="C12" i="1820"/>
  <c r="H4" i="1820"/>
  <c r="C11" i="1820"/>
  <c r="H13" i="1820"/>
  <c r="C10" i="1820"/>
  <c r="H12" i="1820"/>
  <c r="C9" i="1820"/>
  <c r="H9" i="1820"/>
  <c r="C8" i="1820"/>
  <c r="H7" i="1820"/>
  <c r="C7" i="1820"/>
  <c r="H3" i="1820"/>
  <c r="B6" i="1820"/>
  <c r="H6" i="1820"/>
  <c r="B5" i="1820"/>
  <c r="H2" i="1820"/>
  <c r="H8" i="1820"/>
  <c r="H5" i="1820"/>
  <c r="H51" i="1819"/>
  <c r="H50" i="1819"/>
  <c r="H49" i="1819"/>
  <c r="H48" i="1819"/>
  <c r="H47" i="1819"/>
  <c r="H46" i="1819"/>
  <c r="H45" i="1819"/>
  <c r="H44" i="1819"/>
  <c r="H43" i="1819"/>
  <c r="H42" i="1819"/>
  <c r="H41" i="1819"/>
  <c r="H40" i="1819"/>
  <c r="H39" i="1819"/>
  <c r="H38" i="1819"/>
  <c r="H37" i="1819"/>
  <c r="H36" i="1819"/>
  <c r="H35" i="1819"/>
  <c r="H34" i="1819"/>
  <c r="H33" i="1819"/>
  <c r="H16" i="1819"/>
  <c r="H22" i="1819"/>
  <c r="H32" i="1819"/>
  <c r="H8" i="1819"/>
  <c r="H21" i="1819"/>
  <c r="H20" i="1819"/>
  <c r="H11" i="1819"/>
  <c r="H19" i="1819"/>
  <c r="H18" i="1819"/>
  <c r="H13" i="1819"/>
  <c r="H31" i="1819"/>
  <c r="H15" i="1819"/>
  <c r="H30" i="1819"/>
  <c r="H29" i="1819"/>
  <c r="H17" i="1819"/>
  <c r="B18" i="1819"/>
  <c r="H28" i="1819"/>
  <c r="H27" i="1819"/>
  <c r="C16" i="1819"/>
  <c r="H26" i="1819"/>
  <c r="C15" i="1819"/>
  <c r="H25" i="1819"/>
  <c r="C14" i="1819"/>
  <c r="H24" i="1819"/>
  <c r="B13" i="1819"/>
  <c r="B17" i="1819" s="1"/>
  <c r="H23" i="1819"/>
  <c r="C12" i="1819"/>
  <c r="H4" i="1819"/>
  <c r="C11" i="1819"/>
  <c r="H14" i="1819"/>
  <c r="C10" i="1819"/>
  <c r="H9" i="1819"/>
  <c r="C9" i="1819"/>
  <c r="H10" i="1819"/>
  <c r="C8" i="1819"/>
  <c r="H6" i="1819"/>
  <c r="C7" i="1819"/>
  <c r="H2" i="1819"/>
  <c r="B6" i="1819"/>
  <c r="H7" i="1819"/>
  <c r="B5" i="1819"/>
  <c r="H5" i="1819"/>
  <c r="H12" i="1819"/>
  <c r="H3" i="1819"/>
  <c r="C13" i="1819" l="1"/>
  <c r="H51" i="1818"/>
  <c r="H50" i="1818"/>
  <c r="H49" i="1818"/>
  <c r="H48" i="1818"/>
  <c r="H47" i="1818"/>
  <c r="H46" i="1818"/>
  <c r="H45" i="1818"/>
  <c r="H44" i="1818"/>
  <c r="H43" i="1818"/>
  <c r="H42" i="1818"/>
  <c r="H41" i="1818"/>
  <c r="H40" i="1818"/>
  <c r="H39" i="1818"/>
  <c r="H38" i="1818"/>
  <c r="H37" i="1818"/>
  <c r="H36" i="1818"/>
  <c r="H35" i="1818"/>
  <c r="H34" i="1818"/>
  <c r="H33" i="1818"/>
  <c r="H32" i="1818"/>
  <c r="H31" i="1818"/>
  <c r="H30" i="1818"/>
  <c r="H29" i="1818"/>
  <c r="H28" i="1818"/>
  <c r="H27" i="1818"/>
  <c r="H26" i="1818"/>
  <c r="H25" i="1818"/>
  <c r="H24" i="1818"/>
  <c r="H23" i="1818"/>
  <c r="H22" i="1818"/>
  <c r="H21" i="1818"/>
  <c r="H20" i="1818"/>
  <c r="H19" i="1818"/>
  <c r="H18" i="1818"/>
  <c r="B18" i="1818"/>
  <c r="H17" i="1818"/>
  <c r="H16" i="1818"/>
  <c r="C16" i="1818"/>
  <c r="H15" i="1818"/>
  <c r="C15" i="1818"/>
  <c r="H14" i="1818"/>
  <c r="C14" i="1818"/>
  <c r="H13" i="1818"/>
  <c r="C13" i="1818"/>
  <c r="B13" i="1818"/>
  <c r="B17" i="1818" s="1"/>
  <c r="H12" i="1818"/>
  <c r="C12" i="1818"/>
  <c r="H11" i="1818"/>
  <c r="C11" i="1818"/>
  <c r="H10" i="1818"/>
  <c r="C10" i="1818"/>
  <c r="H9" i="1818"/>
  <c r="C9" i="1818"/>
  <c r="H8" i="1818"/>
  <c r="C8" i="1818"/>
  <c r="H7" i="1818"/>
  <c r="C7" i="1818"/>
  <c r="H6" i="1818"/>
  <c r="B6" i="1818"/>
  <c r="H5" i="1818"/>
  <c r="B5" i="1818"/>
  <c r="H4" i="1818"/>
  <c r="H3" i="1818"/>
  <c r="H2" i="1818"/>
  <c r="H51" i="1817"/>
  <c r="H50" i="1817"/>
  <c r="H49" i="1817"/>
  <c r="H48" i="1817"/>
  <c r="H47" i="1817"/>
  <c r="H46" i="1817"/>
  <c r="H45" i="1817"/>
  <c r="H44" i="1817"/>
  <c r="H43" i="1817"/>
  <c r="H42" i="1817"/>
  <c r="H41" i="1817"/>
  <c r="H40" i="1817"/>
  <c r="H39" i="1817"/>
  <c r="H38" i="1817"/>
  <c r="H37" i="1817"/>
  <c r="H36" i="1817"/>
  <c r="H35" i="1817"/>
  <c r="H34" i="1817"/>
  <c r="H33" i="1817"/>
  <c r="H32" i="1817"/>
  <c r="H31" i="1817"/>
  <c r="H30" i="1817"/>
  <c r="H29" i="1817"/>
  <c r="H28" i="1817"/>
  <c r="H27" i="1817"/>
  <c r="H26" i="1817"/>
  <c r="H25" i="1817"/>
  <c r="H24" i="1817"/>
  <c r="H23" i="1817"/>
  <c r="H22" i="1817"/>
  <c r="H21" i="1817"/>
  <c r="H20" i="1817"/>
  <c r="H19" i="1817"/>
  <c r="H18" i="1817"/>
  <c r="B18" i="1817"/>
  <c r="H17" i="1817"/>
  <c r="H16" i="1817"/>
  <c r="C16" i="1817"/>
  <c r="H15" i="1817"/>
  <c r="C15" i="1817"/>
  <c r="H14" i="1817"/>
  <c r="C14" i="1817"/>
  <c r="H13" i="1817"/>
  <c r="C13" i="1817"/>
  <c r="B13" i="1817"/>
  <c r="B17" i="1817" s="1"/>
  <c r="H12" i="1817"/>
  <c r="C12" i="1817"/>
  <c r="H11" i="1817"/>
  <c r="C11" i="1817"/>
  <c r="H10" i="1817"/>
  <c r="C10" i="1817"/>
  <c r="H9" i="1817"/>
  <c r="C9" i="1817"/>
  <c r="H8" i="1817"/>
  <c r="C8" i="1817"/>
  <c r="H7" i="1817"/>
  <c r="C7" i="1817"/>
  <c r="H6" i="1817"/>
  <c r="B6" i="1817"/>
  <c r="H5" i="1817"/>
  <c r="B5" i="1817"/>
  <c r="H4" i="1817"/>
  <c r="H3" i="1817"/>
  <c r="H2" i="1817"/>
  <c r="H51" i="1816"/>
  <c r="H50" i="1816"/>
  <c r="H49" i="1816"/>
  <c r="H48" i="1816"/>
  <c r="H47" i="1816"/>
  <c r="H20" i="1816"/>
  <c r="H46" i="1816"/>
  <c r="H45" i="1816"/>
  <c r="H44" i="1816"/>
  <c r="H43" i="1816"/>
  <c r="H42" i="1816"/>
  <c r="H41" i="1816"/>
  <c r="H40" i="1816"/>
  <c r="H39" i="1816"/>
  <c r="H38" i="1816"/>
  <c r="H37" i="1816"/>
  <c r="H36" i="1816"/>
  <c r="H35" i="1816"/>
  <c r="H34" i="1816"/>
  <c r="H16" i="1816"/>
  <c r="H19" i="1816"/>
  <c r="H33" i="1816"/>
  <c r="H9" i="1816"/>
  <c r="H32" i="1816"/>
  <c r="H31" i="1816"/>
  <c r="H12" i="1816"/>
  <c r="H30" i="1816"/>
  <c r="H29" i="1816"/>
  <c r="H13" i="1816"/>
  <c r="H28" i="1816"/>
  <c r="H18" i="1816"/>
  <c r="H27" i="1816"/>
  <c r="H26" i="1816"/>
  <c r="H17" i="1816"/>
  <c r="B18" i="1816"/>
  <c r="H25" i="1816"/>
  <c r="H15" i="1816"/>
  <c r="C16" i="1816"/>
  <c r="H24" i="1816"/>
  <c r="C15" i="1816"/>
  <c r="H23" i="1816"/>
  <c r="C14" i="1816"/>
  <c r="H22" i="1816"/>
  <c r="B13" i="1816"/>
  <c r="B17" i="1816" s="1"/>
  <c r="H21" i="1816"/>
  <c r="C12" i="1816"/>
  <c r="H3" i="1816"/>
  <c r="C11" i="1816"/>
  <c r="H10" i="1816"/>
  <c r="C10" i="1816"/>
  <c r="H11" i="1816"/>
  <c r="C9" i="1816"/>
  <c r="H8" i="1816"/>
  <c r="C8" i="1816"/>
  <c r="H7" i="1816"/>
  <c r="C7" i="1816"/>
  <c r="H2" i="1816"/>
  <c r="B6" i="1816"/>
  <c r="H6" i="1816"/>
  <c r="B5" i="1816"/>
  <c r="H5" i="1816"/>
  <c r="H14" i="1816"/>
  <c r="H4" i="1816"/>
  <c r="C13" i="1816" l="1"/>
  <c r="C11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6" i="1" l="1"/>
  <c r="C15" i="1"/>
  <c r="C14" i="1"/>
  <c r="C13" i="1"/>
  <c r="C10" i="1"/>
  <c r="C12" i="1"/>
  <c r="C9" i="1"/>
  <c r="C8" i="1"/>
  <c r="C7" i="1"/>
  <c r="B5" i="1"/>
  <c r="B18" i="1" l="1"/>
  <c r="B13" i="1" l="1"/>
  <c r="B17" i="1" l="1"/>
</calcChain>
</file>

<file path=xl/sharedStrings.xml><?xml version="1.0" encoding="utf-8"?>
<sst xmlns="http://schemas.openxmlformats.org/spreadsheetml/2006/main" count="1506" uniqueCount="151">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</sst>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だいち!$K$2:$K$97</c:f>
              <c:numCache>
                <c:formatCode>\+0;\-0;\±0</c:formatCode>
                <c:ptCount val="9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3-4898-A6F5-9CEAC9DE3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E1A-9D93-347605467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D-430E-B2E9-3FAA0DC9A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りくと!$K$2:$K$61</c:f>
              <c:numCache>
                <c:formatCode>\+0;\-0;\±0</c:formatCode>
                <c:ptCount val="6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A-4A45-9C5E-9B600ADB7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7-4F0C-AC6D-A5BEAF4E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1-4062-8DB7-A2AD84129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A-4DAA-93B5-4CF716410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E-4044-8AF7-47B78FA82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FA-4E81-8918-188C69284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F-47FC-BBA7-F220BAAEC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A61CB5-CCF4-4561-854D-1B0A72E8B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A9DD88-20EE-47FB-8007-F64F5293C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56D1D5-9C6D-487D-8B48-6D2235AED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D2C218-5319-463E-8168-94FC75FCB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06E8C3-E4E5-4841-9C5C-1C347B69E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4126D1-1268-496E-8CCD-DBA154096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E7358E-4528-4CA8-9C8E-27CB461DE5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8C199B-CFBD-4A17-8BA9-C6E8A279C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926785-6E04-41CC-81C9-AE34C25BF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685458-D5B9-4DE8-97D3-14C5B904D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W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16384" width="9" style="4"/>
  </cols>
  <sheetData>
    <row r="1" spans="1:23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150</v>
      </c>
      <c r="U1" s="61"/>
      <c r="V1" s="60" t="s">
        <v>145</v>
      </c>
      <c r="W1" s="61"/>
    </row>
    <row r="2" spans="1:23" x14ac:dyDescent="0.4">
      <c r="A2" s="8">
        <v>1</v>
      </c>
      <c r="B2" s="9" t="s">
        <v>26</v>
      </c>
      <c r="C2" s="11">
        <v>416.20000000000005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11700</v>
      </c>
      <c r="R2" s="10" t="s">
        <v>37</v>
      </c>
      <c r="S2" s="13">
        <v>-8200</v>
      </c>
      <c r="T2" s="10" t="s">
        <v>31</v>
      </c>
      <c r="U2" s="15">
        <v>0.33333333333333331</v>
      </c>
      <c r="V2" s="10" t="s">
        <v>28</v>
      </c>
      <c r="W2" s="15">
        <v>0.33333333333333331</v>
      </c>
    </row>
    <row r="3" spans="1:23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0.37894736842105264</v>
      </c>
      <c r="J3" s="1" t="s">
        <v>26</v>
      </c>
      <c r="K3" s="18">
        <v>0.12631578947368421</v>
      </c>
      <c r="L3" s="1" t="s">
        <v>28</v>
      </c>
      <c r="M3" s="16">
        <v>0.35793357933579334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30</v>
      </c>
      <c r="S3" s="2">
        <v>-8300</v>
      </c>
      <c r="T3" s="1" t="s">
        <v>26</v>
      </c>
      <c r="U3" s="16">
        <v>0.29032258064516131</v>
      </c>
      <c r="V3" s="1" t="s">
        <v>30</v>
      </c>
      <c r="W3" s="16">
        <v>0.28735632183908044</v>
      </c>
    </row>
    <row r="4" spans="1:23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1.8631578947368421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26</v>
      </c>
      <c r="M4" s="16">
        <v>0.35441176470588237</v>
      </c>
      <c r="N4" s="1" t="s">
        <v>26</v>
      </c>
      <c r="O4" s="16">
        <v>0.15735294117647058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27</v>
      </c>
      <c r="U4" s="16">
        <v>0.2824858757062147</v>
      </c>
      <c r="V4" s="1" t="s">
        <v>31</v>
      </c>
      <c r="W4" s="16">
        <v>0.26190476190476192</v>
      </c>
    </row>
    <row r="5" spans="1:23" x14ac:dyDescent="0.4">
      <c r="A5" s="7">
        <v>4</v>
      </c>
      <c r="B5" s="6" t="s">
        <v>18</v>
      </c>
      <c r="C5" s="3">
        <v>7</v>
      </c>
      <c r="D5" s="1" t="s">
        <v>26</v>
      </c>
      <c r="E5" s="3">
        <v>4.3810526315789478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0.17142857142857143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29</v>
      </c>
      <c r="U5" s="16">
        <v>0.24223602484472051</v>
      </c>
      <c r="V5" s="1" t="s">
        <v>29</v>
      </c>
      <c r="W5" s="16">
        <v>0.22981366459627328</v>
      </c>
    </row>
    <row r="6" spans="1:23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0.32203389830508472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10200</v>
      </c>
      <c r="R6" s="1" t="s">
        <v>29</v>
      </c>
      <c r="S6" s="2">
        <v>-9700</v>
      </c>
      <c r="T6" s="1" t="s">
        <v>28</v>
      </c>
      <c r="U6" s="16">
        <v>0.21212121212121213</v>
      </c>
      <c r="V6" s="1" t="s">
        <v>26</v>
      </c>
      <c r="W6" s="16">
        <v>0.22580645161290322</v>
      </c>
    </row>
    <row r="7" spans="1:23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-3.0314285714285716</v>
      </c>
      <c r="F7" s="1" t="s">
        <v>31</v>
      </c>
      <c r="G7" s="5">
        <v>2</v>
      </c>
      <c r="H7" s="1" t="s">
        <v>30</v>
      </c>
      <c r="I7" s="18">
        <v>0.25714285714285712</v>
      </c>
      <c r="J7" s="1" t="s">
        <v>35</v>
      </c>
      <c r="K7" s="18">
        <v>0.25</v>
      </c>
      <c r="L7" s="1" t="s">
        <v>30</v>
      </c>
      <c r="M7" s="16">
        <v>0.28102189781021897</v>
      </c>
      <c r="N7" s="1" t="s">
        <v>30</v>
      </c>
      <c r="O7" s="16">
        <v>0.20072992700729927</v>
      </c>
      <c r="P7" s="1" t="s">
        <v>26</v>
      </c>
      <c r="Q7" s="2">
        <v>10000</v>
      </c>
      <c r="R7" s="1" t="s">
        <v>26</v>
      </c>
      <c r="S7" s="2">
        <v>-9900</v>
      </c>
      <c r="T7" s="1" t="s">
        <v>30</v>
      </c>
      <c r="U7" s="16">
        <v>0.19540229885057472</v>
      </c>
      <c r="V7" s="1" t="s">
        <v>27</v>
      </c>
      <c r="W7" s="16">
        <v>0.19209039548022599</v>
      </c>
    </row>
    <row r="8" spans="1:23" x14ac:dyDescent="0.4">
      <c r="A8" s="7">
        <v>7</v>
      </c>
      <c r="B8" s="6" t="s">
        <v>30</v>
      </c>
      <c r="C8" s="3">
        <v>-106.10000000000001</v>
      </c>
      <c r="D8" s="1" t="s">
        <v>27</v>
      </c>
      <c r="E8" s="3">
        <v>-3.4762711864406759</v>
      </c>
      <c r="F8" s="1" t="s">
        <v>30</v>
      </c>
      <c r="G8" s="5">
        <v>2.1142857142857143</v>
      </c>
      <c r="H8" s="1" t="s">
        <v>29</v>
      </c>
      <c r="I8" s="18">
        <v>0.24</v>
      </c>
      <c r="J8" s="1" t="s">
        <v>27</v>
      </c>
      <c r="K8" s="18">
        <v>0.25423728813559321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31</v>
      </c>
      <c r="S8" s="2">
        <v>-9900</v>
      </c>
      <c r="T8" s="1" t="s">
        <v>37</v>
      </c>
      <c r="U8" s="16">
        <v>0</v>
      </c>
      <c r="V8" s="1" t="s">
        <v>37</v>
      </c>
      <c r="W8" s="16">
        <v>0</v>
      </c>
    </row>
    <row r="9" spans="1:23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2.1186440677966103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0.24657534246575341</v>
      </c>
      <c r="N9" s="1" t="s">
        <v>27</v>
      </c>
      <c r="O9" s="16">
        <v>0.20776255707762556</v>
      </c>
      <c r="P9" s="1" t="s">
        <v>18</v>
      </c>
      <c r="Q9" s="2">
        <v>8000</v>
      </c>
      <c r="R9" s="1" t="s">
        <v>35</v>
      </c>
      <c r="S9" s="2">
        <v>-9900</v>
      </c>
      <c r="T9" s="1" t="s">
        <v>18</v>
      </c>
      <c r="U9" s="16">
        <v>0</v>
      </c>
      <c r="V9" s="1" t="s">
        <v>18</v>
      </c>
      <c r="W9" s="16">
        <v>0</v>
      </c>
    </row>
    <row r="10" spans="1:23" x14ac:dyDescent="0.4">
      <c r="A10" s="7">
        <v>9</v>
      </c>
      <c r="B10" s="6" t="s">
        <v>27</v>
      </c>
      <c r="C10" s="3">
        <v>-205.09999999999988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-10000</v>
      </c>
      <c r="T10" s="1" t="s">
        <v>21</v>
      </c>
      <c r="U10" s="16">
        <v>0</v>
      </c>
      <c r="V10" s="1" t="s">
        <v>21</v>
      </c>
      <c r="W10" s="16">
        <v>0</v>
      </c>
    </row>
    <row r="11" spans="1:23" x14ac:dyDescent="0.4">
      <c r="A11" s="7">
        <v>10</v>
      </c>
      <c r="B11" s="6" t="s">
        <v>29</v>
      </c>
      <c r="C11" s="3">
        <v>-216.89999999999998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  <c r="V11" s="1" t="s">
        <v>35</v>
      </c>
      <c r="W11" s="16">
        <v>0</v>
      </c>
    </row>
  </sheetData>
  <sortState ref="V2:W21">
    <sortCondition descending="1" ref="W1"/>
  </sortState>
  <mergeCells count="11">
    <mergeCell ref="V1:W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8F401-A24C-4392-ABA3-756904B67CF4}">
  <sheetPr codeName="Sheet2"/>
  <dimension ref="A1:K97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95</v>
      </c>
      <c r="C2" s="27"/>
      <c r="E2" s="28" t="s">
        <v>92</v>
      </c>
      <c r="F2" s="10" t="s">
        <v>45</v>
      </c>
      <c r="G2" s="26">
        <v>74</v>
      </c>
      <c r="H2" s="29">
        <f>IF(B$20=0,0,G2/B$20)</f>
        <v>0.90243902439024393</v>
      </c>
      <c r="J2" s="25">
        <v>0</v>
      </c>
      <c r="K2" s="30">
        <v>0</v>
      </c>
    </row>
    <row r="3" spans="1:11" x14ac:dyDescent="0.4">
      <c r="A3" s="31" t="s">
        <v>8</v>
      </c>
      <c r="B3" s="32">
        <v>680</v>
      </c>
      <c r="C3" s="33"/>
      <c r="E3" s="34" t="s">
        <v>97</v>
      </c>
      <c r="F3" s="1" t="s">
        <v>49</v>
      </c>
      <c r="G3" s="32">
        <v>47</v>
      </c>
      <c r="H3" s="35">
        <f>IF(B$20=0,0,G3/B$20)</f>
        <v>0.57317073170731703</v>
      </c>
      <c r="J3" s="31">
        <v>1</v>
      </c>
      <c r="K3" s="36">
        <v>15</v>
      </c>
    </row>
    <row r="4" spans="1:11" x14ac:dyDescent="0.4">
      <c r="A4" s="31" t="s">
        <v>6</v>
      </c>
      <c r="B4" s="37">
        <v>416.20000000000005</v>
      </c>
      <c r="C4" s="36"/>
      <c r="E4" s="34" t="s">
        <v>88</v>
      </c>
      <c r="F4" s="1" t="s">
        <v>41</v>
      </c>
      <c r="G4" s="32">
        <v>43</v>
      </c>
      <c r="H4" s="35">
        <f>IF(B$20=0,0,G4/B$20)</f>
        <v>0.52439024390243905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4.3810526315789478</v>
      </c>
      <c r="C5" s="38"/>
      <c r="E5" s="34" t="s">
        <v>90</v>
      </c>
      <c r="F5" s="1" t="s">
        <v>43</v>
      </c>
      <c r="G5" s="32">
        <v>43</v>
      </c>
      <c r="H5" s="35">
        <f>IF(B$20=0,0,G5/B$20)</f>
        <v>0.52439024390243905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1.8631578947368421</v>
      </c>
      <c r="C6" s="40"/>
      <c r="E6" s="34" t="s">
        <v>91</v>
      </c>
      <c r="F6" s="1" t="s">
        <v>44</v>
      </c>
      <c r="G6" s="32">
        <v>26</v>
      </c>
      <c r="H6" s="35">
        <f>IF(B$20=0,0,G6/B$20)</f>
        <v>0.31707317073170732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0.37894736842105264</v>
      </c>
      <c r="E7" s="34" t="s">
        <v>93</v>
      </c>
      <c r="F7" s="1" t="s">
        <v>12</v>
      </c>
      <c r="G7" s="32">
        <v>19</v>
      </c>
      <c r="H7" s="35">
        <f>IF(B$20=0,0,G7/B$20)</f>
        <v>0.23170731707317074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36</v>
      </c>
      <c r="C8" s="35">
        <f t="shared" ref="C8:C9" si="0">IF(B$2=0,0,B8/B$2)</f>
        <v>0.37894736842105264</v>
      </c>
      <c r="E8" s="34" t="s">
        <v>94</v>
      </c>
      <c r="F8" s="1" t="s">
        <v>46</v>
      </c>
      <c r="G8" s="32">
        <v>13</v>
      </c>
      <c r="H8" s="35">
        <f>IF(B$20=0,0,G8/B$20)</f>
        <v>0.15853658536585366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23</v>
      </c>
      <c r="C9" s="43">
        <f t="shared" si="0"/>
        <v>0.24210526315789474</v>
      </c>
      <c r="E9" s="34" t="s">
        <v>115</v>
      </c>
      <c r="F9" s="1" t="s">
        <v>67</v>
      </c>
      <c r="G9" s="32">
        <v>9</v>
      </c>
      <c r="H9" s="35">
        <f>IF(B$20=0,0,G9/B$20)</f>
        <v>0.10975609756097561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12</v>
      </c>
      <c r="C10" s="46">
        <f>IF(B$2=0,0,B10/B$2)</f>
        <v>0.12631578947368421</v>
      </c>
      <c r="E10" s="34" t="s">
        <v>96</v>
      </c>
      <c r="F10" s="1" t="s">
        <v>48</v>
      </c>
      <c r="G10" s="32">
        <v>5</v>
      </c>
      <c r="H10" s="35">
        <f>IF(B$20=0,0,G10/B$20)</f>
        <v>6.097560975609756E-2</v>
      </c>
      <c r="J10" s="31">
        <v>8</v>
      </c>
      <c r="K10" s="36">
        <v>55.700000000000017</v>
      </c>
    </row>
    <row r="11" spans="1:11" ht="19.5" thickTop="1" x14ac:dyDescent="0.4">
      <c r="A11" s="64" t="s">
        <v>149</v>
      </c>
      <c r="B11" s="65">
        <v>63</v>
      </c>
      <c r="C11" s="66">
        <f>IF(B$19=0,0,B11/B$19)</f>
        <v>0.29032258064516131</v>
      </c>
      <c r="E11" s="34" t="s">
        <v>95</v>
      </c>
      <c r="F11" s="1" t="s">
        <v>47</v>
      </c>
      <c r="G11" s="32">
        <v>4</v>
      </c>
      <c r="H11" s="35">
        <f>IF(B$20=0,0,G11/B$20)</f>
        <v>4.878048780487805E-2</v>
      </c>
      <c r="J11" s="31">
        <v>9</v>
      </c>
      <c r="K11" s="36">
        <v>14.700000000000017</v>
      </c>
    </row>
    <row r="12" spans="1:11" x14ac:dyDescent="0.4">
      <c r="A12" s="31" t="s">
        <v>144</v>
      </c>
      <c r="B12" s="32">
        <v>49</v>
      </c>
      <c r="C12" s="35">
        <f>IF(B$19=0,0,B12/B$19)</f>
        <v>0.22580645161290322</v>
      </c>
      <c r="E12" s="34" t="s">
        <v>112</v>
      </c>
      <c r="F12" s="1" t="s">
        <v>64</v>
      </c>
      <c r="G12" s="32">
        <v>4</v>
      </c>
      <c r="H12" s="35">
        <f>IF(B$20=0,0,G12/B$20)</f>
        <v>4.878048780487805E-2</v>
      </c>
      <c r="J12" s="31">
        <v>10</v>
      </c>
      <c r="K12" s="36">
        <v>-16.799999999999983</v>
      </c>
    </row>
    <row r="13" spans="1:11" x14ac:dyDescent="0.4">
      <c r="A13" s="25" t="s">
        <v>10</v>
      </c>
      <c r="B13" s="26">
        <f>B14+B15</f>
        <v>241</v>
      </c>
      <c r="C13" s="29">
        <f>IF(B$3=0,0,B13/B$3)</f>
        <v>0.35441176470588237</v>
      </c>
      <c r="E13" s="34" t="s">
        <v>109</v>
      </c>
      <c r="F13" s="1" t="s">
        <v>61</v>
      </c>
      <c r="G13" s="32">
        <v>3</v>
      </c>
      <c r="H13" s="35">
        <f>IF(B$20=0,0,G13/B$20)</f>
        <v>3.6585365853658534E-2</v>
      </c>
      <c r="J13" s="31">
        <v>11</v>
      </c>
      <c r="K13" s="36">
        <v>1.5000000000000178</v>
      </c>
    </row>
    <row r="14" spans="1:11" x14ac:dyDescent="0.4">
      <c r="A14" s="31" t="s">
        <v>11</v>
      </c>
      <c r="B14" s="32">
        <v>155</v>
      </c>
      <c r="C14" s="35">
        <f>IF(B$3=0,0,B14/B$3)</f>
        <v>0.22794117647058823</v>
      </c>
      <c r="E14" s="34" t="s">
        <v>89</v>
      </c>
      <c r="F14" s="1" t="s">
        <v>42</v>
      </c>
      <c r="G14" s="32">
        <v>2</v>
      </c>
      <c r="H14" s="35">
        <f>IF(B$20=0,0,G14/B$20)</f>
        <v>2.4390243902439025E-2</v>
      </c>
      <c r="J14" s="31">
        <v>12</v>
      </c>
      <c r="K14" s="36">
        <v>14.300000000000018</v>
      </c>
    </row>
    <row r="15" spans="1:11" x14ac:dyDescent="0.4">
      <c r="A15" s="31" t="s">
        <v>12</v>
      </c>
      <c r="B15" s="32">
        <v>86</v>
      </c>
      <c r="C15" s="35">
        <f>IF(B$3=0,0,B15/B$3)</f>
        <v>0.12647058823529411</v>
      </c>
      <c r="E15" s="34" t="s">
        <v>102</v>
      </c>
      <c r="F15" s="1" t="s">
        <v>54</v>
      </c>
      <c r="G15" s="32">
        <v>2</v>
      </c>
      <c r="H15" s="35">
        <f>IF(B$20=0,0,G15/B$20)</f>
        <v>2.4390243902439025E-2</v>
      </c>
      <c r="J15" s="31">
        <v>13</v>
      </c>
      <c r="K15" s="36">
        <v>71.300000000000011</v>
      </c>
    </row>
    <row r="16" spans="1:11" x14ac:dyDescent="0.4">
      <c r="A16" s="31" t="s">
        <v>13</v>
      </c>
      <c r="B16" s="32">
        <v>107</v>
      </c>
      <c r="C16" s="35">
        <f>IF(B$3=0,0,B16/B$3)</f>
        <v>0.15735294117647058</v>
      </c>
      <c r="E16" s="34" t="s">
        <v>118</v>
      </c>
      <c r="F16" s="1" t="s">
        <v>70</v>
      </c>
      <c r="G16" s="32">
        <v>2</v>
      </c>
      <c r="H16" s="35">
        <f>IF(B$20=0,0,G16/B$20)</f>
        <v>2.4390243902439025E-2</v>
      </c>
      <c r="J16" s="31">
        <v>14</v>
      </c>
      <c r="K16" s="36">
        <v>27.300000000000011</v>
      </c>
    </row>
    <row r="17" spans="1:11" x14ac:dyDescent="0.4">
      <c r="A17" s="31" t="s">
        <v>5</v>
      </c>
      <c r="B17" s="49">
        <f>IF(B$13=0,0,ROUND(C17/B$13,-2))</f>
        <v>10000</v>
      </c>
      <c r="C17" s="50">
        <v>2410900</v>
      </c>
      <c r="E17" s="34" t="s">
        <v>104</v>
      </c>
      <c r="F17" s="1" t="s">
        <v>56</v>
      </c>
      <c r="G17" s="32">
        <v>1</v>
      </c>
      <c r="H17" s="35">
        <f>IF(B$20=0,0,G17/B$20)</f>
        <v>1.2195121951219513E-2</v>
      </c>
      <c r="J17" s="31">
        <v>15</v>
      </c>
      <c r="K17" s="36">
        <v>-9.6999999999999886</v>
      </c>
    </row>
    <row r="18" spans="1:11" ht="19.5" thickBot="1" x14ac:dyDescent="0.45">
      <c r="A18" s="51" t="s">
        <v>14</v>
      </c>
      <c r="B18" s="52">
        <f>IF(B$16=0,0,ROUND(C18/B$16,-2))</f>
        <v>-9900</v>
      </c>
      <c r="C18" s="58">
        <v>-1063000</v>
      </c>
      <c r="E18" s="34" t="s">
        <v>107</v>
      </c>
      <c r="F18" s="1" t="s">
        <v>59</v>
      </c>
      <c r="G18" s="32">
        <v>1</v>
      </c>
      <c r="H18" s="35">
        <f>IF(B$20=0,0,G18/B$20)</f>
        <v>1.2195121951219513E-2</v>
      </c>
      <c r="J18" s="31">
        <v>16</v>
      </c>
      <c r="K18" s="36">
        <v>-8.099999999999989</v>
      </c>
    </row>
    <row r="19" spans="1:11" ht="19.5" thickTop="1" x14ac:dyDescent="0.4">
      <c r="A19" s="47" t="s">
        <v>147</v>
      </c>
      <c r="B19" s="48">
        <v>217</v>
      </c>
      <c r="C19" s="29"/>
      <c r="E19" s="34" t="s">
        <v>117</v>
      </c>
      <c r="F19" s="1" t="s">
        <v>69</v>
      </c>
      <c r="G19" s="32">
        <v>1</v>
      </c>
      <c r="H19" s="35">
        <f>IF(B$20=0,0,G19/B$20)</f>
        <v>1.2195121951219513E-2</v>
      </c>
      <c r="J19" s="31">
        <v>17</v>
      </c>
      <c r="K19" s="36">
        <v>-29.499999999999986</v>
      </c>
    </row>
    <row r="20" spans="1:11" x14ac:dyDescent="0.4">
      <c r="A20" s="51" t="s">
        <v>148</v>
      </c>
      <c r="B20" s="54">
        <v>82</v>
      </c>
      <c r="C20" s="55"/>
      <c r="E20" s="34" t="s">
        <v>132</v>
      </c>
      <c r="F20" s="1" t="s">
        <v>139</v>
      </c>
      <c r="G20" s="32">
        <v>1</v>
      </c>
      <c r="H20" s="35">
        <f>IF(B$20=0,0,G20/B$20)</f>
        <v>1.2195121951219513E-2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IF(B$20=0,0,G21/B$20)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IF(B$20=0,0,G22/B$20)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IF(B$20=0,0,G23/B$20)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IF(B$20=0,0,G24/B$20)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IF(B$20=0,0,G25/B$20)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IF(B$20=0,0,G26/B$20)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IF(B$20=0,0,G27/B$20)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IF(B$20=0,0,G28/B$20)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IF(B$20=0,0,G29/B$20)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IF(B$20=0,0,G30/B$20)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IF(B$20=0,0,G31/B$20)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IF(B$20=0,0,G32/B$20)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IF(B$20=0,0,G33/B$20)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IF(B$20=0,0,G34/B$20)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IF(B$20=0,0,G35/B$20)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IF(B$20=0,0,G36/B$20)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IF(B$20=0,0,G37/B$20)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IF(B$20=0,0,G38/B$20)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IF(B$20=0,0,G39/B$20)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IF(B$20=0,0,G40/B$20)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IF(B$20=0,0,G41/B$20)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IF(B$20=0,0,G42/B$20)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IF(B$20=0,0,G43/B$20)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IF(B$20=0,0,G44/B$20)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IF(B$20=0,0,G45/B$20)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IF(B$20=0,0,G46/B$20)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</sheetData>
  <sortState ref="E2:H97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4DB49-4263-4119-A819-0B17B5E124C8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4" t="s">
        <v>149</v>
      </c>
      <c r="B11" s="65">
        <v>0</v>
      </c>
      <c r="C11" s="66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1</v>
      </c>
      <c r="C13" s="29">
        <f>IF(B$3=0,0,B13/B$3)</f>
        <v>0.04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1</v>
      </c>
      <c r="C15" s="35">
        <f>IF(B$3=0,0,B15/B$3)</f>
        <v>0.04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10</v>
      </c>
      <c r="C16" s="35">
        <f>IF(B$3=0,0,B16/B$3)</f>
        <v>0.4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7800</v>
      </c>
      <c r="C17" s="50">
        <v>7800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-8200</v>
      </c>
      <c r="C18" s="58">
        <v>-82400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9693F-3021-4A41-A9D4-5F91E7177DD0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4" t="s">
        <v>149</v>
      </c>
      <c r="B11" s="65">
        <v>0</v>
      </c>
      <c r="C11" s="66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2</v>
      </c>
      <c r="C13" s="29">
        <f>IF(B$3=0,0,B13/B$3)</f>
        <v>0.4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2</v>
      </c>
      <c r="C14" s="35">
        <f>IF(B$3=0,0,B14/B$3)</f>
        <v>0.4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</v>
      </c>
      <c r="C16" s="35">
        <f>IF(B$3=0,0,B16/B$3)</f>
        <v>0.2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8000</v>
      </c>
      <c r="C17" s="50">
        <v>16000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-12000</v>
      </c>
      <c r="C18" s="58">
        <v>-12000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86DA-0717-4FB8-8F34-12710ECDB9E6}">
  <sheetPr codeName="Sheet5"/>
  <dimension ref="A1:K6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59</v>
      </c>
      <c r="C2" s="27"/>
      <c r="E2" s="28" t="s">
        <v>92</v>
      </c>
      <c r="F2" s="10" t="s">
        <v>45</v>
      </c>
      <c r="G2" s="26">
        <v>35</v>
      </c>
      <c r="H2" s="29">
        <f>IF(B$20=0,0,G2/B$20)</f>
        <v>0.74468085106382975</v>
      </c>
      <c r="J2" s="25">
        <v>0</v>
      </c>
      <c r="K2" s="30">
        <v>0</v>
      </c>
    </row>
    <row r="3" spans="1:11" x14ac:dyDescent="0.4">
      <c r="A3" s="31" t="s">
        <v>8</v>
      </c>
      <c r="B3" s="32">
        <v>438</v>
      </c>
      <c r="C3" s="33"/>
      <c r="E3" s="34" t="s">
        <v>88</v>
      </c>
      <c r="F3" s="1" t="s">
        <v>41</v>
      </c>
      <c r="G3" s="32">
        <v>28</v>
      </c>
      <c r="H3" s="35">
        <f>IF(B$20=0,0,G3/B$20)</f>
        <v>0.5957446808510638</v>
      </c>
      <c r="J3" s="31">
        <v>1</v>
      </c>
      <c r="K3" s="36">
        <v>40.9</v>
      </c>
    </row>
    <row r="4" spans="1:11" x14ac:dyDescent="0.4">
      <c r="A4" s="31" t="s">
        <v>6</v>
      </c>
      <c r="B4" s="37">
        <v>-205.09999999999988</v>
      </c>
      <c r="C4" s="36"/>
      <c r="E4" s="34" t="s">
        <v>97</v>
      </c>
      <c r="F4" s="1" t="s">
        <v>49</v>
      </c>
      <c r="G4" s="32">
        <v>28</v>
      </c>
      <c r="H4" s="35">
        <f>IF(B$20=0,0,G4/B$20)</f>
        <v>0.5957446808510638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-3.4762711864406759</v>
      </c>
      <c r="C5" s="38"/>
      <c r="E5" s="34" t="s">
        <v>90</v>
      </c>
      <c r="F5" s="1" t="s">
        <v>43</v>
      </c>
      <c r="G5" s="32">
        <v>23</v>
      </c>
      <c r="H5" s="35">
        <f>IF(B$20=0,0,G5/B$20)</f>
        <v>0.48936170212765956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2.1186440677966103</v>
      </c>
      <c r="C6" s="40"/>
      <c r="E6" s="34" t="s">
        <v>93</v>
      </c>
      <c r="F6" s="1" t="s">
        <v>12</v>
      </c>
      <c r="G6" s="32">
        <v>20</v>
      </c>
      <c r="H6" s="35">
        <f>IF(B$20=0,0,G6/B$20)</f>
        <v>0.42553191489361702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0.32203389830508472</v>
      </c>
      <c r="E7" s="34" t="s">
        <v>91</v>
      </c>
      <c r="F7" s="1" t="s">
        <v>44</v>
      </c>
      <c r="G7" s="32">
        <v>11</v>
      </c>
      <c r="H7" s="35">
        <f>IF(B$20=0,0,G7/B$20)</f>
        <v>0.23404255319148937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0.23728813559322035</v>
      </c>
      <c r="E8" s="34" t="s">
        <v>115</v>
      </c>
      <c r="F8" s="1" t="s">
        <v>67</v>
      </c>
      <c r="G8" s="32">
        <v>8</v>
      </c>
      <c r="H8" s="35">
        <f>IF(B$20=0,0,G8/B$20)</f>
        <v>0.1702127659574468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0.44067796610169491</v>
      </c>
      <c r="E9" s="34" t="s">
        <v>95</v>
      </c>
      <c r="F9" s="1" t="s">
        <v>47</v>
      </c>
      <c r="G9" s="32">
        <v>7</v>
      </c>
      <c r="H9" s="35">
        <f>IF(B$20=0,0,G9/B$20)</f>
        <v>0.14893617021276595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0.25423728813559321</v>
      </c>
      <c r="E10" s="34" t="s">
        <v>94</v>
      </c>
      <c r="F10" s="1" t="s">
        <v>46</v>
      </c>
      <c r="G10" s="32">
        <v>6</v>
      </c>
      <c r="H10" s="35">
        <f>IF(B$20=0,0,G10/B$20)</f>
        <v>0.1276595744680851</v>
      </c>
      <c r="J10" s="31">
        <v>8</v>
      </c>
      <c r="K10" s="36">
        <v>60.199999999999996</v>
      </c>
    </row>
    <row r="11" spans="1:11" ht="19.5" thickTop="1" x14ac:dyDescent="0.4">
      <c r="A11" s="64" t="s">
        <v>149</v>
      </c>
      <c r="B11" s="65">
        <v>50</v>
      </c>
      <c r="C11" s="66">
        <f>IF(B$19=0,0,B11/B$19)</f>
        <v>0.2824858757062147</v>
      </c>
      <c r="E11" s="34" t="s">
        <v>112</v>
      </c>
      <c r="F11" s="1" t="s">
        <v>64</v>
      </c>
      <c r="G11" s="32">
        <v>6</v>
      </c>
      <c r="H11" s="35">
        <f>IF(B$20=0,0,G11/B$20)</f>
        <v>0.1276595744680851</v>
      </c>
      <c r="J11" s="31">
        <v>9</v>
      </c>
      <c r="K11" s="36">
        <v>24.4</v>
      </c>
    </row>
    <row r="12" spans="1:11" x14ac:dyDescent="0.4">
      <c r="A12" s="31" t="s">
        <v>144</v>
      </c>
      <c r="B12" s="32">
        <v>34</v>
      </c>
      <c r="C12" s="35">
        <f>IF(B$19=0,0,B12/B$19)</f>
        <v>0.19209039548022599</v>
      </c>
      <c r="E12" s="34" t="s">
        <v>89</v>
      </c>
      <c r="F12" s="1" t="s">
        <v>42</v>
      </c>
      <c r="G12" s="32">
        <v>5</v>
      </c>
      <c r="H12" s="35">
        <f>IF(B$20=0,0,G12/B$20)</f>
        <v>0.10638297872340426</v>
      </c>
      <c r="J12" s="31">
        <v>10</v>
      </c>
      <c r="K12" s="36">
        <v>-20.100000000000001</v>
      </c>
    </row>
    <row r="13" spans="1:11" x14ac:dyDescent="0.4">
      <c r="A13" s="25" t="s">
        <v>10</v>
      </c>
      <c r="B13" s="26">
        <f>B14+B15</f>
        <v>108</v>
      </c>
      <c r="C13" s="29">
        <f>IF(B$3=0,0,B13/B$3)</f>
        <v>0.24657534246575341</v>
      </c>
      <c r="E13" s="34" t="s">
        <v>109</v>
      </c>
      <c r="F13" s="1" t="s">
        <v>61</v>
      </c>
      <c r="G13" s="32">
        <v>5</v>
      </c>
      <c r="H13" s="35">
        <f>IF(B$20=0,0,G13/B$20)</f>
        <v>0.10638297872340426</v>
      </c>
      <c r="J13" s="31">
        <v>11</v>
      </c>
      <c r="K13" s="36">
        <v>-3.6000000000000014</v>
      </c>
    </row>
    <row r="14" spans="1:11" x14ac:dyDescent="0.4">
      <c r="A14" s="31" t="s">
        <v>11</v>
      </c>
      <c r="B14" s="32">
        <v>60</v>
      </c>
      <c r="C14" s="35">
        <f>IF(B$3=0,0,B14/B$3)</f>
        <v>0.13698630136986301</v>
      </c>
      <c r="E14" s="34" t="s">
        <v>96</v>
      </c>
      <c r="F14" s="1" t="s">
        <v>48</v>
      </c>
      <c r="G14" s="32">
        <v>2</v>
      </c>
      <c r="H14" s="35">
        <f>IF(B$20=0,0,G14/B$20)</f>
        <v>4.2553191489361701E-2</v>
      </c>
      <c r="J14" s="31">
        <v>12</v>
      </c>
      <c r="K14" s="36">
        <v>-12.000000000000002</v>
      </c>
    </row>
    <row r="15" spans="1:11" x14ac:dyDescent="0.4">
      <c r="A15" s="31" t="s">
        <v>12</v>
      </c>
      <c r="B15" s="32">
        <v>48</v>
      </c>
      <c r="C15" s="35">
        <f>IF(B$3=0,0,B15/B$3)</f>
        <v>0.1095890410958904</v>
      </c>
      <c r="E15" s="34" t="s">
        <v>107</v>
      </c>
      <c r="F15" s="1" t="s">
        <v>59</v>
      </c>
      <c r="G15" s="32">
        <v>2</v>
      </c>
      <c r="H15" s="35">
        <f>IF(B$20=0,0,G15/B$20)</f>
        <v>4.2553191489361701E-2</v>
      </c>
      <c r="J15" s="31">
        <v>13</v>
      </c>
      <c r="K15" s="36">
        <v>49.5</v>
      </c>
    </row>
    <row r="16" spans="1:11" x14ac:dyDescent="0.4">
      <c r="A16" s="31" t="s">
        <v>13</v>
      </c>
      <c r="B16" s="32">
        <v>91</v>
      </c>
      <c r="C16" s="35">
        <f>IF(B$3=0,0,B16/B$3)</f>
        <v>0.20776255707762556</v>
      </c>
      <c r="E16" s="34" t="s">
        <v>118</v>
      </c>
      <c r="F16" s="1" t="s">
        <v>70</v>
      </c>
      <c r="G16" s="32">
        <v>2</v>
      </c>
      <c r="H16" s="35">
        <f>IF(B$20=0,0,G16/B$20)</f>
        <v>4.2553191489361701E-2</v>
      </c>
      <c r="J16" s="31">
        <v>14</v>
      </c>
      <c r="K16" s="36">
        <v>33</v>
      </c>
    </row>
    <row r="17" spans="1:11" x14ac:dyDescent="0.4">
      <c r="A17" s="31" t="s">
        <v>5</v>
      </c>
      <c r="B17" s="49">
        <f>IF(B$13=0,0,ROUND(C17/B$13,-2))</f>
        <v>11700</v>
      </c>
      <c r="C17" s="50">
        <v>1264600</v>
      </c>
      <c r="E17" s="34" t="s">
        <v>104</v>
      </c>
      <c r="F17" s="1" t="s">
        <v>56</v>
      </c>
      <c r="G17" s="32">
        <v>1</v>
      </c>
      <c r="H17" s="35">
        <f>IF(B$20=0,0,G17/B$20)</f>
        <v>2.1276595744680851E-2</v>
      </c>
      <c r="J17" s="31">
        <v>15</v>
      </c>
      <c r="K17" s="36">
        <v>38.5</v>
      </c>
    </row>
    <row r="18" spans="1:11" ht="19.5" thickBot="1" x14ac:dyDescent="0.45">
      <c r="A18" s="51" t="s">
        <v>14</v>
      </c>
      <c r="B18" s="52">
        <f>IF(B$16=0,0,ROUND(C18/B$16,-2))</f>
        <v>-10000</v>
      </c>
      <c r="C18" s="58">
        <v>-912700</v>
      </c>
      <c r="E18" s="34" t="s">
        <v>110</v>
      </c>
      <c r="F18" s="1" t="s">
        <v>62</v>
      </c>
      <c r="G18" s="32">
        <v>1</v>
      </c>
      <c r="H18" s="35">
        <f>IF(B$20=0,0,G18/B$20)</f>
        <v>2.1276595744680851E-2</v>
      </c>
      <c r="J18" s="31">
        <v>16</v>
      </c>
      <c r="K18" s="36">
        <v>14.600000000000001</v>
      </c>
    </row>
    <row r="19" spans="1:11" ht="19.5" thickTop="1" x14ac:dyDescent="0.4">
      <c r="A19" s="47" t="s">
        <v>147</v>
      </c>
      <c r="B19" s="48">
        <v>177</v>
      </c>
      <c r="C19" s="29"/>
      <c r="E19" s="34" t="s">
        <v>111</v>
      </c>
      <c r="F19" s="1" t="s">
        <v>63</v>
      </c>
      <c r="G19" s="32">
        <v>1</v>
      </c>
      <c r="H19" s="35">
        <f>IF(B$20=0,0,G19/B$20)</f>
        <v>2.1276595744680851E-2</v>
      </c>
      <c r="J19" s="31">
        <v>17</v>
      </c>
      <c r="K19" s="36">
        <v>13.900000000000002</v>
      </c>
    </row>
    <row r="20" spans="1:11" x14ac:dyDescent="0.4">
      <c r="A20" s="51" t="s">
        <v>148</v>
      </c>
      <c r="B20" s="54">
        <v>47</v>
      </c>
      <c r="C20" s="55"/>
      <c r="E20" s="34" t="s">
        <v>113</v>
      </c>
      <c r="F20" s="1" t="s">
        <v>65</v>
      </c>
      <c r="G20" s="32">
        <v>1</v>
      </c>
      <c r="H20" s="35">
        <f>IF(B$20=0,0,G20/B$20)</f>
        <v>2.1276595744680851E-2</v>
      </c>
      <c r="J20" s="31">
        <v>18</v>
      </c>
      <c r="K20" s="36">
        <v>-21.999999999999996</v>
      </c>
    </row>
    <row r="21" spans="1:11" x14ac:dyDescent="0.4">
      <c r="E21" s="34" t="s">
        <v>114</v>
      </c>
      <c r="F21" s="1" t="s">
        <v>66</v>
      </c>
      <c r="G21" s="32">
        <v>1</v>
      </c>
      <c r="H21" s="35">
        <f>IF(B$20=0,0,G21/B$20)</f>
        <v>2.1276595744680851E-2</v>
      </c>
      <c r="J21" s="31">
        <v>19</v>
      </c>
      <c r="K21" s="36">
        <v>-26.699999999999996</v>
      </c>
    </row>
    <row r="22" spans="1:11" x14ac:dyDescent="0.4">
      <c r="E22" s="34" t="s">
        <v>117</v>
      </c>
      <c r="F22" s="1" t="s">
        <v>69</v>
      </c>
      <c r="G22" s="32">
        <v>1</v>
      </c>
      <c r="H22" s="35">
        <f>IF(B$20=0,0,G22/B$20)</f>
        <v>2.1276595744680851E-2</v>
      </c>
      <c r="J22" s="31">
        <v>20</v>
      </c>
      <c r="K22" s="36">
        <v>-57.899999999999991</v>
      </c>
    </row>
    <row r="23" spans="1:11" x14ac:dyDescent="0.4">
      <c r="E23" s="34" t="s">
        <v>98</v>
      </c>
      <c r="F23" s="1" t="s">
        <v>50</v>
      </c>
      <c r="G23" s="32">
        <v>0</v>
      </c>
      <c r="H23" s="35">
        <f>IF(B$20=0,0,G23/B$20)</f>
        <v>0</v>
      </c>
      <c r="J23" s="31">
        <v>21</v>
      </c>
      <c r="K23" s="36">
        <v>-82.699999999999989</v>
      </c>
    </row>
    <row r="24" spans="1:11" x14ac:dyDescent="0.4">
      <c r="E24" s="34" t="s">
        <v>99</v>
      </c>
      <c r="F24" s="1" t="s">
        <v>51</v>
      </c>
      <c r="G24" s="32">
        <v>0</v>
      </c>
      <c r="H24" s="35">
        <f>IF(B$20=0,0,G24/B$20)</f>
        <v>0</v>
      </c>
      <c r="J24" s="31">
        <v>22</v>
      </c>
      <c r="K24" s="36">
        <v>-94.6</v>
      </c>
    </row>
    <row r="25" spans="1:11" x14ac:dyDescent="0.4">
      <c r="E25" s="34" t="s">
        <v>100</v>
      </c>
      <c r="F25" s="1" t="s">
        <v>52</v>
      </c>
      <c r="G25" s="32">
        <v>0</v>
      </c>
      <c r="H25" s="35">
        <f>IF(B$20=0,0,G25/B$20)</f>
        <v>0</v>
      </c>
      <c r="J25" s="31">
        <v>23</v>
      </c>
      <c r="K25" s="36">
        <v>-111.3</v>
      </c>
    </row>
    <row r="26" spans="1:11" x14ac:dyDescent="0.4">
      <c r="E26" s="34" t="s">
        <v>101</v>
      </c>
      <c r="F26" s="1" t="s">
        <v>53</v>
      </c>
      <c r="G26" s="32">
        <v>0</v>
      </c>
      <c r="H26" s="35">
        <f>IF(B$20=0,0,G26/B$20)</f>
        <v>0</v>
      </c>
      <c r="J26" s="31">
        <v>24</v>
      </c>
      <c r="K26" s="36">
        <v>-68.099999999999994</v>
      </c>
    </row>
    <row r="27" spans="1:11" x14ac:dyDescent="0.4">
      <c r="E27" s="34" t="s">
        <v>102</v>
      </c>
      <c r="F27" s="1" t="s">
        <v>54</v>
      </c>
      <c r="G27" s="32">
        <v>0</v>
      </c>
      <c r="H27" s="35">
        <f>IF(B$20=0,0,G27/B$20)</f>
        <v>0</v>
      </c>
      <c r="J27" s="31">
        <v>25</v>
      </c>
      <c r="K27" s="36">
        <v>-70.899999999999991</v>
      </c>
    </row>
    <row r="28" spans="1:11" x14ac:dyDescent="0.4">
      <c r="E28" s="34" t="s">
        <v>103</v>
      </c>
      <c r="F28" s="1" t="s">
        <v>55</v>
      </c>
      <c r="G28" s="32">
        <v>0</v>
      </c>
      <c r="H28" s="35">
        <f>IF(B$20=0,0,G28/B$20)</f>
        <v>0</v>
      </c>
      <c r="J28" s="31">
        <v>26</v>
      </c>
      <c r="K28" s="36">
        <v>-125.89999999999999</v>
      </c>
    </row>
    <row r="29" spans="1:11" x14ac:dyDescent="0.4">
      <c r="E29" s="34" t="s">
        <v>105</v>
      </c>
      <c r="F29" s="1" t="s">
        <v>57</v>
      </c>
      <c r="G29" s="32">
        <v>0</v>
      </c>
      <c r="H29" s="35">
        <f>IF(B$20=0,0,G29/B$20)</f>
        <v>0</v>
      </c>
      <c r="J29" s="31">
        <v>27</v>
      </c>
      <c r="K29" s="36">
        <v>-163.6</v>
      </c>
    </row>
    <row r="30" spans="1:11" x14ac:dyDescent="0.4">
      <c r="E30" s="34" t="s">
        <v>106</v>
      </c>
      <c r="F30" s="1" t="s">
        <v>58</v>
      </c>
      <c r="G30" s="32">
        <v>0</v>
      </c>
      <c r="H30" s="35">
        <f>IF(B$20=0,0,G30/B$20)</f>
        <v>0</v>
      </c>
      <c r="J30" s="31">
        <v>28</v>
      </c>
      <c r="K30" s="36">
        <v>-169.5</v>
      </c>
    </row>
    <row r="31" spans="1:11" x14ac:dyDescent="0.4">
      <c r="E31" s="34" t="s">
        <v>108</v>
      </c>
      <c r="F31" s="1" t="s">
        <v>60</v>
      </c>
      <c r="G31" s="32">
        <v>0</v>
      </c>
      <c r="H31" s="35">
        <f>IF(B$20=0,0,G31/B$20)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IF(B$20=0,0,G32/B$20)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</sheetData>
  <sortState ref="E2:H6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32741-69F3-44D3-B5AC-6D339F8623EC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IF(B$20=0,0,G2/B$20)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IF(B$20=0,0,G3/B$20)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IF(B$20=0,0,G4/B$20)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IF(B$20=0,0,G5/B$20)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IF(B$20=0,0,G6/B$20)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IF(B$20=0,0,G7/B$20)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IF(B$20=0,0,G8/B$20)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IF(B$20=0,0,G9/B$20)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IF(B$20=0,0,G10/B$20)</f>
        <v>0.1</v>
      </c>
      <c r="J10" s="31">
        <v>8</v>
      </c>
      <c r="K10" s="36">
        <v>-59.1</v>
      </c>
    </row>
    <row r="11" spans="1:11" ht="19.5" thickTop="1" x14ac:dyDescent="0.4">
      <c r="A11" s="64" t="s">
        <v>149</v>
      </c>
      <c r="B11" s="65">
        <v>7</v>
      </c>
      <c r="C11" s="66">
        <f>IF(B$19=0,0,B11/B$19)</f>
        <v>0.21212121212121213</v>
      </c>
      <c r="E11" s="34" t="s">
        <v>109</v>
      </c>
      <c r="F11" s="1" t="s">
        <v>61</v>
      </c>
      <c r="G11" s="32">
        <v>1</v>
      </c>
      <c r="H11" s="35">
        <f>IF(B$20=0,0,G11/B$20)</f>
        <v>0.1</v>
      </c>
      <c r="J11" s="31">
        <v>9</v>
      </c>
      <c r="K11" s="36">
        <v>-77.900000000000006</v>
      </c>
    </row>
    <row r="12" spans="1:11" x14ac:dyDescent="0.4">
      <c r="A12" s="31" t="s">
        <v>144</v>
      </c>
      <c r="B12" s="32">
        <v>11</v>
      </c>
      <c r="C12" s="35">
        <f>IF(B$19=0,0,B12/B$19)</f>
        <v>0.33333333333333331</v>
      </c>
      <c r="E12" s="34" t="s">
        <v>95</v>
      </c>
      <c r="F12" s="1" t="s">
        <v>47</v>
      </c>
      <c r="G12" s="32">
        <v>0</v>
      </c>
      <c r="H12" s="35">
        <f>IF(B$20=0,0,G12/B$20)</f>
        <v>0</v>
      </c>
      <c r="J12" s="31">
        <v>10</v>
      </c>
      <c r="K12" s="36">
        <v>-78.900000000000006</v>
      </c>
    </row>
    <row r="13" spans="1:11" x14ac:dyDescent="0.4">
      <c r="A13" s="25" t="s">
        <v>10</v>
      </c>
      <c r="B13" s="26">
        <f>B14+B15</f>
        <v>97</v>
      </c>
      <c r="C13" s="29">
        <f>IF(B$3=0,0,B13/B$3)</f>
        <v>0.35793357933579334</v>
      </c>
      <c r="E13" s="34" t="s">
        <v>96</v>
      </c>
      <c r="F13" s="1" t="s">
        <v>48</v>
      </c>
      <c r="G13" s="32">
        <v>0</v>
      </c>
      <c r="H13" s="35">
        <f>IF(B$20=0,0,G13/B$20)</f>
        <v>0</v>
      </c>
      <c r="J13" s="31">
        <v>11</v>
      </c>
      <c r="K13" s="36">
        <v>-88.9</v>
      </c>
    </row>
    <row r="14" spans="1:11" x14ac:dyDescent="0.4">
      <c r="A14" s="31" t="s">
        <v>11</v>
      </c>
      <c r="B14" s="32">
        <v>53</v>
      </c>
      <c r="C14" s="35">
        <f>IF(B$3=0,0,B14/B$3)</f>
        <v>0.19557195571955718</v>
      </c>
      <c r="E14" s="34" t="s">
        <v>98</v>
      </c>
      <c r="F14" s="1" t="s">
        <v>50</v>
      </c>
      <c r="G14" s="32">
        <v>0</v>
      </c>
      <c r="H14" s="35">
        <f>IF(B$20=0,0,G14/B$20)</f>
        <v>0</v>
      </c>
      <c r="J14" s="31">
        <v>12</v>
      </c>
      <c r="K14" s="36">
        <v>-23.5</v>
      </c>
    </row>
    <row r="15" spans="1:11" x14ac:dyDescent="0.4">
      <c r="A15" s="31" t="s">
        <v>12</v>
      </c>
      <c r="B15" s="32">
        <v>44</v>
      </c>
      <c r="C15" s="35">
        <f>IF(B$3=0,0,B15/B$3)</f>
        <v>0.16236162361623616</v>
      </c>
      <c r="E15" s="34" t="s">
        <v>99</v>
      </c>
      <c r="F15" s="1" t="s">
        <v>51</v>
      </c>
      <c r="G15" s="32">
        <v>0</v>
      </c>
      <c r="H15" s="35">
        <f>IF(B$20=0,0,G15/B$20)</f>
        <v>0</v>
      </c>
      <c r="J15" s="31">
        <v>13</v>
      </c>
      <c r="K15" s="36">
        <v>-12.4</v>
      </c>
    </row>
    <row r="16" spans="1:11" x14ac:dyDescent="0.4">
      <c r="A16" s="31" t="s">
        <v>13</v>
      </c>
      <c r="B16" s="32">
        <v>36</v>
      </c>
      <c r="C16" s="35">
        <f>IF(B$3=0,0,B16/B$3)</f>
        <v>0.13284132841328414</v>
      </c>
      <c r="E16" s="34" t="s">
        <v>100</v>
      </c>
      <c r="F16" s="1" t="s">
        <v>52</v>
      </c>
      <c r="G16" s="32">
        <v>0</v>
      </c>
      <c r="H16" s="35">
        <f>IF(B$20=0,0,G16/B$20)</f>
        <v>0</v>
      </c>
      <c r="J16" s="31">
        <v>14</v>
      </c>
      <c r="K16" s="36">
        <v>38.6</v>
      </c>
    </row>
    <row r="17" spans="1:11" x14ac:dyDescent="0.4">
      <c r="A17" s="31" t="s">
        <v>5</v>
      </c>
      <c r="B17" s="49">
        <f>IF(B$13=0,0,ROUND(C17/B$13,-2))</f>
        <v>9600</v>
      </c>
      <c r="C17" s="50">
        <v>934300</v>
      </c>
      <c r="E17" s="34" t="s">
        <v>101</v>
      </c>
      <c r="F17" s="1" t="s">
        <v>53</v>
      </c>
      <c r="G17" s="32">
        <v>0</v>
      </c>
      <c r="H17" s="35">
        <f>IF(B$20=0,0,G17/B$20)</f>
        <v>0</v>
      </c>
      <c r="J17" s="31">
        <v>15</v>
      </c>
      <c r="K17" s="36">
        <v>55.8</v>
      </c>
    </row>
    <row r="18" spans="1:11" ht="19.5" thickBot="1" x14ac:dyDescent="0.45">
      <c r="A18" s="51" t="s">
        <v>14</v>
      </c>
      <c r="B18" s="52">
        <f>IF(B$16=0,0,ROUND(C18/B$16,-2))</f>
        <v>-9600</v>
      </c>
      <c r="C18" s="58">
        <v>-346100</v>
      </c>
      <c r="E18" s="34" t="s">
        <v>102</v>
      </c>
      <c r="F18" s="1" t="s">
        <v>54</v>
      </c>
      <c r="G18" s="32">
        <v>0</v>
      </c>
      <c r="H18" s="35">
        <f>IF(B$20=0,0,G18/B$20)</f>
        <v>0</v>
      </c>
      <c r="J18" s="31">
        <v>16</v>
      </c>
      <c r="K18" s="36">
        <v>40.299999999999997</v>
      </c>
    </row>
    <row r="19" spans="1:11" ht="19.5" thickTop="1" x14ac:dyDescent="0.4">
      <c r="A19" s="47" t="s">
        <v>147</v>
      </c>
      <c r="B19" s="48">
        <v>33</v>
      </c>
      <c r="C19" s="29"/>
      <c r="E19" s="34" t="s">
        <v>103</v>
      </c>
      <c r="F19" s="1" t="s">
        <v>55</v>
      </c>
      <c r="G19" s="32">
        <v>0</v>
      </c>
      <c r="H19" s="35">
        <f>IF(B$20=0,0,G19/B$20)</f>
        <v>0</v>
      </c>
      <c r="J19" s="31">
        <v>17</v>
      </c>
      <c r="K19" s="36">
        <v>15.799999999999997</v>
      </c>
    </row>
    <row r="20" spans="1:11" x14ac:dyDescent="0.4">
      <c r="A20" s="51" t="s">
        <v>148</v>
      </c>
      <c r="B20" s="54">
        <v>10</v>
      </c>
      <c r="C20" s="55"/>
      <c r="E20" s="34" t="s">
        <v>104</v>
      </c>
      <c r="F20" s="1" t="s">
        <v>56</v>
      </c>
      <c r="G20" s="32">
        <v>0</v>
      </c>
      <c r="H20" s="35">
        <f>IF(B$20=0,0,G20/B$20)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IF(B$20=0,0,G21/B$20)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IF(B$20=0,0,G22/B$20)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IF(B$20=0,0,G23/B$20)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09284-0784-4CEE-9B3E-618871275E84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4" t="s">
        <v>149</v>
      </c>
      <c r="B11" s="65">
        <v>0</v>
      </c>
      <c r="C11" s="66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1</v>
      </c>
      <c r="C13" s="29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1</v>
      </c>
      <c r="C14" s="35">
        <f>IF(B$3=0,0,B14/B$3)</f>
        <v>0.16666666666666666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2</v>
      </c>
      <c r="C16" s="35">
        <f>IF(B$3=0,0,B16/B$3)</f>
        <v>0.33333333333333331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1300</v>
      </c>
      <c r="C17" s="50">
        <v>1300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-8500</v>
      </c>
      <c r="C18" s="58">
        <v>-17000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336B-21AB-4115-AD26-04B79A6DC93C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92</v>
      </c>
      <c r="F2" s="10" t="s">
        <v>45</v>
      </c>
      <c r="G2" s="26">
        <v>22</v>
      </c>
      <c r="H2" s="29">
        <f>IF(B$20=0,0,G2/B$20)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90</v>
      </c>
      <c r="F3" s="1" t="s">
        <v>43</v>
      </c>
      <c r="G3" s="32">
        <v>17</v>
      </c>
      <c r="H3" s="35">
        <f>IF(B$20=0,0,G3/B$20)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97</v>
      </c>
      <c r="F4" s="1" t="s">
        <v>49</v>
      </c>
      <c r="G4" s="32">
        <v>15</v>
      </c>
      <c r="H4" s="35">
        <f>IF(B$20=0,0,G4/B$20)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88</v>
      </c>
      <c r="F5" s="1" t="s">
        <v>41</v>
      </c>
      <c r="G5" s="32">
        <v>7</v>
      </c>
      <c r="H5" s="35">
        <f>IF(B$20=0,0,G5/B$20)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89</v>
      </c>
      <c r="F6" s="1" t="s">
        <v>42</v>
      </c>
      <c r="G6" s="32">
        <v>3</v>
      </c>
      <c r="H6" s="35">
        <f>IF(B$20=0,0,G6/B$20)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93</v>
      </c>
      <c r="F7" s="1" t="s">
        <v>12</v>
      </c>
      <c r="G7" s="32">
        <v>3</v>
      </c>
      <c r="H7" s="35">
        <f>IF(B$20=0,0,G7/B$20)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115</v>
      </c>
      <c r="F8" s="1" t="s">
        <v>67</v>
      </c>
      <c r="G8" s="32">
        <v>3</v>
      </c>
      <c r="H8" s="35">
        <f>IF(B$20=0,0,G8/B$20)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104</v>
      </c>
      <c r="F9" s="1" t="s">
        <v>56</v>
      </c>
      <c r="G9" s="32">
        <v>2</v>
      </c>
      <c r="H9" s="35">
        <f>IF(B$20=0,0,G9/B$20)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6</v>
      </c>
      <c r="C10" s="46">
        <f>IF(B$2=0,0,B10/B$2)</f>
        <v>0.17142857142857143</v>
      </c>
      <c r="E10" s="34" t="s">
        <v>112</v>
      </c>
      <c r="F10" s="1" t="s">
        <v>64</v>
      </c>
      <c r="G10" s="32">
        <v>2</v>
      </c>
      <c r="H10" s="35">
        <f>IF(B$20=0,0,G10/B$20)</f>
        <v>8.6956521739130432E-2</v>
      </c>
      <c r="J10" s="31">
        <v>8</v>
      </c>
      <c r="K10" s="36">
        <v>97</v>
      </c>
    </row>
    <row r="11" spans="1:11" ht="19.5" thickTop="1" x14ac:dyDescent="0.4">
      <c r="A11" s="64" t="s">
        <v>149</v>
      </c>
      <c r="B11" s="65">
        <v>17</v>
      </c>
      <c r="C11" s="66">
        <f>IF(B$19=0,0,B11/B$19)</f>
        <v>0.19540229885057472</v>
      </c>
      <c r="E11" s="34" t="s">
        <v>94</v>
      </c>
      <c r="F11" s="1" t="s">
        <v>46</v>
      </c>
      <c r="G11" s="32">
        <v>1</v>
      </c>
      <c r="H11" s="35">
        <f>IF(B$20=0,0,G11/B$20)</f>
        <v>4.3478260869565216E-2</v>
      </c>
      <c r="J11" s="31">
        <v>9</v>
      </c>
      <c r="K11" s="36">
        <v>83.3</v>
      </c>
    </row>
    <row r="12" spans="1:11" x14ac:dyDescent="0.4">
      <c r="A12" s="31" t="s">
        <v>144</v>
      </c>
      <c r="B12" s="32">
        <v>25</v>
      </c>
      <c r="C12" s="35">
        <f>IF(B$19=0,0,B12/B$19)</f>
        <v>0.28735632183908044</v>
      </c>
      <c r="E12" s="34" t="s">
        <v>95</v>
      </c>
      <c r="F12" s="1" t="s">
        <v>47</v>
      </c>
      <c r="G12" s="32">
        <v>1</v>
      </c>
      <c r="H12" s="35">
        <f>IF(B$20=0,0,G12/B$20)</f>
        <v>4.3478260869565216E-2</v>
      </c>
      <c r="J12" s="31">
        <v>10</v>
      </c>
      <c r="K12" s="36">
        <v>111</v>
      </c>
    </row>
    <row r="13" spans="1:11" x14ac:dyDescent="0.4">
      <c r="A13" s="25" t="s">
        <v>10</v>
      </c>
      <c r="B13" s="26">
        <f>B14+B15</f>
        <v>77</v>
      </c>
      <c r="C13" s="29">
        <f>IF(B$3=0,0,B13/B$3)</f>
        <v>0.28102189781021897</v>
      </c>
      <c r="E13" s="34" t="s">
        <v>100</v>
      </c>
      <c r="F13" s="1" t="s">
        <v>52</v>
      </c>
      <c r="G13" s="32">
        <v>1</v>
      </c>
      <c r="H13" s="35">
        <f>IF(B$20=0,0,G13/B$20)</f>
        <v>4.3478260869565216E-2</v>
      </c>
      <c r="J13" s="31">
        <v>11</v>
      </c>
      <c r="K13" s="36">
        <v>138.69999999999999</v>
      </c>
    </row>
    <row r="14" spans="1:11" x14ac:dyDescent="0.4">
      <c r="A14" s="31" t="s">
        <v>11</v>
      </c>
      <c r="B14" s="32">
        <v>46</v>
      </c>
      <c r="C14" s="35">
        <f>IF(B$3=0,0,B14/B$3)</f>
        <v>0.16788321167883211</v>
      </c>
      <c r="E14" s="34" t="s">
        <v>103</v>
      </c>
      <c r="F14" s="1" t="s">
        <v>55</v>
      </c>
      <c r="G14" s="32">
        <v>1</v>
      </c>
      <c r="H14" s="35">
        <f>IF(B$20=0,0,G14/B$20)</f>
        <v>4.3478260869565216E-2</v>
      </c>
      <c r="J14" s="31">
        <v>12</v>
      </c>
      <c r="K14" s="36">
        <v>99.799999999999983</v>
      </c>
    </row>
    <row r="15" spans="1:11" x14ac:dyDescent="0.4">
      <c r="A15" s="31" t="s">
        <v>12</v>
      </c>
      <c r="B15" s="32">
        <v>31</v>
      </c>
      <c r="C15" s="35">
        <f>IF(B$3=0,0,B15/B$3)</f>
        <v>0.11313868613138686</v>
      </c>
      <c r="E15" s="34" t="s">
        <v>107</v>
      </c>
      <c r="F15" s="1" t="s">
        <v>59</v>
      </c>
      <c r="G15" s="32">
        <v>1</v>
      </c>
      <c r="H15" s="35">
        <f>IF(B$20=0,0,G15/B$20)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13</v>
      </c>
      <c r="B16" s="32">
        <v>55</v>
      </c>
      <c r="C16" s="35">
        <f>IF(B$3=0,0,B16/B$3)</f>
        <v>0.20072992700729927</v>
      </c>
      <c r="E16" s="34" t="s">
        <v>109</v>
      </c>
      <c r="F16" s="1" t="s">
        <v>61</v>
      </c>
      <c r="G16" s="32">
        <v>1</v>
      </c>
      <c r="H16" s="35">
        <f>IF(B$20=0,0,G16/B$20)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5</v>
      </c>
      <c r="B17" s="49">
        <f>IF(B$13=0,0,ROUND(C17/B$13,-2))</f>
        <v>10200</v>
      </c>
      <c r="C17" s="50">
        <v>788500</v>
      </c>
      <c r="E17" s="34" t="s">
        <v>91</v>
      </c>
      <c r="F17" s="1" t="s">
        <v>44</v>
      </c>
      <c r="G17" s="32">
        <v>0</v>
      </c>
      <c r="H17" s="35">
        <f>IF(B$20=0,0,G17/B$20)</f>
        <v>0</v>
      </c>
      <c r="J17" s="31">
        <v>15</v>
      </c>
      <c r="K17" s="36">
        <v>32.999999999999986</v>
      </c>
    </row>
    <row r="18" spans="1:11" ht="19.5" thickBot="1" x14ac:dyDescent="0.45">
      <c r="A18" s="51" t="s">
        <v>14</v>
      </c>
      <c r="B18" s="52">
        <f>IF(B$16=0,0,ROUND(C18/B$16,-2))</f>
        <v>-8300</v>
      </c>
      <c r="C18" s="58">
        <v>-455800</v>
      </c>
      <c r="E18" s="34" t="s">
        <v>96</v>
      </c>
      <c r="F18" s="1" t="s">
        <v>48</v>
      </c>
      <c r="G18" s="32">
        <v>0</v>
      </c>
      <c r="H18" s="35">
        <f>IF(B$20=0,0,G18/B$20)</f>
        <v>0</v>
      </c>
      <c r="J18" s="31">
        <v>16</v>
      </c>
      <c r="K18" s="36">
        <v>-5.5000000000000142</v>
      </c>
    </row>
    <row r="19" spans="1:11" ht="19.5" thickTop="1" x14ac:dyDescent="0.4">
      <c r="A19" s="47" t="s">
        <v>147</v>
      </c>
      <c r="B19" s="48">
        <v>87</v>
      </c>
      <c r="C19" s="29"/>
      <c r="E19" s="34" t="s">
        <v>98</v>
      </c>
      <c r="F19" s="1" t="s">
        <v>50</v>
      </c>
      <c r="G19" s="32">
        <v>0</v>
      </c>
      <c r="H19" s="35">
        <f>IF(B$20=0,0,G19/B$20)</f>
        <v>0</v>
      </c>
      <c r="J19" s="31">
        <v>17</v>
      </c>
      <c r="K19" s="36">
        <v>-17.100000000000016</v>
      </c>
    </row>
    <row r="20" spans="1:11" x14ac:dyDescent="0.4">
      <c r="A20" s="51" t="s">
        <v>148</v>
      </c>
      <c r="B20" s="54">
        <v>23</v>
      </c>
      <c r="C20" s="55"/>
      <c r="E20" s="34" t="s">
        <v>99</v>
      </c>
      <c r="F20" s="1" t="s">
        <v>51</v>
      </c>
      <c r="G20" s="32">
        <v>0</v>
      </c>
      <c r="H20" s="35">
        <f>IF(B$20=0,0,G20/B$20)</f>
        <v>0</v>
      </c>
      <c r="J20" s="31">
        <v>18</v>
      </c>
      <c r="K20" s="36">
        <v>-16.800000000000015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IF(B$20=0,0,G21/B$20)</f>
        <v>0</v>
      </c>
      <c r="J21" s="31">
        <v>19</v>
      </c>
      <c r="K21" s="36">
        <v>-2.1000000000000156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IF(B$20=0,0,G22/B$20)</f>
        <v>0</v>
      </c>
      <c r="J22" s="31">
        <v>20</v>
      </c>
      <c r="K22" s="36">
        <v>45.899999999999984</v>
      </c>
    </row>
    <row r="23" spans="1:11" x14ac:dyDescent="0.4">
      <c r="E23" s="34" t="s">
        <v>105</v>
      </c>
      <c r="F23" s="1" t="s">
        <v>57</v>
      </c>
      <c r="G23" s="32">
        <v>0</v>
      </c>
      <c r="H23" s="35">
        <f>IF(B$20=0,0,G23/B$20)</f>
        <v>0</v>
      </c>
      <c r="J23" s="31">
        <v>21</v>
      </c>
      <c r="K23" s="36">
        <v>4.0999999999999872</v>
      </c>
    </row>
    <row r="24" spans="1:11" x14ac:dyDescent="0.4">
      <c r="E24" s="34" t="s">
        <v>106</v>
      </c>
      <c r="F24" s="1" t="s">
        <v>58</v>
      </c>
      <c r="G24" s="32">
        <v>0</v>
      </c>
      <c r="H24" s="35">
        <f>IF(B$20=0,0,G24/B$20)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IF(B$20=0,0,G25/B$20)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IF(B$20=0,0,G26/B$20)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IF(B$20=0,0,G27/B$20)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IF(B$20=0,0,G28/B$20)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IF(B$20=0,0,G29/B$20)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-94.100000000000009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-106.10000000000001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96AD-C59D-45B9-AE1A-38855DFF4F31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IF(B$20=0,0,G2/B$20)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IF(B$20=0,0,G3/B$20)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IF(B$20=0,0,G4/B$20)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IF(B$20=0,0,G5/B$20)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IF(B$20=0,0,G6/B$20)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IF(B$20=0,0,G7/B$20)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IF(B$20=0,0,G8/B$20)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IF(B$20=0,0,G9/B$20)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IF(B$20=0,0,G10/B$20)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64" t="s">
        <v>149</v>
      </c>
      <c r="B11" s="65">
        <v>42</v>
      </c>
      <c r="C11" s="66">
        <f>IF(B$19=0,0,B11/B$19)</f>
        <v>0.33333333333333331</v>
      </c>
      <c r="E11" s="34" t="s">
        <v>115</v>
      </c>
      <c r="F11" s="1" t="s">
        <v>67</v>
      </c>
      <c r="G11" s="32">
        <v>4</v>
      </c>
      <c r="H11" s="35">
        <f>IF(B$20=0,0,G11/B$20)</f>
        <v>0.10526315789473684</v>
      </c>
      <c r="J11" s="31">
        <v>9</v>
      </c>
      <c r="K11" s="36">
        <v>-53.000000000000021</v>
      </c>
    </row>
    <row r="12" spans="1:11" x14ac:dyDescent="0.4">
      <c r="A12" s="31" t="s">
        <v>144</v>
      </c>
      <c r="B12" s="32">
        <v>33</v>
      </c>
      <c r="C12" s="35">
        <f>IF(B$19=0,0,B12/B$19)</f>
        <v>0.26190476190476192</v>
      </c>
      <c r="E12" s="34" t="s">
        <v>89</v>
      </c>
      <c r="F12" s="1" t="s">
        <v>42</v>
      </c>
      <c r="G12" s="32">
        <v>3</v>
      </c>
      <c r="H12" s="35">
        <f>IF(B$20=0,0,G12/B$20)</f>
        <v>7.8947368421052627E-2</v>
      </c>
      <c r="J12" s="31">
        <v>10</v>
      </c>
      <c r="K12" s="36">
        <v>-72.300000000000026</v>
      </c>
    </row>
    <row r="13" spans="1:11" x14ac:dyDescent="0.4">
      <c r="A13" s="25" t="s">
        <v>10</v>
      </c>
      <c r="B13" s="26">
        <f>B14+B15</f>
        <v>76</v>
      </c>
      <c r="C13" s="29">
        <f>IF(B$3=0,0,B13/B$3)</f>
        <v>0.29343629343629346</v>
      </c>
      <c r="E13" s="34" t="s">
        <v>96</v>
      </c>
      <c r="F13" s="1" t="s">
        <v>48</v>
      </c>
      <c r="G13" s="32">
        <v>3</v>
      </c>
      <c r="H13" s="35">
        <f>IF(B$20=0,0,G13/B$20)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11</v>
      </c>
      <c r="B14" s="32">
        <v>49</v>
      </c>
      <c r="C14" s="35">
        <f>IF(B$3=0,0,B14/B$3)</f>
        <v>0.1891891891891892</v>
      </c>
      <c r="E14" s="34" t="s">
        <v>99</v>
      </c>
      <c r="F14" s="1" t="s">
        <v>51</v>
      </c>
      <c r="G14" s="32">
        <v>1</v>
      </c>
      <c r="H14" s="35">
        <f>IF(B$20=0,0,G14/B$20)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12</v>
      </c>
      <c r="B15" s="32">
        <v>27</v>
      </c>
      <c r="C15" s="35">
        <f>IF(B$3=0,0,B15/B$3)</f>
        <v>0.10424710424710425</v>
      </c>
      <c r="E15" s="34" t="s">
        <v>103</v>
      </c>
      <c r="F15" s="1" t="s">
        <v>55</v>
      </c>
      <c r="G15" s="32">
        <v>1</v>
      </c>
      <c r="H15" s="35">
        <f>IF(B$20=0,0,G15/B$20)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13</v>
      </c>
      <c r="B16" s="32">
        <v>43</v>
      </c>
      <c r="C16" s="35">
        <f>IF(B$3=0,0,B16/B$3)</f>
        <v>0.16602316602316602</v>
      </c>
      <c r="E16" s="34" t="s">
        <v>98</v>
      </c>
      <c r="F16" s="1" t="s">
        <v>50</v>
      </c>
      <c r="G16" s="32">
        <v>0</v>
      </c>
      <c r="H16" s="35">
        <f>IF(B$20=0,0,G16/B$20)</f>
        <v>0</v>
      </c>
      <c r="J16" s="31">
        <v>14</v>
      </c>
      <c r="K16" s="36">
        <v>-62.000000000000021</v>
      </c>
    </row>
    <row r="17" spans="1:11" x14ac:dyDescent="0.4">
      <c r="A17" s="31" t="s">
        <v>5</v>
      </c>
      <c r="B17" s="49">
        <f>IF(B$13=0,0,ROUND(C17/B$13,-2))</f>
        <v>10400</v>
      </c>
      <c r="C17" s="50">
        <v>793600</v>
      </c>
      <c r="E17" s="34" t="s">
        <v>100</v>
      </c>
      <c r="F17" s="1" t="s">
        <v>52</v>
      </c>
      <c r="G17" s="32">
        <v>0</v>
      </c>
      <c r="H17" s="35">
        <f>IF(B$20=0,0,G17/B$20)</f>
        <v>0</v>
      </c>
      <c r="J17" s="31">
        <v>15</v>
      </c>
      <c r="K17" s="36">
        <v>-69.200000000000017</v>
      </c>
    </row>
    <row r="18" spans="1:11" ht="19.5" thickBot="1" x14ac:dyDescent="0.45">
      <c r="A18" s="51" t="s">
        <v>14</v>
      </c>
      <c r="B18" s="52">
        <f>IF(B$16=0,0,ROUND(C18/B$16,-2))</f>
        <v>-9900</v>
      </c>
      <c r="C18" s="58">
        <v>-425900</v>
      </c>
      <c r="E18" s="34" t="s">
        <v>101</v>
      </c>
      <c r="F18" s="1" t="s">
        <v>53</v>
      </c>
      <c r="G18" s="32">
        <v>0</v>
      </c>
      <c r="H18" s="35">
        <f>IF(B$20=0,0,G18/B$20)</f>
        <v>0</v>
      </c>
      <c r="J18" s="31">
        <v>16</v>
      </c>
      <c r="K18" s="36">
        <v>5.0999999999999801</v>
      </c>
    </row>
    <row r="19" spans="1:11" ht="19.5" thickTop="1" x14ac:dyDescent="0.4">
      <c r="A19" s="47" t="s">
        <v>147</v>
      </c>
      <c r="B19" s="48">
        <v>126</v>
      </c>
      <c r="C19" s="29"/>
      <c r="E19" s="34" t="s">
        <v>102</v>
      </c>
      <c r="F19" s="1" t="s">
        <v>54</v>
      </c>
      <c r="G19" s="32">
        <v>0</v>
      </c>
      <c r="H19" s="35">
        <f>IF(B$20=0,0,G19/B$20)</f>
        <v>0</v>
      </c>
      <c r="J19" s="31">
        <v>17</v>
      </c>
      <c r="K19" s="36">
        <v>40.09999999999998</v>
      </c>
    </row>
    <row r="20" spans="1:11" x14ac:dyDescent="0.4">
      <c r="A20" s="51" t="s">
        <v>148</v>
      </c>
      <c r="B20" s="54">
        <v>38</v>
      </c>
      <c r="C20" s="55"/>
      <c r="E20" s="34" t="s">
        <v>104</v>
      </c>
      <c r="F20" s="1" t="s">
        <v>56</v>
      </c>
      <c r="G20" s="32">
        <v>0</v>
      </c>
      <c r="H20" s="35">
        <f>IF(B$20=0,0,G20/B$20)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IF(B$20=0,0,G21/B$20)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IF(B$20=0,0,G22/B$20)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IF(B$20=0,0,G23/B$20)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IF(B$20=0,0,G24/B$20)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IF(B$20=0,0,G25/B$20)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IF(B$20=0,0,G26/B$20)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IF(B$20=0,0,G27/B$20)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IF(B$20=0,0,G28/B$20)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IF(B$20=0,0,G29/B$20)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18CC1-D4E8-4F79-B694-C89980EB32F8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IF(B$20=0,0,G7/B$20)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IF(B$20=0,0,G8/B$20)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IF(B$20=0,0,G9/B$20)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  <c r="J10" s="31">
        <v>8</v>
      </c>
      <c r="K10" s="36">
        <v>4.2000000000000028</v>
      </c>
    </row>
    <row r="11" spans="1:11" ht="19.5" thickTop="1" x14ac:dyDescent="0.4">
      <c r="A11" s="64" t="s">
        <v>149</v>
      </c>
      <c r="B11" s="65">
        <v>0</v>
      </c>
      <c r="C11" s="66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  <c r="J11" s="31">
        <v>9</v>
      </c>
      <c r="K11" s="36">
        <v>6.8000000000000025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  <c r="J12" s="31">
        <v>10</v>
      </c>
      <c r="K12" s="36">
        <v>56.800000000000004</v>
      </c>
    </row>
    <row r="13" spans="1:11" x14ac:dyDescent="0.4">
      <c r="A13" s="25" t="s">
        <v>10</v>
      </c>
      <c r="B13" s="26">
        <f>B14+B15</f>
        <v>28</v>
      </c>
      <c r="C13" s="29">
        <f>IF(B$3=0,0,B13/B$3)</f>
        <v>0.34146341463414637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  <c r="J13" s="31">
        <v>11</v>
      </c>
      <c r="K13" s="36">
        <v>69.300000000000011</v>
      </c>
    </row>
    <row r="14" spans="1:11" x14ac:dyDescent="0.4">
      <c r="A14" s="31" t="s">
        <v>11</v>
      </c>
      <c r="B14" s="32">
        <v>15</v>
      </c>
      <c r="C14" s="35">
        <f>IF(B$3=0,0,B14/B$3)</f>
        <v>0.18292682926829268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  <c r="J14" s="31">
        <v>12</v>
      </c>
      <c r="K14" s="36">
        <v>80.800000000000011</v>
      </c>
    </row>
    <row r="15" spans="1:11" x14ac:dyDescent="0.4">
      <c r="A15" s="31" t="s">
        <v>12</v>
      </c>
      <c r="B15" s="32">
        <v>13</v>
      </c>
      <c r="C15" s="35">
        <f>IF(B$3=0,0,B15/B$3)</f>
        <v>0.15853658536585366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11</v>
      </c>
      <c r="C16" s="35">
        <f>IF(B$3=0,0,B16/B$3)</f>
        <v>0.13414634146341464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10900</v>
      </c>
      <c r="C17" s="50">
        <v>304000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-9900</v>
      </c>
      <c r="C18" s="58">
        <v>-109200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A08A-A241-4C48-8F17-29720C39AA16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IF(B$20=0,0,G2/B$20)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IF(B$20=0,0,G3/B$20)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IF(B$20=0,0,G4/B$20)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IF(B$20=0,0,G5/B$20)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IF(B$20=0,0,G6/B$20)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IF(B$20=0,0,G7/B$20)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IF(B$20=0,0,G8/B$20)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IF(B$20=0,0,G9/B$20)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IF(B$20=0,0,G10/B$20)</f>
        <v>9.0909090909090912E-2</v>
      </c>
      <c r="J10" s="31">
        <v>8</v>
      </c>
      <c r="K10" s="36">
        <v>-146</v>
      </c>
    </row>
    <row r="11" spans="1:11" ht="19.5" thickTop="1" x14ac:dyDescent="0.4">
      <c r="A11" s="64" t="s">
        <v>149</v>
      </c>
      <c r="B11" s="65">
        <v>39</v>
      </c>
      <c r="C11" s="66">
        <f>IF(B$19=0,0,B11/B$19)</f>
        <v>0.24223602484472051</v>
      </c>
      <c r="E11" s="34" t="s">
        <v>103</v>
      </c>
      <c r="F11" s="1" t="s">
        <v>55</v>
      </c>
      <c r="G11" s="32">
        <v>4</v>
      </c>
      <c r="H11" s="35">
        <f>IF(B$20=0,0,G11/B$20)</f>
        <v>9.0909090909090912E-2</v>
      </c>
      <c r="J11" s="31">
        <v>9</v>
      </c>
      <c r="K11" s="36">
        <v>-173</v>
      </c>
    </row>
    <row r="12" spans="1:11" x14ac:dyDescent="0.4">
      <c r="A12" s="31" t="s">
        <v>144</v>
      </c>
      <c r="B12" s="32">
        <v>37</v>
      </c>
      <c r="C12" s="35">
        <f>IF(B$19=0,0,B12/B$19)</f>
        <v>0.22981366459627328</v>
      </c>
      <c r="E12" s="34" t="s">
        <v>89</v>
      </c>
      <c r="F12" s="1" t="s">
        <v>42</v>
      </c>
      <c r="G12" s="32">
        <v>3</v>
      </c>
      <c r="H12" s="35">
        <f>IF(B$20=0,0,G12/B$20)</f>
        <v>6.8181818181818177E-2</v>
      </c>
      <c r="J12" s="31">
        <v>10</v>
      </c>
      <c r="K12" s="36">
        <v>-206.1</v>
      </c>
    </row>
    <row r="13" spans="1:11" x14ac:dyDescent="0.4">
      <c r="A13" s="25" t="s">
        <v>10</v>
      </c>
      <c r="B13" s="26">
        <f>B14+B15</f>
        <v>54</v>
      </c>
      <c r="C13" s="29">
        <f>IF(B$3=0,0,B13/B$3)</f>
        <v>0.27272727272727271</v>
      </c>
      <c r="E13" s="34" t="s">
        <v>98</v>
      </c>
      <c r="F13" s="1" t="s">
        <v>50</v>
      </c>
      <c r="G13" s="32">
        <v>2</v>
      </c>
      <c r="H13" s="35">
        <f>IF(B$20=0,0,G13/B$20)</f>
        <v>4.5454545454545456E-2</v>
      </c>
      <c r="J13" s="31">
        <v>11</v>
      </c>
      <c r="K13" s="36">
        <v>-174</v>
      </c>
    </row>
    <row r="14" spans="1:11" x14ac:dyDescent="0.4">
      <c r="A14" s="31" t="s">
        <v>11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IF(B$20=0,0,G14/B$20)</f>
        <v>4.5454545454545456E-2</v>
      </c>
      <c r="J14" s="31">
        <v>12</v>
      </c>
      <c r="K14" s="36">
        <v>-197</v>
      </c>
    </row>
    <row r="15" spans="1:11" x14ac:dyDescent="0.4">
      <c r="A15" s="31" t="s">
        <v>12</v>
      </c>
      <c r="B15" s="32">
        <v>27</v>
      </c>
      <c r="C15" s="35">
        <f>IF(B$3=0,0,B15/B$3)</f>
        <v>0.13636363636363635</v>
      </c>
      <c r="E15" s="34" t="s">
        <v>100</v>
      </c>
      <c r="F15" s="1" t="s">
        <v>52</v>
      </c>
      <c r="G15" s="32">
        <v>1</v>
      </c>
      <c r="H15" s="35">
        <f>IF(B$20=0,0,G15/B$20)</f>
        <v>2.2727272727272728E-2</v>
      </c>
      <c r="J15" s="31">
        <v>13</v>
      </c>
      <c r="K15" s="36">
        <v>-235</v>
      </c>
    </row>
    <row r="16" spans="1:11" x14ac:dyDescent="0.4">
      <c r="A16" s="31" t="s">
        <v>13</v>
      </c>
      <c r="B16" s="32">
        <v>41</v>
      </c>
      <c r="C16" s="35">
        <f>IF(B$3=0,0,B16/B$3)</f>
        <v>0.20707070707070707</v>
      </c>
      <c r="E16" s="34" t="s">
        <v>107</v>
      </c>
      <c r="F16" s="1" t="s">
        <v>59</v>
      </c>
      <c r="G16" s="32">
        <v>1</v>
      </c>
      <c r="H16" s="35">
        <f>IF(B$20=0,0,G16/B$20)</f>
        <v>2.2727272727272728E-2</v>
      </c>
      <c r="J16" s="31">
        <v>14</v>
      </c>
      <c r="K16" s="36">
        <v>-231</v>
      </c>
    </row>
    <row r="17" spans="1:11" x14ac:dyDescent="0.4">
      <c r="A17" s="31" t="s">
        <v>5</v>
      </c>
      <c r="B17" s="49">
        <f>IF(B$13=0,0,ROUND(C17/B$13,-2))</f>
        <v>10700</v>
      </c>
      <c r="C17" s="50">
        <v>579400</v>
      </c>
      <c r="E17" s="34" t="s">
        <v>112</v>
      </c>
      <c r="F17" s="1" t="s">
        <v>64</v>
      </c>
      <c r="G17" s="32">
        <v>1</v>
      </c>
      <c r="H17" s="35">
        <f>IF(B$20=0,0,G17/B$20)</f>
        <v>2.2727272727272728E-2</v>
      </c>
      <c r="J17" s="31">
        <v>15</v>
      </c>
      <c r="K17" s="36">
        <v>-212.5</v>
      </c>
    </row>
    <row r="18" spans="1:11" ht="19.5" thickBot="1" x14ac:dyDescent="0.45">
      <c r="A18" s="51" t="s">
        <v>14</v>
      </c>
      <c r="B18" s="52">
        <f>IF(B$16=0,0,ROUND(C18/B$16,-2))</f>
        <v>-9700</v>
      </c>
      <c r="C18" s="58">
        <v>-397600</v>
      </c>
      <c r="E18" s="34" t="s">
        <v>119</v>
      </c>
      <c r="F18" s="1" t="s">
        <v>71</v>
      </c>
      <c r="G18" s="32">
        <v>1</v>
      </c>
      <c r="H18" s="35">
        <f>IF(B$20=0,0,G18/B$20)</f>
        <v>2.2727272727272728E-2</v>
      </c>
      <c r="J18" s="31">
        <v>16</v>
      </c>
      <c r="K18" s="36">
        <v>-233.2</v>
      </c>
    </row>
    <row r="19" spans="1:11" ht="19.5" thickTop="1" x14ac:dyDescent="0.4">
      <c r="A19" s="47" t="s">
        <v>147</v>
      </c>
      <c r="B19" s="48">
        <v>161</v>
      </c>
      <c r="C19" s="29"/>
      <c r="E19" s="34" t="s">
        <v>96</v>
      </c>
      <c r="F19" s="1" t="s">
        <v>48</v>
      </c>
      <c r="G19" s="32">
        <v>0</v>
      </c>
      <c r="H19" s="35">
        <f>IF(B$20=0,0,G19/B$20)</f>
        <v>0</v>
      </c>
      <c r="J19" s="31">
        <v>17</v>
      </c>
      <c r="K19" s="36">
        <v>-268.7</v>
      </c>
    </row>
    <row r="20" spans="1:11" x14ac:dyDescent="0.4">
      <c r="A20" s="51" t="s">
        <v>148</v>
      </c>
      <c r="B20" s="54">
        <v>44</v>
      </c>
      <c r="C20" s="55"/>
      <c r="E20" s="34" t="s">
        <v>99</v>
      </c>
      <c r="F20" s="1" t="s">
        <v>51</v>
      </c>
      <c r="G20" s="32">
        <v>0</v>
      </c>
      <c r="H20" s="35">
        <f>IF(B$20=0,0,G20/B$20)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IF(B$20=0,0,G21/B$20)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IF(B$20=0,0,G22/B$20)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IF(B$20=0,0,G23/B$20)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IF(B$20=0,0,G24/B$20)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IF(B$20=0,0,G25/B$20)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IF(B$20=0,0,G26/B$20)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IF(B$20=0,0,G27/B$20)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IF(B$20=0,0,G28/B$20)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IF(B$20=0,0,G29/B$20)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IF(B$20=0,0,G30/B$20)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IF(B$20=0,0,G31/B$20)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IF(B$20=0,0,G32/B$20)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4" t="s">
        <v>149</v>
      </c>
      <c r="B11" s="65">
        <v>0</v>
      </c>
      <c r="C11" s="66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0</v>
      </c>
      <c r="C13" s="29">
        <f>IF(B$3=0,0,B13/B$3)</f>
        <v>0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0</v>
      </c>
      <c r="C16" s="35">
        <f>IF(B$3=0,0,B16/B$3)</f>
        <v>0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0</v>
      </c>
      <c r="C17" s="50">
        <v>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0</v>
      </c>
      <c r="C18" s="58">
        <v>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dcterms:created xsi:type="dcterms:W3CDTF">2018-11-18T09:24:12Z</dcterms:created>
  <dcterms:modified xsi:type="dcterms:W3CDTF">2018-12-20T11:45:43Z</dcterms:modified>
</cp:coreProperties>
</file>