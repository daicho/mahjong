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"/>
    </mc:Choice>
  </mc:AlternateContent>
  <xr:revisionPtr revIDLastSave="0" documentId="10_ncr:100000_{BF5600AB-CE69-4F2A-A7D5-A6F8293EF039}" xr6:coauthVersionLast="31" xr6:coauthVersionMax="31" xr10:uidLastSave="{00000000-0000-0000-0000-000000000000}"/>
  <bookViews>
    <workbookView xWindow="0" yWindow="0" windowWidth="28800" windowHeight="12285" xr2:uid="{4FDB0271-42AC-4C1F-BA12-2E989A379038}"/>
  </bookViews>
  <sheets>
    <sheet name="ランキング" sheetId="137" r:id="rId1"/>
    <sheet name="だいち" sheetId="1003" r:id="rId2"/>
    <sheet name="りくと" sheetId="1004" r:id="rId3"/>
    <sheet name="いっしー" sheetId="1005" r:id="rId4"/>
    <sheet name="かこたろう" sheetId="1006" r:id="rId5"/>
    <sheet name="ともき" sheetId="1007" r:id="rId6"/>
    <sheet name="がくと" sheetId="1008" r:id="rId7"/>
    <sheet name="たかの" sheetId="1009" r:id="rId8"/>
    <sheet name="ただ" sheetId="1010" r:id="rId9"/>
    <sheet name="やがさき" sheetId="1011" r:id="rId10"/>
    <sheet name="れんたろう" sheetId="1012" r:id="rId11"/>
    <sheet name="Template" sheetId="1" r:id="rId12"/>
  </sheets>
  <functionGroups builtInGroupCount="19"/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6" i="1012" l="1"/>
  <c r="C13" i="1012"/>
  <c r="C12" i="1012"/>
  <c r="B11" i="1012"/>
  <c r="B15" i="1012" s="1"/>
  <c r="C10" i="1012"/>
  <c r="C9" i="1012"/>
  <c r="C8" i="1012"/>
  <c r="C7" i="1012"/>
  <c r="B6" i="1012"/>
  <c r="C14" i="1012" s="1"/>
  <c r="B5" i="1012"/>
  <c r="C11" i="1012" l="1"/>
  <c r="B16" i="1011" l="1"/>
  <c r="C13" i="1011"/>
  <c r="C12" i="1011"/>
  <c r="B11" i="1011"/>
  <c r="B15" i="1011" s="1"/>
  <c r="C10" i="1011"/>
  <c r="C9" i="1011"/>
  <c r="C8" i="1011"/>
  <c r="C7" i="1011"/>
  <c r="B6" i="1011"/>
  <c r="C14" i="1011" s="1"/>
  <c r="B5" i="1011"/>
  <c r="C11" i="1011" l="1"/>
  <c r="B16" i="1010" l="1"/>
  <c r="C13" i="1010"/>
  <c r="C12" i="1010"/>
  <c r="B11" i="1010"/>
  <c r="B15" i="1010" s="1"/>
  <c r="C10" i="1010"/>
  <c r="C9" i="1010"/>
  <c r="C8" i="1010"/>
  <c r="C7" i="1010"/>
  <c r="B6" i="1010"/>
  <c r="C14" i="1010" s="1"/>
  <c r="B5" i="1010"/>
  <c r="B16" i="1009"/>
  <c r="C13" i="1009"/>
  <c r="C12" i="1009"/>
  <c r="B11" i="1009"/>
  <c r="B15" i="1009" s="1"/>
  <c r="C10" i="1009"/>
  <c r="C9" i="1009"/>
  <c r="C8" i="1009"/>
  <c r="C7" i="1009"/>
  <c r="B6" i="1009"/>
  <c r="C14" i="1009" s="1"/>
  <c r="B5" i="1009"/>
  <c r="C11" i="1010" l="1"/>
  <c r="C11" i="1009"/>
  <c r="B16" i="1008" l="1"/>
  <c r="C13" i="1008"/>
  <c r="C12" i="1008"/>
  <c r="B11" i="1008"/>
  <c r="B15" i="1008" s="1"/>
  <c r="C10" i="1008"/>
  <c r="C9" i="1008"/>
  <c r="C8" i="1008"/>
  <c r="C7" i="1008"/>
  <c r="B6" i="1008"/>
  <c r="C14" i="1008" s="1"/>
  <c r="B5" i="1008"/>
  <c r="C11" i="1008" l="1"/>
  <c r="B16" i="1007" l="1"/>
  <c r="C13" i="1007"/>
  <c r="C12" i="1007"/>
  <c r="B11" i="1007"/>
  <c r="B15" i="1007" s="1"/>
  <c r="C10" i="1007"/>
  <c r="C9" i="1007"/>
  <c r="C8" i="1007"/>
  <c r="C7" i="1007"/>
  <c r="B6" i="1007"/>
  <c r="C14" i="1007" s="1"/>
  <c r="B5" i="1007"/>
  <c r="B16" i="1006"/>
  <c r="B15" i="1006"/>
  <c r="C13" i="1006"/>
  <c r="C12" i="1006"/>
  <c r="B11" i="1006"/>
  <c r="C11" i="1006" s="1"/>
  <c r="C10" i="1006"/>
  <c r="C9" i="1006"/>
  <c r="C8" i="1006"/>
  <c r="C7" i="1006"/>
  <c r="B6" i="1006"/>
  <c r="C14" i="1006" s="1"/>
  <c r="B5" i="1006"/>
  <c r="C11" i="1007" l="1"/>
  <c r="B16" i="1005" l="1"/>
  <c r="C13" i="1005"/>
  <c r="C12" i="1005"/>
  <c r="B11" i="1005"/>
  <c r="B15" i="1005" s="1"/>
  <c r="C10" i="1005"/>
  <c r="C9" i="1005"/>
  <c r="C8" i="1005"/>
  <c r="C7" i="1005"/>
  <c r="B6" i="1005"/>
  <c r="C14" i="1005" s="1"/>
  <c r="B5" i="1005"/>
  <c r="B16" i="1004"/>
  <c r="C13" i="1004"/>
  <c r="C12" i="1004"/>
  <c r="B11" i="1004"/>
  <c r="C11" i="1004" s="1"/>
  <c r="C10" i="1004"/>
  <c r="C9" i="1004"/>
  <c r="C8" i="1004"/>
  <c r="C7" i="1004"/>
  <c r="B6" i="1004"/>
  <c r="C14" i="1004" s="1"/>
  <c r="B5" i="1004"/>
  <c r="B16" i="1003"/>
  <c r="C13" i="1003"/>
  <c r="C12" i="1003"/>
  <c r="B11" i="1003"/>
  <c r="B15" i="1003" s="1"/>
  <c r="C10" i="1003"/>
  <c r="C9" i="1003"/>
  <c r="C8" i="1003"/>
  <c r="C7" i="1003"/>
  <c r="B6" i="1003"/>
  <c r="C14" i="1003" s="1"/>
  <c r="B5" i="1003"/>
  <c r="C11" i="1005" l="1"/>
  <c r="B15" i="1004"/>
  <c r="C11" i="1003"/>
  <c r="C14" i="1" l="1"/>
  <c r="C11" i="1"/>
  <c r="C10" i="1" l="1"/>
  <c r="C7" i="1"/>
  <c r="C9" i="1" l="1"/>
  <c r="C8" i="1" l="1"/>
  <c r="B16" i="1" l="1"/>
  <c r="B15" i="1"/>
  <c r="B11" i="1" l="1"/>
  <c r="C12" i="1" l="1"/>
  <c r="C13" i="1"/>
  <c r="B5" i="1"/>
  <c r="B6" i="1"/>
</calcChain>
</file>

<file path=xl/sharedStrings.xml><?xml version="1.0" encoding="utf-8"?>
<sst xmlns="http://schemas.openxmlformats.org/spreadsheetml/2006/main" count="285" uniqueCount="40">
  <si>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</si>
  <si>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</si>
  <si>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</si>
  <si>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</si>
  <si>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</si>
  <si>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</si>
  <si>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</si>
  <si>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</si>
  <si>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</si>
  <si>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</si>
  <si>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</si>
  <si>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</si>
  <si>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</si>
  <si>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</si>
  <si>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</si>
  <si>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だいち</t>
    <phoneticPr fontId="1"/>
  </si>
  <si>
    <t>たかの</t>
    <phoneticPr fontId="1"/>
  </si>
  <si>
    <t>ただ</t>
    <phoneticPr fontId="1"/>
  </si>
  <si>
    <t>ともき</t>
  </si>
  <si>
    <t>りくと</t>
    <phoneticPr fontId="1"/>
  </si>
  <si>
    <t>いっしー</t>
    <phoneticPr fontId="1"/>
  </si>
  <si>
    <t>がくと</t>
  </si>
  <si>
    <t>トップ率</t>
    <rPh sb="3" eb="4">
      <t>リツ</t>
    </rPh>
    <phoneticPr fontId="1"/>
  </si>
  <si>
    <t>平均順位</t>
    <rPh sb="0" eb="4">
      <t>ヘイキン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</si>
  <si>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</si>
  <si>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</si>
  <si>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だいち</t>
  </si>
  <si>
    <t>りくと</t>
  </si>
  <si>
    <t>いっしー</t>
  </si>
  <si>
    <t>れんたろう</t>
  </si>
  <si>
    <t>たかの</t>
  </si>
  <si>
    <t>ただ</t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</si>
  <si>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</si>
  <si>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</si>
  <si>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</si>
  <si>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やがさき</t>
  </si>
  <si>
    <t>やがさき</t>
    <phoneticPr fontId="1"/>
  </si>
  <si>
    <t>かこたろう</t>
  </si>
  <si>
    <t>かこたろう</t>
    <phoneticPr fontId="1"/>
  </si>
  <si>
    <t>れんたろう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</si>
</sst>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0\ &quot;回&quot;"/>
    <numFmt numFmtId="177" formatCode="\+0;\-0;\±0"/>
    <numFmt numFmtId="178" formatCode="0.0\ &quot;位&quot;"/>
    <numFmt numFmtId="179" formatCode="\+0.0;\-0.0;\±0"/>
    <numFmt numFmtId="180" formatCode="0&quot;位&quot;"/>
    <numFmt numFmtId="181" formatCode="0.00\ &quot;位&quot;"/>
  </numFmts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24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 style="double">
        <color auto="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double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double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double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double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double">
        <color indexed="64"/>
      </bottom>
      <diagonal/>
    </border>
  </borders>
  <cellStyleXfs count="1">
    <xf numFmtId="0" fontId="0" fillId="0" borderId="0">
      <alignment vertical="center"/>
    </xf>
  </cellStyleXfs>
  <cellXfs count="42">
    <xf numFmtId="0" fontId="0" fillId="0" borderId="0" xfId="0">
      <alignment vertical="center"/>
    </xf>
    <xf numFmtId="176" fontId="0" fillId="0" borderId="1" xfId="0" applyNumberFormat="1" applyBorder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9" fontId="0" fillId="0" borderId="4" xfId="0" applyNumberForma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76" fontId="0" fillId="0" borderId="7" xfId="0" applyNumberFormat="1" applyBorder="1" applyAlignment="1">
      <alignment horizontal="center" vertical="center"/>
    </xf>
    <xf numFmtId="179" fontId="0" fillId="0" borderId="1" xfId="0" applyNumberFormat="1" applyBorder="1" applyAlignment="1">
      <alignment horizontal="center" vertical="center"/>
    </xf>
    <xf numFmtId="176" fontId="0" fillId="0" borderId="8" xfId="0" applyNumberFormat="1" applyBorder="1" applyAlignment="1">
      <alignment horizontal="center" vertical="center"/>
    </xf>
    <xf numFmtId="176" fontId="0" fillId="0" borderId="4" xfId="0" applyNumberFormat="1" applyBorder="1" applyAlignment="1">
      <alignment horizontal="center" vertical="center"/>
    </xf>
    <xf numFmtId="177" fontId="0" fillId="0" borderId="4" xfId="0" applyNumberFormat="1" applyBorder="1" applyAlignment="1">
      <alignment horizontal="center" vertical="center"/>
    </xf>
    <xf numFmtId="179" fontId="0" fillId="0" borderId="4" xfId="0" applyNumberFormat="1" applyBorder="1" applyAlignment="1">
      <alignment horizontal="center" vertical="center"/>
    </xf>
    <xf numFmtId="178" fontId="0" fillId="0" borderId="4" xfId="0" applyNumberFormat="1" applyBorder="1" applyAlignment="1">
      <alignment horizontal="center" vertical="center"/>
    </xf>
    <xf numFmtId="9" fontId="0" fillId="0" borderId="8" xfId="0" applyNumberFormat="1" applyBorder="1" applyAlignment="1">
      <alignment horizontal="center" vertical="center"/>
    </xf>
    <xf numFmtId="1" fontId="2" fillId="0" borderId="4" xfId="0" applyNumberFormat="1" applyFon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 shrinkToFit="1"/>
    </xf>
    <xf numFmtId="1" fontId="0" fillId="0" borderId="10" xfId="0" applyNumberFormat="1" applyBorder="1" applyAlignment="1">
      <alignment horizontal="center" vertical="center" shrinkToFit="1"/>
    </xf>
    <xf numFmtId="9" fontId="0" fillId="0" borderId="10" xfId="0" applyNumberFormat="1" applyBorder="1" applyAlignment="1">
      <alignment horizontal="center" vertical="center"/>
    </xf>
    <xf numFmtId="9" fontId="0" fillId="0" borderId="10" xfId="0" applyNumberFormat="1" applyBorder="1" applyAlignment="1">
      <alignment horizontal="center" vertical="center" shrinkToFit="1"/>
    </xf>
    <xf numFmtId="179" fontId="0" fillId="0" borderId="10" xfId="0" applyNumberFormat="1" applyBorder="1" applyAlignment="1">
      <alignment horizontal="center" vertical="center" shrinkToFit="1"/>
    </xf>
    <xf numFmtId="177" fontId="0" fillId="0" borderId="10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0" fontId="0" fillId="0" borderId="11" xfId="0" applyBorder="1" applyAlignment="1">
      <alignment horizontal="center" vertical="center"/>
    </xf>
    <xf numFmtId="176" fontId="0" fillId="0" borderId="12" xfId="0" applyNumberFormat="1" applyBorder="1" applyAlignment="1">
      <alignment horizontal="center" vertical="center"/>
    </xf>
    <xf numFmtId="9" fontId="0" fillId="0" borderId="13" xfId="0" applyNumberFormat="1" applyBorder="1" applyAlignment="1">
      <alignment horizontal="center" vertical="center"/>
    </xf>
    <xf numFmtId="181" fontId="0" fillId="0" borderId="1" xfId="0" applyNumberFormat="1" applyBorder="1" applyAlignment="1">
      <alignment horizontal="center" vertical="center"/>
    </xf>
    <xf numFmtId="181" fontId="0" fillId="0" borderId="10" xfId="0" applyNumberFormat="1" applyBorder="1" applyAlignment="1">
      <alignment horizontal="center" vertical="center" shrinkToFit="1"/>
    </xf>
    <xf numFmtId="0" fontId="0" fillId="0" borderId="17" xfId="0" applyBorder="1" applyAlignment="1">
      <alignment horizontal="center" vertical="center" shrinkToFit="1"/>
    </xf>
    <xf numFmtId="180" fontId="0" fillId="0" borderId="16" xfId="0" applyNumberFormat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176" fontId="0" fillId="0" borderId="22" xfId="0" applyNumberFormat="1" applyBorder="1" applyAlignment="1">
      <alignment horizontal="center" vertical="center"/>
    </xf>
    <xf numFmtId="9" fontId="0" fillId="0" borderId="23" xfId="0" applyNumberFormat="1" applyBorder="1" applyAlignment="1">
      <alignment horizontal="center" vertical="center"/>
    </xf>
    <xf numFmtId="0" fontId="0" fillId="0" borderId="14" xfId="0" applyNumberFormat="1" applyBorder="1" applyAlignment="1">
      <alignment horizontal="center" vertical="center" shrinkToFit="1"/>
    </xf>
    <xf numFmtId="0" fontId="0" fillId="0" borderId="15" xfId="0" applyNumberFormat="1" applyBorder="1" applyAlignment="1">
      <alignment horizontal="center" vertical="center" shrinkToFit="1"/>
    </xf>
    <xf numFmtId="0" fontId="0" fillId="0" borderId="19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BFBAE8-7975-4487-BE4E-B4F3D1444D59}">
  <sheetPr codeName="Sheet10"/>
  <dimension ref="A1:S11"/>
  <sheetViews>
    <sheetView showGridLines="0" tabSelected="1" zoomScale="200" zoomScaleNormal="200" workbookViewId="0"/>
  </sheetViews>
  <sheetFormatPr defaultRowHeight="18.75" x14ac:dyDescent="0.4"/>
  <cols>
    <col min="1" max="1" width="6" style="33" customWidth="1"/>
    <col min="2" max="2" width="10.75" style="32" customWidth="1"/>
    <col min="3" max="3" width="10.75" style="25" customWidth="1"/>
    <col min="4" max="4" width="10.75" style="20" customWidth="1"/>
    <col min="5" max="5" width="10.75" style="24" customWidth="1"/>
    <col min="6" max="6" width="10.75" style="20" customWidth="1"/>
    <col min="7" max="7" width="10.75" style="31" customWidth="1"/>
    <col min="8" max="8" width="10.75" style="20" customWidth="1"/>
    <col min="9" max="9" width="10.75" style="23" customWidth="1"/>
    <col min="10" max="10" width="10.75" style="20" customWidth="1"/>
    <col min="11" max="11" width="10.75" style="23" customWidth="1"/>
    <col min="12" max="12" width="10.75" style="20" customWidth="1"/>
    <col min="13" max="13" width="10.75" style="22" customWidth="1"/>
    <col min="14" max="14" width="10.75" style="20" customWidth="1"/>
    <col min="15" max="15" width="10.75" style="22" customWidth="1"/>
    <col min="16" max="16" width="10.75" style="20" customWidth="1"/>
    <col min="17" max="17" width="10.75" style="21" customWidth="1"/>
    <col min="18" max="18" width="10.75" style="20" customWidth="1"/>
    <col min="19" max="19" width="10.75" style="21" customWidth="1"/>
    <col min="20" max="16384" width="9" style="26"/>
  </cols>
  <sheetData>
    <row r="1" spans="1:19" x14ac:dyDescent="0.4">
      <c r="B1" s="38" t="s">
        <v>6</v>
      </c>
      <c r="C1" s="39"/>
      <c r="D1" s="38" t="s">
        <v>7</v>
      </c>
      <c r="E1" s="39"/>
      <c r="F1" s="38" t="s">
        <v>23</v>
      </c>
      <c r="G1" s="39"/>
      <c r="H1" s="38" t="s">
        <v>22</v>
      </c>
      <c r="I1" s="39"/>
      <c r="J1" s="38" t="s">
        <v>33</v>
      </c>
      <c r="K1" s="39"/>
      <c r="L1" s="38" t="s">
        <v>24</v>
      </c>
      <c r="M1" s="39"/>
      <c r="N1" s="38" t="s">
        <v>25</v>
      </c>
      <c r="O1" s="39"/>
      <c r="P1" s="38" t="s">
        <v>5</v>
      </c>
      <c r="Q1" s="39"/>
      <c r="R1" s="38" t="s">
        <v>32</v>
      </c>
      <c r="S1" s="39"/>
    </row>
    <row r="2" spans="1:19" x14ac:dyDescent="0.4">
      <c r="A2" s="33">
        <v>1</v>
      </c>
      <c r="B2" s="32" t="s">
        <v>28</v>
      </c>
      <c r="C2" s="25">
        <v>228</v>
      </c>
      <c r="D2" s="20" t="s">
        <v>18</v>
      </c>
      <c r="E2" s="24">
        <v>7</v>
      </c>
      <c r="F2" s="20" t="s">
        <v>35</v>
      </c>
      <c r="G2" s="31">
        <v>1.75</v>
      </c>
      <c r="H2" s="20" t="s">
        <v>35</v>
      </c>
      <c r="I2" s="23">
        <v>0.5</v>
      </c>
      <c r="J2" s="20" t="s">
        <v>18</v>
      </c>
      <c r="K2" s="23">
        <v>0</v>
      </c>
      <c r="L2" s="20" t="s">
        <v>18</v>
      </c>
      <c r="M2" s="22">
        <v>0.4</v>
      </c>
      <c r="N2" s="20" t="s">
        <v>18</v>
      </c>
      <c r="O2" s="22">
        <v>0.5</v>
      </c>
      <c r="P2" s="20" t="s">
        <v>27</v>
      </c>
      <c r="Q2" s="21">
        <v>11600</v>
      </c>
      <c r="R2" s="20" t="s">
        <v>30</v>
      </c>
      <c r="S2" s="21">
        <v>-8000</v>
      </c>
    </row>
    <row r="3" spans="1:19" x14ac:dyDescent="0.4">
      <c r="A3" s="33">
        <v>2</v>
      </c>
      <c r="B3" s="32" t="s">
        <v>26</v>
      </c>
      <c r="C3" s="25">
        <v>226</v>
      </c>
      <c r="D3" s="20" t="s">
        <v>35</v>
      </c>
      <c r="E3" s="24">
        <v>6.916666666666667</v>
      </c>
      <c r="F3" s="20" t="s">
        <v>28</v>
      </c>
      <c r="G3" s="31">
        <v>1.8461538461538463</v>
      </c>
      <c r="H3" s="20" t="s">
        <v>26</v>
      </c>
      <c r="I3" s="23">
        <v>0.36</v>
      </c>
      <c r="J3" s="20" t="s">
        <v>31</v>
      </c>
      <c r="K3" s="23">
        <v>0.12</v>
      </c>
      <c r="L3" s="20" t="s">
        <v>28</v>
      </c>
      <c r="M3" s="22">
        <v>0.35661764705882354</v>
      </c>
      <c r="N3" s="20" t="s">
        <v>21</v>
      </c>
      <c r="O3" s="22">
        <v>1</v>
      </c>
      <c r="P3" s="20" t="s">
        <v>29</v>
      </c>
      <c r="Q3" s="21">
        <v>11600</v>
      </c>
      <c r="R3" s="20" t="s">
        <v>37</v>
      </c>
      <c r="S3" s="21">
        <v>-8200</v>
      </c>
    </row>
    <row r="4" spans="1:19" x14ac:dyDescent="0.4">
      <c r="A4" s="33">
        <v>3</v>
      </c>
      <c r="B4" s="32" t="s">
        <v>31</v>
      </c>
      <c r="C4" s="25">
        <v>117</v>
      </c>
      <c r="D4" s="20" t="s">
        <v>28</v>
      </c>
      <c r="E4" s="24">
        <v>5.8461538461538458</v>
      </c>
      <c r="F4" s="20" t="s">
        <v>26</v>
      </c>
      <c r="G4" s="31">
        <v>1.9066666666666667</v>
      </c>
      <c r="H4" s="20" t="s">
        <v>31</v>
      </c>
      <c r="I4" s="23">
        <v>0.36</v>
      </c>
      <c r="J4" s="20" t="s">
        <v>28</v>
      </c>
      <c r="K4" s="23">
        <v>0.12820512820512819</v>
      </c>
      <c r="L4" s="20" t="s">
        <v>26</v>
      </c>
      <c r="M4" s="22">
        <v>0.34280303030303028</v>
      </c>
      <c r="N4" s="20" t="s">
        <v>37</v>
      </c>
      <c r="O4" s="22">
        <v>3.3333333333333335</v>
      </c>
      <c r="P4" s="20" t="s">
        <v>30</v>
      </c>
      <c r="Q4" s="21">
        <v>11300</v>
      </c>
      <c r="R4" s="20" t="s">
        <v>21</v>
      </c>
      <c r="S4" s="21">
        <v>-8500</v>
      </c>
    </row>
    <row r="5" spans="1:19" x14ac:dyDescent="0.4">
      <c r="A5" s="33">
        <v>4</v>
      </c>
      <c r="B5" s="32" t="s">
        <v>35</v>
      </c>
      <c r="C5" s="25">
        <v>83</v>
      </c>
      <c r="D5" s="20" t="s">
        <v>31</v>
      </c>
      <c r="E5" s="24">
        <v>4.68</v>
      </c>
      <c r="F5" s="20" t="s">
        <v>31</v>
      </c>
      <c r="G5" s="31">
        <v>1.92</v>
      </c>
      <c r="H5" s="20" t="s">
        <v>28</v>
      </c>
      <c r="I5" s="23">
        <v>0.35897435897435898</v>
      </c>
      <c r="J5" s="20" t="s">
        <v>26</v>
      </c>
      <c r="K5" s="23">
        <v>0.13333333333333333</v>
      </c>
      <c r="L5" s="20" t="s">
        <v>35</v>
      </c>
      <c r="M5" s="22">
        <v>0.34146341463414637</v>
      </c>
      <c r="N5" s="20" t="s">
        <v>29</v>
      </c>
      <c r="O5" s="22">
        <v>6.1111111111111107</v>
      </c>
      <c r="P5" s="20" t="s">
        <v>31</v>
      </c>
      <c r="Q5" s="21">
        <v>11300</v>
      </c>
      <c r="R5" s="20" t="s">
        <v>31</v>
      </c>
      <c r="S5" s="21">
        <v>-9400</v>
      </c>
    </row>
    <row r="6" spans="1:19" x14ac:dyDescent="0.4">
      <c r="A6" s="33">
        <v>5</v>
      </c>
      <c r="B6" s="32" t="s">
        <v>18</v>
      </c>
      <c r="C6" s="25">
        <v>7</v>
      </c>
      <c r="D6" s="20" t="s">
        <v>26</v>
      </c>
      <c r="E6" s="24">
        <v>3.0133333333333332</v>
      </c>
      <c r="F6" s="20" t="s">
        <v>18</v>
      </c>
      <c r="G6" s="31">
        <v>2</v>
      </c>
      <c r="H6" s="20" t="s">
        <v>30</v>
      </c>
      <c r="I6" s="23">
        <v>0.32</v>
      </c>
      <c r="J6" s="20" t="s">
        <v>30</v>
      </c>
      <c r="K6" s="23">
        <v>0.16</v>
      </c>
      <c r="L6" s="20" t="s">
        <v>31</v>
      </c>
      <c r="M6" s="22">
        <v>0.30054644808743169</v>
      </c>
      <c r="N6" s="20" t="s">
        <v>35</v>
      </c>
      <c r="O6" s="22">
        <v>6.2857142857142856</v>
      </c>
      <c r="P6" s="20" t="s">
        <v>35</v>
      </c>
      <c r="Q6" s="21">
        <v>10900</v>
      </c>
      <c r="R6" s="20" t="s">
        <v>28</v>
      </c>
      <c r="S6" s="21">
        <v>-9600</v>
      </c>
    </row>
    <row r="7" spans="1:19" x14ac:dyDescent="0.4">
      <c r="A7" s="33">
        <v>6</v>
      </c>
      <c r="B7" s="32" t="s">
        <v>30</v>
      </c>
      <c r="C7" s="25">
        <v>0</v>
      </c>
      <c r="D7" s="20" t="s">
        <v>30</v>
      </c>
      <c r="E7" s="24">
        <v>0</v>
      </c>
      <c r="F7" s="20" t="s">
        <v>21</v>
      </c>
      <c r="G7" s="31">
        <v>2</v>
      </c>
      <c r="H7" s="20" t="s">
        <v>27</v>
      </c>
      <c r="I7" s="23">
        <v>0.29268292682926828</v>
      </c>
      <c r="J7" s="20" t="s">
        <v>35</v>
      </c>
      <c r="K7" s="23">
        <v>0.25</v>
      </c>
      <c r="L7" s="20" t="s">
        <v>30</v>
      </c>
      <c r="M7" s="22">
        <v>0.2857142857142857</v>
      </c>
      <c r="N7" s="20" t="s">
        <v>31</v>
      </c>
      <c r="O7" s="22">
        <v>14.0625</v>
      </c>
      <c r="P7" s="20" t="s">
        <v>26</v>
      </c>
      <c r="Q7" s="21">
        <v>10100</v>
      </c>
      <c r="R7" s="20" t="s">
        <v>35</v>
      </c>
      <c r="S7" s="21">
        <v>-9900</v>
      </c>
    </row>
    <row r="8" spans="1:19" x14ac:dyDescent="0.4">
      <c r="A8" s="33">
        <v>7</v>
      </c>
      <c r="B8" s="32" t="s">
        <v>21</v>
      </c>
      <c r="C8" s="25">
        <v>-41</v>
      </c>
      <c r="D8" s="20" t="s">
        <v>27</v>
      </c>
      <c r="E8" s="24">
        <v>-7.8292682926829267</v>
      </c>
      <c r="F8" s="20" t="s">
        <v>30</v>
      </c>
      <c r="G8" s="31">
        <v>2.04</v>
      </c>
      <c r="H8" s="20" t="s">
        <v>29</v>
      </c>
      <c r="I8" s="23">
        <v>0.18181818181818182</v>
      </c>
      <c r="J8" s="20" t="s">
        <v>27</v>
      </c>
      <c r="K8" s="23">
        <v>0.31707317073170732</v>
      </c>
      <c r="L8" s="20" t="s">
        <v>29</v>
      </c>
      <c r="M8" s="22">
        <v>0.24285714285714285</v>
      </c>
      <c r="N8" s="20" t="s">
        <v>30</v>
      </c>
      <c r="O8" s="22">
        <v>19.117647058823529</v>
      </c>
      <c r="P8" s="20" t="s">
        <v>28</v>
      </c>
      <c r="Q8" s="21">
        <v>9600</v>
      </c>
      <c r="R8" s="20" t="s">
        <v>26</v>
      </c>
      <c r="S8" s="21">
        <v>-10600</v>
      </c>
    </row>
    <row r="9" spans="1:19" x14ac:dyDescent="0.4">
      <c r="A9" s="33">
        <v>8</v>
      </c>
      <c r="B9" s="32" t="s">
        <v>37</v>
      </c>
      <c r="C9" s="25">
        <v>-132</v>
      </c>
      <c r="D9" s="20" t="s">
        <v>29</v>
      </c>
      <c r="E9" s="24">
        <v>-15.545454545454545</v>
      </c>
      <c r="F9" s="20" t="s">
        <v>27</v>
      </c>
      <c r="G9" s="31">
        <v>2.1951219512195124</v>
      </c>
      <c r="H9" s="20" t="s">
        <v>37</v>
      </c>
      <c r="I9" s="23">
        <v>0</v>
      </c>
      <c r="J9" s="20" t="s">
        <v>29</v>
      </c>
      <c r="K9" s="23">
        <v>0.36363636363636365</v>
      </c>
      <c r="L9" s="20" t="s">
        <v>27</v>
      </c>
      <c r="M9" s="22">
        <v>0.22184300341296928</v>
      </c>
      <c r="N9" s="20" t="s">
        <v>28</v>
      </c>
      <c r="O9" s="22">
        <v>19.5</v>
      </c>
      <c r="P9" s="20" t="s">
        <v>18</v>
      </c>
      <c r="Q9" s="21">
        <v>8000</v>
      </c>
      <c r="R9" s="20" t="s">
        <v>27</v>
      </c>
      <c r="S9" s="21">
        <v>-10700</v>
      </c>
    </row>
    <row r="10" spans="1:19" x14ac:dyDescent="0.4">
      <c r="A10" s="33">
        <v>9</v>
      </c>
      <c r="B10" s="32" t="s">
        <v>29</v>
      </c>
      <c r="C10" s="25">
        <v>-171</v>
      </c>
      <c r="D10" s="20" t="s">
        <v>37</v>
      </c>
      <c r="E10" s="24">
        <v>-33</v>
      </c>
      <c r="F10" s="20" t="s">
        <v>29</v>
      </c>
      <c r="G10" s="31">
        <v>2.4545454545454546</v>
      </c>
      <c r="H10" s="20" t="s">
        <v>18</v>
      </c>
      <c r="I10" s="23">
        <v>0</v>
      </c>
      <c r="J10" s="20" t="s">
        <v>37</v>
      </c>
      <c r="K10" s="23">
        <v>0.5</v>
      </c>
      <c r="L10" s="20" t="s">
        <v>21</v>
      </c>
      <c r="M10" s="22">
        <v>0.16666666666666666</v>
      </c>
      <c r="N10" s="20" t="s">
        <v>27</v>
      </c>
      <c r="O10" s="22">
        <v>30.522222222222219</v>
      </c>
      <c r="P10" s="20" t="s">
        <v>37</v>
      </c>
      <c r="Q10" s="21">
        <v>7800</v>
      </c>
      <c r="R10" s="20" t="s">
        <v>29</v>
      </c>
      <c r="S10" s="21">
        <v>-10800</v>
      </c>
    </row>
    <row r="11" spans="1:19" x14ac:dyDescent="0.4">
      <c r="A11" s="33">
        <v>10</v>
      </c>
      <c r="B11" s="32" t="s">
        <v>27</v>
      </c>
      <c r="C11" s="25">
        <v>-321</v>
      </c>
      <c r="D11" s="20" t="s">
        <v>21</v>
      </c>
      <c r="E11" s="24">
        <v>-41</v>
      </c>
      <c r="F11" s="20" t="s">
        <v>37</v>
      </c>
      <c r="G11" s="31">
        <v>3</v>
      </c>
      <c r="H11" s="20" t="s">
        <v>21</v>
      </c>
      <c r="I11" s="23">
        <v>0</v>
      </c>
      <c r="J11" s="20" t="s">
        <v>21</v>
      </c>
      <c r="K11" s="23">
        <v>1</v>
      </c>
      <c r="L11" s="20" t="s">
        <v>37</v>
      </c>
      <c r="M11" s="22">
        <v>0.04</v>
      </c>
      <c r="N11" s="20" t="s">
        <v>26</v>
      </c>
      <c r="O11" s="22">
        <v>43.531468531468533</v>
      </c>
      <c r="P11" s="20" t="s">
        <v>21</v>
      </c>
      <c r="Q11" s="21">
        <v>1300</v>
      </c>
      <c r="R11" s="20" t="s">
        <v>18</v>
      </c>
      <c r="S11" s="21">
        <v>-12000</v>
      </c>
    </row>
  </sheetData>
  <sortState ref="R3:S28">
    <sortCondition descending="1" ref="S1"/>
  </sortState>
  <mergeCells count="9">
    <mergeCell ref="D1:E1"/>
    <mergeCell ref="B1:C1"/>
    <mergeCell ref="R1:S1"/>
    <mergeCell ref="P1:Q1"/>
    <mergeCell ref="N1:O1"/>
    <mergeCell ref="L1:M1"/>
    <mergeCell ref="J1:K1"/>
    <mergeCell ref="H1:I1"/>
    <mergeCell ref="F1:G1"/>
  </mergeCells>
  <phoneticPr fontId="1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FD28C3-60DA-4D0D-B07B-18AFE52BD157}">
  <sheetPr codeName="Sheet2"/>
  <dimension ref="A1:C16"/>
  <sheetViews>
    <sheetView showGridLines="0" zoomScale="200" zoomScaleNormal="200" workbookViewId="0"/>
  </sheetViews>
  <sheetFormatPr defaultRowHeight="18.75" x14ac:dyDescent="0.4"/>
  <cols>
    <col min="1" max="1" width="13" style="3" customWidth="1"/>
    <col min="2" max="3" width="10.75" style="3" customWidth="1"/>
    <col min="4" max="16384" width="9" style="3"/>
  </cols>
  <sheetData>
    <row r="1" spans="1:3" ht="19.5" thickBot="1" x14ac:dyDescent="0.45">
      <c r="A1" s="34" t="s">
        <v>0</v>
      </c>
      <c r="B1" s="40" t="s">
        <v>15</v>
      </c>
      <c r="C1" s="41"/>
    </row>
    <row r="2" spans="1:3" ht="19.5" thickTop="1" x14ac:dyDescent="0.4">
      <c r="A2" s="4" t="s">
        <v>9</v>
      </c>
      <c r="B2" s="9">
        <v>75</v>
      </c>
      <c r="C2" s="11"/>
    </row>
    <row r="3" spans="1:3" x14ac:dyDescent="0.4">
      <c r="A3" s="5" t="s">
        <v>8</v>
      </c>
      <c r="B3" s="1">
        <v>528</v>
      </c>
      <c r="C3" s="12"/>
    </row>
    <row r="4" spans="1:3" x14ac:dyDescent="0.4">
      <c r="A4" s="5" t="s">
        <v>6</v>
      </c>
      <c r="B4" s="2">
        <v>226</v>
      </c>
      <c r="C4" s="13"/>
    </row>
    <row r="5" spans="1:3" x14ac:dyDescent="0.4">
      <c r="A5" s="5" t="s">
        <v>7</v>
      </c>
      <c r="B5" s="10">
        <f>B4/B2</f>
        <v>3.0133333333333332</v>
      </c>
      <c r="C5" s="14"/>
    </row>
    <row r="6" spans="1:3" x14ac:dyDescent="0.4">
      <c r="A6" s="5" t="s">
        <v>1</v>
      </c>
      <c r="B6" s="30">
        <f>(B7*1+B8*2+B9*3)/B2</f>
        <v>1.9066666666666667</v>
      </c>
      <c r="C6" s="15"/>
    </row>
    <row r="7" spans="1:3" x14ac:dyDescent="0.4">
      <c r="A7" s="5" t="s">
        <v>2</v>
      </c>
      <c r="B7" s="1">
        <v>27</v>
      </c>
      <c r="C7" s="6">
        <f>B7/B2</f>
        <v>0.36</v>
      </c>
    </row>
    <row r="8" spans="1:3" x14ac:dyDescent="0.4">
      <c r="A8" s="5" t="s">
        <v>3</v>
      </c>
      <c r="B8" s="1">
        <v>28</v>
      </c>
      <c r="C8" s="6">
        <f>B8/B2</f>
        <v>0.37333333333333335</v>
      </c>
    </row>
    <row r="9" spans="1:3" x14ac:dyDescent="0.4">
      <c r="A9" s="27" t="s">
        <v>4</v>
      </c>
      <c r="B9" s="28">
        <v>20</v>
      </c>
      <c r="C9" s="29">
        <f>B9/B2</f>
        <v>0.26666666666666666</v>
      </c>
    </row>
    <row r="10" spans="1:3" ht="19.5" thickBot="1" x14ac:dyDescent="0.45">
      <c r="A10" s="35" t="s">
        <v>34</v>
      </c>
      <c r="B10" s="36">
        <v>10</v>
      </c>
      <c r="C10" s="37">
        <f>B10/B2</f>
        <v>0.13333333333333333</v>
      </c>
    </row>
    <row r="11" spans="1:3" ht="19.5" thickTop="1" x14ac:dyDescent="0.4">
      <c r="A11" s="4" t="s">
        <v>10</v>
      </c>
      <c r="B11" s="9">
        <f>B12+B13</f>
        <v>181</v>
      </c>
      <c r="C11" s="16">
        <f>B11/B3</f>
        <v>0.34280303030303028</v>
      </c>
    </row>
    <row r="12" spans="1:3" x14ac:dyDescent="0.4">
      <c r="A12" s="5" t="s">
        <v>11</v>
      </c>
      <c r="B12" s="1">
        <v>116</v>
      </c>
      <c r="C12" s="6">
        <f>B12/B3</f>
        <v>0.2196969696969697</v>
      </c>
    </row>
    <row r="13" spans="1:3" x14ac:dyDescent="0.4">
      <c r="A13" s="5" t="s">
        <v>12</v>
      </c>
      <c r="B13" s="1">
        <v>65</v>
      </c>
      <c r="C13" s="6">
        <f>B13/B3</f>
        <v>0.12310606060606061</v>
      </c>
    </row>
    <row r="14" spans="1:3" x14ac:dyDescent="0.4">
      <c r="A14" s="5" t="s">
        <v>13</v>
      </c>
      <c r="B14" s="1">
        <v>83</v>
      </c>
      <c r="C14" s="6">
        <f>B14/B6</f>
        <v>43.531468531468533</v>
      </c>
    </row>
    <row r="15" spans="1:3" x14ac:dyDescent="0.4">
      <c r="A15" s="5" t="s">
        <v>5</v>
      </c>
      <c r="B15" s="8">
        <f>IF(B11=0,0,ROUND(C15/B11,-2))</f>
        <v>10100</v>
      </c>
      <c r="C15" s="17">
        <v>1832700</v>
      </c>
    </row>
    <row r="16" spans="1:3" x14ac:dyDescent="0.4">
      <c r="A16" s="7" t="s">
        <v>14</v>
      </c>
      <c r="B16" s="18">
        <f>IF(B14=0,0,ROUND(C16/B14,-2))</f>
        <v>-10600</v>
      </c>
      <c r="C16" s="19">
        <v>-876500</v>
      </c>
    </row>
  </sheetData>
  <mergeCells count="1">
    <mergeCell ref="B1:C1"/>
  </mergeCells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0D5439-DE12-477F-821F-C258EF9D53A9}">
  <sheetPr codeName="Sheet3"/>
  <dimension ref="A1:C16"/>
  <sheetViews>
    <sheetView showGridLines="0" zoomScale="200" zoomScaleNormal="200" workbookViewId="0"/>
  </sheetViews>
  <sheetFormatPr defaultRowHeight="18.75" x14ac:dyDescent="0.4"/>
  <cols>
    <col min="1" max="1" width="13" style="3" customWidth="1"/>
    <col min="2" max="3" width="10.75" style="3" customWidth="1"/>
    <col min="4" max="16384" width="9" style="3"/>
  </cols>
  <sheetData>
    <row r="1" spans="1:3" ht="19.5" thickBot="1" x14ac:dyDescent="0.45">
      <c r="A1" s="34" t="s">
        <v>0</v>
      </c>
      <c r="B1" s="40" t="s">
        <v>19</v>
      </c>
      <c r="C1" s="41"/>
    </row>
    <row r="2" spans="1:3" ht="19.5" thickTop="1" x14ac:dyDescent="0.4">
      <c r="A2" s="4" t="s">
        <v>9</v>
      </c>
      <c r="B2" s="9">
        <v>41</v>
      </c>
      <c r="C2" s="11"/>
    </row>
    <row r="3" spans="1:3" x14ac:dyDescent="0.4">
      <c r="A3" s="5" t="s">
        <v>8</v>
      </c>
      <c r="B3" s="1">
        <v>293</v>
      </c>
      <c r="C3" s="12"/>
    </row>
    <row r="4" spans="1:3" x14ac:dyDescent="0.4">
      <c r="A4" s="5" t="s">
        <v>6</v>
      </c>
      <c r="B4" s="2">
        <v>-321</v>
      </c>
      <c r="C4" s="13"/>
    </row>
    <row r="5" spans="1:3" x14ac:dyDescent="0.4">
      <c r="A5" s="5" t="s">
        <v>7</v>
      </c>
      <c r="B5" s="10">
        <f>B4/B2</f>
        <v>-7.8292682926829267</v>
      </c>
      <c r="C5" s="14"/>
    </row>
    <row r="6" spans="1:3" x14ac:dyDescent="0.4">
      <c r="A6" s="5" t="s">
        <v>1</v>
      </c>
      <c r="B6" s="30">
        <f>(B7*1+B8*2+B9*3)/B2</f>
        <v>2.1951219512195124</v>
      </c>
      <c r="C6" s="15"/>
    </row>
    <row r="7" spans="1:3" x14ac:dyDescent="0.4">
      <c r="A7" s="5" t="s">
        <v>2</v>
      </c>
      <c r="B7" s="1">
        <v>12</v>
      </c>
      <c r="C7" s="6">
        <f>B7/B2</f>
        <v>0.29268292682926828</v>
      </c>
    </row>
    <row r="8" spans="1:3" x14ac:dyDescent="0.4">
      <c r="A8" s="5" t="s">
        <v>3</v>
      </c>
      <c r="B8" s="1">
        <v>9</v>
      </c>
      <c r="C8" s="6">
        <f>B8/B2</f>
        <v>0.21951219512195122</v>
      </c>
    </row>
    <row r="9" spans="1:3" x14ac:dyDescent="0.4">
      <c r="A9" s="27" t="s">
        <v>4</v>
      </c>
      <c r="B9" s="28">
        <v>20</v>
      </c>
      <c r="C9" s="29">
        <f>B9/B2</f>
        <v>0.48780487804878048</v>
      </c>
    </row>
    <row r="10" spans="1:3" ht="19.5" thickBot="1" x14ac:dyDescent="0.45">
      <c r="A10" s="35" t="s">
        <v>34</v>
      </c>
      <c r="B10" s="36">
        <v>13</v>
      </c>
      <c r="C10" s="37">
        <f>B10/B2</f>
        <v>0.31707317073170732</v>
      </c>
    </row>
    <row r="11" spans="1:3" ht="19.5" thickTop="1" x14ac:dyDescent="0.4">
      <c r="A11" s="4" t="s">
        <v>10</v>
      </c>
      <c r="B11" s="9">
        <f>B12+B13</f>
        <v>65</v>
      </c>
      <c r="C11" s="16">
        <f>B11/B3</f>
        <v>0.22184300341296928</v>
      </c>
    </row>
    <row r="12" spans="1:3" x14ac:dyDescent="0.4">
      <c r="A12" s="5" t="s">
        <v>11</v>
      </c>
      <c r="B12" s="1">
        <v>39</v>
      </c>
      <c r="C12" s="6">
        <f>B12/B3</f>
        <v>0.13310580204778158</v>
      </c>
    </row>
    <row r="13" spans="1:3" x14ac:dyDescent="0.4">
      <c r="A13" s="5" t="s">
        <v>12</v>
      </c>
      <c r="B13" s="1">
        <v>26</v>
      </c>
      <c r="C13" s="6">
        <f>B13/B3</f>
        <v>8.8737201365187715E-2</v>
      </c>
    </row>
    <row r="14" spans="1:3" x14ac:dyDescent="0.4">
      <c r="A14" s="5" t="s">
        <v>13</v>
      </c>
      <c r="B14" s="1">
        <v>67</v>
      </c>
      <c r="C14" s="6">
        <f>B14/B6</f>
        <v>30.522222222222219</v>
      </c>
    </row>
    <row r="15" spans="1:3" x14ac:dyDescent="0.4">
      <c r="A15" s="5" t="s">
        <v>5</v>
      </c>
      <c r="B15" s="8">
        <f>IF(B11=0,0,ROUND(C15/B11,-2))</f>
        <v>11600</v>
      </c>
      <c r="C15" s="17">
        <v>756800</v>
      </c>
    </row>
    <row r="16" spans="1:3" x14ac:dyDescent="0.4">
      <c r="A16" s="7" t="s">
        <v>14</v>
      </c>
      <c r="B16" s="18">
        <f>IF(B14=0,0,ROUND(C16/B14,-2))</f>
        <v>-10700</v>
      </c>
      <c r="C16" s="19">
        <v>-714800</v>
      </c>
    </row>
  </sheetData>
  <mergeCells count="1">
    <mergeCell ref="B1:C1"/>
  </mergeCells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A78B2D-6612-4727-9CF4-5D242B7B62E4}">
  <sheetPr codeName="Sheet4"/>
  <dimension ref="A1:C16"/>
  <sheetViews>
    <sheetView showGridLines="0" zoomScale="200" zoomScaleNormal="200" workbookViewId="0"/>
  </sheetViews>
  <sheetFormatPr defaultRowHeight="18.75" x14ac:dyDescent="0.4"/>
  <cols>
    <col min="1" max="1" width="13" style="3" customWidth="1"/>
    <col min="2" max="3" width="10.75" style="3" customWidth="1"/>
    <col min="4" max="16384" width="9" style="3"/>
  </cols>
  <sheetData>
    <row r="1" spans="1:3" ht="19.5" thickBot="1" x14ac:dyDescent="0.45">
      <c r="A1" s="34" t="s">
        <v>0</v>
      </c>
      <c r="B1" s="40" t="s">
        <v>20</v>
      </c>
      <c r="C1" s="41"/>
    </row>
    <row r="2" spans="1:3" ht="19.5" thickTop="1" x14ac:dyDescent="0.4">
      <c r="A2" s="4" t="s">
        <v>9</v>
      </c>
      <c r="B2" s="9">
        <v>39</v>
      </c>
      <c r="C2" s="11"/>
    </row>
    <row r="3" spans="1:3" x14ac:dyDescent="0.4">
      <c r="A3" s="5" t="s">
        <v>8</v>
      </c>
      <c r="B3" s="1">
        <v>272</v>
      </c>
      <c r="C3" s="12"/>
    </row>
    <row r="4" spans="1:3" x14ac:dyDescent="0.4">
      <c r="A4" s="5" t="s">
        <v>6</v>
      </c>
      <c r="B4" s="2">
        <v>228</v>
      </c>
      <c r="C4" s="13"/>
    </row>
    <row r="5" spans="1:3" x14ac:dyDescent="0.4">
      <c r="A5" s="5" t="s">
        <v>7</v>
      </c>
      <c r="B5" s="10">
        <f>B4/B2</f>
        <v>5.8461538461538458</v>
      </c>
      <c r="C5" s="14"/>
    </row>
    <row r="6" spans="1:3" x14ac:dyDescent="0.4">
      <c r="A6" s="5" t="s">
        <v>1</v>
      </c>
      <c r="B6" s="30">
        <f>(B7*1+B8*2+B9*3)/B2</f>
        <v>1.8461538461538463</v>
      </c>
      <c r="C6" s="15"/>
    </row>
    <row r="7" spans="1:3" x14ac:dyDescent="0.4">
      <c r="A7" s="5" t="s">
        <v>2</v>
      </c>
      <c r="B7" s="1">
        <v>14</v>
      </c>
      <c r="C7" s="6">
        <f>B7/B2</f>
        <v>0.35897435897435898</v>
      </c>
    </row>
    <row r="8" spans="1:3" x14ac:dyDescent="0.4">
      <c r="A8" s="5" t="s">
        <v>3</v>
      </c>
      <c r="B8" s="1">
        <v>17</v>
      </c>
      <c r="C8" s="6">
        <f>B8/B2</f>
        <v>0.4358974358974359</v>
      </c>
    </row>
    <row r="9" spans="1:3" x14ac:dyDescent="0.4">
      <c r="A9" s="27" t="s">
        <v>4</v>
      </c>
      <c r="B9" s="28">
        <v>8</v>
      </c>
      <c r="C9" s="29">
        <f>B9/B2</f>
        <v>0.20512820512820512</v>
      </c>
    </row>
    <row r="10" spans="1:3" ht="19.5" thickBot="1" x14ac:dyDescent="0.45">
      <c r="A10" s="35" t="s">
        <v>34</v>
      </c>
      <c r="B10" s="36">
        <v>5</v>
      </c>
      <c r="C10" s="37">
        <f>B10/B2</f>
        <v>0.12820512820512819</v>
      </c>
    </row>
    <row r="11" spans="1:3" ht="19.5" thickTop="1" x14ac:dyDescent="0.4">
      <c r="A11" s="4" t="s">
        <v>10</v>
      </c>
      <c r="B11" s="9">
        <f>B12+B13</f>
        <v>97</v>
      </c>
      <c r="C11" s="16">
        <f>B11/B3</f>
        <v>0.35661764705882354</v>
      </c>
    </row>
    <row r="12" spans="1:3" x14ac:dyDescent="0.4">
      <c r="A12" s="5" t="s">
        <v>11</v>
      </c>
      <c r="B12" s="1">
        <v>53</v>
      </c>
      <c r="C12" s="6">
        <f>B12/B3</f>
        <v>0.19485294117647059</v>
      </c>
    </row>
    <row r="13" spans="1:3" x14ac:dyDescent="0.4">
      <c r="A13" s="5" t="s">
        <v>12</v>
      </c>
      <c r="B13" s="1">
        <v>44</v>
      </c>
      <c r="C13" s="6">
        <f>B13/B3</f>
        <v>0.16176470588235295</v>
      </c>
    </row>
    <row r="14" spans="1:3" x14ac:dyDescent="0.4">
      <c r="A14" s="5" t="s">
        <v>13</v>
      </c>
      <c r="B14" s="1">
        <v>36</v>
      </c>
      <c r="C14" s="6">
        <f>B14/B6</f>
        <v>19.5</v>
      </c>
    </row>
    <row r="15" spans="1:3" x14ac:dyDescent="0.4">
      <c r="A15" s="5" t="s">
        <v>5</v>
      </c>
      <c r="B15" s="8">
        <f>IF(B11=0,0,ROUND(C15/B11,-2))</f>
        <v>9600</v>
      </c>
      <c r="C15" s="17">
        <v>933000</v>
      </c>
    </row>
    <row r="16" spans="1:3" x14ac:dyDescent="0.4">
      <c r="A16" s="7" t="s">
        <v>14</v>
      </c>
      <c r="B16" s="18">
        <f>IF(B14=0,0,ROUND(C16/B14,-2))</f>
        <v>-9600</v>
      </c>
      <c r="C16" s="19">
        <v>-346100</v>
      </c>
    </row>
  </sheetData>
  <mergeCells count="1">
    <mergeCell ref="B1:C1"/>
  </mergeCells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20CC09-76A3-4DB8-ACC9-1B6ACAB5DF3C}">
  <sheetPr codeName="Sheet5"/>
  <dimension ref="A1:C16"/>
  <sheetViews>
    <sheetView showGridLines="0" zoomScale="200" zoomScaleNormal="200" workbookViewId="0"/>
  </sheetViews>
  <sheetFormatPr defaultRowHeight="18.75" x14ac:dyDescent="0.4"/>
  <cols>
    <col min="1" max="1" width="13" style="3" customWidth="1"/>
    <col min="2" max="3" width="10.75" style="3" customWidth="1"/>
    <col min="4" max="16384" width="9" style="3"/>
  </cols>
  <sheetData>
    <row r="1" spans="1:3" ht="19.5" thickBot="1" x14ac:dyDescent="0.45">
      <c r="A1" s="34" t="s">
        <v>0</v>
      </c>
      <c r="B1" s="40" t="s">
        <v>38</v>
      </c>
      <c r="C1" s="41"/>
    </row>
    <row r="2" spans="1:3" ht="19.5" thickTop="1" x14ac:dyDescent="0.4">
      <c r="A2" s="4" t="s">
        <v>9</v>
      </c>
      <c r="B2" s="9">
        <v>4</v>
      </c>
      <c r="C2" s="11"/>
    </row>
    <row r="3" spans="1:3" x14ac:dyDescent="0.4">
      <c r="A3" s="5" t="s">
        <v>8</v>
      </c>
      <c r="B3" s="1">
        <v>25</v>
      </c>
      <c r="C3" s="12"/>
    </row>
    <row r="4" spans="1:3" x14ac:dyDescent="0.4">
      <c r="A4" s="5" t="s">
        <v>6</v>
      </c>
      <c r="B4" s="2">
        <v>-132</v>
      </c>
      <c r="C4" s="13"/>
    </row>
    <row r="5" spans="1:3" x14ac:dyDescent="0.4">
      <c r="A5" s="5" t="s">
        <v>7</v>
      </c>
      <c r="B5" s="10">
        <f>B4/B2</f>
        <v>-33</v>
      </c>
      <c r="C5" s="14"/>
    </row>
    <row r="6" spans="1:3" x14ac:dyDescent="0.4">
      <c r="A6" s="5" t="s">
        <v>1</v>
      </c>
      <c r="B6" s="30">
        <f>(B7*1+B8*2+B9*3)/B2</f>
        <v>3</v>
      </c>
      <c r="C6" s="15"/>
    </row>
    <row r="7" spans="1:3" x14ac:dyDescent="0.4">
      <c r="A7" s="5" t="s">
        <v>2</v>
      </c>
      <c r="B7" s="1">
        <v>0</v>
      </c>
      <c r="C7" s="6">
        <f>B7/B2</f>
        <v>0</v>
      </c>
    </row>
    <row r="8" spans="1:3" x14ac:dyDescent="0.4">
      <c r="A8" s="5" t="s">
        <v>3</v>
      </c>
      <c r="B8" s="1">
        <v>0</v>
      </c>
      <c r="C8" s="6">
        <f>B8/B2</f>
        <v>0</v>
      </c>
    </row>
    <row r="9" spans="1:3" x14ac:dyDescent="0.4">
      <c r="A9" s="27" t="s">
        <v>4</v>
      </c>
      <c r="B9" s="28">
        <v>4</v>
      </c>
      <c r="C9" s="29">
        <f>B9/B2</f>
        <v>1</v>
      </c>
    </row>
    <row r="10" spans="1:3" ht="19.5" thickBot="1" x14ac:dyDescent="0.45">
      <c r="A10" s="35" t="s">
        <v>34</v>
      </c>
      <c r="B10" s="36">
        <v>2</v>
      </c>
      <c r="C10" s="37">
        <f>B10/B2</f>
        <v>0.5</v>
      </c>
    </row>
    <row r="11" spans="1:3" ht="19.5" thickTop="1" x14ac:dyDescent="0.4">
      <c r="A11" s="4" t="s">
        <v>10</v>
      </c>
      <c r="B11" s="9">
        <f>B12+B13</f>
        <v>1</v>
      </c>
      <c r="C11" s="16">
        <f>B11/B3</f>
        <v>0.04</v>
      </c>
    </row>
    <row r="12" spans="1:3" x14ac:dyDescent="0.4">
      <c r="A12" s="5" t="s">
        <v>11</v>
      </c>
      <c r="B12" s="1">
        <v>0</v>
      </c>
      <c r="C12" s="6">
        <f>B12/B3</f>
        <v>0</v>
      </c>
    </row>
    <row r="13" spans="1:3" x14ac:dyDescent="0.4">
      <c r="A13" s="5" t="s">
        <v>12</v>
      </c>
      <c r="B13" s="1">
        <v>1</v>
      </c>
      <c r="C13" s="6">
        <f>B13/B3</f>
        <v>0.04</v>
      </c>
    </row>
    <row r="14" spans="1:3" x14ac:dyDescent="0.4">
      <c r="A14" s="5" t="s">
        <v>13</v>
      </c>
      <c r="B14" s="1">
        <v>10</v>
      </c>
      <c r="C14" s="6">
        <f>B14/B6</f>
        <v>3.3333333333333335</v>
      </c>
    </row>
    <row r="15" spans="1:3" x14ac:dyDescent="0.4">
      <c r="A15" s="5" t="s">
        <v>5</v>
      </c>
      <c r="B15" s="8">
        <f>IF(B11=0,0,ROUND(C15/B11,-2))</f>
        <v>7800</v>
      </c>
      <c r="C15" s="17">
        <v>7800</v>
      </c>
    </row>
    <row r="16" spans="1:3" x14ac:dyDescent="0.4">
      <c r="A16" s="7" t="s">
        <v>14</v>
      </c>
      <c r="B16" s="18">
        <f>IF(B14=0,0,ROUND(C16/B14,-2))</f>
        <v>-8200</v>
      </c>
      <c r="C16" s="19">
        <v>-82400</v>
      </c>
    </row>
  </sheetData>
  <mergeCells count="1">
    <mergeCell ref="B1:C1"/>
  </mergeCells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103713-90F9-4CF8-99EA-AED8AD74D5DB}">
  <sheetPr codeName="Sheet6"/>
  <dimension ref="A1:C16"/>
  <sheetViews>
    <sheetView showGridLines="0" zoomScale="200" zoomScaleNormal="200" workbookViewId="0"/>
  </sheetViews>
  <sheetFormatPr defaultRowHeight="18.75" x14ac:dyDescent="0.4"/>
  <cols>
    <col min="1" max="1" width="13" style="3" customWidth="1"/>
    <col min="2" max="3" width="10.75" style="3" customWidth="1"/>
    <col min="4" max="16384" width="9" style="3"/>
  </cols>
  <sheetData>
    <row r="1" spans="1:3" ht="19.5" thickBot="1" x14ac:dyDescent="0.45">
      <c r="A1" s="34" t="s">
        <v>0</v>
      </c>
      <c r="B1" s="40" t="s">
        <v>18</v>
      </c>
      <c r="C1" s="41"/>
    </row>
    <row r="2" spans="1:3" ht="19.5" thickTop="1" x14ac:dyDescent="0.4">
      <c r="A2" s="4" t="s">
        <v>9</v>
      </c>
      <c r="B2" s="9">
        <v>1</v>
      </c>
      <c r="C2" s="11"/>
    </row>
    <row r="3" spans="1:3" x14ac:dyDescent="0.4">
      <c r="A3" s="5" t="s">
        <v>8</v>
      </c>
      <c r="B3" s="1">
        <v>5</v>
      </c>
      <c r="C3" s="12"/>
    </row>
    <row r="4" spans="1:3" x14ac:dyDescent="0.4">
      <c r="A4" s="5" t="s">
        <v>6</v>
      </c>
      <c r="B4" s="2">
        <v>7</v>
      </c>
      <c r="C4" s="13"/>
    </row>
    <row r="5" spans="1:3" x14ac:dyDescent="0.4">
      <c r="A5" s="5" t="s">
        <v>7</v>
      </c>
      <c r="B5" s="10">
        <f>B4/B2</f>
        <v>7</v>
      </c>
      <c r="C5" s="14"/>
    </row>
    <row r="6" spans="1:3" x14ac:dyDescent="0.4">
      <c r="A6" s="5" t="s">
        <v>1</v>
      </c>
      <c r="B6" s="30">
        <f>(B7*1+B8*2+B9*3)/B2</f>
        <v>2</v>
      </c>
      <c r="C6" s="15"/>
    </row>
    <row r="7" spans="1:3" x14ac:dyDescent="0.4">
      <c r="A7" s="5" t="s">
        <v>2</v>
      </c>
      <c r="B7" s="1">
        <v>0</v>
      </c>
      <c r="C7" s="6">
        <f>B7/B2</f>
        <v>0</v>
      </c>
    </row>
    <row r="8" spans="1:3" x14ac:dyDescent="0.4">
      <c r="A8" s="5" t="s">
        <v>3</v>
      </c>
      <c r="B8" s="1">
        <v>1</v>
      </c>
      <c r="C8" s="6">
        <f>B8/B2</f>
        <v>1</v>
      </c>
    </row>
    <row r="9" spans="1:3" x14ac:dyDescent="0.4">
      <c r="A9" s="27" t="s">
        <v>4</v>
      </c>
      <c r="B9" s="28">
        <v>0</v>
      </c>
      <c r="C9" s="29">
        <f>B9/B2</f>
        <v>0</v>
      </c>
    </row>
    <row r="10" spans="1:3" ht="19.5" thickBot="1" x14ac:dyDescent="0.45">
      <c r="A10" s="35" t="s">
        <v>34</v>
      </c>
      <c r="B10" s="36">
        <v>0</v>
      </c>
      <c r="C10" s="37">
        <f>B10/B2</f>
        <v>0</v>
      </c>
    </row>
    <row r="11" spans="1:3" ht="19.5" thickTop="1" x14ac:dyDescent="0.4">
      <c r="A11" s="4" t="s">
        <v>10</v>
      </c>
      <c r="B11" s="9">
        <f>B12+B13</f>
        <v>2</v>
      </c>
      <c r="C11" s="16">
        <f>B11/B3</f>
        <v>0.4</v>
      </c>
    </row>
    <row r="12" spans="1:3" x14ac:dyDescent="0.4">
      <c r="A12" s="5" t="s">
        <v>11</v>
      </c>
      <c r="B12" s="1">
        <v>2</v>
      </c>
      <c r="C12" s="6">
        <f>B12/B3</f>
        <v>0.4</v>
      </c>
    </row>
    <row r="13" spans="1:3" x14ac:dyDescent="0.4">
      <c r="A13" s="5" t="s">
        <v>12</v>
      </c>
      <c r="B13" s="1">
        <v>0</v>
      </c>
      <c r="C13" s="6">
        <f>B13/B3</f>
        <v>0</v>
      </c>
    </row>
    <row r="14" spans="1:3" x14ac:dyDescent="0.4">
      <c r="A14" s="5" t="s">
        <v>13</v>
      </c>
      <c r="B14" s="1">
        <v>1</v>
      </c>
      <c r="C14" s="6">
        <f>B14/B6</f>
        <v>0.5</v>
      </c>
    </row>
    <row r="15" spans="1:3" x14ac:dyDescent="0.4">
      <c r="A15" s="5" t="s">
        <v>5</v>
      </c>
      <c r="B15" s="8">
        <f>IF(B11=0,0,ROUND(C15/B11,-2))</f>
        <v>8000</v>
      </c>
      <c r="C15" s="17">
        <v>16000</v>
      </c>
    </row>
    <row r="16" spans="1:3" x14ac:dyDescent="0.4">
      <c r="A16" s="7" t="s">
        <v>14</v>
      </c>
      <c r="B16" s="18">
        <f>IF(B14=0,0,ROUND(C16/B14,-2))</f>
        <v>-12000</v>
      </c>
      <c r="C16" s="19">
        <v>-12000</v>
      </c>
    </row>
  </sheetData>
  <mergeCells count="1">
    <mergeCell ref="B1:C1"/>
  </mergeCells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416BE0-E523-4338-9041-783C5273E5A5}">
  <sheetPr codeName="Sheet7"/>
  <dimension ref="A1:C16"/>
  <sheetViews>
    <sheetView showGridLines="0" zoomScale="200" zoomScaleNormal="200" workbookViewId="0"/>
  </sheetViews>
  <sheetFormatPr defaultRowHeight="18.75" x14ac:dyDescent="0.4"/>
  <cols>
    <col min="1" max="1" width="13" style="3" customWidth="1"/>
    <col min="2" max="3" width="10.75" style="3" customWidth="1"/>
    <col min="4" max="16384" width="9" style="3"/>
  </cols>
  <sheetData>
    <row r="1" spans="1:3" ht="19.5" thickBot="1" x14ac:dyDescent="0.45">
      <c r="A1" s="34" t="s">
        <v>0</v>
      </c>
      <c r="B1" s="40" t="s">
        <v>21</v>
      </c>
      <c r="C1" s="41"/>
    </row>
    <row r="2" spans="1:3" ht="19.5" thickTop="1" x14ac:dyDescent="0.4">
      <c r="A2" s="4" t="s">
        <v>9</v>
      </c>
      <c r="B2" s="9">
        <v>1</v>
      </c>
      <c r="C2" s="11"/>
    </row>
    <row r="3" spans="1:3" x14ac:dyDescent="0.4">
      <c r="A3" s="5" t="s">
        <v>8</v>
      </c>
      <c r="B3" s="1">
        <v>6</v>
      </c>
      <c r="C3" s="12"/>
    </row>
    <row r="4" spans="1:3" x14ac:dyDescent="0.4">
      <c r="A4" s="5" t="s">
        <v>6</v>
      </c>
      <c r="B4" s="2">
        <v>-41</v>
      </c>
      <c r="C4" s="13"/>
    </row>
    <row r="5" spans="1:3" x14ac:dyDescent="0.4">
      <c r="A5" s="5" t="s">
        <v>7</v>
      </c>
      <c r="B5" s="10">
        <f>B4/B2</f>
        <v>-41</v>
      </c>
      <c r="C5" s="14"/>
    </row>
    <row r="6" spans="1:3" x14ac:dyDescent="0.4">
      <c r="A6" s="5" t="s">
        <v>1</v>
      </c>
      <c r="B6" s="30">
        <f>(B7*1+B8*2+B9*3)/B2</f>
        <v>2</v>
      </c>
      <c r="C6" s="15"/>
    </row>
    <row r="7" spans="1:3" x14ac:dyDescent="0.4">
      <c r="A7" s="5" t="s">
        <v>2</v>
      </c>
      <c r="B7" s="1">
        <v>0</v>
      </c>
      <c r="C7" s="6">
        <f>B7/B2</f>
        <v>0</v>
      </c>
    </row>
    <row r="8" spans="1:3" x14ac:dyDescent="0.4">
      <c r="A8" s="5" t="s">
        <v>3</v>
      </c>
      <c r="B8" s="1">
        <v>1</v>
      </c>
      <c r="C8" s="6">
        <f>B8/B2</f>
        <v>1</v>
      </c>
    </row>
    <row r="9" spans="1:3" x14ac:dyDescent="0.4">
      <c r="A9" s="27" t="s">
        <v>4</v>
      </c>
      <c r="B9" s="28">
        <v>0</v>
      </c>
      <c r="C9" s="29">
        <f>B9/B2</f>
        <v>0</v>
      </c>
    </row>
    <row r="10" spans="1:3" ht="19.5" thickBot="1" x14ac:dyDescent="0.45">
      <c r="A10" s="35" t="s">
        <v>34</v>
      </c>
      <c r="B10" s="36">
        <v>1</v>
      </c>
      <c r="C10" s="37">
        <f>B10/B2</f>
        <v>1</v>
      </c>
    </row>
    <row r="11" spans="1:3" ht="19.5" thickTop="1" x14ac:dyDescent="0.4">
      <c r="A11" s="4" t="s">
        <v>10</v>
      </c>
      <c r="B11" s="9">
        <f>B12+B13</f>
        <v>1</v>
      </c>
      <c r="C11" s="16">
        <f>B11/B3</f>
        <v>0.16666666666666666</v>
      </c>
    </row>
    <row r="12" spans="1:3" x14ac:dyDescent="0.4">
      <c r="A12" s="5" t="s">
        <v>11</v>
      </c>
      <c r="B12" s="1">
        <v>1</v>
      </c>
      <c r="C12" s="6">
        <f>B12/B3</f>
        <v>0.16666666666666666</v>
      </c>
    </row>
    <row r="13" spans="1:3" x14ac:dyDescent="0.4">
      <c r="A13" s="5" t="s">
        <v>12</v>
      </c>
      <c r="B13" s="1">
        <v>0</v>
      </c>
      <c r="C13" s="6">
        <f>B13/B3</f>
        <v>0</v>
      </c>
    </row>
    <row r="14" spans="1:3" x14ac:dyDescent="0.4">
      <c r="A14" s="5" t="s">
        <v>13</v>
      </c>
      <c r="B14" s="1">
        <v>2</v>
      </c>
      <c r="C14" s="6">
        <f>B14/B6</f>
        <v>1</v>
      </c>
    </row>
    <row r="15" spans="1:3" x14ac:dyDescent="0.4">
      <c r="A15" s="5" t="s">
        <v>5</v>
      </c>
      <c r="B15" s="8">
        <f>IF(B11=0,0,ROUND(C15/B11,-2))</f>
        <v>1300</v>
      </c>
      <c r="C15" s="17">
        <v>1300</v>
      </c>
    </row>
    <row r="16" spans="1:3" x14ac:dyDescent="0.4">
      <c r="A16" s="7" t="s">
        <v>14</v>
      </c>
      <c r="B16" s="18">
        <f>IF(B14=0,0,ROUND(C16/B14,-2))</f>
        <v>-8500</v>
      </c>
      <c r="C16" s="19">
        <v>-17000</v>
      </c>
    </row>
  </sheetData>
  <mergeCells count="1">
    <mergeCell ref="B1:C1"/>
  </mergeCells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1D570A-99AD-4A7C-B370-9D3873817527}">
  <sheetPr codeName="Sheet8"/>
  <dimension ref="A1:C16"/>
  <sheetViews>
    <sheetView showGridLines="0" zoomScale="200" zoomScaleNormal="200" workbookViewId="0"/>
  </sheetViews>
  <sheetFormatPr defaultRowHeight="18.75" x14ac:dyDescent="0.4"/>
  <cols>
    <col min="1" max="1" width="13" style="3" customWidth="1"/>
    <col min="2" max="3" width="10.75" style="3" customWidth="1"/>
    <col min="4" max="16384" width="9" style="3"/>
  </cols>
  <sheetData>
    <row r="1" spans="1:3" ht="19.5" thickBot="1" x14ac:dyDescent="0.45">
      <c r="A1" s="34" t="s">
        <v>0</v>
      </c>
      <c r="B1" s="40" t="s">
        <v>16</v>
      </c>
      <c r="C1" s="41"/>
    </row>
    <row r="2" spans="1:3" ht="19.5" thickTop="1" x14ac:dyDescent="0.4">
      <c r="A2" s="4" t="s">
        <v>9</v>
      </c>
      <c r="B2" s="9">
        <v>25</v>
      </c>
      <c r="C2" s="11"/>
    </row>
    <row r="3" spans="1:3" x14ac:dyDescent="0.4">
      <c r="A3" s="5" t="s">
        <v>8</v>
      </c>
      <c r="B3" s="1">
        <v>189</v>
      </c>
      <c r="C3" s="12"/>
    </row>
    <row r="4" spans="1:3" x14ac:dyDescent="0.4">
      <c r="A4" s="5" t="s">
        <v>6</v>
      </c>
      <c r="B4" s="2">
        <v>0</v>
      </c>
      <c r="C4" s="13"/>
    </row>
    <row r="5" spans="1:3" x14ac:dyDescent="0.4">
      <c r="A5" s="5" t="s">
        <v>7</v>
      </c>
      <c r="B5" s="10">
        <f>B4/B2</f>
        <v>0</v>
      </c>
      <c r="C5" s="14"/>
    </row>
    <row r="6" spans="1:3" x14ac:dyDescent="0.4">
      <c r="A6" s="5" t="s">
        <v>1</v>
      </c>
      <c r="B6" s="30">
        <f>(B7*1+B8*2+B9*3)/B2</f>
        <v>2.04</v>
      </c>
      <c r="C6" s="15"/>
    </row>
    <row r="7" spans="1:3" x14ac:dyDescent="0.4">
      <c r="A7" s="5" t="s">
        <v>2</v>
      </c>
      <c r="B7" s="1">
        <v>8</v>
      </c>
      <c r="C7" s="6">
        <f>B7/B2</f>
        <v>0.32</v>
      </c>
    </row>
    <row r="8" spans="1:3" x14ac:dyDescent="0.4">
      <c r="A8" s="5" t="s">
        <v>3</v>
      </c>
      <c r="B8" s="1">
        <v>8</v>
      </c>
      <c r="C8" s="6">
        <f>B8/B2</f>
        <v>0.32</v>
      </c>
    </row>
    <row r="9" spans="1:3" x14ac:dyDescent="0.4">
      <c r="A9" s="27" t="s">
        <v>4</v>
      </c>
      <c r="B9" s="28">
        <v>9</v>
      </c>
      <c r="C9" s="29">
        <f>B9/B2</f>
        <v>0.36</v>
      </c>
    </row>
    <row r="10" spans="1:3" ht="19.5" thickBot="1" x14ac:dyDescent="0.45">
      <c r="A10" s="35" t="s">
        <v>34</v>
      </c>
      <c r="B10" s="36">
        <v>4</v>
      </c>
      <c r="C10" s="37">
        <f>B10/B2</f>
        <v>0.16</v>
      </c>
    </row>
    <row r="11" spans="1:3" ht="19.5" thickTop="1" x14ac:dyDescent="0.4">
      <c r="A11" s="4" t="s">
        <v>10</v>
      </c>
      <c r="B11" s="9">
        <f>B12+B13</f>
        <v>54</v>
      </c>
      <c r="C11" s="16">
        <f>B11/B3</f>
        <v>0.2857142857142857</v>
      </c>
    </row>
    <row r="12" spans="1:3" x14ac:dyDescent="0.4">
      <c r="A12" s="5" t="s">
        <v>11</v>
      </c>
      <c r="B12" s="1">
        <v>30</v>
      </c>
      <c r="C12" s="6">
        <f>B12/B3</f>
        <v>0.15873015873015872</v>
      </c>
    </row>
    <row r="13" spans="1:3" x14ac:dyDescent="0.4">
      <c r="A13" s="5" t="s">
        <v>12</v>
      </c>
      <c r="B13" s="1">
        <v>24</v>
      </c>
      <c r="C13" s="6">
        <f>B13/B3</f>
        <v>0.12698412698412698</v>
      </c>
    </row>
    <row r="14" spans="1:3" x14ac:dyDescent="0.4">
      <c r="A14" s="5" t="s">
        <v>13</v>
      </c>
      <c r="B14" s="1">
        <v>39</v>
      </c>
      <c r="C14" s="6">
        <f>B14/B6</f>
        <v>19.117647058823529</v>
      </c>
    </row>
    <row r="15" spans="1:3" x14ac:dyDescent="0.4">
      <c r="A15" s="5" t="s">
        <v>5</v>
      </c>
      <c r="B15" s="8">
        <f>IF(B11=0,0,ROUND(C15/B11,-2))</f>
        <v>11300</v>
      </c>
      <c r="C15" s="17">
        <v>610200</v>
      </c>
    </row>
    <row r="16" spans="1:3" x14ac:dyDescent="0.4">
      <c r="A16" s="7" t="s">
        <v>14</v>
      </c>
      <c r="B16" s="18">
        <f>IF(B14=0,0,ROUND(C16/B14,-2))</f>
        <v>-8000</v>
      </c>
      <c r="C16" s="19">
        <v>-310600</v>
      </c>
    </row>
  </sheetData>
  <mergeCells count="1">
    <mergeCell ref="B1:C1"/>
  </mergeCells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C52E97-B61F-413B-A170-DF02D2FAB8DE}">
  <sheetPr codeName="Sheet9"/>
  <dimension ref="A1:C16"/>
  <sheetViews>
    <sheetView showGridLines="0" zoomScale="200" zoomScaleNormal="200" workbookViewId="0"/>
  </sheetViews>
  <sheetFormatPr defaultRowHeight="18.75" x14ac:dyDescent="0.4"/>
  <cols>
    <col min="1" max="1" width="13" style="3" customWidth="1"/>
    <col min="2" max="3" width="10.75" style="3" customWidth="1"/>
    <col min="4" max="16384" width="9" style="3"/>
  </cols>
  <sheetData>
    <row r="1" spans="1:3" ht="19.5" thickBot="1" x14ac:dyDescent="0.45">
      <c r="A1" s="34" t="s">
        <v>0</v>
      </c>
      <c r="B1" s="40" t="s">
        <v>17</v>
      </c>
      <c r="C1" s="41"/>
    </row>
    <row r="2" spans="1:3" ht="19.5" thickTop="1" x14ac:dyDescent="0.4">
      <c r="A2" s="4" t="s">
        <v>9</v>
      </c>
      <c r="B2" s="9">
        <v>25</v>
      </c>
      <c r="C2" s="11"/>
    </row>
    <row r="3" spans="1:3" x14ac:dyDescent="0.4">
      <c r="A3" s="5" t="s">
        <v>8</v>
      </c>
      <c r="B3" s="1">
        <v>183</v>
      </c>
      <c r="C3" s="12"/>
    </row>
    <row r="4" spans="1:3" x14ac:dyDescent="0.4">
      <c r="A4" s="5" t="s">
        <v>6</v>
      </c>
      <c r="B4" s="2">
        <v>117</v>
      </c>
      <c r="C4" s="13"/>
    </row>
    <row r="5" spans="1:3" x14ac:dyDescent="0.4">
      <c r="A5" s="5" t="s">
        <v>7</v>
      </c>
      <c r="B5" s="10">
        <f>B4/B2</f>
        <v>4.68</v>
      </c>
      <c r="C5" s="14"/>
    </row>
    <row r="6" spans="1:3" x14ac:dyDescent="0.4">
      <c r="A6" s="5" t="s">
        <v>1</v>
      </c>
      <c r="B6" s="30">
        <f>(B7*1+B8*2+B9*3)/B2</f>
        <v>1.92</v>
      </c>
      <c r="C6" s="15"/>
    </row>
    <row r="7" spans="1:3" x14ac:dyDescent="0.4">
      <c r="A7" s="5" t="s">
        <v>2</v>
      </c>
      <c r="B7" s="1">
        <v>9</v>
      </c>
      <c r="C7" s="6">
        <f>B7/B2</f>
        <v>0.36</v>
      </c>
    </row>
    <row r="8" spans="1:3" x14ac:dyDescent="0.4">
      <c r="A8" s="5" t="s">
        <v>3</v>
      </c>
      <c r="B8" s="1">
        <v>9</v>
      </c>
      <c r="C8" s="6">
        <f>B8/B2</f>
        <v>0.36</v>
      </c>
    </row>
    <row r="9" spans="1:3" x14ac:dyDescent="0.4">
      <c r="A9" s="27" t="s">
        <v>4</v>
      </c>
      <c r="B9" s="28">
        <v>7</v>
      </c>
      <c r="C9" s="29">
        <f>B9/B2</f>
        <v>0.28000000000000003</v>
      </c>
    </row>
    <row r="10" spans="1:3" ht="19.5" thickBot="1" x14ac:dyDescent="0.45">
      <c r="A10" s="35" t="s">
        <v>34</v>
      </c>
      <c r="B10" s="36">
        <v>3</v>
      </c>
      <c r="C10" s="37">
        <f>B10/B2</f>
        <v>0.12</v>
      </c>
    </row>
    <row r="11" spans="1:3" ht="19.5" thickTop="1" x14ac:dyDescent="0.4">
      <c r="A11" s="4" t="s">
        <v>10</v>
      </c>
      <c r="B11" s="9">
        <f>B12+B13</f>
        <v>55</v>
      </c>
      <c r="C11" s="16">
        <f>B11/B3</f>
        <v>0.30054644808743169</v>
      </c>
    </row>
    <row r="12" spans="1:3" x14ac:dyDescent="0.4">
      <c r="A12" s="5" t="s">
        <v>11</v>
      </c>
      <c r="B12" s="1">
        <v>35</v>
      </c>
      <c r="C12" s="6">
        <f>B12/B3</f>
        <v>0.19125683060109289</v>
      </c>
    </row>
    <row r="13" spans="1:3" x14ac:dyDescent="0.4">
      <c r="A13" s="5" t="s">
        <v>12</v>
      </c>
      <c r="B13" s="1">
        <v>20</v>
      </c>
      <c r="C13" s="6">
        <f>B13/B3</f>
        <v>0.10928961748633879</v>
      </c>
    </row>
    <row r="14" spans="1:3" x14ac:dyDescent="0.4">
      <c r="A14" s="5" t="s">
        <v>13</v>
      </c>
      <c r="B14" s="1">
        <v>27</v>
      </c>
      <c r="C14" s="6">
        <f>B14/B6</f>
        <v>14.0625</v>
      </c>
    </row>
    <row r="15" spans="1:3" x14ac:dyDescent="0.4">
      <c r="A15" s="5" t="s">
        <v>5</v>
      </c>
      <c r="B15" s="8">
        <f>IF(B11=0,0,ROUND(C15/B11,-2))</f>
        <v>11300</v>
      </c>
      <c r="C15" s="17">
        <v>621500</v>
      </c>
    </row>
    <row r="16" spans="1:3" x14ac:dyDescent="0.4">
      <c r="A16" s="7" t="s">
        <v>14</v>
      </c>
      <c r="B16" s="18">
        <f>IF(B14=0,0,ROUND(C16/B14,-2))</f>
        <v>-9400</v>
      </c>
      <c r="C16" s="19">
        <v>-253600</v>
      </c>
    </row>
  </sheetData>
  <mergeCells count="1">
    <mergeCell ref="B1:C1"/>
  </mergeCells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1D7712-FCB9-45B9-8E43-63BAE89A4C41}">
  <sheetPr codeName="Sheet11"/>
  <dimension ref="A1:C16"/>
  <sheetViews>
    <sheetView showGridLines="0" zoomScale="200" zoomScaleNormal="200" workbookViewId="0"/>
  </sheetViews>
  <sheetFormatPr defaultRowHeight="18.75" x14ac:dyDescent="0.4"/>
  <cols>
    <col min="1" max="1" width="13" style="3" customWidth="1"/>
    <col min="2" max="3" width="10.75" style="3" customWidth="1"/>
    <col min="4" max="16384" width="9" style="3"/>
  </cols>
  <sheetData>
    <row r="1" spans="1:3" ht="19.5" thickBot="1" x14ac:dyDescent="0.45">
      <c r="A1" s="34" t="s">
        <v>0</v>
      </c>
      <c r="B1" s="40" t="s">
        <v>36</v>
      </c>
      <c r="C1" s="41"/>
    </row>
    <row r="2" spans="1:3" ht="19.5" thickTop="1" x14ac:dyDescent="0.4">
      <c r="A2" s="4" t="s">
        <v>9</v>
      </c>
      <c r="B2" s="9">
        <v>12</v>
      </c>
      <c r="C2" s="11"/>
    </row>
    <row r="3" spans="1:3" x14ac:dyDescent="0.4">
      <c r="A3" s="5" t="s">
        <v>8</v>
      </c>
      <c r="B3" s="1">
        <v>82</v>
      </c>
      <c r="C3" s="12"/>
    </row>
    <row r="4" spans="1:3" x14ac:dyDescent="0.4">
      <c r="A4" s="5" t="s">
        <v>6</v>
      </c>
      <c r="B4" s="2">
        <v>83</v>
      </c>
      <c r="C4" s="13"/>
    </row>
    <row r="5" spans="1:3" x14ac:dyDescent="0.4">
      <c r="A5" s="5" t="s">
        <v>7</v>
      </c>
      <c r="B5" s="10">
        <f>B4/B2</f>
        <v>6.916666666666667</v>
      </c>
      <c r="C5" s="14"/>
    </row>
    <row r="6" spans="1:3" x14ac:dyDescent="0.4">
      <c r="A6" s="5" t="s">
        <v>1</v>
      </c>
      <c r="B6" s="30">
        <f>(B7*1+B8*2+B9*3)/B2</f>
        <v>1.75</v>
      </c>
      <c r="C6" s="15"/>
    </row>
    <row r="7" spans="1:3" x14ac:dyDescent="0.4">
      <c r="A7" s="5" t="s">
        <v>2</v>
      </c>
      <c r="B7" s="1">
        <v>6</v>
      </c>
      <c r="C7" s="6">
        <f>B7/B2</f>
        <v>0.5</v>
      </c>
    </row>
    <row r="8" spans="1:3" x14ac:dyDescent="0.4">
      <c r="A8" s="5" t="s">
        <v>3</v>
      </c>
      <c r="B8" s="1">
        <v>3</v>
      </c>
      <c r="C8" s="6">
        <f>B8/B2</f>
        <v>0.25</v>
      </c>
    </row>
    <row r="9" spans="1:3" x14ac:dyDescent="0.4">
      <c r="A9" s="27" t="s">
        <v>4</v>
      </c>
      <c r="B9" s="28">
        <v>3</v>
      </c>
      <c r="C9" s="29">
        <f>B9/B2</f>
        <v>0.25</v>
      </c>
    </row>
    <row r="10" spans="1:3" ht="19.5" thickBot="1" x14ac:dyDescent="0.45">
      <c r="A10" s="35" t="s">
        <v>34</v>
      </c>
      <c r="B10" s="36">
        <v>3</v>
      </c>
      <c r="C10" s="37">
        <f>B10/B2</f>
        <v>0.25</v>
      </c>
    </row>
    <row r="11" spans="1:3" ht="19.5" thickTop="1" x14ac:dyDescent="0.4">
      <c r="A11" s="4" t="s">
        <v>10</v>
      </c>
      <c r="B11" s="9">
        <f>B12+B13</f>
        <v>28</v>
      </c>
      <c r="C11" s="16">
        <f>B11/B3</f>
        <v>0.34146341463414637</v>
      </c>
    </row>
    <row r="12" spans="1:3" x14ac:dyDescent="0.4">
      <c r="A12" s="5" t="s">
        <v>11</v>
      </c>
      <c r="B12" s="1">
        <v>15</v>
      </c>
      <c r="C12" s="6">
        <f>B12/B3</f>
        <v>0.18292682926829268</v>
      </c>
    </row>
    <row r="13" spans="1:3" x14ac:dyDescent="0.4">
      <c r="A13" s="5" t="s">
        <v>12</v>
      </c>
      <c r="B13" s="1">
        <v>13</v>
      </c>
      <c r="C13" s="6">
        <f>B13/B3</f>
        <v>0.15853658536585366</v>
      </c>
    </row>
    <row r="14" spans="1:3" x14ac:dyDescent="0.4">
      <c r="A14" s="5" t="s">
        <v>13</v>
      </c>
      <c r="B14" s="1">
        <v>11</v>
      </c>
      <c r="C14" s="6">
        <f>B14/B6</f>
        <v>6.2857142857142856</v>
      </c>
    </row>
    <row r="15" spans="1:3" x14ac:dyDescent="0.4">
      <c r="A15" s="5" t="s">
        <v>5</v>
      </c>
      <c r="B15" s="8">
        <f>IF(B11=0,0,ROUND(C15/B11,-2))</f>
        <v>10900</v>
      </c>
      <c r="C15" s="17">
        <v>304000</v>
      </c>
    </row>
    <row r="16" spans="1:3" x14ac:dyDescent="0.4">
      <c r="A16" s="7" t="s">
        <v>14</v>
      </c>
      <c r="B16" s="18">
        <f>IF(B14=0,0,ROUND(C16/B14,-2))</f>
        <v>-9900</v>
      </c>
      <c r="C16" s="19">
        <v>-109200</v>
      </c>
    </row>
  </sheetData>
  <mergeCells count="1">
    <mergeCell ref="B1:C1"/>
  </mergeCells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CA978A-EEAE-401F-98E4-A0E0DDB3695B}">
  <sheetPr codeName="Sheet12"/>
  <dimension ref="A1:C16"/>
  <sheetViews>
    <sheetView showGridLines="0" zoomScale="200" zoomScaleNormal="200" workbookViewId="0"/>
  </sheetViews>
  <sheetFormatPr defaultRowHeight="18.75" x14ac:dyDescent="0.4"/>
  <cols>
    <col min="1" max="1" width="13" style="3" customWidth="1"/>
    <col min="2" max="3" width="10.75" style="3" customWidth="1"/>
    <col min="4" max="16384" width="9" style="3"/>
  </cols>
  <sheetData>
    <row r="1" spans="1:3" ht="19.5" thickBot="1" x14ac:dyDescent="0.45">
      <c r="A1" s="34" t="s">
        <v>0</v>
      </c>
      <c r="B1" s="40" t="s">
        <v>39</v>
      </c>
      <c r="C1" s="41"/>
    </row>
    <row r="2" spans="1:3" ht="19.5" thickTop="1" x14ac:dyDescent="0.4">
      <c r="A2" s="4" t="s">
        <v>9</v>
      </c>
      <c r="B2" s="9">
        <v>11</v>
      </c>
      <c r="C2" s="11"/>
    </row>
    <row r="3" spans="1:3" x14ac:dyDescent="0.4">
      <c r="A3" s="5" t="s">
        <v>8</v>
      </c>
      <c r="B3" s="1">
        <v>70</v>
      </c>
      <c r="C3" s="12"/>
    </row>
    <row r="4" spans="1:3" x14ac:dyDescent="0.4">
      <c r="A4" s="5" t="s">
        <v>6</v>
      </c>
      <c r="B4" s="2">
        <v>-171</v>
      </c>
      <c r="C4" s="13"/>
    </row>
    <row r="5" spans="1:3" x14ac:dyDescent="0.4">
      <c r="A5" s="5" t="s">
        <v>7</v>
      </c>
      <c r="B5" s="10">
        <f>B4/B2</f>
        <v>-15.545454545454545</v>
      </c>
      <c r="C5" s="14"/>
    </row>
    <row r="6" spans="1:3" x14ac:dyDescent="0.4">
      <c r="A6" s="5" t="s">
        <v>1</v>
      </c>
      <c r="B6" s="30">
        <f>(B7*1+B8*2+B9*3)/B2</f>
        <v>2.4545454545454546</v>
      </c>
      <c r="C6" s="15"/>
    </row>
    <row r="7" spans="1:3" x14ac:dyDescent="0.4">
      <c r="A7" s="5" t="s">
        <v>2</v>
      </c>
      <c r="B7" s="1">
        <v>2</v>
      </c>
      <c r="C7" s="6">
        <f>B7/B2</f>
        <v>0.18181818181818182</v>
      </c>
    </row>
    <row r="8" spans="1:3" x14ac:dyDescent="0.4">
      <c r="A8" s="5" t="s">
        <v>3</v>
      </c>
      <c r="B8" s="1">
        <v>2</v>
      </c>
      <c r="C8" s="6">
        <f>B8/B2</f>
        <v>0.18181818181818182</v>
      </c>
    </row>
    <row r="9" spans="1:3" x14ac:dyDescent="0.4">
      <c r="A9" s="27" t="s">
        <v>4</v>
      </c>
      <c r="B9" s="28">
        <v>7</v>
      </c>
      <c r="C9" s="29">
        <f>B9/B2</f>
        <v>0.63636363636363635</v>
      </c>
    </row>
    <row r="10" spans="1:3" ht="19.5" thickBot="1" x14ac:dyDescent="0.45">
      <c r="A10" s="35" t="s">
        <v>34</v>
      </c>
      <c r="B10" s="36">
        <v>4</v>
      </c>
      <c r="C10" s="37">
        <f>B10/B2</f>
        <v>0.36363636363636365</v>
      </c>
    </row>
    <row r="11" spans="1:3" ht="19.5" thickTop="1" x14ac:dyDescent="0.4">
      <c r="A11" s="4" t="s">
        <v>10</v>
      </c>
      <c r="B11" s="9">
        <f>B12+B13</f>
        <v>17</v>
      </c>
      <c r="C11" s="16">
        <f>B11/B3</f>
        <v>0.24285714285714285</v>
      </c>
    </row>
    <row r="12" spans="1:3" x14ac:dyDescent="0.4">
      <c r="A12" s="5" t="s">
        <v>11</v>
      </c>
      <c r="B12" s="1">
        <v>7</v>
      </c>
      <c r="C12" s="6">
        <f>B12/B3</f>
        <v>0.1</v>
      </c>
    </row>
    <row r="13" spans="1:3" x14ac:dyDescent="0.4">
      <c r="A13" s="5" t="s">
        <v>12</v>
      </c>
      <c r="B13" s="1">
        <v>10</v>
      </c>
      <c r="C13" s="6">
        <f>B13/B3</f>
        <v>0.14285714285714285</v>
      </c>
    </row>
    <row r="14" spans="1:3" x14ac:dyDescent="0.4">
      <c r="A14" s="5" t="s">
        <v>13</v>
      </c>
      <c r="B14" s="1">
        <v>15</v>
      </c>
      <c r="C14" s="6">
        <f>B14/B6</f>
        <v>6.1111111111111107</v>
      </c>
    </row>
    <row r="15" spans="1:3" x14ac:dyDescent="0.4">
      <c r="A15" s="5" t="s">
        <v>5</v>
      </c>
      <c r="B15" s="8">
        <f>IF(B11=0,0,ROUND(C15/B11,-2))</f>
        <v>11600</v>
      </c>
      <c r="C15" s="17">
        <v>197200</v>
      </c>
    </row>
    <row r="16" spans="1:3" x14ac:dyDescent="0.4">
      <c r="A16" s="7" t="s">
        <v>14</v>
      </c>
      <c r="B16" s="18">
        <f>IF(B14=0,0,ROUND(C16/B14,-2))</f>
        <v>-10800</v>
      </c>
      <c r="C16" s="19">
        <v>-162500</v>
      </c>
    </row>
  </sheetData>
  <mergeCells count="1">
    <mergeCell ref="B1:C1"/>
  </mergeCells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D03439-9763-4113-9AE9-E742F0F8C28E}">
  <sheetPr codeName="Sheet1"/>
  <dimension ref="A1:C16"/>
  <sheetViews>
    <sheetView showGridLines="0" zoomScale="200" zoomScaleNormal="200" workbookViewId="0"/>
  </sheetViews>
  <sheetFormatPr defaultRowHeight="18.75" x14ac:dyDescent="0.4"/>
  <cols>
    <col min="1" max="1" width="13" style="3" customWidth="1"/>
    <col min="2" max="3" width="10.75" style="3" customWidth="1"/>
    <col min="4" max="16384" width="9" style="3"/>
  </cols>
  <sheetData>
    <row r="1" spans="1:3" ht="19.5" thickBot="1" x14ac:dyDescent="0.45">
      <c r="A1" s="34" t="s">
        <v>0</v>
      </c>
      <c r="B1" s="40"/>
      <c r="C1" s="41"/>
    </row>
    <row r="2" spans="1:3" ht="19.5" thickTop="1" x14ac:dyDescent="0.4">
      <c r="A2" s="4" t="s">
        <v>9</v>
      </c>
      <c r="B2" s="9">
        <v>0</v>
      </c>
      <c r="C2" s="11"/>
    </row>
    <row r="3" spans="1:3" x14ac:dyDescent="0.4">
      <c r="A3" s="5" t="s">
        <v>8</v>
      </c>
      <c r="B3" s="1">
        <v>0</v>
      </c>
      <c r="C3" s="12"/>
    </row>
    <row r="4" spans="1:3" x14ac:dyDescent="0.4">
      <c r="A4" s="5" t="s">
        <v>6</v>
      </c>
      <c r="B4" s="2">
        <v>0</v>
      </c>
      <c r="C4" s="13"/>
    </row>
    <row r="5" spans="1:3" x14ac:dyDescent="0.4">
      <c r="A5" s="5" t="s">
        <v>7</v>
      </c>
      <c r="B5" s="10" t="e">
        <f>B4/B2</f>
        <v>#DIV/0!</v>
      </c>
      <c r="C5" s="14"/>
    </row>
    <row r="6" spans="1:3" x14ac:dyDescent="0.4">
      <c r="A6" s="5" t="s">
        <v>1</v>
      </c>
      <c r="B6" s="30" t="e">
        <f>(B7*1+B8*2+B9*3)/B2</f>
        <v>#DIV/0!</v>
      </c>
      <c r="C6" s="15"/>
    </row>
    <row r="7" spans="1:3" x14ac:dyDescent="0.4">
      <c r="A7" s="5" t="s">
        <v>2</v>
      </c>
      <c r="B7" s="1">
        <v>0</v>
      </c>
      <c r="C7" s="6" t="e">
        <f>B7/B2</f>
        <v>#DIV/0!</v>
      </c>
    </row>
    <row r="8" spans="1:3" x14ac:dyDescent="0.4">
      <c r="A8" s="5" t="s">
        <v>3</v>
      </c>
      <c r="B8" s="1">
        <v>0</v>
      </c>
      <c r="C8" s="6" t="e">
        <f>B8/B2</f>
        <v>#DIV/0!</v>
      </c>
    </row>
    <row r="9" spans="1:3" x14ac:dyDescent="0.4">
      <c r="A9" s="27" t="s">
        <v>4</v>
      </c>
      <c r="B9" s="28">
        <v>0</v>
      </c>
      <c r="C9" s="29" t="e">
        <f>B9/B2</f>
        <v>#DIV/0!</v>
      </c>
    </row>
    <row r="10" spans="1:3" ht="19.5" thickBot="1" x14ac:dyDescent="0.45">
      <c r="A10" s="35" t="s">
        <v>34</v>
      </c>
      <c r="B10" s="36">
        <v>0</v>
      </c>
      <c r="C10" s="37" t="e">
        <f>B10/B2</f>
        <v>#DIV/0!</v>
      </c>
    </row>
    <row r="11" spans="1:3" ht="19.5" thickTop="1" x14ac:dyDescent="0.4">
      <c r="A11" s="4" t="s">
        <v>10</v>
      </c>
      <c r="B11" s="9">
        <f>B12+B13</f>
        <v>0</v>
      </c>
      <c r="C11" s="16" t="e">
        <f>B11/B3</f>
        <v>#DIV/0!</v>
      </c>
    </row>
    <row r="12" spans="1:3" x14ac:dyDescent="0.4">
      <c r="A12" s="5" t="s">
        <v>11</v>
      </c>
      <c r="B12" s="1">
        <v>0</v>
      </c>
      <c r="C12" s="6" t="e">
        <f>B12/B3</f>
        <v>#DIV/0!</v>
      </c>
    </row>
    <row r="13" spans="1:3" x14ac:dyDescent="0.4">
      <c r="A13" s="5" t="s">
        <v>12</v>
      </c>
      <c r="B13" s="1">
        <v>0</v>
      </c>
      <c r="C13" s="6" t="e">
        <f>B13/B3</f>
        <v>#DIV/0!</v>
      </c>
    </row>
    <row r="14" spans="1:3" x14ac:dyDescent="0.4">
      <c r="A14" s="5" t="s">
        <v>13</v>
      </c>
      <c r="B14" s="1">
        <v>0</v>
      </c>
      <c r="C14" s="6" t="e">
        <f>B14/B6</f>
        <v>#DIV/0!</v>
      </c>
    </row>
    <row r="15" spans="1:3" x14ac:dyDescent="0.4">
      <c r="A15" s="5" t="s">
        <v>5</v>
      </c>
      <c r="B15" s="8">
        <f>IF(B11=0,0,ROUND(C15/B11,-2))</f>
        <v>0</v>
      </c>
      <c r="C15" s="17">
        <v>0</v>
      </c>
    </row>
    <row r="16" spans="1:3" x14ac:dyDescent="0.4">
      <c r="A16" s="7" t="s">
        <v>14</v>
      </c>
      <c r="B16" s="18">
        <f>IF(B14=0,0,ROUND(C16/B14,-2))</f>
        <v>0</v>
      </c>
      <c r="C16" s="19">
        <v>0</v>
      </c>
    </row>
  </sheetData>
  <mergeCells count="1">
    <mergeCell ref="B1:C1"/>
  </mergeCells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ランキング</vt:lpstr>
      <vt:lpstr>だいち</vt:lpstr>
      <vt:lpstr>りくと</vt:lpstr>
      <vt:lpstr>いっしー</vt:lpstr>
      <vt:lpstr>かこたろう</vt:lpstr>
      <vt:lpstr>ともき</vt:lpstr>
      <vt:lpstr>がくと</vt:lpstr>
      <vt:lpstr>たかの</vt:lpstr>
      <vt:lpstr>ただ</vt:lpstr>
      <vt:lpstr>やがさき</vt:lpstr>
      <vt:lpstr>れんたろう</vt:lpstr>
      <vt:lpstr>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2018-12-14T10:45:41Z</dcterms:modified>
</cp:coreProperties>
</file>