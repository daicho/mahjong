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D059340-233C-4795-8B2A-3DF0D4AC1C93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833" r:id="rId3"/>
    <sheet name="かこたろう" sheetId="2834" r:id="rId4"/>
    <sheet name="ともき" sheetId="2835" r:id="rId5"/>
    <sheet name="りくと" sheetId="2836" r:id="rId6"/>
    <sheet name="いっしー" sheetId="2837" r:id="rId7"/>
    <sheet name="がくと" sheetId="2838" r:id="rId8"/>
    <sheet name="たかの" sheetId="2839" r:id="rId9"/>
    <sheet name="ただ" sheetId="2840" r:id="rId10"/>
    <sheet name="やがさき" sheetId="2841" r:id="rId11"/>
    <sheet name="れんたろう" sheetId="2842" r:id="rId12"/>
    <sheet name="あさひ" sheetId="2843" r:id="rId13"/>
    <sheet name="まっつん" sheetId="2844" r:id="rId14"/>
    <sheet name="Template" sheetId="2228" state="hidden" r:id="rId15"/>
    <sheet name="Cache" sheetId="2227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844" l="1"/>
  <c r="H50" i="2844"/>
  <c r="H49" i="2844"/>
  <c r="H48" i="2844"/>
  <c r="H47" i="2844"/>
  <c r="H46" i="2844"/>
  <c r="H45" i="2844"/>
  <c r="H44" i="2844"/>
  <c r="H43" i="2844"/>
  <c r="H42" i="2844"/>
  <c r="H41" i="2844"/>
  <c r="H40" i="2844"/>
  <c r="H39" i="2844"/>
  <c r="H38" i="2844"/>
  <c r="H37" i="2844"/>
  <c r="H36" i="2844"/>
  <c r="H35" i="2844"/>
  <c r="H34" i="2844"/>
  <c r="H33" i="2844"/>
  <c r="H32" i="2844"/>
  <c r="H31" i="2844"/>
  <c r="H30" i="2844"/>
  <c r="H6" i="2844"/>
  <c r="H29" i="2844"/>
  <c r="H28" i="2844"/>
  <c r="C27" i="2844"/>
  <c r="H27" i="2844"/>
  <c r="H10" i="2844"/>
  <c r="H26" i="2844"/>
  <c r="H5" i="2844"/>
  <c r="C23" i="2844"/>
  <c r="H25" i="2844"/>
  <c r="C22" i="2844"/>
  <c r="H24" i="2844"/>
  <c r="B21" i="2844"/>
  <c r="H23" i="2844"/>
  <c r="H22" i="2844"/>
  <c r="C19" i="2844"/>
  <c r="H9" i="2844"/>
  <c r="H21" i="2844"/>
  <c r="H20" i="2844"/>
  <c r="B16" i="2844"/>
  <c r="C17" i="2844" s="1"/>
  <c r="H19" i="2844"/>
  <c r="C15" i="2844"/>
  <c r="H18" i="2844"/>
  <c r="C14" i="2844"/>
  <c r="H17" i="2844"/>
  <c r="C13" i="2844"/>
  <c r="H16" i="2844"/>
  <c r="C12" i="2844"/>
  <c r="H4" i="2844"/>
  <c r="C11" i="2844"/>
  <c r="H15" i="2844"/>
  <c r="C10" i="2844"/>
  <c r="H8" i="2844"/>
  <c r="C9" i="2844"/>
  <c r="H14" i="2844"/>
  <c r="C8" i="2844"/>
  <c r="N7" i="2844"/>
  <c r="H13" i="2844"/>
  <c r="C7" i="2844"/>
  <c r="N6" i="2844"/>
  <c r="H2" i="2844"/>
  <c r="B6" i="2844"/>
  <c r="N5" i="2844"/>
  <c r="H12" i="2844"/>
  <c r="B5" i="2844"/>
  <c r="N4" i="2844"/>
  <c r="H3" i="2844"/>
  <c r="N3" i="2844"/>
  <c r="H11" i="2844"/>
  <c r="N2" i="2844"/>
  <c r="H7" i="2844"/>
  <c r="C16" i="2844" l="1"/>
  <c r="B20" i="2844"/>
  <c r="C18" i="2844"/>
  <c r="H51" i="2843" l="1"/>
  <c r="H50" i="2843"/>
  <c r="H49" i="2843"/>
  <c r="H48" i="2843"/>
  <c r="H47" i="2843"/>
  <c r="H46" i="2843"/>
  <c r="H45" i="2843"/>
  <c r="H44" i="2843"/>
  <c r="H43" i="2843"/>
  <c r="H42" i="2843"/>
  <c r="H41" i="2843"/>
  <c r="H40" i="2843"/>
  <c r="H39" i="2843"/>
  <c r="H38" i="2843"/>
  <c r="H37" i="2843"/>
  <c r="H36" i="2843"/>
  <c r="H35" i="2843"/>
  <c r="H34" i="2843"/>
  <c r="H33" i="2843"/>
  <c r="H32" i="2843"/>
  <c r="H14" i="2843"/>
  <c r="H31" i="2843"/>
  <c r="H11" i="2843"/>
  <c r="H30" i="2843"/>
  <c r="H29" i="2843"/>
  <c r="C27" i="2843"/>
  <c r="H10" i="2843"/>
  <c r="H28" i="2843"/>
  <c r="H27" i="2843"/>
  <c r="H26" i="2843"/>
  <c r="C23" i="2843"/>
  <c r="H25" i="2843"/>
  <c r="C22" i="2843"/>
  <c r="H24" i="2843"/>
  <c r="B21" i="2843"/>
  <c r="H23" i="2843"/>
  <c r="H22" i="2843"/>
  <c r="C19" i="2843"/>
  <c r="H21" i="2843"/>
  <c r="H20" i="2843"/>
  <c r="H19" i="2843"/>
  <c r="B16" i="2843"/>
  <c r="C17" i="2843" s="1"/>
  <c r="H18" i="2843"/>
  <c r="C15" i="2843"/>
  <c r="H17" i="2843"/>
  <c r="C14" i="2843"/>
  <c r="H16" i="2843"/>
  <c r="C13" i="2843"/>
  <c r="H15" i="2843"/>
  <c r="C12" i="2843"/>
  <c r="H5" i="2843"/>
  <c r="C11" i="2843"/>
  <c r="H13" i="2843"/>
  <c r="C10" i="2843"/>
  <c r="H7" i="2843"/>
  <c r="C9" i="2843"/>
  <c r="H9" i="2843"/>
  <c r="C8" i="2843"/>
  <c r="N7" i="2843"/>
  <c r="H8" i="2843"/>
  <c r="C7" i="2843"/>
  <c r="N6" i="2843"/>
  <c r="H3" i="2843"/>
  <c r="B6" i="2843"/>
  <c r="N5" i="2843"/>
  <c r="H6" i="2843"/>
  <c r="B5" i="2843"/>
  <c r="N4" i="2843"/>
  <c r="H2" i="2843"/>
  <c r="N3" i="2843"/>
  <c r="H12" i="2843"/>
  <c r="N2" i="2843"/>
  <c r="H4" i="2843"/>
  <c r="C16" i="2843" l="1"/>
  <c r="C18" i="2843"/>
  <c r="B20" i="2843"/>
  <c r="H51" i="2842" l="1"/>
  <c r="H50" i="2842"/>
  <c r="H49" i="2842"/>
  <c r="H48" i="2842"/>
  <c r="H47" i="2842"/>
  <c r="H46" i="2842"/>
  <c r="H45" i="2842"/>
  <c r="H44" i="2842"/>
  <c r="H43" i="2842"/>
  <c r="H42" i="2842"/>
  <c r="H41" i="2842"/>
  <c r="H40" i="2842"/>
  <c r="H39" i="2842"/>
  <c r="H38" i="2842"/>
  <c r="H37" i="2842"/>
  <c r="H36" i="2842"/>
  <c r="H35" i="2842"/>
  <c r="H34" i="2842"/>
  <c r="H23" i="2842"/>
  <c r="H33" i="2842"/>
  <c r="H22" i="2842"/>
  <c r="H32" i="2842"/>
  <c r="H9" i="2842"/>
  <c r="H31" i="2842"/>
  <c r="H30" i="2842"/>
  <c r="C27" i="2842"/>
  <c r="H12" i="2842"/>
  <c r="H29" i="2842"/>
  <c r="H21" i="2842"/>
  <c r="H16" i="2842"/>
  <c r="C23" i="2842"/>
  <c r="H28" i="2842"/>
  <c r="C22" i="2842"/>
  <c r="H17" i="2842"/>
  <c r="B21" i="2842"/>
  <c r="H27" i="2842"/>
  <c r="H26" i="2842"/>
  <c r="C19" i="2842"/>
  <c r="H20" i="2842"/>
  <c r="H13" i="2842"/>
  <c r="H19" i="2842"/>
  <c r="B16" i="2842"/>
  <c r="C17" i="2842" s="1"/>
  <c r="H25" i="2842"/>
  <c r="C15" i="2842"/>
  <c r="H18" i="2842"/>
  <c r="C14" i="2842"/>
  <c r="H24" i="2842"/>
  <c r="C13" i="2842"/>
  <c r="H15" i="2842"/>
  <c r="C12" i="2842"/>
  <c r="H4" i="2842"/>
  <c r="C11" i="2842"/>
  <c r="H14" i="2842"/>
  <c r="C10" i="2842"/>
  <c r="H10" i="2842"/>
  <c r="C9" i="2842"/>
  <c r="H8" i="2842"/>
  <c r="C8" i="2842"/>
  <c r="N7" i="2842"/>
  <c r="H7" i="2842"/>
  <c r="C7" i="2842"/>
  <c r="N6" i="2842"/>
  <c r="H2" i="2842"/>
  <c r="B6" i="2842"/>
  <c r="N5" i="2842"/>
  <c r="H6" i="2842"/>
  <c r="B5" i="2842"/>
  <c r="N4" i="2842"/>
  <c r="H3" i="2842"/>
  <c r="N3" i="2842"/>
  <c r="H11" i="2842"/>
  <c r="N2" i="2842"/>
  <c r="H5" i="2842"/>
  <c r="C16" i="2842" l="1"/>
  <c r="C18" i="2842"/>
  <c r="B20" i="2842"/>
  <c r="H51" i="2841" l="1"/>
  <c r="H50" i="2841"/>
  <c r="H49" i="2841"/>
  <c r="H48" i="2841"/>
  <c r="H47" i="2841"/>
  <c r="H46" i="2841"/>
  <c r="H45" i="2841"/>
  <c r="H44" i="2841"/>
  <c r="H43" i="2841"/>
  <c r="H42" i="2841"/>
  <c r="H41" i="2841"/>
  <c r="H40" i="2841"/>
  <c r="H39" i="2841"/>
  <c r="H38" i="2841"/>
  <c r="H37" i="2841"/>
  <c r="H36" i="2841"/>
  <c r="H35" i="2841"/>
  <c r="H34" i="2841"/>
  <c r="H33" i="2841"/>
  <c r="H32" i="2841"/>
  <c r="H31" i="2841"/>
  <c r="H30" i="2841"/>
  <c r="H29" i="2841"/>
  <c r="H28" i="2841"/>
  <c r="H27" i="2841"/>
  <c r="C27" i="2841"/>
  <c r="H26" i="2841"/>
  <c r="H25" i="2841"/>
  <c r="H24" i="2841"/>
  <c r="H23" i="2841"/>
  <c r="C23" i="2841"/>
  <c r="H22" i="2841"/>
  <c r="C22" i="2841"/>
  <c r="H21" i="2841"/>
  <c r="B21" i="2841"/>
  <c r="H20" i="2841"/>
  <c r="H19" i="2841"/>
  <c r="C19" i="2841"/>
  <c r="H18" i="2841"/>
  <c r="H17" i="2841"/>
  <c r="H16" i="2841"/>
  <c r="B16" i="2841"/>
  <c r="B20" i="2841" s="1"/>
  <c r="H15" i="2841"/>
  <c r="C15" i="2841"/>
  <c r="H14" i="2841"/>
  <c r="C14" i="2841"/>
  <c r="H13" i="2841"/>
  <c r="C13" i="2841"/>
  <c r="H12" i="2841"/>
  <c r="C12" i="2841"/>
  <c r="H11" i="2841"/>
  <c r="C11" i="2841"/>
  <c r="H10" i="2841"/>
  <c r="C10" i="2841"/>
  <c r="H9" i="2841"/>
  <c r="C9" i="2841"/>
  <c r="H8" i="2841"/>
  <c r="C8" i="2841"/>
  <c r="N7" i="2841"/>
  <c r="H7" i="2841"/>
  <c r="C7" i="2841"/>
  <c r="N6" i="2841"/>
  <c r="H6" i="2841"/>
  <c r="B6" i="2841"/>
  <c r="N5" i="2841"/>
  <c r="H5" i="2841"/>
  <c r="B5" i="2841"/>
  <c r="N4" i="2841"/>
  <c r="H4" i="2841"/>
  <c r="N3" i="2841"/>
  <c r="H3" i="2841"/>
  <c r="N2" i="2841"/>
  <c r="H2" i="2841"/>
  <c r="C17" i="2841" l="1"/>
  <c r="C16" i="2841"/>
  <c r="C18" i="2841"/>
  <c r="H51" i="2840" l="1"/>
  <c r="H50" i="2840"/>
  <c r="H49" i="2840"/>
  <c r="H48" i="2840"/>
  <c r="H47" i="2840"/>
  <c r="H46" i="2840"/>
  <c r="H45" i="2840"/>
  <c r="H44" i="2840"/>
  <c r="H43" i="2840"/>
  <c r="H42" i="2840"/>
  <c r="H41" i="2840"/>
  <c r="H40" i="2840"/>
  <c r="H39" i="2840"/>
  <c r="H38" i="2840"/>
  <c r="H37" i="2840"/>
  <c r="H36" i="2840"/>
  <c r="H35" i="2840"/>
  <c r="H34" i="2840"/>
  <c r="H33" i="2840"/>
  <c r="H32" i="2840"/>
  <c r="H19" i="2840"/>
  <c r="H31" i="2840"/>
  <c r="H10" i="2840"/>
  <c r="H30" i="2840"/>
  <c r="H29" i="2840"/>
  <c r="C27" i="2840"/>
  <c r="H13" i="2840"/>
  <c r="H28" i="2840"/>
  <c r="H18" i="2840"/>
  <c r="H17" i="2840"/>
  <c r="C23" i="2840"/>
  <c r="H27" i="2840"/>
  <c r="C22" i="2840"/>
  <c r="H15" i="2840"/>
  <c r="B21" i="2840"/>
  <c r="H26" i="2840"/>
  <c r="H25" i="2840"/>
  <c r="C19" i="2840"/>
  <c r="H24" i="2840"/>
  <c r="H14" i="2840"/>
  <c r="H23" i="2840"/>
  <c r="B16" i="2840"/>
  <c r="C17" i="2840" s="1"/>
  <c r="H22" i="2840"/>
  <c r="C15" i="2840"/>
  <c r="H21" i="2840"/>
  <c r="C14" i="2840"/>
  <c r="H16" i="2840"/>
  <c r="C13" i="2840"/>
  <c r="H20" i="2840"/>
  <c r="C12" i="2840"/>
  <c r="H5" i="2840"/>
  <c r="C11" i="2840"/>
  <c r="H12" i="2840"/>
  <c r="C10" i="2840"/>
  <c r="H11" i="2840"/>
  <c r="C9" i="2840"/>
  <c r="H8" i="2840"/>
  <c r="C8" i="2840"/>
  <c r="N7" i="2840"/>
  <c r="H7" i="2840"/>
  <c r="C7" i="2840"/>
  <c r="N6" i="2840"/>
  <c r="H2" i="2840"/>
  <c r="B6" i="2840"/>
  <c r="N5" i="2840"/>
  <c r="H6" i="2840"/>
  <c r="B5" i="2840"/>
  <c r="N4" i="2840"/>
  <c r="H3" i="2840"/>
  <c r="N3" i="2840"/>
  <c r="H9" i="2840"/>
  <c r="N2" i="2840"/>
  <c r="H4" i="2840"/>
  <c r="H51" i="2839"/>
  <c r="H50" i="2839"/>
  <c r="H49" i="2839"/>
  <c r="H48" i="2839"/>
  <c r="H47" i="2839"/>
  <c r="H46" i="2839"/>
  <c r="H45" i="2839"/>
  <c r="H44" i="2839"/>
  <c r="H43" i="2839"/>
  <c r="H42" i="2839"/>
  <c r="H41" i="2839"/>
  <c r="H40" i="2839"/>
  <c r="H39" i="2839"/>
  <c r="H38" i="2839"/>
  <c r="H37" i="2839"/>
  <c r="H36" i="2839"/>
  <c r="H35" i="2839"/>
  <c r="H34" i="2839"/>
  <c r="H33" i="2839"/>
  <c r="H32" i="2839"/>
  <c r="H31" i="2839"/>
  <c r="H30" i="2839"/>
  <c r="H10" i="2839"/>
  <c r="H29" i="2839"/>
  <c r="H28" i="2839"/>
  <c r="C27" i="2839"/>
  <c r="H13" i="2839"/>
  <c r="H27" i="2839"/>
  <c r="H26" i="2839"/>
  <c r="H18" i="2839"/>
  <c r="C23" i="2839"/>
  <c r="H25" i="2839"/>
  <c r="C22" i="2839"/>
  <c r="H17" i="2839"/>
  <c r="B21" i="2839"/>
  <c r="H24" i="2839"/>
  <c r="H23" i="2839"/>
  <c r="C19" i="2839"/>
  <c r="H12" i="2839"/>
  <c r="H11" i="2839"/>
  <c r="H22" i="2839"/>
  <c r="B16" i="2839"/>
  <c r="C17" i="2839" s="1"/>
  <c r="H21" i="2839"/>
  <c r="C15" i="2839"/>
  <c r="H16" i="2839"/>
  <c r="C14" i="2839"/>
  <c r="H20" i="2839"/>
  <c r="C13" i="2839"/>
  <c r="H19" i="2839"/>
  <c r="C12" i="2839"/>
  <c r="H3" i="2839"/>
  <c r="C11" i="2839"/>
  <c r="H15" i="2839"/>
  <c r="C10" i="2839"/>
  <c r="H14" i="2839"/>
  <c r="C9" i="2839"/>
  <c r="H9" i="2839"/>
  <c r="C8" i="2839"/>
  <c r="N7" i="2839"/>
  <c r="H7" i="2839"/>
  <c r="C7" i="2839"/>
  <c r="N6" i="2839"/>
  <c r="H2" i="2839"/>
  <c r="B6" i="2839"/>
  <c r="N5" i="2839"/>
  <c r="H8" i="2839"/>
  <c r="B5" i="2839"/>
  <c r="N4" i="2839"/>
  <c r="H4" i="2839"/>
  <c r="N3" i="2839"/>
  <c r="H6" i="2839"/>
  <c r="N2" i="2839"/>
  <c r="H5" i="2839"/>
  <c r="C16" i="2840" l="1"/>
  <c r="C18" i="2840"/>
  <c r="B20" i="2840"/>
  <c r="C16" i="2839"/>
  <c r="C18" i="2839"/>
  <c r="B20" i="2839"/>
  <c r="H51" i="2838" l="1"/>
  <c r="H50" i="2838"/>
  <c r="H49" i="2838"/>
  <c r="H48" i="2838"/>
  <c r="H47" i="2838"/>
  <c r="H46" i="2838"/>
  <c r="H45" i="2838"/>
  <c r="H44" i="2838"/>
  <c r="H43" i="2838"/>
  <c r="H42" i="2838"/>
  <c r="H41" i="2838"/>
  <c r="H40" i="2838"/>
  <c r="H39" i="2838"/>
  <c r="H38" i="2838"/>
  <c r="H37" i="2838"/>
  <c r="H36" i="2838"/>
  <c r="H35" i="2838"/>
  <c r="H34" i="2838"/>
  <c r="H33" i="2838"/>
  <c r="H32" i="2838"/>
  <c r="H31" i="2838"/>
  <c r="H30" i="2838"/>
  <c r="H29" i="2838"/>
  <c r="H28" i="2838"/>
  <c r="H27" i="2838"/>
  <c r="C27" i="2838"/>
  <c r="H11" i="2838"/>
  <c r="H26" i="2838"/>
  <c r="H25" i="2838"/>
  <c r="H24" i="2838"/>
  <c r="C23" i="2838"/>
  <c r="H23" i="2838"/>
  <c r="C22" i="2838"/>
  <c r="H22" i="2838"/>
  <c r="B21" i="2838"/>
  <c r="H21" i="2838"/>
  <c r="H20" i="2838"/>
  <c r="C19" i="2838"/>
  <c r="H8" i="2838"/>
  <c r="H19" i="2838"/>
  <c r="H18" i="2838"/>
  <c r="B16" i="2838"/>
  <c r="C17" i="2838" s="1"/>
  <c r="H17" i="2838"/>
  <c r="C15" i="2838"/>
  <c r="H16" i="2838"/>
  <c r="C14" i="2838"/>
  <c r="H15" i="2838"/>
  <c r="C13" i="2838"/>
  <c r="H14" i="2838"/>
  <c r="C12" i="2838"/>
  <c r="H5" i="2838"/>
  <c r="C11" i="2838"/>
  <c r="H13" i="2838"/>
  <c r="C10" i="2838"/>
  <c r="H12" i="2838"/>
  <c r="C9" i="2838"/>
  <c r="H10" i="2838"/>
  <c r="C8" i="2838"/>
  <c r="N7" i="2838"/>
  <c r="H6" i="2838"/>
  <c r="C7" i="2838"/>
  <c r="N6" i="2838"/>
  <c r="H3" i="2838"/>
  <c r="B6" i="2838"/>
  <c r="N5" i="2838"/>
  <c r="H7" i="2838"/>
  <c r="B5" i="2838"/>
  <c r="N4" i="2838"/>
  <c r="H9" i="2838"/>
  <c r="N3" i="2838"/>
  <c r="H4" i="2838"/>
  <c r="N2" i="2838"/>
  <c r="H2" i="2838"/>
  <c r="C16" i="2838" l="1"/>
  <c r="C18" i="2838"/>
  <c r="B20" i="2838"/>
  <c r="H51" i="2837" l="1"/>
  <c r="H50" i="2837"/>
  <c r="H49" i="2837"/>
  <c r="H48" i="2837"/>
  <c r="H47" i="2837"/>
  <c r="H46" i="2837"/>
  <c r="H45" i="2837"/>
  <c r="H44" i="2837"/>
  <c r="H43" i="2837"/>
  <c r="H42" i="2837"/>
  <c r="H41" i="2837"/>
  <c r="H40" i="2837"/>
  <c r="H39" i="2837"/>
  <c r="H38" i="2837"/>
  <c r="H37" i="2837"/>
  <c r="H36" i="2837"/>
  <c r="H35" i="2837"/>
  <c r="H34" i="2837"/>
  <c r="H33" i="2837"/>
  <c r="H32" i="2837"/>
  <c r="H31" i="2837"/>
  <c r="H30" i="2837"/>
  <c r="H14" i="2837"/>
  <c r="H29" i="2837"/>
  <c r="H28" i="2837"/>
  <c r="C27" i="2837"/>
  <c r="H13" i="2837"/>
  <c r="H27" i="2837"/>
  <c r="H26" i="2837"/>
  <c r="H11" i="2837"/>
  <c r="C23" i="2837"/>
  <c r="H25" i="2837"/>
  <c r="C22" i="2837"/>
  <c r="H12" i="2837"/>
  <c r="B21" i="2837"/>
  <c r="H24" i="2837"/>
  <c r="H23" i="2837"/>
  <c r="C19" i="2837"/>
  <c r="H22" i="2837"/>
  <c r="H15" i="2837"/>
  <c r="H21" i="2837"/>
  <c r="B16" i="2837"/>
  <c r="B20" i="2837" s="1"/>
  <c r="H20" i="2837"/>
  <c r="C15" i="2837"/>
  <c r="H19" i="2837"/>
  <c r="C14" i="2837"/>
  <c r="H18" i="2837"/>
  <c r="C13" i="2837"/>
  <c r="H17" i="2837"/>
  <c r="C12" i="2837"/>
  <c r="H4" i="2837"/>
  <c r="C11" i="2837"/>
  <c r="H16" i="2837"/>
  <c r="C10" i="2837"/>
  <c r="H10" i="2837"/>
  <c r="C9" i="2837"/>
  <c r="H9" i="2837"/>
  <c r="C8" i="2837"/>
  <c r="N7" i="2837"/>
  <c r="H7" i="2837"/>
  <c r="C7" i="2837"/>
  <c r="N6" i="2837"/>
  <c r="H3" i="2837"/>
  <c r="B6" i="2837"/>
  <c r="N5" i="2837"/>
  <c r="H6" i="2837"/>
  <c r="B5" i="2837"/>
  <c r="N4" i="2837"/>
  <c r="H2" i="2837"/>
  <c r="N3" i="2837"/>
  <c r="H8" i="2837"/>
  <c r="N2" i="2837"/>
  <c r="H5" i="2837"/>
  <c r="H51" i="2836"/>
  <c r="H50" i="2836"/>
  <c r="H49" i="2836"/>
  <c r="H48" i="2836"/>
  <c r="H47" i="2836"/>
  <c r="H46" i="2836"/>
  <c r="H45" i="2836"/>
  <c r="H44" i="2836"/>
  <c r="H43" i="2836"/>
  <c r="H42" i="2836"/>
  <c r="H41" i="2836"/>
  <c r="H40" i="2836"/>
  <c r="H39" i="2836"/>
  <c r="H38" i="2836"/>
  <c r="H37" i="2836"/>
  <c r="H36" i="2836"/>
  <c r="H35" i="2836"/>
  <c r="H34" i="2836"/>
  <c r="H33" i="2836"/>
  <c r="H20" i="2836"/>
  <c r="H14" i="2836"/>
  <c r="H32" i="2836"/>
  <c r="H9" i="2836"/>
  <c r="H24" i="2836"/>
  <c r="H23" i="2836"/>
  <c r="C27" i="2836"/>
  <c r="H12" i="2836"/>
  <c r="H19" i="2836"/>
  <c r="H22" i="2836"/>
  <c r="H13" i="2836"/>
  <c r="C23" i="2836"/>
  <c r="H31" i="2836"/>
  <c r="C22" i="2836"/>
  <c r="H15" i="2836"/>
  <c r="B21" i="2836"/>
  <c r="H21" i="2836"/>
  <c r="H30" i="2836"/>
  <c r="C19" i="2836"/>
  <c r="H18" i="2836"/>
  <c r="H17" i="2836"/>
  <c r="H29" i="2836"/>
  <c r="B16" i="2836"/>
  <c r="B20" i="2836" s="1"/>
  <c r="H28" i="2836"/>
  <c r="C15" i="2836"/>
  <c r="H27" i="2836"/>
  <c r="C14" i="2836"/>
  <c r="H26" i="2836"/>
  <c r="C13" i="2836"/>
  <c r="H25" i="2836"/>
  <c r="C12" i="2836"/>
  <c r="H5" i="2836"/>
  <c r="C11" i="2836"/>
  <c r="H16" i="2836"/>
  <c r="C10" i="2836"/>
  <c r="H8" i="2836"/>
  <c r="C9" i="2836"/>
  <c r="H10" i="2836"/>
  <c r="C8" i="2836"/>
  <c r="N7" i="2836"/>
  <c r="H6" i="2836"/>
  <c r="C7" i="2836"/>
  <c r="N6" i="2836"/>
  <c r="H2" i="2836"/>
  <c r="B6" i="2836"/>
  <c r="N5" i="2836"/>
  <c r="H7" i="2836"/>
  <c r="B5" i="2836"/>
  <c r="N4" i="2836"/>
  <c r="H3" i="2836"/>
  <c r="N3" i="2836"/>
  <c r="H11" i="2836"/>
  <c r="N2" i="2836"/>
  <c r="H4" i="2836"/>
  <c r="C17" i="2837" l="1"/>
  <c r="C16" i="2837"/>
  <c r="C18" i="2837"/>
  <c r="C16" i="2836"/>
  <c r="C17" i="2836"/>
  <c r="C18" i="2836"/>
  <c r="H51" i="2835" l="1"/>
  <c r="H50" i="2835"/>
  <c r="H49" i="2835"/>
  <c r="H48" i="2835"/>
  <c r="H47" i="2835"/>
  <c r="H46" i="2835"/>
  <c r="H45" i="2835"/>
  <c r="H44" i="2835"/>
  <c r="H43" i="2835"/>
  <c r="H42" i="2835"/>
  <c r="H41" i="2835"/>
  <c r="H40" i="2835"/>
  <c r="H39" i="2835"/>
  <c r="H38" i="2835"/>
  <c r="H37" i="2835"/>
  <c r="H36" i="2835"/>
  <c r="H35" i="2835"/>
  <c r="H34" i="2835"/>
  <c r="H33" i="2835"/>
  <c r="H32" i="2835"/>
  <c r="H31" i="2835"/>
  <c r="H30" i="2835"/>
  <c r="H29" i="2835"/>
  <c r="H28" i="2835"/>
  <c r="H27" i="2835"/>
  <c r="C27" i="2835"/>
  <c r="H26" i="2835"/>
  <c r="H25" i="2835"/>
  <c r="H24" i="2835"/>
  <c r="H23" i="2835"/>
  <c r="C23" i="2835"/>
  <c r="H22" i="2835"/>
  <c r="C22" i="2835"/>
  <c r="H21" i="2835"/>
  <c r="B21" i="2835"/>
  <c r="H20" i="2835"/>
  <c r="H19" i="2835"/>
  <c r="C19" i="2835"/>
  <c r="H18" i="2835"/>
  <c r="H17" i="2835"/>
  <c r="H16" i="2835"/>
  <c r="B16" i="2835"/>
  <c r="C17" i="2835" s="1"/>
  <c r="H15" i="2835"/>
  <c r="C15" i="2835"/>
  <c r="H14" i="2835"/>
  <c r="C14" i="2835"/>
  <c r="H13" i="2835"/>
  <c r="C13" i="2835"/>
  <c r="H12" i="2835"/>
  <c r="C12" i="2835"/>
  <c r="H11" i="2835"/>
  <c r="C11" i="2835"/>
  <c r="H5" i="2835"/>
  <c r="C10" i="2835"/>
  <c r="H10" i="2835"/>
  <c r="C9" i="2835"/>
  <c r="H4" i="2835"/>
  <c r="C8" i="2835"/>
  <c r="N7" i="2835"/>
  <c r="H9" i="2835"/>
  <c r="C7" i="2835"/>
  <c r="N6" i="2835"/>
  <c r="H8" i="2835"/>
  <c r="B6" i="2835"/>
  <c r="N5" i="2835"/>
  <c r="H2" i="2835"/>
  <c r="B5" i="2835"/>
  <c r="N4" i="2835"/>
  <c r="H7" i="2835"/>
  <c r="N3" i="2835"/>
  <c r="H6" i="2835"/>
  <c r="N2" i="2835"/>
  <c r="H3" i="2835"/>
  <c r="H51" i="2834"/>
  <c r="H50" i="2834"/>
  <c r="H49" i="2834"/>
  <c r="H48" i="2834"/>
  <c r="H47" i="2834"/>
  <c r="H46" i="2834"/>
  <c r="H45" i="2834"/>
  <c r="H44" i="2834"/>
  <c r="H43" i="2834"/>
  <c r="H42" i="2834"/>
  <c r="H41" i="2834"/>
  <c r="H40" i="2834"/>
  <c r="H39" i="2834"/>
  <c r="H38" i="2834"/>
  <c r="H37" i="2834"/>
  <c r="H36" i="2834"/>
  <c r="H35" i="2834"/>
  <c r="H34" i="2834"/>
  <c r="H33" i="2834"/>
  <c r="H32" i="2834"/>
  <c r="H31" i="2834"/>
  <c r="H30" i="2834"/>
  <c r="H29" i="2834"/>
  <c r="H28" i="2834"/>
  <c r="H27" i="2834"/>
  <c r="C27" i="2834"/>
  <c r="H26" i="2834"/>
  <c r="H25" i="2834"/>
  <c r="H24" i="2834"/>
  <c r="H23" i="2834"/>
  <c r="C23" i="2834"/>
  <c r="H22" i="2834"/>
  <c r="C22" i="2834"/>
  <c r="H21" i="2834"/>
  <c r="B21" i="2834"/>
  <c r="H20" i="2834"/>
  <c r="H19" i="2834"/>
  <c r="C19" i="2834"/>
  <c r="H18" i="2834"/>
  <c r="H17" i="2834"/>
  <c r="H16" i="2834"/>
  <c r="B16" i="2834"/>
  <c r="C17" i="2834" s="1"/>
  <c r="H15" i="2834"/>
  <c r="C15" i="2834"/>
  <c r="H14" i="2834"/>
  <c r="C14" i="2834"/>
  <c r="H13" i="2834"/>
  <c r="C13" i="2834"/>
  <c r="H12" i="2834"/>
  <c r="C12" i="2834"/>
  <c r="H11" i="2834"/>
  <c r="C11" i="2834"/>
  <c r="H10" i="2834"/>
  <c r="C10" i="2834"/>
  <c r="H9" i="2834"/>
  <c r="C9" i="2834"/>
  <c r="H8" i="2834"/>
  <c r="C8" i="2834"/>
  <c r="N7" i="2834"/>
  <c r="H7" i="2834"/>
  <c r="C7" i="2834"/>
  <c r="N6" i="2834"/>
  <c r="H6" i="2834"/>
  <c r="B6" i="2834"/>
  <c r="N5" i="2834"/>
  <c r="H5" i="2834"/>
  <c r="B5" i="2834"/>
  <c r="N4" i="2834"/>
  <c r="H4" i="2834"/>
  <c r="N3" i="2834"/>
  <c r="H3" i="2834"/>
  <c r="N2" i="2834"/>
  <c r="H2" i="2834"/>
  <c r="H51" i="2833"/>
  <c r="H50" i="2833"/>
  <c r="H49" i="2833"/>
  <c r="H48" i="2833"/>
  <c r="H47" i="2833"/>
  <c r="H26" i="2833"/>
  <c r="H46" i="2833"/>
  <c r="H45" i="2833"/>
  <c r="H44" i="2833"/>
  <c r="H43" i="2833"/>
  <c r="H42" i="2833"/>
  <c r="H41" i="2833"/>
  <c r="H40" i="2833"/>
  <c r="H39" i="2833"/>
  <c r="H38" i="2833"/>
  <c r="H37" i="2833"/>
  <c r="H36" i="2833"/>
  <c r="H35" i="2833"/>
  <c r="H34" i="2833"/>
  <c r="H20" i="2833"/>
  <c r="H19" i="2833"/>
  <c r="H25" i="2833"/>
  <c r="H9" i="2833"/>
  <c r="H33" i="2833"/>
  <c r="H24" i="2833"/>
  <c r="C27" i="2833"/>
  <c r="H13" i="2833"/>
  <c r="H23" i="2833"/>
  <c r="H32" i="2833"/>
  <c r="H14" i="2833"/>
  <c r="C23" i="2833"/>
  <c r="H31" i="2833"/>
  <c r="C22" i="2833"/>
  <c r="H15" i="2833"/>
  <c r="B21" i="2833"/>
  <c r="H30" i="2833"/>
  <c r="H29" i="2833"/>
  <c r="C19" i="2833"/>
  <c r="H22" i="2833"/>
  <c r="H21" i="2833"/>
  <c r="H17" i="2833"/>
  <c r="B16" i="2833"/>
  <c r="B20" i="2833" s="1"/>
  <c r="H28" i="2833"/>
  <c r="C15" i="2833"/>
  <c r="H18" i="2833"/>
  <c r="C14" i="2833"/>
  <c r="H27" i="2833"/>
  <c r="C13" i="2833"/>
  <c r="H16" i="2833"/>
  <c r="C12" i="2833"/>
  <c r="H4" i="2833"/>
  <c r="C11" i="2833"/>
  <c r="H12" i="2833"/>
  <c r="C10" i="2833"/>
  <c r="H10" i="2833"/>
  <c r="C9" i="2833"/>
  <c r="H8" i="2833"/>
  <c r="C8" i="2833"/>
  <c r="N7" i="2833"/>
  <c r="H6" i="2833"/>
  <c r="C7" i="2833"/>
  <c r="N6" i="2833"/>
  <c r="H2" i="2833"/>
  <c r="B6" i="2833"/>
  <c r="N5" i="2833"/>
  <c r="H7" i="2833"/>
  <c r="B5" i="2833"/>
  <c r="N4" i="2833"/>
  <c r="H3" i="2833"/>
  <c r="N3" i="2833"/>
  <c r="H11" i="2833"/>
  <c r="N2" i="2833"/>
  <c r="H5" i="2833"/>
  <c r="C16" i="2834" l="1"/>
  <c r="C16" i="2835"/>
  <c r="C18" i="2835"/>
  <c r="B20" i="2835"/>
  <c r="C18" i="2834"/>
  <c r="B20" i="2834"/>
  <c r="C16" i="2833"/>
  <c r="C17" i="2833"/>
  <c r="C18" i="2833"/>
  <c r="C27" i="2228" l="1"/>
  <c r="C13" i="2228" l="1"/>
  <c r="C12" i="2228"/>
  <c r="C19" i="2228" l="1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30" i="2416"/>
  <c r="D22" i="2416"/>
  <c r="D17" i="2416"/>
  <c r="D27" i="2416"/>
  <c r="D9" i="2416"/>
  <c r="D29" i="2416"/>
  <c r="D25" i="2416"/>
  <c r="D12" i="2416"/>
  <c r="D20" i="2416"/>
  <c r="D24" i="2416"/>
  <c r="D13" i="2416"/>
  <c r="D34" i="2416"/>
  <c r="D16" i="2416"/>
  <c r="D26" i="2416"/>
  <c r="D33" i="2416"/>
  <c r="D18" i="2416"/>
  <c r="D15" i="2416"/>
  <c r="D23" i="2416"/>
  <c r="D32" i="2416"/>
  <c r="D21" i="2416"/>
  <c r="D28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<sst xmlns="http://schemas.openxmlformats.org/spreadsheetml/2006/main" count="2404" uniqueCount="237">
  <si>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</si>
  <si>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</si>
  <si>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</si>
  <si>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</si>
  <si>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</si>
  <si>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</si>
  <si>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</si>
  <si>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</si>
  <si>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</si>
  <si>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</si>
  <si>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</si>
  <si>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</si>
  <si>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</si>
  <si>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</si>
  <si>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</si>
  <si>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</si>
  <si>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</si>
  <si>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</si>
  <si>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</si>
  <si>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</si>
  <si>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</si>
  <si>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</si>
  <si>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</si>
  <si>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</si>
  <si>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</si>
  <si>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</si>
  <si>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</si>
  <si>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</si>
  <si>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</si>
  <si>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</si>
  <si>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</si>
  <si>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</si>
  <si>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</si>
  <si>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</si>
  <si>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</si>
  <si>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</si>
  <si>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</si>
  <si>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</si>
  <si>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</si>
  <si>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</si>
  <si>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</si>
  <si>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</si>
  <si>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</si>
  <si>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</si>
  <si>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</si>
  <si>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</si>
  <si>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</si>
  <si>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</si>
  <si>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</si>
  <si>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</si>
  <si>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</si>
  <si>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</si>
  <si>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</si>
  <si>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</si>
  <si>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</si>
  <si>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</si>
  <si>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</si>
  <si>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</si>
  <si>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</si>
  <si>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</si>
  <si>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</si>
  <si>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</si>
  <si>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</si>
  <si>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</si>
  <si>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</si>
  <si>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</si>
  <si>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</si>
  <si>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</si>
  <si>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</si>
  <si>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</si>
  <si>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</si>
  <si>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</si>
  <si>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</si>
  <si>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</si>
  <si>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</si>
  <si>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</si>
  <si>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</si>
  <si>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</si>
  <si>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</si>
  <si>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</si>
  <si>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</si>
  <si>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</si>
  <si>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</si>
  <si>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</si>
  <si>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</si>
  <si>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</si>
  <si>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</si>
  <si>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</si>
  <si>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</si>
  <si>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</si>
  <si>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</si>
  <si>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</si>
  <si>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</si>
  <si>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</si>
  <si>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</si>
  <si>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</si>
  <si>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</si>
  <si>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</si>
  <si>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</si>
  <si>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</si>
  <si>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</si>
  <si>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</si>
  <si>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</si>
  <si>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</si>
  <si>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</si>
  <si>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</si>
  <si>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</si>
  <si>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</si>
  <si>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</si>
  <si>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</si>
  <si>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</si>
  <si>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</si>
  <si>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</si>
  <si>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</si>
  <si>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</si>
  <si>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</si>
  <si>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</si>
  <si>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</si>
  <si>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</si>
  <si>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</si>
  <si>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</si>
  <si>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</si>
  <si>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</si>
  <si>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</si>
  <si>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</si>
  <si>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</si>
  <si>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</si>
  <si>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</si>
  <si>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</si>
  <si>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</si>
  <si>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</si>
  <si>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</si>
  <si>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</si>
  <si>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</si>
  <si>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</si>
  <si>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</si>
  <si>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</si>
  <si>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</si>
  <si>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</si>
  <si>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</si>
  <si>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</si>
  <si>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</si>
  <si>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</si>
  <si>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</si>
  <si>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</si>
  <si>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</si>
  <si>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</si>
  <si>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</si>
  <si>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</si>
  <si>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</si>
  <si>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</si>
  <si>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</si>
  <si>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</si>
  <si>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</si>
  <si>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</si>
  <si>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</si>
  <si>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</si>
  <si>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</si>
  <si>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</si>
  <si>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</si>
  <si>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</si>
  <si>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</si>
  <si>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</si>
  <si>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</si>
  <si>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</si>
  <si>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</si>
  <si>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</si>
  <si>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</si>
  <si>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</si>
  <si>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</si>
  <si>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</si>
  <si>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</si>
  <si>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</si>
  <si>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</si>
  <si>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</si>
  <si>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</si>
  <si>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</si>
  <si>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</si>
  <si>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</si>
  <si>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</si>
  <si>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</si>
  <si>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</si>
  <si>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</si>
  <si>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</si>
  <si>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</si>
  <si>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</si>
  <si>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</si>
  <si>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</si>
  <si>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</si>
  <si>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</si>
  <si>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</si>
  <si>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</si>
  <si>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</si>
  <si>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</si>
  <si>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</si>
  <si>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</si>
  <si>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</si>
  <si>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</si>
  <si>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</si>
  <si>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</si>
  <si>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</si>
  <si>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</si>
  <si>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</si>
  <si>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</si>
  <si>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ツモ</t>
  </si>
  <si>
    <t>国士13面</t>
  </si>
  <si>
    <t>四暗刻単騎</t>
  </si>
  <si>
    <t>純正九蓮</t>
  </si>
  <si>
    <t>01</t>
  </si>
  <si>
    <t>02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</si>
  <si>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</si>
  <si>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</si>
  <si>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</si>
  <si>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</si>
  <si>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</si>
  <si>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</si>
  <si>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</si>
  <si>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</si>
  <si>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</si>
  <si>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</si>
  <si>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</si>
  <si>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</si>
  <si>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</si>
  <si>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</si>
  <si>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</si>
  <si>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</si>
  <si>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</si>
  <si>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</si>
  <si>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</si>
  <si>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  <phoneticPr fontId="1"/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</si>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</sst>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だいち!$K$2:$K$137</c:f>
              <c:numCache>
                <c:formatCode>\+0;\-0;\±0</c:formatCode>
                <c:ptCount val="136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D5-4D2E-95D5-B2E1BA6B6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1409.9236641221373</c:v>
                </c:pt>
                <c:pt idx="1">
                  <c:v>1593.6</c:v>
                </c:pt>
                <c:pt idx="2">
                  <c:v>993.04347826086962</c:v>
                </c:pt>
                <c:pt idx="3">
                  <c:v>1945.0980392156862</c:v>
                </c:pt>
                <c:pt idx="4">
                  <c:v>207.22891566265059</c:v>
                </c:pt>
                <c:pt idx="5">
                  <c:v>262.29508196721309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1-4AC2-ABA9-9743B5708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32-4906-A308-87096C893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2-4952-97A2-81F1556CA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D9-46D6-A9FB-39FAF21B7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0-446B-B3B9-BC749C73F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りくと!$K$2:$K$98</c:f>
              <c:numCache>
                <c:formatCode>\+0;\-0;\±0</c:formatCode>
                <c:ptCount val="9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D0-4252-BFF7-4422C6791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-746.80851063829789</c:v>
                </c:pt>
                <c:pt idx="1">
                  <c:v>-1688.8888888888889</c:v>
                </c:pt>
                <c:pt idx="2">
                  <c:v>2085.0574712643679</c:v>
                </c:pt>
                <c:pt idx="3">
                  <c:v>-2153.2467532467531</c:v>
                </c:pt>
                <c:pt idx="4">
                  <c:v>-1843.5483870967741</c:v>
                </c:pt>
                <c:pt idx="5">
                  <c:v>-2087.2340425531916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17F-8C8C-9AF41BA44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いっしー!$K$2:$K$50</c:f>
              <c:numCache>
                <c:formatCode>\+0;\-0;\±0</c:formatCode>
                <c:ptCount val="49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7-4B58-B461-67C1E6B1C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-718.75</c:v>
                </c:pt>
                <c:pt idx="1">
                  <c:v>2878.2608695652175</c:v>
                </c:pt>
                <c:pt idx="2">
                  <c:v>-272.72727272727275</c:v>
                </c:pt>
                <c:pt idx="3">
                  <c:v>-1586.4864864864865</c:v>
                </c:pt>
                <c:pt idx="4">
                  <c:v>6312.9032258064517</c:v>
                </c:pt>
                <c:pt idx="5">
                  <c:v>-323.8095238095238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C9-4639-A769-DAFE45C09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23-4F4D-90BB-6119E194B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2F-410E-820B-86EBE10BB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たかの!$K$2:$K$49</c:f>
              <c:numCache>
                <c:formatCode>\+0;\-0;\±0</c:formatCode>
                <c:ptCount val="4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  <c:pt idx="44">
                  <c:v>-214.1</c:v>
                </c:pt>
                <c:pt idx="45">
                  <c:v>-215.2</c:v>
                </c:pt>
                <c:pt idx="46">
                  <c:v>-252.39999999999998</c:v>
                </c:pt>
                <c:pt idx="47">
                  <c:v>-293.7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3-4FD2-BC37-D4F95F119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-2706.3829787234044</c:v>
                </c:pt>
                <c:pt idx="1">
                  <c:v>-2675</c:v>
                </c:pt>
                <c:pt idx="2">
                  <c:v>-994.73684210526312</c:v>
                </c:pt>
                <c:pt idx="3">
                  <c:v>1694.4444444444443</c:v>
                </c:pt>
                <c:pt idx="4">
                  <c:v>-2866.6666666666665</c:v>
                </c:pt>
                <c:pt idx="5">
                  <c:v>257.14285714285717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3F-40AE-9360-4E02328A9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0-48F9-9080-E8B7FE508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3357.1428571428573</c:v>
                </c:pt>
                <c:pt idx="1">
                  <c:v>-45.652173913043477</c:v>
                </c:pt>
                <c:pt idx="2">
                  <c:v>-26.19047619047619</c:v>
                </c:pt>
                <c:pt idx="3">
                  <c:v>-1146.1538461538462</c:v>
                </c:pt>
                <c:pt idx="4">
                  <c:v>1250</c:v>
                </c:pt>
                <c:pt idx="5">
                  <c:v>-1080.7692307692307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6-4F39-AE13-B24536950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04-42AC-8634-169966762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C-454B-8A29-8ADE4B6CF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れんたろう!$K$2:$K$54</c:f>
              <c:numCache>
                <c:formatCode>\+0;\-0;\±0</c:formatCode>
                <c:ptCount val="5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9-4D5F-9AF0-CD776FC34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-2541.6666666666665</c:v>
                </c:pt>
                <c:pt idx="1">
                  <c:v>-1775</c:v>
                </c:pt>
                <c:pt idx="2">
                  <c:v>-3437.7777777777778</c:v>
                </c:pt>
                <c:pt idx="3">
                  <c:v>-392.6829268292683</c:v>
                </c:pt>
                <c:pt idx="4">
                  <c:v>-1064.8648648648648</c:v>
                </c:pt>
                <c:pt idx="5">
                  <c:v>3825.9259259259261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D-436B-880A-0F8C448C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C-4B7F-89FB-A772BDBCD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9-4473-9E76-1C9FCF030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まっつん!$K$2:$K$9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86-4260-835A-EC57AD017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-685.71428571428567</c:v>
                </c:pt>
                <c:pt idx="1">
                  <c:v>6071.4285714285716</c:v>
                </c:pt>
                <c:pt idx="2">
                  <c:v>540</c:v>
                </c:pt>
                <c:pt idx="3">
                  <c:v>2575</c:v>
                </c:pt>
                <c:pt idx="4">
                  <c:v>-4833.333333333333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1F-48E0-A2A9-C5461BBC3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9C38AA-1937-4CAD-8EF1-5590621160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904F129-58E9-4E70-B45E-976A6351F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2DD4A8-3A19-4518-8DEA-4839EC2CA4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DAE8A2-9909-4EE2-A109-A11FC7BAF6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CC476F-0CCE-4712-8798-8853AD4E69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447B56-0827-4362-99DB-C97BF8B34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5ED5E7-3410-4028-89AF-85DEF52D9B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9B1B66-D1BB-4ED3-B54D-6F8A8CBABC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F82463-BC94-45D9-828F-ED04B3D06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97E1086-3DA8-4BE2-86E9-16B95916B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C70721-6F27-4353-B6DB-45D515A923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52D074-BEC1-4DFB-8E3E-4FD270071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407C2F-D434-4F94-AB79-F097CD39C0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7DDED1C-5AED-4341-81CF-76E75AE176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5393F9-3BB9-4589-A254-D95CE001F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24FA8A-7688-44BB-89B3-14E57A649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95B668-8D94-45A4-B147-E61E85CEC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ADB2655-A211-4534-A5D2-B953DE341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9E851E-3885-4C1A-A35F-9C1C912A68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B137B1-9A83-4B1F-918C-2F35207682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23DB14-BF38-44C8-A60B-21CF49B2A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6C822B-1022-4ECD-BC80-7D16874FC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FE09DC-BA36-4CE2-A229-7BAC74028D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EB45FB9-591B-418C-ABD8-AA93E0FA0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16" customWidth="1"/>
    <col min="34" max="34" width="10.75" style="1" customWidth="1"/>
    <col min="35" max="35" width="10.75" style="77" customWidth="1"/>
    <col min="36" max="36" width="10.75" style="1" customWidth="1"/>
    <col min="37" max="37" width="10.75" style="81" customWidth="1"/>
    <col min="38" max="16384" width="9" style="4"/>
  </cols>
  <sheetData>
    <row r="1" spans="1:37" x14ac:dyDescent="0.4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200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236</v>
      </c>
      <c r="AE1" s="85"/>
      <c r="AF1" s="84" t="s">
        <v>188</v>
      </c>
      <c r="AG1" s="85"/>
      <c r="AH1" s="84" t="s">
        <v>211</v>
      </c>
      <c r="AI1" s="85"/>
      <c r="AJ1" s="84" t="s">
        <v>212</v>
      </c>
      <c r="AK1" s="85"/>
    </row>
    <row r="2" spans="1:37" x14ac:dyDescent="0.4">
      <c r="A2" s="8">
        <v>1</v>
      </c>
      <c r="B2" s="9" t="s">
        <v>137</v>
      </c>
      <c r="C2" s="11">
        <v>765.70000000000016</v>
      </c>
      <c r="D2" s="10" t="s">
        <v>202</v>
      </c>
      <c r="E2" s="11">
        <v>17.8</v>
      </c>
      <c r="F2" s="10" t="s">
        <v>202</v>
      </c>
      <c r="G2" s="12">
        <v>1.6</v>
      </c>
      <c r="H2" s="10" t="s">
        <v>202</v>
      </c>
      <c r="I2" s="17">
        <v>0.6</v>
      </c>
      <c r="J2" s="10" t="s">
        <v>202</v>
      </c>
      <c r="K2" s="15">
        <v>0.39130434782608697</v>
      </c>
      <c r="L2" s="10" t="s">
        <v>202</v>
      </c>
      <c r="M2" s="15">
        <v>6.5217391304347824E-2</v>
      </c>
      <c r="N2" s="10" t="s">
        <v>141</v>
      </c>
      <c r="O2" s="13">
        <v>11308.152173913044</v>
      </c>
      <c r="P2" s="10" t="s">
        <v>202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0.45454545454545453</v>
      </c>
      <c r="X2" s="10" t="s">
        <v>203</v>
      </c>
      <c r="Y2" s="15">
        <v>0.47916666666666669</v>
      </c>
      <c r="Z2" s="10" t="s">
        <v>145</v>
      </c>
      <c r="AA2" s="15">
        <v>0.75</v>
      </c>
      <c r="AB2" s="10" t="s">
        <v>202</v>
      </c>
      <c r="AC2" s="15">
        <v>0.5</v>
      </c>
      <c r="AD2" s="10" t="s">
        <v>138</v>
      </c>
      <c r="AE2" s="15">
        <v>1</v>
      </c>
      <c r="AF2" s="10" t="s">
        <v>202</v>
      </c>
      <c r="AG2" s="15">
        <v>0.46666666666666667</v>
      </c>
      <c r="AH2" s="10" t="s">
        <v>137</v>
      </c>
      <c r="AI2" s="76">
        <v>10</v>
      </c>
      <c r="AJ2" s="10" t="s">
        <v>160</v>
      </c>
      <c r="AK2" s="80">
        <v>5</v>
      </c>
    </row>
    <row r="3" spans="1:37" x14ac:dyDescent="0.4">
      <c r="A3" s="7">
        <v>2</v>
      </c>
      <c r="B3" s="6" t="s">
        <v>142</v>
      </c>
      <c r="C3" s="3">
        <v>213.70000000000005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0.3574338085539715</v>
      </c>
      <c r="L3" s="1" t="s">
        <v>139</v>
      </c>
      <c r="M3" s="16">
        <v>0.125</v>
      </c>
      <c r="N3" s="1" t="s">
        <v>149</v>
      </c>
      <c r="O3" s="2">
        <v>10903.27868852459</v>
      </c>
      <c r="P3" s="1" t="s">
        <v>203</v>
      </c>
      <c r="Q3" s="2">
        <v>-6914.2857142857147</v>
      </c>
      <c r="R3" s="1" t="s">
        <v>202</v>
      </c>
      <c r="S3" s="18">
        <v>0</v>
      </c>
      <c r="T3" s="1" t="s">
        <v>137</v>
      </c>
      <c r="U3" s="18">
        <v>0.23703703703703705</v>
      </c>
      <c r="V3" s="1" t="s">
        <v>202</v>
      </c>
      <c r="W3" s="16">
        <v>0.43478260869565216</v>
      </c>
      <c r="X3" s="1" t="s">
        <v>142</v>
      </c>
      <c r="Y3" s="16">
        <v>0.32380952380952382</v>
      </c>
      <c r="Z3" s="1" t="s">
        <v>142</v>
      </c>
      <c r="AA3" s="16">
        <v>0.68181818181818177</v>
      </c>
      <c r="AB3" s="1" t="s">
        <v>137</v>
      </c>
      <c r="AC3" s="16">
        <v>0.48695652173913045</v>
      </c>
      <c r="AD3" s="1" t="s">
        <v>156</v>
      </c>
      <c r="AE3" s="16">
        <v>0.4642857142857143</v>
      </c>
      <c r="AF3" s="1" t="s">
        <v>145</v>
      </c>
      <c r="AG3" s="16">
        <v>0.46153846153846156</v>
      </c>
      <c r="AH3" s="1" t="s">
        <v>141</v>
      </c>
      <c r="AI3" s="77">
        <v>10</v>
      </c>
      <c r="AJ3" s="1" t="s">
        <v>141</v>
      </c>
      <c r="AK3" s="81">
        <v>4</v>
      </c>
    </row>
    <row r="4" spans="1:37" x14ac:dyDescent="0.4">
      <c r="A4" s="7">
        <v>3</v>
      </c>
      <c r="B4" s="6" t="s">
        <v>149</v>
      </c>
      <c r="C4" s="3">
        <v>166.69999999999996</v>
      </c>
      <c r="D4" s="1" t="s">
        <v>137</v>
      </c>
      <c r="E4" s="3">
        <v>5.6718518518518533</v>
      </c>
      <c r="F4" s="1" t="s">
        <v>137</v>
      </c>
      <c r="G4" s="5">
        <v>1.8296296296296297</v>
      </c>
      <c r="H4" s="1" t="s">
        <v>137</v>
      </c>
      <c r="I4" s="18">
        <v>0.4148148148148148</v>
      </c>
      <c r="J4" s="1" t="s">
        <v>142</v>
      </c>
      <c r="K4" s="16">
        <v>0.35276967930029157</v>
      </c>
      <c r="L4" s="1" t="s">
        <v>156</v>
      </c>
      <c r="M4" s="16">
        <v>0.13414634146341464</v>
      </c>
      <c r="N4" s="1" t="s">
        <v>156</v>
      </c>
      <c r="O4" s="2">
        <v>10857.142857142857</v>
      </c>
      <c r="P4" s="1" t="s">
        <v>138</v>
      </c>
      <c r="Q4" s="2">
        <v>-8240</v>
      </c>
      <c r="R4" s="1" t="s">
        <v>142</v>
      </c>
      <c r="S4" s="18">
        <v>0.125</v>
      </c>
      <c r="T4" s="1" t="s">
        <v>145</v>
      </c>
      <c r="U4" s="18">
        <v>0.2</v>
      </c>
      <c r="V4" s="1" t="s">
        <v>149</v>
      </c>
      <c r="W4" s="16">
        <v>0.33852140077821014</v>
      </c>
      <c r="X4" s="1" t="s">
        <v>148</v>
      </c>
      <c r="Y4" s="16">
        <v>0.28000000000000003</v>
      </c>
      <c r="Z4" s="1" t="s">
        <v>137</v>
      </c>
      <c r="AA4" s="16">
        <v>0.67785234899328861</v>
      </c>
      <c r="AB4" s="1" t="s">
        <v>203</v>
      </c>
      <c r="AC4" s="16">
        <v>0.43478260869565216</v>
      </c>
      <c r="AD4" s="1" t="s">
        <v>160</v>
      </c>
      <c r="AE4" s="16">
        <v>0.45132743362831856</v>
      </c>
      <c r="AF4" s="1" t="s">
        <v>156</v>
      </c>
      <c r="AG4" s="16">
        <v>0.45454545454545453</v>
      </c>
      <c r="AH4" s="1" t="s">
        <v>149</v>
      </c>
      <c r="AI4" s="77">
        <v>9</v>
      </c>
      <c r="AJ4" s="1" t="s">
        <v>149</v>
      </c>
      <c r="AK4" s="81">
        <v>3</v>
      </c>
    </row>
    <row r="5" spans="1:37" x14ac:dyDescent="0.4">
      <c r="A5" s="7">
        <v>4</v>
      </c>
      <c r="B5" s="6" t="s">
        <v>202</v>
      </c>
      <c r="C5" s="3">
        <v>89</v>
      </c>
      <c r="D5" s="1" t="s">
        <v>142</v>
      </c>
      <c r="E5" s="3">
        <v>4.4520833333333343</v>
      </c>
      <c r="F5" s="1" t="s">
        <v>142</v>
      </c>
      <c r="G5" s="5">
        <v>1.8958333333333333</v>
      </c>
      <c r="H5" s="1" t="s">
        <v>149</v>
      </c>
      <c r="I5" s="18">
        <v>0.39215686274509803</v>
      </c>
      <c r="J5" s="1" t="s">
        <v>156</v>
      </c>
      <c r="K5" s="16">
        <v>0.34146341463414637</v>
      </c>
      <c r="L5" s="1" t="s">
        <v>203</v>
      </c>
      <c r="M5" s="16">
        <v>0.14583333333333334</v>
      </c>
      <c r="N5" s="1" t="s">
        <v>160</v>
      </c>
      <c r="O5" s="2">
        <v>10749.557522123894</v>
      </c>
      <c r="P5" s="1" t="s">
        <v>148</v>
      </c>
      <c r="Q5" s="2">
        <v>-8580</v>
      </c>
      <c r="R5" s="1" t="s">
        <v>137</v>
      </c>
      <c r="S5" s="18">
        <v>0.12592592592592591</v>
      </c>
      <c r="T5" s="1" t="s">
        <v>202</v>
      </c>
      <c r="U5" s="18">
        <v>0.2</v>
      </c>
      <c r="V5" s="1" t="s">
        <v>160</v>
      </c>
      <c r="W5" s="16">
        <v>0.29775280898876405</v>
      </c>
      <c r="X5" s="1" t="s">
        <v>149</v>
      </c>
      <c r="Y5" s="16">
        <v>0.23346303501945526</v>
      </c>
      <c r="Z5" s="1" t="s">
        <v>149</v>
      </c>
      <c r="AA5" s="16">
        <v>0.60919540229885061</v>
      </c>
      <c r="AB5" s="1" t="s">
        <v>160</v>
      </c>
      <c r="AC5" s="16">
        <v>0.38961038961038963</v>
      </c>
      <c r="AD5" s="1" t="s">
        <v>148</v>
      </c>
      <c r="AE5" s="16">
        <v>0.42391304347826086</v>
      </c>
      <c r="AF5" s="1" t="s">
        <v>137</v>
      </c>
      <c r="AG5" s="16">
        <v>0.4207492795389049</v>
      </c>
      <c r="AH5" s="1" t="s">
        <v>160</v>
      </c>
      <c r="AI5" s="77">
        <v>7</v>
      </c>
      <c r="AJ5" s="1" t="s">
        <v>137</v>
      </c>
      <c r="AK5" s="81">
        <v>1</v>
      </c>
    </row>
    <row r="6" spans="1:37" x14ac:dyDescent="0.4">
      <c r="A6" s="7">
        <v>5</v>
      </c>
      <c r="B6" s="6" t="s">
        <v>156</v>
      </c>
      <c r="C6" s="3">
        <v>80.800000000000011</v>
      </c>
      <c r="D6" s="1" t="s">
        <v>203</v>
      </c>
      <c r="E6" s="3">
        <v>3.8857142857142861</v>
      </c>
      <c r="F6" s="1" t="s">
        <v>149</v>
      </c>
      <c r="G6" s="5">
        <v>1.9215686274509804</v>
      </c>
      <c r="H6" s="1" t="s">
        <v>142</v>
      </c>
      <c r="I6" s="18">
        <v>0.35416666666666669</v>
      </c>
      <c r="J6" s="1" t="s">
        <v>149</v>
      </c>
      <c r="K6" s="16">
        <v>0.31282051282051282</v>
      </c>
      <c r="L6" s="1" t="s">
        <v>137</v>
      </c>
      <c r="M6" s="16">
        <v>0.15376782077393075</v>
      </c>
      <c r="N6" s="1" t="s">
        <v>203</v>
      </c>
      <c r="O6" s="2">
        <v>10354.545454545454</v>
      </c>
      <c r="P6" s="1" t="s">
        <v>142</v>
      </c>
      <c r="Q6" s="2">
        <v>-8954.7169811320746</v>
      </c>
      <c r="R6" s="1" t="s">
        <v>203</v>
      </c>
      <c r="S6" s="18">
        <v>0.14285714285714285</v>
      </c>
      <c r="T6" s="1" t="s">
        <v>149</v>
      </c>
      <c r="U6" s="18">
        <v>0.19607843137254902</v>
      </c>
      <c r="V6" s="1" t="s">
        <v>137</v>
      </c>
      <c r="W6" s="16">
        <v>0.28709055876685935</v>
      </c>
      <c r="X6" s="1" t="s">
        <v>137</v>
      </c>
      <c r="Y6" s="16">
        <v>0.22157996146435452</v>
      </c>
      <c r="Z6" s="1" t="s">
        <v>202</v>
      </c>
      <c r="AA6" s="16">
        <v>0.6</v>
      </c>
      <c r="AB6" s="1" t="s">
        <v>149</v>
      </c>
      <c r="AC6" s="16">
        <v>0.38333333333333336</v>
      </c>
      <c r="AD6" s="1" t="s">
        <v>142</v>
      </c>
      <c r="AE6" s="16">
        <v>0.42148760330578511</v>
      </c>
      <c r="AF6" s="1" t="s">
        <v>149</v>
      </c>
      <c r="AG6" s="16">
        <v>0.39860139860139859</v>
      </c>
      <c r="AH6" s="1" t="s">
        <v>142</v>
      </c>
      <c r="AI6" s="77">
        <v>6</v>
      </c>
      <c r="AJ6" s="1" t="s">
        <v>142</v>
      </c>
      <c r="AK6" s="81">
        <v>1</v>
      </c>
    </row>
    <row r="7" spans="1:37" x14ac:dyDescent="0.4">
      <c r="A7" s="7">
        <v>6</v>
      </c>
      <c r="B7" s="6" t="s">
        <v>203</v>
      </c>
      <c r="C7" s="3">
        <v>27.200000000000003</v>
      </c>
      <c r="D7" s="1" t="s">
        <v>149</v>
      </c>
      <c r="E7" s="3">
        <v>3.2686274509803912</v>
      </c>
      <c r="F7" s="1" t="s">
        <v>141</v>
      </c>
      <c r="G7" s="5">
        <v>2.1041666666666665</v>
      </c>
      <c r="H7" s="1" t="s">
        <v>141</v>
      </c>
      <c r="I7" s="18">
        <v>0.30208333333333331</v>
      </c>
      <c r="J7" s="1" t="s">
        <v>160</v>
      </c>
      <c r="K7" s="16">
        <v>0.2875318066157761</v>
      </c>
      <c r="L7" s="1" t="s">
        <v>142</v>
      </c>
      <c r="M7" s="16">
        <v>0.15451895043731778</v>
      </c>
      <c r="N7" s="1" t="s">
        <v>137</v>
      </c>
      <c r="O7" s="2">
        <v>9981.4814814814818</v>
      </c>
      <c r="P7" s="1" t="s">
        <v>137</v>
      </c>
      <c r="Q7" s="2">
        <v>-9634.4370860927156</v>
      </c>
      <c r="R7" s="1" t="s">
        <v>149</v>
      </c>
      <c r="S7" s="18">
        <v>0.15686274509803921</v>
      </c>
      <c r="T7" s="1" t="s">
        <v>142</v>
      </c>
      <c r="U7" s="18">
        <v>0.1875</v>
      </c>
      <c r="V7" s="1" t="s">
        <v>141</v>
      </c>
      <c r="W7" s="16">
        <v>0.2813852813852814</v>
      </c>
      <c r="X7" s="1" t="s">
        <v>160</v>
      </c>
      <c r="Y7" s="16">
        <v>0.21629213483146068</v>
      </c>
      <c r="Z7" s="1" t="s">
        <v>160</v>
      </c>
      <c r="AA7" s="16">
        <v>0.58490566037735847</v>
      </c>
      <c r="AB7" s="1" t="s">
        <v>142</v>
      </c>
      <c r="AC7" s="16">
        <v>0.38235294117647056</v>
      </c>
      <c r="AD7" s="1" t="s">
        <v>141</v>
      </c>
      <c r="AE7" s="16">
        <v>0.40760869565217389</v>
      </c>
      <c r="AF7" s="1" t="s">
        <v>142</v>
      </c>
      <c r="AG7" s="16">
        <v>0.36</v>
      </c>
      <c r="AH7" s="1" t="s">
        <v>148</v>
      </c>
      <c r="AI7" s="77">
        <v>5</v>
      </c>
      <c r="AJ7" s="1" t="s">
        <v>148</v>
      </c>
      <c r="AK7" s="81">
        <v>1</v>
      </c>
    </row>
    <row r="8" spans="1:37" x14ac:dyDescent="0.4">
      <c r="A8" s="7">
        <v>7</v>
      </c>
      <c r="B8" s="6" t="s">
        <v>139</v>
      </c>
      <c r="C8" s="3">
        <v>-26.5</v>
      </c>
      <c r="D8" s="1" t="s">
        <v>141</v>
      </c>
      <c r="E8" s="3">
        <v>-3.96875</v>
      </c>
      <c r="F8" s="1" t="s">
        <v>203</v>
      </c>
      <c r="G8" s="5">
        <v>2.1428571428571428</v>
      </c>
      <c r="H8" s="1" t="s">
        <v>160</v>
      </c>
      <c r="I8" s="18">
        <v>0.23076923076923078</v>
      </c>
      <c r="J8" s="1" t="s">
        <v>145</v>
      </c>
      <c r="K8" s="16">
        <v>0.27027027027027029</v>
      </c>
      <c r="L8" s="1" t="s">
        <v>149</v>
      </c>
      <c r="M8" s="16">
        <v>0.1641025641025641</v>
      </c>
      <c r="N8" s="1" t="s">
        <v>148</v>
      </c>
      <c r="O8" s="2">
        <v>9814.1304347826081</v>
      </c>
      <c r="P8" s="1" t="s">
        <v>149</v>
      </c>
      <c r="Q8" s="2">
        <v>-9809.375</v>
      </c>
      <c r="R8" s="1" t="s">
        <v>148</v>
      </c>
      <c r="S8" s="18">
        <v>0.21276595744680851</v>
      </c>
      <c r="T8" s="1" t="s">
        <v>148</v>
      </c>
      <c r="U8" s="18">
        <v>0.14893617021276595</v>
      </c>
      <c r="V8" s="1" t="s">
        <v>145</v>
      </c>
      <c r="W8" s="16">
        <v>0.25806451612903225</v>
      </c>
      <c r="X8" s="1" t="s">
        <v>141</v>
      </c>
      <c r="Y8" s="16">
        <v>0.18831168831168832</v>
      </c>
      <c r="Z8" s="1" t="s">
        <v>141</v>
      </c>
      <c r="AA8" s="16">
        <v>0.56153846153846154</v>
      </c>
      <c r="AB8" s="1" t="s">
        <v>141</v>
      </c>
      <c r="AC8" s="16">
        <v>0.36781609195402298</v>
      </c>
      <c r="AD8" s="1" t="s">
        <v>149</v>
      </c>
      <c r="AE8" s="16">
        <v>0.40163934426229508</v>
      </c>
      <c r="AF8" s="1" t="s">
        <v>148</v>
      </c>
      <c r="AG8" s="16">
        <v>0.35643564356435642</v>
      </c>
      <c r="AH8" s="1" t="s">
        <v>202</v>
      </c>
      <c r="AI8" s="77">
        <v>5</v>
      </c>
      <c r="AJ8" s="1" t="s">
        <v>138</v>
      </c>
      <c r="AK8" s="81">
        <v>0</v>
      </c>
    </row>
    <row r="9" spans="1:37" x14ac:dyDescent="0.4">
      <c r="A9" s="7">
        <v>8</v>
      </c>
      <c r="B9" s="6" t="s">
        <v>145</v>
      </c>
      <c r="C9" s="3">
        <v>-86.4</v>
      </c>
      <c r="D9" s="1" t="s">
        <v>148</v>
      </c>
      <c r="E9" s="3">
        <v>-6.2489361702127662</v>
      </c>
      <c r="F9" s="1" t="s">
        <v>148</v>
      </c>
      <c r="G9" s="5">
        <v>2.1702127659574466</v>
      </c>
      <c r="H9" s="1" t="s">
        <v>148</v>
      </c>
      <c r="I9" s="18">
        <v>0.21276595744680851</v>
      </c>
      <c r="J9" s="1" t="s">
        <v>141</v>
      </c>
      <c r="K9" s="16">
        <v>0.2544951590594744</v>
      </c>
      <c r="L9" s="1" t="s">
        <v>141</v>
      </c>
      <c r="M9" s="16">
        <v>0.19502074688796681</v>
      </c>
      <c r="N9" s="1" t="s">
        <v>142</v>
      </c>
      <c r="O9" s="2">
        <v>9616.5289256198339</v>
      </c>
      <c r="P9" s="1" t="s">
        <v>156</v>
      </c>
      <c r="Q9" s="2">
        <v>-9927.2727272727279</v>
      </c>
      <c r="R9" s="1" t="s">
        <v>141</v>
      </c>
      <c r="S9" s="18">
        <v>0.22916666666666666</v>
      </c>
      <c r="T9" s="1" t="s">
        <v>141</v>
      </c>
      <c r="U9" s="18">
        <v>0.14583333333333334</v>
      </c>
      <c r="V9" s="1" t="s">
        <v>148</v>
      </c>
      <c r="W9" s="16">
        <v>0.22285714285714286</v>
      </c>
      <c r="X9" s="1" t="s">
        <v>145</v>
      </c>
      <c r="Y9" s="16">
        <v>0.16129032258064516</v>
      </c>
      <c r="Z9" s="1" t="s">
        <v>148</v>
      </c>
      <c r="AA9" s="16">
        <v>0.35897435897435898</v>
      </c>
      <c r="AB9" s="1" t="s">
        <v>148</v>
      </c>
      <c r="AC9" s="16">
        <v>0.36734693877551022</v>
      </c>
      <c r="AD9" s="1" t="s">
        <v>137</v>
      </c>
      <c r="AE9" s="16">
        <v>0.37321937321937321</v>
      </c>
      <c r="AF9" s="1" t="s">
        <v>160</v>
      </c>
      <c r="AG9" s="16">
        <v>0.32800000000000001</v>
      </c>
      <c r="AH9" s="1" t="s">
        <v>203</v>
      </c>
      <c r="AI9" s="77">
        <v>5</v>
      </c>
      <c r="AJ9" s="1" t="s">
        <v>139</v>
      </c>
      <c r="AK9" s="81">
        <v>0</v>
      </c>
    </row>
    <row r="10" spans="1:37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-8.1999999999999993</v>
      </c>
      <c r="F10" s="1" t="s">
        <v>145</v>
      </c>
      <c r="G10" s="5">
        <v>2.2000000000000002</v>
      </c>
      <c r="H10" s="1" t="s">
        <v>145</v>
      </c>
      <c r="I10" s="18">
        <v>0.2</v>
      </c>
      <c r="J10" s="1" t="s">
        <v>148</v>
      </c>
      <c r="K10" s="16">
        <v>0.2541436464088398</v>
      </c>
      <c r="L10" s="1" t="s">
        <v>148</v>
      </c>
      <c r="M10" s="16">
        <v>0.20718232044198895</v>
      </c>
      <c r="N10" s="1" t="s">
        <v>202</v>
      </c>
      <c r="O10" s="2">
        <v>9227.7777777777774</v>
      </c>
      <c r="P10" s="1" t="s">
        <v>141</v>
      </c>
      <c r="Q10" s="2">
        <v>-10026.950354609929</v>
      </c>
      <c r="R10" s="1" t="s">
        <v>160</v>
      </c>
      <c r="S10" s="18">
        <v>0.23076923076923078</v>
      </c>
      <c r="T10" s="1" t="s">
        <v>203</v>
      </c>
      <c r="U10" s="18">
        <v>0.14285714285714285</v>
      </c>
      <c r="V10" s="1" t="s">
        <v>142</v>
      </c>
      <c r="W10" s="16">
        <v>0.20952380952380953</v>
      </c>
      <c r="X10" s="1" t="s">
        <v>202</v>
      </c>
      <c r="Y10" s="16">
        <v>0.13043478260869565</v>
      </c>
      <c r="Z10" s="1" t="s">
        <v>203</v>
      </c>
      <c r="AA10" s="16">
        <v>0.33333333333333331</v>
      </c>
      <c r="AB10" s="1" t="s">
        <v>145</v>
      </c>
      <c r="AC10" s="16">
        <v>0.2</v>
      </c>
      <c r="AD10" s="1" t="s">
        <v>145</v>
      </c>
      <c r="AE10" s="16">
        <v>0.3</v>
      </c>
      <c r="AF10" s="1" t="s">
        <v>141</v>
      </c>
      <c r="AG10" s="16">
        <v>0.30530973451327431</v>
      </c>
      <c r="AH10" s="1" t="s">
        <v>145</v>
      </c>
      <c r="AI10" s="77">
        <v>3</v>
      </c>
      <c r="AJ10" s="1" t="s">
        <v>145</v>
      </c>
      <c r="AK10" s="81">
        <v>0</v>
      </c>
    </row>
    <row r="11" spans="1:37" x14ac:dyDescent="0.4">
      <c r="A11" s="7">
        <v>10</v>
      </c>
      <c r="B11" s="6" t="s">
        <v>148</v>
      </c>
      <c r="C11" s="3">
        <v>-293.7</v>
      </c>
      <c r="D11" s="1" t="s">
        <v>139</v>
      </c>
      <c r="E11" s="3">
        <v>-8.8333333333333339</v>
      </c>
      <c r="F11" s="1" t="s">
        <v>160</v>
      </c>
      <c r="G11" s="5">
        <v>2.2307692307692308</v>
      </c>
      <c r="H11" s="1" t="s">
        <v>203</v>
      </c>
      <c r="I11" s="18">
        <v>0.14285714285714285</v>
      </c>
      <c r="J11" s="1" t="s">
        <v>203</v>
      </c>
      <c r="K11" s="16">
        <v>0.22916666666666666</v>
      </c>
      <c r="L11" s="1" t="s">
        <v>145</v>
      </c>
      <c r="M11" s="16">
        <v>0.21621621621621623</v>
      </c>
      <c r="N11" s="1" t="s">
        <v>139</v>
      </c>
      <c r="O11" s="2">
        <v>8000</v>
      </c>
      <c r="P11" s="1" t="s">
        <v>160</v>
      </c>
      <c r="Q11" s="2">
        <v>-10037.234042553191</v>
      </c>
      <c r="R11" s="1" t="s">
        <v>156</v>
      </c>
      <c r="S11" s="18">
        <v>0.25</v>
      </c>
      <c r="T11" s="1" t="s">
        <v>160</v>
      </c>
      <c r="U11" s="18">
        <v>9.6153846153846159E-2</v>
      </c>
      <c r="V11" s="1" t="s">
        <v>203</v>
      </c>
      <c r="W11" s="16">
        <v>6.25E-2</v>
      </c>
      <c r="X11" s="1" t="s">
        <v>138</v>
      </c>
      <c r="Y11" s="16">
        <v>0</v>
      </c>
      <c r="Z11" s="1" t="s">
        <v>139</v>
      </c>
      <c r="AA11" s="16">
        <v>0.2</v>
      </c>
      <c r="AB11" s="1" t="s">
        <v>138</v>
      </c>
      <c r="AC11" s="16">
        <v>0</v>
      </c>
      <c r="AD11" s="1" t="s">
        <v>202</v>
      </c>
      <c r="AE11" s="16">
        <v>0.27777777777777779</v>
      </c>
      <c r="AF11" s="1" t="s">
        <v>203</v>
      </c>
      <c r="AG11" s="16">
        <v>0.18181818181818182</v>
      </c>
      <c r="AH11" s="1" t="s">
        <v>139</v>
      </c>
      <c r="AI11" s="77">
        <v>2</v>
      </c>
      <c r="AJ11" s="1" t="s">
        <v>156</v>
      </c>
      <c r="AK11" s="81">
        <v>0</v>
      </c>
    </row>
    <row r="12" spans="1:37" x14ac:dyDescent="0.4">
      <c r="A12" s="7">
        <v>11</v>
      </c>
      <c r="B12" s="6" t="s">
        <v>141</v>
      </c>
      <c r="C12" s="3">
        <v>-381</v>
      </c>
      <c r="D12" s="1" t="s">
        <v>145</v>
      </c>
      <c r="E12" s="3">
        <v>-17.28</v>
      </c>
      <c r="F12" s="1" t="s">
        <v>139</v>
      </c>
      <c r="G12" s="5">
        <v>2.3333333333333335</v>
      </c>
      <c r="H12" s="1" t="s">
        <v>138</v>
      </c>
      <c r="I12" s="18">
        <v>0</v>
      </c>
      <c r="J12" s="1" t="s">
        <v>139</v>
      </c>
      <c r="K12" s="16">
        <v>0.1875</v>
      </c>
      <c r="L12" s="1" t="s">
        <v>160</v>
      </c>
      <c r="M12" s="16">
        <v>0.23918575063613232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138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138</v>
      </c>
      <c r="AA12" s="16">
        <v>0</v>
      </c>
      <c r="AB12" s="1" t="s">
        <v>139</v>
      </c>
      <c r="AC12" s="16">
        <v>0</v>
      </c>
      <c r="AD12" s="1" t="s">
        <v>203</v>
      </c>
      <c r="AE12" s="16">
        <v>9.0909090909090912E-2</v>
      </c>
      <c r="AF12" s="1" t="s">
        <v>138</v>
      </c>
      <c r="AG12" s="16">
        <v>0</v>
      </c>
      <c r="AH12" s="1" t="s">
        <v>138</v>
      </c>
      <c r="AI12" s="77">
        <v>0</v>
      </c>
      <c r="AJ12" s="1" t="s">
        <v>202</v>
      </c>
      <c r="AK12" s="81">
        <v>0</v>
      </c>
    </row>
    <row r="13" spans="1:37" x14ac:dyDescent="0.4">
      <c r="A13" s="7">
        <v>12</v>
      </c>
      <c r="B13" s="6" t="s">
        <v>160</v>
      </c>
      <c r="C13" s="3">
        <v>-426.39999999999992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139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139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139</v>
      </c>
      <c r="AG13" s="16">
        <v>0</v>
      </c>
      <c r="AH13" s="1" t="s">
        <v>156</v>
      </c>
      <c r="AI13" s="77">
        <v>0</v>
      </c>
      <c r="AJ13" s="1" t="s">
        <v>203</v>
      </c>
      <c r="AK13" s="81">
        <v>0</v>
      </c>
    </row>
  </sheetData>
  <sortState ref="AJ2:AK30">
    <sortCondition descending="1" ref="AK1"/>
  </sortState>
  <mergeCells count="18"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  <mergeCell ref="B1:C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201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613</v>
      </c>
    </row>
    <row r="2" spans="1:7" x14ac:dyDescent="0.4">
      <c r="A2" s="67" t="s">
        <v>73</v>
      </c>
      <c r="B2" s="63" t="s">
        <v>27</v>
      </c>
      <c r="C2" s="49">
        <v>552</v>
      </c>
      <c r="D2" s="24">
        <f>IF(G$1=0,0,C2/G$1)</f>
        <v>0.90048939641109293</v>
      </c>
    </row>
    <row r="3" spans="1:7" x14ac:dyDescent="0.4">
      <c r="A3" s="68" t="s">
        <v>71</v>
      </c>
      <c r="B3" s="64" t="s">
        <v>25</v>
      </c>
      <c r="C3" s="50">
        <v>453</v>
      </c>
      <c r="D3" s="27">
        <f>IF(G$1=0,0,C3/G$1)</f>
        <v>0.73898858075040785</v>
      </c>
    </row>
    <row r="4" spans="1:7" x14ac:dyDescent="0.4">
      <c r="A4" s="68" t="s">
        <v>78</v>
      </c>
      <c r="B4" s="64" t="s">
        <v>31</v>
      </c>
      <c r="C4" s="50">
        <v>371</v>
      </c>
      <c r="D4" s="27">
        <f>IF(G$1=0,0,C4/G$1)</f>
        <v>0.6052202283849919</v>
      </c>
    </row>
    <row r="5" spans="1:7" x14ac:dyDescent="0.4">
      <c r="A5" s="68" t="s">
        <v>208</v>
      </c>
      <c r="B5" s="64" t="s">
        <v>23</v>
      </c>
      <c r="C5" s="50">
        <v>329</v>
      </c>
      <c r="D5" s="27">
        <f>IF(G$1=0,0,C5/G$1)</f>
        <v>0.5367047308319739</v>
      </c>
    </row>
    <row r="6" spans="1:7" x14ac:dyDescent="0.4">
      <c r="A6" s="68" t="s">
        <v>72</v>
      </c>
      <c r="B6" s="64" t="s">
        <v>26</v>
      </c>
      <c r="C6" s="50">
        <v>176</v>
      </c>
      <c r="D6" s="27">
        <f>IF(G$1=0,0,C6/G$1)</f>
        <v>0.28711256117455136</v>
      </c>
    </row>
    <row r="7" spans="1:7" x14ac:dyDescent="0.4">
      <c r="A7" s="68" t="s">
        <v>74</v>
      </c>
      <c r="B7" s="64" t="s">
        <v>204</v>
      </c>
      <c r="C7" s="50">
        <v>172</v>
      </c>
      <c r="D7" s="27">
        <f>IF(G$1=0,0,C7/G$1)</f>
        <v>0.2805872756933116</v>
      </c>
    </row>
    <row r="8" spans="1:7" x14ac:dyDescent="0.4">
      <c r="A8" s="68" t="s">
        <v>75</v>
      </c>
      <c r="B8" s="64" t="s">
        <v>28</v>
      </c>
      <c r="C8" s="50">
        <v>93</v>
      </c>
      <c r="D8" s="27">
        <f>IF(G$1=0,0,C8/G$1)</f>
        <v>0.15171288743882544</v>
      </c>
    </row>
    <row r="9" spans="1:7" x14ac:dyDescent="0.4">
      <c r="A9" s="68" t="s">
        <v>96</v>
      </c>
      <c r="B9" s="64" t="s">
        <v>49</v>
      </c>
      <c r="C9" s="50">
        <v>87</v>
      </c>
      <c r="D9" s="27">
        <f>IF(G$1=0,0,C9/G$1)</f>
        <v>0.14192495921696574</v>
      </c>
    </row>
    <row r="10" spans="1:7" x14ac:dyDescent="0.4">
      <c r="A10" s="68" t="s">
        <v>209</v>
      </c>
      <c r="B10" s="64" t="s">
        <v>24</v>
      </c>
      <c r="C10" s="50">
        <v>68</v>
      </c>
      <c r="D10" s="27">
        <f>IF(G$1=0,0,C10/G$1)</f>
        <v>0.11092985318107668</v>
      </c>
    </row>
    <row r="11" spans="1:7" x14ac:dyDescent="0.4">
      <c r="A11" s="68" t="s">
        <v>76</v>
      </c>
      <c r="B11" s="64" t="s">
        <v>29</v>
      </c>
      <c r="C11" s="50">
        <v>66</v>
      </c>
      <c r="D11" s="27">
        <f>IF(G$1=0,0,C11/G$1)</f>
        <v>0.10766721044045677</v>
      </c>
    </row>
    <row r="12" spans="1:7" x14ac:dyDescent="0.4">
      <c r="A12" s="68" t="s">
        <v>93</v>
      </c>
      <c r="B12" s="64" t="s">
        <v>46</v>
      </c>
      <c r="C12" s="50">
        <v>46</v>
      </c>
      <c r="D12" s="27">
        <f>IF(G$1=0,0,C12/G$1)</f>
        <v>7.5040783034257749E-2</v>
      </c>
    </row>
    <row r="13" spans="1:7" x14ac:dyDescent="0.4">
      <c r="A13" s="68" t="s">
        <v>90</v>
      </c>
      <c r="B13" s="64" t="s">
        <v>43</v>
      </c>
      <c r="C13" s="50">
        <v>30</v>
      </c>
      <c r="D13" s="27">
        <f>IF(G$1=0,0,C13/G$1)</f>
        <v>4.8939641109298535E-2</v>
      </c>
    </row>
    <row r="14" spans="1:7" x14ac:dyDescent="0.4">
      <c r="A14" s="68" t="s">
        <v>77</v>
      </c>
      <c r="B14" s="64" t="s">
        <v>30</v>
      </c>
      <c r="C14" s="50">
        <v>29</v>
      </c>
      <c r="D14" s="27">
        <f>IF(G$1=0,0,C14/G$1)</f>
        <v>4.730831973898858E-2</v>
      </c>
    </row>
    <row r="15" spans="1:7" x14ac:dyDescent="0.4">
      <c r="A15" s="68" t="s">
        <v>84</v>
      </c>
      <c r="B15" s="64" t="s">
        <v>37</v>
      </c>
      <c r="C15" s="50">
        <v>17</v>
      </c>
      <c r="D15" s="27">
        <f>IF(G$1=0,0,C15/G$1)</f>
        <v>2.7732463295269169E-2</v>
      </c>
    </row>
    <row r="16" spans="1:7" x14ac:dyDescent="0.4">
      <c r="A16" s="68" t="s">
        <v>88</v>
      </c>
      <c r="B16" s="64" t="s">
        <v>41</v>
      </c>
      <c r="C16" s="50">
        <v>16</v>
      </c>
      <c r="D16" s="27">
        <f>IF(G$1=0,0,C16/G$1)</f>
        <v>2.6101141924959218E-2</v>
      </c>
    </row>
    <row r="17" spans="1:4" x14ac:dyDescent="0.4">
      <c r="A17" s="68" t="s">
        <v>98</v>
      </c>
      <c r="B17" s="64" t="s">
        <v>51</v>
      </c>
      <c r="C17" s="50">
        <v>11</v>
      </c>
      <c r="D17" s="27">
        <f>IF(G$1=0,0,C17/G$1)</f>
        <v>1.794453507340946E-2</v>
      </c>
    </row>
    <row r="18" spans="1:4" x14ac:dyDescent="0.4">
      <c r="A18" s="68" t="s">
        <v>85</v>
      </c>
      <c r="B18" s="64" t="s">
        <v>38</v>
      </c>
      <c r="C18" s="50">
        <v>9</v>
      </c>
      <c r="D18" s="27">
        <f>IF(G$1=0,0,C18/G$1)</f>
        <v>1.468189233278956E-2</v>
      </c>
    </row>
    <row r="19" spans="1:4" x14ac:dyDescent="0.4">
      <c r="A19" s="68" t="s">
        <v>79</v>
      </c>
      <c r="B19" s="64" t="s">
        <v>32</v>
      </c>
      <c r="C19" s="50">
        <v>6</v>
      </c>
      <c r="D19" s="27">
        <f>IF(G$1=0,0,C19/G$1)</f>
        <v>9.7879282218597055E-3</v>
      </c>
    </row>
    <row r="20" spans="1:4" x14ac:dyDescent="0.4">
      <c r="A20" s="68" t="s">
        <v>92</v>
      </c>
      <c r="B20" s="64" t="s">
        <v>45</v>
      </c>
      <c r="C20" s="50">
        <v>4</v>
      </c>
      <c r="D20" s="27">
        <f>IF(G$1=0,0,C20/G$1)</f>
        <v>6.5252854812398045E-3</v>
      </c>
    </row>
    <row r="21" spans="1:4" x14ac:dyDescent="0.4">
      <c r="A21" s="68" t="s">
        <v>81</v>
      </c>
      <c r="B21" s="64" t="s">
        <v>34</v>
      </c>
      <c r="C21" s="50">
        <v>4</v>
      </c>
      <c r="D21" s="27">
        <f>IF(G$1=0,0,C21/G$1)</f>
        <v>6.5252854812398045E-3</v>
      </c>
    </row>
    <row r="22" spans="1:4" x14ac:dyDescent="0.4">
      <c r="A22" s="68" t="s">
        <v>99</v>
      </c>
      <c r="B22" s="64" t="s">
        <v>52</v>
      </c>
      <c r="C22" s="50">
        <v>4</v>
      </c>
      <c r="D22" s="27">
        <f>IF(G$1=0,0,C22/G$1)</f>
        <v>6.5252854812398045E-3</v>
      </c>
    </row>
    <row r="23" spans="1:4" x14ac:dyDescent="0.4">
      <c r="A23" s="68" t="s">
        <v>83</v>
      </c>
      <c r="B23" s="64" t="s">
        <v>36</v>
      </c>
      <c r="C23" s="50">
        <v>4</v>
      </c>
      <c r="D23" s="27">
        <f>IF(G$1=0,0,C23/G$1)</f>
        <v>6.5252854812398045E-3</v>
      </c>
    </row>
    <row r="24" spans="1:4" x14ac:dyDescent="0.4">
      <c r="A24" s="68" t="s">
        <v>91</v>
      </c>
      <c r="B24" s="64" t="s">
        <v>44</v>
      </c>
      <c r="C24" s="50">
        <v>3</v>
      </c>
      <c r="D24" s="27">
        <f>IF(G$1=0,0,C24/G$1)</f>
        <v>4.8939641109298528E-3</v>
      </c>
    </row>
    <row r="25" spans="1:4" x14ac:dyDescent="0.4">
      <c r="A25" s="68" t="s">
        <v>94</v>
      </c>
      <c r="B25" s="64" t="s">
        <v>47</v>
      </c>
      <c r="C25" s="50">
        <v>2</v>
      </c>
      <c r="D25" s="27">
        <f>IF(G$1=0,0,C25/G$1)</f>
        <v>3.2626427406199023E-3</v>
      </c>
    </row>
    <row r="26" spans="1:4" x14ac:dyDescent="0.4">
      <c r="A26" s="68" t="s">
        <v>87</v>
      </c>
      <c r="B26" s="64" t="s">
        <v>40</v>
      </c>
      <c r="C26" s="50">
        <v>1</v>
      </c>
      <c r="D26" s="27">
        <f>IF(G$1=0,0,C26/G$1)</f>
        <v>1.6313213703099511E-3</v>
      </c>
    </row>
    <row r="27" spans="1:4" x14ac:dyDescent="0.4">
      <c r="A27" s="68" t="s">
        <v>97</v>
      </c>
      <c r="B27" s="64" t="s">
        <v>50</v>
      </c>
      <c r="C27" s="50">
        <v>1</v>
      </c>
      <c r="D27" s="27">
        <f>IF(G$1=0,0,C27/G$1)</f>
        <v>1.6313213703099511E-3</v>
      </c>
    </row>
    <row r="28" spans="1:4" x14ac:dyDescent="0.4">
      <c r="A28" s="68" t="s">
        <v>80</v>
      </c>
      <c r="B28" s="64" t="s">
        <v>33</v>
      </c>
      <c r="C28" s="50">
        <v>1</v>
      </c>
      <c r="D28" s="27">
        <f>IF(G$1=0,0,C28/G$1)</f>
        <v>1.6313213703099511E-3</v>
      </c>
    </row>
    <row r="29" spans="1:4" x14ac:dyDescent="0.4">
      <c r="A29" s="68" t="s">
        <v>95</v>
      </c>
      <c r="B29" s="64" t="s">
        <v>48</v>
      </c>
      <c r="C29" s="50">
        <v>1</v>
      </c>
      <c r="D29" s="27">
        <f>IF(G$1=0,0,C29/G$1)</f>
        <v>1.6313213703099511E-3</v>
      </c>
    </row>
    <row r="30" spans="1:4" x14ac:dyDescent="0.4">
      <c r="A30" s="68" t="s">
        <v>100</v>
      </c>
      <c r="B30" s="64" t="s">
        <v>53</v>
      </c>
      <c r="C30" s="50">
        <v>1</v>
      </c>
      <c r="D30" s="27">
        <f>IF(G$1=0,0,C30/G$1)</f>
        <v>1.6313213703099511E-3</v>
      </c>
    </row>
    <row r="31" spans="1:4" x14ac:dyDescent="0.4">
      <c r="A31" s="68" t="s">
        <v>113</v>
      </c>
      <c r="B31" s="64" t="s">
        <v>206</v>
      </c>
      <c r="C31" s="50">
        <v>1</v>
      </c>
      <c r="D31" s="27">
        <f>IF(G$1=0,0,C31/G$1)</f>
        <v>1.6313213703099511E-3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205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207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A75D-C1A3-4FDC-8D61-C322E2701927}">
  <sheetPr codeName="Sheet4"/>
  <dimension ref="A1:P137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178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135</v>
      </c>
      <c r="C2" s="87"/>
      <c r="E2" s="67" t="s">
        <v>73</v>
      </c>
      <c r="F2" s="63" t="s">
        <v>27</v>
      </c>
      <c r="G2" s="49">
        <v>182</v>
      </c>
      <c r="H2" s="24">
        <f>IF(B$25=0,0,G2/B$25)</f>
        <v>0.94791666666666663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1409.9236641221373</v>
      </c>
      <c r="O2" s="41">
        <v>184700</v>
      </c>
      <c r="P2" s="39">
        <v>131</v>
      </c>
    </row>
    <row r="3" spans="1:16" x14ac:dyDescent="0.4">
      <c r="A3" s="58" t="s">
        <v>8</v>
      </c>
      <c r="B3" s="94">
        <v>982</v>
      </c>
      <c r="C3" s="95"/>
      <c r="E3" s="68" t="s">
        <v>71</v>
      </c>
      <c r="F3" s="64" t="s">
        <v>25</v>
      </c>
      <c r="G3" s="50">
        <v>127</v>
      </c>
      <c r="H3" s="27">
        <f>IF(B$25=0,0,G3/B$25)</f>
        <v>0.66145833333333337</v>
      </c>
      <c r="J3" s="26">
        <v>1</v>
      </c>
      <c r="K3" s="28">
        <v>15</v>
      </c>
      <c r="M3" s="26" t="s">
        <v>190</v>
      </c>
      <c r="N3" s="45">
        <f t="shared" si="0"/>
        <v>1593.6</v>
      </c>
      <c r="O3" s="42">
        <v>199200</v>
      </c>
      <c r="P3" s="37">
        <v>125</v>
      </c>
    </row>
    <row r="4" spans="1:16" x14ac:dyDescent="0.4">
      <c r="A4" s="58" t="s">
        <v>6</v>
      </c>
      <c r="B4" s="96">
        <v>765.70000000000016</v>
      </c>
      <c r="C4" s="97"/>
      <c r="E4" s="68" t="s">
        <v>78</v>
      </c>
      <c r="F4" s="64" t="s">
        <v>31</v>
      </c>
      <c r="G4" s="50">
        <v>103</v>
      </c>
      <c r="H4" s="27">
        <f>IF(B$25=0,0,G4/B$25)</f>
        <v>0.53645833333333337</v>
      </c>
      <c r="J4" s="26">
        <v>2</v>
      </c>
      <c r="K4" s="28">
        <v>14</v>
      </c>
      <c r="M4" s="26" t="s">
        <v>191</v>
      </c>
      <c r="N4" s="45">
        <f t="shared" si="0"/>
        <v>993.04347826086962</v>
      </c>
      <c r="O4" s="42">
        <v>114200</v>
      </c>
      <c r="P4" s="37">
        <v>115</v>
      </c>
    </row>
    <row r="5" spans="1:16" x14ac:dyDescent="0.4">
      <c r="A5" s="58" t="s">
        <v>7</v>
      </c>
      <c r="B5" s="96">
        <f>IF(B$2=0,0,B$4/B$2)</f>
        <v>5.6718518518518533</v>
      </c>
      <c r="C5" s="97"/>
      <c r="E5" s="68" t="s">
        <v>69</v>
      </c>
      <c r="F5" s="64" t="s">
        <v>23</v>
      </c>
      <c r="G5" s="50">
        <v>98</v>
      </c>
      <c r="H5" s="27">
        <f>IF(B$25=0,0,G5/B$25)</f>
        <v>0.51041666666666663</v>
      </c>
      <c r="J5" s="26">
        <v>3</v>
      </c>
      <c r="K5" s="28">
        <v>29.1</v>
      </c>
      <c r="M5" s="26" t="s">
        <v>192</v>
      </c>
      <c r="N5" s="45">
        <f t="shared" si="0"/>
        <v>1945.0980392156862</v>
      </c>
      <c r="O5" s="42">
        <v>198400</v>
      </c>
      <c r="P5" s="37">
        <v>102</v>
      </c>
    </row>
    <row r="6" spans="1:16" x14ac:dyDescent="0.4">
      <c r="A6" s="58" t="s">
        <v>1</v>
      </c>
      <c r="B6" s="98">
        <f>IF(B$2=0,0,(B$7*1+B$8*2+B$9*3)/B$2)</f>
        <v>1.8296296296296297</v>
      </c>
      <c r="C6" s="99"/>
      <c r="E6" s="68" t="s">
        <v>74</v>
      </c>
      <c r="F6" s="64" t="s">
        <v>12</v>
      </c>
      <c r="G6" s="50">
        <v>53</v>
      </c>
      <c r="H6" s="27">
        <f>IF(B$25=0,0,G6/B$25)</f>
        <v>0.27604166666666669</v>
      </c>
      <c r="J6" s="26">
        <v>4</v>
      </c>
      <c r="K6" s="28">
        <v>114.30000000000001</v>
      </c>
      <c r="M6" s="26" t="s">
        <v>193</v>
      </c>
      <c r="N6" s="45">
        <f t="shared" si="0"/>
        <v>207.22891566265059</v>
      </c>
      <c r="O6" s="42">
        <v>17200</v>
      </c>
      <c r="P6" s="37">
        <v>83</v>
      </c>
    </row>
    <row r="7" spans="1:16" x14ac:dyDescent="0.4">
      <c r="A7" s="58" t="s">
        <v>2</v>
      </c>
      <c r="B7" s="50">
        <v>56</v>
      </c>
      <c r="C7" s="27">
        <f>IF(B$2=0,0,B7/B$2)</f>
        <v>0.4148148148148148</v>
      </c>
      <c r="E7" s="68" t="s">
        <v>72</v>
      </c>
      <c r="F7" s="64" t="s">
        <v>26</v>
      </c>
      <c r="G7" s="50">
        <v>48</v>
      </c>
      <c r="H7" s="27">
        <f>IF(B$25=0,0,G7/B$25)</f>
        <v>0.25</v>
      </c>
      <c r="J7" s="26">
        <v>5</v>
      </c>
      <c r="K7" s="28">
        <v>145.80000000000001</v>
      </c>
      <c r="M7" s="31" t="s">
        <v>194</v>
      </c>
      <c r="N7" s="46">
        <f t="shared" si="0"/>
        <v>262.29508196721309</v>
      </c>
      <c r="O7" s="43">
        <v>16000</v>
      </c>
      <c r="P7" s="38">
        <v>61</v>
      </c>
    </row>
    <row r="8" spans="1:16" x14ac:dyDescent="0.4">
      <c r="A8" s="58" t="s">
        <v>3</v>
      </c>
      <c r="B8" s="50">
        <v>46</v>
      </c>
      <c r="C8" s="27">
        <f t="shared" ref="C8:C9" si="1">IF(B$2=0,0,B8/B$2)</f>
        <v>0.34074074074074073</v>
      </c>
      <c r="E8" s="68" t="s">
        <v>75</v>
      </c>
      <c r="F8" s="64" t="s">
        <v>28</v>
      </c>
      <c r="G8" s="50">
        <v>31</v>
      </c>
      <c r="H8" s="27">
        <f>IF(B$25=0,0,G8/B$25)</f>
        <v>0.16145833333333334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33</v>
      </c>
      <c r="C9" s="29">
        <f t="shared" si="1"/>
        <v>0.24444444444444444</v>
      </c>
      <c r="E9" s="68" t="s">
        <v>96</v>
      </c>
      <c r="F9" s="64" t="s">
        <v>49</v>
      </c>
      <c r="G9" s="50">
        <v>30</v>
      </c>
      <c r="H9" s="27">
        <f>IF(B$25=0,0,G9/B$25)</f>
        <v>0.15625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17</v>
      </c>
      <c r="C10" s="29">
        <f>IF(B$2=0,0,B10/B$2)</f>
        <v>0.12592592592592591</v>
      </c>
      <c r="E10" s="68" t="s">
        <v>76</v>
      </c>
      <c r="F10" s="64" t="s">
        <v>29</v>
      </c>
      <c r="G10" s="50">
        <v>18</v>
      </c>
      <c r="H10" s="27">
        <f>IF(B$25=0,0,G10/B$25)</f>
        <v>9.375E-2</v>
      </c>
      <c r="J10" s="26">
        <v>8</v>
      </c>
      <c r="K10" s="28">
        <v>55.700000000000017</v>
      </c>
    </row>
    <row r="11" spans="1:16" x14ac:dyDescent="0.4">
      <c r="A11" s="60" t="s">
        <v>199</v>
      </c>
      <c r="B11" s="52">
        <v>32</v>
      </c>
      <c r="C11" s="32">
        <f>IF(B$2=0,0,B11/B$2)</f>
        <v>0.23703703703703705</v>
      </c>
      <c r="E11" s="68" t="s">
        <v>70</v>
      </c>
      <c r="F11" s="64" t="s">
        <v>24</v>
      </c>
      <c r="G11" s="50">
        <v>16</v>
      </c>
      <c r="H11" s="27">
        <f>IF(B$25=0,0,G11/B$25)</f>
        <v>8.3333333333333329E-2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149</v>
      </c>
      <c r="C12" s="35">
        <f>IF(B$24=0,0,B12/B$24)</f>
        <v>0.28709055876685935</v>
      </c>
      <c r="E12" s="68" t="s">
        <v>77</v>
      </c>
      <c r="F12" s="64" t="s">
        <v>30</v>
      </c>
      <c r="G12" s="50">
        <v>13</v>
      </c>
      <c r="H12" s="27">
        <f>IF(B$25=0,0,G12/B$25)</f>
        <v>6.7708333333333329E-2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115</v>
      </c>
      <c r="C13" s="27">
        <f>IF(B$24=0,0,B13/B$24)</f>
        <v>0.22157996146435452</v>
      </c>
      <c r="E13" s="68" t="s">
        <v>93</v>
      </c>
      <c r="F13" s="64" t="s">
        <v>46</v>
      </c>
      <c r="G13" s="50">
        <v>12</v>
      </c>
      <c r="H13" s="27">
        <f>IF(B$25=0,0,G13/B$25)</f>
        <v>6.25E-2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101</v>
      </c>
      <c r="C14" s="24">
        <f>IF(B$12=0,0,B14/B$12)</f>
        <v>0.67785234899328861</v>
      </c>
      <c r="E14" s="68" t="s">
        <v>90</v>
      </c>
      <c r="F14" s="64" t="s">
        <v>43</v>
      </c>
      <c r="G14" s="50">
        <v>7</v>
      </c>
      <c r="H14" s="27">
        <f>IF(B$25=0,0,G14/B$25)</f>
        <v>3.6458333333333336E-2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56</v>
      </c>
      <c r="C15" s="24">
        <f>IF(B$13=0,0,B15/B$13)</f>
        <v>0.48695652173913045</v>
      </c>
      <c r="E15" s="68" t="s">
        <v>88</v>
      </c>
      <c r="F15" s="64" t="s">
        <v>41</v>
      </c>
      <c r="G15" s="50">
        <v>4</v>
      </c>
      <c r="H15" s="27">
        <f>IF(B$25=0,0,G15/B$25)</f>
        <v>2.0833333333333332E-2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B18+B17</f>
        <v>351</v>
      </c>
      <c r="C16" s="24">
        <f>IF(B$3=0,0,B16/B$3)</f>
        <v>0.3574338085539715</v>
      </c>
      <c r="E16" s="68" t="s">
        <v>79</v>
      </c>
      <c r="F16" s="64" t="s">
        <v>32</v>
      </c>
      <c r="G16" s="50">
        <v>3</v>
      </c>
      <c r="H16" s="27">
        <f>IF(B$25=0,0,G16/B$25)</f>
        <v>1.5625E-2</v>
      </c>
      <c r="J16" s="26">
        <v>14</v>
      </c>
      <c r="K16" s="28">
        <v>27.300000000000011</v>
      </c>
    </row>
    <row r="17" spans="1:11" x14ac:dyDescent="0.4">
      <c r="A17" s="58" t="s">
        <v>12</v>
      </c>
      <c r="B17" s="50">
        <v>131</v>
      </c>
      <c r="C17" s="27">
        <f>IF(B$16=0,0,B17/B$16)</f>
        <v>0.37321937321937321</v>
      </c>
      <c r="E17" s="68" t="s">
        <v>83</v>
      </c>
      <c r="F17" s="64" t="s">
        <v>36</v>
      </c>
      <c r="G17" s="50">
        <v>3</v>
      </c>
      <c r="H17" s="27">
        <f>IF(B$25=0,0,G17/B$25)</f>
        <v>1.5625E-2</v>
      </c>
      <c r="J17" s="26">
        <v>15</v>
      </c>
      <c r="K17" s="28">
        <v>-9.6999999999999886</v>
      </c>
    </row>
    <row r="18" spans="1:11" x14ac:dyDescent="0.4">
      <c r="A18" s="58" t="s">
        <v>11</v>
      </c>
      <c r="B18" s="50">
        <v>220</v>
      </c>
      <c r="C18" s="27">
        <f>IF(B$16=0,0,B18/B$16)</f>
        <v>0.62678062678062674</v>
      </c>
      <c r="E18" s="68" t="s">
        <v>81</v>
      </c>
      <c r="F18" s="64" t="s">
        <v>34</v>
      </c>
      <c r="G18" s="50">
        <v>2</v>
      </c>
      <c r="H18" s="27">
        <f>IF(B$25=0,0,G18/B$25)</f>
        <v>1.0416666666666666E-2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151</v>
      </c>
      <c r="C19" s="27">
        <f>IF(B$3=0,0,B19/B$3)</f>
        <v>0.15376782077393075</v>
      </c>
      <c r="E19" s="68" t="s">
        <v>98</v>
      </c>
      <c r="F19" s="64" t="s">
        <v>51</v>
      </c>
      <c r="G19" s="50">
        <v>2</v>
      </c>
      <c r="H19" s="27">
        <f>IF(B$25=0,0,G19/B$25)</f>
        <v>1.0416666666666666E-2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9981.4814814814818</v>
      </c>
      <c r="C20" s="30">
        <v>3503500</v>
      </c>
      <c r="E20" s="68" t="s">
        <v>99</v>
      </c>
      <c r="F20" s="64" t="s">
        <v>52</v>
      </c>
      <c r="G20" s="50">
        <v>2</v>
      </c>
      <c r="H20" s="27">
        <f>IF(B$25=0,0,G20/B$25)</f>
        <v>1.0416666666666666E-2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-9634.4370860927156</v>
      </c>
      <c r="C21" s="48">
        <v>-1454800</v>
      </c>
      <c r="E21" s="68" t="s">
        <v>84</v>
      </c>
      <c r="F21" s="64" t="s">
        <v>37</v>
      </c>
      <c r="G21" s="50">
        <v>1</v>
      </c>
      <c r="H21" s="27">
        <f>IF(B$25=0,0,G21/B$25)</f>
        <v>5.208333333333333E-3</v>
      </c>
      <c r="J21" s="26">
        <v>19</v>
      </c>
      <c r="K21" s="28">
        <v>42.600000000000016</v>
      </c>
    </row>
    <row r="22" spans="1:11" x14ac:dyDescent="0.4">
      <c r="A22" s="57" t="s">
        <v>186</v>
      </c>
      <c r="B22" s="49">
        <v>347</v>
      </c>
      <c r="C22" s="24">
        <f>IF(B$3=0,0,B22/B$3)</f>
        <v>0.35336048879837068</v>
      </c>
      <c r="E22" s="68" t="s">
        <v>85</v>
      </c>
      <c r="F22" s="64" t="s">
        <v>38</v>
      </c>
      <c r="G22" s="50">
        <v>1</v>
      </c>
      <c r="H22" s="27">
        <f>IF(B$25=0,0,G22/B$25)</f>
        <v>5.208333333333333E-3</v>
      </c>
      <c r="J22" s="26">
        <v>20</v>
      </c>
      <c r="K22" s="28">
        <v>68.800000000000011</v>
      </c>
    </row>
    <row r="23" spans="1:11" x14ac:dyDescent="0.4">
      <c r="A23" s="60" t="s">
        <v>187</v>
      </c>
      <c r="B23" s="52">
        <v>146</v>
      </c>
      <c r="C23" s="32">
        <f>IF(B$22=0,0,B23/B$22)</f>
        <v>0.4207492795389049</v>
      </c>
      <c r="E23" s="68" t="s">
        <v>92</v>
      </c>
      <c r="F23" s="64" t="s">
        <v>45</v>
      </c>
      <c r="G23" s="50">
        <v>1</v>
      </c>
      <c r="H23" s="27">
        <f>IF(B$25=0,0,G23/B$25)</f>
        <v>5.208333333333333E-3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6">
        <v>519</v>
      </c>
      <c r="C24" s="87"/>
      <c r="E24" s="68" t="s">
        <v>94</v>
      </c>
      <c r="F24" s="64" t="s">
        <v>47</v>
      </c>
      <c r="G24" s="50">
        <v>1</v>
      </c>
      <c r="H24" s="27">
        <f>IF(B$25=0,0,G24/B$25)</f>
        <v>5.208333333333333E-3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8">
        <v>192</v>
      </c>
      <c r="C25" s="89"/>
      <c r="E25" s="68" t="s">
        <v>97</v>
      </c>
      <c r="F25" s="64" t="s">
        <v>50</v>
      </c>
      <c r="G25" s="50">
        <v>1</v>
      </c>
      <c r="H25" s="27">
        <f>IF(B$25=0,0,G25/B$25)</f>
        <v>5.208333333333333E-3</v>
      </c>
      <c r="J25" s="26">
        <v>23</v>
      </c>
      <c r="K25" s="28">
        <v>124.50000000000001</v>
      </c>
    </row>
    <row r="26" spans="1:11" x14ac:dyDescent="0.4">
      <c r="A26" s="78" t="s">
        <v>210</v>
      </c>
      <c r="B26" s="90">
        <v>10</v>
      </c>
      <c r="C26" s="91"/>
      <c r="E26" s="68" t="s">
        <v>113</v>
      </c>
      <c r="F26" s="64" t="s">
        <v>120</v>
      </c>
      <c r="G26" s="50">
        <v>1</v>
      </c>
      <c r="H26" s="27">
        <f>IF(B$25=0,0,G26/B$25)</f>
        <v>5.208333333333333E-3</v>
      </c>
      <c r="J26" s="26">
        <v>24</v>
      </c>
      <c r="K26" s="28">
        <v>118.00000000000001</v>
      </c>
    </row>
    <row r="27" spans="1:11" x14ac:dyDescent="0.4">
      <c r="A27" s="60" t="s">
        <v>212</v>
      </c>
      <c r="B27" s="79">
        <v>1</v>
      </c>
      <c r="C27" s="32">
        <f>IF(B$3=0,0,B27/B$3)</f>
        <v>1.0183299389002036E-3</v>
      </c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  <row r="130" spans="10:11" x14ac:dyDescent="0.4">
      <c r="J130" s="26">
        <v>128</v>
      </c>
      <c r="K130" s="28">
        <v>594.00000000000011</v>
      </c>
    </row>
    <row r="131" spans="10:11" x14ac:dyDescent="0.4">
      <c r="J131" s="26">
        <v>129</v>
      </c>
      <c r="K131" s="28">
        <v>620.00000000000011</v>
      </c>
    </row>
    <row r="132" spans="10:11" x14ac:dyDescent="0.4">
      <c r="J132" s="26">
        <v>130</v>
      </c>
      <c r="K132" s="28">
        <v>631.00000000000011</v>
      </c>
    </row>
    <row r="133" spans="10:11" x14ac:dyDescent="0.4">
      <c r="J133" s="26">
        <v>131</v>
      </c>
      <c r="K133" s="28">
        <v>672.00000000000011</v>
      </c>
    </row>
    <row r="134" spans="10:11" x14ac:dyDescent="0.4">
      <c r="J134" s="26">
        <v>132</v>
      </c>
      <c r="K134" s="28">
        <v>652.20000000000016</v>
      </c>
    </row>
    <row r="135" spans="10:11" x14ac:dyDescent="0.4">
      <c r="J135" s="26">
        <v>133</v>
      </c>
      <c r="K135" s="28">
        <v>689.80000000000018</v>
      </c>
    </row>
    <row r="136" spans="10:11" x14ac:dyDescent="0.4">
      <c r="J136" s="26">
        <v>134</v>
      </c>
      <c r="K136" s="28">
        <v>697.60000000000014</v>
      </c>
    </row>
    <row r="137" spans="10:11" x14ac:dyDescent="0.4">
      <c r="J137" s="26">
        <v>135</v>
      </c>
      <c r="K137" s="28">
        <v>765.70000000000016</v>
      </c>
    </row>
  </sheetData>
  <sortState ref="E2:H137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233FD-33AC-4C01-BAEA-8B80CB2499B3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183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4</v>
      </c>
      <c r="C2" s="87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4">
        <v>25</v>
      </c>
      <c r="C3" s="95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190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6">
        <v>-132.1</v>
      </c>
      <c r="C4" s="97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191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6">
        <f>IF(B$2=0,0,B$4/B$2)</f>
        <v>-33.024999999999999</v>
      </c>
      <c r="C5" s="97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192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8">
        <f>IF(B$2=0,0,(B$7*1+B$8*2+B$9*3)/B$2)</f>
        <v>3</v>
      </c>
      <c r="C6" s="9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193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E862-EEB8-490A-AC6F-3C22E96F7B0A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225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3</v>
      </c>
      <c r="C2" s="87"/>
      <c r="E2" s="67" t="s">
        <v>72</v>
      </c>
      <c r="F2" s="63" t="s">
        <v>26</v>
      </c>
      <c r="G2" s="49">
        <v>2</v>
      </c>
      <c r="H2" s="24">
        <f>IF(B$25=0,0,G2/B$25)</f>
        <v>2</v>
      </c>
      <c r="J2" s="23">
        <v>0</v>
      </c>
      <c r="K2" s="25">
        <v>0</v>
      </c>
      <c r="M2" s="23" t="s">
        <v>189</v>
      </c>
      <c r="N2" s="44">
        <f t="shared" ref="N2:N7" si="0">IF(P2=0,0,O2/P2)</f>
        <v>-8666.6666666666661</v>
      </c>
      <c r="O2" s="41">
        <v>-26000</v>
      </c>
      <c r="P2" s="39">
        <v>3</v>
      </c>
    </row>
    <row r="3" spans="1:16" x14ac:dyDescent="0.4">
      <c r="A3" s="58" t="s">
        <v>8</v>
      </c>
      <c r="B3" s="94">
        <v>16</v>
      </c>
      <c r="C3" s="95"/>
      <c r="E3" s="68" t="s">
        <v>69</v>
      </c>
      <c r="F3" s="64" t="s">
        <v>23</v>
      </c>
      <c r="G3" s="50">
        <v>1</v>
      </c>
      <c r="H3" s="27">
        <f>IF(B$25=0,0,G3/B$25)</f>
        <v>1</v>
      </c>
      <c r="J3" s="26">
        <v>1</v>
      </c>
      <c r="K3" s="28">
        <v>7</v>
      </c>
      <c r="M3" s="26" t="s">
        <v>190</v>
      </c>
      <c r="N3" s="45">
        <f t="shared" si="0"/>
        <v>-250</v>
      </c>
      <c r="O3" s="42">
        <v>-500</v>
      </c>
      <c r="P3" s="37">
        <v>2</v>
      </c>
    </row>
    <row r="4" spans="1:16" x14ac:dyDescent="0.4">
      <c r="A4" s="58" t="s">
        <v>6</v>
      </c>
      <c r="B4" s="96">
        <v>-26.5</v>
      </c>
      <c r="C4" s="97"/>
      <c r="E4" s="68" t="s">
        <v>75</v>
      </c>
      <c r="F4" s="64" t="s">
        <v>28</v>
      </c>
      <c r="G4" s="50">
        <v>1</v>
      </c>
      <c r="H4" s="27">
        <f>IF(B$25=0,0,G4/B$25)</f>
        <v>1</v>
      </c>
      <c r="J4" s="26">
        <v>2</v>
      </c>
      <c r="K4" s="28">
        <v>-24.5</v>
      </c>
      <c r="M4" s="26" t="s">
        <v>191</v>
      </c>
      <c r="N4" s="45">
        <f t="shared" si="0"/>
        <v>-3500</v>
      </c>
      <c r="O4" s="42">
        <v>-7000</v>
      </c>
      <c r="P4" s="37">
        <v>2</v>
      </c>
    </row>
    <row r="5" spans="1:16" x14ac:dyDescent="0.4">
      <c r="A5" s="58" t="s">
        <v>7</v>
      </c>
      <c r="B5" s="96">
        <f>IF(B$2=0,0,B$4/B$2)</f>
        <v>-8.8333333333333339</v>
      </c>
      <c r="C5" s="97"/>
      <c r="E5" s="68" t="s">
        <v>77</v>
      </c>
      <c r="F5" s="64" t="s">
        <v>30</v>
      </c>
      <c r="G5" s="50">
        <v>1</v>
      </c>
      <c r="H5" s="27">
        <f>IF(B$25=0,0,G5/B$25)</f>
        <v>1</v>
      </c>
      <c r="J5" s="26">
        <v>3</v>
      </c>
      <c r="K5" s="28">
        <v>-26.5</v>
      </c>
      <c r="M5" s="26" t="s">
        <v>192</v>
      </c>
      <c r="N5" s="45">
        <f t="shared" si="0"/>
        <v>0</v>
      </c>
      <c r="O5" s="42">
        <v>0</v>
      </c>
      <c r="P5" s="37">
        <v>1</v>
      </c>
    </row>
    <row r="6" spans="1:16" x14ac:dyDescent="0.4">
      <c r="A6" s="58" t="s">
        <v>1</v>
      </c>
      <c r="B6" s="98">
        <f>IF(B$2=0,0,(B$7*1+B$8*2+B$9*3)/B$2)</f>
        <v>2.3333333333333335</v>
      </c>
      <c r="C6" s="99"/>
      <c r="E6" s="68" t="s">
        <v>70</v>
      </c>
      <c r="F6" s="64" t="s">
        <v>24</v>
      </c>
      <c r="G6" s="50">
        <v>0</v>
      </c>
      <c r="H6" s="27">
        <f>IF(B$25=0,0,G6/B$25)</f>
        <v>0</v>
      </c>
      <c r="M6" s="26" t="s">
        <v>193</v>
      </c>
      <c r="N6" s="45">
        <f t="shared" si="0"/>
        <v>8000</v>
      </c>
      <c r="O6" s="42">
        <v>8000</v>
      </c>
      <c r="P6" s="37">
        <v>1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-1000</v>
      </c>
      <c r="O7" s="43">
        <v>-1000</v>
      </c>
      <c r="P7" s="38">
        <v>1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0.66666666666666663</v>
      </c>
      <c r="E8" s="68" t="s">
        <v>73</v>
      </c>
      <c r="F8" s="64" t="s">
        <v>27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0.33333333333333331</v>
      </c>
      <c r="E9" s="68" t="s">
        <v>74</v>
      </c>
      <c r="F9" s="64" t="s">
        <v>12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11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2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E18A8-7184-4FE8-B9F9-CDC06769D98B}">
  <sheetPr codeName="Sheet7"/>
  <dimension ref="A1:P98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179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96</v>
      </c>
      <c r="C2" s="87"/>
      <c r="E2" s="67" t="s">
        <v>73</v>
      </c>
      <c r="F2" s="63" t="s">
        <v>27</v>
      </c>
      <c r="G2" s="49">
        <v>94</v>
      </c>
      <c r="H2" s="24">
        <f>IF(B$25=0,0,G2/B$25)</f>
        <v>0.76422764227642281</v>
      </c>
      <c r="J2" s="23">
        <v>0</v>
      </c>
      <c r="K2" s="25">
        <v>0</v>
      </c>
      <c r="M2" s="23" t="s">
        <v>189</v>
      </c>
      <c r="N2" s="44">
        <f t="shared" ref="N2:N7" si="0">IF(P2=0,0,O2/P2)</f>
        <v>-746.80851063829789</v>
      </c>
      <c r="O2" s="41">
        <v>-70200</v>
      </c>
      <c r="P2" s="39">
        <v>94</v>
      </c>
    </row>
    <row r="3" spans="1:16" x14ac:dyDescent="0.4">
      <c r="A3" s="58" t="s">
        <v>8</v>
      </c>
      <c r="B3" s="94">
        <v>723</v>
      </c>
      <c r="C3" s="95"/>
      <c r="E3" s="68" t="s">
        <v>71</v>
      </c>
      <c r="F3" s="64" t="s">
        <v>25</v>
      </c>
      <c r="G3" s="50">
        <v>85</v>
      </c>
      <c r="H3" s="27">
        <f>IF(B$25=0,0,G3/B$25)</f>
        <v>0.69105691056910568</v>
      </c>
      <c r="J3" s="26">
        <v>1</v>
      </c>
      <c r="K3" s="28">
        <v>40.9</v>
      </c>
      <c r="M3" s="26" t="s">
        <v>190</v>
      </c>
      <c r="N3" s="45">
        <f t="shared" si="0"/>
        <v>-1688.8888888888889</v>
      </c>
      <c r="O3" s="42">
        <v>-152000</v>
      </c>
      <c r="P3" s="37">
        <v>90</v>
      </c>
    </row>
    <row r="4" spans="1:16" x14ac:dyDescent="0.4">
      <c r="A4" s="58" t="s">
        <v>6</v>
      </c>
      <c r="B4" s="96">
        <v>-381</v>
      </c>
      <c r="C4" s="97"/>
      <c r="E4" s="68" t="s">
        <v>69</v>
      </c>
      <c r="F4" s="64" t="s">
        <v>23</v>
      </c>
      <c r="G4" s="50">
        <v>72</v>
      </c>
      <c r="H4" s="27">
        <f>IF(B$25=0,0,G4/B$25)</f>
        <v>0.58536585365853655</v>
      </c>
      <c r="J4" s="26">
        <v>2</v>
      </c>
      <c r="K4" s="28">
        <v>-0.89999999999999858</v>
      </c>
      <c r="M4" s="26" t="s">
        <v>191</v>
      </c>
      <c r="N4" s="45">
        <f t="shared" si="0"/>
        <v>2085.0574712643679</v>
      </c>
      <c r="O4" s="42">
        <v>181400</v>
      </c>
      <c r="P4" s="37">
        <v>87</v>
      </c>
    </row>
    <row r="5" spans="1:16" x14ac:dyDescent="0.4">
      <c r="A5" s="58" t="s">
        <v>7</v>
      </c>
      <c r="B5" s="96">
        <f>IF(B$2=0,0,B$4/B$2)</f>
        <v>-3.96875</v>
      </c>
      <c r="C5" s="97"/>
      <c r="E5" s="68" t="s">
        <v>78</v>
      </c>
      <c r="F5" s="64" t="s">
        <v>31</v>
      </c>
      <c r="G5" s="50">
        <v>68</v>
      </c>
      <c r="H5" s="27">
        <f>IF(B$25=0,0,G5/B$25)</f>
        <v>0.55284552845528456</v>
      </c>
      <c r="J5" s="26">
        <v>3</v>
      </c>
      <c r="K5" s="28">
        <v>-36.4</v>
      </c>
      <c r="M5" s="26" t="s">
        <v>192</v>
      </c>
      <c r="N5" s="45">
        <f t="shared" si="0"/>
        <v>-2153.2467532467531</v>
      </c>
      <c r="O5" s="42">
        <v>-165800</v>
      </c>
      <c r="P5" s="37">
        <v>77</v>
      </c>
    </row>
    <row r="6" spans="1:16" x14ac:dyDescent="0.4">
      <c r="A6" s="58" t="s">
        <v>1</v>
      </c>
      <c r="B6" s="98">
        <f>IF(B$2=0,0,(B$7*1+B$8*2+B$9*3)/B$2)</f>
        <v>2.1041666666666665</v>
      </c>
      <c r="C6" s="99"/>
      <c r="E6" s="68" t="s">
        <v>74</v>
      </c>
      <c r="F6" s="64" t="s">
        <v>12</v>
      </c>
      <c r="G6" s="50">
        <v>40</v>
      </c>
      <c r="H6" s="27">
        <f>IF(B$25=0,0,G6/B$25)</f>
        <v>0.32520325203252032</v>
      </c>
      <c r="J6" s="26">
        <v>4</v>
      </c>
      <c r="K6" s="28">
        <v>3.6000000000000014</v>
      </c>
      <c r="M6" s="26" t="s">
        <v>193</v>
      </c>
      <c r="N6" s="45">
        <f t="shared" si="0"/>
        <v>-1843.5483870967741</v>
      </c>
      <c r="O6" s="42">
        <v>-114300</v>
      </c>
      <c r="P6" s="37">
        <v>62</v>
      </c>
    </row>
    <row r="7" spans="1:16" x14ac:dyDescent="0.4">
      <c r="A7" s="58" t="s">
        <v>2</v>
      </c>
      <c r="B7" s="50">
        <v>29</v>
      </c>
      <c r="C7" s="27">
        <f>IF(B$2=0,0,B7/B$2)</f>
        <v>0.30208333333333331</v>
      </c>
      <c r="E7" s="68" t="s">
        <v>72</v>
      </c>
      <c r="F7" s="64" t="s">
        <v>26</v>
      </c>
      <c r="G7" s="50">
        <v>34</v>
      </c>
      <c r="H7" s="27">
        <f>IF(B$25=0,0,G7/B$25)</f>
        <v>0.27642276422764228</v>
      </c>
      <c r="J7" s="26">
        <v>5</v>
      </c>
      <c r="K7" s="28">
        <v>14.600000000000001</v>
      </c>
      <c r="M7" s="31" t="s">
        <v>194</v>
      </c>
      <c r="N7" s="46">
        <f t="shared" si="0"/>
        <v>-2087.2340425531916</v>
      </c>
      <c r="O7" s="43">
        <v>-98100</v>
      </c>
      <c r="P7" s="38">
        <v>47</v>
      </c>
    </row>
    <row r="8" spans="1:16" x14ac:dyDescent="0.4">
      <c r="A8" s="58" t="s">
        <v>3</v>
      </c>
      <c r="B8" s="50">
        <v>28</v>
      </c>
      <c r="C8" s="27">
        <f t="shared" ref="C8:C9" si="1">IF(B$2=0,0,B8/B$2)</f>
        <v>0.29166666666666669</v>
      </c>
      <c r="E8" s="68" t="s">
        <v>76</v>
      </c>
      <c r="F8" s="64" t="s">
        <v>29</v>
      </c>
      <c r="G8" s="50">
        <v>20</v>
      </c>
      <c r="H8" s="27">
        <f>IF(B$25=0,0,G8/B$25)</f>
        <v>0.16260162601626016</v>
      </c>
      <c r="J8" s="26">
        <v>6</v>
      </c>
      <c r="K8" s="28">
        <v>47.6</v>
      </c>
    </row>
    <row r="9" spans="1:16" x14ac:dyDescent="0.4">
      <c r="A9" s="59" t="s">
        <v>4</v>
      </c>
      <c r="B9" s="51">
        <v>39</v>
      </c>
      <c r="C9" s="29">
        <f t="shared" si="1"/>
        <v>0.40625</v>
      </c>
      <c r="E9" s="68" t="s">
        <v>96</v>
      </c>
      <c r="F9" s="64" t="s">
        <v>49</v>
      </c>
      <c r="G9" s="50">
        <v>20</v>
      </c>
      <c r="H9" s="27">
        <f>IF(B$25=0,0,G9/B$25)</f>
        <v>0.16260162601626016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22</v>
      </c>
      <c r="C10" s="29">
        <f>IF(B$2=0,0,B10/B$2)</f>
        <v>0.22916666666666666</v>
      </c>
      <c r="E10" s="68" t="s">
        <v>75</v>
      </c>
      <c r="F10" s="64" t="s">
        <v>28</v>
      </c>
      <c r="G10" s="50">
        <v>19</v>
      </c>
      <c r="H10" s="27">
        <f>IF(B$25=0,0,G10/B$25)</f>
        <v>0.15447154471544716</v>
      </c>
      <c r="J10" s="26">
        <v>8</v>
      </c>
      <c r="K10" s="28">
        <v>60.199999999999996</v>
      </c>
    </row>
    <row r="11" spans="1:16" x14ac:dyDescent="0.4">
      <c r="A11" s="60" t="s">
        <v>199</v>
      </c>
      <c r="B11" s="52">
        <v>14</v>
      </c>
      <c r="C11" s="32">
        <f>IF(B$2=0,0,B11/B$2)</f>
        <v>0.14583333333333334</v>
      </c>
      <c r="E11" s="68" t="s">
        <v>70</v>
      </c>
      <c r="F11" s="64" t="s">
        <v>24</v>
      </c>
      <c r="G11" s="50">
        <v>14</v>
      </c>
      <c r="H11" s="27">
        <f>IF(B$25=0,0,G11/B$25)</f>
        <v>0.11382113821138211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130</v>
      </c>
      <c r="C12" s="35">
        <f>IF(B$24=0,0,B12/B$24)</f>
        <v>0.2813852813852814</v>
      </c>
      <c r="E12" s="68" t="s">
        <v>93</v>
      </c>
      <c r="F12" s="64" t="s">
        <v>46</v>
      </c>
      <c r="G12" s="50">
        <v>13</v>
      </c>
      <c r="H12" s="27">
        <f>IF(B$25=0,0,G12/B$25)</f>
        <v>0.10569105691056911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87</v>
      </c>
      <c r="C13" s="27">
        <f>IF(B$24=0,0,B13/B$24)</f>
        <v>0.18831168831168832</v>
      </c>
      <c r="E13" s="68" t="s">
        <v>90</v>
      </c>
      <c r="F13" s="64" t="s">
        <v>43</v>
      </c>
      <c r="G13" s="50">
        <v>11</v>
      </c>
      <c r="H13" s="27">
        <f>IF(B$25=0,0,G13/B$25)</f>
        <v>8.943089430894309E-2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73</v>
      </c>
      <c r="C14" s="24">
        <f>IF(B$12=0,0,B14/B$12)</f>
        <v>0.56153846153846154</v>
      </c>
      <c r="E14" s="68" t="s">
        <v>98</v>
      </c>
      <c r="F14" s="64" t="s">
        <v>51</v>
      </c>
      <c r="G14" s="50">
        <v>6</v>
      </c>
      <c r="H14" s="27">
        <f>IF(B$25=0,0,G14/B$25)</f>
        <v>4.878048780487805E-2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32</v>
      </c>
      <c r="C15" s="24">
        <f>IF(B$13=0,0,B15/B$13)</f>
        <v>0.36781609195402298</v>
      </c>
      <c r="E15" s="68" t="s">
        <v>88</v>
      </c>
      <c r="F15" s="64" t="s">
        <v>41</v>
      </c>
      <c r="G15" s="50">
        <v>5</v>
      </c>
      <c r="H15" s="27">
        <f>IF(B$25=0,0,G15/B$25)</f>
        <v>4.065040650406504E-2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B18+B17</f>
        <v>184</v>
      </c>
      <c r="C16" s="24">
        <f>IF(B$3=0,0,B16/B$3)</f>
        <v>0.2544951590594744</v>
      </c>
      <c r="E16" s="68" t="s">
        <v>77</v>
      </c>
      <c r="F16" s="64" t="s">
        <v>30</v>
      </c>
      <c r="G16" s="50">
        <v>4</v>
      </c>
      <c r="H16" s="27">
        <f>IF(B$25=0,0,G16/B$25)</f>
        <v>3.2520325203252036E-2</v>
      </c>
      <c r="J16" s="26">
        <v>14</v>
      </c>
      <c r="K16" s="28">
        <v>33</v>
      </c>
    </row>
    <row r="17" spans="1:11" x14ac:dyDescent="0.4">
      <c r="A17" s="58" t="s">
        <v>12</v>
      </c>
      <c r="B17" s="50">
        <v>75</v>
      </c>
      <c r="C17" s="27">
        <f>IF(B$16=0,0,B17/B$16)</f>
        <v>0.40760869565217389</v>
      </c>
      <c r="E17" s="68" t="s">
        <v>84</v>
      </c>
      <c r="F17" s="64" t="s">
        <v>37</v>
      </c>
      <c r="G17" s="50">
        <v>2</v>
      </c>
      <c r="H17" s="27">
        <f>IF(B$25=0,0,G17/B$25)</f>
        <v>1.6260162601626018E-2</v>
      </c>
      <c r="J17" s="26">
        <v>15</v>
      </c>
      <c r="K17" s="28">
        <v>38.5</v>
      </c>
    </row>
    <row r="18" spans="1:11" x14ac:dyDescent="0.4">
      <c r="A18" s="58" t="s">
        <v>11</v>
      </c>
      <c r="B18" s="50">
        <v>109</v>
      </c>
      <c r="C18" s="27">
        <f>IF(B$16=0,0,B18/B$16)</f>
        <v>0.59239130434782605</v>
      </c>
      <c r="E18" s="68" t="s">
        <v>85</v>
      </c>
      <c r="F18" s="64" t="s">
        <v>38</v>
      </c>
      <c r="G18" s="50">
        <v>2</v>
      </c>
      <c r="H18" s="27">
        <f>IF(B$25=0,0,G18/B$25)</f>
        <v>1.6260162601626018E-2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141</v>
      </c>
      <c r="C19" s="27">
        <f>IF(B$3=0,0,B19/B$3)</f>
        <v>0.19502074688796681</v>
      </c>
      <c r="E19" s="68" t="s">
        <v>92</v>
      </c>
      <c r="F19" s="64" t="s">
        <v>45</v>
      </c>
      <c r="G19" s="50">
        <v>2</v>
      </c>
      <c r="H19" s="27">
        <f>IF(B$25=0,0,G19/B$25)</f>
        <v>1.6260162601626018E-2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11308.152173913044</v>
      </c>
      <c r="C20" s="30">
        <v>2080700</v>
      </c>
      <c r="E20" s="68" t="s">
        <v>99</v>
      </c>
      <c r="F20" s="64" t="s">
        <v>52</v>
      </c>
      <c r="G20" s="50">
        <v>2</v>
      </c>
      <c r="H20" s="27">
        <f>IF(B$25=0,0,G20/B$25)</f>
        <v>1.6260162601626018E-2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-10026.950354609929</v>
      </c>
      <c r="C21" s="48">
        <v>-1413800</v>
      </c>
      <c r="E21" s="68" t="s">
        <v>87</v>
      </c>
      <c r="F21" s="64" t="s">
        <v>40</v>
      </c>
      <c r="G21" s="50">
        <v>1</v>
      </c>
      <c r="H21" s="27">
        <f>IF(B$25=0,0,G21/B$25)</f>
        <v>8.130081300813009E-3</v>
      </c>
      <c r="J21" s="26">
        <v>19</v>
      </c>
      <c r="K21" s="28">
        <v>-26.699999999999996</v>
      </c>
    </row>
    <row r="22" spans="1:11" x14ac:dyDescent="0.4">
      <c r="A22" s="57" t="s">
        <v>186</v>
      </c>
      <c r="B22" s="49">
        <v>226</v>
      </c>
      <c r="C22" s="24">
        <f>IF(B$3=0,0,B22/B$3)</f>
        <v>0.31258644536652835</v>
      </c>
      <c r="E22" s="68" t="s">
        <v>91</v>
      </c>
      <c r="F22" s="64" t="s">
        <v>44</v>
      </c>
      <c r="G22" s="50">
        <v>1</v>
      </c>
      <c r="H22" s="27">
        <f>IF(B$25=0,0,G22/B$25)</f>
        <v>8.130081300813009E-3</v>
      </c>
      <c r="J22" s="26">
        <v>20</v>
      </c>
      <c r="K22" s="28">
        <v>-57.899999999999991</v>
      </c>
    </row>
    <row r="23" spans="1:11" x14ac:dyDescent="0.4">
      <c r="A23" s="60" t="s">
        <v>187</v>
      </c>
      <c r="B23" s="52">
        <v>69</v>
      </c>
      <c r="C23" s="32">
        <f>IF(B$22=0,0,B23/B$22)</f>
        <v>0.30530973451327431</v>
      </c>
      <c r="E23" s="68" t="s">
        <v>94</v>
      </c>
      <c r="F23" s="64" t="s">
        <v>47</v>
      </c>
      <c r="G23" s="50">
        <v>1</v>
      </c>
      <c r="H23" s="27">
        <f>IF(B$25=0,0,G23/B$25)</f>
        <v>8.130081300813009E-3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6">
        <v>462</v>
      </c>
      <c r="C24" s="87"/>
      <c r="E24" s="68" t="s">
        <v>95</v>
      </c>
      <c r="F24" s="64" t="s">
        <v>48</v>
      </c>
      <c r="G24" s="50">
        <v>1</v>
      </c>
      <c r="H24" s="27">
        <f>IF(B$25=0,0,G24/B$25)</f>
        <v>8.130081300813009E-3</v>
      </c>
      <c r="J24" s="26">
        <v>22</v>
      </c>
      <c r="K24" s="28">
        <v>-94.6</v>
      </c>
    </row>
    <row r="25" spans="1:11" x14ac:dyDescent="0.4">
      <c r="A25" s="60" t="s">
        <v>129</v>
      </c>
      <c r="B25" s="88">
        <v>123</v>
      </c>
      <c r="C25" s="89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78" t="s">
        <v>210</v>
      </c>
      <c r="B26" s="90">
        <v>10</v>
      </c>
      <c r="C26" s="91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A27" s="60" t="s">
        <v>212</v>
      </c>
      <c r="B27" s="79">
        <v>4</v>
      </c>
      <c r="C27" s="32">
        <f>IF(B$3=0,0,B27/B$3)</f>
        <v>5.5325034578146614E-3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-377.49999999999994</v>
      </c>
    </row>
    <row r="91" spans="10:11" x14ac:dyDescent="0.4">
      <c r="J91" s="26">
        <v>89</v>
      </c>
      <c r="K91" s="28">
        <v>-410.29999999999995</v>
      </c>
    </row>
    <row r="92" spans="10:11" x14ac:dyDescent="0.4">
      <c r="J92" s="26">
        <v>90</v>
      </c>
      <c r="K92" s="28">
        <v>-405.79999999999995</v>
      </c>
    </row>
    <row r="93" spans="10:11" x14ac:dyDescent="0.4">
      <c r="J93" s="26">
        <v>91</v>
      </c>
      <c r="K93" s="28">
        <v>-395.29999999999995</v>
      </c>
    </row>
    <row r="94" spans="10:11" x14ac:dyDescent="0.4">
      <c r="J94" s="26">
        <v>92</v>
      </c>
      <c r="K94" s="28">
        <v>-365.49999999999994</v>
      </c>
    </row>
    <row r="95" spans="10:11" x14ac:dyDescent="0.4">
      <c r="J95" s="26">
        <v>93</v>
      </c>
      <c r="K95" s="28">
        <v>-401.99999999999994</v>
      </c>
    </row>
    <row r="96" spans="10:11" x14ac:dyDescent="0.4">
      <c r="J96" s="26">
        <v>94</v>
      </c>
      <c r="K96" s="28">
        <v>-372.59999999999997</v>
      </c>
    </row>
    <row r="97" spans="10:11" x14ac:dyDescent="0.4">
      <c r="J97" s="26">
        <v>95</v>
      </c>
      <c r="K97" s="28">
        <v>-399.4</v>
      </c>
    </row>
    <row r="98" spans="10:11" x14ac:dyDescent="0.4">
      <c r="J98" s="26">
        <v>96</v>
      </c>
      <c r="K98" s="28">
        <v>-381</v>
      </c>
    </row>
  </sheetData>
  <sortState ref="E2:H98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77C72-6781-49E8-AAB9-5C9654AAFAA1}">
  <sheetPr codeName="Sheet8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180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48</v>
      </c>
      <c r="C2" s="87"/>
      <c r="E2" s="67" t="s">
        <v>71</v>
      </c>
      <c r="F2" s="63" t="s">
        <v>25</v>
      </c>
      <c r="G2" s="49">
        <v>34</v>
      </c>
      <c r="H2" s="24">
        <f>IF(B$25=0,0,G2/B$25)</f>
        <v>1</v>
      </c>
      <c r="J2" s="23">
        <v>0</v>
      </c>
      <c r="K2" s="25">
        <v>0</v>
      </c>
      <c r="M2" s="23" t="s">
        <v>189</v>
      </c>
      <c r="N2" s="44">
        <f t="shared" ref="N2:N7" si="0">IF(P2=0,0,O2/P2)</f>
        <v>-718.75</v>
      </c>
      <c r="O2" s="41">
        <v>-34500</v>
      </c>
      <c r="P2" s="39">
        <v>48</v>
      </c>
    </row>
    <row r="3" spans="1:16" x14ac:dyDescent="0.4">
      <c r="A3" s="58" t="s">
        <v>8</v>
      </c>
      <c r="B3" s="94">
        <v>343</v>
      </c>
      <c r="C3" s="95"/>
      <c r="E3" s="68" t="s">
        <v>73</v>
      </c>
      <c r="F3" s="64" t="s">
        <v>27</v>
      </c>
      <c r="G3" s="50">
        <v>30</v>
      </c>
      <c r="H3" s="27">
        <f>IF(B$25=0,0,G3/B$25)</f>
        <v>0.88235294117647056</v>
      </c>
      <c r="J3" s="26">
        <v>1</v>
      </c>
      <c r="K3" s="28">
        <v>-39.9</v>
      </c>
      <c r="M3" s="26" t="s">
        <v>190</v>
      </c>
      <c r="N3" s="45">
        <f t="shared" si="0"/>
        <v>2878.2608695652175</v>
      </c>
      <c r="O3" s="42">
        <v>132400</v>
      </c>
      <c r="P3" s="37">
        <v>46</v>
      </c>
    </row>
    <row r="4" spans="1:16" x14ac:dyDescent="0.4">
      <c r="A4" s="58" t="s">
        <v>6</v>
      </c>
      <c r="B4" s="96">
        <v>213.70000000000005</v>
      </c>
      <c r="C4" s="97"/>
      <c r="E4" s="68" t="s">
        <v>78</v>
      </c>
      <c r="F4" s="64" t="s">
        <v>31</v>
      </c>
      <c r="G4" s="50">
        <v>24</v>
      </c>
      <c r="H4" s="27">
        <f>IF(B$25=0,0,G4/B$25)</f>
        <v>0.70588235294117652</v>
      </c>
      <c r="J4" s="26">
        <v>2</v>
      </c>
      <c r="K4" s="28">
        <v>-13.2</v>
      </c>
      <c r="M4" s="26" t="s">
        <v>191</v>
      </c>
      <c r="N4" s="45">
        <f t="shared" si="0"/>
        <v>-272.72727272727275</v>
      </c>
      <c r="O4" s="42">
        <v>-12000</v>
      </c>
      <c r="P4" s="37">
        <v>44</v>
      </c>
    </row>
    <row r="5" spans="1:16" x14ac:dyDescent="0.4">
      <c r="A5" s="58" t="s">
        <v>7</v>
      </c>
      <c r="B5" s="96">
        <f>IF(B$2=0,0,B$4/B$2)</f>
        <v>4.4520833333333343</v>
      </c>
      <c r="C5" s="97"/>
      <c r="E5" s="68" t="s">
        <v>69</v>
      </c>
      <c r="F5" s="64" t="s">
        <v>23</v>
      </c>
      <c r="G5" s="50">
        <v>15</v>
      </c>
      <c r="H5" s="27">
        <f>IF(B$25=0,0,G5/B$25)</f>
        <v>0.44117647058823528</v>
      </c>
      <c r="J5" s="26">
        <v>3</v>
      </c>
      <c r="K5" s="28">
        <v>-57.7</v>
      </c>
      <c r="M5" s="26" t="s">
        <v>192</v>
      </c>
      <c r="N5" s="45">
        <f t="shared" si="0"/>
        <v>-1586.4864864864865</v>
      </c>
      <c r="O5" s="42">
        <v>-58700</v>
      </c>
      <c r="P5" s="37">
        <v>37</v>
      </c>
    </row>
    <row r="6" spans="1:16" x14ac:dyDescent="0.4">
      <c r="A6" s="58" t="s">
        <v>1</v>
      </c>
      <c r="B6" s="98">
        <f>IF(B$2=0,0,(B$7*1+B$8*2+B$9*3)/B$2)</f>
        <v>1.8958333333333333</v>
      </c>
      <c r="C6" s="99"/>
      <c r="E6" s="68" t="s">
        <v>72</v>
      </c>
      <c r="F6" s="64" t="s">
        <v>26</v>
      </c>
      <c r="G6" s="50">
        <v>10</v>
      </c>
      <c r="H6" s="27">
        <f>IF(B$25=0,0,G6/B$25)</f>
        <v>0.29411764705882354</v>
      </c>
      <c r="J6" s="26">
        <v>4</v>
      </c>
      <c r="K6" s="28">
        <v>-53.7</v>
      </c>
      <c r="M6" s="26" t="s">
        <v>193</v>
      </c>
      <c r="N6" s="45">
        <f t="shared" si="0"/>
        <v>6312.9032258064517</v>
      </c>
      <c r="O6" s="42">
        <v>195700</v>
      </c>
      <c r="P6" s="37">
        <v>31</v>
      </c>
    </row>
    <row r="7" spans="1:16" x14ac:dyDescent="0.4">
      <c r="A7" s="58" t="s">
        <v>2</v>
      </c>
      <c r="B7" s="50">
        <v>17</v>
      </c>
      <c r="C7" s="27">
        <f>IF(B$2=0,0,B7/B$2)</f>
        <v>0.35416666666666669</v>
      </c>
      <c r="E7" s="68" t="s">
        <v>74</v>
      </c>
      <c r="F7" s="64" t="s">
        <v>12</v>
      </c>
      <c r="G7" s="50">
        <v>7</v>
      </c>
      <c r="H7" s="27">
        <f>IF(B$25=0,0,G7/B$25)</f>
        <v>0.20588235294117646</v>
      </c>
      <c r="J7" s="26">
        <v>5</v>
      </c>
      <c r="K7" s="28">
        <v>-45.7</v>
      </c>
      <c r="M7" s="31" t="s">
        <v>194</v>
      </c>
      <c r="N7" s="46">
        <f t="shared" si="0"/>
        <v>-323.8095238095238</v>
      </c>
      <c r="O7" s="43">
        <v>-6800</v>
      </c>
      <c r="P7" s="38">
        <v>21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0.39583333333333331</v>
      </c>
      <c r="E8" s="68" t="s">
        <v>70</v>
      </c>
      <c r="F8" s="64" t="s">
        <v>24</v>
      </c>
      <c r="G8" s="50">
        <v>3</v>
      </c>
      <c r="H8" s="27">
        <f>IF(B$25=0,0,G8/B$25)</f>
        <v>8.8235294117647065E-2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12</v>
      </c>
      <c r="C9" s="29">
        <f t="shared" si="1"/>
        <v>0.25</v>
      </c>
      <c r="E9" s="68" t="s">
        <v>75</v>
      </c>
      <c r="F9" s="64" t="s">
        <v>28</v>
      </c>
      <c r="G9" s="50">
        <v>3</v>
      </c>
      <c r="H9" s="27">
        <f>IF(B$25=0,0,G9/B$25)</f>
        <v>8.8235294117647065E-2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6</v>
      </c>
      <c r="C10" s="29">
        <f>IF(B$2=0,0,B10/B$2)</f>
        <v>0.125</v>
      </c>
      <c r="E10" s="68" t="s">
        <v>76</v>
      </c>
      <c r="F10" s="64" t="s">
        <v>29</v>
      </c>
      <c r="G10" s="50">
        <v>3</v>
      </c>
      <c r="H10" s="27">
        <f>IF(B$25=0,0,G10/B$25)</f>
        <v>8.8235294117647065E-2</v>
      </c>
      <c r="J10" s="26">
        <v>8</v>
      </c>
      <c r="K10" s="28">
        <v>-59.1</v>
      </c>
    </row>
    <row r="11" spans="1:16" x14ac:dyDescent="0.4">
      <c r="A11" s="60" t="s">
        <v>199</v>
      </c>
      <c r="B11" s="52">
        <v>9</v>
      </c>
      <c r="C11" s="32">
        <f>IF(B$2=0,0,B11/B$2)</f>
        <v>0.1875</v>
      </c>
      <c r="E11" s="68" t="s">
        <v>90</v>
      </c>
      <c r="F11" s="64" t="s">
        <v>43</v>
      </c>
      <c r="G11" s="50">
        <v>3</v>
      </c>
      <c r="H11" s="27">
        <f>IF(B$25=0,0,G11/B$25)</f>
        <v>8.8235294117647065E-2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22</v>
      </c>
      <c r="C12" s="35">
        <f>IF(B$24=0,0,B12/B$24)</f>
        <v>0.20952380952380953</v>
      </c>
      <c r="E12" s="68" t="s">
        <v>88</v>
      </c>
      <c r="F12" s="64" t="s">
        <v>41</v>
      </c>
      <c r="G12" s="50">
        <v>2</v>
      </c>
      <c r="H12" s="27">
        <f>IF(B$25=0,0,G12/B$25)</f>
        <v>5.8823529411764705E-2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34</v>
      </c>
      <c r="C13" s="27">
        <f>IF(B$24=0,0,B13/B$24)</f>
        <v>0.32380952380952382</v>
      </c>
      <c r="E13" s="68" t="s">
        <v>93</v>
      </c>
      <c r="F13" s="64" t="s">
        <v>46</v>
      </c>
      <c r="G13" s="50">
        <v>2</v>
      </c>
      <c r="H13" s="27">
        <f>IF(B$25=0,0,G13/B$25)</f>
        <v>5.8823529411764705E-2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15</v>
      </c>
      <c r="C14" s="24">
        <f>IF(B$12=0,0,B14/B$12)</f>
        <v>0.68181818181818177</v>
      </c>
      <c r="E14" s="68" t="s">
        <v>96</v>
      </c>
      <c r="F14" s="64" t="s">
        <v>49</v>
      </c>
      <c r="G14" s="50">
        <v>2</v>
      </c>
      <c r="H14" s="27">
        <f>IF(B$25=0,0,G14/B$25)</f>
        <v>5.8823529411764705E-2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13</v>
      </c>
      <c r="C15" s="24">
        <f>IF(B$13=0,0,B15/B$13)</f>
        <v>0.38235294117647056</v>
      </c>
      <c r="E15" s="68" t="s">
        <v>84</v>
      </c>
      <c r="F15" s="64" t="s">
        <v>37</v>
      </c>
      <c r="G15" s="50">
        <v>1</v>
      </c>
      <c r="H15" s="27">
        <f>IF(B$25=0,0,G15/B$25)</f>
        <v>2.9411764705882353E-2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B18+B17</f>
        <v>121</v>
      </c>
      <c r="C16" s="24">
        <f>IF(B$3=0,0,B16/B$3)</f>
        <v>0.35276967930029157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58" t="s">
        <v>12</v>
      </c>
      <c r="B17" s="50">
        <v>51</v>
      </c>
      <c r="C17" s="27">
        <f>IF(B$16=0,0,B17/B$16)</f>
        <v>0.42148760330578511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58" t="s">
        <v>11</v>
      </c>
      <c r="B18" s="50">
        <v>70</v>
      </c>
      <c r="C18" s="27">
        <f>IF(B$16=0,0,B18/B$16)</f>
        <v>0.57851239669421484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53</v>
      </c>
      <c r="C19" s="27">
        <f>IF(B$3=0,0,B19/B$3)</f>
        <v>0.15451895043731778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9616.5289256198339</v>
      </c>
      <c r="C20" s="30">
        <v>1163600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-8954.7169811320746</v>
      </c>
      <c r="C21" s="48">
        <v>-474600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186</v>
      </c>
      <c r="B22" s="49">
        <v>125</v>
      </c>
      <c r="C22" s="24">
        <f>IF(B$3=0,0,B22/B$3)</f>
        <v>0.36443148688046645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187</v>
      </c>
      <c r="B23" s="52">
        <v>45</v>
      </c>
      <c r="C23" s="32">
        <f>IF(B$22=0,0,B23/B$22)</f>
        <v>0.36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6">
        <v>105</v>
      </c>
      <c r="C24" s="87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8">
        <v>34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78" t="s">
        <v>210</v>
      </c>
      <c r="B26" s="90">
        <v>6</v>
      </c>
      <c r="C26" s="91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A27" s="60" t="s">
        <v>212</v>
      </c>
      <c r="B27" s="79">
        <v>1</v>
      </c>
      <c r="C27" s="32">
        <f>IF(B$3=0,0,B27/B$3)</f>
        <v>2.9154518950437317E-3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212.60000000000002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191.90000000000003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213.70000000000005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B19BF-00C4-4E18-98AD-2AE12A068D09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228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</v>
      </c>
      <c r="C2" s="87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4">
        <v>37</v>
      </c>
      <c r="C3" s="95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190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6">
        <v>-86.4</v>
      </c>
      <c r="C4" s="97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191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6">
        <f>IF(B$2=0,0,B$4/B$2)</f>
        <v>-17.28</v>
      </c>
      <c r="C5" s="97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192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8">
        <f>IF(B$2=0,0,(B$7*1+B$8*2+B$9*3)/B$2)</f>
        <v>2.2000000000000002</v>
      </c>
      <c r="C6" s="99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193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194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199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31</v>
      </c>
      <c r="C24" s="87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9</v>
      </c>
      <c r="C25" s="89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3</v>
      </c>
      <c r="C26" s="91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2405-F5B7-475F-8746-F32409DD63E5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181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47</v>
      </c>
      <c r="C2" s="87"/>
      <c r="E2" s="67" t="s">
        <v>73</v>
      </c>
      <c r="F2" s="63" t="s">
        <v>27</v>
      </c>
      <c r="G2" s="49">
        <v>36</v>
      </c>
      <c r="H2" s="24">
        <f>IF(B$25=0,0,G2/B$25)</f>
        <v>0.94736842105263153</v>
      </c>
      <c r="J2" s="23">
        <v>0</v>
      </c>
      <c r="K2" s="25">
        <v>0</v>
      </c>
      <c r="M2" s="23" t="s">
        <v>189</v>
      </c>
      <c r="N2" s="44">
        <f t="shared" ref="N2:N7" si="0">IF(P2=0,0,O2/P2)</f>
        <v>-2706.3829787234044</v>
      </c>
      <c r="O2" s="41">
        <v>-127200</v>
      </c>
      <c r="P2" s="39">
        <v>47</v>
      </c>
    </row>
    <row r="3" spans="1:16" x14ac:dyDescent="0.4">
      <c r="A3" s="58" t="s">
        <v>8</v>
      </c>
      <c r="B3" s="94">
        <v>362</v>
      </c>
      <c r="C3" s="95"/>
      <c r="E3" s="68" t="s">
        <v>78</v>
      </c>
      <c r="F3" s="64" t="s">
        <v>31</v>
      </c>
      <c r="G3" s="50">
        <v>27</v>
      </c>
      <c r="H3" s="27">
        <f>IF(B$25=0,0,G3/B$25)</f>
        <v>0.71052631578947367</v>
      </c>
      <c r="J3" s="26">
        <v>1</v>
      </c>
      <c r="K3" s="28">
        <v>68.2</v>
      </c>
      <c r="M3" s="26" t="s">
        <v>190</v>
      </c>
      <c r="N3" s="45">
        <f t="shared" si="0"/>
        <v>-2675</v>
      </c>
      <c r="O3" s="42">
        <v>-117700</v>
      </c>
      <c r="P3" s="37">
        <v>44</v>
      </c>
    </row>
    <row r="4" spans="1:16" x14ac:dyDescent="0.4">
      <c r="A4" s="58" t="s">
        <v>6</v>
      </c>
      <c r="B4" s="96">
        <v>-293.7</v>
      </c>
      <c r="C4" s="97"/>
      <c r="E4" s="68" t="s">
        <v>71</v>
      </c>
      <c r="F4" s="64" t="s">
        <v>25</v>
      </c>
      <c r="G4" s="50">
        <v>26</v>
      </c>
      <c r="H4" s="27">
        <f>IF(B$25=0,0,G4/B$25)</f>
        <v>0.68421052631578949</v>
      </c>
      <c r="J4" s="26">
        <v>2</v>
      </c>
      <c r="K4" s="28">
        <v>58.5</v>
      </c>
      <c r="M4" s="26" t="s">
        <v>191</v>
      </c>
      <c r="N4" s="45">
        <f t="shared" si="0"/>
        <v>-994.73684210526312</v>
      </c>
      <c r="O4" s="42">
        <v>-37800</v>
      </c>
      <c r="P4" s="37">
        <v>38</v>
      </c>
    </row>
    <row r="5" spans="1:16" x14ac:dyDescent="0.4">
      <c r="A5" s="58" t="s">
        <v>7</v>
      </c>
      <c r="B5" s="96">
        <f>IF(B$2=0,0,B$4/B$2)</f>
        <v>-6.2489361702127662</v>
      </c>
      <c r="C5" s="97"/>
      <c r="E5" s="68" t="s">
        <v>69</v>
      </c>
      <c r="F5" s="64" t="s">
        <v>23</v>
      </c>
      <c r="G5" s="50">
        <v>15</v>
      </c>
      <c r="H5" s="27">
        <f>IF(B$25=0,0,G5/B$25)</f>
        <v>0.39473684210526316</v>
      </c>
      <c r="J5" s="26">
        <v>3</v>
      </c>
      <c r="K5" s="28">
        <v>82.1</v>
      </c>
      <c r="M5" s="26" t="s">
        <v>192</v>
      </c>
      <c r="N5" s="45">
        <f t="shared" si="0"/>
        <v>1694.4444444444443</v>
      </c>
      <c r="O5" s="42">
        <v>61000</v>
      </c>
      <c r="P5" s="37">
        <v>36</v>
      </c>
    </row>
    <row r="6" spans="1:16" x14ac:dyDescent="0.4">
      <c r="A6" s="58" t="s">
        <v>1</v>
      </c>
      <c r="B6" s="98">
        <f>IF(B$2=0,0,(B$7*1+B$8*2+B$9*3)/B$2)</f>
        <v>2.1702127659574466</v>
      </c>
      <c r="C6" s="99"/>
      <c r="E6" s="68" t="s">
        <v>70</v>
      </c>
      <c r="F6" s="64" t="s">
        <v>24</v>
      </c>
      <c r="G6" s="50">
        <v>7</v>
      </c>
      <c r="H6" s="27">
        <f>IF(B$25=0,0,G6/B$25)</f>
        <v>0.18421052631578946</v>
      </c>
      <c r="J6" s="26">
        <v>4</v>
      </c>
      <c r="K6" s="28">
        <v>58.199999999999996</v>
      </c>
      <c r="M6" s="26" t="s">
        <v>193</v>
      </c>
      <c r="N6" s="45">
        <f t="shared" si="0"/>
        <v>-2866.6666666666665</v>
      </c>
      <c r="O6" s="42">
        <v>-77400</v>
      </c>
      <c r="P6" s="37">
        <v>27</v>
      </c>
    </row>
    <row r="7" spans="1:16" x14ac:dyDescent="0.4">
      <c r="A7" s="58" t="s">
        <v>2</v>
      </c>
      <c r="B7" s="50">
        <v>10</v>
      </c>
      <c r="C7" s="27">
        <f>IF(B$2=0,0,B7/B$2)</f>
        <v>0.21276595744680851</v>
      </c>
      <c r="E7" s="68" t="s">
        <v>74</v>
      </c>
      <c r="F7" s="64" t="s">
        <v>12</v>
      </c>
      <c r="G7" s="50">
        <v>7</v>
      </c>
      <c r="H7" s="27">
        <f>IF(B$25=0,0,G7/B$25)</f>
        <v>0.18421052631578946</v>
      </c>
      <c r="J7" s="26">
        <v>5</v>
      </c>
      <c r="K7" s="28">
        <v>124.19999999999999</v>
      </c>
      <c r="M7" s="31" t="s">
        <v>194</v>
      </c>
      <c r="N7" s="46">
        <f t="shared" si="0"/>
        <v>257.14285714285717</v>
      </c>
      <c r="O7" s="43">
        <v>5400</v>
      </c>
      <c r="P7" s="38">
        <v>21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0.40425531914893614</v>
      </c>
      <c r="E8" s="68" t="s">
        <v>72</v>
      </c>
      <c r="F8" s="64" t="s">
        <v>26</v>
      </c>
      <c r="G8" s="50">
        <v>4</v>
      </c>
      <c r="H8" s="27">
        <f>IF(B$25=0,0,G8/B$25)</f>
        <v>0.10526315789473684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18</v>
      </c>
      <c r="C9" s="29">
        <f t="shared" si="1"/>
        <v>0.38297872340425532</v>
      </c>
      <c r="E9" s="68" t="s">
        <v>75</v>
      </c>
      <c r="F9" s="64" t="s">
        <v>28</v>
      </c>
      <c r="G9" s="50">
        <v>3</v>
      </c>
      <c r="H9" s="27">
        <f>IF(B$25=0,0,G9/B$25)</f>
        <v>7.8947368421052627E-2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10</v>
      </c>
      <c r="C10" s="29">
        <f>IF(B$2=0,0,B10/B$2)</f>
        <v>0.21276595744680851</v>
      </c>
      <c r="E10" s="68" t="s">
        <v>96</v>
      </c>
      <c r="F10" s="64" t="s">
        <v>49</v>
      </c>
      <c r="G10" s="50">
        <v>3</v>
      </c>
      <c r="H10" s="27">
        <f>IF(B$25=0,0,G10/B$25)</f>
        <v>7.8947368421052627E-2</v>
      </c>
      <c r="J10" s="26">
        <v>8</v>
      </c>
      <c r="K10" s="28">
        <v>97</v>
      </c>
    </row>
    <row r="11" spans="1:16" x14ac:dyDescent="0.4">
      <c r="A11" s="60" t="s">
        <v>199</v>
      </c>
      <c r="B11" s="52">
        <v>7</v>
      </c>
      <c r="C11" s="32">
        <f>IF(B$2=0,0,B11/B$2)</f>
        <v>0.14893617021276595</v>
      </c>
      <c r="E11" s="68" t="s">
        <v>84</v>
      </c>
      <c r="F11" s="64" t="s">
        <v>37</v>
      </c>
      <c r="G11" s="50">
        <v>2</v>
      </c>
      <c r="H11" s="27">
        <f>IF(B$25=0,0,G11/B$25)</f>
        <v>5.2631578947368418E-2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39</v>
      </c>
      <c r="C12" s="35">
        <f>IF(B$24=0,0,B12/B$24)</f>
        <v>0.22285714285714286</v>
      </c>
      <c r="E12" s="68" t="s">
        <v>85</v>
      </c>
      <c r="F12" s="64" t="s">
        <v>38</v>
      </c>
      <c r="G12" s="50">
        <v>2</v>
      </c>
      <c r="H12" s="27">
        <f>IF(B$25=0,0,G12/B$25)</f>
        <v>5.2631578947368418E-2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49</v>
      </c>
      <c r="C13" s="27">
        <f>IF(B$24=0,0,B13/B$24)</f>
        <v>0.28000000000000003</v>
      </c>
      <c r="E13" s="68" t="s">
        <v>93</v>
      </c>
      <c r="F13" s="64" t="s">
        <v>46</v>
      </c>
      <c r="G13" s="50">
        <v>2</v>
      </c>
      <c r="H13" s="27">
        <f>IF(B$25=0,0,G13/B$25)</f>
        <v>5.2631578947368418E-2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14</v>
      </c>
      <c r="C14" s="24">
        <f>IF(B$12=0,0,B14/B$12)</f>
        <v>0.35897435897435898</v>
      </c>
      <c r="E14" s="68" t="s">
        <v>76</v>
      </c>
      <c r="F14" s="64" t="s">
        <v>29</v>
      </c>
      <c r="G14" s="50">
        <v>1</v>
      </c>
      <c r="H14" s="27">
        <f>IF(B$25=0,0,G14/B$25)</f>
        <v>2.6315789473684209E-2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18</v>
      </c>
      <c r="C15" s="24">
        <f>IF(B$13=0,0,B15/B$13)</f>
        <v>0.36734693877551022</v>
      </c>
      <c r="E15" s="68" t="s">
        <v>77</v>
      </c>
      <c r="F15" s="64" t="s">
        <v>30</v>
      </c>
      <c r="G15" s="50">
        <v>1</v>
      </c>
      <c r="H15" s="27">
        <f>IF(B$25=0,0,G15/B$25)</f>
        <v>2.6315789473684209E-2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B18+B17</f>
        <v>92</v>
      </c>
      <c r="C16" s="24">
        <f>IF(B$3=0,0,B16/B$3)</f>
        <v>0.2541436464088398</v>
      </c>
      <c r="E16" s="68" t="s">
        <v>81</v>
      </c>
      <c r="F16" s="64" t="s">
        <v>34</v>
      </c>
      <c r="G16" s="50">
        <v>1</v>
      </c>
      <c r="H16" s="27">
        <f>IF(B$25=0,0,G16/B$25)</f>
        <v>2.6315789473684209E-2</v>
      </c>
      <c r="J16" s="26">
        <v>14</v>
      </c>
      <c r="K16" s="28">
        <v>41.499999999999986</v>
      </c>
    </row>
    <row r="17" spans="1:11" x14ac:dyDescent="0.4">
      <c r="A17" s="58" t="s">
        <v>12</v>
      </c>
      <c r="B17" s="50">
        <v>39</v>
      </c>
      <c r="C17" s="27">
        <f>IF(B$16=0,0,B17/B$16)</f>
        <v>0.42391304347826086</v>
      </c>
      <c r="E17" s="68" t="s">
        <v>88</v>
      </c>
      <c r="F17" s="64" t="s">
        <v>41</v>
      </c>
      <c r="G17" s="50">
        <v>1</v>
      </c>
      <c r="H17" s="27">
        <f>IF(B$25=0,0,G17/B$25)</f>
        <v>2.6315789473684209E-2</v>
      </c>
      <c r="J17" s="26">
        <v>15</v>
      </c>
      <c r="K17" s="28">
        <v>32.999999999999986</v>
      </c>
    </row>
    <row r="18" spans="1:11" x14ac:dyDescent="0.4">
      <c r="A18" s="58" t="s">
        <v>11</v>
      </c>
      <c r="B18" s="50">
        <v>53</v>
      </c>
      <c r="C18" s="27">
        <f>IF(B$16=0,0,B18/B$16)</f>
        <v>0.57608695652173914</v>
      </c>
      <c r="E18" s="68" t="s">
        <v>90</v>
      </c>
      <c r="F18" s="64" t="s">
        <v>43</v>
      </c>
      <c r="G18" s="50">
        <v>1</v>
      </c>
      <c r="H18" s="27">
        <f>IF(B$25=0,0,G18/B$25)</f>
        <v>2.6315789473684209E-2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75</v>
      </c>
      <c r="C19" s="27">
        <f>IF(B$3=0,0,B19/B$3)</f>
        <v>0.20718232044198895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9814.1304347826081</v>
      </c>
      <c r="C20" s="30">
        <v>902900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-8580</v>
      </c>
      <c r="C21" s="48">
        <v>-643500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186</v>
      </c>
      <c r="B22" s="49">
        <v>101</v>
      </c>
      <c r="C22" s="24">
        <f>IF(B$3=0,0,B22/B$3)</f>
        <v>0.27900552486187846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187</v>
      </c>
      <c r="B23" s="52">
        <v>36</v>
      </c>
      <c r="C23" s="32">
        <f>IF(B$22=0,0,B23/B$22)</f>
        <v>0.35643564356435642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6">
        <v>175</v>
      </c>
      <c r="C24" s="87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8">
        <v>38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78" t="s">
        <v>210</v>
      </c>
      <c r="B26" s="90">
        <v>5</v>
      </c>
      <c r="C26" s="91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A27" s="60" t="s">
        <v>212</v>
      </c>
      <c r="B27" s="79">
        <v>1</v>
      </c>
      <c r="C27" s="32">
        <f>IF(B$3=0,0,B27/B$3)</f>
        <v>2.7624309392265192E-3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-214.1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-215.2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-252.39999999999998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-293.7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A739F-F888-4133-80CB-798A2AB89875}">
  <sheetPr codeName="Sheet11"/>
  <dimension ref="A1:P5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182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51</v>
      </c>
      <c r="C2" s="87"/>
      <c r="E2" s="67" t="s">
        <v>73</v>
      </c>
      <c r="F2" s="63" t="s">
        <v>27</v>
      </c>
      <c r="G2" s="49">
        <v>76</v>
      </c>
      <c r="H2" s="24">
        <f>IF(B$25=0,0,G2/B$25)</f>
        <v>0.90476190476190477</v>
      </c>
      <c r="J2" s="23">
        <v>0</v>
      </c>
      <c r="K2" s="25">
        <v>0</v>
      </c>
      <c r="M2" s="23" t="s">
        <v>189</v>
      </c>
      <c r="N2" s="44">
        <f t="shared" ref="N2:N7" si="0">IF(P2=0,0,O2/P2)</f>
        <v>3357.1428571428573</v>
      </c>
      <c r="O2" s="41">
        <v>164500</v>
      </c>
      <c r="P2" s="39">
        <v>49</v>
      </c>
    </row>
    <row r="3" spans="1:16" x14ac:dyDescent="0.4">
      <c r="A3" s="58" t="s">
        <v>8</v>
      </c>
      <c r="B3" s="94">
        <v>390</v>
      </c>
      <c r="C3" s="95"/>
      <c r="E3" s="68" t="s">
        <v>71</v>
      </c>
      <c r="F3" s="64" t="s">
        <v>25</v>
      </c>
      <c r="G3" s="50">
        <v>75</v>
      </c>
      <c r="H3" s="27">
        <f>IF(B$25=0,0,G3/B$25)</f>
        <v>0.8928571428571429</v>
      </c>
      <c r="J3" s="26">
        <v>1</v>
      </c>
      <c r="K3" s="28">
        <v>-36.700000000000003</v>
      </c>
      <c r="M3" s="26" t="s">
        <v>190</v>
      </c>
      <c r="N3" s="45">
        <f t="shared" si="0"/>
        <v>-45.652173913043477</v>
      </c>
      <c r="O3" s="42">
        <v>-2100</v>
      </c>
      <c r="P3" s="37">
        <v>46</v>
      </c>
    </row>
    <row r="4" spans="1:16" x14ac:dyDescent="0.4">
      <c r="A4" s="58" t="s">
        <v>6</v>
      </c>
      <c r="B4" s="96">
        <v>166.69999999999996</v>
      </c>
      <c r="C4" s="97"/>
      <c r="E4" s="68" t="s">
        <v>69</v>
      </c>
      <c r="F4" s="64" t="s">
        <v>23</v>
      </c>
      <c r="G4" s="50">
        <v>52</v>
      </c>
      <c r="H4" s="27">
        <f>IF(B$25=0,0,G4/B$25)</f>
        <v>0.61904761904761907</v>
      </c>
      <c r="J4" s="26">
        <v>2</v>
      </c>
      <c r="K4" s="28">
        <v>-45.300000000000004</v>
      </c>
      <c r="M4" s="26" t="s">
        <v>191</v>
      </c>
      <c r="N4" s="45">
        <f t="shared" si="0"/>
        <v>-26.19047619047619</v>
      </c>
      <c r="O4" s="42">
        <v>-1100</v>
      </c>
      <c r="P4" s="37">
        <v>42</v>
      </c>
    </row>
    <row r="5" spans="1:16" x14ac:dyDescent="0.4">
      <c r="A5" s="58" t="s">
        <v>7</v>
      </c>
      <c r="B5" s="96">
        <f>IF(B$2=0,0,B$4/B$2)</f>
        <v>3.2686274509803912</v>
      </c>
      <c r="C5" s="97"/>
      <c r="E5" s="68" t="s">
        <v>78</v>
      </c>
      <c r="F5" s="64" t="s">
        <v>31</v>
      </c>
      <c r="G5" s="50">
        <v>49</v>
      </c>
      <c r="H5" s="27">
        <f>IF(B$25=0,0,G5/B$25)</f>
        <v>0.58333333333333337</v>
      </c>
      <c r="J5" s="26">
        <v>3</v>
      </c>
      <c r="K5" s="28">
        <v>-81.7</v>
      </c>
      <c r="M5" s="26" t="s">
        <v>192</v>
      </c>
      <c r="N5" s="45">
        <f t="shared" si="0"/>
        <v>-1146.1538461538462</v>
      </c>
      <c r="O5" s="42">
        <v>-44700</v>
      </c>
      <c r="P5" s="37">
        <v>39</v>
      </c>
    </row>
    <row r="6" spans="1:16" x14ac:dyDescent="0.4">
      <c r="A6" s="58" t="s">
        <v>1</v>
      </c>
      <c r="B6" s="98">
        <f>IF(B$2=0,0,(B$7*1+B$8*2+B$9*3)/B$2)</f>
        <v>1.9215686274509804</v>
      </c>
      <c r="C6" s="99"/>
      <c r="E6" s="68" t="s">
        <v>72</v>
      </c>
      <c r="F6" s="64" t="s">
        <v>26</v>
      </c>
      <c r="G6" s="50">
        <v>29</v>
      </c>
      <c r="H6" s="27">
        <f>IF(B$25=0,0,G6/B$25)</f>
        <v>0.34523809523809523</v>
      </c>
      <c r="J6" s="26">
        <v>4</v>
      </c>
      <c r="K6" s="28">
        <v>-113.80000000000001</v>
      </c>
      <c r="M6" s="26" t="s">
        <v>193</v>
      </c>
      <c r="N6" s="45">
        <f t="shared" si="0"/>
        <v>1250</v>
      </c>
      <c r="O6" s="42">
        <v>37500</v>
      </c>
      <c r="P6" s="37">
        <v>30</v>
      </c>
    </row>
    <row r="7" spans="1:16" x14ac:dyDescent="0.4">
      <c r="A7" s="58" t="s">
        <v>2</v>
      </c>
      <c r="B7" s="50">
        <v>20</v>
      </c>
      <c r="C7" s="27">
        <f>IF(B$2=0,0,B7/B$2)</f>
        <v>0.39215686274509803</v>
      </c>
      <c r="E7" s="68" t="s">
        <v>74</v>
      </c>
      <c r="F7" s="64" t="s">
        <v>12</v>
      </c>
      <c r="G7" s="50">
        <v>26</v>
      </c>
      <c r="H7" s="27">
        <f>IF(B$25=0,0,G7/B$25)</f>
        <v>0.30952380952380953</v>
      </c>
      <c r="J7" s="26">
        <v>5</v>
      </c>
      <c r="K7" s="28">
        <v>-135.80000000000001</v>
      </c>
      <c r="M7" s="31" t="s">
        <v>194</v>
      </c>
      <c r="N7" s="46">
        <f t="shared" si="0"/>
        <v>-1080.7692307692307</v>
      </c>
      <c r="O7" s="43">
        <v>-28100</v>
      </c>
      <c r="P7" s="38">
        <v>26</v>
      </c>
    </row>
    <row r="8" spans="1:16" x14ac:dyDescent="0.4">
      <c r="A8" s="58" t="s">
        <v>3</v>
      </c>
      <c r="B8" s="50">
        <v>15</v>
      </c>
      <c r="C8" s="27">
        <f t="shared" ref="C8:C9" si="1">IF(B$2=0,0,B8/B$2)</f>
        <v>0.29411764705882354</v>
      </c>
      <c r="E8" s="68" t="s">
        <v>75</v>
      </c>
      <c r="F8" s="64" t="s">
        <v>28</v>
      </c>
      <c r="G8" s="50">
        <v>17</v>
      </c>
      <c r="H8" s="27">
        <f>IF(B$25=0,0,G8/B$25)</f>
        <v>0.20238095238095238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16</v>
      </c>
      <c r="C9" s="29">
        <f t="shared" si="1"/>
        <v>0.31372549019607843</v>
      </c>
      <c r="E9" s="68" t="s">
        <v>70</v>
      </c>
      <c r="F9" s="64" t="s">
        <v>24</v>
      </c>
      <c r="G9" s="50">
        <v>12</v>
      </c>
      <c r="H9" s="27">
        <f>IF(B$25=0,0,G9/B$25)</f>
        <v>0.14285714285714285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8</v>
      </c>
      <c r="C10" s="29">
        <f>IF(B$2=0,0,B10/B$2)</f>
        <v>0.15686274509803921</v>
      </c>
      <c r="E10" s="68" t="s">
        <v>96</v>
      </c>
      <c r="F10" s="64" t="s">
        <v>49</v>
      </c>
      <c r="G10" s="50">
        <v>11</v>
      </c>
      <c r="H10" s="27">
        <f>IF(B$25=0,0,G10/B$25)</f>
        <v>0.13095238095238096</v>
      </c>
      <c r="J10" s="26">
        <v>8</v>
      </c>
      <c r="K10" s="28">
        <v>-51.800000000000018</v>
      </c>
    </row>
    <row r="11" spans="1:16" x14ac:dyDescent="0.4">
      <c r="A11" s="60" t="s">
        <v>199</v>
      </c>
      <c r="B11" s="52">
        <v>10</v>
      </c>
      <c r="C11" s="32">
        <f>IF(B$2=0,0,B11/B$2)</f>
        <v>0.19607843137254902</v>
      </c>
      <c r="E11" s="68" t="s">
        <v>76</v>
      </c>
      <c r="F11" s="64" t="s">
        <v>29</v>
      </c>
      <c r="G11" s="50">
        <v>7</v>
      </c>
      <c r="H11" s="27">
        <f>IF(B$25=0,0,G11/B$25)</f>
        <v>8.3333333333333329E-2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87</v>
      </c>
      <c r="C12" s="35">
        <f>IF(B$24=0,0,B12/B$24)</f>
        <v>0.33852140077821014</v>
      </c>
      <c r="E12" s="68" t="s">
        <v>77</v>
      </c>
      <c r="F12" s="64" t="s">
        <v>30</v>
      </c>
      <c r="G12" s="50">
        <v>6</v>
      </c>
      <c r="H12" s="27">
        <f>IF(B$25=0,0,G12/B$25)</f>
        <v>7.1428571428571425E-2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60</v>
      </c>
      <c r="C13" s="27">
        <f>IF(B$24=0,0,B13/B$24)</f>
        <v>0.23346303501945526</v>
      </c>
      <c r="E13" s="68" t="s">
        <v>93</v>
      </c>
      <c r="F13" s="64" t="s">
        <v>46</v>
      </c>
      <c r="G13" s="50">
        <v>5</v>
      </c>
      <c r="H13" s="27">
        <f>IF(B$25=0,0,G13/B$25)</f>
        <v>5.9523809523809521E-2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53</v>
      </c>
      <c r="C14" s="24">
        <f>IF(B$12=0,0,B14/B$12)</f>
        <v>0.60919540229885061</v>
      </c>
      <c r="E14" s="68" t="s">
        <v>84</v>
      </c>
      <c r="F14" s="64" t="s">
        <v>37</v>
      </c>
      <c r="G14" s="50">
        <v>4</v>
      </c>
      <c r="H14" s="27">
        <f>IF(B$25=0,0,G14/B$25)</f>
        <v>4.7619047619047616E-2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23</v>
      </c>
      <c r="C15" s="24">
        <f>IF(B$13=0,0,B15/B$13)</f>
        <v>0.38333333333333336</v>
      </c>
      <c r="E15" s="68" t="s">
        <v>88</v>
      </c>
      <c r="F15" s="64" t="s">
        <v>41</v>
      </c>
      <c r="G15" s="50">
        <v>2</v>
      </c>
      <c r="H15" s="27">
        <f>IF(B$25=0,0,G15/B$25)</f>
        <v>2.3809523809523808E-2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B18+B17</f>
        <v>122</v>
      </c>
      <c r="C16" s="24">
        <f>IF(B$3=0,0,B16/B$3)</f>
        <v>0.31282051282051282</v>
      </c>
      <c r="E16" s="68" t="s">
        <v>80</v>
      </c>
      <c r="F16" s="64" t="s">
        <v>33</v>
      </c>
      <c r="G16" s="50">
        <v>1</v>
      </c>
      <c r="H16" s="27">
        <f>IF(B$25=0,0,G16/B$25)</f>
        <v>1.1904761904761904E-2</v>
      </c>
      <c r="J16" s="26">
        <v>14</v>
      </c>
      <c r="K16" s="28">
        <v>-62.000000000000021</v>
      </c>
    </row>
    <row r="17" spans="1:11" x14ac:dyDescent="0.4">
      <c r="A17" s="58" t="s">
        <v>12</v>
      </c>
      <c r="B17" s="50">
        <v>49</v>
      </c>
      <c r="C17" s="27">
        <f>IF(B$16=0,0,B17/B$16)</f>
        <v>0.40163934426229508</v>
      </c>
      <c r="E17" s="68" t="s">
        <v>90</v>
      </c>
      <c r="F17" s="64" t="s">
        <v>43</v>
      </c>
      <c r="G17" s="50">
        <v>1</v>
      </c>
      <c r="H17" s="27">
        <f>IF(B$25=0,0,G17/B$25)</f>
        <v>1.1904761904761904E-2</v>
      </c>
      <c r="J17" s="26">
        <v>15</v>
      </c>
      <c r="K17" s="28">
        <v>-69.200000000000017</v>
      </c>
    </row>
    <row r="18" spans="1:11" x14ac:dyDescent="0.4">
      <c r="A18" s="58" t="s">
        <v>11</v>
      </c>
      <c r="B18" s="50">
        <v>73</v>
      </c>
      <c r="C18" s="27">
        <f>IF(B$16=0,0,B18/B$16)</f>
        <v>0.59836065573770492</v>
      </c>
      <c r="E18" s="68" t="s">
        <v>91</v>
      </c>
      <c r="F18" s="64" t="s">
        <v>44</v>
      </c>
      <c r="G18" s="50">
        <v>1</v>
      </c>
      <c r="H18" s="27">
        <f>IF(B$25=0,0,G18/B$25)</f>
        <v>1.1904761904761904E-2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64</v>
      </c>
      <c r="C19" s="27">
        <f>IF(B$3=0,0,B19/B$3)</f>
        <v>0.1641025641025641</v>
      </c>
      <c r="E19" s="68" t="s">
        <v>98</v>
      </c>
      <c r="F19" s="64" t="s">
        <v>51</v>
      </c>
      <c r="G19" s="50">
        <v>1</v>
      </c>
      <c r="H19" s="27">
        <f>IF(B$25=0,0,G19/B$25)</f>
        <v>1.1904761904761904E-2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10903.27868852459</v>
      </c>
      <c r="C20" s="30">
        <v>1330200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-9809.375</v>
      </c>
      <c r="C21" s="48">
        <v>-627800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186</v>
      </c>
      <c r="B22" s="49">
        <v>143</v>
      </c>
      <c r="C22" s="24">
        <f>IF(B$3=0,0,B22/B$3)</f>
        <v>0.36666666666666664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187</v>
      </c>
      <c r="B23" s="52">
        <v>57</v>
      </c>
      <c r="C23" s="32">
        <f>IF(B$22=0,0,B23/B$22)</f>
        <v>0.39860139860139859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6">
        <v>257</v>
      </c>
      <c r="C24" s="87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8">
        <v>84</v>
      </c>
      <c r="C25" s="89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78" t="s">
        <v>210</v>
      </c>
      <c r="B26" s="90">
        <v>9</v>
      </c>
      <c r="C26" s="91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A27" s="60" t="s">
        <v>212</v>
      </c>
      <c r="B27" s="79">
        <v>3</v>
      </c>
      <c r="C27" s="32">
        <f>IF(B$3=0,0,B27/B$3)</f>
        <v>7.6923076923076927E-3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3BA9C-40B6-4812-BA02-81320570D3EC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184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12</v>
      </c>
      <c r="C2" s="87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94">
        <v>82</v>
      </c>
      <c r="C3" s="95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190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96">
        <v>80.800000000000011</v>
      </c>
      <c r="C4" s="97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191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96">
        <f>IF(B$2=0,0,B$4/B$2)</f>
        <v>6.7333333333333343</v>
      </c>
      <c r="C5" s="97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192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8">
        <f>IF(B$2=0,0,(B$7*1+B$8*2+B$9*3)/B$2)</f>
        <v>1.75</v>
      </c>
      <c r="C6" s="9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193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194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199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13</v>
      </c>
      <c r="C17" s="27">
        <f>IF(B$16=0,0,B17/B$16)</f>
        <v>0.4642857142857143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15</v>
      </c>
      <c r="C18" s="27">
        <f>IF(B$16=0,0,B18/B$16)</f>
        <v>0.5357142857142857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C192-E674-40AF-B116-BCBA244E207A}">
  <sheetPr codeName="Sheet13"/>
  <dimension ref="A1:P5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185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52</v>
      </c>
      <c r="C2" s="87"/>
      <c r="E2" s="67" t="s">
        <v>73</v>
      </c>
      <c r="F2" s="63" t="s">
        <v>27</v>
      </c>
      <c r="G2" s="49">
        <v>98</v>
      </c>
      <c r="H2" s="24">
        <f>IF(B$25=0,0,G2/B$25)</f>
        <v>0.95145631067961167</v>
      </c>
      <c r="J2" s="23">
        <v>0</v>
      </c>
      <c r="K2" s="25">
        <v>0</v>
      </c>
      <c r="M2" s="23" t="s">
        <v>189</v>
      </c>
      <c r="N2" s="44">
        <f t="shared" ref="N2:N7" si="0">IF(P2=0,0,O2/P2)</f>
        <v>-2541.6666666666665</v>
      </c>
      <c r="O2" s="41">
        <v>-122000</v>
      </c>
      <c r="P2" s="39">
        <v>48</v>
      </c>
    </row>
    <row r="3" spans="1:16" x14ac:dyDescent="0.4">
      <c r="A3" s="58" t="s">
        <v>8</v>
      </c>
      <c r="B3" s="94">
        <v>393</v>
      </c>
      <c r="C3" s="95"/>
      <c r="E3" s="68" t="s">
        <v>71</v>
      </c>
      <c r="F3" s="64" t="s">
        <v>25</v>
      </c>
      <c r="G3" s="50">
        <v>81</v>
      </c>
      <c r="H3" s="27">
        <f>IF(B$25=0,0,G3/B$25)</f>
        <v>0.78640776699029125</v>
      </c>
      <c r="J3" s="26">
        <v>1</v>
      </c>
      <c r="K3" s="28">
        <v>3.9</v>
      </c>
      <c r="M3" s="26" t="s">
        <v>190</v>
      </c>
      <c r="N3" s="45">
        <f t="shared" si="0"/>
        <v>-1775</v>
      </c>
      <c r="O3" s="42">
        <v>-85200</v>
      </c>
      <c r="P3" s="37">
        <v>48</v>
      </c>
    </row>
    <row r="4" spans="1:16" x14ac:dyDescent="0.4">
      <c r="A4" s="58" t="s">
        <v>6</v>
      </c>
      <c r="B4" s="96">
        <v>-426.39999999999992</v>
      </c>
      <c r="C4" s="97"/>
      <c r="E4" s="68" t="s">
        <v>78</v>
      </c>
      <c r="F4" s="64" t="s">
        <v>31</v>
      </c>
      <c r="G4" s="50">
        <v>76</v>
      </c>
      <c r="H4" s="27">
        <f>IF(B$25=0,0,G4/B$25)</f>
        <v>0.73786407766990292</v>
      </c>
      <c r="J4" s="26">
        <v>2</v>
      </c>
      <c r="K4" s="28">
        <v>-33.9</v>
      </c>
      <c r="M4" s="26" t="s">
        <v>191</v>
      </c>
      <c r="N4" s="45">
        <f t="shared" si="0"/>
        <v>-3437.7777777777778</v>
      </c>
      <c r="O4" s="42">
        <v>-154700</v>
      </c>
      <c r="P4" s="37">
        <v>45</v>
      </c>
    </row>
    <row r="5" spans="1:16" x14ac:dyDescent="0.4">
      <c r="A5" s="58" t="s">
        <v>7</v>
      </c>
      <c r="B5" s="96">
        <f>IF(B$2=0,0,B$4/B$2)</f>
        <v>-8.1999999999999993</v>
      </c>
      <c r="C5" s="97"/>
      <c r="E5" s="68" t="s">
        <v>69</v>
      </c>
      <c r="F5" s="64" t="s">
        <v>23</v>
      </c>
      <c r="G5" s="50">
        <v>58</v>
      </c>
      <c r="H5" s="27">
        <f>IF(B$25=0,0,G5/B$25)</f>
        <v>0.56310679611650483</v>
      </c>
      <c r="J5" s="26">
        <v>3</v>
      </c>
      <c r="K5" s="28">
        <v>-70.099999999999994</v>
      </c>
      <c r="M5" s="26" t="s">
        <v>192</v>
      </c>
      <c r="N5" s="45">
        <f t="shared" si="0"/>
        <v>-392.6829268292683</v>
      </c>
      <c r="O5" s="42">
        <v>-16100</v>
      </c>
      <c r="P5" s="37">
        <v>41</v>
      </c>
    </row>
    <row r="6" spans="1:16" x14ac:dyDescent="0.4">
      <c r="A6" s="58" t="s">
        <v>1</v>
      </c>
      <c r="B6" s="98">
        <f>IF(B$2=0,0,(B$7*1+B$8*2+B$9*3)/B$2)</f>
        <v>2.2307692307692308</v>
      </c>
      <c r="C6" s="99"/>
      <c r="E6" s="68" t="s">
        <v>72</v>
      </c>
      <c r="F6" s="64" t="s">
        <v>26</v>
      </c>
      <c r="G6" s="50">
        <v>41</v>
      </c>
      <c r="H6" s="27">
        <f>IF(B$25=0,0,G6/B$25)</f>
        <v>0.39805825242718446</v>
      </c>
      <c r="J6" s="26">
        <v>4</v>
      </c>
      <c r="K6" s="28">
        <v>-35.099999999999994</v>
      </c>
      <c r="M6" s="26" t="s">
        <v>193</v>
      </c>
      <c r="N6" s="45">
        <f t="shared" si="0"/>
        <v>-1064.8648648648648</v>
      </c>
      <c r="O6" s="42">
        <v>-39400</v>
      </c>
      <c r="P6" s="37">
        <v>37</v>
      </c>
    </row>
    <row r="7" spans="1:16" x14ac:dyDescent="0.4">
      <c r="A7" s="58" t="s">
        <v>2</v>
      </c>
      <c r="B7" s="50">
        <v>12</v>
      </c>
      <c r="C7" s="27">
        <f>IF(B$2=0,0,B7/B$2)</f>
        <v>0.23076923076923078</v>
      </c>
      <c r="E7" s="68" t="s">
        <v>74</v>
      </c>
      <c r="F7" s="64" t="s">
        <v>12</v>
      </c>
      <c r="G7" s="50">
        <v>33</v>
      </c>
      <c r="H7" s="27">
        <f>IF(B$25=0,0,G7/B$25)</f>
        <v>0.32038834951456313</v>
      </c>
      <c r="J7" s="26">
        <v>5</v>
      </c>
      <c r="K7" s="28">
        <v>-80.099999999999994</v>
      </c>
      <c r="M7" s="31" t="s">
        <v>194</v>
      </c>
      <c r="N7" s="46">
        <f t="shared" si="0"/>
        <v>3825.9259259259261</v>
      </c>
      <c r="O7" s="43">
        <v>103300</v>
      </c>
      <c r="P7" s="38">
        <v>27</v>
      </c>
    </row>
    <row r="8" spans="1:16" x14ac:dyDescent="0.4">
      <c r="A8" s="58" t="s">
        <v>3</v>
      </c>
      <c r="B8" s="50">
        <v>16</v>
      </c>
      <c r="C8" s="27">
        <f t="shared" ref="C8:C9" si="1">IF(B$2=0,0,B8/B$2)</f>
        <v>0.30769230769230771</v>
      </c>
      <c r="E8" s="68" t="s">
        <v>75</v>
      </c>
      <c r="F8" s="64" t="s">
        <v>28</v>
      </c>
      <c r="G8" s="50">
        <v>15</v>
      </c>
      <c r="H8" s="27">
        <f>IF(B$25=0,0,G8/B$25)</f>
        <v>0.14563106796116504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24</v>
      </c>
      <c r="C9" s="29">
        <f t="shared" si="1"/>
        <v>0.46153846153846156</v>
      </c>
      <c r="E9" s="68" t="s">
        <v>96</v>
      </c>
      <c r="F9" s="64" t="s">
        <v>49</v>
      </c>
      <c r="G9" s="50">
        <v>15</v>
      </c>
      <c r="H9" s="27">
        <f>IF(B$25=0,0,G9/B$25)</f>
        <v>0.14563106796116504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12</v>
      </c>
      <c r="C10" s="29">
        <f>IF(B$2=0,0,B10/B$2)</f>
        <v>0.23076923076923078</v>
      </c>
      <c r="E10" s="68" t="s">
        <v>76</v>
      </c>
      <c r="F10" s="64" t="s">
        <v>29</v>
      </c>
      <c r="G10" s="50">
        <v>12</v>
      </c>
      <c r="H10" s="27">
        <f>IF(B$25=0,0,G10/B$25)</f>
        <v>0.11650485436893204</v>
      </c>
      <c r="J10" s="26">
        <v>8</v>
      </c>
      <c r="K10" s="28">
        <v>-146</v>
      </c>
    </row>
    <row r="11" spans="1:16" x14ac:dyDescent="0.4">
      <c r="A11" s="60" t="s">
        <v>199</v>
      </c>
      <c r="B11" s="52">
        <v>5</v>
      </c>
      <c r="C11" s="32">
        <f>IF(B$2=0,0,B11/B$2)</f>
        <v>9.6153846153846159E-2</v>
      </c>
      <c r="E11" s="68" t="s">
        <v>70</v>
      </c>
      <c r="F11" s="64" t="s">
        <v>24</v>
      </c>
      <c r="G11" s="50">
        <v>10</v>
      </c>
      <c r="H11" s="27">
        <f>IF(B$25=0,0,G11/B$25)</f>
        <v>9.7087378640776698E-2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106</v>
      </c>
      <c r="C12" s="35">
        <f>IF(B$24=0,0,B12/B$24)</f>
        <v>0.29775280898876405</v>
      </c>
      <c r="E12" s="68" t="s">
        <v>93</v>
      </c>
      <c r="F12" s="64" t="s">
        <v>46</v>
      </c>
      <c r="G12" s="50">
        <v>8</v>
      </c>
      <c r="H12" s="27">
        <f>IF(B$25=0,0,G12/B$25)</f>
        <v>7.7669902912621352E-2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77</v>
      </c>
      <c r="C13" s="27">
        <f>IF(B$24=0,0,B13/B$24)</f>
        <v>0.21629213483146068</v>
      </c>
      <c r="E13" s="68" t="s">
        <v>84</v>
      </c>
      <c r="F13" s="64" t="s">
        <v>37</v>
      </c>
      <c r="G13" s="50">
        <v>7</v>
      </c>
      <c r="H13" s="27">
        <f>IF(B$25=0,0,G13/B$25)</f>
        <v>6.7961165048543687E-2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62</v>
      </c>
      <c r="C14" s="24">
        <f>IF(B$12=0,0,B14/B$12)</f>
        <v>0.58490566037735847</v>
      </c>
      <c r="E14" s="68" t="s">
        <v>77</v>
      </c>
      <c r="F14" s="64" t="s">
        <v>30</v>
      </c>
      <c r="G14" s="50">
        <v>3</v>
      </c>
      <c r="H14" s="27">
        <f>IF(B$25=0,0,G14/B$25)</f>
        <v>2.9126213592233011E-2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30</v>
      </c>
      <c r="C15" s="24">
        <f>IF(B$13=0,0,B15/B$13)</f>
        <v>0.38961038961038963</v>
      </c>
      <c r="E15" s="68" t="s">
        <v>79</v>
      </c>
      <c r="F15" s="64" t="s">
        <v>32</v>
      </c>
      <c r="G15" s="50">
        <v>3</v>
      </c>
      <c r="H15" s="27">
        <f>IF(B$25=0,0,G15/B$25)</f>
        <v>2.9126213592233011E-2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B18+B17</f>
        <v>113</v>
      </c>
      <c r="C16" s="24">
        <f>IF(B$3=0,0,B16/B$3)</f>
        <v>0.2875318066157761</v>
      </c>
      <c r="E16" s="68" t="s">
        <v>90</v>
      </c>
      <c r="F16" s="64" t="s">
        <v>43</v>
      </c>
      <c r="G16" s="50">
        <v>3</v>
      </c>
      <c r="H16" s="27">
        <f>IF(B$25=0,0,G16/B$25)</f>
        <v>2.9126213592233011E-2</v>
      </c>
      <c r="J16" s="26">
        <v>14</v>
      </c>
      <c r="K16" s="28">
        <v>-231</v>
      </c>
    </row>
    <row r="17" spans="1:11" x14ac:dyDescent="0.4">
      <c r="A17" s="58" t="s">
        <v>12</v>
      </c>
      <c r="B17" s="50">
        <v>51</v>
      </c>
      <c r="C17" s="27">
        <f>IF(B$16=0,0,B17/B$16)</f>
        <v>0.45132743362831856</v>
      </c>
      <c r="E17" s="68" t="s">
        <v>88</v>
      </c>
      <c r="F17" s="64" t="s">
        <v>41</v>
      </c>
      <c r="G17" s="50">
        <v>2</v>
      </c>
      <c r="H17" s="27">
        <f>IF(B$25=0,0,G17/B$25)</f>
        <v>1.9417475728155338E-2</v>
      </c>
      <c r="J17" s="26">
        <v>15</v>
      </c>
      <c r="K17" s="28">
        <v>-212.5</v>
      </c>
    </row>
    <row r="18" spans="1:11" x14ac:dyDescent="0.4">
      <c r="A18" s="58" t="s">
        <v>11</v>
      </c>
      <c r="B18" s="50">
        <v>62</v>
      </c>
      <c r="C18" s="27">
        <f>IF(B$16=0,0,B18/B$16)</f>
        <v>0.54867256637168138</v>
      </c>
      <c r="E18" s="68" t="s">
        <v>81</v>
      </c>
      <c r="F18" s="64" t="s">
        <v>34</v>
      </c>
      <c r="G18" s="50">
        <v>1</v>
      </c>
      <c r="H18" s="27">
        <f>IF(B$25=0,0,G18/B$25)</f>
        <v>9.7087378640776691E-3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94</v>
      </c>
      <c r="C19" s="27">
        <f>IF(B$3=0,0,B19/B$3)</f>
        <v>0.23918575063613232</v>
      </c>
      <c r="E19" s="68" t="s">
        <v>83</v>
      </c>
      <c r="F19" s="64" t="s">
        <v>36</v>
      </c>
      <c r="G19" s="50">
        <v>1</v>
      </c>
      <c r="H19" s="27">
        <f>IF(B$25=0,0,G19/B$25)</f>
        <v>9.7087378640776691E-3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10749.557522123894</v>
      </c>
      <c r="C20" s="30">
        <v>1214700</v>
      </c>
      <c r="E20" s="68" t="s">
        <v>85</v>
      </c>
      <c r="F20" s="64" t="s">
        <v>38</v>
      </c>
      <c r="G20" s="50">
        <v>1</v>
      </c>
      <c r="H20" s="27">
        <f>IF(B$25=0,0,G20/B$25)</f>
        <v>9.7087378640776691E-3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-10037.234042553191</v>
      </c>
      <c r="C21" s="48">
        <v>-943500</v>
      </c>
      <c r="E21" s="68" t="s">
        <v>91</v>
      </c>
      <c r="F21" s="64" t="s">
        <v>44</v>
      </c>
      <c r="G21" s="50">
        <v>1</v>
      </c>
      <c r="H21" s="27">
        <f>IF(B$25=0,0,G21/B$25)</f>
        <v>9.7087378640776691E-3</v>
      </c>
      <c r="J21" s="26">
        <v>19</v>
      </c>
      <c r="K21" s="28">
        <v>-273.2</v>
      </c>
    </row>
    <row r="22" spans="1:11" x14ac:dyDescent="0.4">
      <c r="A22" s="57" t="s">
        <v>186</v>
      </c>
      <c r="B22" s="49">
        <v>125</v>
      </c>
      <c r="C22" s="24">
        <f>IF(B$3=0,0,B22/B$3)</f>
        <v>0.31806615776081426</v>
      </c>
      <c r="E22" s="68" t="s">
        <v>98</v>
      </c>
      <c r="F22" s="64" t="s">
        <v>51</v>
      </c>
      <c r="G22" s="50">
        <v>1</v>
      </c>
      <c r="H22" s="27">
        <f>IF(B$25=0,0,G22/B$25)</f>
        <v>9.7087378640776691E-3</v>
      </c>
      <c r="J22" s="26">
        <v>20</v>
      </c>
      <c r="K22" s="28">
        <v>-270</v>
      </c>
    </row>
    <row r="23" spans="1:11" x14ac:dyDescent="0.4">
      <c r="A23" s="60" t="s">
        <v>187</v>
      </c>
      <c r="B23" s="52">
        <v>41</v>
      </c>
      <c r="C23" s="32">
        <f>IF(B$22=0,0,B23/B$22)</f>
        <v>0.32800000000000001</v>
      </c>
      <c r="E23" s="68" t="s">
        <v>100</v>
      </c>
      <c r="F23" s="64" t="s">
        <v>53</v>
      </c>
      <c r="G23" s="50">
        <v>1</v>
      </c>
      <c r="H23" s="27">
        <f>IF(B$25=0,0,G23/B$25)</f>
        <v>9.7087378640776691E-3</v>
      </c>
      <c r="J23" s="26">
        <v>21</v>
      </c>
      <c r="K23" s="28">
        <v>-242</v>
      </c>
    </row>
    <row r="24" spans="1:11" x14ac:dyDescent="0.4">
      <c r="A24" s="57" t="s">
        <v>128</v>
      </c>
      <c r="B24" s="86">
        <v>356</v>
      </c>
      <c r="C24" s="87"/>
      <c r="E24" s="68" t="s">
        <v>80</v>
      </c>
      <c r="F24" s="64" t="s">
        <v>33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8">
        <v>103</v>
      </c>
      <c r="C25" s="89"/>
      <c r="E25" s="68" t="s">
        <v>82</v>
      </c>
      <c r="F25" s="64" t="s">
        <v>35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78" t="s">
        <v>210</v>
      </c>
      <c r="B26" s="90">
        <v>7</v>
      </c>
      <c r="C26" s="91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A27" s="60" t="s">
        <v>212</v>
      </c>
      <c r="B27" s="79">
        <v>5</v>
      </c>
      <c r="C27" s="32">
        <f>IF(B$3=0,0,B27/B$3)</f>
        <v>1.2722646310432569E-2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-359.19999999999993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-364.49999999999994</v>
      </c>
    </row>
    <row r="52" spans="5:11" x14ac:dyDescent="0.4">
      <c r="J52" s="26">
        <v>50</v>
      </c>
      <c r="K52" s="28">
        <v>-399.99999999999994</v>
      </c>
    </row>
    <row r="53" spans="5:11" x14ac:dyDescent="0.4">
      <c r="J53" s="26">
        <v>51</v>
      </c>
      <c r="K53" s="28">
        <v>-409.99999999999994</v>
      </c>
    </row>
    <row r="54" spans="5:11" x14ac:dyDescent="0.4">
      <c r="J54" s="26">
        <v>52</v>
      </c>
      <c r="K54" s="28">
        <v>-426.39999999999992</v>
      </c>
    </row>
  </sheetData>
  <sortState ref="E2:H5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3DC3C-F9F6-4D70-BE80-BC7A53DCE218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227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</v>
      </c>
      <c r="C2" s="87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4">
        <v>46</v>
      </c>
      <c r="C3" s="95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190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6">
        <v>89</v>
      </c>
      <c r="C4" s="97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191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6">
        <f>IF(B$2=0,0,B$4/B$2)</f>
        <v>17.8</v>
      </c>
      <c r="C5" s="97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192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8">
        <f>IF(B$2=0,0,(B$7*1+B$8*2+B$9*3)/B$2)</f>
        <v>1.6</v>
      </c>
      <c r="C6" s="99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193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194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199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46</v>
      </c>
      <c r="C24" s="87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18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5</v>
      </c>
      <c r="C26" s="91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32AC-A22D-4E51-AD30-0FDBB35EE98D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229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7</v>
      </c>
      <c r="C2" s="87"/>
      <c r="E2" s="67" t="s">
        <v>73</v>
      </c>
      <c r="F2" s="63" t="s">
        <v>27</v>
      </c>
      <c r="G2" s="49">
        <v>18</v>
      </c>
      <c r="H2" s="24">
        <f>IF(B$25=0,0,G2/B$25)</f>
        <v>1.6363636363636365</v>
      </c>
      <c r="J2" s="23">
        <v>0</v>
      </c>
      <c r="K2" s="25">
        <v>0</v>
      </c>
      <c r="M2" s="23" t="s">
        <v>189</v>
      </c>
      <c r="N2" s="44">
        <f t="shared" ref="N2:N7" si="0">IF(P2=0,0,O2/P2)</f>
        <v>-685.71428571428567</v>
      </c>
      <c r="O2" s="41">
        <v>-4800</v>
      </c>
      <c r="P2" s="39">
        <v>7</v>
      </c>
    </row>
    <row r="3" spans="1:16" x14ac:dyDescent="0.4">
      <c r="A3" s="58" t="s">
        <v>8</v>
      </c>
      <c r="B3" s="94">
        <v>48</v>
      </c>
      <c r="C3" s="95"/>
      <c r="E3" s="68" t="s">
        <v>71</v>
      </c>
      <c r="F3" s="64" t="s">
        <v>25</v>
      </c>
      <c r="G3" s="50">
        <v>12</v>
      </c>
      <c r="H3" s="27">
        <f>IF(B$25=0,0,G3/B$25)</f>
        <v>1.0909090909090908</v>
      </c>
      <c r="J3" s="26">
        <v>1</v>
      </c>
      <c r="K3" s="28">
        <v>15</v>
      </c>
      <c r="M3" s="26" t="s">
        <v>190</v>
      </c>
      <c r="N3" s="45">
        <f t="shared" si="0"/>
        <v>6071.4285714285716</v>
      </c>
      <c r="O3" s="42">
        <v>42500</v>
      </c>
      <c r="P3" s="37">
        <v>7</v>
      </c>
    </row>
    <row r="4" spans="1:16" x14ac:dyDescent="0.4">
      <c r="A4" s="58" t="s">
        <v>6</v>
      </c>
      <c r="B4" s="96">
        <v>27.200000000000003</v>
      </c>
      <c r="C4" s="97"/>
      <c r="E4" s="68" t="s">
        <v>78</v>
      </c>
      <c r="F4" s="64" t="s">
        <v>31</v>
      </c>
      <c r="G4" s="50">
        <v>10</v>
      </c>
      <c r="H4" s="27">
        <f>IF(B$25=0,0,G4/B$25)</f>
        <v>0.90909090909090906</v>
      </c>
      <c r="J4" s="26">
        <v>2</v>
      </c>
      <c r="K4" s="28">
        <v>-24.299999999999997</v>
      </c>
      <c r="M4" s="26" t="s">
        <v>191</v>
      </c>
      <c r="N4" s="45">
        <f t="shared" si="0"/>
        <v>540</v>
      </c>
      <c r="O4" s="42">
        <v>2700</v>
      </c>
      <c r="P4" s="37">
        <v>5</v>
      </c>
    </row>
    <row r="5" spans="1:16" x14ac:dyDescent="0.4">
      <c r="A5" s="58" t="s">
        <v>7</v>
      </c>
      <c r="B5" s="96">
        <f>IF(B$2=0,0,B$4/B$2)</f>
        <v>3.8857142857142861</v>
      </c>
      <c r="C5" s="97"/>
      <c r="E5" s="68" t="s">
        <v>90</v>
      </c>
      <c r="F5" s="64" t="s">
        <v>43</v>
      </c>
      <c r="G5" s="50">
        <v>4</v>
      </c>
      <c r="H5" s="27">
        <f>IF(B$25=0,0,G5/B$25)</f>
        <v>0.36363636363636365</v>
      </c>
      <c r="J5" s="26">
        <v>3</v>
      </c>
      <c r="K5" s="28">
        <v>-15.599999999999998</v>
      </c>
      <c r="M5" s="26" t="s">
        <v>192</v>
      </c>
      <c r="N5" s="45">
        <f t="shared" si="0"/>
        <v>2575</v>
      </c>
      <c r="O5" s="42">
        <v>10300</v>
      </c>
      <c r="P5" s="37">
        <v>4</v>
      </c>
    </row>
    <row r="6" spans="1:16" x14ac:dyDescent="0.4">
      <c r="A6" s="58" t="s">
        <v>1</v>
      </c>
      <c r="B6" s="98">
        <f>IF(B$2=0,0,(B$7*1+B$8*2+B$9*3)/B$2)</f>
        <v>2.1428571428571428</v>
      </c>
      <c r="C6" s="99"/>
      <c r="E6" s="68" t="s">
        <v>96</v>
      </c>
      <c r="F6" s="64" t="s">
        <v>49</v>
      </c>
      <c r="G6" s="50">
        <v>3</v>
      </c>
      <c r="H6" s="27">
        <f>IF(B$25=0,0,G6/B$25)</f>
        <v>0.27272727272727271</v>
      </c>
      <c r="J6" s="26">
        <v>4</v>
      </c>
      <c r="K6" s="28">
        <v>5.1000000000000014</v>
      </c>
      <c r="M6" s="26" t="s">
        <v>193</v>
      </c>
      <c r="N6" s="45">
        <f t="shared" si="0"/>
        <v>-4833.333333333333</v>
      </c>
      <c r="O6" s="42">
        <v>-14500</v>
      </c>
      <c r="P6" s="37">
        <v>3</v>
      </c>
    </row>
    <row r="7" spans="1:16" x14ac:dyDescent="0.4">
      <c r="A7" s="58" t="s">
        <v>2</v>
      </c>
      <c r="B7" s="50">
        <v>1</v>
      </c>
      <c r="C7" s="27">
        <f>IF(B$2=0,0,B7/B$2)</f>
        <v>0.14285714285714285</v>
      </c>
      <c r="E7" s="68" t="s">
        <v>69</v>
      </c>
      <c r="F7" s="64" t="s">
        <v>23</v>
      </c>
      <c r="G7" s="50">
        <v>1</v>
      </c>
      <c r="H7" s="27">
        <f>IF(B$25=0,0,G7/B$25)</f>
        <v>9.0909090909090912E-2</v>
      </c>
      <c r="J7" s="26">
        <v>5</v>
      </c>
      <c r="K7" s="28">
        <v>9.6000000000000014</v>
      </c>
      <c r="M7" s="31" t="s">
        <v>194</v>
      </c>
      <c r="N7" s="46">
        <f t="shared" si="0"/>
        <v>-9000</v>
      </c>
      <c r="O7" s="43">
        <v>-9000</v>
      </c>
      <c r="P7" s="38">
        <v>1</v>
      </c>
    </row>
    <row r="8" spans="1:16" x14ac:dyDescent="0.4">
      <c r="A8" s="58" t="s">
        <v>3</v>
      </c>
      <c r="B8" s="50">
        <v>4</v>
      </c>
      <c r="C8" s="27">
        <f t="shared" ref="C8:C9" si="1">IF(B$2=0,0,B8/B$2)</f>
        <v>0.5714285714285714</v>
      </c>
      <c r="E8" s="68" t="s">
        <v>76</v>
      </c>
      <c r="F8" s="64" t="s">
        <v>29</v>
      </c>
      <c r="G8" s="50">
        <v>1</v>
      </c>
      <c r="H8" s="27">
        <f>IF(B$25=0,0,G8/B$25)</f>
        <v>9.0909090909090912E-2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2</v>
      </c>
      <c r="C9" s="29">
        <f t="shared" si="1"/>
        <v>0.2857142857142857</v>
      </c>
      <c r="E9" s="68" t="s">
        <v>85</v>
      </c>
      <c r="F9" s="64" t="s">
        <v>38</v>
      </c>
      <c r="G9" s="50">
        <v>1</v>
      </c>
      <c r="H9" s="27">
        <f>IF(B$25=0,0,G9/B$25)</f>
        <v>9.0909090909090912E-2</v>
      </c>
      <c r="J9" s="26">
        <v>7</v>
      </c>
      <c r="K9" s="28">
        <v>27.200000000000003</v>
      </c>
    </row>
    <row r="10" spans="1:16" x14ac:dyDescent="0.4">
      <c r="A10" s="59" t="s">
        <v>21</v>
      </c>
      <c r="B10" s="51">
        <v>1</v>
      </c>
      <c r="C10" s="29">
        <f>IF(B$2=0,0,B10/B$2)</f>
        <v>0.14285714285714285</v>
      </c>
      <c r="E10" s="68" t="s">
        <v>92</v>
      </c>
      <c r="F10" s="64" t="s">
        <v>45</v>
      </c>
      <c r="G10" s="50">
        <v>1</v>
      </c>
      <c r="H10" s="27">
        <f>IF(B$25=0,0,G10/B$25)</f>
        <v>9.0909090909090912E-2</v>
      </c>
    </row>
    <row r="11" spans="1:16" x14ac:dyDescent="0.4">
      <c r="A11" s="60" t="s">
        <v>199</v>
      </c>
      <c r="B11" s="52">
        <v>1</v>
      </c>
      <c r="C11" s="32">
        <f>IF(B$2=0,0,B11/B$2)</f>
        <v>0.14285714285714285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3</v>
      </c>
      <c r="C12" s="35">
        <f>IF(B$24=0,0,B12/B$24)</f>
        <v>6.25E-2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23</v>
      </c>
      <c r="C13" s="27">
        <f>IF(B$24=0,0,B13/B$24)</f>
        <v>0.47916666666666669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0.33333333333333331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10</v>
      </c>
      <c r="C15" s="24">
        <f>IF(B$13=0,0,B15/B$13)</f>
        <v>0.43478260869565216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11</v>
      </c>
      <c r="C16" s="24">
        <f>IF(B$3=0,0,B16/B$3)</f>
        <v>0.22916666666666666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</v>
      </c>
      <c r="C17" s="27">
        <f>IF(B$16=0,0,B17/B$16)</f>
        <v>9.0909090909090912E-2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10</v>
      </c>
      <c r="C18" s="27">
        <f>IF(B$16=0,0,B18/B$16)</f>
        <v>0.90909090909090906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7</v>
      </c>
      <c r="C19" s="27">
        <f>IF(B$3=0,0,B19/B$3)</f>
        <v>0.14583333333333334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10354.545454545454</v>
      </c>
      <c r="C20" s="30">
        <v>113900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-6914.2857142857147</v>
      </c>
      <c r="C21" s="48">
        <v>-48400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11</v>
      </c>
      <c r="C22" s="24">
        <f>IF(B$3=0,0,B22/B$3)</f>
        <v>0.22916666666666666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2</v>
      </c>
      <c r="C23" s="32">
        <f>IF(B$22=0,0,B23/B$22)</f>
        <v>0.18181818181818182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48</v>
      </c>
      <c r="C24" s="87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11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5</v>
      </c>
      <c r="C26" s="91"/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/>
      <c r="C1" s="93"/>
      <c r="E1" s="66" t="s">
        <v>201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195</v>
      </c>
      <c r="N1" s="20" t="s">
        <v>197</v>
      </c>
      <c r="O1" s="40" t="s">
        <v>198</v>
      </c>
      <c r="P1" s="36" t="s">
        <v>196</v>
      </c>
    </row>
    <row r="2" spans="1:16" x14ac:dyDescent="0.4">
      <c r="A2" s="57" t="s">
        <v>9</v>
      </c>
      <c r="B2" s="86">
        <v>0</v>
      </c>
      <c r="C2" s="87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4">
        <v>0</v>
      </c>
      <c r="C3" s="95"/>
      <c r="E3" s="68" t="s">
        <v>70</v>
      </c>
      <c r="F3" s="64" t="s">
        <v>24</v>
      </c>
      <c r="G3" s="50">
        <v>0</v>
      </c>
      <c r="H3" s="27">
        <f>IF(B$25=0,0,G3/B$25)</f>
        <v>0</v>
      </c>
      <c r="M3" s="26" t="s">
        <v>190</v>
      </c>
      <c r="N3" s="45">
        <f t="shared" si="0"/>
        <v>0</v>
      </c>
      <c r="O3" s="42">
        <v>0</v>
      </c>
      <c r="P3" s="37">
        <v>0</v>
      </c>
    </row>
    <row r="4" spans="1:16" x14ac:dyDescent="0.4">
      <c r="A4" s="58" t="s">
        <v>6</v>
      </c>
      <c r="B4" s="96">
        <v>0</v>
      </c>
      <c r="C4" s="97"/>
      <c r="E4" s="68" t="s">
        <v>71</v>
      </c>
      <c r="F4" s="64" t="s">
        <v>25</v>
      </c>
      <c r="G4" s="50">
        <v>0</v>
      </c>
      <c r="H4" s="27">
        <f>IF(B$25=0,0,G4/B$25)</f>
        <v>0</v>
      </c>
      <c r="M4" s="26" t="s">
        <v>191</v>
      </c>
      <c r="N4" s="45">
        <f t="shared" si="0"/>
        <v>0</v>
      </c>
      <c r="O4" s="42">
        <v>0</v>
      </c>
      <c r="P4" s="37">
        <v>0</v>
      </c>
    </row>
    <row r="5" spans="1:16" x14ac:dyDescent="0.4">
      <c r="A5" s="58" t="s">
        <v>7</v>
      </c>
      <c r="B5" s="96">
        <f>IF(B$2=0,0,B$4/B$2)</f>
        <v>0</v>
      </c>
      <c r="C5" s="97"/>
      <c r="E5" s="68" t="s">
        <v>72</v>
      </c>
      <c r="F5" s="64" t="s">
        <v>26</v>
      </c>
      <c r="G5" s="50">
        <v>0</v>
      </c>
      <c r="H5" s="27">
        <f>IF(B$25=0,0,G5/B$25)</f>
        <v>0</v>
      </c>
      <c r="M5" s="26" t="s">
        <v>192</v>
      </c>
      <c r="N5" s="45">
        <f t="shared" si="0"/>
        <v>0</v>
      </c>
      <c r="O5" s="42">
        <v>0</v>
      </c>
      <c r="P5" s="37">
        <v>0</v>
      </c>
    </row>
    <row r="6" spans="1:16" x14ac:dyDescent="0.4">
      <c r="A6" s="58" t="s">
        <v>1</v>
      </c>
      <c r="B6" s="98">
        <f>IF(B$2=0,0,(B$7*1+B$8*2+B$9*3)/B$2)</f>
        <v>0</v>
      </c>
      <c r="C6" s="99"/>
      <c r="E6" s="68" t="s">
        <v>73</v>
      </c>
      <c r="F6" s="64" t="s">
        <v>27</v>
      </c>
      <c r="G6" s="50">
        <v>0</v>
      </c>
      <c r="H6" s="27">
        <f>IF(B$25=0,0,G6/B$25)</f>
        <v>0</v>
      </c>
      <c r="M6" s="26" t="s">
        <v>193</v>
      </c>
      <c r="N6" s="45">
        <f t="shared" si="0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0</v>
      </c>
      <c r="C9" s="29">
        <f t="shared" si="1"/>
        <v>0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0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166</v>
      </c>
    </row>
    <row r="3" spans="1:14" x14ac:dyDescent="0.4">
      <c r="A3" s="74" t="s">
        <v>140</v>
      </c>
      <c r="B3" s="75">
        <v>43454.62740740741</v>
      </c>
      <c r="C3" s="74" t="s">
        <v>166</v>
      </c>
    </row>
    <row r="4" spans="1:14" x14ac:dyDescent="0.4">
      <c r="A4" s="74" t="s">
        <v>143</v>
      </c>
      <c r="B4" s="75">
        <v>43454.62740740741</v>
      </c>
      <c r="C4" s="74" t="s">
        <v>166</v>
      </c>
    </row>
    <row r="5" spans="1:14" x14ac:dyDescent="0.4">
      <c r="A5" s="74" t="s">
        <v>144</v>
      </c>
      <c r="B5" s="75">
        <v>43454.62740740741</v>
      </c>
      <c r="C5" s="74" t="s">
        <v>166</v>
      </c>
      <c r="D5" s="74" t="s">
        <v>167</v>
      </c>
      <c r="E5" s="74" t="s">
        <v>168</v>
      </c>
      <c r="F5" s="74" t="s">
        <v>169</v>
      </c>
      <c r="G5" s="74" t="s">
        <v>170</v>
      </c>
    </row>
    <row r="6" spans="1:14" x14ac:dyDescent="0.4">
      <c r="A6" s="74" t="s">
        <v>146</v>
      </c>
      <c r="B6" s="75">
        <v>43454.62740740741</v>
      </c>
      <c r="C6" s="74" t="s">
        <v>166</v>
      </c>
    </row>
    <row r="7" spans="1:14" x14ac:dyDescent="0.4">
      <c r="A7" s="74" t="s">
        <v>147</v>
      </c>
      <c r="B7" s="75">
        <v>43454.62740740741</v>
      </c>
      <c r="C7" s="74" t="s">
        <v>166</v>
      </c>
      <c r="D7" s="74" t="s">
        <v>167</v>
      </c>
      <c r="E7" s="74" t="s">
        <v>168</v>
      </c>
    </row>
    <row r="8" spans="1:14" x14ac:dyDescent="0.4">
      <c r="A8" s="74" t="s">
        <v>150</v>
      </c>
      <c r="B8" s="75">
        <v>43454.62740740741</v>
      </c>
      <c r="C8" s="74" t="s">
        <v>166</v>
      </c>
      <c r="D8" s="74" t="s">
        <v>167</v>
      </c>
    </row>
    <row r="9" spans="1:14" x14ac:dyDescent="0.4">
      <c r="A9" s="74" t="s">
        <v>151</v>
      </c>
      <c r="B9" s="75">
        <v>43454.62740740741</v>
      </c>
      <c r="C9" s="74" t="s">
        <v>166</v>
      </c>
      <c r="D9" s="74" t="s">
        <v>167</v>
      </c>
      <c r="E9" s="74" t="s">
        <v>168</v>
      </c>
      <c r="F9" s="74" t="s">
        <v>169</v>
      </c>
    </row>
    <row r="10" spans="1:14" x14ac:dyDescent="0.4">
      <c r="A10" s="74" t="s">
        <v>152</v>
      </c>
      <c r="B10" s="75">
        <v>43454.62740740741</v>
      </c>
      <c r="C10" s="74" t="s">
        <v>166</v>
      </c>
      <c r="D10" s="74" t="s">
        <v>167</v>
      </c>
      <c r="E10" s="74" t="s">
        <v>168</v>
      </c>
    </row>
    <row r="11" spans="1:14" x14ac:dyDescent="0.4">
      <c r="A11" s="74" t="s">
        <v>153</v>
      </c>
      <c r="B11" s="75">
        <v>43454.62740740741</v>
      </c>
      <c r="C11" s="74" t="s">
        <v>166</v>
      </c>
      <c r="D11" s="74" t="s">
        <v>167</v>
      </c>
      <c r="E11" s="74" t="s">
        <v>168</v>
      </c>
      <c r="F11" s="74" t="s">
        <v>169</v>
      </c>
      <c r="G11" s="74" t="s">
        <v>170</v>
      </c>
      <c r="H11" s="74" t="s">
        <v>171</v>
      </c>
      <c r="I11" s="74" t="s">
        <v>172</v>
      </c>
    </row>
    <row r="12" spans="1:14" x14ac:dyDescent="0.4">
      <c r="A12" s="74" t="s">
        <v>154</v>
      </c>
      <c r="B12" s="75">
        <v>43454.62740740741</v>
      </c>
      <c r="C12" s="74" t="s">
        <v>166</v>
      </c>
      <c r="D12" s="74" t="s">
        <v>167</v>
      </c>
    </row>
    <row r="13" spans="1:14" x14ac:dyDescent="0.4">
      <c r="A13" s="74" t="s">
        <v>155</v>
      </c>
      <c r="B13" s="75">
        <v>43454.62740740741</v>
      </c>
      <c r="C13" s="74" t="s">
        <v>166</v>
      </c>
      <c r="D13" s="74" t="s">
        <v>167</v>
      </c>
      <c r="E13" s="74" t="s">
        <v>168</v>
      </c>
      <c r="F13" s="74" t="s">
        <v>169</v>
      </c>
      <c r="G13" s="74" t="s">
        <v>170</v>
      </c>
      <c r="H13" s="74" t="s">
        <v>171</v>
      </c>
      <c r="I13" s="74" t="s">
        <v>172</v>
      </c>
      <c r="J13" s="74" t="s">
        <v>173</v>
      </c>
      <c r="K13" s="74" t="s">
        <v>174</v>
      </c>
      <c r="L13" s="74" t="s">
        <v>175</v>
      </c>
      <c r="M13" s="74" t="s">
        <v>176</v>
      </c>
      <c r="N13" s="74" t="s">
        <v>177</v>
      </c>
    </row>
    <row r="14" spans="1:14" x14ac:dyDescent="0.4">
      <c r="A14" s="74" t="s">
        <v>157</v>
      </c>
      <c r="B14" s="75">
        <v>43454.62740740741</v>
      </c>
      <c r="C14" s="74" t="s">
        <v>166</v>
      </c>
      <c r="D14" s="74" t="s">
        <v>167</v>
      </c>
      <c r="E14" s="74" t="s">
        <v>168</v>
      </c>
    </row>
    <row r="15" spans="1:14" x14ac:dyDescent="0.4">
      <c r="A15" s="74" t="s">
        <v>158</v>
      </c>
      <c r="B15" s="75">
        <v>43454.62740740741</v>
      </c>
      <c r="C15" s="74" t="s">
        <v>166</v>
      </c>
      <c r="D15" s="74" t="s">
        <v>167</v>
      </c>
      <c r="E15" s="74" t="s">
        <v>168</v>
      </c>
    </row>
    <row r="16" spans="1:14" x14ac:dyDescent="0.4">
      <c r="A16" s="74" t="s">
        <v>159</v>
      </c>
      <c r="B16" s="75">
        <v>43454.62740740741</v>
      </c>
      <c r="C16" s="74" t="s">
        <v>166</v>
      </c>
      <c r="D16" s="74" t="s">
        <v>167</v>
      </c>
      <c r="E16" s="74" t="s">
        <v>168</v>
      </c>
    </row>
    <row r="17" spans="1:9" x14ac:dyDescent="0.4">
      <c r="A17" s="74" t="s">
        <v>161</v>
      </c>
      <c r="B17" s="75">
        <v>43471.701018518521</v>
      </c>
      <c r="C17" s="74" t="s">
        <v>166</v>
      </c>
      <c r="D17" s="74" t="s">
        <v>167</v>
      </c>
      <c r="E17" s="74" t="s">
        <v>168</v>
      </c>
      <c r="F17" s="74" t="s">
        <v>169</v>
      </c>
      <c r="G17" s="74" t="s">
        <v>170</v>
      </c>
      <c r="H17" s="74" t="s">
        <v>171</v>
      </c>
    </row>
    <row r="18" spans="1:9" x14ac:dyDescent="0.4">
      <c r="A18" s="74" t="s">
        <v>162</v>
      </c>
      <c r="B18" s="75">
        <v>43454.62740740741</v>
      </c>
      <c r="C18" s="74" t="s">
        <v>166</v>
      </c>
      <c r="D18" s="74" t="s">
        <v>167</v>
      </c>
      <c r="E18" s="74" t="s">
        <v>168</v>
      </c>
      <c r="F18" s="74" t="s">
        <v>169</v>
      </c>
      <c r="G18" s="74" t="s">
        <v>170</v>
      </c>
      <c r="H18" s="74" t="s">
        <v>171</v>
      </c>
    </row>
    <row r="19" spans="1:9" x14ac:dyDescent="0.4">
      <c r="A19" s="74" t="s">
        <v>163</v>
      </c>
      <c r="B19" s="75">
        <v>43454.62740740741</v>
      </c>
      <c r="C19" s="74" t="s">
        <v>166</v>
      </c>
      <c r="D19" s="74" t="s">
        <v>167</v>
      </c>
    </row>
    <row r="20" spans="1:9" x14ac:dyDescent="0.4">
      <c r="A20" s="74" t="s">
        <v>164</v>
      </c>
      <c r="B20" s="75">
        <v>43471.701018518521</v>
      </c>
      <c r="C20" s="74" t="s">
        <v>166</v>
      </c>
      <c r="D20" s="74" t="s">
        <v>167</v>
      </c>
      <c r="E20" s="74" t="s">
        <v>168</v>
      </c>
    </row>
    <row r="21" spans="1:9" x14ac:dyDescent="0.4">
      <c r="A21" s="74" t="s">
        <v>165</v>
      </c>
      <c r="B21" s="75">
        <v>43484.832372685189</v>
      </c>
      <c r="C21" s="74" t="s">
        <v>166</v>
      </c>
      <c r="D21" s="74" t="s">
        <v>167</v>
      </c>
      <c r="E21" s="74" t="s">
        <v>168</v>
      </c>
      <c r="F21" s="74" t="s">
        <v>169</v>
      </c>
    </row>
    <row r="22" spans="1:9" x14ac:dyDescent="0.4">
      <c r="A22" s="74" t="s">
        <v>213</v>
      </c>
      <c r="B22" s="75">
        <v>43454.62740740741</v>
      </c>
      <c r="C22" s="74" t="s">
        <v>166</v>
      </c>
      <c r="D22" s="74" t="s">
        <v>167</v>
      </c>
      <c r="E22" s="74" t="s">
        <v>168</v>
      </c>
      <c r="F22" s="74" t="s">
        <v>169</v>
      </c>
    </row>
    <row r="23" spans="1:9" x14ac:dyDescent="0.4">
      <c r="A23" s="74" t="s">
        <v>214</v>
      </c>
      <c r="B23" s="75">
        <v>43454.62740740741</v>
      </c>
      <c r="C23" s="74" t="s">
        <v>166</v>
      </c>
      <c r="D23" s="74" t="s">
        <v>167</v>
      </c>
      <c r="E23" s="74" t="s">
        <v>168</v>
      </c>
      <c r="F23" s="74" t="s">
        <v>169</v>
      </c>
      <c r="G23" s="74" t="s">
        <v>170</v>
      </c>
      <c r="H23" s="74" t="s">
        <v>171</v>
      </c>
      <c r="I23" s="74" t="s">
        <v>172</v>
      </c>
    </row>
    <row r="24" spans="1:9" x14ac:dyDescent="0.4">
      <c r="A24" s="74" t="s">
        <v>215</v>
      </c>
      <c r="B24" s="75">
        <v>43454.62740740741</v>
      </c>
      <c r="C24" s="74" t="s">
        <v>166</v>
      </c>
      <c r="D24" s="74" t="s">
        <v>167</v>
      </c>
      <c r="E24" s="74" t="s">
        <v>168</v>
      </c>
    </row>
    <row r="25" spans="1:9" x14ac:dyDescent="0.4">
      <c r="A25" s="74" t="s">
        <v>216</v>
      </c>
      <c r="B25" s="75">
        <v>43454.62740740741</v>
      </c>
      <c r="C25" s="74" t="s">
        <v>166</v>
      </c>
      <c r="D25" s="74" t="s">
        <v>167</v>
      </c>
      <c r="E25" s="74" t="s">
        <v>168</v>
      </c>
      <c r="F25" s="74" t="s">
        <v>169</v>
      </c>
      <c r="G25" s="74" t="s">
        <v>170</v>
      </c>
      <c r="H25" s="74" t="s">
        <v>171</v>
      </c>
    </row>
    <row r="26" spans="1:9" x14ac:dyDescent="0.4">
      <c r="A26" s="74" t="s">
        <v>217</v>
      </c>
      <c r="B26" s="75">
        <v>43454.62740740741</v>
      </c>
      <c r="C26" s="74" t="s">
        <v>166</v>
      </c>
      <c r="D26" s="74" t="s">
        <v>167</v>
      </c>
    </row>
    <row r="27" spans="1:9" x14ac:dyDescent="0.4">
      <c r="A27" s="74" t="s">
        <v>218</v>
      </c>
      <c r="B27" s="75">
        <v>43454.62740740741</v>
      </c>
      <c r="C27" s="74" t="s">
        <v>166</v>
      </c>
      <c r="D27" s="74" t="s">
        <v>167</v>
      </c>
    </row>
    <row r="28" spans="1:9" x14ac:dyDescent="0.4">
      <c r="A28" s="74" t="s">
        <v>219</v>
      </c>
      <c r="B28" s="75">
        <v>43454.62740740741</v>
      </c>
      <c r="C28" s="74" t="s">
        <v>166</v>
      </c>
      <c r="D28" s="74" t="s">
        <v>167</v>
      </c>
      <c r="E28" s="74" t="s">
        <v>168</v>
      </c>
      <c r="F28" s="74" t="s">
        <v>169</v>
      </c>
    </row>
    <row r="29" spans="1:9" x14ac:dyDescent="0.4">
      <c r="A29" s="74" t="s">
        <v>220</v>
      </c>
      <c r="B29" s="75">
        <v>43455.084918981483</v>
      </c>
      <c r="C29" s="74" t="s">
        <v>166</v>
      </c>
      <c r="D29" s="74" t="s">
        <v>167</v>
      </c>
      <c r="E29" s="74" t="s">
        <v>168</v>
      </c>
      <c r="F29" s="74" t="s">
        <v>169</v>
      </c>
      <c r="G29" s="74" t="s">
        <v>170</v>
      </c>
      <c r="H29" s="74" t="s">
        <v>171</v>
      </c>
    </row>
    <row r="30" spans="1:9" x14ac:dyDescent="0.4">
      <c r="A30" s="74" t="s">
        <v>221</v>
      </c>
      <c r="B30" s="75">
        <v>43456.147789351853</v>
      </c>
      <c r="C30" s="74" t="s">
        <v>166</v>
      </c>
      <c r="D30" s="74" t="s">
        <v>167</v>
      </c>
      <c r="E30" s="74" t="s">
        <v>168</v>
      </c>
      <c r="F30" s="74" t="s">
        <v>169</v>
      </c>
      <c r="G30" s="74" t="s">
        <v>170</v>
      </c>
    </row>
    <row r="31" spans="1:9" x14ac:dyDescent="0.4">
      <c r="A31" s="74" t="s">
        <v>222</v>
      </c>
      <c r="B31" s="75">
        <v>43471.8909375</v>
      </c>
      <c r="C31" s="74" t="s">
        <v>166</v>
      </c>
      <c r="D31" s="74" t="s">
        <v>167</v>
      </c>
      <c r="E31" s="74" t="s">
        <v>168</v>
      </c>
      <c r="F31" s="74" t="s">
        <v>169</v>
      </c>
    </row>
    <row r="32" spans="1:9" x14ac:dyDescent="0.4">
      <c r="A32" s="74" t="s">
        <v>223</v>
      </c>
      <c r="B32" s="75">
        <v>43475.056238425925</v>
      </c>
      <c r="C32" s="74" t="s">
        <v>166</v>
      </c>
    </row>
    <row r="33" spans="1:10" x14ac:dyDescent="0.4">
      <c r="A33" s="74" t="s">
        <v>224</v>
      </c>
      <c r="B33" s="75">
        <v>43478.456446759257</v>
      </c>
      <c r="C33" s="74" t="s">
        <v>166</v>
      </c>
      <c r="D33" s="74" t="s">
        <v>167</v>
      </c>
      <c r="E33" s="74" t="s">
        <v>168</v>
      </c>
    </row>
    <row r="34" spans="1:10" x14ac:dyDescent="0.4">
      <c r="A34" s="74" t="s">
        <v>226</v>
      </c>
      <c r="B34" s="75">
        <v>43479.152256944442</v>
      </c>
      <c r="C34" s="74" t="s">
        <v>166</v>
      </c>
      <c r="D34" s="74" t="s">
        <v>167</v>
      </c>
      <c r="E34" s="74" t="s">
        <v>168</v>
      </c>
      <c r="F34" s="74" t="s">
        <v>169</v>
      </c>
      <c r="G34" s="74" t="s">
        <v>170</v>
      </c>
      <c r="H34" s="74" t="s">
        <v>171</v>
      </c>
      <c r="I34" s="74" t="s">
        <v>172</v>
      </c>
      <c r="J34" s="74" t="s">
        <v>173</v>
      </c>
    </row>
    <row r="35" spans="1:10" x14ac:dyDescent="0.4">
      <c r="A35" s="74" t="s">
        <v>230</v>
      </c>
      <c r="B35" s="75">
        <v>43480.04891203704</v>
      </c>
      <c r="C35" s="74" t="s">
        <v>166</v>
      </c>
      <c r="D35" s="74" t="s">
        <v>167</v>
      </c>
      <c r="E35" s="74" t="s">
        <v>168</v>
      </c>
      <c r="F35" s="74" t="s">
        <v>169</v>
      </c>
      <c r="G35" s="74" t="s">
        <v>170</v>
      </c>
      <c r="H35" s="74" t="s">
        <v>171</v>
      </c>
      <c r="I35" s="74" t="s">
        <v>172</v>
      </c>
      <c r="J35" s="74" t="s">
        <v>173</v>
      </c>
    </row>
    <row r="36" spans="1:10" x14ac:dyDescent="0.4">
      <c r="A36" s="74" t="s">
        <v>231</v>
      </c>
      <c r="B36" s="75">
        <v>43481.046527777777</v>
      </c>
      <c r="C36" s="74" t="s">
        <v>166</v>
      </c>
      <c r="D36" s="74" t="s">
        <v>167</v>
      </c>
      <c r="E36" s="74" t="s">
        <v>168</v>
      </c>
    </row>
    <row r="37" spans="1:10" x14ac:dyDescent="0.4">
      <c r="A37" s="74" t="s">
        <v>232</v>
      </c>
      <c r="B37" s="75">
        <v>43482.020208333335</v>
      </c>
      <c r="C37" s="74" t="s">
        <v>166</v>
      </c>
      <c r="D37" s="74" t="s">
        <v>167</v>
      </c>
    </row>
    <row r="38" spans="1:10" x14ac:dyDescent="0.4">
      <c r="A38" s="74" t="s">
        <v>233</v>
      </c>
      <c r="B38" s="75">
        <v>43483.045300925929</v>
      </c>
      <c r="C38" s="74" t="s">
        <v>166</v>
      </c>
      <c r="D38" s="74" t="s">
        <v>167</v>
      </c>
      <c r="E38" s="74" t="s">
        <v>168</v>
      </c>
      <c r="F38" s="74" t="s">
        <v>169</v>
      </c>
      <c r="G38" s="74" t="s">
        <v>170</v>
      </c>
    </row>
    <row r="39" spans="1:10" x14ac:dyDescent="0.4">
      <c r="A39" s="74" t="s">
        <v>234</v>
      </c>
      <c r="B39" s="75">
        <v>43484.815625000003</v>
      </c>
      <c r="C39" s="74" t="s">
        <v>166</v>
      </c>
      <c r="D39" s="74" t="s">
        <v>167</v>
      </c>
      <c r="E39" s="74" t="s">
        <v>168</v>
      </c>
      <c r="F39" s="74" t="s">
        <v>169</v>
      </c>
      <c r="G39" s="74" t="s">
        <v>170</v>
      </c>
      <c r="H39" s="74" t="s">
        <v>171</v>
      </c>
    </row>
    <row r="40" spans="1:10" x14ac:dyDescent="0.4">
      <c r="A40" s="74" t="s">
        <v>235</v>
      </c>
      <c r="B40" s="75">
        <v>43485.111226851855</v>
      </c>
      <c r="C40" s="74" t="s">
        <v>166</v>
      </c>
      <c r="D40" s="74" t="s">
        <v>167</v>
      </c>
      <c r="E40" s="74" t="s">
        <v>168</v>
      </c>
      <c r="F40" s="74" t="s">
        <v>169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2019-01-20T09:44:27Z</dcterms:modified>
</cp:coreProperties>
</file>