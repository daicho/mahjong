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5DA5DD3-BC12-4994-8E3D-506DC3280C7C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555" r:id="rId3"/>
    <sheet name="かこたろう" sheetId="2556" r:id="rId4"/>
    <sheet name="ともき" sheetId="2557" r:id="rId5"/>
    <sheet name="りくと" sheetId="2558" r:id="rId6"/>
    <sheet name="いっしー" sheetId="2559" r:id="rId7"/>
    <sheet name="がくと" sheetId="2560" r:id="rId8"/>
    <sheet name="たかの" sheetId="2561" r:id="rId9"/>
    <sheet name="ただ" sheetId="2562" r:id="rId10"/>
    <sheet name="やがさき" sheetId="2563" r:id="rId11"/>
    <sheet name="れんたろう" sheetId="2564" r:id="rId12"/>
    <sheet name="あさひ" sheetId="2565" r:id="rId13"/>
    <sheet name="まっつん" sheetId="2566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566" l="1"/>
  <c r="H50" i="2566"/>
  <c r="H49" i="2566"/>
  <c r="H48" i="2566"/>
  <c r="H47" i="2566"/>
  <c r="H46" i="2566"/>
  <c r="H45" i="2566"/>
  <c r="H44" i="2566"/>
  <c r="H43" i="2566"/>
  <c r="H42" i="2566"/>
  <c r="H41" i="2566"/>
  <c r="H40" i="2566"/>
  <c r="H39" i="2566"/>
  <c r="H38" i="2566"/>
  <c r="H37" i="2566"/>
  <c r="H36" i="2566"/>
  <c r="H35" i="2566"/>
  <c r="H34" i="2566"/>
  <c r="H33" i="2566"/>
  <c r="H32" i="2566"/>
  <c r="H31" i="2566"/>
  <c r="H30" i="2566"/>
  <c r="H6" i="2566"/>
  <c r="H29" i="2566"/>
  <c r="H28" i="2566"/>
  <c r="H27" i="2566"/>
  <c r="H10" i="2566"/>
  <c r="H26" i="2566"/>
  <c r="H5" i="2566"/>
  <c r="C23" i="2566"/>
  <c r="H25" i="2566"/>
  <c r="C22" i="2566"/>
  <c r="H24" i="2566"/>
  <c r="B21" i="2566"/>
  <c r="H23" i="2566"/>
  <c r="H22" i="2566"/>
  <c r="C19" i="2566"/>
  <c r="H9" i="2566"/>
  <c r="C18" i="2566"/>
  <c r="H21" i="2566"/>
  <c r="C17" i="2566"/>
  <c r="H20" i="2566"/>
  <c r="B16" i="2566"/>
  <c r="B20" i="2566" s="1"/>
  <c r="H19" i="2566"/>
  <c r="C15" i="2566"/>
  <c r="H18" i="2566"/>
  <c r="C14" i="2566"/>
  <c r="H17" i="2566"/>
  <c r="C13" i="2566"/>
  <c r="H16" i="2566"/>
  <c r="C12" i="2566"/>
  <c r="H4" i="2566"/>
  <c r="C11" i="2566"/>
  <c r="H15" i="2566"/>
  <c r="C10" i="2566"/>
  <c r="H8" i="2566"/>
  <c r="C9" i="2566"/>
  <c r="H14" i="2566"/>
  <c r="C8" i="2566"/>
  <c r="N7" i="2566"/>
  <c r="H13" i="2566"/>
  <c r="C7" i="2566"/>
  <c r="N6" i="2566"/>
  <c r="H2" i="2566"/>
  <c r="B6" i="2566"/>
  <c r="N5" i="2566"/>
  <c r="H12" i="2566"/>
  <c r="B5" i="2566"/>
  <c r="N4" i="2566"/>
  <c r="H3" i="2566"/>
  <c r="N3" i="2566"/>
  <c r="H11" i="2566"/>
  <c r="N2" i="2566"/>
  <c r="H7" i="2566"/>
  <c r="C16" i="2566" l="1"/>
  <c r="H51" i="2565" l="1"/>
  <c r="H50" i="2565"/>
  <c r="H49" i="2565"/>
  <c r="H48" i="2565"/>
  <c r="H47" i="2565"/>
  <c r="H46" i="2565"/>
  <c r="H45" i="2565"/>
  <c r="H44" i="2565"/>
  <c r="H43" i="2565"/>
  <c r="H42" i="2565"/>
  <c r="H41" i="2565"/>
  <c r="H40" i="2565"/>
  <c r="H39" i="2565"/>
  <c r="H38" i="2565"/>
  <c r="H37" i="2565"/>
  <c r="H36" i="2565"/>
  <c r="H35" i="2565"/>
  <c r="H34" i="2565"/>
  <c r="H33" i="2565"/>
  <c r="H32" i="2565"/>
  <c r="H14" i="2565"/>
  <c r="H31" i="2565"/>
  <c r="H11" i="2565"/>
  <c r="H30" i="2565"/>
  <c r="H29" i="2565"/>
  <c r="H10" i="2565"/>
  <c r="H28" i="2565"/>
  <c r="H27" i="2565"/>
  <c r="H26" i="2565"/>
  <c r="C23" i="2565"/>
  <c r="H25" i="2565"/>
  <c r="C22" i="2565"/>
  <c r="H24" i="2565"/>
  <c r="B21" i="2565"/>
  <c r="H23" i="2565"/>
  <c r="H22" i="2565"/>
  <c r="C19" i="2565"/>
  <c r="H21" i="2565"/>
  <c r="C18" i="2565"/>
  <c r="H20" i="2565"/>
  <c r="C17" i="2565"/>
  <c r="H19" i="2565"/>
  <c r="B16" i="2565"/>
  <c r="B20" i="2565" s="1"/>
  <c r="H18" i="2565"/>
  <c r="C15" i="2565"/>
  <c r="H17" i="2565"/>
  <c r="C14" i="2565"/>
  <c r="H16" i="2565"/>
  <c r="C13" i="2565"/>
  <c r="H15" i="2565"/>
  <c r="C12" i="2565"/>
  <c r="H5" i="2565"/>
  <c r="C11" i="2565"/>
  <c r="H13" i="2565"/>
  <c r="C10" i="2565"/>
  <c r="H7" i="2565"/>
  <c r="C9" i="2565"/>
  <c r="H9" i="2565"/>
  <c r="C8" i="2565"/>
  <c r="N7" i="2565"/>
  <c r="H8" i="2565"/>
  <c r="C7" i="2565"/>
  <c r="N6" i="2565"/>
  <c r="H3" i="2565"/>
  <c r="B6" i="2565"/>
  <c r="N5" i="2565"/>
  <c r="H6" i="2565"/>
  <c r="B5" i="2565"/>
  <c r="N4" i="2565"/>
  <c r="H2" i="2565"/>
  <c r="N3" i="2565"/>
  <c r="H12" i="2565"/>
  <c r="N2" i="2565"/>
  <c r="H4" i="2565"/>
  <c r="C16" i="2565" l="1"/>
  <c r="H51" i="2564" l="1"/>
  <c r="H50" i="2564"/>
  <c r="H49" i="2564"/>
  <c r="H48" i="2564"/>
  <c r="H47" i="2564"/>
  <c r="H46" i="2564"/>
  <c r="H45" i="2564"/>
  <c r="H44" i="2564"/>
  <c r="H43" i="2564"/>
  <c r="H42" i="2564"/>
  <c r="H41" i="2564"/>
  <c r="H40" i="2564"/>
  <c r="H39" i="2564"/>
  <c r="H38" i="2564"/>
  <c r="H37" i="2564"/>
  <c r="H36" i="2564"/>
  <c r="H35" i="2564"/>
  <c r="H34" i="2564"/>
  <c r="H21" i="2564"/>
  <c r="H33" i="2564"/>
  <c r="H32" i="2564"/>
  <c r="H31" i="2564"/>
  <c r="H8" i="2564"/>
  <c r="H30" i="2564"/>
  <c r="H29" i="2564"/>
  <c r="H13" i="2564"/>
  <c r="H28" i="2564"/>
  <c r="H20" i="2564"/>
  <c r="H15" i="2564"/>
  <c r="C23" i="2564"/>
  <c r="H27" i="2564"/>
  <c r="C22" i="2564"/>
  <c r="H17" i="2564"/>
  <c r="B21" i="2564"/>
  <c r="H26" i="2564"/>
  <c r="H25" i="2564"/>
  <c r="C19" i="2564"/>
  <c r="H19" i="2564"/>
  <c r="C18" i="2564"/>
  <c r="H12" i="2564"/>
  <c r="C17" i="2564"/>
  <c r="H24" i="2564"/>
  <c r="B16" i="2564"/>
  <c r="B20" i="2564" s="1"/>
  <c r="H23" i="2564"/>
  <c r="C15" i="2564"/>
  <c r="H18" i="2564"/>
  <c r="C14" i="2564"/>
  <c r="H22" i="2564"/>
  <c r="C13" i="2564"/>
  <c r="H14" i="2564"/>
  <c r="C12" i="2564"/>
  <c r="H4" i="2564"/>
  <c r="C11" i="2564"/>
  <c r="H16" i="2564"/>
  <c r="C10" i="2564"/>
  <c r="H10" i="2564"/>
  <c r="C9" i="2564"/>
  <c r="H9" i="2564"/>
  <c r="C8" i="2564"/>
  <c r="N7" i="2564"/>
  <c r="H7" i="2564"/>
  <c r="C7" i="2564"/>
  <c r="N6" i="2564"/>
  <c r="H2" i="2564"/>
  <c r="B6" i="2564"/>
  <c r="N5" i="2564"/>
  <c r="H6" i="2564"/>
  <c r="B5" i="2564"/>
  <c r="N4" i="2564"/>
  <c r="H3" i="2564"/>
  <c r="N3" i="2564"/>
  <c r="H11" i="2564"/>
  <c r="N2" i="2564"/>
  <c r="H5" i="2564"/>
  <c r="C16" i="2564" l="1"/>
  <c r="H51" i="2563" l="1"/>
  <c r="H50" i="2563"/>
  <c r="H49" i="2563"/>
  <c r="H48" i="2563"/>
  <c r="H47" i="2563"/>
  <c r="H46" i="2563"/>
  <c r="H45" i="2563"/>
  <c r="H44" i="2563"/>
  <c r="H43" i="2563"/>
  <c r="H42" i="2563"/>
  <c r="H41" i="2563"/>
  <c r="H40" i="2563"/>
  <c r="H39" i="2563"/>
  <c r="H38" i="2563"/>
  <c r="H37" i="2563"/>
  <c r="H36" i="2563"/>
  <c r="H35" i="2563"/>
  <c r="H34" i="2563"/>
  <c r="H33" i="2563"/>
  <c r="H32" i="2563"/>
  <c r="H31" i="2563"/>
  <c r="H30" i="2563"/>
  <c r="H29" i="2563"/>
  <c r="H28" i="2563"/>
  <c r="H27" i="2563"/>
  <c r="H26" i="2563"/>
  <c r="H25" i="2563"/>
  <c r="H24" i="2563"/>
  <c r="H23" i="2563"/>
  <c r="C23" i="2563"/>
  <c r="H22" i="2563"/>
  <c r="C22" i="2563"/>
  <c r="H21" i="2563"/>
  <c r="B21" i="2563"/>
  <c r="H20" i="2563"/>
  <c r="B20" i="2563"/>
  <c r="H19" i="2563"/>
  <c r="C19" i="2563"/>
  <c r="H18" i="2563"/>
  <c r="C18" i="2563"/>
  <c r="H17" i="2563"/>
  <c r="C17" i="2563"/>
  <c r="H16" i="2563"/>
  <c r="C16" i="2563"/>
  <c r="B16" i="2563"/>
  <c r="H15" i="2563"/>
  <c r="C15" i="2563"/>
  <c r="H14" i="2563"/>
  <c r="C14" i="2563"/>
  <c r="H13" i="2563"/>
  <c r="C13" i="2563"/>
  <c r="H12" i="2563"/>
  <c r="C12" i="2563"/>
  <c r="H11" i="2563"/>
  <c r="C11" i="2563"/>
  <c r="H10" i="2563"/>
  <c r="C10" i="2563"/>
  <c r="H9" i="2563"/>
  <c r="C9" i="2563"/>
  <c r="H8" i="2563"/>
  <c r="C8" i="2563"/>
  <c r="N7" i="2563"/>
  <c r="H7" i="2563"/>
  <c r="C7" i="2563"/>
  <c r="N6" i="2563"/>
  <c r="H6" i="2563"/>
  <c r="B6" i="2563"/>
  <c r="N5" i="2563"/>
  <c r="H5" i="2563"/>
  <c r="B5" i="2563"/>
  <c r="N4" i="2563"/>
  <c r="H4" i="2563"/>
  <c r="N3" i="2563"/>
  <c r="H3" i="2563"/>
  <c r="N2" i="2563"/>
  <c r="H2" i="2563"/>
  <c r="H51" i="2562" l="1"/>
  <c r="H50" i="2562"/>
  <c r="H49" i="2562"/>
  <c r="H48" i="2562"/>
  <c r="H47" i="2562"/>
  <c r="H46" i="2562"/>
  <c r="H45" i="2562"/>
  <c r="H44" i="2562"/>
  <c r="H43" i="2562"/>
  <c r="H42" i="2562"/>
  <c r="H41" i="2562"/>
  <c r="H40" i="2562"/>
  <c r="H39" i="2562"/>
  <c r="H38" i="2562"/>
  <c r="H37" i="2562"/>
  <c r="H36" i="2562"/>
  <c r="H35" i="2562"/>
  <c r="H34" i="2562"/>
  <c r="H33" i="2562"/>
  <c r="H32" i="2562"/>
  <c r="H19" i="2562"/>
  <c r="H31" i="2562"/>
  <c r="H10" i="2562"/>
  <c r="H30" i="2562"/>
  <c r="H29" i="2562"/>
  <c r="H13" i="2562"/>
  <c r="H28" i="2562"/>
  <c r="H18" i="2562"/>
  <c r="H17" i="2562"/>
  <c r="C23" i="2562"/>
  <c r="H27" i="2562"/>
  <c r="C22" i="2562"/>
  <c r="H15" i="2562"/>
  <c r="B21" i="2562"/>
  <c r="H26" i="2562"/>
  <c r="H25" i="2562"/>
  <c r="C19" i="2562"/>
  <c r="H24" i="2562"/>
  <c r="C18" i="2562"/>
  <c r="H14" i="2562"/>
  <c r="C17" i="2562"/>
  <c r="H23" i="2562"/>
  <c r="B16" i="2562"/>
  <c r="B20" i="2562" s="1"/>
  <c r="H22" i="2562"/>
  <c r="C15" i="2562"/>
  <c r="H21" i="2562"/>
  <c r="C14" i="2562"/>
  <c r="H16" i="2562"/>
  <c r="C13" i="2562"/>
  <c r="H20" i="2562"/>
  <c r="C12" i="2562"/>
  <c r="H5" i="2562"/>
  <c r="C11" i="2562"/>
  <c r="H12" i="2562"/>
  <c r="C10" i="2562"/>
  <c r="H11" i="2562"/>
  <c r="C9" i="2562"/>
  <c r="H8" i="2562"/>
  <c r="C8" i="2562"/>
  <c r="N7" i="2562"/>
  <c r="H7" i="2562"/>
  <c r="C7" i="2562"/>
  <c r="N6" i="2562"/>
  <c r="H3" i="2562"/>
  <c r="B6" i="2562"/>
  <c r="N5" i="2562"/>
  <c r="H6" i="2562"/>
  <c r="B5" i="2562"/>
  <c r="N4" i="2562"/>
  <c r="H2" i="2562"/>
  <c r="N3" i="2562"/>
  <c r="H9" i="2562"/>
  <c r="N2" i="2562"/>
  <c r="H4" i="2562"/>
  <c r="H51" i="2561"/>
  <c r="H50" i="2561"/>
  <c r="H49" i="2561"/>
  <c r="H48" i="2561"/>
  <c r="H47" i="2561"/>
  <c r="H46" i="2561"/>
  <c r="H45" i="2561"/>
  <c r="H44" i="2561"/>
  <c r="H43" i="2561"/>
  <c r="H42" i="2561"/>
  <c r="H41" i="2561"/>
  <c r="H40" i="2561"/>
  <c r="H39" i="2561"/>
  <c r="H38" i="2561"/>
  <c r="H37" i="2561"/>
  <c r="H36" i="2561"/>
  <c r="H35" i="2561"/>
  <c r="H34" i="2561"/>
  <c r="H33" i="2561"/>
  <c r="H32" i="2561"/>
  <c r="H31" i="2561"/>
  <c r="H30" i="2561"/>
  <c r="H10" i="2561"/>
  <c r="H29" i="2561"/>
  <c r="H28" i="2561"/>
  <c r="H13" i="2561"/>
  <c r="H27" i="2561"/>
  <c r="H26" i="2561"/>
  <c r="H18" i="2561"/>
  <c r="C23" i="2561"/>
  <c r="H25" i="2561"/>
  <c r="C22" i="2561"/>
  <c r="H17" i="2561"/>
  <c r="B21" i="2561"/>
  <c r="H24" i="2561"/>
  <c r="H23" i="2561"/>
  <c r="C19" i="2561"/>
  <c r="H12" i="2561"/>
  <c r="C18" i="2561"/>
  <c r="H11" i="2561"/>
  <c r="C17" i="2561"/>
  <c r="H22" i="2561"/>
  <c r="B16" i="2561"/>
  <c r="B20" i="2561" s="1"/>
  <c r="H21" i="2561"/>
  <c r="C15" i="2561"/>
  <c r="H16" i="2561"/>
  <c r="C14" i="2561"/>
  <c r="H20" i="2561"/>
  <c r="C13" i="2561"/>
  <c r="H19" i="2561"/>
  <c r="C12" i="2561"/>
  <c r="H3" i="2561"/>
  <c r="C11" i="2561"/>
  <c r="H15" i="2561"/>
  <c r="C10" i="2561"/>
  <c r="H14" i="2561"/>
  <c r="C9" i="2561"/>
  <c r="H9" i="2561"/>
  <c r="C8" i="2561"/>
  <c r="N7" i="2561"/>
  <c r="H7" i="2561"/>
  <c r="C7" i="2561"/>
  <c r="N6" i="2561"/>
  <c r="H2" i="2561"/>
  <c r="B6" i="2561"/>
  <c r="N5" i="2561"/>
  <c r="H8" i="2561"/>
  <c r="B5" i="2561"/>
  <c r="N4" i="2561"/>
  <c r="H4" i="2561"/>
  <c r="N3" i="2561"/>
  <c r="H6" i="2561"/>
  <c r="N2" i="2561"/>
  <c r="H5" i="2561"/>
  <c r="C16" i="2562" l="1"/>
  <c r="C16" i="2561"/>
  <c r="H51" i="2560" l="1"/>
  <c r="H50" i="2560"/>
  <c r="H49" i="2560"/>
  <c r="H48" i="2560"/>
  <c r="H47" i="2560"/>
  <c r="H46" i="2560"/>
  <c r="H45" i="2560"/>
  <c r="H44" i="2560"/>
  <c r="H43" i="2560"/>
  <c r="H42" i="2560"/>
  <c r="H41" i="2560"/>
  <c r="H40" i="2560"/>
  <c r="H39" i="2560"/>
  <c r="H38" i="2560"/>
  <c r="H37" i="2560"/>
  <c r="H36" i="2560"/>
  <c r="H35" i="2560"/>
  <c r="H34" i="2560"/>
  <c r="H33" i="2560"/>
  <c r="H32" i="2560"/>
  <c r="H31" i="2560"/>
  <c r="H30" i="2560"/>
  <c r="H29" i="2560"/>
  <c r="H28" i="2560"/>
  <c r="H27" i="2560"/>
  <c r="H11" i="2560"/>
  <c r="H26" i="2560"/>
  <c r="H25" i="2560"/>
  <c r="H24" i="2560"/>
  <c r="C23" i="2560"/>
  <c r="H23" i="2560"/>
  <c r="C22" i="2560"/>
  <c r="H22" i="2560"/>
  <c r="B21" i="2560"/>
  <c r="H21" i="2560"/>
  <c r="H20" i="2560"/>
  <c r="C19" i="2560"/>
  <c r="H8" i="2560"/>
  <c r="C18" i="2560"/>
  <c r="H19" i="2560"/>
  <c r="C17" i="2560"/>
  <c r="H18" i="2560"/>
  <c r="B16" i="2560"/>
  <c r="B20" i="2560" s="1"/>
  <c r="H17" i="2560"/>
  <c r="C15" i="2560"/>
  <c r="H16" i="2560"/>
  <c r="C14" i="2560"/>
  <c r="H15" i="2560"/>
  <c r="C13" i="2560"/>
  <c r="H14" i="2560"/>
  <c r="C12" i="2560"/>
  <c r="H5" i="2560"/>
  <c r="C11" i="2560"/>
  <c r="H13" i="2560"/>
  <c r="C10" i="2560"/>
  <c r="H12" i="2560"/>
  <c r="C9" i="2560"/>
  <c r="H10" i="2560"/>
  <c r="C8" i="2560"/>
  <c r="N7" i="2560"/>
  <c r="H6" i="2560"/>
  <c r="C7" i="2560"/>
  <c r="N6" i="2560"/>
  <c r="H3" i="2560"/>
  <c r="B6" i="2560"/>
  <c r="N5" i="2560"/>
  <c r="H7" i="2560"/>
  <c r="B5" i="2560"/>
  <c r="N4" i="2560"/>
  <c r="H9" i="2560"/>
  <c r="N3" i="2560"/>
  <c r="H4" i="2560"/>
  <c r="N2" i="2560"/>
  <c r="H2" i="2560"/>
  <c r="C16" i="2560" l="1"/>
  <c r="H51" i="2559" l="1"/>
  <c r="H50" i="2559"/>
  <c r="H49" i="2559"/>
  <c r="H48" i="2559"/>
  <c r="H47" i="2559"/>
  <c r="H46" i="2559"/>
  <c r="H45" i="2559"/>
  <c r="H44" i="2559"/>
  <c r="H43" i="2559"/>
  <c r="H42" i="2559"/>
  <c r="H41" i="2559"/>
  <c r="H40" i="2559"/>
  <c r="H39" i="2559"/>
  <c r="H38" i="2559"/>
  <c r="H37" i="2559"/>
  <c r="H36" i="2559"/>
  <c r="H35" i="2559"/>
  <c r="H34" i="2559"/>
  <c r="H33" i="2559"/>
  <c r="H32" i="2559"/>
  <c r="H31" i="2559"/>
  <c r="H30" i="2559"/>
  <c r="H13" i="2559"/>
  <c r="H29" i="2559"/>
  <c r="H28" i="2559"/>
  <c r="H15" i="2559"/>
  <c r="H27" i="2559"/>
  <c r="H26" i="2559"/>
  <c r="H9" i="2559"/>
  <c r="C23" i="2559"/>
  <c r="H25" i="2559"/>
  <c r="C22" i="2559"/>
  <c r="H12" i="2559"/>
  <c r="B21" i="2559"/>
  <c r="H24" i="2559"/>
  <c r="H23" i="2559"/>
  <c r="C19" i="2559"/>
  <c r="H22" i="2559"/>
  <c r="C18" i="2559"/>
  <c r="H14" i="2559"/>
  <c r="C17" i="2559"/>
  <c r="H21" i="2559"/>
  <c r="B16" i="2559"/>
  <c r="B20" i="2559" s="1"/>
  <c r="H20" i="2559"/>
  <c r="C15" i="2559"/>
  <c r="H19" i="2559"/>
  <c r="C14" i="2559"/>
  <c r="H18" i="2559"/>
  <c r="C13" i="2559"/>
  <c r="H17" i="2559"/>
  <c r="C12" i="2559"/>
  <c r="H4" i="2559"/>
  <c r="C11" i="2559"/>
  <c r="H16" i="2559"/>
  <c r="C10" i="2559"/>
  <c r="H11" i="2559"/>
  <c r="C9" i="2559"/>
  <c r="H10" i="2559"/>
  <c r="C8" i="2559"/>
  <c r="N7" i="2559"/>
  <c r="H7" i="2559"/>
  <c r="C7" i="2559"/>
  <c r="N6" i="2559"/>
  <c r="H3" i="2559"/>
  <c r="B6" i="2559"/>
  <c r="N5" i="2559"/>
  <c r="H6" i="2559"/>
  <c r="B5" i="2559"/>
  <c r="N4" i="2559"/>
  <c r="H2" i="2559"/>
  <c r="N3" i="2559"/>
  <c r="H8" i="2559"/>
  <c r="N2" i="2559"/>
  <c r="H5" i="2559"/>
  <c r="H51" i="2558"/>
  <c r="H50" i="2558"/>
  <c r="H49" i="2558"/>
  <c r="H48" i="2558"/>
  <c r="H47" i="2558"/>
  <c r="H46" i="2558"/>
  <c r="H45" i="2558"/>
  <c r="H44" i="2558"/>
  <c r="H43" i="2558"/>
  <c r="H42" i="2558"/>
  <c r="H41" i="2558"/>
  <c r="H40" i="2558"/>
  <c r="H39" i="2558"/>
  <c r="H38" i="2558"/>
  <c r="H37" i="2558"/>
  <c r="H36" i="2558"/>
  <c r="H35" i="2558"/>
  <c r="H34" i="2558"/>
  <c r="H33" i="2558"/>
  <c r="H20" i="2558"/>
  <c r="H14" i="2558"/>
  <c r="H32" i="2558"/>
  <c r="H10" i="2558"/>
  <c r="H24" i="2558"/>
  <c r="H23" i="2558"/>
  <c r="H11" i="2558"/>
  <c r="H19" i="2558"/>
  <c r="H22" i="2558"/>
  <c r="H13" i="2558"/>
  <c r="C23" i="2558"/>
  <c r="H31" i="2558"/>
  <c r="C22" i="2558"/>
  <c r="H16" i="2558"/>
  <c r="B21" i="2558"/>
  <c r="H21" i="2558"/>
  <c r="H30" i="2558"/>
  <c r="C19" i="2558"/>
  <c r="H18" i="2558"/>
  <c r="C18" i="2558"/>
  <c r="H17" i="2558"/>
  <c r="C17" i="2558"/>
  <c r="H29" i="2558"/>
  <c r="B16" i="2558"/>
  <c r="B20" i="2558" s="1"/>
  <c r="H28" i="2558"/>
  <c r="C15" i="2558"/>
  <c r="H27" i="2558"/>
  <c r="C14" i="2558"/>
  <c r="H26" i="2558"/>
  <c r="C13" i="2558"/>
  <c r="H25" i="2558"/>
  <c r="C12" i="2558"/>
  <c r="H5" i="2558"/>
  <c r="C11" i="2558"/>
  <c r="H15" i="2558"/>
  <c r="C10" i="2558"/>
  <c r="H9" i="2558"/>
  <c r="C9" i="2558"/>
  <c r="H8" i="2558"/>
  <c r="C8" i="2558"/>
  <c r="N7" i="2558"/>
  <c r="H6" i="2558"/>
  <c r="C7" i="2558"/>
  <c r="N6" i="2558"/>
  <c r="H2" i="2558"/>
  <c r="B6" i="2558"/>
  <c r="N5" i="2558"/>
  <c r="H7" i="2558"/>
  <c r="B5" i="2558"/>
  <c r="N4" i="2558"/>
  <c r="H3" i="2558"/>
  <c r="N3" i="2558"/>
  <c r="H12" i="2558"/>
  <c r="N2" i="2558"/>
  <c r="H4" i="2558"/>
  <c r="C16" i="2559" l="1"/>
  <c r="C16" i="2558"/>
  <c r="H51" i="2557" l="1"/>
  <c r="H50" i="2557"/>
  <c r="H49" i="2557"/>
  <c r="H48" i="2557"/>
  <c r="H47" i="2557"/>
  <c r="H46" i="2557"/>
  <c r="H45" i="2557"/>
  <c r="H44" i="2557"/>
  <c r="H43" i="2557"/>
  <c r="H42" i="2557"/>
  <c r="H41" i="2557"/>
  <c r="H40" i="2557"/>
  <c r="H39" i="2557"/>
  <c r="H38" i="2557"/>
  <c r="H37" i="2557"/>
  <c r="H36" i="2557"/>
  <c r="H35" i="2557"/>
  <c r="H34" i="2557"/>
  <c r="H33" i="2557"/>
  <c r="H32" i="2557"/>
  <c r="H31" i="2557"/>
  <c r="H30" i="2557"/>
  <c r="H29" i="2557"/>
  <c r="H28" i="2557"/>
  <c r="H27" i="2557"/>
  <c r="H26" i="2557"/>
  <c r="H25" i="2557"/>
  <c r="H24" i="2557"/>
  <c r="H23" i="2557"/>
  <c r="C23" i="2557"/>
  <c r="H22" i="2557"/>
  <c r="C22" i="2557"/>
  <c r="H21" i="2557"/>
  <c r="B21" i="2557"/>
  <c r="H20" i="2557"/>
  <c r="H19" i="2557"/>
  <c r="C19" i="2557"/>
  <c r="H18" i="2557"/>
  <c r="C18" i="2557"/>
  <c r="H17" i="2557"/>
  <c r="C17" i="2557"/>
  <c r="H16" i="2557"/>
  <c r="B16" i="2557"/>
  <c r="B20" i="2557" s="1"/>
  <c r="H15" i="2557"/>
  <c r="C15" i="2557"/>
  <c r="H14" i="2557"/>
  <c r="C14" i="2557"/>
  <c r="H13" i="2557"/>
  <c r="C13" i="2557"/>
  <c r="H12" i="2557"/>
  <c r="C12" i="2557"/>
  <c r="H11" i="2557"/>
  <c r="C11" i="2557"/>
  <c r="H10" i="2557"/>
  <c r="C10" i="2557"/>
  <c r="H9" i="2557"/>
  <c r="C9" i="2557"/>
  <c r="H8" i="2557"/>
  <c r="C8" i="2557"/>
  <c r="N7" i="2557"/>
  <c r="H7" i="2557"/>
  <c r="C7" i="2557"/>
  <c r="N6" i="2557"/>
  <c r="H6" i="2557"/>
  <c r="B6" i="2557"/>
  <c r="N5" i="2557"/>
  <c r="H5" i="2557"/>
  <c r="B5" i="2557"/>
  <c r="N4" i="2557"/>
  <c r="H4" i="2557"/>
  <c r="N3" i="2557"/>
  <c r="H3" i="2557"/>
  <c r="N2" i="2557"/>
  <c r="H2" i="2557"/>
  <c r="H51" i="2556"/>
  <c r="H50" i="2556"/>
  <c r="H49" i="2556"/>
  <c r="H48" i="2556"/>
  <c r="H47" i="2556"/>
  <c r="H46" i="2556"/>
  <c r="H45" i="2556"/>
  <c r="H44" i="2556"/>
  <c r="H43" i="2556"/>
  <c r="H42" i="2556"/>
  <c r="H41" i="2556"/>
  <c r="H40" i="2556"/>
  <c r="H39" i="2556"/>
  <c r="H38" i="2556"/>
  <c r="H37" i="2556"/>
  <c r="H36" i="2556"/>
  <c r="H35" i="2556"/>
  <c r="H34" i="2556"/>
  <c r="H33" i="2556"/>
  <c r="H32" i="2556"/>
  <c r="H31" i="2556"/>
  <c r="H30" i="2556"/>
  <c r="H29" i="2556"/>
  <c r="H28" i="2556"/>
  <c r="H27" i="2556"/>
  <c r="H26" i="2556"/>
  <c r="H25" i="2556"/>
  <c r="H24" i="2556"/>
  <c r="H23" i="2556"/>
  <c r="C23" i="2556"/>
  <c r="H22" i="2556"/>
  <c r="C22" i="2556"/>
  <c r="H21" i="2556"/>
  <c r="B21" i="2556"/>
  <c r="H20" i="2556"/>
  <c r="H19" i="2556"/>
  <c r="C19" i="2556"/>
  <c r="H18" i="2556"/>
  <c r="C18" i="2556"/>
  <c r="H17" i="2556"/>
  <c r="C17" i="2556"/>
  <c r="H16" i="2556"/>
  <c r="B16" i="2556"/>
  <c r="B20" i="2556" s="1"/>
  <c r="H15" i="2556"/>
  <c r="C15" i="2556"/>
  <c r="H14" i="2556"/>
  <c r="C14" i="2556"/>
  <c r="H13" i="2556"/>
  <c r="C13" i="2556"/>
  <c r="H12" i="2556"/>
  <c r="C12" i="2556"/>
  <c r="H11" i="2556"/>
  <c r="C11" i="2556"/>
  <c r="H10" i="2556"/>
  <c r="C10" i="2556"/>
  <c r="H9" i="2556"/>
  <c r="C9" i="2556"/>
  <c r="H8" i="2556"/>
  <c r="C8" i="2556"/>
  <c r="N7" i="2556"/>
  <c r="H7" i="2556"/>
  <c r="C7" i="2556"/>
  <c r="N6" i="2556"/>
  <c r="H6" i="2556"/>
  <c r="B6" i="2556"/>
  <c r="N5" i="2556"/>
  <c r="H5" i="2556"/>
  <c r="B5" i="2556"/>
  <c r="N4" i="2556"/>
  <c r="H4" i="2556"/>
  <c r="N3" i="2556"/>
  <c r="H3" i="2556"/>
  <c r="N2" i="2556"/>
  <c r="H2" i="2556"/>
  <c r="H51" i="2555"/>
  <c r="H50" i="2555"/>
  <c r="H49" i="2555"/>
  <c r="H48" i="2555"/>
  <c r="H47" i="2555"/>
  <c r="H26" i="2555"/>
  <c r="H46" i="2555"/>
  <c r="H45" i="2555"/>
  <c r="H44" i="2555"/>
  <c r="H43" i="2555"/>
  <c r="H42" i="2555"/>
  <c r="H41" i="2555"/>
  <c r="H40" i="2555"/>
  <c r="H39" i="2555"/>
  <c r="H38" i="2555"/>
  <c r="H37" i="2555"/>
  <c r="H36" i="2555"/>
  <c r="H35" i="2555"/>
  <c r="H34" i="2555"/>
  <c r="H18" i="2555"/>
  <c r="H25" i="2555"/>
  <c r="H24" i="2555"/>
  <c r="H9" i="2555"/>
  <c r="H33" i="2555"/>
  <c r="H23" i="2555"/>
  <c r="H13" i="2555"/>
  <c r="H22" i="2555"/>
  <c r="H32" i="2555"/>
  <c r="H14" i="2555"/>
  <c r="C23" i="2555"/>
  <c r="H31" i="2555"/>
  <c r="C22" i="2555"/>
  <c r="H16" i="2555"/>
  <c r="B21" i="2555"/>
  <c r="H30" i="2555"/>
  <c r="H29" i="2555"/>
  <c r="C19" i="2555"/>
  <c r="H21" i="2555"/>
  <c r="C18" i="2555"/>
  <c r="H20" i="2555"/>
  <c r="C17" i="2555"/>
  <c r="H15" i="2555"/>
  <c r="B16" i="2555"/>
  <c r="B20" i="2555" s="1"/>
  <c r="H28" i="2555"/>
  <c r="C15" i="2555"/>
  <c r="H19" i="2555"/>
  <c r="C14" i="2555"/>
  <c r="H27" i="2555"/>
  <c r="C13" i="2555"/>
  <c r="H17" i="2555"/>
  <c r="C12" i="2555"/>
  <c r="H4" i="2555"/>
  <c r="C11" i="2555"/>
  <c r="H12" i="2555"/>
  <c r="C10" i="2555"/>
  <c r="H11" i="2555"/>
  <c r="C9" i="2555"/>
  <c r="H8" i="2555"/>
  <c r="C8" i="2555"/>
  <c r="N7" i="2555"/>
  <c r="H6" i="2555"/>
  <c r="C7" i="2555"/>
  <c r="N6" i="2555"/>
  <c r="H2" i="2555"/>
  <c r="B6" i="2555"/>
  <c r="N5" i="2555"/>
  <c r="H7" i="2555"/>
  <c r="B5" i="2555"/>
  <c r="N4" i="2555"/>
  <c r="H3" i="2555"/>
  <c r="N3" i="2555"/>
  <c r="H10" i="2555"/>
  <c r="N2" i="2555"/>
  <c r="H5" i="2555"/>
  <c r="C16" i="2556" l="1"/>
  <c r="C16" i="2557"/>
  <c r="C16" i="2555"/>
  <c r="D2" i="2416" l="1"/>
  <c r="D5" i="2416" l="1"/>
  <c r="D10" i="2416"/>
  <c r="D51" i="2416"/>
  <c r="D50" i="2416"/>
  <c r="D49" i="2416"/>
  <c r="D48" i="2416"/>
  <c r="D47" i="2416"/>
  <c r="D30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29" i="2416"/>
  <c r="D21" i="2416"/>
  <c r="D18" i="2416"/>
  <c r="D31" i="2416"/>
  <c r="D9" i="2416"/>
  <c r="D28" i="2416"/>
  <c r="D25" i="2416"/>
  <c r="D12" i="2416"/>
  <c r="D20" i="2416"/>
  <c r="D22" i="2416"/>
  <c r="D13" i="2416"/>
  <c r="D34" i="2416"/>
  <c r="D16" i="2416"/>
  <c r="D26" i="2416"/>
  <c r="D33" i="2416"/>
  <c r="D17" i="2416"/>
  <c r="D15" i="2416"/>
  <c r="D24" i="2416"/>
  <c r="D32" i="2416"/>
  <c r="D23" i="2416"/>
  <c r="D27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<sst xmlns="http://schemas.openxmlformats.org/spreadsheetml/2006/main" count="2321" uniqueCount="230">
  <si>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</si>
  <si>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</si>
  <si>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</si>
  <si>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</si>
  <si>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</si>
  <si>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</si>
  <si>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</si>
  <si>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</si>
  <si>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</si>
  <si>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</si>
  <si>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</si>
  <si>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</si>
  <si>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</si>
  <si>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</si>
  <si>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</si>
  <si>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</si>
  <si>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</si>
  <si>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</si>
  <si>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</si>
  <si>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</si>
  <si>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</si>
  <si>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</si>
  <si>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</si>
  <si>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</si>
  <si>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</si>
  <si>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</si>
  <si>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</si>
  <si>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</si>
  <si>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</si>
  <si>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</si>
  <si>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</si>
  <si>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</si>
  <si>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</si>
  <si>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</si>
  <si>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</si>
  <si>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</si>
  <si>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</si>
  <si>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</si>
  <si>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</si>
  <si>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</si>
  <si>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</si>
  <si>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</si>
  <si>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</si>
  <si>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</si>
  <si>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</si>
  <si>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</si>
  <si>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</si>
  <si>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</si>
  <si>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</si>
  <si>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</si>
  <si>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</si>
  <si>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</si>
  <si>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</si>
  <si>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</si>
  <si>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</si>
  <si>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</si>
  <si>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</si>
  <si>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</si>
  <si>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</si>
  <si>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</si>
  <si>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</si>
  <si>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</si>
  <si>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</si>
  <si>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</si>
  <si>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</si>
  <si>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</si>
  <si>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</si>
  <si>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</si>
  <si>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</si>
  <si>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</si>
  <si>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</si>
  <si>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</si>
  <si>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</si>
  <si>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</si>
  <si>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</si>
  <si>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</si>
  <si>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</si>
  <si>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</si>
  <si>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</si>
  <si>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</si>
  <si>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</si>
  <si>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</si>
  <si>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</si>
  <si>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</si>
  <si>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</si>
  <si>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</si>
  <si>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</si>
  <si>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</si>
  <si>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</si>
  <si>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</si>
  <si>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</si>
  <si>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</si>
  <si>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</si>
  <si>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</si>
  <si>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</si>
  <si>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</si>
  <si>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</si>
  <si>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</si>
  <si>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</si>
  <si>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</si>
  <si>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</si>
  <si>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</si>
  <si>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</si>
  <si>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</si>
  <si>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</si>
  <si>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</si>
  <si>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</si>
  <si>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</si>
  <si>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</si>
  <si>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</si>
  <si>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</si>
  <si>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</si>
  <si>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</si>
  <si>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</si>
  <si>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</si>
  <si>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</si>
  <si>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</si>
  <si>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</si>
  <si>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</si>
  <si>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</si>
  <si>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</si>
  <si>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</si>
  <si>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</si>
  <si>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</si>
  <si>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</si>
  <si>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</si>
  <si>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</si>
  <si>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</si>
  <si>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</si>
  <si>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</si>
  <si>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</si>
  <si>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</si>
  <si>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</si>
  <si>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</si>
  <si>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</si>
  <si>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</si>
  <si>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</si>
  <si>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</si>
  <si>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</si>
  <si>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</si>
  <si>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</si>
  <si>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</si>
  <si>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</si>
  <si>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</si>
  <si>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</si>
  <si>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</si>
  <si>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</si>
  <si>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</si>
  <si>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</si>
  <si>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</si>
  <si>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</si>
  <si>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</si>
  <si>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</si>
  <si>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</si>
  <si>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</si>
  <si>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</si>
  <si>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</si>
  <si>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</si>
  <si>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</si>
  <si>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</si>
  <si>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</si>
  <si>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</si>
  <si>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</si>
  <si>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</si>
  <si>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</si>
  <si>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</si>
  <si>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</si>
  <si>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</si>
  <si>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</si>
  <si>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</si>
  <si>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</si>
  <si>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</si>
  <si>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</si>
  <si>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</si>
  <si>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</si>
  <si>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</si>
  <si>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</si>
  <si>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</si>
  <si>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</si>
  <si>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</si>
  <si>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</si>
  <si>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</si>
  <si>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</si>
  <si>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</si>
  <si>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</si>
  <si>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</si>
  <si>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</si>
  <si>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</si>
  <si>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</si>
  <si>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</si>
  <si>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</si>
  <si>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</si>
  <si>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</si>
  <si>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</si>
  <si>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</si>
  <si>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</si>
  <si>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</si>
  <si>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</si>
  <si>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</si>
  <si>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</si>
  <si>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</si>
  <si>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</si>
  <si>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</si>
  <si>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</si>
  <si>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</si>
  <si>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</si>
  <si>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</si>
  <si>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</si>
  <si>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</si>
  <si>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</si>
  <si>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</si>
  <si>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</si>
  <si>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</si>
  <si>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</si>
  <si>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</si>
  <si>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</si>
  <si>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</si>
  <si>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</si>
  <si>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</si>
  <si>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</si>
  <si>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</si>
  <si>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</si>
  <si>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</si>
  <si>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</si>
  <si>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</si>
  <si>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</si>
  <si>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</si>
  <si>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</si>
  <si>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</si>
  <si>
    <t>2019-01-16.xlsm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</si>
</sst>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だいち!$K$2:$K$125</c:f>
              <c:numCache>
                <c:formatCode>\+0;\-0;\±0</c:formatCode>
                <c:ptCount val="12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57-4A9D-9556-6343336AE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653.78151260504205</c:v>
                </c:pt>
                <c:pt idx="1">
                  <c:v>1295.575221238938</c:v>
                </c:pt>
                <c:pt idx="2">
                  <c:v>1116.504854368932</c:v>
                </c:pt>
                <c:pt idx="3">
                  <c:v>1394.4444444444443</c:v>
                </c:pt>
                <c:pt idx="4">
                  <c:v>171.23287671232876</c:v>
                </c:pt>
                <c:pt idx="5">
                  <c:v>-377.35849056603774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7-47CC-813B-629AB0C21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38-4D6A-B98E-9116AA1F8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55-40C2-8589-026716296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BE-45EF-8970-251A04B06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06-4B3C-BCB9-07DF16F04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りくと!$K$2:$K$87</c:f>
              <c:numCache>
                <c:formatCode>\+0;\-0;\±0</c:formatCode>
                <c:ptCount val="86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4-4D0A-AEC1-244BA10CE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-93.975903614457835</c:v>
                </c:pt>
                <c:pt idx="1">
                  <c:v>-2065.8227848101264</c:v>
                </c:pt>
                <c:pt idx="2">
                  <c:v>1719.7368421052631</c:v>
                </c:pt>
                <c:pt idx="3">
                  <c:v>-2104.4776119402986</c:v>
                </c:pt>
                <c:pt idx="4">
                  <c:v>-2888.8888888888887</c:v>
                </c:pt>
                <c:pt idx="5">
                  <c:v>-2697.560975609756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0-4F9A-A208-B7BC6E7CB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3-451F-A788-F43E8E0CE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19-4AFC-82CB-981B3DFDA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E-4BF0-93F4-9D168E233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0-49B2-A568-79B026C6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65-402E-849B-AABB0FDB2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-1707.5</c:v>
                </c:pt>
                <c:pt idx="1">
                  <c:v>-2537.8378378378379</c:v>
                </c:pt>
                <c:pt idx="2">
                  <c:v>-1245.1612903225807</c:v>
                </c:pt>
                <c:pt idx="3">
                  <c:v>3148.2758620689656</c:v>
                </c:pt>
                <c:pt idx="4">
                  <c:v>-986.36363636363637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24-4826-BF08-7D3DF090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ただ!$K$2:$K$51</c:f>
              <c:numCache>
                <c:formatCode>\+0;\-0;\±0</c:formatCode>
                <c:ptCount val="5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0-4DB5-9281-14DC77C7C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3555.3191489361702</c:v>
                </c:pt>
                <c:pt idx="1">
                  <c:v>-572.72727272727275</c:v>
                </c:pt>
                <c:pt idx="2">
                  <c:v>-340</c:v>
                </c:pt>
                <c:pt idx="3">
                  <c:v>-1340.5405405405406</c:v>
                </c:pt>
                <c:pt idx="4">
                  <c:v>1767.8571428571429</c:v>
                </c:pt>
                <c:pt idx="5">
                  <c:v>266.66666666666669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1F-4DE0-9402-164DBE8E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E8-4DF8-AFC8-FC2A07936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33-4F1F-8CEB-599E2136C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れんたろう!$K$2:$K$46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5-456A-B45B-FF76B968C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-3455</c:v>
                </c:pt>
                <c:pt idx="1">
                  <c:v>-412.5</c:v>
                </c:pt>
                <c:pt idx="2">
                  <c:v>-2213.5135135135133</c:v>
                </c:pt>
                <c:pt idx="3">
                  <c:v>-144.11764705882354</c:v>
                </c:pt>
                <c:pt idx="4">
                  <c:v>-2213.3333333333335</c:v>
                </c:pt>
                <c:pt idx="5">
                  <c:v>4465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074-B490-EBE25E722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F-40A6-85F2-328176F5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45-4928-A13B-A1E3EBCA2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まっつん!$K$2:$K$8</c:f>
              <c:numCache>
                <c:formatCode>\+0;\-0;\±0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9-48D2-A3D2-428F985C4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-550</c:v>
                </c:pt>
                <c:pt idx="1">
                  <c:v>4833.333333333333</c:v>
                </c:pt>
                <c:pt idx="2">
                  <c:v>-2575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76-41E7-AA02-7AFAC6876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C7FE24-F681-4319-A6C0-504264CAC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1DD7E8-08D1-40B7-9EDF-87F58F053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21F785-24F4-471E-893D-D1B007ECE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C16F4E-AF68-4FF6-961A-52B9C3D5C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81BBCB-ABDB-48B5-A6E0-F830FD415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E5509D-CC89-488C-BC7A-1A4A15679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3F019B-31AB-4FB3-97E2-09827C345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31B041-8A4C-413B-8D6C-BA265FC33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688DB2-708F-4A91-93F8-962291ADD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A6C09C-5818-4288-9614-F4E46D9C1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6B0A66-0FE8-4DEB-8B0D-7453DBB27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A03EE3-D7CE-4A08-B64D-7A7EC30CF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A3140F-A44B-425C-81EE-026C4022F6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5359FF-8F8A-43A4-BD54-19EC374FE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7D90AF-0934-4AE4-BE98-F61BCF0BB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E73CE2-B4BF-40D2-8B00-EB1617CB6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E2929D-A6DD-45F9-B6C8-1C96549D3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1F5AC3-8BDF-4E38-AF63-B5AD76E15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6CA066-F7D5-4817-989B-B7EDE9412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BF41E4-3F3B-493E-8BE6-CEAAD2D7E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BE6344-7EA3-4BD8-A43D-F06A7FA49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85589D-B492-4217-BA53-E8FF57BB5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2193E1-C8B4-4713-AA3A-9B07D46CA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4A774A-C24A-4FB8-B714-A93C82BC29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78" t="s">
        <v>6</v>
      </c>
      <c r="C1" s="79"/>
      <c r="D1" s="78" t="s">
        <v>7</v>
      </c>
      <c r="E1" s="79"/>
      <c r="F1" s="78" t="s">
        <v>16</v>
      </c>
      <c r="G1" s="79"/>
      <c r="H1" s="78" t="s">
        <v>15</v>
      </c>
      <c r="I1" s="79"/>
      <c r="J1" s="78" t="s">
        <v>17</v>
      </c>
      <c r="K1" s="79"/>
      <c r="L1" s="78" t="s">
        <v>18</v>
      </c>
      <c r="M1" s="79"/>
      <c r="N1" s="78" t="s">
        <v>5</v>
      </c>
      <c r="O1" s="79"/>
      <c r="P1" s="78" t="s">
        <v>19</v>
      </c>
      <c r="Q1" s="79"/>
      <c r="R1" s="78" t="s">
        <v>20</v>
      </c>
      <c r="S1" s="79"/>
      <c r="T1" s="78" t="s">
        <v>209</v>
      </c>
      <c r="U1" s="79"/>
      <c r="V1" s="78" t="s">
        <v>131</v>
      </c>
      <c r="W1" s="79"/>
      <c r="X1" s="78" t="s">
        <v>126</v>
      </c>
      <c r="Y1" s="79"/>
      <c r="Z1" s="78" t="s">
        <v>134</v>
      </c>
      <c r="AA1" s="79"/>
      <c r="AB1" s="78" t="s">
        <v>135</v>
      </c>
      <c r="AC1" s="79"/>
      <c r="AD1" s="78" t="s">
        <v>197</v>
      </c>
      <c r="AE1" s="79"/>
    </row>
    <row r="2" spans="1:31" x14ac:dyDescent="0.4">
      <c r="A2" s="8">
        <v>1</v>
      </c>
      <c r="B2" s="9" t="s">
        <v>137</v>
      </c>
      <c r="C2" s="11">
        <v>493.2000000000001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11440.372670807454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0.48837209302325579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</row>
    <row r="3" spans="1:31" x14ac:dyDescent="0.4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142</v>
      </c>
      <c r="K3" s="16">
        <v>0.35015772870662459</v>
      </c>
      <c r="L3" s="1" t="s">
        <v>156</v>
      </c>
      <c r="M3" s="16">
        <v>0.13414634146341464</v>
      </c>
      <c r="N3" s="1" t="s">
        <v>160</v>
      </c>
      <c r="O3" s="2">
        <v>11053.191489361701</v>
      </c>
      <c r="P3" s="1" t="s">
        <v>219</v>
      </c>
      <c r="Q3" s="2">
        <v>-6914.2857142857147</v>
      </c>
      <c r="R3" s="1" t="s">
        <v>214</v>
      </c>
      <c r="S3" s="18">
        <v>0</v>
      </c>
      <c r="T3" s="1" t="s">
        <v>137</v>
      </c>
      <c r="U3" s="18">
        <v>0.21951219512195122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0.69166666666666665</v>
      </c>
      <c r="AB3" s="1" t="s">
        <v>137</v>
      </c>
      <c r="AC3" s="16">
        <v>0.43181818181818182</v>
      </c>
      <c r="AD3" s="1" t="s">
        <v>145</v>
      </c>
      <c r="AE3" s="16">
        <v>0.46153846153846156</v>
      </c>
    </row>
    <row r="4" spans="1:31" x14ac:dyDescent="0.4">
      <c r="A4" s="7">
        <v>3</v>
      </c>
      <c r="B4" s="6" t="s">
        <v>149</v>
      </c>
      <c r="C4" s="3">
        <v>175.29999999999995</v>
      </c>
      <c r="D4" s="1" t="s">
        <v>142</v>
      </c>
      <c r="E4" s="3">
        <v>5.5133333333333336</v>
      </c>
      <c r="F4" s="1" t="s">
        <v>137</v>
      </c>
      <c r="G4" s="5">
        <v>1.8536585365853659</v>
      </c>
      <c r="H4" s="1" t="s">
        <v>137</v>
      </c>
      <c r="I4" s="18">
        <v>0.3983739837398374</v>
      </c>
      <c r="J4" s="1" t="s">
        <v>137</v>
      </c>
      <c r="K4" s="16">
        <v>0.34954751131221717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-8024.5901639344265</v>
      </c>
      <c r="R4" s="1" t="s">
        <v>142</v>
      </c>
      <c r="S4" s="18">
        <v>0.1111111111111111</v>
      </c>
      <c r="T4" s="1" t="s">
        <v>149</v>
      </c>
      <c r="U4" s="18">
        <v>0.20408163265306123</v>
      </c>
      <c r="V4" s="1" t="s">
        <v>149</v>
      </c>
      <c r="W4" s="16">
        <v>0.34728033472803349</v>
      </c>
      <c r="X4" s="1" t="s">
        <v>148</v>
      </c>
      <c r="Y4" s="16">
        <v>0.31666666666666665</v>
      </c>
      <c r="Z4" s="1" t="s">
        <v>160</v>
      </c>
      <c r="AA4" s="16">
        <v>0.62962962962962965</v>
      </c>
      <c r="AB4" s="1" t="s">
        <v>148</v>
      </c>
      <c r="AC4" s="16">
        <v>0.42105263157894735</v>
      </c>
      <c r="AD4" s="1" t="s">
        <v>156</v>
      </c>
      <c r="AE4" s="16">
        <v>0.45454545454545453</v>
      </c>
    </row>
    <row r="5" spans="1:31" x14ac:dyDescent="0.4">
      <c r="A5" s="7">
        <v>4</v>
      </c>
      <c r="B5" s="6" t="s">
        <v>214</v>
      </c>
      <c r="C5" s="3">
        <v>89</v>
      </c>
      <c r="D5" s="1" t="s">
        <v>137</v>
      </c>
      <c r="E5" s="3">
        <v>4.0097560975609765</v>
      </c>
      <c r="F5" s="1" t="s">
        <v>142</v>
      </c>
      <c r="G5" s="5">
        <v>1.8666666666666667</v>
      </c>
      <c r="H5" s="1" t="s">
        <v>149</v>
      </c>
      <c r="I5" s="18">
        <v>0.38775510204081631</v>
      </c>
      <c r="J5" s="1" t="s">
        <v>156</v>
      </c>
      <c r="K5" s="16">
        <v>0.34146341463414637</v>
      </c>
      <c r="L5" s="1" t="s">
        <v>137</v>
      </c>
      <c r="M5" s="16">
        <v>0.16063348416289594</v>
      </c>
      <c r="N5" s="1" t="s">
        <v>149</v>
      </c>
      <c r="O5" s="2">
        <v>10842.857142857143</v>
      </c>
      <c r="P5" s="1" t="s">
        <v>138</v>
      </c>
      <c r="Q5" s="2">
        <v>-8240</v>
      </c>
      <c r="R5" s="1" t="s">
        <v>137</v>
      </c>
      <c r="S5" s="18">
        <v>0.13821138211382114</v>
      </c>
      <c r="T5" s="1" t="s">
        <v>142</v>
      </c>
      <c r="U5" s="18">
        <v>0.2</v>
      </c>
      <c r="V5" s="1" t="s">
        <v>137</v>
      </c>
      <c r="W5" s="16">
        <v>0.28503562945368172</v>
      </c>
      <c r="X5" s="1" t="s">
        <v>149</v>
      </c>
      <c r="Y5" s="16">
        <v>0.2384937238493724</v>
      </c>
      <c r="Z5" s="1" t="s">
        <v>149</v>
      </c>
      <c r="AA5" s="16">
        <v>0.61445783132530118</v>
      </c>
      <c r="AB5" s="1" t="s">
        <v>149</v>
      </c>
      <c r="AC5" s="16">
        <v>0.40350877192982454</v>
      </c>
      <c r="AD5" s="1" t="s">
        <v>137</v>
      </c>
      <c r="AE5" s="16">
        <v>0.41987179487179488</v>
      </c>
    </row>
    <row r="6" spans="1:31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3.5775510204081624</v>
      </c>
      <c r="F6" s="1" t="s">
        <v>149</v>
      </c>
      <c r="G6" s="5">
        <v>1.9183673469387754</v>
      </c>
      <c r="H6" s="1" t="s">
        <v>142</v>
      </c>
      <c r="I6" s="18">
        <v>0.35555555555555557</v>
      </c>
      <c r="J6" s="1" t="s">
        <v>149</v>
      </c>
      <c r="K6" s="16">
        <v>0.31989247311827956</v>
      </c>
      <c r="L6" s="1" t="s">
        <v>149</v>
      </c>
      <c r="M6" s="16">
        <v>0.16129032258064516</v>
      </c>
      <c r="N6" s="1" t="s">
        <v>137</v>
      </c>
      <c r="O6" s="2">
        <v>10001.941747572815</v>
      </c>
      <c r="P6" s="1" t="s">
        <v>142</v>
      </c>
      <c r="Q6" s="2">
        <v>-9134.6938775510207</v>
      </c>
      <c r="R6" s="1" t="s">
        <v>148</v>
      </c>
      <c r="S6" s="18">
        <v>0.15</v>
      </c>
      <c r="T6" s="1" t="s">
        <v>145</v>
      </c>
      <c r="U6" s="18">
        <v>0.2</v>
      </c>
      <c r="V6" s="1" t="s">
        <v>141</v>
      </c>
      <c r="W6" s="16">
        <v>0.28342245989304815</v>
      </c>
      <c r="X6" s="1" t="s">
        <v>160</v>
      </c>
      <c r="Y6" s="16">
        <v>0.22491349480968859</v>
      </c>
      <c r="Z6" s="1" t="s">
        <v>214</v>
      </c>
      <c r="AA6" s="16">
        <v>0.6</v>
      </c>
      <c r="AB6" s="1" t="s">
        <v>141</v>
      </c>
      <c r="AC6" s="16">
        <v>0.38805970149253732</v>
      </c>
      <c r="AD6" s="1" t="s">
        <v>149</v>
      </c>
      <c r="AE6" s="16">
        <v>0.40875912408759124</v>
      </c>
    </row>
    <row r="7" spans="1:31" x14ac:dyDescent="0.4">
      <c r="A7" s="7">
        <v>6</v>
      </c>
      <c r="B7" s="6" t="s">
        <v>219</v>
      </c>
      <c r="C7" s="3">
        <v>2.2000000000000011</v>
      </c>
      <c r="D7" s="1" t="s">
        <v>219</v>
      </c>
      <c r="E7" s="3">
        <v>0.36666666666666686</v>
      </c>
      <c r="F7" s="1" t="s">
        <v>148</v>
      </c>
      <c r="G7" s="5">
        <v>2.1</v>
      </c>
      <c r="H7" s="1" t="s">
        <v>141</v>
      </c>
      <c r="I7" s="18">
        <v>0.29411764705882354</v>
      </c>
      <c r="J7" s="1" t="s">
        <v>160</v>
      </c>
      <c r="K7" s="16">
        <v>0.28834355828220859</v>
      </c>
      <c r="L7" s="1" t="s">
        <v>219</v>
      </c>
      <c r="M7" s="16">
        <v>0.16279069767441862</v>
      </c>
      <c r="N7" s="1" t="s">
        <v>219</v>
      </c>
      <c r="O7" s="2">
        <v>9988.8888888888887</v>
      </c>
      <c r="P7" s="1" t="s">
        <v>137</v>
      </c>
      <c r="Q7" s="2">
        <v>-9878.8732394366198</v>
      </c>
      <c r="R7" s="1" t="s">
        <v>149</v>
      </c>
      <c r="S7" s="18">
        <v>0.16326530612244897</v>
      </c>
      <c r="T7" s="1" t="s">
        <v>214</v>
      </c>
      <c r="U7" s="18">
        <v>0.2</v>
      </c>
      <c r="V7" s="1" t="s">
        <v>160</v>
      </c>
      <c r="W7" s="16">
        <v>0.28027681660899656</v>
      </c>
      <c r="X7" s="1" t="s">
        <v>137</v>
      </c>
      <c r="Y7" s="16">
        <v>0.20902612826603326</v>
      </c>
      <c r="Z7" s="1" t="s">
        <v>142</v>
      </c>
      <c r="AA7" s="16">
        <v>0.5625</v>
      </c>
      <c r="AB7" s="1" t="s">
        <v>219</v>
      </c>
      <c r="AC7" s="16">
        <v>0.38095238095238093</v>
      </c>
      <c r="AD7" s="1" t="s">
        <v>148</v>
      </c>
      <c r="AE7" s="16">
        <v>0.40697674418604651</v>
      </c>
    </row>
    <row r="8" spans="1:31" x14ac:dyDescent="0.4">
      <c r="A8" s="7">
        <v>7</v>
      </c>
      <c r="B8" s="6" t="s">
        <v>139</v>
      </c>
      <c r="C8" s="3">
        <v>-24.5</v>
      </c>
      <c r="D8" s="1" t="s">
        <v>148</v>
      </c>
      <c r="E8" s="3">
        <v>-2.6950000000000003</v>
      </c>
      <c r="F8" s="1" t="s">
        <v>141</v>
      </c>
      <c r="G8" s="5">
        <v>2.1294117647058823</v>
      </c>
      <c r="H8" s="1" t="s">
        <v>148</v>
      </c>
      <c r="I8" s="18">
        <v>0.25</v>
      </c>
      <c r="J8" s="1" t="s">
        <v>139</v>
      </c>
      <c r="K8" s="16">
        <v>0.2857142857142857</v>
      </c>
      <c r="L8" s="1" t="s">
        <v>141</v>
      </c>
      <c r="M8" s="16">
        <v>0.19685039370078741</v>
      </c>
      <c r="N8" s="1" t="s">
        <v>148</v>
      </c>
      <c r="O8" s="2">
        <v>9869.7674418604656</v>
      </c>
      <c r="P8" s="1" t="s">
        <v>149</v>
      </c>
      <c r="Q8" s="2">
        <v>-9886.6666666666661</v>
      </c>
      <c r="R8" s="1" t="s">
        <v>219</v>
      </c>
      <c r="S8" s="18">
        <v>0.16666666666666666</v>
      </c>
      <c r="T8" s="1" t="s">
        <v>148</v>
      </c>
      <c r="U8" s="18">
        <v>0.17499999999999999</v>
      </c>
      <c r="V8" s="1" t="s">
        <v>145</v>
      </c>
      <c r="W8" s="16">
        <v>0.25806451612903225</v>
      </c>
      <c r="X8" s="1" t="s">
        <v>141</v>
      </c>
      <c r="Y8" s="16">
        <v>0.17914438502673796</v>
      </c>
      <c r="Z8" s="1" t="s">
        <v>141</v>
      </c>
      <c r="AA8" s="16">
        <v>0.55660377358490565</v>
      </c>
      <c r="AB8" s="1" t="s">
        <v>160</v>
      </c>
      <c r="AC8" s="16">
        <v>0.36923076923076925</v>
      </c>
      <c r="AD8" s="1" t="s">
        <v>142</v>
      </c>
      <c r="AE8" s="16">
        <v>0.35652173913043478</v>
      </c>
    </row>
    <row r="9" spans="1:31" x14ac:dyDescent="0.4">
      <c r="A9" s="7">
        <v>8</v>
      </c>
      <c r="B9" s="6" t="s">
        <v>145</v>
      </c>
      <c r="C9" s="3">
        <v>-86.4</v>
      </c>
      <c r="D9" s="1" t="s">
        <v>141</v>
      </c>
      <c r="E9" s="3">
        <v>-4.8223529411764696</v>
      </c>
      <c r="F9" s="1" t="s">
        <v>145</v>
      </c>
      <c r="G9" s="5">
        <v>2.2000000000000002</v>
      </c>
      <c r="H9" s="1" t="s">
        <v>160</v>
      </c>
      <c r="I9" s="18">
        <v>0.25</v>
      </c>
      <c r="J9" s="1" t="s">
        <v>148</v>
      </c>
      <c r="K9" s="16">
        <v>0.28013029315960913</v>
      </c>
      <c r="L9" s="1" t="s">
        <v>148</v>
      </c>
      <c r="M9" s="16">
        <v>0.1986970684039088</v>
      </c>
      <c r="N9" s="1" t="s">
        <v>142</v>
      </c>
      <c r="O9" s="2">
        <v>9851.3513513513517</v>
      </c>
      <c r="P9" s="1" t="s">
        <v>156</v>
      </c>
      <c r="Q9" s="2">
        <v>-9927.2727272727279</v>
      </c>
      <c r="R9" s="1" t="s">
        <v>141</v>
      </c>
      <c r="S9" s="18">
        <v>0.24705882352941178</v>
      </c>
      <c r="T9" s="1" t="s">
        <v>141</v>
      </c>
      <c r="U9" s="18">
        <v>0.15294117647058825</v>
      </c>
      <c r="V9" s="1" t="s">
        <v>148</v>
      </c>
      <c r="W9" s="16">
        <v>0.21666666666666667</v>
      </c>
      <c r="X9" s="1" t="s">
        <v>145</v>
      </c>
      <c r="Y9" s="16">
        <v>0.16129032258064516</v>
      </c>
      <c r="Z9" s="1" t="s">
        <v>148</v>
      </c>
      <c r="AA9" s="16">
        <v>0.38461538461538464</v>
      </c>
      <c r="AB9" s="1" t="s">
        <v>142</v>
      </c>
      <c r="AC9" s="16">
        <v>0.35714285714285715</v>
      </c>
      <c r="AD9" s="1" t="s">
        <v>160</v>
      </c>
      <c r="AE9" s="16">
        <v>0.35294117647058826</v>
      </c>
    </row>
    <row r="10" spans="1:31" x14ac:dyDescent="0.4">
      <c r="A10" s="7">
        <v>9</v>
      </c>
      <c r="B10" s="6" t="s">
        <v>148</v>
      </c>
      <c r="C10" s="3">
        <v>-107.80000000000001</v>
      </c>
      <c r="D10" s="1" t="s">
        <v>160</v>
      </c>
      <c r="E10" s="3">
        <v>-7.5204545454545437</v>
      </c>
      <c r="F10" s="1" t="s">
        <v>160</v>
      </c>
      <c r="G10" s="5">
        <v>2.2272727272727271</v>
      </c>
      <c r="H10" s="1" t="s">
        <v>145</v>
      </c>
      <c r="I10" s="18">
        <v>0.2</v>
      </c>
      <c r="J10" s="1" t="s">
        <v>145</v>
      </c>
      <c r="K10" s="16">
        <v>0.27027027027027029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160</v>
      </c>
      <c r="Q10" s="2">
        <v>-10100</v>
      </c>
      <c r="R10" s="1" t="s">
        <v>156</v>
      </c>
      <c r="S10" s="18">
        <v>0.25</v>
      </c>
      <c r="T10" s="1" t="s">
        <v>160</v>
      </c>
      <c r="U10" s="18">
        <v>0.11363636363636363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219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0.30612244897959184</v>
      </c>
    </row>
    <row r="11" spans="1:31" x14ac:dyDescent="0.4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219</v>
      </c>
      <c r="G11" s="5">
        <v>2.3333333333333335</v>
      </c>
      <c r="H11" s="1" t="s">
        <v>138</v>
      </c>
      <c r="I11" s="18">
        <v>0</v>
      </c>
      <c r="J11" s="1" t="s">
        <v>141</v>
      </c>
      <c r="K11" s="16">
        <v>0.25354330708661416</v>
      </c>
      <c r="L11" s="1" t="s">
        <v>160</v>
      </c>
      <c r="M11" s="16">
        <v>0.2392638036809816</v>
      </c>
      <c r="N11" s="1" t="s">
        <v>139</v>
      </c>
      <c r="O11" s="2">
        <v>8000</v>
      </c>
      <c r="P11" s="1" t="s">
        <v>141</v>
      </c>
      <c r="Q11" s="2">
        <v>-10404</v>
      </c>
      <c r="R11" s="1" t="s">
        <v>160</v>
      </c>
      <c r="S11" s="18">
        <v>0.25</v>
      </c>
      <c r="T11" s="1" t="s">
        <v>138</v>
      </c>
      <c r="U11" s="18">
        <v>0</v>
      </c>
      <c r="V11" s="1" t="s">
        <v>219</v>
      </c>
      <c r="W11" s="16">
        <v>6.9767441860465115E-2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</v>
      </c>
    </row>
    <row r="12" spans="1:31" x14ac:dyDescent="0.4">
      <c r="A12" s="7">
        <v>11</v>
      </c>
      <c r="B12" s="6" t="s">
        <v>160</v>
      </c>
      <c r="C12" s="3">
        <v>-330.89999999999992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219</v>
      </c>
      <c r="K12" s="16">
        <v>0.20930232558139536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">
      <c r="A13" s="7">
        <v>12</v>
      </c>
      <c r="B13" s="6" t="s">
        <v>141</v>
      </c>
      <c r="C13" s="3">
        <v>-409.89999999999992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507</v>
      </c>
    </row>
    <row r="2" spans="1:7" x14ac:dyDescent="0.4">
      <c r="A2" s="67" t="s">
        <v>73</v>
      </c>
      <c r="B2" s="63" t="s">
        <v>27</v>
      </c>
      <c r="C2" s="49">
        <v>454</v>
      </c>
      <c r="D2" s="24">
        <f>IF(G$1=0,0,C2/G$1)</f>
        <v>0.89546351084812625</v>
      </c>
    </row>
    <row r="3" spans="1:7" x14ac:dyDescent="0.4">
      <c r="A3" s="68" t="s">
        <v>71</v>
      </c>
      <c r="B3" s="64" t="s">
        <v>25</v>
      </c>
      <c r="C3" s="50">
        <v>356</v>
      </c>
      <c r="D3" s="27">
        <f>IF(G$1=0,0,C3/G$1)</f>
        <v>0.70216962524654836</v>
      </c>
    </row>
    <row r="4" spans="1:7" x14ac:dyDescent="0.4">
      <c r="A4" s="68" t="s">
        <v>78</v>
      </c>
      <c r="B4" s="64" t="s">
        <v>31</v>
      </c>
      <c r="C4" s="50">
        <v>312</v>
      </c>
      <c r="D4" s="27">
        <f>IF(G$1=0,0,C4/G$1)</f>
        <v>0.61538461538461542</v>
      </c>
    </row>
    <row r="5" spans="1:7" x14ac:dyDescent="0.4">
      <c r="A5" s="68" t="s">
        <v>226</v>
      </c>
      <c r="B5" s="64" t="s">
        <v>23</v>
      </c>
      <c r="C5" s="50">
        <v>274</v>
      </c>
      <c r="D5" s="27">
        <f>IF(G$1=0,0,C5/G$1)</f>
        <v>0.54043392504930965</v>
      </c>
    </row>
    <row r="6" spans="1:7" x14ac:dyDescent="0.4">
      <c r="A6" s="68" t="s">
        <v>72</v>
      </c>
      <c r="B6" s="64" t="s">
        <v>26</v>
      </c>
      <c r="C6" s="50">
        <v>145</v>
      </c>
      <c r="D6" s="27">
        <f>IF(G$1=0,0,C6/G$1)</f>
        <v>0.28599605522682447</v>
      </c>
    </row>
    <row r="7" spans="1:7" x14ac:dyDescent="0.4">
      <c r="A7" s="68" t="s">
        <v>74</v>
      </c>
      <c r="B7" s="64" t="s">
        <v>222</v>
      </c>
      <c r="C7" s="50">
        <v>142</v>
      </c>
      <c r="D7" s="27">
        <f>IF(G$1=0,0,C7/G$1)</f>
        <v>0.28007889546351084</v>
      </c>
    </row>
    <row r="8" spans="1:7" x14ac:dyDescent="0.4">
      <c r="A8" s="68" t="s">
        <v>75</v>
      </c>
      <c r="B8" s="64" t="s">
        <v>28</v>
      </c>
      <c r="C8" s="50">
        <v>77</v>
      </c>
      <c r="D8" s="27">
        <f>IF(G$1=0,0,C8/G$1)</f>
        <v>0.15187376725838264</v>
      </c>
    </row>
    <row r="9" spans="1:7" x14ac:dyDescent="0.4">
      <c r="A9" s="68" t="s">
        <v>96</v>
      </c>
      <c r="B9" s="64" t="s">
        <v>49</v>
      </c>
      <c r="C9" s="50">
        <v>71</v>
      </c>
      <c r="D9" s="27">
        <f>IF(G$1=0,0,C9/G$1)</f>
        <v>0.14003944773175542</v>
      </c>
    </row>
    <row r="10" spans="1:7" x14ac:dyDescent="0.4">
      <c r="A10" s="68" t="s">
        <v>227</v>
      </c>
      <c r="B10" s="64" t="s">
        <v>24</v>
      </c>
      <c r="C10" s="50">
        <v>58</v>
      </c>
      <c r="D10" s="27">
        <f>IF(G$1=0,0,C10/G$1)</f>
        <v>0.11439842209072978</v>
      </c>
    </row>
    <row r="11" spans="1:7" x14ac:dyDescent="0.4">
      <c r="A11" s="68" t="s">
        <v>76</v>
      </c>
      <c r="B11" s="64" t="s">
        <v>29</v>
      </c>
      <c r="C11" s="50">
        <v>48</v>
      </c>
      <c r="D11" s="27">
        <f>IF(G$1=0,0,C11/G$1)</f>
        <v>9.4674556213017749E-2</v>
      </c>
    </row>
    <row r="12" spans="1:7" x14ac:dyDescent="0.4">
      <c r="A12" s="68" t="s">
        <v>93</v>
      </c>
      <c r="B12" s="64" t="s">
        <v>46</v>
      </c>
      <c r="C12" s="50">
        <v>38</v>
      </c>
      <c r="D12" s="27">
        <f>IF(G$1=0,0,C12/G$1)</f>
        <v>7.4950690335305714E-2</v>
      </c>
    </row>
    <row r="13" spans="1:7" x14ac:dyDescent="0.4">
      <c r="A13" s="68" t="s">
        <v>90</v>
      </c>
      <c r="B13" s="64" t="s">
        <v>43</v>
      </c>
      <c r="C13" s="50">
        <v>28</v>
      </c>
      <c r="D13" s="27">
        <f>IF(G$1=0,0,C13/G$1)</f>
        <v>5.5226824457593686E-2</v>
      </c>
    </row>
    <row r="14" spans="1:7" x14ac:dyDescent="0.4">
      <c r="A14" s="68" t="s">
        <v>77</v>
      </c>
      <c r="B14" s="64" t="s">
        <v>30</v>
      </c>
      <c r="C14" s="50">
        <v>24</v>
      </c>
      <c r="D14" s="27">
        <f>IF(G$1=0,0,C14/G$1)</f>
        <v>4.7337278106508875E-2</v>
      </c>
    </row>
    <row r="15" spans="1:7" x14ac:dyDescent="0.4">
      <c r="A15" s="68" t="s">
        <v>84</v>
      </c>
      <c r="B15" s="64" t="s">
        <v>37</v>
      </c>
      <c r="C15" s="50">
        <v>15</v>
      </c>
      <c r="D15" s="27">
        <f>IF(G$1=0,0,C15/G$1)</f>
        <v>2.9585798816568046E-2</v>
      </c>
    </row>
    <row r="16" spans="1:7" x14ac:dyDescent="0.4">
      <c r="A16" s="68" t="s">
        <v>88</v>
      </c>
      <c r="B16" s="64" t="s">
        <v>41</v>
      </c>
      <c r="C16" s="50">
        <v>14</v>
      </c>
      <c r="D16" s="27">
        <f>IF(G$1=0,0,C16/G$1)</f>
        <v>2.7613412228796843E-2</v>
      </c>
    </row>
    <row r="17" spans="1:4" x14ac:dyDescent="0.4">
      <c r="A17" s="68" t="s">
        <v>85</v>
      </c>
      <c r="B17" s="64" t="s">
        <v>38</v>
      </c>
      <c r="C17" s="50">
        <v>9</v>
      </c>
      <c r="D17" s="27">
        <f>IF(G$1=0,0,C17/G$1)</f>
        <v>1.7751479289940829E-2</v>
      </c>
    </row>
    <row r="18" spans="1:4" x14ac:dyDescent="0.4">
      <c r="A18" s="68" t="s">
        <v>98</v>
      </c>
      <c r="B18" s="64" t="s">
        <v>51</v>
      </c>
      <c r="C18" s="50">
        <v>9</v>
      </c>
      <c r="D18" s="27">
        <f>IF(G$1=0,0,C18/G$1)</f>
        <v>1.7751479289940829E-2</v>
      </c>
    </row>
    <row r="19" spans="1:4" x14ac:dyDescent="0.4">
      <c r="A19" s="68" t="s">
        <v>79</v>
      </c>
      <c r="B19" s="64" t="s">
        <v>32</v>
      </c>
      <c r="C19" s="50">
        <v>5</v>
      </c>
      <c r="D19" s="27">
        <f>IF(G$1=0,0,C19/G$1)</f>
        <v>9.8619329388560158E-3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7.889546351084813E-3</v>
      </c>
    </row>
    <row r="21" spans="1:4" x14ac:dyDescent="0.4">
      <c r="A21" s="68" t="s">
        <v>99</v>
      </c>
      <c r="B21" s="64" t="s">
        <v>52</v>
      </c>
      <c r="C21" s="50">
        <v>4</v>
      </c>
      <c r="D21" s="27">
        <f>IF(G$1=0,0,C21/G$1)</f>
        <v>7.889546351084813E-3</v>
      </c>
    </row>
    <row r="22" spans="1:4" x14ac:dyDescent="0.4">
      <c r="A22" s="68" t="s">
        <v>91</v>
      </c>
      <c r="B22" s="64" t="s">
        <v>44</v>
      </c>
      <c r="C22" s="50">
        <v>3</v>
      </c>
      <c r="D22" s="27">
        <f>IF(G$1=0,0,C22/G$1)</f>
        <v>5.9171597633136093E-3</v>
      </c>
    </row>
    <row r="23" spans="1:4" x14ac:dyDescent="0.4">
      <c r="A23" s="68" t="s">
        <v>81</v>
      </c>
      <c r="B23" s="64" t="s">
        <v>34</v>
      </c>
      <c r="C23" s="50">
        <v>3</v>
      </c>
      <c r="D23" s="27">
        <f>IF(G$1=0,0,C23/G$1)</f>
        <v>5.9171597633136093E-3</v>
      </c>
    </row>
    <row r="24" spans="1:4" x14ac:dyDescent="0.4">
      <c r="A24" s="68" t="s">
        <v>83</v>
      </c>
      <c r="B24" s="64" t="s">
        <v>36</v>
      </c>
      <c r="C24" s="50">
        <v>3</v>
      </c>
      <c r="D24" s="27">
        <f>IF(G$1=0,0,C24/G$1)</f>
        <v>5.9171597633136093E-3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3.9447731755424065E-3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1.9723865877712033E-3</v>
      </c>
    </row>
    <row r="27" spans="1:4" x14ac:dyDescent="0.4">
      <c r="A27" s="68" t="s">
        <v>80</v>
      </c>
      <c r="B27" s="64" t="s">
        <v>33</v>
      </c>
      <c r="C27" s="50">
        <v>1</v>
      </c>
      <c r="D27" s="27">
        <f>IF(G$1=0,0,C27/G$1)</f>
        <v>1.9723865877712033E-3</v>
      </c>
    </row>
    <row r="28" spans="1:4" x14ac:dyDescent="0.4">
      <c r="A28" s="68" t="s">
        <v>95</v>
      </c>
      <c r="B28" s="64" t="s">
        <v>48</v>
      </c>
      <c r="C28" s="50">
        <v>1</v>
      </c>
      <c r="D28" s="27">
        <f>IF(G$1=0,0,C28/G$1)</f>
        <v>1.9723865877712033E-3</v>
      </c>
    </row>
    <row r="29" spans="1:4" x14ac:dyDescent="0.4">
      <c r="A29" s="68" t="s">
        <v>100</v>
      </c>
      <c r="B29" s="64" t="s">
        <v>53</v>
      </c>
      <c r="C29" s="50">
        <v>1</v>
      </c>
      <c r="D29" s="27">
        <f>IF(G$1=0,0,C29/G$1)</f>
        <v>1.9723865877712033E-3</v>
      </c>
    </row>
    <row r="30" spans="1:4" x14ac:dyDescent="0.4">
      <c r="A30" s="68" t="s">
        <v>113</v>
      </c>
      <c r="B30" s="64" t="s">
        <v>224</v>
      </c>
      <c r="C30" s="50">
        <v>1</v>
      </c>
      <c r="D30" s="27">
        <f>IF(G$1=0,0,C30/G$1)</f>
        <v>1.9723865877712033E-3</v>
      </c>
    </row>
    <row r="31" spans="1:4" x14ac:dyDescent="0.4">
      <c r="A31" s="68" t="s">
        <v>97</v>
      </c>
      <c r="B31" s="64" t="s">
        <v>50</v>
      </c>
      <c r="C31" s="50">
        <v>1</v>
      </c>
      <c r="D31" s="27">
        <f>IF(G$1=0,0,C31/G$1)</f>
        <v>1.9723865877712033E-3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03BBB-BBAC-40D6-A73B-93357014AB24}">
  <sheetPr codeName="Sheet4"/>
  <dimension ref="A1:P125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186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123</v>
      </c>
      <c r="C2" s="81"/>
      <c r="E2" s="67" t="s">
        <v>73</v>
      </c>
      <c r="F2" s="63" t="s">
        <v>27</v>
      </c>
      <c r="G2" s="49">
        <v>143</v>
      </c>
      <c r="H2" s="24">
        <f>IF(B$25=0,0,G2/B$25)</f>
        <v>0.95333333333333337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653.78151260504205</v>
      </c>
      <c r="O2" s="41">
        <v>77800</v>
      </c>
      <c r="P2" s="39">
        <v>119</v>
      </c>
    </row>
    <row r="3" spans="1:16" x14ac:dyDescent="0.4">
      <c r="A3" s="58" t="s">
        <v>8</v>
      </c>
      <c r="B3" s="86">
        <v>884</v>
      </c>
      <c r="C3" s="87"/>
      <c r="E3" s="68" t="s">
        <v>71</v>
      </c>
      <c r="F3" s="64" t="s">
        <v>25</v>
      </c>
      <c r="G3" s="50">
        <v>90</v>
      </c>
      <c r="H3" s="27">
        <f>IF(B$25=0,0,G3/B$25)</f>
        <v>0.6</v>
      </c>
      <c r="J3" s="26">
        <v>1</v>
      </c>
      <c r="K3" s="28">
        <v>15</v>
      </c>
      <c r="M3" s="26" t="s">
        <v>199</v>
      </c>
      <c r="N3" s="45">
        <f t="shared" si="0"/>
        <v>1295.575221238938</v>
      </c>
      <c r="O3" s="42">
        <v>146400</v>
      </c>
      <c r="P3" s="37">
        <v>113</v>
      </c>
    </row>
    <row r="4" spans="1:16" x14ac:dyDescent="0.4">
      <c r="A4" s="58" t="s">
        <v>6</v>
      </c>
      <c r="B4" s="88">
        <v>493.2000000000001</v>
      </c>
      <c r="C4" s="89"/>
      <c r="E4" s="68" t="s">
        <v>78</v>
      </c>
      <c r="F4" s="64" t="s">
        <v>31</v>
      </c>
      <c r="G4" s="50">
        <v>82</v>
      </c>
      <c r="H4" s="27">
        <f>IF(B$25=0,0,G4/B$25)</f>
        <v>0.54666666666666663</v>
      </c>
      <c r="J4" s="26">
        <v>2</v>
      </c>
      <c r="K4" s="28">
        <v>14</v>
      </c>
      <c r="M4" s="26" t="s">
        <v>200</v>
      </c>
      <c r="N4" s="45">
        <f t="shared" si="0"/>
        <v>1116.504854368932</v>
      </c>
      <c r="O4" s="42">
        <v>115000</v>
      </c>
      <c r="P4" s="37">
        <v>103</v>
      </c>
    </row>
    <row r="5" spans="1:16" x14ac:dyDescent="0.4">
      <c r="A5" s="58" t="s">
        <v>7</v>
      </c>
      <c r="B5" s="88">
        <f>IF(B$2=0,0,B$4/B$2)</f>
        <v>4.0097560975609765</v>
      </c>
      <c r="C5" s="89"/>
      <c r="E5" s="68" t="s">
        <v>69</v>
      </c>
      <c r="F5" s="64" t="s">
        <v>23</v>
      </c>
      <c r="G5" s="50">
        <v>79</v>
      </c>
      <c r="H5" s="27">
        <f>IF(B$25=0,0,G5/B$25)</f>
        <v>0.52666666666666662</v>
      </c>
      <c r="J5" s="26">
        <v>3</v>
      </c>
      <c r="K5" s="28">
        <v>29.1</v>
      </c>
      <c r="M5" s="26" t="s">
        <v>201</v>
      </c>
      <c r="N5" s="45">
        <f t="shared" si="0"/>
        <v>1394.4444444444443</v>
      </c>
      <c r="O5" s="42">
        <v>125500</v>
      </c>
      <c r="P5" s="37">
        <v>90</v>
      </c>
    </row>
    <row r="6" spans="1:16" x14ac:dyDescent="0.4">
      <c r="A6" s="58" t="s">
        <v>1</v>
      </c>
      <c r="B6" s="90">
        <f>IF(B$2=0,0,(B$7*1+B$8*2+B$9*3)/B$2)</f>
        <v>1.8536585365853659</v>
      </c>
      <c r="C6" s="91"/>
      <c r="E6" s="68" t="s">
        <v>74</v>
      </c>
      <c r="F6" s="64" t="s">
        <v>12</v>
      </c>
      <c r="G6" s="50">
        <v>40</v>
      </c>
      <c r="H6" s="27">
        <f>IF(B$25=0,0,G6/B$25)</f>
        <v>0.26666666666666666</v>
      </c>
      <c r="J6" s="26">
        <v>4</v>
      </c>
      <c r="K6" s="28">
        <v>114.30000000000001</v>
      </c>
      <c r="M6" s="26" t="s">
        <v>202</v>
      </c>
      <c r="N6" s="45">
        <f t="shared" si="0"/>
        <v>171.23287671232876</v>
      </c>
      <c r="O6" s="42">
        <v>12500</v>
      </c>
      <c r="P6" s="37">
        <v>73</v>
      </c>
    </row>
    <row r="7" spans="1:16" x14ac:dyDescent="0.4">
      <c r="A7" s="58" t="s">
        <v>2</v>
      </c>
      <c r="B7" s="50">
        <v>49</v>
      </c>
      <c r="C7" s="27">
        <f>IF(B$2=0,0,B7/B$2)</f>
        <v>0.3983739837398374</v>
      </c>
      <c r="E7" s="68" t="s">
        <v>72</v>
      </c>
      <c r="F7" s="64" t="s">
        <v>26</v>
      </c>
      <c r="G7" s="50">
        <v>36</v>
      </c>
      <c r="H7" s="27">
        <f>IF(B$25=0,0,G7/B$25)</f>
        <v>0.24</v>
      </c>
      <c r="J7" s="26">
        <v>5</v>
      </c>
      <c r="K7" s="28">
        <v>145.80000000000001</v>
      </c>
      <c r="M7" s="31" t="s">
        <v>203</v>
      </c>
      <c r="N7" s="46">
        <f t="shared" si="0"/>
        <v>-377.35849056603774</v>
      </c>
      <c r="O7" s="43">
        <v>-20000</v>
      </c>
      <c r="P7" s="38">
        <v>53</v>
      </c>
    </row>
    <row r="8" spans="1:16" x14ac:dyDescent="0.4">
      <c r="A8" s="58" t="s">
        <v>3</v>
      </c>
      <c r="B8" s="50">
        <v>43</v>
      </c>
      <c r="C8" s="27">
        <f t="shared" ref="C8:C9" si="1">IF(B$2=0,0,B8/B$2)</f>
        <v>0.34959349593495936</v>
      </c>
      <c r="E8" s="68" t="s">
        <v>75</v>
      </c>
      <c r="F8" s="64" t="s">
        <v>28</v>
      </c>
      <c r="G8" s="50">
        <v>26</v>
      </c>
      <c r="H8" s="27">
        <f>IF(B$25=0,0,G8/B$25)</f>
        <v>0.17333333333333334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31</v>
      </c>
      <c r="C9" s="29">
        <f t="shared" si="1"/>
        <v>0.25203252032520324</v>
      </c>
      <c r="E9" s="68" t="s">
        <v>96</v>
      </c>
      <c r="F9" s="64" t="s">
        <v>49</v>
      </c>
      <c r="G9" s="50">
        <v>22</v>
      </c>
      <c r="H9" s="27">
        <f>IF(B$25=0,0,G9/B$25)</f>
        <v>0.14666666666666667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0.13821138211382114</v>
      </c>
      <c r="E10" s="68" t="s">
        <v>70</v>
      </c>
      <c r="F10" s="64" t="s">
        <v>24</v>
      </c>
      <c r="G10" s="50">
        <v>12</v>
      </c>
      <c r="H10" s="27">
        <f>IF(B$25=0,0,G10/B$25)</f>
        <v>0.08</v>
      </c>
      <c r="J10" s="26">
        <v>8</v>
      </c>
      <c r="K10" s="28">
        <v>55.700000000000017</v>
      </c>
    </row>
    <row r="11" spans="1:16" x14ac:dyDescent="0.4">
      <c r="A11" s="60" t="s">
        <v>208</v>
      </c>
      <c r="B11" s="52">
        <v>27</v>
      </c>
      <c r="C11" s="32">
        <f>IF(B$2=0,0,B11/B$2)</f>
        <v>0.21951219512195122</v>
      </c>
      <c r="E11" s="68" t="s">
        <v>76</v>
      </c>
      <c r="F11" s="64" t="s">
        <v>29</v>
      </c>
      <c r="G11" s="50">
        <v>11</v>
      </c>
      <c r="H11" s="27">
        <f>IF(B$25=0,0,G11/B$25)</f>
        <v>7.3333333333333334E-2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120</v>
      </c>
      <c r="C12" s="35">
        <f>IF(B$24=0,0,B12/B$24)</f>
        <v>0.28503562945368172</v>
      </c>
      <c r="E12" s="68" t="s">
        <v>77</v>
      </c>
      <c r="F12" s="64" t="s">
        <v>30</v>
      </c>
      <c r="G12" s="50">
        <v>10</v>
      </c>
      <c r="H12" s="27">
        <f>IF(B$25=0,0,G12/B$25)</f>
        <v>6.6666666666666666E-2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88</v>
      </c>
      <c r="C13" s="27">
        <f>IF(B$24=0,0,B13/B$24)</f>
        <v>0.20902612826603326</v>
      </c>
      <c r="E13" s="68" t="s">
        <v>93</v>
      </c>
      <c r="F13" s="64" t="s">
        <v>46</v>
      </c>
      <c r="G13" s="50">
        <v>8</v>
      </c>
      <c r="H13" s="27">
        <f>IF(B$25=0,0,G13/B$25)</f>
        <v>5.3333333333333337E-2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83</v>
      </c>
      <c r="C14" s="24">
        <f>IF(B$12=0,0,B14/B$12)</f>
        <v>0.69166666666666665</v>
      </c>
      <c r="E14" s="68" t="s">
        <v>90</v>
      </c>
      <c r="F14" s="64" t="s">
        <v>43</v>
      </c>
      <c r="G14" s="50">
        <v>6</v>
      </c>
      <c r="H14" s="27">
        <f>IF(B$25=0,0,G14/B$25)</f>
        <v>0.04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38</v>
      </c>
      <c r="C15" s="24">
        <f>IF(B$13=0,0,B15/B$13)</f>
        <v>0.43181818181818182</v>
      </c>
      <c r="E15" s="68" t="s">
        <v>83</v>
      </c>
      <c r="F15" s="64" t="s">
        <v>36</v>
      </c>
      <c r="G15" s="50">
        <v>3</v>
      </c>
      <c r="H15" s="27">
        <f>IF(B$25=0,0,G15/B$25)</f>
        <v>0.02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309</v>
      </c>
      <c r="C16" s="24">
        <f>IF(B$3=0,0,B16/B$3)</f>
        <v>0.34954751131221717</v>
      </c>
      <c r="E16" s="68" t="s">
        <v>88</v>
      </c>
      <c r="F16" s="64" t="s">
        <v>41</v>
      </c>
      <c r="G16" s="50">
        <v>3</v>
      </c>
      <c r="H16" s="27">
        <f>IF(B$25=0,0,G16/B$25)</f>
        <v>0.02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195</v>
      </c>
      <c r="C17" s="27">
        <f>IF(B$3=0,0,B17/B$3)</f>
        <v>0.22058823529411764</v>
      </c>
      <c r="E17" s="68" t="s">
        <v>79</v>
      </c>
      <c r="F17" s="64" t="s">
        <v>32</v>
      </c>
      <c r="G17" s="50">
        <v>2</v>
      </c>
      <c r="H17" s="27">
        <f>IF(B$25=0,0,G17/B$25)</f>
        <v>1.3333333333333334E-2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114</v>
      </c>
      <c r="C18" s="27">
        <f>IF(B$3=0,0,B18/B$3)</f>
        <v>0.12895927601809956</v>
      </c>
      <c r="E18" s="68" t="s">
        <v>99</v>
      </c>
      <c r="F18" s="64" t="s">
        <v>52</v>
      </c>
      <c r="G18" s="50">
        <v>2</v>
      </c>
      <c r="H18" s="27">
        <f>IF(B$25=0,0,G18/B$25)</f>
        <v>1.3333333333333334E-2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142</v>
      </c>
      <c r="C19" s="27">
        <f>IF(B$3=0,0,B19/B$3)</f>
        <v>0.16063348416289594</v>
      </c>
      <c r="E19" s="68" t="s">
        <v>81</v>
      </c>
      <c r="F19" s="64" t="s">
        <v>34</v>
      </c>
      <c r="G19" s="50">
        <v>1</v>
      </c>
      <c r="H19" s="27">
        <f>IF(B$25=0,0,G19/B$25)</f>
        <v>6.6666666666666671E-3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10001.941747572815</v>
      </c>
      <c r="C20" s="30">
        <v>3090600</v>
      </c>
      <c r="E20" s="68" t="s">
        <v>84</v>
      </c>
      <c r="F20" s="64" t="s">
        <v>37</v>
      </c>
      <c r="G20" s="50">
        <v>1</v>
      </c>
      <c r="H20" s="27">
        <f>IF(B$25=0,0,G20/B$25)</f>
        <v>6.6666666666666671E-3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-9878.8732394366198</v>
      </c>
      <c r="C21" s="48">
        <v>-1402800</v>
      </c>
      <c r="E21" s="68" t="s">
        <v>85</v>
      </c>
      <c r="F21" s="64" t="s">
        <v>38</v>
      </c>
      <c r="G21" s="50">
        <v>1</v>
      </c>
      <c r="H21" s="27">
        <f>IF(B$25=0,0,G21/B$25)</f>
        <v>6.6666666666666671E-3</v>
      </c>
      <c r="J21" s="26">
        <v>19</v>
      </c>
      <c r="K21" s="28">
        <v>42.600000000000016</v>
      </c>
    </row>
    <row r="22" spans="1:11" x14ac:dyDescent="0.4">
      <c r="A22" s="57" t="s">
        <v>195</v>
      </c>
      <c r="B22" s="49">
        <v>312</v>
      </c>
      <c r="C22" s="24">
        <f>IF(B$3=0,0,B22/B$3)</f>
        <v>0.35294117647058826</v>
      </c>
      <c r="E22" s="68" t="s">
        <v>92</v>
      </c>
      <c r="F22" s="64" t="s">
        <v>45</v>
      </c>
      <c r="G22" s="50">
        <v>1</v>
      </c>
      <c r="H22" s="27">
        <f>IF(B$25=0,0,G22/B$25)</f>
        <v>6.6666666666666671E-3</v>
      </c>
      <c r="J22" s="26">
        <v>20</v>
      </c>
      <c r="K22" s="28">
        <v>68.800000000000011</v>
      </c>
    </row>
    <row r="23" spans="1:11" x14ac:dyDescent="0.4">
      <c r="A23" s="60" t="s">
        <v>196</v>
      </c>
      <c r="B23" s="52">
        <v>131</v>
      </c>
      <c r="C23" s="32">
        <f>IF(B$22=0,0,B23/B$22)</f>
        <v>0.41987179487179488</v>
      </c>
      <c r="E23" s="68" t="s">
        <v>94</v>
      </c>
      <c r="F23" s="64" t="s">
        <v>47</v>
      </c>
      <c r="G23" s="50">
        <v>1</v>
      </c>
      <c r="H23" s="27">
        <f>IF(B$25=0,0,G23/B$25)</f>
        <v>6.6666666666666671E-3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0">
        <v>421</v>
      </c>
      <c r="C24" s="81"/>
      <c r="E24" s="68" t="s">
        <v>97</v>
      </c>
      <c r="F24" s="64" t="s">
        <v>50</v>
      </c>
      <c r="G24" s="50">
        <v>1</v>
      </c>
      <c r="H24" s="27">
        <f>IF(B$25=0,0,G24/B$25)</f>
        <v>6.6666666666666671E-3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2">
        <v>150</v>
      </c>
      <c r="C25" s="83"/>
      <c r="E25" s="68" t="s">
        <v>98</v>
      </c>
      <c r="F25" s="64" t="s">
        <v>51</v>
      </c>
      <c r="G25" s="50">
        <v>1</v>
      </c>
      <c r="H25" s="27">
        <f>IF(B$25=0,0,G25/B$25)</f>
        <v>6.6666666666666671E-3</v>
      </c>
      <c r="J25" s="26">
        <v>23</v>
      </c>
      <c r="K25" s="28">
        <v>124.50000000000001</v>
      </c>
    </row>
    <row r="26" spans="1:11" x14ac:dyDescent="0.4">
      <c r="E26" s="68" t="s">
        <v>113</v>
      </c>
      <c r="F26" s="64" t="s">
        <v>120</v>
      </c>
      <c r="G26" s="50">
        <v>1</v>
      </c>
      <c r="H26" s="27">
        <f>IF(B$25=0,0,G26/B$25)</f>
        <v>6.6666666666666671E-3</v>
      </c>
      <c r="J26" s="26">
        <v>24</v>
      </c>
      <c r="K26" s="28">
        <v>118.00000000000001</v>
      </c>
    </row>
    <row r="27" spans="1:11" x14ac:dyDescent="0.4"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</sheetData>
  <sortState ref="E2:H125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8A050-0330-4FED-A8B5-AECDEFF52A90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191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86">
        <v>25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88">
        <v>-132.1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88">
        <f>IF(B$2=0,0,B$4/B$2)</f>
        <v>-33.024999999999999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0">
        <f>IF(B$2=0,0,(B$7*1+B$8*2+B$9*3)/B$2)</f>
        <v>3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926F1-8423-4548-871C-27733C1E9950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215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">
      <c r="A3" s="58" t="s">
        <v>8</v>
      </c>
      <c r="B3" s="86">
        <v>7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">
      <c r="A4" s="58" t="s">
        <v>6</v>
      </c>
      <c r="B4" s="88">
        <v>-24.5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">
      <c r="A5" s="58" t="s">
        <v>7</v>
      </c>
      <c r="B5" s="88">
        <f>IF(B$2=0,0,B$4/B$2)</f>
        <v>-12.25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0">
        <f>IF(B$2=0,0,(B$7*1+B$8*2+B$9*3)/B$2)</f>
        <v>2.5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2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90C65-4CBE-48A5-B72A-3788260022FE}">
  <sheetPr codeName="Sheet7"/>
  <dimension ref="A1:P8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187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85</v>
      </c>
      <c r="C2" s="81"/>
      <c r="E2" s="67" t="s">
        <v>73</v>
      </c>
      <c r="F2" s="63" t="s">
        <v>27</v>
      </c>
      <c r="G2" s="49">
        <v>78</v>
      </c>
      <c r="H2" s="24">
        <f>IF(B$25=0,0,G2/B$25)</f>
        <v>0.78</v>
      </c>
      <c r="J2" s="23">
        <v>0</v>
      </c>
      <c r="K2" s="25">
        <v>0</v>
      </c>
      <c r="M2" s="23" t="s">
        <v>198</v>
      </c>
      <c r="N2" s="44">
        <f t="shared" ref="N2:N7" si="0">IF(P2=0,0,O2/P2)</f>
        <v>-93.975903614457835</v>
      </c>
      <c r="O2" s="41">
        <v>-7800</v>
      </c>
      <c r="P2" s="39">
        <v>83</v>
      </c>
    </row>
    <row r="3" spans="1:16" x14ac:dyDescent="0.4">
      <c r="A3" s="58" t="s">
        <v>8</v>
      </c>
      <c r="B3" s="86">
        <v>635</v>
      </c>
      <c r="C3" s="87"/>
      <c r="E3" s="68" t="s">
        <v>71</v>
      </c>
      <c r="F3" s="64" t="s">
        <v>25</v>
      </c>
      <c r="G3" s="50">
        <v>67</v>
      </c>
      <c r="H3" s="27">
        <f>IF(B$25=0,0,G3/B$25)</f>
        <v>0.67</v>
      </c>
      <c r="J3" s="26">
        <v>1</v>
      </c>
      <c r="K3" s="28">
        <v>40.9</v>
      </c>
      <c r="M3" s="26" t="s">
        <v>199</v>
      </c>
      <c r="N3" s="45">
        <f t="shared" si="0"/>
        <v>-2065.8227848101264</v>
      </c>
      <c r="O3" s="42">
        <v>-163200</v>
      </c>
      <c r="P3" s="37">
        <v>79</v>
      </c>
    </row>
    <row r="4" spans="1:16" x14ac:dyDescent="0.4">
      <c r="A4" s="58" t="s">
        <v>6</v>
      </c>
      <c r="B4" s="88">
        <v>-409.89999999999992</v>
      </c>
      <c r="C4" s="89"/>
      <c r="E4" s="68" t="s">
        <v>69</v>
      </c>
      <c r="F4" s="64" t="s">
        <v>23</v>
      </c>
      <c r="G4" s="50">
        <v>58</v>
      </c>
      <c r="H4" s="27">
        <f>IF(B$25=0,0,G4/B$25)</f>
        <v>0.57999999999999996</v>
      </c>
      <c r="J4" s="26">
        <v>2</v>
      </c>
      <c r="K4" s="28">
        <v>-0.89999999999999858</v>
      </c>
      <c r="M4" s="26" t="s">
        <v>200</v>
      </c>
      <c r="N4" s="45">
        <f t="shared" si="0"/>
        <v>1719.7368421052631</v>
      </c>
      <c r="O4" s="42">
        <v>130700</v>
      </c>
      <c r="P4" s="37">
        <v>76</v>
      </c>
    </row>
    <row r="5" spans="1:16" x14ac:dyDescent="0.4">
      <c r="A5" s="58" t="s">
        <v>7</v>
      </c>
      <c r="B5" s="88">
        <f>IF(B$2=0,0,B$4/B$2)</f>
        <v>-4.8223529411764696</v>
      </c>
      <c r="C5" s="89"/>
      <c r="E5" s="68" t="s">
        <v>78</v>
      </c>
      <c r="F5" s="64" t="s">
        <v>31</v>
      </c>
      <c r="G5" s="50">
        <v>55</v>
      </c>
      <c r="H5" s="27">
        <f>IF(B$25=0,0,G5/B$25)</f>
        <v>0.55000000000000004</v>
      </c>
      <c r="J5" s="26">
        <v>3</v>
      </c>
      <c r="K5" s="28">
        <v>-36.4</v>
      </c>
      <c r="M5" s="26" t="s">
        <v>201</v>
      </c>
      <c r="N5" s="45">
        <f t="shared" si="0"/>
        <v>-2104.4776119402986</v>
      </c>
      <c r="O5" s="42">
        <v>-141000</v>
      </c>
      <c r="P5" s="37">
        <v>67</v>
      </c>
    </row>
    <row r="6" spans="1:16" x14ac:dyDescent="0.4">
      <c r="A6" s="58" t="s">
        <v>1</v>
      </c>
      <c r="B6" s="90">
        <f>IF(B$2=0,0,(B$7*1+B$8*2+B$9*3)/B$2)</f>
        <v>2.1294117647058823</v>
      </c>
      <c r="C6" s="91"/>
      <c r="E6" s="68" t="s">
        <v>74</v>
      </c>
      <c r="F6" s="64" t="s">
        <v>12</v>
      </c>
      <c r="G6" s="50">
        <v>32</v>
      </c>
      <c r="H6" s="27">
        <f>IF(B$25=0,0,G6/B$25)</f>
        <v>0.32</v>
      </c>
      <c r="J6" s="26">
        <v>4</v>
      </c>
      <c r="K6" s="28">
        <v>3.6000000000000014</v>
      </c>
      <c r="M6" s="26" t="s">
        <v>202</v>
      </c>
      <c r="N6" s="45">
        <f t="shared" si="0"/>
        <v>-2888.8888888888887</v>
      </c>
      <c r="O6" s="42">
        <v>-156000</v>
      </c>
      <c r="P6" s="37">
        <v>54</v>
      </c>
    </row>
    <row r="7" spans="1:16" x14ac:dyDescent="0.4">
      <c r="A7" s="58" t="s">
        <v>2</v>
      </c>
      <c r="B7" s="50">
        <v>25</v>
      </c>
      <c r="C7" s="27">
        <f>IF(B$2=0,0,B7/B$2)</f>
        <v>0.29411764705882354</v>
      </c>
      <c r="E7" s="68" t="s">
        <v>72</v>
      </c>
      <c r="F7" s="64" t="s">
        <v>26</v>
      </c>
      <c r="G7" s="50">
        <v>24</v>
      </c>
      <c r="H7" s="27">
        <f>IF(B$25=0,0,G7/B$25)</f>
        <v>0.24</v>
      </c>
      <c r="J7" s="26">
        <v>5</v>
      </c>
      <c r="K7" s="28">
        <v>14.600000000000001</v>
      </c>
      <c r="M7" s="31" t="s">
        <v>203</v>
      </c>
      <c r="N7" s="46">
        <f t="shared" si="0"/>
        <v>-2697.560975609756</v>
      </c>
      <c r="O7" s="43">
        <v>-110600</v>
      </c>
      <c r="P7" s="38">
        <v>41</v>
      </c>
    </row>
    <row r="8" spans="1:16" x14ac:dyDescent="0.4">
      <c r="A8" s="58" t="s">
        <v>3</v>
      </c>
      <c r="B8" s="50">
        <v>24</v>
      </c>
      <c r="C8" s="27">
        <f t="shared" ref="C8:C9" si="1">IF(B$2=0,0,B8/B$2)</f>
        <v>0.28235294117647058</v>
      </c>
      <c r="E8" s="68" t="s">
        <v>75</v>
      </c>
      <c r="F8" s="64" t="s">
        <v>28</v>
      </c>
      <c r="G8" s="50">
        <v>14</v>
      </c>
      <c r="H8" s="27">
        <f>IF(B$25=0,0,G8/B$25)</f>
        <v>0.14000000000000001</v>
      </c>
      <c r="J8" s="26">
        <v>6</v>
      </c>
      <c r="K8" s="28">
        <v>47.6</v>
      </c>
    </row>
    <row r="9" spans="1:16" x14ac:dyDescent="0.4">
      <c r="A9" s="59" t="s">
        <v>4</v>
      </c>
      <c r="B9" s="51">
        <v>36</v>
      </c>
      <c r="C9" s="29">
        <f t="shared" si="1"/>
        <v>0.42352941176470588</v>
      </c>
      <c r="E9" s="68" t="s">
        <v>76</v>
      </c>
      <c r="F9" s="64" t="s">
        <v>29</v>
      </c>
      <c r="G9" s="50">
        <v>14</v>
      </c>
      <c r="H9" s="27">
        <f>IF(B$25=0,0,G9/B$25)</f>
        <v>0.14000000000000001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21</v>
      </c>
      <c r="C10" s="29">
        <f>IF(B$2=0,0,B10/B$2)</f>
        <v>0.24705882352941178</v>
      </c>
      <c r="E10" s="68" t="s">
        <v>96</v>
      </c>
      <c r="F10" s="64" t="s">
        <v>49</v>
      </c>
      <c r="G10" s="50">
        <v>14</v>
      </c>
      <c r="H10" s="27">
        <f>IF(B$25=0,0,G10/B$25)</f>
        <v>0.14000000000000001</v>
      </c>
      <c r="J10" s="26">
        <v>8</v>
      </c>
      <c r="K10" s="28">
        <v>60.199999999999996</v>
      </c>
    </row>
    <row r="11" spans="1:16" x14ac:dyDescent="0.4">
      <c r="A11" s="60" t="s">
        <v>208</v>
      </c>
      <c r="B11" s="52">
        <v>13</v>
      </c>
      <c r="C11" s="32">
        <f>IF(B$2=0,0,B11/B$2)</f>
        <v>0.15294117647058825</v>
      </c>
      <c r="E11" s="68" t="s">
        <v>93</v>
      </c>
      <c r="F11" s="64" t="s">
        <v>46</v>
      </c>
      <c r="G11" s="50">
        <v>13</v>
      </c>
      <c r="H11" s="27">
        <f>IF(B$25=0,0,G11/B$25)</f>
        <v>0.13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106</v>
      </c>
      <c r="C12" s="35">
        <f>IF(B$24=0,0,B12/B$24)</f>
        <v>0.28342245989304815</v>
      </c>
      <c r="E12" s="68" t="s">
        <v>70</v>
      </c>
      <c r="F12" s="64" t="s">
        <v>24</v>
      </c>
      <c r="G12" s="50">
        <v>12</v>
      </c>
      <c r="H12" s="27">
        <f>IF(B$25=0,0,G12/B$25)</f>
        <v>0.12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67</v>
      </c>
      <c r="C13" s="27">
        <f>IF(B$24=0,0,B13/B$24)</f>
        <v>0.17914438502673796</v>
      </c>
      <c r="E13" s="68" t="s">
        <v>90</v>
      </c>
      <c r="F13" s="64" t="s">
        <v>43</v>
      </c>
      <c r="G13" s="50">
        <v>10</v>
      </c>
      <c r="H13" s="27">
        <f>IF(B$25=0,0,G13/B$25)</f>
        <v>0.1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59</v>
      </c>
      <c r="C14" s="24">
        <f>IF(B$12=0,0,B14/B$12)</f>
        <v>0.55660377358490565</v>
      </c>
      <c r="E14" s="68" t="s">
        <v>98</v>
      </c>
      <c r="F14" s="64" t="s">
        <v>51</v>
      </c>
      <c r="G14" s="50">
        <v>6</v>
      </c>
      <c r="H14" s="27">
        <f>IF(B$25=0,0,G14/B$25)</f>
        <v>0.06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26</v>
      </c>
      <c r="C15" s="24">
        <f>IF(B$13=0,0,B15/B$13)</f>
        <v>0.38805970149253732</v>
      </c>
      <c r="E15" s="68" t="s">
        <v>77</v>
      </c>
      <c r="F15" s="64" t="s">
        <v>30</v>
      </c>
      <c r="G15" s="50">
        <v>4</v>
      </c>
      <c r="H15" s="27">
        <f>IF(B$25=0,0,G15/B$25)</f>
        <v>0.04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161</v>
      </c>
      <c r="C16" s="24">
        <f>IF(B$3=0,0,B16/B$3)</f>
        <v>0.25354330708661416</v>
      </c>
      <c r="E16" s="68" t="s">
        <v>88</v>
      </c>
      <c r="F16" s="64" t="s">
        <v>41</v>
      </c>
      <c r="G16" s="50">
        <v>4</v>
      </c>
      <c r="H16" s="27">
        <f>IF(B$25=0,0,G16/B$25)</f>
        <v>0.04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96</v>
      </c>
      <c r="C17" s="27">
        <f>IF(B$3=0,0,B17/B$3)</f>
        <v>0.15118110236220472</v>
      </c>
      <c r="E17" s="68" t="s">
        <v>84</v>
      </c>
      <c r="F17" s="64" t="s">
        <v>37</v>
      </c>
      <c r="G17" s="50">
        <v>2</v>
      </c>
      <c r="H17" s="27">
        <f>IF(B$25=0,0,G17/B$25)</f>
        <v>0.02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65</v>
      </c>
      <c r="C18" s="27">
        <f>IF(B$3=0,0,B18/B$3)</f>
        <v>0.10236220472440945</v>
      </c>
      <c r="E18" s="68" t="s">
        <v>85</v>
      </c>
      <c r="F18" s="64" t="s">
        <v>38</v>
      </c>
      <c r="G18" s="50">
        <v>2</v>
      </c>
      <c r="H18" s="27">
        <f>IF(B$25=0,0,G18/B$25)</f>
        <v>0.02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125</v>
      </c>
      <c r="C19" s="27">
        <f>IF(B$3=0,0,B19/B$3)</f>
        <v>0.19685039370078741</v>
      </c>
      <c r="E19" s="68" t="s">
        <v>92</v>
      </c>
      <c r="F19" s="64" t="s">
        <v>45</v>
      </c>
      <c r="G19" s="50">
        <v>2</v>
      </c>
      <c r="H19" s="27">
        <f>IF(B$25=0,0,G19/B$25)</f>
        <v>0.02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11440.372670807454</v>
      </c>
      <c r="C20" s="30">
        <v>1841900</v>
      </c>
      <c r="E20" s="68" t="s">
        <v>99</v>
      </c>
      <c r="F20" s="64" t="s">
        <v>52</v>
      </c>
      <c r="G20" s="50">
        <v>2</v>
      </c>
      <c r="H20" s="27">
        <f>IF(B$25=0,0,G20/B$25)</f>
        <v>0.02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-10404</v>
      </c>
      <c r="C21" s="48">
        <v>-1300500</v>
      </c>
      <c r="E21" s="68" t="s">
        <v>87</v>
      </c>
      <c r="F21" s="64" t="s">
        <v>40</v>
      </c>
      <c r="G21" s="50">
        <v>1</v>
      </c>
      <c r="H21" s="27">
        <f>IF(B$25=0,0,G21/B$25)</f>
        <v>0.01</v>
      </c>
      <c r="J21" s="26">
        <v>19</v>
      </c>
      <c r="K21" s="28">
        <v>-26.699999999999996</v>
      </c>
    </row>
    <row r="22" spans="1:11" x14ac:dyDescent="0.4">
      <c r="A22" s="57" t="s">
        <v>195</v>
      </c>
      <c r="B22" s="49">
        <v>196</v>
      </c>
      <c r="C22" s="24">
        <f>IF(B$3=0,0,B22/B$3)</f>
        <v>0.30866141732283464</v>
      </c>
      <c r="E22" s="68" t="s">
        <v>91</v>
      </c>
      <c r="F22" s="64" t="s">
        <v>44</v>
      </c>
      <c r="G22" s="50">
        <v>1</v>
      </c>
      <c r="H22" s="27">
        <f>IF(B$25=0,0,G22/B$25)</f>
        <v>0.01</v>
      </c>
      <c r="J22" s="26">
        <v>20</v>
      </c>
      <c r="K22" s="28">
        <v>-57.899999999999991</v>
      </c>
    </row>
    <row r="23" spans="1:11" x14ac:dyDescent="0.4">
      <c r="A23" s="60" t="s">
        <v>196</v>
      </c>
      <c r="B23" s="52">
        <v>60</v>
      </c>
      <c r="C23" s="32">
        <f>IF(B$22=0,0,B23/B$22)</f>
        <v>0.30612244897959184</v>
      </c>
      <c r="E23" s="68" t="s">
        <v>94</v>
      </c>
      <c r="F23" s="64" t="s">
        <v>47</v>
      </c>
      <c r="G23" s="50">
        <v>1</v>
      </c>
      <c r="H23" s="27">
        <f>IF(B$25=0,0,G23/B$25)</f>
        <v>0.01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0">
        <v>374</v>
      </c>
      <c r="C24" s="81"/>
      <c r="E24" s="68" t="s">
        <v>95</v>
      </c>
      <c r="F24" s="64" t="s">
        <v>48</v>
      </c>
      <c r="G24" s="50">
        <v>1</v>
      </c>
      <c r="H24" s="27">
        <f>IF(B$25=0,0,G24/B$25)</f>
        <v>0.01</v>
      </c>
      <c r="J24" s="26">
        <v>22</v>
      </c>
      <c r="K24" s="28">
        <v>-94.6</v>
      </c>
    </row>
    <row r="25" spans="1:11" x14ac:dyDescent="0.4">
      <c r="A25" s="60" t="s">
        <v>129</v>
      </c>
      <c r="B25" s="82">
        <v>100</v>
      </c>
      <c r="C25" s="83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</sheetData>
  <sortState ref="E2:H87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A2F9F-0FD4-4047-A739-7AA829AC6284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188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45</v>
      </c>
      <c r="C2" s="81"/>
      <c r="E2" s="67" t="s">
        <v>71</v>
      </c>
      <c r="F2" s="63" t="s">
        <v>25</v>
      </c>
      <c r="G2" s="49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-895.55555555555554</v>
      </c>
      <c r="O2" s="41">
        <v>-40300</v>
      </c>
      <c r="P2" s="39">
        <v>45</v>
      </c>
    </row>
    <row r="3" spans="1:16" x14ac:dyDescent="0.4">
      <c r="A3" s="58" t="s">
        <v>8</v>
      </c>
      <c r="B3" s="86">
        <v>317</v>
      </c>
      <c r="C3" s="87"/>
      <c r="E3" s="68" t="s">
        <v>73</v>
      </c>
      <c r="F3" s="64" t="s">
        <v>27</v>
      </c>
      <c r="G3" s="50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199</v>
      </c>
      <c r="N3" s="45">
        <f t="shared" si="0"/>
        <v>3279.0697674418607</v>
      </c>
      <c r="O3" s="42">
        <v>141000</v>
      </c>
      <c r="P3" s="37">
        <v>43</v>
      </c>
    </row>
    <row r="4" spans="1:16" x14ac:dyDescent="0.4">
      <c r="A4" s="58" t="s">
        <v>6</v>
      </c>
      <c r="B4" s="88">
        <v>248.10000000000002</v>
      </c>
      <c r="C4" s="89"/>
      <c r="E4" s="68" t="s">
        <v>78</v>
      </c>
      <c r="F4" s="64" t="s">
        <v>31</v>
      </c>
      <c r="G4" s="50">
        <v>18</v>
      </c>
      <c r="H4" s="27">
        <f>IF(B$25=0,0,G4/B$25)</f>
        <v>0.75</v>
      </c>
      <c r="J4" s="26">
        <v>2</v>
      </c>
      <c r="K4" s="28">
        <v>-13.2</v>
      </c>
      <c r="M4" s="26" t="s">
        <v>200</v>
      </c>
      <c r="N4" s="45">
        <f t="shared" si="0"/>
        <v>-307.3170731707317</v>
      </c>
      <c r="O4" s="42">
        <v>-12600</v>
      </c>
      <c r="P4" s="37">
        <v>41</v>
      </c>
    </row>
    <row r="5" spans="1:16" x14ac:dyDescent="0.4">
      <c r="A5" s="58" t="s">
        <v>7</v>
      </c>
      <c r="B5" s="88">
        <f>IF(B$2=0,0,B$4/B$2)</f>
        <v>5.5133333333333336</v>
      </c>
      <c r="C5" s="89"/>
      <c r="E5" s="68" t="s">
        <v>69</v>
      </c>
      <c r="F5" s="64" t="s">
        <v>23</v>
      </c>
      <c r="G5" s="50">
        <v>9</v>
      </c>
      <c r="H5" s="27">
        <f>IF(B$25=0,0,G5/B$25)</f>
        <v>0.375</v>
      </c>
      <c r="J5" s="26">
        <v>3</v>
      </c>
      <c r="K5" s="28">
        <v>-57.7</v>
      </c>
      <c r="M5" s="26" t="s">
        <v>201</v>
      </c>
      <c r="N5" s="45">
        <f t="shared" si="0"/>
        <v>-1417.6470588235295</v>
      </c>
      <c r="O5" s="42">
        <v>-48200</v>
      </c>
      <c r="P5" s="37">
        <v>34</v>
      </c>
    </row>
    <row r="6" spans="1:16" x14ac:dyDescent="0.4">
      <c r="A6" s="58" t="s">
        <v>1</v>
      </c>
      <c r="B6" s="90">
        <f>IF(B$2=0,0,(B$7*1+B$8*2+B$9*3)/B$2)</f>
        <v>1.8666666666666667</v>
      </c>
      <c r="C6" s="91"/>
      <c r="E6" s="68" t="s">
        <v>72</v>
      </c>
      <c r="F6" s="64" t="s">
        <v>26</v>
      </c>
      <c r="G6" s="50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202</v>
      </c>
      <c r="N6" s="45">
        <f t="shared" si="0"/>
        <v>7442.8571428571431</v>
      </c>
      <c r="O6" s="42">
        <v>208400</v>
      </c>
      <c r="P6" s="37">
        <v>28</v>
      </c>
    </row>
    <row r="7" spans="1:16" x14ac:dyDescent="0.4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>IF(B$25=0,0,G7/B$25)</f>
        <v>0.25</v>
      </c>
      <c r="J7" s="26">
        <v>5</v>
      </c>
      <c r="K7" s="28">
        <v>-45.7</v>
      </c>
      <c r="M7" s="31" t="s">
        <v>203</v>
      </c>
      <c r="N7" s="46">
        <f t="shared" si="0"/>
        <v>122.22222222222223</v>
      </c>
      <c r="O7" s="43">
        <v>2200</v>
      </c>
      <c r="P7" s="38">
        <v>18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0.42222222222222222</v>
      </c>
      <c r="E8" s="68" t="s">
        <v>70</v>
      </c>
      <c r="F8" s="64" t="s">
        <v>24</v>
      </c>
      <c r="G8" s="50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10</v>
      </c>
      <c r="C9" s="29">
        <f t="shared" si="1"/>
        <v>0.22222222222222221</v>
      </c>
      <c r="E9" s="68" t="s">
        <v>90</v>
      </c>
      <c r="F9" s="64" t="s">
        <v>43</v>
      </c>
      <c r="G9" s="50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0">
        <v>79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2">
        <v>24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93C6D-2D3B-41D9-B8D1-30DD49F805CA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218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</v>
      </c>
      <c r="C2" s="81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86">
        <v>37</v>
      </c>
      <c r="C3" s="87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88">
        <v>-86.4</v>
      </c>
      <c r="C4" s="89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88">
        <f>IF(B$2=0,0,B$4/B$2)</f>
        <v>-17.28</v>
      </c>
      <c r="C5" s="89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0">
        <f>IF(B$2=0,0,(B$7*1+B$8*2+B$9*3)/B$2)</f>
        <v>2.2000000000000002</v>
      </c>
      <c r="C6" s="91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31</v>
      </c>
      <c r="C24" s="81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9</v>
      </c>
      <c r="C25" s="83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F8B3D-33FD-4723-8136-94F6F88AFDB3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189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40</v>
      </c>
      <c r="C2" s="81"/>
      <c r="E2" s="67" t="s">
        <v>73</v>
      </c>
      <c r="F2" s="63" t="s">
        <v>27</v>
      </c>
      <c r="G2" s="49">
        <v>28</v>
      </c>
      <c r="H2" s="24">
        <f>IF(B$25=0,0,G2/B$25)</f>
        <v>0.875</v>
      </c>
      <c r="J2" s="23">
        <v>0</v>
      </c>
      <c r="K2" s="25">
        <v>0</v>
      </c>
      <c r="M2" s="23" t="s">
        <v>198</v>
      </c>
      <c r="N2" s="44">
        <f t="shared" ref="N2:N7" si="0">IF(P2=0,0,O2/P2)</f>
        <v>-1707.5</v>
      </c>
      <c r="O2" s="41">
        <v>-68300</v>
      </c>
      <c r="P2" s="39">
        <v>40</v>
      </c>
    </row>
    <row r="3" spans="1:16" x14ac:dyDescent="0.4">
      <c r="A3" s="58" t="s">
        <v>8</v>
      </c>
      <c r="B3" s="86">
        <v>307</v>
      </c>
      <c r="C3" s="87"/>
      <c r="E3" s="68" t="s">
        <v>78</v>
      </c>
      <c r="F3" s="64" t="s">
        <v>31</v>
      </c>
      <c r="G3" s="50">
        <v>24</v>
      </c>
      <c r="H3" s="27">
        <f>IF(B$25=0,0,G3/B$25)</f>
        <v>0.75</v>
      </c>
      <c r="J3" s="26">
        <v>1</v>
      </c>
      <c r="K3" s="28">
        <v>68.2</v>
      </c>
      <c r="M3" s="26" t="s">
        <v>199</v>
      </c>
      <c r="N3" s="45">
        <f t="shared" si="0"/>
        <v>-2537.8378378378379</v>
      </c>
      <c r="O3" s="42">
        <v>-93900</v>
      </c>
      <c r="P3" s="37">
        <v>37</v>
      </c>
    </row>
    <row r="4" spans="1:16" x14ac:dyDescent="0.4">
      <c r="A4" s="58" t="s">
        <v>6</v>
      </c>
      <c r="B4" s="88">
        <v>-107.80000000000001</v>
      </c>
      <c r="C4" s="89"/>
      <c r="E4" s="68" t="s">
        <v>71</v>
      </c>
      <c r="F4" s="64" t="s">
        <v>25</v>
      </c>
      <c r="G4" s="50">
        <v>19</v>
      </c>
      <c r="H4" s="27">
        <f>IF(B$25=0,0,G4/B$25)</f>
        <v>0.59375</v>
      </c>
      <c r="J4" s="26">
        <v>2</v>
      </c>
      <c r="K4" s="28">
        <v>58.5</v>
      </c>
      <c r="M4" s="26" t="s">
        <v>200</v>
      </c>
      <c r="N4" s="45">
        <f t="shared" si="0"/>
        <v>-1245.1612903225807</v>
      </c>
      <c r="O4" s="42">
        <v>-38600</v>
      </c>
      <c r="P4" s="37">
        <v>31</v>
      </c>
    </row>
    <row r="5" spans="1:16" x14ac:dyDescent="0.4">
      <c r="A5" s="58" t="s">
        <v>7</v>
      </c>
      <c r="B5" s="88">
        <f>IF(B$2=0,0,B$4/B$2)</f>
        <v>-2.6950000000000003</v>
      </c>
      <c r="C5" s="89"/>
      <c r="E5" s="68" t="s">
        <v>69</v>
      </c>
      <c r="F5" s="64" t="s">
        <v>23</v>
      </c>
      <c r="G5" s="50">
        <v>11</v>
      </c>
      <c r="H5" s="27">
        <f>IF(B$25=0,0,G5/B$25)</f>
        <v>0.34375</v>
      </c>
      <c r="J5" s="26">
        <v>3</v>
      </c>
      <c r="K5" s="28">
        <v>82.1</v>
      </c>
      <c r="M5" s="26" t="s">
        <v>201</v>
      </c>
      <c r="N5" s="45">
        <f t="shared" si="0"/>
        <v>3148.2758620689656</v>
      </c>
      <c r="O5" s="42">
        <v>91300</v>
      </c>
      <c r="P5" s="37">
        <v>29</v>
      </c>
    </row>
    <row r="6" spans="1:16" x14ac:dyDescent="0.4">
      <c r="A6" s="58" t="s">
        <v>1</v>
      </c>
      <c r="B6" s="90">
        <f>IF(B$2=0,0,(B$7*1+B$8*2+B$9*3)/B$2)</f>
        <v>2.1</v>
      </c>
      <c r="C6" s="91"/>
      <c r="E6" s="68" t="s">
        <v>70</v>
      </c>
      <c r="F6" s="64" t="s">
        <v>24</v>
      </c>
      <c r="G6" s="50">
        <v>5</v>
      </c>
      <c r="H6" s="27">
        <f>IF(B$25=0,0,G6/B$25)</f>
        <v>0.15625</v>
      </c>
      <c r="J6" s="26">
        <v>4</v>
      </c>
      <c r="K6" s="28">
        <v>58.199999999999996</v>
      </c>
      <c r="M6" s="26" t="s">
        <v>202</v>
      </c>
      <c r="N6" s="45">
        <f t="shared" si="0"/>
        <v>-986.36363636363637</v>
      </c>
      <c r="O6" s="42">
        <v>-21700</v>
      </c>
      <c r="P6" s="37">
        <v>22</v>
      </c>
    </row>
    <row r="7" spans="1:16" x14ac:dyDescent="0.4">
      <c r="A7" s="58" t="s">
        <v>2</v>
      </c>
      <c r="B7" s="50">
        <v>10</v>
      </c>
      <c r="C7" s="27">
        <f>IF(B$2=0,0,B7/B$2)</f>
        <v>0.25</v>
      </c>
      <c r="E7" s="68" t="s">
        <v>74</v>
      </c>
      <c r="F7" s="64" t="s">
        <v>12</v>
      </c>
      <c r="G7" s="50">
        <v>4</v>
      </c>
      <c r="H7" s="27">
        <f>IF(B$25=0,0,G7/B$25)</f>
        <v>0.125</v>
      </c>
      <c r="J7" s="26">
        <v>5</v>
      </c>
      <c r="K7" s="28">
        <v>124.19999999999999</v>
      </c>
      <c r="M7" s="31" t="s">
        <v>203</v>
      </c>
      <c r="N7" s="46">
        <f t="shared" si="0"/>
        <v>1300</v>
      </c>
      <c r="O7" s="43">
        <v>23400</v>
      </c>
      <c r="P7" s="38">
        <v>18</v>
      </c>
    </row>
    <row r="8" spans="1:16" x14ac:dyDescent="0.4">
      <c r="A8" s="58" t="s">
        <v>3</v>
      </c>
      <c r="B8" s="50">
        <v>16</v>
      </c>
      <c r="C8" s="27">
        <f t="shared" ref="C8:C9" si="1">IF(B$2=0,0,B8/B$2)</f>
        <v>0.4</v>
      </c>
      <c r="E8" s="68" t="s">
        <v>72</v>
      </c>
      <c r="F8" s="64" t="s">
        <v>26</v>
      </c>
      <c r="G8" s="50">
        <v>3</v>
      </c>
      <c r="H8" s="27">
        <f>IF(B$25=0,0,G8/B$25)</f>
        <v>9.375E-2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14</v>
      </c>
      <c r="C9" s="29">
        <f t="shared" si="1"/>
        <v>0.35</v>
      </c>
      <c r="E9" s="68" t="s">
        <v>75</v>
      </c>
      <c r="F9" s="64" t="s">
        <v>28</v>
      </c>
      <c r="G9" s="50">
        <v>3</v>
      </c>
      <c r="H9" s="27">
        <f>IF(B$25=0,0,G9/B$25)</f>
        <v>9.375E-2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6</v>
      </c>
      <c r="C10" s="29">
        <f>IF(B$2=0,0,B10/B$2)</f>
        <v>0.15</v>
      </c>
      <c r="E10" s="68" t="s">
        <v>96</v>
      </c>
      <c r="F10" s="64" t="s">
        <v>49</v>
      </c>
      <c r="G10" s="50">
        <v>3</v>
      </c>
      <c r="H10" s="27">
        <f>IF(B$25=0,0,G10/B$25)</f>
        <v>9.375E-2</v>
      </c>
      <c r="J10" s="26">
        <v>8</v>
      </c>
      <c r="K10" s="28">
        <v>97</v>
      </c>
    </row>
    <row r="11" spans="1:16" x14ac:dyDescent="0.4">
      <c r="A11" s="60" t="s">
        <v>208</v>
      </c>
      <c r="B11" s="52">
        <v>7</v>
      </c>
      <c r="C11" s="32">
        <f>IF(B$2=0,0,B11/B$2)</f>
        <v>0.17499999999999999</v>
      </c>
      <c r="E11" s="68" t="s">
        <v>84</v>
      </c>
      <c r="F11" s="64" t="s">
        <v>37</v>
      </c>
      <c r="G11" s="50">
        <v>2</v>
      </c>
      <c r="H11" s="27">
        <f>IF(B$25=0,0,G11/B$25)</f>
        <v>6.25E-2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26</v>
      </c>
      <c r="C12" s="35">
        <f>IF(B$24=0,0,B12/B$24)</f>
        <v>0.21666666666666667</v>
      </c>
      <c r="E12" s="68" t="s">
        <v>85</v>
      </c>
      <c r="F12" s="64" t="s">
        <v>38</v>
      </c>
      <c r="G12" s="50">
        <v>2</v>
      </c>
      <c r="H12" s="27">
        <f>IF(B$25=0,0,G12/B$25)</f>
        <v>6.25E-2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38</v>
      </c>
      <c r="C13" s="27">
        <f>IF(B$24=0,0,B13/B$24)</f>
        <v>0.31666666666666665</v>
      </c>
      <c r="E13" s="68" t="s">
        <v>93</v>
      </c>
      <c r="F13" s="64" t="s">
        <v>46</v>
      </c>
      <c r="G13" s="50">
        <v>2</v>
      </c>
      <c r="H13" s="27">
        <f>IF(B$25=0,0,G13/B$25)</f>
        <v>6.25E-2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10</v>
      </c>
      <c r="C14" s="24">
        <f>IF(B$12=0,0,B14/B$12)</f>
        <v>0.38461538461538464</v>
      </c>
      <c r="E14" s="68" t="s">
        <v>76</v>
      </c>
      <c r="F14" s="64" t="s">
        <v>29</v>
      </c>
      <c r="G14" s="50">
        <v>1</v>
      </c>
      <c r="H14" s="27">
        <f>IF(B$25=0,0,G14/B$25)</f>
        <v>3.125E-2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16</v>
      </c>
      <c r="C15" s="24">
        <f>IF(B$13=0,0,B15/B$13)</f>
        <v>0.42105263157894735</v>
      </c>
      <c r="E15" s="68" t="s">
        <v>77</v>
      </c>
      <c r="F15" s="64" t="s">
        <v>30</v>
      </c>
      <c r="G15" s="50">
        <v>1</v>
      </c>
      <c r="H15" s="27">
        <f>IF(B$25=0,0,G15/B$25)</f>
        <v>3.125E-2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86</v>
      </c>
      <c r="C16" s="24">
        <f>IF(B$3=0,0,B16/B$3)</f>
        <v>0.28013029315960913</v>
      </c>
      <c r="E16" s="68" t="s">
        <v>81</v>
      </c>
      <c r="F16" s="64" t="s">
        <v>34</v>
      </c>
      <c r="G16" s="50">
        <v>1</v>
      </c>
      <c r="H16" s="27">
        <f>IF(B$25=0,0,G16/B$25)</f>
        <v>3.125E-2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51</v>
      </c>
      <c r="C17" s="27">
        <f>IF(B$3=0,0,B17/B$3)</f>
        <v>0.16612377850162866</v>
      </c>
      <c r="E17" s="68" t="s">
        <v>88</v>
      </c>
      <c r="F17" s="64" t="s">
        <v>41</v>
      </c>
      <c r="G17" s="50">
        <v>1</v>
      </c>
      <c r="H17" s="27">
        <f>IF(B$25=0,0,G17/B$25)</f>
        <v>3.125E-2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35</v>
      </c>
      <c r="C18" s="27">
        <f>IF(B$3=0,0,B18/B$3)</f>
        <v>0.11400651465798045</v>
      </c>
      <c r="E18" s="68" t="s">
        <v>90</v>
      </c>
      <c r="F18" s="64" t="s">
        <v>43</v>
      </c>
      <c r="G18" s="50">
        <v>1</v>
      </c>
      <c r="H18" s="27">
        <f>IF(B$25=0,0,G18/B$25)</f>
        <v>3.125E-2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61</v>
      </c>
      <c r="C19" s="27">
        <f>IF(B$3=0,0,B19/B$3)</f>
        <v>0.1986970684039088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9869.7674418604656</v>
      </c>
      <c r="C20" s="30">
        <v>848800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-8024.5901639344265</v>
      </c>
      <c r="C21" s="48">
        <v>-489500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195</v>
      </c>
      <c r="B22" s="49">
        <v>86</v>
      </c>
      <c r="C22" s="24">
        <f>IF(B$3=0,0,B22/B$3)</f>
        <v>0.28013029315960913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196</v>
      </c>
      <c r="B23" s="52">
        <v>35</v>
      </c>
      <c r="C23" s="32">
        <f>IF(B$22=0,0,B23/B$22)</f>
        <v>0.40697674418604651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0">
        <v>120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2">
        <v>32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CB7E-FB2A-4356-AEC9-F7F223174839}">
  <sheetPr codeName="Sheet11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190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49</v>
      </c>
      <c r="C2" s="81"/>
      <c r="E2" s="67" t="s">
        <v>71</v>
      </c>
      <c r="F2" s="63" t="s">
        <v>25</v>
      </c>
      <c r="G2" s="49">
        <v>72</v>
      </c>
      <c r="H2" s="24">
        <f>IF(B$25=0,0,G2/B$25)</f>
        <v>0.88888888888888884</v>
      </c>
      <c r="J2" s="23">
        <v>0</v>
      </c>
      <c r="K2" s="25">
        <v>0</v>
      </c>
      <c r="M2" s="23" t="s">
        <v>198</v>
      </c>
      <c r="N2" s="44">
        <f t="shared" ref="N2:N7" si="0">IF(P2=0,0,O2/P2)</f>
        <v>3555.3191489361702</v>
      </c>
      <c r="O2" s="41">
        <v>167100</v>
      </c>
      <c r="P2" s="39">
        <v>47</v>
      </c>
    </row>
    <row r="3" spans="1:16" x14ac:dyDescent="0.4">
      <c r="A3" s="58" t="s">
        <v>8</v>
      </c>
      <c r="B3" s="86">
        <v>372</v>
      </c>
      <c r="C3" s="87"/>
      <c r="E3" s="68" t="s">
        <v>73</v>
      </c>
      <c r="F3" s="64" t="s">
        <v>27</v>
      </c>
      <c r="G3" s="50">
        <v>72</v>
      </c>
      <c r="H3" s="27">
        <f>IF(B$25=0,0,G3/B$25)</f>
        <v>0.88888888888888884</v>
      </c>
      <c r="J3" s="26">
        <v>1</v>
      </c>
      <c r="K3" s="28">
        <v>-36.700000000000003</v>
      </c>
      <c r="M3" s="26" t="s">
        <v>199</v>
      </c>
      <c r="N3" s="45">
        <f t="shared" si="0"/>
        <v>-572.72727272727275</v>
      </c>
      <c r="O3" s="42">
        <v>-25200</v>
      </c>
      <c r="P3" s="37">
        <v>44</v>
      </c>
    </row>
    <row r="4" spans="1:16" x14ac:dyDescent="0.4">
      <c r="A4" s="58" t="s">
        <v>6</v>
      </c>
      <c r="B4" s="88">
        <v>175.29999999999995</v>
      </c>
      <c r="C4" s="89"/>
      <c r="E4" s="68" t="s">
        <v>69</v>
      </c>
      <c r="F4" s="64" t="s">
        <v>23</v>
      </c>
      <c r="G4" s="50">
        <v>50</v>
      </c>
      <c r="H4" s="27">
        <f>IF(B$25=0,0,G4/B$25)</f>
        <v>0.61728395061728392</v>
      </c>
      <c r="J4" s="26">
        <v>2</v>
      </c>
      <c r="K4" s="28">
        <v>-45.300000000000004</v>
      </c>
      <c r="M4" s="26" t="s">
        <v>200</v>
      </c>
      <c r="N4" s="45">
        <f t="shared" si="0"/>
        <v>-340</v>
      </c>
      <c r="O4" s="42">
        <v>-13600</v>
      </c>
      <c r="P4" s="37">
        <v>40</v>
      </c>
    </row>
    <row r="5" spans="1:16" x14ac:dyDescent="0.4">
      <c r="A5" s="58" t="s">
        <v>7</v>
      </c>
      <c r="B5" s="88">
        <f>IF(B$2=0,0,B$4/B$2)</f>
        <v>3.5775510204081624</v>
      </c>
      <c r="C5" s="89"/>
      <c r="E5" s="68" t="s">
        <v>78</v>
      </c>
      <c r="F5" s="64" t="s">
        <v>31</v>
      </c>
      <c r="G5" s="50">
        <v>49</v>
      </c>
      <c r="H5" s="27">
        <f>IF(B$25=0,0,G5/B$25)</f>
        <v>0.60493827160493829</v>
      </c>
      <c r="J5" s="26">
        <v>3</v>
      </c>
      <c r="K5" s="28">
        <v>-81.7</v>
      </c>
      <c r="M5" s="26" t="s">
        <v>201</v>
      </c>
      <c r="N5" s="45">
        <f t="shared" si="0"/>
        <v>-1340.5405405405406</v>
      </c>
      <c r="O5" s="42">
        <v>-49600</v>
      </c>
      <c r="P5" s="37">
        <v>37</v>
      </c>
    </row>
    <row r="6" spans="1:16" x14ac:dyDescent="0.4">
      <c r="A6" s="58" t="s">
        <v>1</v>
      </c>
      <c r="B6" s="90">
        <f>IF(B$2=0,0,(B$7*1+B$8*2+B$9*3)/B$2)</f>
        <v>1.9183673469387754</v>
      </c>
      <c r="C6" s="91"/>
      <c r="E6" s="68" t="s">
        <v>72</v>
      </c>
      <c r="F6" s="64" t="s">
        <v>26</v>
      </c>
      <c r="G6" s="50">
        <v>26</v>
      </c>
      <c r="H6" s="27">
        <f>IF(B$25=0,0,G6/B$25)</f>
        <v>0.32098765432098764</v>
      </c>
      <c r="J6" s="26">
        <v>4</v>
      </c>
      <c r="K6" s="28">
        <v>-113.80000000000001</v>
      </c>
      <c r="M6" s="26" t="s">
        <v>202</v>
      </c>
      <c r="N6" s="45">
        <f t="shared" si="0"/>
        <v>1767.8571428571429</v>
      </c>
      <c r="O6" s="42">
        <v>49500</v>
      </c>
      <c r="P6" s="37">
        <v>28</v>
      </c>
    </row>
    <row r="7" spans="1:16" x14ac:dyDescent="0.4">
      <c r="A7" s="58" t="s">
        <v>2</v>
      </c>
      <c r="B7" s="50">
        <v>19</v>
      </c>
      <c r="C7" s="27">
        <f>IF(B$2=0,0,B7/B$2)</f>
        <v>0.38775510204081631</v>
      </c>
      <c r="E7" s="68" t="s">
        <v>74</v>
      </c>
      <c r="F7" s="64" t="s">
        <v>12</v>
      </c>
      <c r="G7" s="50">
        <v>25</v>
      </c>
      <c r="H7" s="27">
        <f>IF(B$25=0,0,G7/B$25)</f>
        <v>0.30864197530864196</v>
      </c>
      <c r="J7" s="26">
        <v>5</v>
      </c>
      <c r="K7" s="28">
        <v>-135.80000000000001</v>
      </c>
      <c r="M7" s="31" t="s">
        <v>203</v>
      </c>
      <c r="N7" s="46">
        <f t="shared" si="0"/>
        <v>266.66666666666669</v>
      </c>
      <c r="O7" s="43">
        <v>6400</v>
      </c>
      <c r="P7" s="38">
        <v>24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0.30612244897959184</v>
      </c>
      <c r="E8" s="68" t="s">
        <v>75</v>
      </c>
      <c r="F8" s="64" t="s">
        <v>28</v>
      </c>
      <c r="G8" s="50">
        <v>15</v>
      </c>
      <c r="H8" s="27">
        <f>IF(B$25=0,0,G8/B$25)</f>
        <v>0.18518518518518517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15</v>
      </c>
      <c r="C9" s="29">
        <f t="shared" si="1"/>
        <v>0.30612244897959184</v>
      </c>
      <c r="E9" s="68" t="s">
        <v>70</v>
      </c>
      <c r="F9" s="64" t="s">
        <v>24</v>
      </c>
      <c r="G9" s="50">
        <v>12</v>
      </c>
      <c r="H9" s="27">
        <f>IF(B$25=0,0,G9/B$25)</f>
        <v>0.14814814814814814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0.16326530612244897</v>
      </c>
      <c r="E10" s="68" t="s">
        <v>96</v>
      </c>
      <c r="F10" s="64" t="s">
        <v>49</v>
      </c>
      <c r="G10" s="50">
        <v>11</v>
      </c>
      <c r="H10" s="27">
        <f>IF(B$25=0,0,G10/B$25)</f>
        <v>0.13580246913580246</v>
      </c>
      <c r="J10" s="26">
        <v>8</v>
      </c>
      <c r="K10" s="28">
        <v>-51.800000000000018</v>
      </c>
    </row>
    <row r="11" spans="1:16" x14ac:dyDescent="0.4">
      <c r="A11" s="60" t="s">
        <v>208</v>
      </c>
      <c r="B11" s="52">
        <v>10</v>
      </c>
      <c r="C11" s="32">
        <f>IF(B$2=0,0,B11/B$2)</f>
        <v>0.20408163265306123</v>
      </c>
      <c r="E11" s="68" t="s">
        <v>76</v>
      </c>
      <c r="F11" s="64" t="s">
        <v>29</v>
      </c>
      <c r="G11" s="50">
        <v>6</v>
      </c>
      <c r="H11" s="27">
        <f>IF(B$25=0,0,G11/B$25)</f>
        <v>7.407407407407407E-2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83</v>
      </c>
      <c r="C12" s="35">
        <f>IF(B$24=0,0,B12/B$24)</f>
        <v>0.34728033472803349</v>
      </c>
      <c r="E12" s="68" t="s">
        <v>77</v>
      </c>
      <c r="F12" s="64" t="s">
        <v>30</v>
      </c>
      <c r="G12" s="50">
        <v>6</v>
      </c>
      <c r="H12" s="27">
        <f>IF(B$25=0,0,G12/B$25)</f>
        <v>7.407407407407407E-2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57</v>
      </c>
      <c r="C13" s="27">
        <f>IF(B$24=0,0,B13/B$24)</f>
        <v>0.2384937238493724</v>
      </c>
      <c r="E13" s="68" t="s">
        <v>93</v>
      </c>
      <c r="F13" s="64" t="s">
        <v>46</v>
      </c>
      <c r="G13" s="50">
        <v>5</v>
      </c>
      <c r="H13" s="27">
        <f>IF(B$25=0,0,G13/B$25)</f>
        <v>6.1728395061728392E-2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51</v>
      </c>
      <c r="C14" s="24">
        <f>IF(B$12=0,0,B14/B$12)</f>
        <v>0.61445783132530118</v>
      </c>
      <c r="E14" s="68" t="s">
        <v>84</v>
      </c>
      <c r="F14" s="64" t="s">
        <v>37</v>
      </c>
      <c r="G14" s="50">
        <v>3</v>
      </c>
      <c r="H14" s="27">
        <f>IF(B$25=0,0,G14/B$25)</f>
        <v>3.7037037037037035E-2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0.40350877192982454</v>
      </c>
      <c r="E15" s="68" t="s">
        <v>88</v>
      </c>
      <c r="F15" s="64" t="s">
        <v>41</v>
      </c>
      <c r="G15" s="50">
        <v>2</v>
      </c>
      <c r="H15" s="27">
        <f>IF(B$25=0,0,G15/B$25)</f>
        <v>2.4691358024691357E-2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119</v>
      </c>
      <c r="C16" s="24">
        <f>IF(B$3=0,0,B16/B$3)</f>
        <v>0.31989247311827956</v>
      </c>
      <c r="E16" s="68" t="s">
        <v>80</v>
      </c>
      <c r="F16" s="64" t="s">
        <v>33</v>
      </c>
      <c r="G16" s="50">
        <v>1</v>
      </c>
      <c r="H16" s="27">
        <f>IF(B$25=0,0,G16/B$25)</f>
        <v>1.2345679012345678E-2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71</v>
      </c>
      <c r="C17" s="27">
        <f>IF(B$3=0,0,B17/B$3)</f>
        <v>0.19086021505376344</v>
      </c>
      <c r="E17" s="68" t="s">
        <v>90</v>
      </c>
      <c r="F17" s="64" t="s">
        <v>43</v>
      </c>
      <c r="G17" s="50">
        <v>1</v>
      </c>
      <c r="H17" s="27">
        <f>IF(B$25=0,0,G17/B$25)</f>
        <v>1.2345679012345678E-2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48</v>
      </c>
      <c r="C18" s="27">
        <f>IF(B$3=0,0,B18/B$3)</f>
        <v>0.12903225806451613</v>
      </c>
      <c r="E18" s="68" t="s">
        <v>91</v>
      </c>
      <c r="F18" s="64" t="s">
        <v>44</v>
      </c>
      <c r="G18" s="50">
        <v>1</v>
      </c>
      <c r="H18" s="27">
        <f>IF(B$25=0,0,G18/B$25)</f>
        <v>1.2345679012345678E-2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60</v>
      </c>
      <c r="C19" s="27">
        <f>IF(B$3=0,0,B19/B$3)</f>
        <v>0.16129032258064516</v>
      </c>
      <c r="E19" s="68" t="s">
        <v>98</v>
      </c>
      <c r="F19" s="64" t="s">
        <v>51</v>
      </c>
      <c r="G19" s="50">
        <v>1</v>
      </c>
      <c r="H19" s="27">
        <f>IF(B$25=0,0,G19/B$25)</f>
        <v>1.2345679012345678E-2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10842.857142857143</v>
      </c>
      <c r="C20" s="30">
        <v>1290300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-9886.6666666666661</v>
      </c>
      <c r="C21" s="48">
        <v>-593200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195</v>
      </c>
      <c r="B22" s="49">
        <v>137</v>
      </c>
      <c r="C22" s="24">
        <f>IF(B$3=0,0,B22/B$3)</f>
        <v>0.36827956989247312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196</v>
      </c>
      <c r="B23" s="52">
        <v>56</v>
      </c>
      <c r="C23" s="32">
        <f>IF(B$22=0,0,B23/B$22)</f>
        <v>0.40875912408759124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0">
        <v>239</v>
      </c>
      <c r="C24" s="81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2">
        <v>81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8BF0-455C-4DC4-9F25-746C8D3D62A2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192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12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86">
        <v>82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88">
        <v>80.800000000000011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88">
        <f>IF(B$2=0,0,B$4/B$2)</f>
        <v>6.7333333333333343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0">
        <f>IF(B$2=0,0,(B$7*1+B$8*2+B$9*3)/B$2)</f>
        <v>1.75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9D0F-F134-41F5-81F1-1549DE3B9355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193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44</v>
      </c>
      <c r="C2" s="81"/>
      <c r="E2" s="67" t="s">
        <v>73</v>
      </c>
      <c r="F2" s="63" t="s">
        <v>27</v>
      </c>
      <c r="G2" s="49">
        <v>78</v>
      </c>
      <c r="H2" s="24">
        <f>IF(B$25=0,0,G2/B$25)</f>
        <v>0.9285714285714286</v>
      </c>
      <c r="J2" s="23">
        <v>0</v>
      </c>
      <c r="K2" s="25">
        <v>0</v>
      </c>
      <c r="M2" s="23" t="s">
        <v>198</v>
      </c>
      <c r="N2" s="44">
        <f t="shared" ref="N2:N7" si="0">IF(P2=0,0,O2/P2)</f>
        <v>-3455</v>
      </c>
      <c r="O2" s="41">
        <v>-138200</v>
      </c>
      <c r="P2" s="39">
        <v>40</v>
      </c>
    </row>
    <row r="3" spans="1:16" x14ac:dyDescent="0.4">
      <c r="A3" s="58" t="s">
        <v>8</v>
      </c>
      <c r="B3" s="86">
        <v>326</v>
      </c>
      <c r="C3" s="87"/>
      <c r="E3" s="68" t="s">
        <v>71</v>
      </c>
      <c r="F3" s="64" t="s">
        <v>25</v>
      </c>
      <c r="G3" s="50">
        <v>63</v>
      </c>
      <c r="H3" s="27">
        <f>IF(B$25=0,0,G3/B$25)</f>
        <v>0.75</v>
      </c>
      <c r="J3" s="26">
        <v>1</v>
      </c>
      <c r="K3" s="28">
        <v>3.9</v>
      </c>
      <c r="M3" s="26" t="s">
        <v>199</v>
      </c>
      <c r="N3" s="45">
        <f t="shared" si="0"/>
        <v>-412.5</v>
      </c>
      <c r="O3" s="42">
        <v>-16500</v>
      </c>
      <c r="P3" s="37">
        <v>40</v>
      </c>
    </row>
    <row r="4" spans="1:16" x14ac:dyDescent="0.4">
      <c r="A4" s="58" t="s">
        <v>6</v>
      </c>
      <c r="B4" s="88">
        <v>-330.89999999999992</v>
      </c>
      <c r="C4" s="89"/>
      <c r="E4" s="68" t="s">
        <v>78</v>
      </c>
      <c r="F4" s="64" t="s">
        <v>31</v>
      </c>
      <c r="G4" s="50">
        <v>63</v>
      </c>
      <c r="H4" s="27">
        <f>IF(B$25=0,0,G4/B$25)</f>
        <v>0.75</v>
      </c>
      <c r="J4" s="26">
        <v>2</v>
      </c>
      <c r="K4" s="28">
        <v>-33.9</v>
      </c>
      <c r="M4" s="26" t="s">
        <v>200</v>
      </c>
      <c r="N4" s="45">
        <f t="shared" si="0"/>
        <v>-2213.5135135135133</v>
      </c>
      <c r="O4" s="42">
        <v>-81900</v>
      </c>
      <c r="P4" s="37">
        <v>37</v>
      </c>
    </row>
    <row r="5" spans="1:16" x14ac:dyDescent="0.4">
      <c r="A5" s="58" t="s">
        <v>7</v>
      </c>
      <c r="B5" s="88">
        <f>IF(B$2=0,0,B$4/B$2)</f>
        <v>-7.5204545454545437</v>
      </c>
      <c r="C5" s="89"/>
      <c r="E5" s="68" t="s">
        <v>69</v>
      </c>
      <c r="F5" s="64" t="s">
        <v>23</v>
      </c>
      <c r="G5" s="50">
        <v>49</v>
      </c>
      <c r="H5" s="27">
        <f>IF(B$25=0,0,G5/B$25)</f>
        <v>0.58333333333333337</v>
      </c>
      <c r="J5" s="26">
        <v>3</v>
      </c>
      <c r="K5" s="28">
        <v>-70.099999999999994</v>
      </c>
      <c r="M5" s="26" t="s">
        <v>201</v>
      </c>
      <c r="N5" s="45">
        <f t="shared" si="0"/>
        <v>-144.11764705882354</v>
      </c>
      <c r="O5" s="42">
        <v>-4900</v>
      </c>
      <c r="P5" s="37">
        <v>34</v>
      </c>
    </row>
    <row r="6" spans="1:16" x14ac:dyDescent="0.4">
      <c r="A6" s="58" t="s">
        <v>1</v>
      </c>
      <c r="B6" s="90">
        <f>IF(B$2=0,0,(B$7*1+B$8*2+B$9*3)/B$2)</f>
        <v>2.2272727272727271</v>
      </c>
      <c r="C6" s="91"/>
      <c r="E6" s="68" t="s">
        <v>72</v>
      </c>
      <c r="F6" s="64" t="s">
        <v>26</v>
      </c>
      <c r="G6" s="50">
        <v>40</v>
      </c>
      <c r="H6" s="27">
        <f>IF(B$25=0,0,G6/B$25)</f>
        <v>0.47619047619047616</v>
      </c>
      <c r="J6" s="26">
        <v>4</v>
      </c>
      <c r="K6" s="28">
        <v>-35.099999999999994</v>
      </c>
      <c r="M6" s="26" t="s">
        <v>202</v>
      </c>
      <c r="N6" s="45">
        <f t="shared" si="0"/>
        <v>-2213.3333333333335</v>
      </c>
      <c r="O6" s="42">
        <v>-66400</v>
      </c>
      <c r="P6" s="37">
        <v>30</v>
      </c>
    </row>
    <row r="7" spans="1:16" x14ac:dyDescent="0.4">
      <c r="A7" s="58" t="s">
        <v>2</v>
      </c>
      <c r="B7" s="50">
        <v>11</v>
      </c>
      <c r="C7" s="27">
        <f>IF(B$2=0,0,B7/B$2)</f>
        <v>0.25</v>
      </c>
      <c r="E7" s="68" t="s">
        <v>74</v>
      </c>
      <c r="F7" s="64" t="s">
        <v>12</v>
      </c>
      <c r="G7" s="50">
        <v>29</v>
      </c>
      <c r="H7" s="27">
        <f>IF(B$25=0,0,G7/B$25)</f>
        <v>0.34523809523809523</v>
      </c>
      <c r="J7" s="26">
        <v>5</v>
      </c>
      <c r="K7" s="28">
        <v>-80.099999999999994</v>
      </c>
      <c r="M7" s="31" t="s">
        <v>203</v>
      </c>
      <c r="N7" s="46">
        <f t="shared" si="0"/>
        <v>4465</v>
      </c>
      <c r="O7" s="43">
        <v>89300</v>
      </c>
      <c r="P7" s="38">
        <v>20</v>
      </c>
    </row>
    <row r="8" spans="1:16" x14ac:dyDescent="0.4">
      <c r="A8" s="58" t="s">
        <v>3</v>
      </c>
      <c r="B8" s="50">
        <v>12</v>
      </c>
      <c r="C8" s="27">
        <f t="shared" ref="C8:C9" si="1">IF(B$2=0,0,B8/B$2)</f>
        <v>0.27272727272727271</v>
      </c>
      <c r="E8" s="68" t="s">
        <v>96</v>
      </c>
      <c r="F8" s="64" t="s">
        <v>49</v>
      </c>
      <c r="G8" s="50">
        <v>14</v>
      </c>
      <c r="H8" s="27">
        <f>IF(B$25=0,0,G8/B$25)</f>
        <v>0.16666666666666666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21</v>
      </c>
      <c r="C9" s="29">
        <f t="shared" si="1"/>
        <v>0.47727272727272729</v>
      </c>
      <c r="E9" s="68" t="s">
        <v>75</v>
      </c>
      <c r="F9" s="64" t="s">
        <v>28</v>
      </c>
      <c r="G9" s="50">
        <v>13</v>
      </c>
      <c r="H9" s="27">
        <f>IF(B$25=0,0,G9/B$25)</f>
        <v>0.15476190476190477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11</v>
      </c>
      <c r="C10" s="29">
        <f>IF(B$2=0,0,B10/B$2)</f>
        <v>0.25</v>
      </c>
      <c r="E10" s="68" t="s">
        <v>76</v>
      </c>
      <c r="F10" s="64" t="s">
        <v>29</v>
      </c>
      <c r="G10" s="50">
        <v>9</v>
      </c>
      <c r="H10" s="27">
        <f>IF(B$25=0,0,G10/B$25)</f>
        <v>0.10714285714285714</v>
      </c>
      <c r="J10" s="26">
        <v>8</v>
      </c>
      <c r="K10" s="28">
        <v>-146</v>
      </c>
    </row>
    <row r="11" spans="1:16" x14ac:dyDescent="0.4">
      <c r="A11" s="60" t="s">
        <v>208</v>
      </c>
      <c r="B11" s="52">
        <v>5</v>
      </c>
      <c r="C11" s="32">
        <f>IF(B$2=0,0,B11/B$2)</f>
        <v>0.11363636363636363</v>
      </c>
      <c r="E11" s="68" t="s">
        <v>70</v>
      </c>
      <c r="F11" s="64" t="s">
        <v>24</v>
      </c>
      <c r="G11" s="50">
        <v>8</v>
      </c>
      <c r="H11" s="27">
        <f>IF(B$25=0,0,G11/B$25)</f>
        <v>9.5238095238095233E-2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81</v>
      </c>
      <c r="C12" s="35">
        <f>IF(B$24=0,0,B12/B$24)</f>
        <v>0.28027681660899656</v>
      </c>
      <c r="E12" s="68" t="s">
        <v>84</v>
      </c>
      <c r="F12" s="64" t="s">
        <v>37</v>
      </c>
      <c r="G12" s="50">
        <v>6</v>
      </c>
      <c r="H12" s="27">
        <f>IF(B$25=0,0,G12/B$25)</f>
        <v>7.1428571428571425E-2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65</v>
      </c>
      <c r="C13" s="27">
        <f>IF(B$24=0,0,B13/B$24)</f>
        <v>0.22491349480968859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51</v>
      </c>
      <c r="C14" s="24">
        <f>IF(B$12=0,0,B14/B$12)</f>
        <v>0.62962962962962965</v>
      </c>
      <c r="E14" s="68" t="s">
        <v>79</v>
      </c>
      <c r="F14" s="64" t="s">
        <v>32</v>
      </c>
      <c r="G14" s="50">
        <v>3</v>
      </c>
      <c r="H14" s="27">
        <f>IF(B$25=0,0,G14/B$25)</f>
        <v>3.5714285714285712E-2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24</v>
      </c>
      <c r="C15" s="24">
        <f>IF(B$13=0,0,B15/B$13)</f>
        <v>0.36923076923076925</v>
      </c>
      <c r="E15" s="68" t="s">
        <v>90</v>
      </c>
      <c r="F15" s="64" t="s">
        <v>43</v>
      </c>
      <c r="G15" s="50">
        <v>3</v>
      </c>
      <c r="H15" s="27">
        <f>IF(B$25=0,0,G15/B$25)</f>
        <v>3.5714285714285712E-2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94</v>
      </c>
      <c r="C16" s="24">
        <f>IF(B$3=0,0,B16/B$3)</f>
        <v>0.28834355828220859</v>
      </c>
      <c r="E16" s="68" t="s">
        <v>77</v>
      </c>
      <c r="F16" s="64" t="s">
        <v>30</v>
      </c>
      <c r="G16" s="50">
        <v>2</v>
      </c>
      <c r="H16" s="27">
        <f>IF(B$25=0,0,G16/B$25)</f>
        <v>2.3809523809523808E-2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51</v>
      </c>
      <c r="C17" s="27">
        <f>IF(B$3=0,0,B17/B$3)</f>
        <v>0.15644171779141106</v>
      </c>
      <c r="E17" s="68" t="s">
        <v>88</v>
      </c>
      <c r="F17" s="64" t="s">
        <v>41</v>
      </c>
      <c r="G17" s="50">
        <v>2</v>
      </c>
      <c r="H17" s="27">
        <f>IF(B$25=0,0,G17/B$25)</f>
        <v>2.3809523809523808E-2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43</v>
      </c>
      <c r="C18" s="27">
        <f>IF(B$3=0,0,B18/B$3)</f>
        <v>0.13190184049079753</v>
      </c>
      <c r="E18" s="68" t="s">
        <v>81</v>
      </c>
      <c r="F18" s="64" t="s">
        <v>34</v>
      </c>
      <c r="G18" s="50">
        <v>1</v>
      </c>
      <c r="H18" s="27">
        <f>IF(B$25=0,0,G18/B$25)</f>
        <v>1.1904761904761904E-2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78</v>
      </c>
      <c r="C19" s="27">
        <f>IF(B$3=0,0,B19/B$3)</f>
        <v>0.2392638036809816</v>
      </c>
      <c r="E19" s="68" t="s">
        <v>85</v>
      </c>
      <c r="F19" s="64" t="s">
        <v>38</v>
      </c>
      <c r="G19" s="50">
        <v>1</v>
      </c>
      <c r="H19" s="27">
        <f>IF(B$25=0,0,G19/B$25)</f>
        <v>1.1904761904761904E-2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11053.191489361701</v>
      </c>
      <c r="C20" s="30">
        <v>1039000</v>
      </c>
      <c r="E20" s="68" t="s">
        <v>91</v>
      </c>
      <c r="F20" s="64" t="s">
        <v>44</v>
      </c>
      <c r="G20" s="50">
        <v>1</v>
      </c>
      <c r="H20" s="27">
        <f>IF(B$25=0,0,G20/B$25)</f>
        <v>1.1904761904761904E-2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-10100</v>
      </c>
      <c r="C21" s="48">
        <v>-787800</v>
      </c>
      <c r="E21" s="68" t="s">
        <v>100</v>
      </c>
      <c r="F21" s="64" t="s">
        <v>53</v>
      </c>
      <c r="G21" s="50">
        <v>1</v>
      </c>
      <c r="H21" s="27">
        <f>IF(B$25=0,0,G21/B$25)</f>
        <v>1.1904761904761904E-2</v>
      </c>
      <c r="J21" s="26">
        <v>19</v>
      </c>
      <c r="K21" s="28">
        <v>-273.2</v>
      </c>
    </row>
    <row r="22" spans="1:11" x14ac:dyDescent="0.4">
      <c r="A22" s="57" t="s">
        <v>195</v>
      </c>
      <c r="B22" s="49">
        <v>102</v>
      </c>
      <c r="C22" s="24">
        <f>IF(B$3=0,0,B22/B$3)</f>
        <v>0.31288343558282211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60" t="s">
        <v>196</v>
      </c>
      <c r="B23" s="52">
        <v>36</v>
      </c>
      <c r="C23" s="32">
        <f>IF(B$22=0,0,B23/B$22)</f>
        <v>0.35294117647058826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57" t="s">
        <v>128</v>
      </c>
      <c r="B24" s="80">
        <v>289</v>
      </c>
      <c r="C24" s="81"/>
      <c r="E24" s="68" t="s">
        <v>83</v>
      </c>
      <c r="F24" s="64" t="s">
        <v>36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2">
        <v>84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8D8F5-1EFA-4166-9686-9E58B8AC65C9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217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</v>
      </c>
      <c r="C2" s="81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86">
        <v>46</v>
      </c>
      <c r="C3" s="87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88">
        <v>89</v>
      </c>
      <c r="C4" s="89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88">
        <f>IF(B$2=0,0,B$4/B$2)</f>
        <v>17.8</v>
      </c>
      <c r="C5" s="89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0">
        <f>IF(B$2=0,0,(B$7*1+B$8*2+B$9*3)/B$2)</f>
        <v>1.6</v>
      </c>
      <c r="C6" s="91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46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18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DAD0F-1818-48C8-A182-6DC53EC94B05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220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6</v>
      </c>
      <c r="C2" s="81"/>
      <c r="E2" s="67" t="s">
        <v>73</v>
      </c>
      <c r="F2" s="63" t="s">
        <v>27</v>
      </c>
      <c r="G2" s="49">
        <v>15</v>
      </c>
      <c r="H2" s="24">
        <f>IF(B$25=0,0,G2/B$25)</f>
        <v>1.6666666666666667</v>
      </c>
      <c r="J2" s="23">
        <v>0</v>
      </c>
      <c r="K2" s="25">
        <v>0</v>
      </c>
      <c r="M2" s="23" t="s">
        <v>198</v>
      </c>
      <c r="N2" s="44">
        <f t="shared" ref="N2:N7" si="0">IF(P2=0,0,O2/P2)</f>
        <v>-550</v>
      </c>
      <c r="O2" s="41">
        <v>-3300</v>
      </c>
      <c r="P2" s="39">
        <v>6</v>
      </c>
    </row>
    <row r="3" spans="1:16" x14ac:dyDescent="0.4">
      <c r="A3" s="58" t="s">
        <v>8</v>
      </c>
      <c r="B3" s="86">
        <v>43</v>
      </c>
      <c r="C3" s="87"/>
      <c r="E3" s="68" t="s">
        <v>71</v>
      </c>
      <c r="F3" s="64" t="s">
        <v>25</v>
      </c>
      <c r="G3" s="50">
        <v>9</v>
      </c>
      <c r="H3" s="27">
        <f>IF(B$25=0,0,G3/B$25)</f>
        <v>1</v>
      </c>
      <c r="J3" s="26">
        <v>1</v>
      </c>
      <c r="K3" s="28">
        <v>15</v>
      </c>
      <c r="M3" s="26" t="s">
        <v>199</v>
      </c>
      <c r="N3" s="45">
        <f t="shared" si="0"/>
        <v>4833.333333333333</v>
      </c>
      <c r="O3" s="42">
        <v>29000</v>
      </c>
      <c r="P3" s="37">
        <v>6</v>
      </c>
    </row>
    <row r="4" spans="1:16" x14ac:dyDescent="0.4">
      <c r="A4" s="58" t="s">
        <v>6</v>
      </c>
      <c r="B4" s="88">
        <v>2.2000000000000011</v>
      </c>
      <c r="C4" s="89"/>
      <c r="E4" s="68" t="s">
        <v>78</v>
      </c>
      <c r="F4" s="64" t="s">
        <v>31</v>
      </c>
      <c r="G4" s="50">
        <v>7</v>
      </c>
      <c r="H4" s="27">
        <f>IF(B$25=0,0,G4/B$25)</f>
        <v>0.77777777777777779</v>
      </c>
      <c r="J4" s="26">
        <v>2</v>
      </c>
      <c r="K4" s="28">
        <v>-24.299999999999997</v>
      </c>
      <c r="M4" s="26" t="s">
        <v>200</v>
      </c>
      <c r="N4" s="45">
        <f t="shared" si="0"/>
        <v>-2575</v>
      </c>
      <c r="O4" s="42">
        <v>-10300</v>
      </c>
      <c r="P4" s="37">
        <v>4</v>
      </c>
    </row>
    <row r="5" spans="1:16" x14ac:dyDescent="0.4">
      <c r="A5" s="58" t="s">
        <v>7</v>
      </c>
      <c r="B5" s="88">
        <f>IF(B$2=0,0,B$4/B$2)</f>
        <v>0.36666666666666686</v>
      </c>
      <c r="C5" s="89"/>
      <c r="E5" s="68" t="s">
        <v>90</v>
      </c>
      <c r="F5" s="64" t="s">
        <v>43</v>
      </c>
      <c r="G5" s="50">
        <v>4</v>
      </c>
      <c r="H5" s="27">
        <f>IF(B$25=0,0,G5/B$25)</f>
        <v>0.44444444444444442</v>
      </c>
      <c r="J5" s="26">
        <v>3</v>
      </c>
      <c r="K5" s="28">
        <v>-15.599999999999998</v>
      </c>
      <c r="M5" s="26" t="s">
        <v>201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90">
        <f>IF(B$2=0,0,(B$7*1+B$8*2+B$9*3)/B$2)</f>
        <v>2.3333333333333335</v>
      </c>
      <c r="C6" s="91"/>
      <c r="E6" s="68" t="s">
        <v>96</v>
      </c>
      <c r="F6" s="64" t="s">
        <v>49</v>
      </c>
      <c r="G6" s="50">
        <v>2</v>
      </c>
      <c r="H6" s="27">
        <f>IF(B$25=0,0,G6/B$25)</f>
        <v>0.22222222222222221</v>
      </c>
      <c r="J6" s="26">
        <v>4</v>
      </c>
      <c r="K6" s="28">
        <v>5.1000000000000014</v>
      </c>
      <c r="M6" s="26" t="s">
        <v>202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0.1111111111111111</v>
      </c>
      <c r="J7" s="26">
        <v>5</v>
      </c>
      <c r="K7" s="28">
        <v>9.6000000000000014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0.66666666666666663</v>
      </c>
      <c r="E8" s="68" t="s">
        <v>76</v>
      </c>
      <c r="F8" s="64" t="s">
        <v>29</v>
      </c>
      <c r="G8" s="50">
        <v>1</v>
      </c>
      <c r="H8" s="27">
        <f>IF(B$25=0,0,G8/B$25)</f>
        <v>0.1111111111111111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0.33333333333333331</v>
      </c>
      <c r="E9" s="68" t="s">
        <v>85</v>
      </c>
      <c r="F9" s="64" t="s">
        <v>38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1</v>
      </c>
      <c r="C10" s="29">
        <f>IF(B$2=0,0,B10/B$2)</f>
        <v>0.16666666666666666</v>
      </c>
      <c r="E10" s="68" t="s">
        <v>92</v>
      </c>
      <c r="F10" s="64" t="s">
        <v>45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6.9767441860465115E-2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21</v>
      </c>
      <c r="C13" s="27">
        <f>IF(B$24=0,0,B13/B$24)</f>
        <v>0.48837209302325579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8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9</v>
      </c>
      <c r="C16" s="24">
        <f>IF(B$3=0,0,B16/B$3)</f>
        <v>0.20930232558139536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9</v>
      </c>
      <c r="C17" s="27">
        <f>IF(B$3=0,0,B17/B$3)</f>
        <v>0.20930232558139536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0.16279069767441862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9988.8888888888887</v>
      </c>
      <c r="C20" s="30">
        <v>89900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10</v>
      </c>
      <c r="C22" s="24">
        <f>IF(B$3=0,0,B22/B$3)</f>
        <v>0.23255813953488372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</v>
      </c>
      <c r="C23" s="32">
        <f>IF(B$22=0,0,B23/B$22)</f>
        <v>0.1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43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9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/>
      <c r="C1" s="85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">
      <c r="A2" s="57" t="s">
        <v>9</v>
      </c>
      <c r="B2" s="80">
        <v>0</v>
      </c>
      <c r="C2" s="81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86">
        <v>0</v>
      </c>
      <c r="C3" s="87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88">
        <v>0</v>
      </c>
      <c r="C4" s="89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88">
        <f>IF(B$2=0,0,B$4/B$2)</f>
        <v>0</v>
      </c>
      <c r="C5" s="89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0">
        <f>IF(B$2=0,0,(B$7*1+B$8*2+B$9*3)/B$2)</f>
        <v>0</v>
      </c>
      <c r="C6" s="91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7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174</v>
      </c>
    </row>
    <row r="3" spans="1:14" x14ac:dyDescent="0.4">
      <c r="A3" s="74" t="s">
        <v>140</v>
      </c>
      <c r="B3" s="75">
        <v>43454.62740740741</v>
      </c>
      <c r="C3" s="74" t="s">
        <v>174</v>
      </c>
    </row>
    <row r="4" spans="1:14" x14ac:dyDescent="0.4">
      <c r="A4" s="74" t="s">
        <v>143</v>
      </c>
      <c r="B4" s="75">
        <v>43454.62740740741</v>
      </c>
      <c r="C4" s="74" t="s">
        <v>174</v>
      </c>
    </row>
    <row r="5" spans="1:14" x14ac:dyDescent="0.4">
      <c r="A5" s="74" t="s">
        <v>144</v>
      </c>
      <c r="B5" s="75">
        <v>43454.62740740741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">
      <c r="A6" s="74" t="s">
        <v>146</v>
      </c>
      <c r="B6" s="75">
        <v>43454.62740740741</v>
      </c>
      <c r="C6" s="74" t="s">
        <v>174</v>
      </c>
    </row>
    <row r="7" spans="1:14" x14ac:dyDescent="0.4">
      <c r="A7" s="74" t="s">
        <v>147</v>
      </c>
      <c r="B7" s="75">
        <v>43454.62740740741</v>
      </c>
      <c r="C7" s="74" t="s">
        <v>174</v>
      </c>
      <c r="D7" s="74" t="s">
        <v>175</v>
      </c>
      <c r="E7" s="74" t="s">
        <v>176</v>
      </c>
    </row>
    <row r="8" spans="1:14" x14ac:dyDescent="0.4">
      <c r="A8" s="74" t="s">
        <v>150</v>
      </c>
      <c r="B8" s="75">
        <v>43454.62740740741</v>
      </c>
      <c r="C8" s="74" t="s">
        <v>174</v>
      </c>
      <c r="D8" s="74" t="s">
        <v>175</v>
      </c>
    </row>
    <row r="9" spans="1:14" x14ac:dyDescent="0.4">
      <c r="A9" s="74" t="s">
        <v>151</v>
      </c>
      <c r="B9" s="75">
        <v>43454.62740740741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">
      <c r="A10" s="74" t="s">
        <v>152</v>
      </c>
      <c r="B10" s="75">
        <v>43454.62740740741</v>
      </c>
      <c r="C10" s="74" t="s">
        <v>174</v>
      </c>
      <c r="D10" s="74" t="s">
        <v>175</v>
      </c>
      <c r="E10" s="74" t="s">
        <v>176</v>
      </c>
    </row>
    <row r="11" spans="1:14" x14ac:dyDescent="0.4">
      <c r="A11" s="74" t="s">
        <v>153</v>
      </c>
      <c r="B11" s="75">
        <v>43454.62740740741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">
      <c r="A12" s="74" t="s">
        <v>154</v>
      </c>
      <c r="B12" s="75">
        <v>43454.62740740741</v>
      </c>
      <c r="C12" s="74" t="s">
        <v>174</v>
      </c>
      <c r="D12" s="74" t="s">
        <v>175</v>
      </c>
    </row>
    <row r="13" spans="1:14" x14ac:dyDescent="0.4">
      <c r="A13" s="74" t="s">
        <v>155</v>
      </c>
      <c r="B13" s="75">
        <v>43454.62740740741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">
      <c r="A14" s="74" t="s">
        <v>157</v>
      </c>
      <c r="B14" s="75">
        <v>43454.62740740741</v>
      </c>
      <c r="C14" s="74" t="s">
        <v>174</v>
      </c>
      <c r="D14" s="74" t="s">
        <v>175</v>
      </c>
      <c r="E14" s="74" t="s">
        <v>176</v>
      </c>
    </row>
    <row r="15" spans="1:14" x14ac:dyDescent="0.4">
      <c r="A15" s="74" t="s">
        <v>158</v>
      </c>
      <c r="B15" s="75">
        <v>43454.62740740741</v>
      </c>
      <c r="C15" s="74" t="s">
        <v>174</v>
      </c>
      <c r="D15" s="74" t="s">
        <v>175</v>
      </c>
      <c r="E15" s="74" t="s">
        <v>176</v>
      </c>
    </row>
    <row r="16" spans="1:14" x14ac:dyDescent="0.4">
      <c r="A16" s="74" t="s">
        <v>159</v>
      </c>
      <c r="B16" s="75">
        <v>43454.62740740741</v>
      </c>
      <c r="C16" s="74" t="s">
        <v>174</v>
      </c>
      <c r="D16" s="74" t="s">
        <v>175</v>
      </c>
      <c r="E16" s="74" t="s">
        <v>176</v>
      </c>
    </row>
    <row r="17" spans="1:9" x14ac:dyDescent="0.4">
      <c r="A17" s="74" t="s">
        <v>161</v>
      </c>
      <c r="B17" s="75">
        <v>43471.701018518521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">
      <c r="A18" s="74" t="s">
        <v>162</v>
      </c>
      <c r="B18" s="75">
        <v>43454.62740740741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">
      <c r="A19" s="74" t="s">
        <v>163</v>
      </c>
      <c r="B19" s="75">
        <v>43454.62740740741</v>
      </c>
      <c r="C19" s="74" t="s">
        <v>174</v>
      </c>
      <c r="D19" s="74" t="s">
        <v>175</v>
      </c>
    </row>
    <row r="20" spans="1:9" x14ac:dyDescent="0.4">
      <c r="A20" s="74" t="s">
        <v>164</v>
      </c>
      <c r="B20" s="75">
        <v>43471.701018518521</v>
      </c>
      <c r="C20" s="74" t="s">
        <v>174</v>
      </c>
      <c r="D20" s="74" t="s">
        <v>175</v>
      </c>
      <c r="E20" s="74" t="s">
        <v>176</v>
      </c>
    </row>
    <row r="21" spans="1:9" x14ac:dyDescent="0.4">
      <c r="A21" s="74" t="s">
        <v>165</v>
      </c>
      <c r="B21" s="75">
        <v>43454.62740740741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">
      <c r="A22" s="74" t="s">
        <v>166</v>
      </c>
      <c r="B22" s="75">
        <v>43454.62740740741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">
      <c r="A23" s="74" t="s">
        <v>167</v>
      </c>
      <c r="B23" s="75">
        <v>43454.62740740741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">
      <c r="A24" s="74" t="s">
        <v>168</v>
      </c>
      <c r="B24" s="75">
        <v>43454.62740740741</v>
      </c>
      <c r="C24" s="74" t="s">
        <v>174</v>
      </c>
      <c r="D24" s="74" t="s">
        <v>175</v>
      </c>
      <c r="E24" s="74" t="s">
        <v>176</v>
      </c>
    </row>
    <row r="25" spans="1:9" x14ac:dyDescent="0.4">
      <c r="A25" s="74" t="s">
        <v>169</v>
      </c>
      <c r="B25" s="75">
        <v>43454.62740740741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">
      <c r="A26" s="74" t="s">
        <v>170</v>
      </c>
      <c r="B26" s="75">
        <v>43454.62740740741</v>
      </c>
      <c r="C26" s="74" t="s">
        <v>174</v>
      </c>
      <c r="D26" s="74" t="s">
        <v>175</v>
      </c>
    </row>
    <row r="27" spans="1:9" x14ac:dyDescent="0.4">
      <c r="A27" s="74" t="s">
        <v>171</v>
      </c>
      <c r="B27" s="75">
        <v>43454.62740740741</v>
      </c>
      <c r="C27" s="74" t="s">
        <v>174</v>
      </c>
      <c r="D27" s="74" t="s">
        <v>175</v>
      </c>
    </row>
    <row r="28" spans="1:9" x14ac:dyDescent="0.4">
      <c r="A28" s="74" t="s">
        <v>172</v>
      </c>
      <c r="B28" s="75">
        <v>43454.62740740741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">
      <c r="A29" s="74" t="s">
        <v>173</v>
      </c>
      <c r="B29" s="75">
        <v>43455.084918981483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">
      <c r="A30" s="74" t="s">
        <v>194</v>
      </c>
      <c r="B30" s="75">
        <v>43456.147789351853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">
      <c r="A31" s="74" t="s">
        <v>211</v>
      </c>
      <c r="B31" s="75">
        <v>43471.8909375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">
      <c r="A32" s="74" t="s">
        <v>212</v>
      </c>
      <c r="B32" s="75">
        <v>43475.056238425925</v>
      </c>
      <c r="C32" s="74" t="s">
        <v>174</v>
      </c>
    </row>
    <row r="33" spans="1:10" x14ac:dyDescent="0.4">
      <c r="A33" s="74" t="s">
        <v>213</v>
      </c>
      <c r="B33" s="75">
        <v>43478.456446759257</v>
      </c>
      <c r="C33" s="74" t="s">
        <v>174</v>
      </c>
      <c r="D33" s="74" t="s">
        <v>175</v>
      </c>
      <c r="E33" s="74" t="s">
        <v>176</v>
      </c>
    </row>
    <row r="34" spans="1:10" x14ac:dyDescent="0.4">
      <c r="A34" s="74" t="s">
        <v>216</v>
      </c>
      <c r="B34" s="75">
        <v>43479.152256944442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">
      <c r="A35" s="74" t="s">
        <v>221</v>
      </c>
      <c r="B35" s="75">
        <v>43480.04891203704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">
      <c r="A36" s="74" t="s">
        <v>228</v>
      </c>
      <c r="B36" s="75">
        <v>43481.046527777777</v>
      </c>
      <c r="C36" s="74" t="s">
        <v>174</v>
      </c>
      <c r="D36" s="74" t="s">
        <v>175</v>
      </c>
      <c r="E36" s="74" t="s">
        <v>176</v>
      </c>
    </row>
    <row r="37" spans="1:10" x14ac:dyDescent="0.4">
      <c r="A37" s="74" t="s">
        <v>229</v>
      </c>
      <c r="B37" s="75">
        <v>43482.020208333335</v>
      </c>
      <c r="C37" s="74" t="s">
        <v>174</v>
      </c>
      <c r="D37" s="74" t="s">
        <v>175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2019-01-16T15:35:01Z</dcterms:modified>
</cp:coreProperties>
</file>