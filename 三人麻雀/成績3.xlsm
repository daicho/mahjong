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mahjong\三人麻雀\"/>
    </mc:Choice>
  </mc:AlternateContent>
  <xr:revisionPtr revIDLastSave="0" documentId="13_ncr:1_{AE339E95-F233-42A7-AFD3-0E2E23E098CD}" xr6:coauthVersionLast="36" xr6:coauthVersionMax="40" xr10:uidLastSave="{00000000-0000-0000-0000-000000000000}"/>
  <bookViews>
    <workbookView xWindow="0" yWindow="0" windowWidth="28800" windowHeight="12285" xr2:uid="{4FDB0271-42AC-4C1F-BA12-2E989A379038}"/>
  </bookViews>
  <sheets>
    <sheet name="ランキング" sheetId="137" r:id="rId1"/>
    <sheet name="Template" sheetId="2228" state="hidden" r:id="rId2"/>
    <sheet name="Cache" sheetId="2227" state="hidden" r:id="rId3"/>
    <sheet name="全体" sheetId="2950" r:id="rId4"/>
    <sheet name="かこたろう" sheetId="2952" r:id="rId5"/>
    <sheet name="だいち" sheetId="2951" r:id="rId6"/>
    <sheet name="ともき" sheetId="2953" r:id="rId7"/>
    <sheet name="りくと" sheetId="2954" r:id="rId8"/>
    <sheet name="いっしー" sheetId="2955" r:id="rId9"/>
    <sheet name="がくと" sheetId="2956" r:id="rId10"/>
    <sheet name="たかの" sheetId="2957" r:id="rId11"/>
    <sheet name="ただ" sheetId="2958" r:id="rId12"/>
    <sheet name="やがさき" sheetId="2959" r:id="rId13"/>
    <sheet name="れんたろう" sheetId="2960" r:id="rId14"/>
    <sheet name="あさひ" sheetId="2961" r:id="rId15"/>
    <sheet name="まっつん" sheetId="2962" r:id="rId1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H51" i="2962" l="1"/>
  <c r="H50" i="2962"/>
  <c r="H49" i="2962"/>
  <c r="H48" i="2962"/>
  <c r="H47" i="2962"/>
  <c r="H46" i="2962"/>
  <c r="H45" i="2962"/>
  <c r="H44" i="2962"/>
  <c r="H43" i="2962"/>
  <c r="H42" i="2962"/>
  <c r="H41" i="2962"/>
  <c r="H40" i="2962"/>
  <c r="H39" i="2962"/>
  <c r="H38" i="2962"/>
  <c r="H37" i="2962"/>
  <c r="H36" i="2962"/>
  <c r="H35" i="2962"/>
  <c r="H34" i="2962"/>
  <c r="H33" i="2962"/>
  <c r="H32" i="2962"/>
  <c r="H20" i="2962"/>
  <c r="H31" i="2962"/>
  <c r="H6" i="2962"/>
  <c r="H30" i="2962"/>
  <c r="H29" i="2962"/>
  <c r="C27" i="2962"/>
  <c r="H12" i="2962"/>
  <c r="H19" i="2962"/>
  <c r="H28" i="2962"/>
  <c r="H8" i="2962"/>
  <c r="C23" i="2962"/>
  <c r="H27" i="2962"/>
  <c r="C22" i="2962"/>
  <c r="H16" i="2962"/>
  <c r="B21" i="2962"/>
  <c r="H26" i="2962"/>
  <c r="H25" i="2962"/>
  <c r="C19" i="2962"/>
  <c r="H15" i="2962"/>
  <c r="H18" i="2962"/>
  <c r="H17" i="2962"/>
  <c r="B16" i="2962"/>
  <c r="C17" i="2962" s="1"/>
  <c r="H24" i="2962"/>
  <c r="C15" i="2962"/>
  <c r="H23" i="2962"/>
  <c r="C14" i="2962"/>
  <c r="H22" i="2962"/>
  <c r="C13" i="2962"/>
  <c r="H21" i="2962"/>
  <c r="C12" i="2962"/>
  <c r="H4" i="2962"/>
  <c r="C11" i="2962"/>
  <c r="H14" i="2962"/>
  <c r="C10" i="2962"/>
  <c r="H11" i="2962"/>
  <c r="C9" i="2962"/>
  <c r="H13" i="2962"/>
  <c r="C8" i="2962"/>
  <c r="N7" i="2962"/>
  <c r="H7" i="2962"/>
  <c r="C7" i="2962"/>
  <c r="N6" i="2962"/>
  <c r="H2" i="2962"/>
  <c r="B6" i="2962"/>
  <c r="N5" i="2962"/>
  <c r="H10" i="2962"/>
  <c r="B5" i="2962"/>
  <c r="N4" i="2962"/>
  <c r="H3" i="2962"/>
  <c r="N3" i="2962"/>
  <c r="H9" i="2962"/>
  <c r="N2" i="2962"/>
  <c r="H5" i="2962"/>
  <c r="C18" i="2962" l="1"/>
  <c r="C16" i="2962"/>
  <c r="B20" i="2962"/>
  <c r="H51" i="2961" l="1"/>
  <c r="H50" i="2961"/>
  <c r="H49" i="2961"/>
  <c r="H48" i="2961"/>
  <c r="H47" i="2961"/>
  <c r="H46" i="2961"/>
  <c r="H45" i="2961"/>
  <c r="H44" i="2961"/>
  <c r="H43" i="2961"/>
  <c r="H42" i="2961"/>
  <c r="H41" i="2961"/>
  <c r="H40" i="2961"/>
  <c r="H39" i="2961"/>
  <c r="H38" i="2961"/>
  <c r="H37" i="2961"/>
  <c r="H36" i="2961"/>
  <c r="H35" i="2961"/>
  <c r="H34" i="2961"/>
  <c r="H33" i="2961"/>
  <c r="H32" i="2961"/>
  <c r="H14" i="2961"/>
  <c r="H31" i="2961"/>
  <c r="H11" i="2961"/>
  <c r="H30" i="2961"/>
  <c r="H29" i="2961"/>
  <c r="C27" i="2961"/>
  <c r="H10" i="2961"/>
  <c r="H28" i="2961"/>
  <c r="H27" i="2961"/>
  <c r="H26" i="2961"/>
  <c r="C23" i="2961"/>
  <c r="H25" i="2961"/>
  <c r="C22" i="2961"/>
  <c r="H24" i="2961"/>
  <c r="B21" i="2961"/>
  <c r="H23" i="2961"/>
  <c r="H22" i="2961"/>
  <c r="C19" i="2961"/>
  <c r="H21" i="2961"/>
  <c r="H20" i="2961"/>
  <c r="H19" i="2961"/>
  <c r="B16" i="2961"/>
  <c r="B20" i="2961" s="1"/>
  <c r="H18" i="2961"/>
  <c r="C15" i="2961"/>
  <c r="H17" i="2961"/>
  <c r="C14" i="2961"/>
  <c r="H16" i="2961"/>
  <c r="C13" i="2961"/>
  <c r="H15" i="2961"/>
  <c r="C12" i="2961"/>
  <c r="H5" i="2961"/>
  <c r="C11" i="2961"/>
  <c r="H13" i="2961"/>
  <c r="C10" i="2961"/>
  <c r="H7" i="2961"/>
  <c r="C9" i="2961"/>
  <c r="H9" i="2961"/>
  <c r="C8" i="2961"/>
  <c r="N7" i="2961"/>
  <c r="H8" i="2961"/>
  <c r="C7" i="2961"/>
  <c r="N6" i="2961"/>
  <c r="H3" i="2961"/>
  <c r="B6" i="2961"/>
  <c r="N5" i="2961"/>
  <c r="H6" i="2961"/>
  <c r="B5" i="2961"/>
  <c r="N4" i="2961"/>
  <c r="H2" i="2961"/>
  <c r="N3" i="2961"/>
  <c r="H12" i="2961"/>
  <c r="N2" i="2961"/>
  <c r="H4" i="2961"/>
  <c r="C17" i="2961" l="1"/>
  <c r="C16" i="2961"/>
  <c r="C18" i="2961"/>
  <c r="H51" i="2960" l="1"/>
  <c r="H50" i="2960"/>
  <c r="H49" i="2960"/>
  <c r="H48" i="2960"/>
  <c r="H47" i="2960"/>
  <c r="H46" i="2960"/>
  <c r="H45" i="2960"/>
  <c r="H44" i="2960"/>
  <c r="H43" i="2960"/>
  <c r="H42" i="2960"/>
  <c r="H41" i="2960"/>
  <c r="H40" i="2960"/>
  <c r="H39" i="2960"/>
  <c r="H38" i="2960"/>
  <c r="H37" i="2960"/>
  <c r="H36" i="2960"/>
  <c r="H35" i="2960"/>
  <c r="H34" i="2960"/>
  <c r="H23" i="2960"/>
  <c r="H33" i="2960"/>
  <c r="H22" i="2960"/>
  <c r="H32" i="2960"/>
  <c r="H9" i="2960"/>
  <c r="H31" i="2960"/>
  <c r="H30" i="2960"/>
  <c r="C27" i="2960"/>
  <c r="H12" i="2960"/>
  <c r="H29" i="2960"/>
  <c r="H21" i="2960"/>
  <c r="H15" i="2960"/>
  <c r="C23" i="2960"/>
  <c r="H28" i="2960"/>
  <c r="C22" i="2960"/>
  <c r="H17" i="2960"/>
  <c r="B21" i="2960"/>
  <c r="H27" i="2960"/>
  <c r="H26" i="2960"/>
  <c r="C19" i="2960"/>
  <c r="H20" i="2960"/>
  <c r="H13" i="2960"/>
  <c r="H19" i="2960"/>
  <c r="B16" i="2960"/>
  <c r="B20" i="2960" s="1"/>
  <c r="H25" i="2960"/>
  <c r="C15" i="2960"/>
  <c r="H18" i="2960"/>
  <c r="C14" i="2960"/>
  <c r="H24" i="2960"/>
  <c r="C13" i="2960"/>
  <c r="H14" i="2960"/>
  <c r="C12" i="2960"/>
  <c r="H4" i="2960"/>
  <c r="C11" i="2960"/>
  <c r="H16" i="2960"/>
  <c r="C10" i="2960"/>
  <c r="H10" i="2960"/>
  <c r="C9" i="2960"/>
  <c r="H8" i="2960"/>
  <c r="C8" i="2960"/>
  <c r="N7" i="2960"/>
  <c r="H7" i="2960"/>
  <c r="C7" i="2960"/>
  <c r="N6" i="2960"/>
  <c r="H2" i="2960"/>
  <c r="B6" i="2960"/>
  <c r="N5" i="2960"/>
  <c r="H6" i="2960"/>
  <c r="B5" i="2960"/>
  <c r="N4" i="2960"/>
  <c r="H3" i="2960"/>
  <c r="N3" i="2960"/>
  <c r="H11" i="2960"/>
  <c r="N2" i="2960"/>
  <c r="H5" i="2960"/>
  <c r="C16" i="2960" l="1"/>
  <c r="C17" i="2960"/>
  <c r="C18" i="2960"/>
  <c r="H51" i="2959" l="1"/>
  <c r="H50" i="2959"/>
  <c r="H49" i="2959"/>
  <c r="H48" i="2959"/>
  <c r="H47" i="2959"/>
  <c r="H46" i="2959"/>
  <c r="H45" i="2959"/>
  <c r="H44" i="2959"/>
  <c r="H43" i="2959"/>
  <c r="H42" i="2959"/>
  <c r="H41" i="2959"/>
  <c r="H40" i="2959"/>
  <c r="H39" i="2959"/>
  <c r="H38" i="2959"/>
  <c r="H37" i="2959"/>
  <c r="H36" i="2959"/>
  <c r="H35" i="2959"/>
  <c r="H34" i="2959"/>
  <c r="H33" i="2959"/>
  <c r="H15" i="2959"/>
  <c r="H32" i="2959"/>
  <c r="H31" i="2959"/>
  <c r="H14" i="2959"/>
  <c r="H30" i="2959"/>
  <c r="H29" i="2959"/>
  <c r="C27" i="2959"/>
  <c r="H13" i="2959"/>
  <c r="H28" i="2959"/>
  <c r="H27" i="2959"/>
  <c r="H26" i="2959"/>
  <c r="C23" i="2959"/>
  <c r="H25" i="2959"/>
  <c r="C22" i="2959"/>
  <c r="H24" i="2959"/>
  <c r="B21" i="2959"/>
  <c r="H23" i="2959"/>
  <c r="H22" i="2959"/>
  <c r="C19" i="2959"/>
  <c r="H21" i="2959"/>
  <c r="H12" i="2959"/>
  <c r="H20" i="2959"/>
  <c r="B16" i="2959"/>
  <c r="B20" i="2959" s="1"/>
  <c r="H19" i="2959"/>
  <c r="C15" i="2959"/>
  <c r="H18" i="2959"/>
  <c r="C14" i="2959"/>
  <c r="H17" i="2959"/>
  <c r="C13" i="2959"/>
  <c r="H16" i="2959"/>
  <c r="C12" i="2959"/>
  <c r="H7" i="2959"/>
  <c r="C11" i="2959"/>
  <c r="H11" i="2959"/>
  <c r="C10" i="2959"/>
  <c r="H10" i="2959"/>
  <c r="C9" i="2959"/>
  <c r="H9" i="2959"/>
  <c r="C8" i="2959"/>
  <c r="N7" i="2959"/>
  <c r="H6" i="2959"/>
  <c r="C7" i="2959"/>
  <c r="N6" i="2959"/>
  <c r="H2" i="2959"/>
  <c r="B6" i="2959"/>
  <c r="N5" i="2959"/>
  <c r="H4" i="2959"/>
  <c r="B5" i="2959"/>
  <c r="N4" i="2959"/>
  <c r="H5" i="2959"/>
  <c r="N3" i="2959"/>
  <c r="H8" i="2959"/>
  <c r="N2" i="2959"/>
  <c r="H3" i="2959"/>
  <c r="C16" i="2959" l="1"/>
  <c r="C17" i="2959"/>
  <c r="C18" i="2959"/>
  <c r="H51" i="2958" l="1"/>
  <c r="H50" i="2958"/>
  <c r="H49" i="2958"/>
  <c r="H48" i="2958"/>
  <c r="H47" i="2958"/>
  <c r="H46" i="2958"/>
  <c r="H45" i="2958"/>
  <c r="H44" i="2958"/>
  <c r="H43" i="2958"/>
  <c r="H42" i="2958"/>
  <c r="H41" i="2958"/>
  <c r="H40" i="2958"/>
  <c r="H39" i="2958"/>
  <c r="H38" i="2958"/>
  <c r="H37" i="2958"/>
  <c r="H36" i="2958"/>
  <c r="H35" i="2958"/>
  <c r="H34" i="2958"/>
  <c r="H33" i="2958"/>
  <c r="H32" i="2958"/>
  <c r="H17" i="2958"/>
  <c r="H31" i="2958"/>
  <c r="H10" i="2958"/>
  <c r="H30" i="2958"/>
  <c r="H29" i="2958"/>
  <c r="C27" i="2958"/>
  <c r="H14" i="2958"/>
  <c r="H28" i="2958"/>
  <c r="H21" i="2958"/>
  <c r="H20" i="2958"/>
  <c r="C23" i="2958"/>
  <c r="H27" i="2958"/>
  <c r="C22" i="2958"/>
  <c r="H16" i="2958"/>
  <c r="B21" i="2958"/>
  <c r="H26" i="2958"/>
  <c r="H25" i="2958"/>
  <c r="C19" i="2958"/>
  <c r="H24" i="2958"/>
  <c r="H13" i="2958"/>
  <c r="H15" i="2958"/>
  <c r="B16" i="2958"/>
  <c r="C17" i="2958" s="1"/>
  <c r="H23" i="2958"/>
  <c r="C15" i="2958"/>
  <c r="H19" i="2958"/>
  <c r="C14" i="2958"/>
  <c r="H18" i="2958"/>
  <c r="C13" i="2958"/>
  <c r="H22" i="2958"/>
  <c r="C12" i="2958"/>
  <c r="H5" i="2958"/>
  <c r="C11" i="2958"/>
  <c r="H12" i="2958"/>
  <c r="C10" i="2958"/>
  <c r="H11" i="2958"/>
  <c r="C9" i="2958"/>
  <c r="H8" i="2958"/>
  <c r="C8" i="2958"/>
  <c r="N7" i="2958"/>
  <c r="H7" i="2958"/>
  <c r="C7" i="2958"/>
  <c r="N6" i="2958"/>
  <c r="H2" i="2958"/>
  <c r="B6" i="2958"/>
  <c r="N5" i="2958"/>
  <c r="H6" i="2958"/>
  <c r="B5" i="2958"/>
  <c r="N4" i="2958"/>
  <c r="H3" i="2958"/>
  <c r="N3" i="2958"/>
  <c r="H9" i="2958"/>
  <c r="N2" i="2958"/>
  <c r="H4" i="2958"/>
  <c r="H51" i="2957"/>
  <c r="H50" i="2957"/>
  <c r="H49" i="2957"/>
  <c r="H48" i="2957"/>
  <c r="H47" i="2957"/>
  <c r="H46" i="2957"/>
  <c r="H45" i="2957"/>
  <c r="H44" i="2957"/>
  <c r="H43" i="2957"/>
  <c r="H42" i="2957"/>
  <c r="H41" i="2957"/>
  <c r="H40" i="2957"/>
  <c r="H39" i="2957"/>
  <c r="H38" i="2957"/>
  <c r="H37" i="2957"/>
  <c r="H36" i="2957"/>
  <c r="H35" i="2957"/>
  <c r="H34" i="2957"/>
  <c r="H33" i="2957"/>
  <c r="H32" i="2957"/>
  <c r="H31" i="2957"/>
  <c r="H30" i="2957"/>
  <c r="H10" i="2957"/>
  <c r="H29" i="2957"/>
  <c r="H28" i="2957"/>
  <c r="C27" i="2957"/>
  <c r="H15" i="2957"/>
  <c r="H27" i="2957"/>
  <c r="H26" i="2957"/>
  <c r="H18" i="2957"/>
  <c r="C23" i="2957"/>
  <c r="H25" i="2957"/>
  <c r="C22" i="2957"/>
  <c r="H17" i="2957"/>
  <c r="B21" i="2957"/>
  <c r="H24" i="2957"/>
  <c r="H23" i="2957"/>
  <c r="C19" i="2957"/>
  <c r="H14" i="2957"/>
  <c r="H13" i="2957"/>
  <c r="H22" i="2957"/>
  <c r="B16" i="2957"/>
  <c r="C17" i="2957" s="1"/>
  <c r="H21" i="2957"/>
  <c r="C15" i="2957"/>
  <c r="H16" i="2957"/>
  <c r="C14" i="2957"/>
  <c r="H20" i="2957"/>
  <c r="C13" i="2957"/>
  <c r="H19" i="2957"/>
  <c r="C12" i="2957"/>
  <c r="H4" i="2957"/>
  <c r="C11" i="2957"/>
  <c r="H12" i="2957"/>
  <c r="C10" i="2957"/>
  <c r="H11" i="2957"/>
  <c r="C9" i="2957"/>
  <c r="H9" i="2957"/>
  <c r="C8" i="2957"/>
  <c r="N7" i="2957"/>
  <c r="H6" i="2957"/>
  <c r="C7" i="2957"/>
  <c r="N6" i="2957"/>
  <c r="H2" i="2957"/>
  <c r="B6" i="2957"/>
  <c r="N5" i="2957"/>
  <c r="H8" i="2957"/>
  <c r="B5" i="2957"/>
  <c r="N4" i="2957"/>
  <c r="H3" i="2957"/>
  <c r="N3" i="2957"/>
  <c r="H7" i="2957"/>
  <c r="N2" i="2957"/>
  <c r="H5" i="2957"/>
  <c r="C16" i="2958" l="1"/>
  <c r="C18" i="2958"/>
  <c r="B20" i="2958"/>
  <c r="C16" i="2957"/>
  <c r="C18" i="2957"/>
  <c r="B20" i="2957"/>
  <c r="H51" i="2956" l="1"/>
  <c r="H50" i="2956"/>
  <c r="H49" i="2956"/>
  <c r="H48" i="2956"/>
  <c r="H47" i="2956"/>
  <c r="H46" i="2956"/>
  <c r="H45" i="2956"/>
  <c r="H44" i="2956"/>
  <c r="H43" i="2956"/>
  <c r="H42" i="2956"/>
  <c r="H41" i="2956"/>
  <c r="H40" i="2956"/>
  <c r="H39" i="2956"/>
  <c r="H38" i="2956"/>
  <c r="H37" i="2956"/>
  <c r="H36" i="2956"/>
  <c r="H35" i="2956"/>
  <c r="H34" i="2956"/>
  <c r="H33" i="2956"/>
  <c r="H32" i="2956"/>
  <c r="H31" i="2956"/>
  <c r="H30" i="2956"/>
  <c r="H29" i="2956"/>
  <c r="H28" i="2956"/>
  <c r="H27" i="2956"/>
  <c r="C27" i="2956"/>
  <c r="H11" i="2956"/>
  <c r="H26" i="2956"/>
  <c r="H25" i="2956"/>
  <c r="H24" i="2956"/>
  <c r="C23" i="2956"/>
  <c r="H23" i="2956"/>
  <c r="C22" i="2956"/>
  <c r="H22" i="2956"/>
  <c r="B21" i="2956"/>
  <c r="H21" i="2956"/>
  <c r="H20" i="2956"/>
  <c r="C19" i="2956"/>
  <c r="H8" i="2956"/>
  <c r="H19" i="2956"/>
  <c r="H18" i="2956"/>
  <c r="B16" i="2956"/>
  <c r="C17" i="2956" s="1"/>
  <c r="H17" i="2956"/>
  <c r="C15" i="2956"/>
  <c r="H16" i="2956"/>
  <c r="C14" i="2956"/>
  <c r="H15" i="2956"/>
  <c r="C13" i="2956"/>
  <c r="H14" i="2956"/>
  <c r="C12" i="2956"/>
  <c r="H5" i="2956"/>
  <c r="C11" i="2956"/>
  <c r="H13" i="2956"/>
  <c r="C10" i="2956"/>
  <c r="H12" i="2956"/>
  <c r="C9" i="2956"/>
  <c r="H10" i="2956"/>
  <c r="C8" i="2956"/>
  <c r="N7" i="2956"/>
  <c r="H6" i="2956"/>
  <c r="C7" i="2956"/>
  <c r="N6" i="2956"/>
  <c r="H3" i="2956"/>
  <c r="B6" i="2956"/>
  <c r="N5" i="2956"/>
  <c r="H7" i="2956"/>
  <c r="B5" i="2956"/>
  <c r="N4" i="2956"/>
  <c r="H9" i="2956"/>
  <c r="N3" i="2956"/>
  <c r="H4" i="2956"/>
  <c r="N2" i="2956"/>
  <c r="H2" i="2956"/>
  <c r="C16" i="2956" l="1"/>
  <c r="C18" i="2956"/>
  <c r="B20" i="2956"/>
  <c r="H51" i="2955" l="1"/>
  <c r="H50" i="2955"/>
  <c r="H49" i="2955"/>
  <c r="H48" i="2955"/>
  <c r="H47" i="2955"/>
  <c r="H46" i="2955"/>
  <c r="H45" i="2955"/>
  <c r="H44" i="2955"/>
  <c r="H43" i="2955"/>
  <c r="H42" i="2955"/>
  <c r="H41" i="2955"/>
  <c r="H40" i="2955"/>
  <c r="H39" i="2955"/>
  <c r="H38" i="2955"/>
  <c r="H37" i="2955"/>
  <c r="H36" i="2955"/>
  <c r="H35" i="2955"/>
  <c r="H34" i="2955"/>
  <c r="H17" i="2955"/>
  <c r="H33" i="2955"/>
  <c r="H32" i="2955"/>
  <c r="H31" i="2955"/>
  <c r="H13" i="2955"/>
  <c r="H30" i="2955"/>
  <c r="H29" i="2955"/>
  <c r="C27" i="2955"/>
  <c r="H12" i="2955"/>
  <c r="H28" i="2955"/>
  <c r="H27" i="2955"/>
  <c r="H11" i="2955"/>
  <c r="C23" i="2955"/>
  <c r="H26" i="2955"/>
  <c r="C22" i="2955"/>
  <c r="H14" i="2955"/>
  <c r="B21" i="2955"/>
  <c r="H25" i="2955"/>
  <c r="H24" i="2955"/>
  <c r="C19" i="2955"/>
  <c r="H23" i="2955"/>
  <c r="H16" i="2955"/>
  <c r="H22" i="2955"/>
  <c r="B16" i="2955"/>
  <c r="C17" i="2955" s="1"/>
  <c r="H21" i="2955"/>
  <c r="C15" i="2955"/>
  <c r="H20" i="2955"/>
  <c r="C14" i="2955"/>
  <c r="H19" i="2955"/>
  <c r="C13" i="2955"/>
  <c r="H18" i="2955"/>
  <c r="C12" i="2955"/>
  <c r="H4" i="2955"/>
  <c r="C11" i="2955"/>
  <c r="H15" i="2955"/>
  <c r="C10" i="2955"/>
  <c r="H9" i="2955"/>
  <c r="C9" i="2955"/>
  <c r="H8" i="2955"/>
  <c r="C8" i="2955"/>
  <c r="N7" i="2955"/>
  <c r="H7" i="2955"/>
  <c r="C7" i="2955"/>
  <c r="N6" i="2955"/>
  <c r="H3" i="2955"/>
  <c r="B6" i="2955"/>
  <c r="N5" i="2955"/>
  <c r="H6" i="2955"/>
  <c r="B5" i="2955"/>
  <c r="N4" i="2955"/>
  <c r="H2" i="2955"/>
  <c r="N3" i="2955"/>
  <c r="H10" i="2955"/>
  <c r="N2" i="2955"/>
  <c r="H5" i="2955"/>
  <c r="H51" i="2954"/>
  <c r="H50" i="2954"/>
  <c r="H49" i="2954"/>
  <c r="H48" i="2954"/>
  <c r="H47" i="2954"/>
  <c r="H46" i="2954"/>
  <c r="H45" i="2954"/>
  <c r="H44" i="2954"/>
  <c r="H43" i="2954"/>
  <c r="H42" i="2954"/>
  <c r="H41" i="2954"/>
  <c r="H40" i="2954"/>
  <c r="H39" i="2954"/>
  <c r="H38" i="2954"/>
  <c r="H37" i="2954"/>
  <c r="H36" i="2954"/>
  <c r="H35" i="2954"/>
  <c r="H34" i="2954"/>
  <c r="H33" i="2954"/>
  <c r="H20" i="2954"/>
  <c r="H14" i="2954"/>
  <c r="H32" i="2954"/>
  <c r="H8" i="2954"/>
  <c r="H24" i="2954"/>
  <c r="H23" i="2954"/>
  <c r="C27" i="2954"/>
  <c r="H12" i="2954"/>
  <c r="H19" i="2954"/>
  <c r="H22" i="2954"/>
  <c r="H13" i="2954"/>
  <c r="C23" i="2954"/>
  <c r="H31" i="2954"/>
  <c r="C22" i="2954"/>
  <c r="H15" i="2954"/>
  <c r="B21" i="2954"/>
  <c r="H21" i="2954"/>
  <c r="H30" i="2954"/>
  <c r="C19" i="2954"/>
  <c r="H18" i="2954"/>
  <c r="H17" i="2954"/>
  <c r="H29" i="2954"/>
  <c r="B16" i="2954"/>
  <c r="B20" i="2954" s="1"/>
  <c r="H28" i="2954"/>
  <c r="C15" i="2954"/>
  <c r="H27" i="2954"/>
  <c r="C14" i="2954"/>
  <c r="H26" i="2954"/>
  <c r="C13" i="2954"/>
  <c r="H25" i="2954"/>
  <c r="C12" i="2954"/>
  <c r="H5" i="2954"/>
  <c r="C11" i="2954"/>
  <c r="H16" i="2954"/>
  <c r="C10" i="2954"/>
  <c r="H11" i="2954"/>
  <c r="C9" i="2954"/>
  <c r="H10" i="2954"/>
  <c r="C8" i="2954"/>
  <c r="N7" i="2954"/>
  <c r="H6" i="2954"/>
  <c r="C7" i="2954"/>
  <c r="N6" i="2954"/>
  <c r="H2" i="2954"/>
  <c r="B6" i="2954"/>
  <c r="N5" i="2954"/>
  <c r="H7" i="2954"/>
  <c r="B5" i="2954"/>
  <c r="N4" i="2954"/>
  <c r="H3" i="2954"/>
  <c r="N3" i="2954"/>
  <c r="H9" i="2954"/>
  <c r="N2" i="2954"/>
  <c r="H4" i="2954"/>
  <c r="C16" i="2955" l="1"/>
  <c r="C18" i="2955"/>
  <c r="B20" i="2955"/>
  <c r="C16" i="2954"/>
  <c r="C17" i="2954"/>
  <c r="C18" i="2954"/>
  <c r="H51" i="2953" l="1"/>
  <c r="H50" i="2953"/>
  <c r="H49" i="2953"/>
  <c r="H48" i="2953"/>
  <c r="H47" i="2953"/>
  <c r="H46" i="2953"/>
  <c r="H45" i="2953"/>
  <c r="H44" i="2953"/>
  <c r="H43" i="2953"/>
  <c r="H42" i="2953"/>
  <c r="H41" i="2953"/>
  <c r="H40" i="2953"/>
  <c r="H39" i="2953"/>
  <c r="H38" i="2953"/>
  <c r="H37" i="2953"/>
  <c r="H36" i="2953"/>
  <c r="H35" i="2953"/>
  <c r="H34" i="2953"/>
  <c r="H33" i="2953"/>
  <c r="H32" i="2953"/>
  <c r="H31" i="2953"/>
  <c r="H30" i="2953"/>
  <c r="H29" i="2953"/>
  <c r="H28" i="2953"/>
  <c r="H27" i="2953"/>
  <c r="C27" i="2953"/>
  <c r="H26" i="2953"/>
  <c r="H25" i="2953"/>
  <c r="H24" i="2953"/>
  <c r="H23" i="2953"/>
  <c r="C23" i="2953"/>
  <c r="H22" i="2953"/>
  <c r="C22" i="2953"/>
  <c r="H21" i="2953"/>
  <c r="B21" i="2953"/>
  <c r="H20" i="2953"/>
  <c r="H19" i="2953"/>
  <c r="C19" i="2953"/>
  <c r="H18" i="2953"/>
  <c r="H17" i="2953"/>
  <c r="H16" i="2953"/>
  <c r="B16" i="2953"/>
  <c r="C17" i="2953" s="1"/>
  <c r="H15" i="2953"/>
  <c r="C15" i="2953"/>
  <c r="H14" i="2953"/>
  <c r="C14" i="2953"/>
  <c r="H13" i="2953"/>
  <c r="C13" i="2953"/>
  <c r="H12" i="2953"/>
  <c r="C12" i="2953"/>
  <c r="H11" i="2953"/>
  <c r="C11" i="2953"/>
  <c r="H5" i="2953"/>
  <c r="C10" i="2953"/>
  <c r="H10" i="2953"/>
  <c r="C9" i="2953"/>
  <c r="H4" i="2953"/>
  <c r="C8" i="2953"/>
  <c r="N7" i="2953"/>
  <c r="H9" i="2953"/>
  <c r="C7" i="2953"/>
  <c r="N6" i="2953"/>
  <c r="H8" i="2953"/>
  <c r="B6" i="2953"/>
  <c r="N5" i="2953"/>
  <c r="H2" i="2953"/>
  <c r="B5" i="2953"/>
  <c r="N4" i="2953"/>
  <c r="H7" i="2953"/>
  <c r="N3" i="2953"/>
  <c r="H6" i="2953"/>
  <c r="N2" i="2953"/>
  <c r="H3" i="2953"/>
  <c r="H51" i="2952"/>
  <c r="H50" i="2952"/>
  <c r="H49" i="2952"/>
  <c r="H48" i="2952"/>
  <c r="H47" i="2952"/>
  <c r="H46" i="2952"/>
  <c r="H45" i="2952"/>
  <c r="H44" i="2952"/>
  <c r="H43" i="2952"/>
  <c r="H42" i="2952"/>
  <c r="H41" i="2952"/>
  <c r="H40" i="2952"/>
  <c r="H39" i="2952"/>
  <c r="H38" i="2952"/>
  <c r="H37" i="2952"/>
  <c r="H36" i="2952"/>
  <c r="H35" i="2952"/>
  <c r="H34" i="2952"/>
  <c r="H33" i="2952"/>
  <c r="H32" i="2952"/>
  <c r="H31" i="2952"/>
  <c r="H30" i="2952"/>
  <c r="H29" i="2952"/>
  <c r="H28" i="2952"/>
  <c r="H27" i="2952"/>
  <c r="C27" i="2952"/>
  <c r="H26" i="2952"/>
  <c r="H25" i="2952"/>
  <c r="H24" i="2952"/>
  <c r="H23" i="2952"/>
  <c r="C23" i="2952"/>
  <c r="H22" i="2952"/>
  <c r="C22" i="2952"/>
  <c r="H21" i="2952"/>
  <c r="B21" i="2952"/>
  <c r="H20" i="2952"/>
  <c r="H19" i="2952"/>
  <c r="C19" i="2952"/>
  <c r="H18" i="2952"/>
  <c r="H17" i="2952"/>
  <c r="C17" i="2952"/>
  <c r="H16" i="2952"/>
  <c r="B16" i="2952"/>
  <c r="B20" i="2952" s="1"/>
  <c r="H15" i="2952"/>
  <c r="C15" i="2952"/>
  <c r="H14" i="2952"/>
  <c r="C14" i="2952"/>
  <c r="H13" i="2952"/>
  <c r="C13" i="2952"/>
  <c r="H12" i="2952"/>
  <c r="C12" i="2952"/>
  <c r="H11" i="2952"/>
  <c r="C11" i="2952"/>
  <c r="H10" i="2952"/>
  <c r="C10" i="2952"/>
  <c r="H9" i="2952"/>
  <c r="C9" i="2952"/>
  <c r="H8" i="2952"/>
  <c r="C8" i="2952"/>
  <c r="N7" i="2952"/>
  <c r="H7" i="2952"/>
  <c r="C7" i="2952"/>
  <c r="N6" i="2952"/>
  <c r="H6" i="2952"/>
  <c r="B6" i="2952"/>
  <c r="N5" i="2952"/>
  <c r="H5" i="2952"/>
  <c r="B5" i="2952"/>
  <c r="N4" i="2952"/>
  <c r="H4" i="2952"/>
  <c r="N3" i="2952"/>
  <c r="H3" i="2952"/>
  <c r="N2" i="2952"/>
  <c r="H2" i="2952"/>
  <c r="H51" i="2951"/>
  <c r="H50" i="2951"/>
  <c r="H49" i="2951"/>
  <c r="H48" i="2951"/>
  <c r="H47" i="2951"/>
  <c r="H28" i="2951"/>
  <c r="H46" i="2951"/>
  <c r="H45" i="2951"/>
  <c r="H44" i="2951"/>
  <c r="H43" i="2951"/>
  <c r="H42" i="2951"/>
  <c r="H41" i="2951"/>
  <c r="H40" i="2951"/>
  <c r="H39" i="2951"/>
  <c r="H38" i="2951"/>
  <c r="H37" i="2951"/>
  <c r="H27" i="2951"/>
  <c r="H36" i="2951"/>
  <c r="H35" i="2951"/>
  <c r="H22" i="2951"/>
  <c r="H21" i="2951"/>
  <c r="H26" i="2951"/>
  <c r="H8" i="2951"/>
  <c r="H34" i="2951"/>
  <c r="H20" i="2951"/>
  <c r="C27" i="2951"/>
  <c r="H13" i="2951"/>
  <c r="H25" i="2951"/>
  <c r="H33" i="2951"/>
  <c r="H14" i="2951"/>
  <c r="C23" i="2951"/>
  <c r="H32" i="2951"/>
  <c r="C22" i="2951"/>
  <c r="H15" i="2951"/>
  <c r="B21" i="2951"/>
  <c r="H31" i="2951"/>
  <c r="H30" i="2951"/>
  <c r="C19" i="2951"/>
  <c r="H19" i="2951"/>
  <c r="H24" i="2951"/>
  <c r="H17" i="2951"/>
  <c r="B16" i="2951"/>
  <c r="B20" i="2951" s="1"/>
  <c r="H29" i="2951"/>
  <c r="C15" i="2951"/>
  <c r="H18" i="2951"/>
  <c r="C14" i="2951"/>
  <c r="H23" i="2951"/>
  <c r="C13" i="2951"/>
  <c r="H16" i="2951"/>
  <c r="C12" i="2951"/>
  <c r="H4" i="2951"/>
  <c r="C11" i="2951"/>
  <c r="H12" i="2951"/>
  <c r="C10" i="2951"/>
  <c r="H11" i="2951"/>
  <c r="C9" i="2951"/>
  <c r="H9" i="2951"/>
  <c r="C8" i="2951"/>
  <c r="N7" i="2951"/>
  <c r="H6" i="2951"/>
  <c r="C7" i="2951"/>
  <c r="N6" i="2951"/>
  <c r="H2" i="2951"/>
  <c r="B6" i="2951"/>
  <c r="N5" i="2951"/>
  <c r="H7" i="2951"/>
  <c r="B5" i="2951"/>
  <c r="N4" i="2951"/>
  <c r="H3" i="2951"/>
  <c r="N3" i="2951"/>
  <c r="H10" i="2951"/>
  <c r="N2" i="2951"/>
  <c r="H5" i="2951"/>
  <c r="H51" i="2950"/>
  <c r="H50" i="2950"/>
  <c r="H49" i="2950"/>
  <c r="H48" i="2950"/>
  <c r="H47" i="2950"/>
  <c r="H46" i="2950"/>
  <c r="H45" i="2950"/>
  <c r="H44" i="2950"/>
  <c r="H43" i="2950"/>
  <c r="H42" i="2950"/>
  <c r="H41" i="2950"/>
  <c r="H40" i="2950"/>
  <c r="H39" i="2950"/>
  <c r="H38" i="2950"/>
  <c r="H37" i="2950"/>
  <c r="H36" i="2950"/>
  <c r="H35" i="2950"/>
  <c r="H34" i="2950"/>
  <c r="H33" i="2950"/>
  <c r="H32" i="2950"/>
  <c r="H31" i="2950"/>
  <c r="H30" i="2950"/>
  <c r="H29" i="2950"/>
  <c r="H28" i="2950"/>
  <c r="H27" i="2950"/>
  <c r="C27" i="2950"/>
  <c r="H26" i="2950"/>
  <c r="H25" i="2950"/>
  <c r="H24" i="2950"/>
  <c r="H23" i="2950"/>
  <c r="C23" i="2950"/>
  <c r="H22" i="2950"/>
  <c r="C22" i="2950"/>
  <c r="H21" i="2950"/>
  <c r="B21" i="2950"/>
  <c r="H20" i="2950"/>
  <c r="H19" i="2950"/>
  <c r="C19" i="2950"/>
  <c r="H18" i="2950"/>
  <c r="H17" i="2950"/>
  <c r="H16" i="2950"/>
  <c r="B16" i="2950"/>
  <c r="C17" i="2950" s="1"/>
  <c r="H15" i="2950"/>
  <c r="C15" i="2950"/>
  <c r="H14" i="2950"/>
  <c r="C14" i="2950"/>
  <c r="H13" i="2950"/>
  <c r="C13" i="2950"/>
  <c r="H12" i="2950"/>
  <c r="C12" i="2950"/>
  <c r="H11" i="2950"/>
  <c r="C11" i="2950"/>
  <c r="H10" i="2950"/>
  <c r="C10" i="2950"/>
  <c r="H9" i="2950"/>
  <c r="C9" i="2950"/>
  <c r="H8" i="2950"/>
  <c r="C8" i="2950"/>
  <c r="H7" i="2950"/>
  <c r="C7" i="2950"/>
  <c r="H6" i="2950"/>
  <c r="B6" i="2950"/>
  <c r="H5" i="2950"/>
  <c r="B5" i="2950"/>
  <c r="H4" i="2950"/>
  <c r="H3" i="2950"/>
  <c r="H2" i="2950"/>
  <c r="C16" i="2952" l="1"/>
  <c r="C18" i="2952"/>
  <c r="C16" i="2953"/>
  <c r="C18" i="2953"/>
  <c r="B20" i="2953"/>
  <c r="C16" i="2951"/>
  <c r="C17" i="2951"/>
  <c r="C18" i="2951"/>
  <c r="C16" i="2950"/>
  <c r="C18" i="2950"/>
  <c r="B20" i="2950"/>
  <c r="C27" i="2228" l="1"/>
  <c r="C13" i="2228" l="1"/>
  <c r="C12" i="2228"/>
  <c r="C19" i="2228" l="1"/>
  <c r="C11" i="2228" l="1"/>
  <c r="C10" i="2228"/>
  <c r="N2" i="2228" l="1"/>
  <c r="N7" i="2228" l="1"/>
  <c r="N4" i="2228"/>
  <c r="N3" i="2228"/>
  <c r="N6" i="2228"/>
  <c r="N5" i="2228"/>
  <c r="C23" i="2228" l="1"/>
  <c r="C22" i="2228"/>
  <c r="B21" i="2228" l="1"/>
  <c r="H51" i="2228" l="1"/>
  <c r="H50" i="2228"/>
  <c r="H49" i="2228"/>
  <c r="H48" i="2228"/>
  <c r="H47" i="2228"/>
  <c r="H46" i="2228"/>
  <c r="H45" i="2228"/>
  <c r="H44" i="2228"/>
  <c r="H43" i="2228"/>
  <c r="H42" i="2228"/>
  <c r="H41" i="2228"/>
  <c r="H40" i="2228"/>
  <c r="H39" i="2228"/>
  <c r="H38" i="2228"/>
  <c r="H37" i="2228"/>
  <c r="H36" i="2228"/>
  <c r="H35" i="2228"/>
  <c r="H34" i="2228"/>
  <c r="H33" i="2228"/>
  <c r="H32" i="2228"/>
  <c r="H31" i="2228"/>
  <c r="H30" i="2228"/>
  <c r="H29" i="2228"/>
  <c r="H28" i="2228"/>
  <c r="H27" i="2228"/>
  <c r="H26" i="2228"/>
  <c r="H25" i="2228"/>
  <c r="H24" i="2228"/>
  <c r="H23" i="2228"/>
  <c r="H22" i="2228"/>
  <c r="H21" i="2228"/>
  <c r="H20" i="2228"/>
  <c r="H19" i="2228"/>
  <c r="H18" i="2228"/>
  <c r="H17" i="2228"/>
  <c r="H16" i="2228"/>
  <c r="H15" i="2228"/>
  <c r="C16" i="2228"/>
  <c r="B16" i="2228"/>
  <c r="H14" i="2228"/>
  <c r="C15" i="2228"/>
  <c r="H13" i="2228"/>
  <c r="C14" i="2228"/>
  <c r="H12" i="2228"/>
  <c r="H11" i="2228"/>
  <c r="H10" i="2228"/>
  <c r="H9" i="2228"/>
  <c r="C9" i="2228"/>
  <c r="H8" i="2228"/>
  <c r="C8" i="2228"/>
  <c r="H7" i="2228"/>
  <c r="C7" i="2228"/>
  <c r="H6" i="2228"/>
  <c r="B6" i="2228"/>
  <c r="H5" i="2228"/>
  <c r="B5" i="2228"/>
  <c r="H4" i="2228"/>
  <c r="H3" i="2228"/>
  <c r="H2" i="2228"/>
  <c r="B20" i="2228" l="1"/>
  <c r="C17" i="2228"/>
  <c r="C18" i="2228"/>
</calcChain>
</file>

<file path=xl/sharedStrings.xml><?xml version="1.0" encoding="utf-8"?>
<sst xmlns="http://schemas.openxmlformats.org/spreadsheetml/2006/main" count="2486" uniqueCount="226">
  <si>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</si>
  <si>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</si>
  <si>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</si>
  <si>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</si>
  <si>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</si>
  <si>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</si>
  <si>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</si>
  <si>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</si>
  <si>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</si>
  <si>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</si>
  <si>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</si>
  <si>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</si>
  <si>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</si>
  <si>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</si>
  <si>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</si>
  <si>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</si>
  <si>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</si>
  <si>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</si>
  <si>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</si>
  <si>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</si>
  <si>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</si>
  <si>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</si>
  <si>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</si>
  <si>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</si>
  <si>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</si>
  <si>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</si>
  <si>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</si>
  <si>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ガリ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</si>
  <si>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</si>
  <si>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</si>
  <si>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</si>
  <si>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</si>
  <si>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</si>
  <si>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</si>
  <si>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</si>
  <si>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</si>
  <si>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</si>
  <si>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</si>
  <si>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</si>
  <si>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三色同順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</si>
  <si>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</si>
  <si>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</si>
  <si>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</si>
  <si>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</si>
  <si>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</si>
  <si>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</si>
  <si>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</si>
  <si>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</si>
  <si>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</si>
  <si>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</si>
  <si>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</si>
  <si>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</si>
  <si>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</si>
  <si>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</si>
  <si>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</si>
  <si>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</si>
  <si>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</si>
  <si>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</si>
  <si>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</si>
  <si>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</si>
  <si>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</si>
  <si>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</si>
  <si>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</si>
  <si>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</si>
  <si>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</si>
  <si>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</si>
  <si>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</si>
  <si>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</si>
  <si>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</si>
  <si>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</si>
  <si>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</si>
  <si>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</si>
  <si>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</si>
  <si>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</si>
  <si>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</si>
  <si>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</si>
  <si>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</si>
  <si>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</si>
  <si>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</si>
  <si>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</si>
  <si>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</si>
  <si>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</si>
  <si>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</si>
  <si>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</si>
  <si>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</si>
  <si>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</si>
  <si>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</si>
  <si>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</si>
  <si>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</si>
  <si>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</si>
  <si>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</si>
  <si>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</si>
  <si>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</si>
  <si>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</si>
  <si>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</si>
  <si>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</si>
  <si>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</si>
  <si>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</si>
  <si>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</si>
  <si>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</si>
  <si>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</si>
  <si>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</si>
  <si>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</si>
  <si>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</si>
  <si>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</si>
  <si>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</si>
  <si>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</si>
  <si>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</si>
  <si>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</si>
  <si>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</si>
  <si>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</si>
  <si>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</si>
  <si>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</si>
  <si>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</si>
  <si>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</si>
  <si>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</si>
  <si>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</si>
  <si>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</si>
  <si>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</si>
  <si>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</si>
  <si>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</si>
  <si>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</si>
  <si>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</si>
  <si>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</si>
  <si>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</si>
  <si>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</si>
  <si>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</si>
  <si>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</si>
  <si>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new局数</t>
    <rPh sb="3" eb="4">
      <t>キョク</t>
    </rPh>
    <rPh sb="4" eb="5">
      <t>スウ</t>
    </rPh>
    <phoneticPr fontId="1"/>
  </si>
  <si>
    <t>newアガリ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</si>
  <si>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</si>
  <si>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</si>
  <si>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</si>
  <si>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</si>
  <si>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</si>
  <si>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副露成功率</t>
    <rPh sb="0" eb="2">
      <t>フーロ</t>
    </rPh>
    <rPh sb="2" eb="5">
      <t>セイコウリツ</t>
    </rPh>
    <phoneticPr fontId="1"/>
  </si>
  <si>
    <t>2018-10-02.xlsm</t>
  </si>
  <si>
    <t>だいち</t>
  </si>
  <si>
    <t>かこたろう</t>
  </si>
  <si>
    <t>ともき</t>
  </si>
  <si>
    <t>2018-10-05.xlsm</t>
  </si>
  <si>
    <t>りくと</t>
  </si>
  <si>
    <t>いっしー</t>
  </si>
  <si>
    <t>2018-10-06.xlsm</t>
  </si>
  <si>
    <t>2018-10-07.xlsm</t>
  </si>
  <si>
    <t>がくと</t>
  </si>
  <si>
    <t>2018-10-12.xlsm</t>
  </si>
  <si>
    <t>2018-11-08.xlsm</t>
  </si>
  <si>
    <t>たかの</t>
  </si>
  <si>
    <t>ただ</t>
  </si>
  <si>
    <t>2018-11-09.xlsm</t>
  </si>
  <si>
    <t>2018-11-17.xlsm</t>
  </si>
  <si>
    <t>2018-11-19.xlsm</t>
  </si>
  <si>
    <t>2018-11-22.xlsm</t>
  </si>
  <si>
    <t>2018-11-30.xlsm</t>
  </si>
  <si>
    <t>2018-12-01.xlsm</t>
  </si>
  <si>
    <t>やがさき</t>
  </si>
  <si>
    <t>2018-12-02.xlsm</t>
  </si>
  <si>
    <t>2018-12-03.xlsm</t>
  </si>
  <si>
    <t>2018-12-07.xlsm</t>
  </si>
  <si>
    <t>れんたろう</t>
  </si>
  <si>
    <t>2018-12-08.xlsm</t>
  </si>
  <si>
    <t>2018-12-09.xlsm</t>
  </si>
  <si>
    <t>2018-12-10.xlsm</t>
  </si>
  <si>
    <t>2018-12-11.xlsm</t>
  </si>
  <si>
    <t>2018-12-12.xlsm</t>
  </si>
  <si>
    <t>Sheet1</t>
  </si>
  <si>
    <t>Sheet2</t>
  </si>
  <si>
    <t>Sheet3</t>
  </si>
  <si>
    <t>Sheet4</t>
  </si>
  <si>
    <t>Sheet5</t>
  </si>
  <si>
    <t>Sheet6</t>
  </si>
  <si>
    <t>Sheet7</t>
  </si>
  <si>
    <t>Sheet8</t>
  </si>
  <si>
    <t>Sheet9</t>
  </si>
  <si>
    <t>Sheet10</t>
  </si>
  <si>
    <t>Sheet11</t>
  </si>
  <si>
    <t>Sheet12</t>
  </si>
  <si>
    <t>親</t>
    <rPh sb="0" eb="1">
      <t>オヤ</t>
    </rPh>
    <phoneticPr fontId="1"/>
  </si>
  <si>
    <t>親アガリ</t>
    <rPh sb="0" eb="1">
      <t>オヤ</t>
    </rPh>
    <phoneticPr fontId="1"/>
  </si>
  <si>
    <t>親アガリ率</t>
    <rPh sb="0" eb="1">
      <t>オヤ</t>
    </rPh>
    <rPh sb="4" eb="5">
      <t>リツ</t>
    </rPh>
    <phoneticPr fontId="1"/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</si>
  <si>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</si>
  <si>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</si>
  <si>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</si>
  <si>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</si>
  <si>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</si>
  <si>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</si>
  <si>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</si>
  <si>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回数</t>
    <rPh sb="0" eb="2">
      <t>カイスウ</t>
    </rPh>
    <phoneticPr fontId="1"/>
  </si>
  <si>
    <t>平均点数</t>
    <rPh sb="0" eb="2">
      <t>ヘイキン</t>
    </rPh>
    <rPh sb="2" eb="4">
      <t>テンスウ</t>
    </rPh>
    <phoneticPr fontId="1"/>
  </si>
  <si>
    <t>合計点数</t>
    <rPh sb="0" eb="2">
      <t>ゴウケイ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</si>
  <si>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</si>
  <si>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</si>
  <si>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コード</t>
    <phoneticPr fontId="1"/>
  </si>
  <si>
    <t>あさひ</t>
  </si>
  <si>
    <t>まっつん</t>
  </si>
  <si>
    <t>最大ドラ数</t>
    <rPh sb="0" eb="2">
      <t>サイダイ</t>
    </rPh>
    <rPh sb="4" eb="5">
      <t>スウ</t>
    </rPh>
    <phoneticPr fontId="1"/>
  </si>
  <si>
    <t>最大ドラ数</t>
    <phoneticPr fontId="1"/>
  </si>
  <si>
    <t>チョンボ</t>
    <phoneticPr fontId="1"/>
  </si>
  <si>
    <t>2018-12-13.xlsm</t>
  </si>
  <si>
    <t>2018-12-14.xlsm</t>
  </si>
  <si>
    <t>2018-12-15.xlsm</t>
  </si>
  <si>
    <t>2018-12-16.xlsm</t>
  </si>
  <si>
    <t>2018-12-17.xlsm</t>
  </si>
  <si>
    <t>2018-12-18.xlsm</t>
  </si>
  <si>
    <t>2018-12-19.xlsm</t>
  </si>
  <si>
    <t>2018-12-20.xlsm</t>
  </si>
  <si>
    <t>2018-12-21.xlsm</t>
  </si>
  <si>
    <t>2019-01-06.xlsm</t>
  </si>
  <si>
    <t>2019-01-09.xlsm</t>
  </si>
  <si>
    <t>2019-01-12.xlsm</t>
  </si>
  <si>
    <t>2019-01-13.xlsm</t>
  </si>
  <si>
    <t>2019-01-14.xlsm</t>
  </si>
  <si>
    <t>2019-01-15.xlsm</t>
  </si>
  <si>
    <t>2019-01-16.xlsm</t>
  </si>
  <si>
    <t>2019-01-17.xlsm</t>
  </si>
  <si>
    <t>2019-01-18.xlsm</t>
  </si>
  <si>
    <t>2019-01-19.xlsm</t>
  </si>
  <si>
    <t>ツモ率</t>
    <rPh sb="2" eb="3">
      <t>リツ</t>
    </rPh>
    <phoneticPr fontId="1"/>
  </si>
  <si>
    <t>2019-01-20.xlsm</t>
  </si>
  <si>
    <t>2019-01-21.xlsm</t>
  </si>
  <si>
    <t>2019-01-22.xlsm</t>
  </si>
  <si>
    <t>2019-01-23.xlsm</t>
  </si>
  <si>
    <t>2019-01-25.xlsm</t>
  </si>
  <si>
    <t>2019-01-26.xlsm</t>
  </si>
  <si>
    <t>全体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</si>
</sst>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76" formatCode="0\ &quot;回&quot;"/>
    <numFmt numFmtId="177" formatCode="\+0;\-0;\±0"/>
    <numFmt numFmtId="178" formatCode="\+0.0;\-0.0;\±0"/>
    <numFmt numFmtId="179" formatCode="0&quot;位&quot;"/>
    <numFmt numFmtId="180" formatCode="0.00\ &quot;位&quot;"/>
    <numFmt numFmtId="181" formatCode="0.0%"/>
    <numFmt numFmtId="182" formatCode="yyyy/mm/dd"/>
    <numFmt numFmtId="183" formatCode="yyyy/mm/dd\ hh:mm"/>
    <numFmt numFmtId="184" formatCode="0\ &quot;個&quot;"/>
  </numFmts>
  <fonts count="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0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41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theme="0" tint="-0.24994659260841701"/>
      </top>
      <bottom/>
      <diagonal/>
    </border>
    <border>
      <left/>
      <right style="thin">
        <color indexed="64"/>
      </right>
      <top style="thin">
        <color theme="0" tint="-0.24994659260841701"/>
      </top>
      <bottom/>
      <diagonal/>
    </border>
  </borders>
  <cellStyleXfs count="1">
    <xf numFmtId="0" fontId="0" fillId="0" borderId="0">
      <alignment vertical="center"/>
    </xf>
  </cellStyleXfs>
  <cellXfs count="97">
    <xf numFmtId="0" fontId="0" fillId="0" borderId="0" xfId="0">
      <alignment vertical="center"/>
    </xf>
    <xf numFmtId="0" fontId="0" fillId="0" borderId="1" xfId="0" applyBorder="1" applyAlignment="1">
      <alignment horizontal="center" vertical="center" shrinkToFit="1"/>
    </xf>
    <xf numFmtId="1" fontId="0" fillId="0" borderId="9" xfId="0" applyNumberFormat="1" applyBorder="1" applyAlignment="1">
      <alignment horizontal="center" vertical="center" shrinkToFit="1"/>
    </xf>
    <xf numFmtId="178" fontId="0" fillId="0" borderId="9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0" fontId="0" fillId="0" borderId="9" xfId="0" applyNumberFormat="1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179" fontId="0" fillId="0" borderId="11" xfId="0" applyNumberFormat="1" applyBorder="1" applyAlignment="1">
      <alignment horizontal="center" vertical="center" shrinkToFit="1"/>
    </xf>
    <xf numFmtId="179" fontId="0" fillId="0" borderId="13" xfId="0" applyNumberFormat="1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78" fontId="0" fillId="0" borderId="15" xfId="0" applyNumberFormat="1" applyBorder="1" applyAlignment="1">
      <alignment horizontal="center" vertical="center" shrinkToFit="1"/>
    </xf>
    <xf numFmtId="180" fontId="0" fillId="0" borderId="15" xfId="0" applyNumberFormat="1" applyBorder="1" applyAlignment="1">
      <alignment horizontal="center" vertical="center" shrinkToFit="1"/>
    </xf>
    <xf numFmtId="1" fontId="0" fillId="0" borderId="15" xfId="0" applyNumberFormat="1" applyBorder="1" applyAlignment="1">
      <alignment horizontal="center" vertical="center" shrinkToFit="1"/>
    </xf>
    <xf numFmtId="179" fontId="0" fillId="0" borderId="16" xfId="0" applyNumberFormat="1" applyBorder="1" applyAlignment="1">
      <alignment horizontal="center" vertical="center" shrinkToFit="1"/>
    </xf>
    <xf numFmtId="181" fontId="0" fillId="0" borderId="15" xfId="0" applyNumberFormat="1" applyBorder="1" applyAlignment="1">
      <alignment horizontal="center" vertical="center"/>
    </xf>
    <xf numFmtId="181" fontId="0" fillId="0" borderId="9" xfId="0" applyNumberFormat="1" applyBorder="1" applyAlignment="1">
      <alignment horizontal="center" vertical="center"/>
    </xf>
    <xf numFmtId="181" fontId="0" fillId="0" borderId="15" xfId="0" applyNumberFormat="1" applyBorder="1" applyAlignment="1">
      <alignment horizontal="center" vertical="center" shrinkToFit="1"/>
    </xf>
    <xf numFmtId="181" fontId="0" fillId="0" borderId="9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81" fontId="0" fillId="0" borderId="8" xfId="0" applyNumberFormat="1" applyBorder="1" applyAlignment="1">
      <alignment horizontal="center" vertical="center" shrinkToFit="1"/>
    </xf>
    <xf numFmtId="177" fontId="0" fillId="0" borderId="8" xfId="0" applyNumberFormat="1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81" fontId="0" fillId="0" borderId="4" xfId="0" applyNumberFormat="1" applyBorder="1" applyAlignment="1">
      <alignment horizontal="center" vertical="center" shrinkToFit="1"/>
    </xf>
    <xf numFmtId="177" fontId="0" fillId="0" borderId="4" xfId="0" applyNumberFormat="1" applyBorder="1" applyAlignment="1">
      <alignment horizontal="center" vertical="center" shrinkToFit="1"/>
    </xf>
    <xf numFmtId="181" fontId="0" fillId="0" borderId="10" xfId="0" applyNumberFormat="1" applyBorder="1" applyAlignment="1">
      <alignment horizontal="center" vertical="center" shrinkToFit="1"/>
    </xf>
    <xf numFmtId="1" fontId="2" fillId="0" borderId="4" xfId="0" applyNumberFormat="1" applyFont="1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181" fontId="0" fillId="0" borderId="6" xfId="0" applyNumberFormat="1" applyBorder="1" applyAlignment="1">
      <alignment horizontal="center" vertical="center" shrinkToFit="1"/>
    </xf>
    <xf numFmtId="49" fontId="0" fillId="0" borderId="0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81" fontId="0" fillId="0" borderId="21" xfId="0" applyNumberFormat="1" applyBorder="1" applyAlignment="1">
      <alignment horizontal="center" vertical="center" shrinkToFit="1"/>
    </xf>
    <xf numFmtId="0" fontId="2" fillId="0" borderId="20" xfId="0" applyFont="1" applyBorder="1" applyAlignment="1">
      <alignment horizontal="center" vertical="center" shrinkToFit="1"/>
    </xf>
    <xf numFmtId="176" fontId="4" fillId="0" borderId="4" xfId="0" applyNumberFormat="1" applyFont="1" applyBorder="1" applyAlignment="1">
      <alignment horizontal="center" vertical="center" shrinkToFit="1"/>
    </xf>
    <xf numFmtId="176" fontId="4" fillId="0" borderId="6" xfId="0" applyNumberFormat="1" applyFont="1" applyBorder="1" applyAlignment="1">
      <alignment horizontal="center" vertical="center" shrinkToFit="1"/>
    </xf>
    <xf numFmtId="176" fontId="4" fillId="0" borderId="8" xfId="0" applyNumberFormat="1" applyFont="1" applyBorder="1" applyAlignment="1">
      <alignment horizontal="center" vertical="center" shrinkToFit="1"/>
    </xf>
    <xf numFmtId="0" fontId="2" fillId="0" borderId="22" xfId="0" applyFont="1" applyBorder="1" applyAlignment="1">
      <alignment horizontal="center" vertical="center" shrinkToFit="1"/>
    </xf>
    <xf numFmtId="1" fontId="2" fillId="0" borderId="14" xfId="0" applyNumberFormat="1" applyFont="1" applyBorder="1" applyAlignment="1">
      <alignment horizontal="center" vertical="center" shrinkToFit="1"/>
    </xf>
    <xf numFmtId="1" fontId="2" fillId="0" borderId="12" xfId="0" applyNumberFormat="1" applyFont="1" applyBorder="1" applyAlignment="1">
      <alignment horizontal="center" vertical="center" shrinkToFit="1"/>
    </xf>
    <xf numFmtId="1" fontId="2" fillId="0" borderId="23" xfId="0" applyNumberFormat="1" applyFon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4" xfId="0" applyNumberFormat="1" applyBorder="1" applyAlignment="1">
      <alignment horizontal="center" vertical="center" shrinkToFit="1"/>
    </xf>
    <xf numFmtId="1" fontId="0" fillId="0" borderId="6" xfId="0" applyNumberFormat="1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1" fontId="2" fillId="0" borderId="6" xfId="0" applyNumberFormat="1" applyFon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2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" fontId="0" fillId="0" borderId="12" xfId="0" applyNumberFormat="1" applyBorder="1" applyAlignment="1">
      <alignment horizontal="center" vertical="center" shrinkToFit="1"/>
    </xf>
    <xf numFmtId="1" fontId="0" fillId="0" borderId="23" xfId="0" applyNumberFormat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0" fillId="0" borderId="28" xfId="0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0" fontId="0" fillId="0" borderId="3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2" fillId="0" borderId="19" xfId="0" applyNumberFormat="1" applyFont="1" applyBorder="1" applyAlignment="1">
      <alignment horizontal="center" vertical="center" shrinkToFit="1"/>
    </xf>
    <xf numFmtId="49" fontId="4" fillId="0" borderId="2" xfId="0" applyNumberFormat="1" applyFont="1" applyBorder="1" applyAlignment="1">
      <alignment horizontal="center" vertical="center" shrinkToFit="1"/>
    </xf>
    <xf numFmtId="49" fontId="4" fillId="0" borderId="3" xfId="0" applyNumberFormat="1" applyFont="1" applyBorder="1" applyAlignment="1">
      <alignment horizontal="center" vertical="center" shrinkToFit="1"/>
    </xf>
    <xf numFmtId="49" fontId="4" fillId="0" borderId="5" xfId="0" applyNumberFormat="1" applyFont="1" applyBorder="1" applyAlignment="1">
      <alignment horizontal="center" vertical="center" shrinkToFit="1"/>
    </xf>
    <xf numFmtId="182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3" fontId="0" fillId="0" borderId="0" xfId="0" applyNumberFormat="1" applyBorder="1" applyAlignment="1">
      <alignment horizontal="left" vertical="center"/>
    </xf>
    <xf numFmtId="184" fontId="0" fillId="0" borderId="15" xfId="0" applyNumberFormat="1" applyBorder="1" applyAlignment="1">
      <alignment horizontal="center" vertical="center"/>
    </xf>
    <xf numFmtId="184" fontId="0" fillId="0" borderId="9" xfId="0" applyNumberFormat="1" applyBorder="1" applyAlignment="1">
      <alignment horizontal="center" vertical="center"/>
    </xf>
    <xf numFmtId="0" fontId="0" fillId="0" borderId="38" xfId="0" applyBorder="1" applyAlignment="1">
      <alignment horizontal="center" vertical="center" shrinkToFit="1"/>
    </xf>
    <xf numFmtId="176" fontId="0" fillId="0" borderId="5" xfId="0" applyNumberFormat="1" applyBorder="1" applyAlignment="1">
      <alignment horizontal="center" vertical="center" shrinkToFit="1"/>
    </xf>
    <xf numFmtId="176" fontId="0" fillId="0" borderId="15" xfId="0" applyNumberFormat="1" applyBorder="1" applyAlignment="1">
      <alignment horizontal="center" vertical="center"/>
    </xf>
    <xf numFmtId="176" fontId="0" fillId="0" borderId="9" xfId="0" applyNumberFormat="1" applyBorder="1" applyAlignment="1">
      <alignment horizontal="center" vertical="center"/>
    </xf>
    <xf numFmtId="0" fontId="0" fillId="0" borderId="2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7" xfId="0" applyNumberFormat="1" applyBorder="1" applyAlignment="1">
      <alignment horizontal="center" vertical="center" shrinkToFit="1"/>
    </xf>
    <xf numFmtId="0" fontId="0" fillId="0" borderId="18" xfId="0" applyNumberFormat="1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3" xfId="0" applyNumberFormat="1" applyBorder="1" applyAlignment="1">
      <alignment horizontal="center" vertical="center" shrinkToFit="1"/>
    </xf>
    <xf numFmtId="176" fontId="0" fillId="0" borderId="36" xfId="0" applyNumberFormat="1" applyBorder="1" applyAlignment="1">
      <alignment horizontal="center" vertical="center" shrinkToFit="1"/>
    </xf>
    <xf numFmtId="176" fontId="0" fillId="0" borderId="37" xfId="0" applyNumberFormat="1" applyBorder="1" applyAlignment="1">
      <alignment horizontal="center" vertical="center" shrinkToFit="1"/>
    </xf>
    <xf numFmtId="184" fontId="0" fillId="0" borderId="39" xfId="0" applyNumberFormat="1" applyBorder="1" applyAlignment="1">
      <alignment horizontal="center" vertical="center" shrinkToFit="1"/>
    </xf>
    <xf numFmtId="184" fontId="0" fillId="0" borderId="40" xfId="0" applyNumberFormat="1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176" fontId="0" fillId="0" borderId="34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178" fontId="0" fillId="0" borderId="34" xfId="0" applyNumberFormat="1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80" fontId="0" fillId="0" borderId="34" xfId="0" applyNumberFormat="1" applyBorder="1" applyAlignment="1">
      <alignment horizontal="center" vertical="center" shrinkToFit="1"/>
    </xf>
    <xf numFmtId="180" fontId="0" fillId="0" borderId="35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Template!$J$2:$J$9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Template!$K$2:$K$9</c:f>
              <c:numCache>
                <c:formatCode>\+0;\-0;\±0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Template!$N$2:$N$7</c:f>
              <c:numCache>
                <c:formatCode>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かこたろう!$K$1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かこたろう!$J$2:$J$6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かこたろう!$K$2:$K$6</c:f>
              <c:numCache>
                <c:formatCode>\+0;\-0;\±0</c:formatCode>
                <c:ptCount val="5"/>
                <c:pt idx="0">
                  <c:v>0</c:v>
                </c:pt>
                <c:pt idx="1">
                  <c:v>-21</c:v>
                </c:pt>
                <c:pt idx="2">
                  <c:v>-58.4</c:v>
                </c:pt>
                <c:pt idx="3">
                  <c:v>-82.6</c:v>
                </c:pt>
                <c:pt idx="4">
                  <c:v>-128.1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70-44A7-8DC2-9C68B9D221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かこたろう!$N$1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かこたろう!$M$2:$M$7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かこたろう!$N$2:$N$7</c:f>
              <c:numCache>
                <c:formatCode>0</c:formatCode>
                <c:ptCount val="6"/>
                <c:pt idx="0">
                  <c:v>-9250</c:v>
                </c:pt>
                <c:pt idx="1">
                  <c:v>-7225</c:v>
                </c:pt>
                <c:pt idx="2">
                  <c:v>-10875</c:v>
                </c:pt>
                <c:pt idx="3">
                  <c:v>-2850</c:v>
                </c:pt>
                <c:pt idx="4">
                  <c:v>-6000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A90-4E17-AD82-F20AFC93FB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だいち!$J$2:$J$166</c:f>
              <c:numCache>
                <c:formatCode>General</c:formatCode>
                <c:ptCount val="1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</c:numCache>
            </c:numRef>
          </c:xVal>
          <c:yVal>
            <c:numRef>
              <c:f>だいち!$K$2:$K$166</c:f>
              <c:numCache>
                <c:formatCode>\+0;\-0;\±0</c:formatCode>
                <c:ptCount val="165"/>
                <c:pt idx="0">
                  <c:v>0</c:v>
                </c:pt>
                <c:pt idx="1">
                  <c:v>14</c:v>
                </c:pt>
                <c:pt idx="2">
                  <c:v>13</c:v>
                </c:pt>
                <c:pt idx="3">
                  <c:v>28.1</c:v>
                </c:pt>
                <c:pt idx="4">
                  <c:v>112.30000000000001</c:v>
                </c:pt>
                <c:pt idx="5">
                  <c:v>142.80000000000001</c:v>
                </c:pt>
                <c:pt idx="6">
                  <c:v>95.800000000000011</c:v>
                </c:pt>
                <c:pt idx="7">
                  <c:v>90.700000000000017</c:v>
                </c:pt>
                <c:pt idx="8">
                  <c:v>55.700000000000017</c:v>
                </c:pt>
                <c:pt idx="9">
                  <c:v>15.700000000000017</c:v>
                </c:pt>
                <c:pt idx="10">
                  <c:v>-15.799999999999983</c:v>
                </c:pt>
                <c:pt idx="11">
                  <c:v>1.5000000000000178</c:v>
                </c:pt>
                <c:pt idx="12">
                  <c:v>14.300000000000018</c:v>
                </c:pt>
                <c:pt idx="13">
                  <c:v>70.300000000000011</c:v>
                </c:pt>
                <c:pt idx="14">
                  <c:v>27.300000000000011</c:v>
                </c:pt>
                <c:pt idx="15">
                  <c:v>-8.6999999999999886</c:v>
                </c:pt>
                <c:pt idx="16">
                  <c:v>-7.099999999999989</c:v>
                </c:pt>
                <c:pt idx="17">
                  <c:v>-28.499999999999986</c:v>
                </c:pt>
                <c:pt idx="18">
                  <c:v>-14.599999999999985</c:v>
                </c:pt>
                <c:pt idx="19">
                  <c:v>41.600000000000016</c:v>
                </c:pt>
                <c:pt idx="20">
                  <c:v>66.800000000000011</c:v>
                </c:pt>
                <c:pt idx="21">
                  <c:v>122.30000000000001</c:v>
                </c:pt>
                <c:pt idx="22">
                  <c:v>96.800000000000011</c:v>
                </c:pt>
                <c:pt idx="23">
                  <c:v>120.50000000000001</c:v>
                </c:pt>
                <c:pt idx="24">
                  <c:v>114.00000000000001</c:v>
                </c:pt>
                <c:pt idx="25">
                  <c:v>81.300000000000011</c:v>
                </c:pt>
                <c:pt idx="26">
                  <c:v>104.20000000000002</c:v>
                </c:pt>
                <c:pt idx="27">
                  <c:v>68.200000000000017</c:v>
                </c:pt>
                <c:pt idx="28">
                  <c:v>125.20000000000002</c:v>
                </c:pt>
                <c:pt idx="29">
                  <c:v>116.80000000000001</c:v>
                </c:pt>
                <c:pt idx="30">
                  <c:v>108.4</c:v>
                </c:pt>
                <c:pt idx="31">
                  <c:v>160.69999999999999</c:v>
                </c:pt>
                <c:pt idx="32">
                  <c:v>146.69999999999999</c:v>
                </c:pt>
                <c:pt idx="33">
                  <c:v>206.39999999999998</c:v>
                </c:pt>
                <c:pt idx="34">
                  <c:v>255.39999999999998</c:v>
                </c:pt>
                <c:pt idx="35">
                  <c:v>241.39999999999998</c:v>
                </c:pt>
                <c:pt idx="36">
                  <c:v>237.99999999999997</c:v>
                </c:pt>
                <c:pt idx="37">
                  <c:v>221.89999999999998</c:v>
                </c:pt>
                <c:pt idx="38">
                  <c:v>241.99999999999997</c:v>
                </c:pt>
                <c:pt idx="39">
                  <c:v>192.39999999999998</c:v>
                </c:pt>
                <c:pt idx="40">
                  <c:v>184.2</c:v>
                </c:pt>
                <c:pt idx="41">
                  <c:v>178.2</c:v>
                </c:pt>
                <c:pt idx="42">
                  <c:v>142.79999999999998</c:v>
                </c:pt>
                <c:pt idx="43">
                  <c:v>135.29999999999998</c:v>
                </c:pt>
                <c:pt idx="44">
                  <c:v>143.69999999999999</c:v>
                </c:pt>
                <c:pt idx="45">
                  <c:v>134.29999999999998</c:v>
                </c:pt>
                <c:pt idx="46">
                  <c:v>161.19999999999999</c:v>
                </c:pt>
                <c:pt idx="47">
                  <c:v>141.69999999999999</c:v>
                </c:pt>
                <c:pt idx="48">
                  <c:v>110.6</c:v>
                </c:pt>
                <c:pt idx="49">
                  <c:v>125.8</c:v>
                </c:pt>
                <c:pt idx="50">
                  <c:v>120.89999999999999</c:v>
                </c:pt>
                <c:pt idx="51">
                  <c:v>132.69999999999999</c:v>
                </c:pt>
                <c:pt idx="52">
                  <c:v>133.39999999999998</c:v>
                </c:pt>
                <c:pt idx="53">
                  <c:v>127.69999999999997</c:v>
                </c:pt>
                <c:pt idx="54">
                  <c:v>99.699999999999974</c:v>
                </c:pt>
                <c:pt idx="55">
                  <c:v>116.39999999999998</c:v>
                </c:pt>
                <c:pt idx="56">
                  <c:v>110.39999999999998</c:v>
                </c:pt>
                <c:pt idx="57">
                  <c:v>140.99999999999997</c:v>
                </c:pt>
                <c:pt idx="58">
                  <c:v>156.79999999999998</c:v>
                </c:pt>
                <c:pt idx="59">
                  <c:v>212.79999999999998</c:v>
                </c:pt>
                <c:pt idx="60">
                  <c:v>218.1</c:v>
                </c:pt>
                <c:pt idx="61">
                  <c:v>173</c:v>
                </c:pt>
                <c:pt idx="62">
                  <c:v>193.1</c:v>
                </c:pt>
                <c:pt idx="63">
                  <c:v>128.1</c:v>
                </c:pt>
                <c:pt idx="64">
                  <c:v>123.1</c:v>
                </c:pt>
                <c:pt idx="65">
                  <c:v>124.1</c:v>
                </c:pt>
                <c:pt idx="66">
                  <c:v>154.69999999999999</c:v>
                </c:pt>
                <c:pt idx="67">
                  <c:v>135.69999999999999</c:v>
                </c:pt>
                <c:pt idx="68">
                  <c:v>126.79999999999998</c:v>
                </c:pt>
                <c:pt idx="69">
                  <c:v>127.69999999999999</c:v>
                </c:pt>
                <c:pt idx="70">
                  <c:v>159</c:v>
                </c:pt>
                <c:pt idx="71">
                  <c:v>186.4</c:v>
                </c:pt>
                <c:pt idx="72">
                  <c:v>179</c:v>
                </c:pt>
                <c:pt idx="73">
                  <c:v>196.3</c:v>
                </c:pt>
                <c:pt idx="74">
                  <c:v>182.4</c:v>
                </c:pt>
                <c:pt idx="75">
                  <c:v>221.4</c:v>
                </c:pt>
                <c:pt idx="76">
                  <c:v>226.6</c:v>
                </c:pt>
                <c:pt idx="77">
                  <c:v>212.9</c:v>
                </c:pt>
                <c:pt idx="78">
                  <c:v>218</c:v>
                </c:pt>
                <c:pt idx="79">
                  <c:v>248.9</c:v>
                </c:pt>
                <c:pt idx="80">
                  <c:v>287.89999999999998</c:v>
                </c:pt>
                <c:pt idx="81">
                  <c:v>309.39999999999998</c:v>
                </c:pt>
                <c:pt idx="82">
                  <c:v>339.9</c:v>
                </c:pt>
                <c:pt idx="83">
                  <c:v>398.7</c:v>
                </c:pt>
                <c:pt idx="84">
                  <c:v>409.8</c:v>
                </c:pt>
                <c:pt idx="85">
                  <c:v>411.40000000000003</c:v>
                </c:pt>
                <c:pt idx="86">
                  <c:v>391.00000000000006</c:v>
                </c:pt>
                <c:pt idx="87">
                  <c:v>393.50000000000006</c:v>
                </c:pt>
                <c:pt idx="88">
                  <c:v>349.00000000000006</c:v>
                </c:pt>
                <c:pt idx="89">
                  <c:v>348.40000000000003</c:v>
                </c:pt>
                <c:pt idx="90">
                  <c:v>373.8</c:v>
                </c:pt>
                <c:pt idx="91">
                  <c:v>383.5</c:v>
                </c:pt>
                <c:pt idx="92">
                  <c:v>403.6</c:v>
                </c:pt>
                <c:pt idx="93">
                  <c:v>445.70000000000005</c:v>
                </c:pt>
                <c:pt idx="94">
                  <c:v>439.70000000000005</c:v>
                </c:pt>
                <c:pt idx="95">
                  <c:v>403.20000000000005</c:v>
                </c:pt>
                <c:pt idx="96">
                  <c:v>364.70000000000005</c:v>
                </c:pt>
                <c:pt idx="97">
                  <c:v>374.80000000000007</c:v>
                </c:pt>
                <c:pt idx="98">
                  <c:v>372.80000000000007</c:v>
                </c:pt>
                <c:pt idx="99">
                  <c:v>415.30000000000007</c:v>
                </c:pt>
                <c:pt idx="100">
                  <c:v>409.70000000000005</c:v>
                </c:pt>
                <c:pt idx="101">
                  <c:v>402.30000000000007</c:v>
                </c:pt>
                <c:pt idx="102">
                  <c:v>365.30000000000007</c:v>
                </c:pt>
                <c:pt idx="103">
                  <c:v>347.50000000000006</c:v>
                </c:pt>
                <c:pt idx="104">
                  <c:v>373.50000000000006</c:v>
                </c:pt>
                <c:pt idx="105">
                  <c:v>417.10000000000008</c:v>
                </c:pt>
                <c:pt idx="106">
                  <c:v>424.10000000000008</c:v>
                </c:pt>
                <c:pt idx="107">
                  <c:v>413.80000000000007</c:v>
                </c:pt>
                <c:pt idx="108">
                  <c:v>398.30000000000007</c:v>
                </c:pt>
                <c:pt idx="109">
                  <c:v>380.00000000000006</c:v>
                </c:pt>
                <c:pt idx="110">
                  <c:v>403.00000000000006</c:v>
                </c:pt>
                <c:pt idx="111">
                  <c:v>421.50000000000006</c:v>
                </c:pt>
                <c:pt idx="112">
                  <c:v>416.10000000000008</c:v>
                </c:pt>
                <c:pt idx="113">
                  <c:v>471.10000000000008</c:v>
                </c:pt>
                <c:pt idx="114">
                  <c:v>487.2000000000001</c:v>
                </c:pt>
                <c:pt idx="115">
                  <c:v>450.2000000000001</c:v>
                </c:pt>
                <c:pt idx="116">
                  <c:v>465.7000000000001</c:v>
                </c:pt>
                <c:pt idx="117">
                  <c:v>480.00000000000011</c:v>
                </c:pt>
                <c:pt idx="118">
                  <c:v>491.60000000000014</c:v>
                </c:pt>
                <c:pt idx="119">
                  <c:v>507.50000000000011</c:v>
                </c:pt>
                <c:pt idx="120">
                  <c:v>471.00000000000011</c:v>
                </c:pt>
                <c:pt idx="121">
                  <c:v>508.50000000000011</c:v>
                </c:pt>
                <c:pt idx="122">
                  <c:v>463.00000000000011</c:v>
                </c:pt>
                <c:pt idx="123">
                  <c:v>475.2000000000001</c:v>
                </c:pt>
                <c:pt idx="124">
                  <c:v>456.7000000000001</c:v>
                </c:pt>
                <c:pt idx="125">
                  <c:v>497.10000000000008</c:v>
                </c:pt>
                <c:pt idx="126">
                  <c:v>523.20000000000005</c:v>
                </c:pt>
                <c:pt idx="127">
                  <c:v>531.70000000000005</c:v>
                </c:pt>
                <c:pt idx="128">
                  <c:v>574</c:v>
                </c:pt>
                <c:pt idx="129">
                  <c:v>599</c:v>
                </c:pt>
                <c:pt idx="130">
                  <c:v>610</c:v>
                </c:pt>
                <c:pt idx="131">
                  <c:v>650</c:v>
                </c:pt>
                <c:pt idx="132">
                  <c:v>631.20000000000005</c:v>
                </c:pt>
                <c:pt idx="133">
                  <c:v>667.80000000000007</c:v>
                </c:pt>
                <c:pt idx="134">
                  <c:v>675.6</c:v>
                </c:pt>
                <c:pt idx="135">
                  <c:v>742.7</c:v>
                </c:pt>
                <c:pt idx="136">
                  <c:v>747.90000000000009</c:v>
                </c:pt>
                <c:pt idx="137">
                  <c:v>763.10000000000014</c:v>
                </c:pt>
                <c:pt idx="138">
                  <c:v>786.30000000000018</c:v>
                </c:pt>
                <c:pt idx="139">
                  <c:v>806.9000000000002</c:v>
                </c:pt>
                <c:pt idx="140">
                  <c:v>814.20000000000016</c:v>
                </c:pt>
                <c:pt idx="141">
                  <c:v>819.00000000000011</c:v>
                </c:pt>
                <c:pt idx="142">
                  <c:v>823.10000000000014</c:v>
                </c:pt>
                <c:pt idx="143">
                  <c:v>812.10000000000014</c:v>
                </c:pt>
                <c:pt idx="144">
                  <c:v>823.60000000000014</c:v>
                </c:pt>
                <c:pt idx="145">
                  <c:v>811.70000000000016</c:v>
                </c:pt>
                <c:pt idx="146">
                  <c:v>827.30000000000018</c:v>
                </c:pt>
                <c:pt idx="147">
                  <c:v>841.9000000000002</c:v>
                </c:pt>
                <c:pt idx="148">
                  <c:v>806.9000000000002</c:v>
                </c:pt>
                <c:pt idx="149">
                  <c:v>777.30000000000018</c:v>
                </c:pt>
                <c:pt idx="150">
                  <c:v>783.10000000000014</c:v>
                </c:pt>
                <c:pt idx="151">
                  <c:v>770.10000000000014</c:v>
                </c:pt>
                <c:pt idx="152">
                  <c:v>760.10000000000014</c:v>
                </c:pt>
                <c:pt idx="153">
                  <c:v>803.70000000000016</c:v>
                </c:pt>
                <c:pt idx="154">
                  <c:v>799.00000000000011</c:v>
                </c:pt>
                <c:pt idx="155">
                  <c:v>812.40000000000009</c:v>
                </c:pt>
                <c:pt idx="156">
                  <c:v>798.40000000000009</c:v>
                </c:pt>
                <c:pt idx="157">
                  <c:v>804.50000000000011</c:v>
                </c:pt>
                <c:pt idx="158">
                  <c:v>823.20000000000016</c:v>
                </c:pt>
                <c:pt idx="159">
                  <c:v>846.00000000000011</c:v>
                </c:pt>
                <c:pt idx="160">
                  <c:v>841.20000000000016</c:v>
                </c:pt>
                <c:pt idx="161">
                  <c:v>872.70000000000016</c:v>
                </c:pt>
                <c:pt idx="162">
                  <c:v>888.80000000000018</c:v>
                </c:pt>
                <c:pt idx="163">
                  <c:v>900.10000000000014</c:v>
                </c:pt>
                <c:pt idx="164">
                  <c:v>923.40000000000009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093-4C8C-8C3D-3147DC076A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だいち!$N$2:$N$7</c:f>
              <c:numCache>
                <c:formatCode>0</c:formatCode>
                <c:ptCount val="6"/>
                <c:pt idx="0">
                  <c:v>1076.25</c:v>
                </c:pt>
                <c:pt idx="1">
                  <c:v>1101.9607843137255</c:v>
                </c:pt>
                <c:pt idx="2">
                  <c:v>1217.7304964539007</c:v>
                </c:pt>
                <c:pt idx="3">
                  <c:v>1270.0787401574803</c:v>
                </c:pt>
                <c:pt idx="4">
                  <c:v>1126.851851851852</c:v>
                </c:pt>
                <c:pt idx="5">
                  <c:v>1486.9047619047619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324-455A-99FA-9985BD5B49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ともき!$J$2:$J$5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ともき!$K$2:$K$5</c:f>
              <c:numCache>
                <c:formatCode>\+0;\-0;\±0</c:formatCode>
                <c:ptCount val="4"/>
                <c:pt idx="0">
                  <c:v>0</c:v>
                </c:pt>
                <c:pt idx="1">
                  <c:v>7</c:v>
                </c:pt>
                <c:pt idx="2">
                  <c:v>-23.5</c:v>
                </c:pt>
                <c:pt idx="3">
                  <c:v>-25.5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E5E-4FB6-8D72-6D2F05B677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ともき!$N$1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ともき!$M$2:$M$7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ともき!$N$2:$N$7</c:f>
              <c:numCache>
                <c:formatCode>0</c:formatCode>
                <c:ptCount val="6"/>
                <c:pt idx="0">
                  <c:v>-8666.6666666666661</c:v>
                </c:pt>
                <c:pt idx="1">
                  <c:v>-250</c:v>
                </c:pt>
                <c:pt idx="2">
                  <c:v>-3500</c:v>
                </c:pt>
                <c:pt idx="3">
                  <c:v>0</c:v>
                </c:pt>
                <c:pt idx="4">
                  <c:v>8000</c:v>
                </c:pt>
                <c:pt idx="5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D99-4344-997E-52449E1146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りくと!$J$2:$J$108</c:f>
              <c:numCache>
                <c:formatCode>General</c:formatCode>
                <c:ptCount val="1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</c:numCache>
            </c:numRef>
          </c:xVal>
          <c:yVal>
            <c:numRef>
              <c:f>りくと!$K$2:$K$108</c:f>
              <c:numCache>
                <c:formatCode>\+0;\-0;\±0</c:formatCode>
                <c:ptCount val="107"/>
                <c:pt idx="0">
                  <c:v>0</c:v>
                </c:pt>
                <c:pt idx="1">
                  <c:v>39.9</c:v>
                </c:pt>
                <c:pt idx="2">
                  <c:v>-0.89999999999999858</c:v>
                </c:pt>
                <c:pt idx="3">
                  <c:v>-35.4</c:v>
                </c:pt>
                <c:pt idx="4">
                  <c:v>3.6000000000000014</c:v>
                </c:pt>
                <c:pt idx="5">
                  <c:v>13.600000000000001</c:v>
                </c:pt>
                <c:pt idx="6">
                  <c:v>45.6</c:v>
                </c:pt>
                <c:pt idx="7">
                  <c:v>97.1</c:v>
                </c:pt>
                <c:pt idx="8">
                  <c:v>58.199999999999996</c:v>
                </c:pt>
                <c:pt idx="9">
                  <c:v>23.4</c:v>
                </c:pt>
                <c:pt idx="10">
                  <c:v>-20.100000000000001</c:v>
                </c:pt>
                <c:pt idx="11">
                  <c:v>-3.6000000000000014</c:v>
                </c:pt>
                <c:pt idx="12">
                  <c:v>-12.000000000000002</c:v>
                </c:pt>
                <c:pt idx="13">
                  <c:v>48.5</c:v>
                </c:pt>
                <c:pt idx="14">
                  <c:v>32</c:v>
                </c:pt>
                <c:pt idx="15">
                  <c:v>36.5</c:v>
                </c:pt>
                <c:pt idx="16">
                  <c:v>13.600000000000001</c:v>
                </c:pt>
                <c:pt idx="17">
                  <c:v>12.900000000000002</c:v>
                </c:pt>
                <c:pt idx="18">
                  <c:v>-21.999999999999996</c:v>
                </c:pt>
                <c:pt idx="19">
                  <c:v>-26.699999999999996</c:v>
                </c:pt>
                <c:pt idx="20">
                  <c:v>-56.899999999999991</c:v>
                </c:pt>
                <c:pt idx="21">
                  <c:v>-80.699999999999989</c:v>
                </c:pt>
                <c:pt idx="22">
                  <c:v>-91.6</c:v>
                </c:pt>
                <c:pt idx="23">
                  <c:v>-107.3</c:v>
                </c:pt>
                <c:pt idx="24">
                  <c:v>-65.099999999999994</c:v>
                </c:pt>
                <c:pt idx="25">
                  <c:v>-67.899999999999991</c:v>
                </c:pt>
                <c:pt idx="26">
                  <c:v>-121.89999999999999</c:v>
                </c:pt>
                <c:pt idx="27">
                  <c:v>-158.6</c:v>
                </c:pt>
                <c:pt idx="28">
                  <c:v>-164.5</c:v>
                </c:pt>
                <c:pt idx="29">
                  <c:v>-158.30000000000001</c:v>
                </c:pt>
                <c:pt idx="30">
                  <c:v>-203.4</c:v>
                </c:pt>
                <c:pt idx="31">
                  <c:v>-252.9</c:v>
                </c:pt>
                <c:pt idx="32">
                  <c:v>-247.6</c:v>
                </c:pt>
                <c:pt idx="33">
                  <c:v>-229.9</c:v>
                </c:pt>
                <c:pt idx="34">
                  <c:v>-224.8</c:v>
                </c:pt>
                <c:pt idx="35">
                  <c:v>-248.3</c:v>
                </c:pt>
                <c:pt idx="36">
                  <c:v>-199.3</c:v>
                </c:pt>
                <c:pt idx="37">
                  <c:v>-243.3</c:v>
                </c:pt>
                <c:pt idx="38">
                  <c:v>-237.5</c:v>
                </c:pt>
                <c:pt idx="39">
                  <c:v>-238.6</c:v>
                </c:pt>
                <c:pt idx="40">
                  <c:v>-272.7</c:v>
                </c:pt>
                <c:pt idx="41">
                  <c:v>-312.09999999999997</c:v>
                </c:pt>
                <c:pt idx="42">
                  <c:v>-307.29999999999995</c:v>
                </c:pt>
                <c:pt idx="43">
                  <c:v>-278.79999999999995</c:v>
                </c:pt>
                <c:pt idx="44">
                  <c:v>-234.89999999999995</c:v>
                </c:pt>
                <c:pt idx="45">
                  <c:v>-250.29999999999995</c:v>
                </c:pt>
                <c:pt idx="46">
                  <c:v>-274.59999999999997</c:v>
                </c:pt>
                <c:pt idx="47">
                  <c:v>-259.59999999999997</c:v>
                </c:pt>
                <c:pt idx="48">
                  <c:v>-282.79999999999995</c:v>
                </c:pt>
                <c:pt idx="49">
                  <c:v>-276.99999999999994</c:v>
                </c:pt>
                <c:pt idx="50">
                  <c:v>-280.09999999999997</c:v>
                </c:pt>
                <c:pt idx="51">
                  <c:v>-262.59999999999997</c:v>
                </c:pt>
                <c:pt idx="52">
                  <c:v>-300.09999999999997</c:v>
                </c:pt>
                <c:pt idx="53">
                  <c:v>-327.49999999999994</c:v>
                </c:pt>
                <c:pt idx="54">
                  <c:v>-368.89999999999992</c:v>
                </c:pt>
                <c:pt idx="55">
                  <c:v>-354.2999999999999</c:v>
                </c:pt>
                <c:pt idx="56">
                  <c:v>-307.2999999999999</c:v>
                </c:pt>
                <c:pt idx="57">
                  <c:v>-303.49999999999989</c:v>
                </c:pt>
                <c:pt idx="58">
                  <c:v>-246.59999999999988</c:v>
                </c:pt>
                <c:pt idx="59">
                  <c:v>-198.09999999999988</c:v>
                </c:pt>
                <c:pt idx="60">
                  <c:v>-207.59999999999988</c:v>
                </c:pt>
                <c:pt idx="61">
                  <c:v>-204.89999999999989</c:v>
                </c:pt>
                <c:pt idx="62">
                  <c:v>-242.89999999999989</c:v>
                </c:pt>
                <c:pt idx="63">
                  <c:v>-281.99999999999989</c:v>
                </c:pt>
                <c:pt idx="64">
                  <c:v>-346.99999999999989</c:v>
                </c:pt>
                <c:pt idx="65">
                  <c:v>-370.09999999999991</c:v>
                </c:pt>
                <c:pt idx="66">
                  <c:v>-367.49999999999989</c:v>
                </c:pt>
                <c:pt idx="67">
                  <c:v>-360.19999999999987</c:v>
                </c:pt>
                <c:pt idx="68">
                  <c:v>-395.2999999999999</c:v>
                </c:pt>
                <c:pt idx="69">
                  <c:v>-400.49999999999989</c:v>
                </c:pt>
                <c:pt idx="70">
                  <c:v>-368.49999999999989</c:v>
                </c:pt>
                <c:pt idx="71">
                  <c:v>-363.2999999999999</c:v>
                </c:pt>
                <c:pt idx="72">
                  <c:v>-397.7999999999999</c:v>
                </c:pt>
                <c:pt idx="73">
                  <c:v>-382.59999999999991</c:v>
                </c:pt>
                <c:pt idx="74">
                  <c:v>-388.49999999999989</c:v>
                </c:pt>
                <c:pt idx="75">
                  <c:v>-407.69999999999987</c:v>
                </c:pt>
                <c:pt idx="76">
                  <c:v>-358.69999999999987</c:v>
                </c:pt>
                <c:pt idx="77">
                  <c:v>-369.7999999999999</c:v>
                </c:pt>
                <c:pt idx="78">
                  <c:v>-354.99999999999989</c:v>
                </c:pt>
                <c:pt idx="79">
                  <c:v>-372.99999999999989</c:v>
                </c:pt>
                <c:pt idx="80">
                  <c:v>-379.7999999999999</c:v>
                </c:pt>
                <c:pt idx="81">
                  <c:v>-368.99999999999989</c:v>
                </c:pt>
                <c:pt idx="82">
                  <c:v>-387.59999999999991</c:v>
                </c:pt>
                <c:pt idx="83">
                  <c:v>-386.39999999999992</c:v>
                </c:pt>
                <c:pt idx="84">
                  <c:v>-361.89999999999992</c:v>
                </c:pt>
                <c:pt idx="85">
                  <c:v>-398.89999999999992</c:v>
                </c:pt>
                <c:pt idx="86">
                  <c:v>-375.39999999999992</c:v>
                </c:pt>
                <c:pt idx="87">
                  <c:v>-350.69999999999993</c:v>
                </c:pt>
                <c:pt idx="88">
                  <c:v>-366.49999999999994</c:v>
                </c:pt>
                <c:pt idx="89">
                  <c:v>-398.29999999999995</c:v>
                </c:pt>
                <c:pt idx="90">
                  <c:v>-393.79999999999995</c:v>
                </c:pt>
                <c:pt idx="91">
                  <c:v>-383.29999999999995</c:v>
                </c:pt>
                <c:pt idx="92">
                  <c:v>-354.49999999999994</c:v>
                </c:pt>
                <c:pt idx="93">
                  <c:v>-389.99999999999994</c:v>
                </c:pt>
                <c:pt idx="94">
                  <c:v>-361.59999999999997</c:v>
                </c:pt>
                <c:pt idx="95">
                  <c:v>-388.4</c:v>
                </c:pt>
                <c:pt idx="96">
                  <c:v>-371</c:v>
                </c:pt>
                <c:pt idx="97">
                  <c:v>-383.5</c:v>
                </c:pt>
                <c:pt idx="98">
                  <c:v>-324</c:v>
                </c:pt>
                <c:pt idx="99">
                  <c:v>-352.5</c:v>
                </c:pt>
                <c:pt idx="100">
                  <c:v>-365.4</c:v>
                </c:pt>
                <c:pt idx="101">
                  <c:v>-363.7</c:v>
                </c:pt>
                <c:pt idx="102">
                  <c:v>-389.4</c:v>
                </c:pt>
                <c:pt idx="103">
                  <c:v>-413.9</c:v>
                </c:pt>
                <c:pt idx="104">
                  <c:v>-422.4</c:v>
                </c:pt>
                <c:pt idx="105">
                  <c:v>-411.59999999999997</c:v>
                </c:pt>
                <c:pt idx="106">
                  <c:v>-423.49999999999994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882-4C2E-BD81-9D82F708D7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りくと!$N$2:$N$7</c:f>
              <c:numCache>
                <c:formatCode>0</c:formatCode>
                <c:ptCount val="6"/>
                <c:pt idx="0">
                  <c:v>-603.84615384615381</c:v>
                </c:pt>
                <c:pt idx="1">
                  <c:v>-2044</c:v>
                </c:pt>
                <c:pt idx="2">
                  <c:v>2568.0412371134021</c:v>
                </c:pt>
                <c:pt idx="3">
                  <c:v>-1325.5813953488373</c:v>
                </c:pt>
                <c:pt idx="4">
                  <c:v>-2777.4647887323945</c:v>
                </c:pt>
                <c:pt idx="5">
                  <c:v>-2628.5714285714284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72E-4563-9130-BBEFF13241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いっしー!$J$2:$J$56</c:f>
              <c:numCache>
                <c:formatCode>General</c:formatCode>
                <c:ptCount val="5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</c:numCache>
            </c:numRef>
          </c:xVal>
          <c:yVal>
            <c:numRef>
              <c:f>いっしー!$K$2:$K$56</c:f>
              <c:numCache>
                <c:formatCode>\+0;\-0;\±0</c:formatCode>
                <c:ptCount val="55"/>
                <c:pt idx="0">
                  <c:v>0</c:v>
                </c:pt>
                <c:pt idx="1">
                  <c:v>-38.9</c:v>
                </c:pt>
                <c:pt idx="2">
                  <c:v>-13.2</c:v>
                </c:pt>
                <c:pt idx="3">
                  <c:v>-56.7</c:v>
                </c:pt>
                <c:pt idx="4">
                  <c:v>-52.7</c:v>
                </c:pt>
                <c:pt idx="5">
                  <c:v>-44.7</c:v>
                </c:pt>
                <c:pt idx="6">
                  <c:v>-49.6</c:v>
                </c:pt>
                <c:pt idx="7">
                  <c:v>-46.6</c:v>
                </c:pt>
                <c:pt idx="8">
                  <c:v>-58.1</c:v>
                </c:pt>
                <c:pt idx="9">
                  <c:v>-76.900000000000006</c:v>
                </c:pt>
                <c:pt idx="10">
                  <c:v>-77.900000000000006</c:v>
                </c:pt>
                <c:pt idx="11">
                  <c:v>-87.9</c:v>
                </c:pt>
                <c:pt idx="12">
                  <c:v>-23.5</c:v>
                </c:pt>
                <c:pt idx="13">
                  <c:v>-12.4</c:v>
                </c:pt>
                <c:pt idx="14">
                  <c:v>37.6</c:v>
                </c:pt>
                <c:pt idx="15">
                  <c:v>53.8</c:v>
                </c:pt>
                <c:pt idx="16">
                  <c:v>39.299999999999997</c:v>
                </c:pt>
                <c:pt idx="17">
                  <c:v>14.799999999999997</c:v>
                </c:pt>
                <c:pt idx="18">
                  <c:v>-25.700000000000003</c:v>
                </c:pt>
                <c:pt idx="19">
                  <c:v>-17.700000000000003</c:v>
                </c:pt>
                <c:pt idx="20">
                  <c:v>6.4999999999999964</c:v>
                </c:pt>
                <c:pt idx="21">
                  <c:v>67.8</c:v>
                </c:pt>
                <c:pt idx="22">
                  <c:v>76.399999999999991</c:v>
                </c:pt>
                <c:pt idx="23">
                  <c:v>90.199999999999989</c:v>
                </c:pt>
                <c:pt idx="24">
                  <c:v>47.29999999999999</c:v>
                </c:pt>
                <c:pt idx="25">
                  <c:v>55.79999999999999</c:v>
                </c:pt>
                <c:pt idx="26">
                  <c:v>137.79999999999998</c:v>
                </c:pt>
                <c:pt idx="27">
                  <c:v>157.79999999999998</c:v>
                </c:pt>
                <c:pt idx="28">
                  <c:v>168.7</c:v>
                </c:pt>
                <c:pt idx="29">
                  <c:v>198</c:v>
                </c:pt>
                <c:pt idx="30">
                  <c:v>191.5</c:v>
                </c:pt>
                <c:pt idx="31">
                  <c:v>180.9</c:v>
                </c:pt>
                <c:pt idx="32">
                  <c:v>198.4</c:v>
                </c:pt>
                <c:pt idx="33">
                  <c:v>238.4</c:v>
                </c:pt>
                <c:pt idx="34">
                  <c:v>227.9</c:v>
                </c:pt>
                <c:pt idx="35">
                  <c:v>182.9</c:v>
                </c:pt>
                <c:pt idx="36">
                  <c:v>229</c:v>
                </c:pt>
                <c:pt idx="37">
                  <c:v>243.8</c:v>
                </c:pt>
                <c:pt idx="38">
                  <c:v>226.60000000000002</c:v>
                </c:pt>
                <c:pt idx="39">
                  <c:v>227.00000000000003</c:v>
                </c:pt>
                <c:pt idx="40">
                  <c:v>230.10000000000002</c:v>
                </c:pt>
                <c:pt idx="41">
                  <c:v>228.10000000000002</c:v>
                </c:pt>
                <c:pt idx="42">
                  <c:v>248.3</c:v>
                </c:pt>
                <c:pt idx="43">
                  <c:v>280.10000000000002</c:v>
                </c:pt>
                <c:pt idx="44">
                  <c:v>272.3</c:v>
                </c:pt>
                <c:pt idx="45">
                  <c:v>242.10000000000002</c:v>
                </c:pt>
                <c:pt idx="46">
                  <c:v>207.60000000000002</c:v>
                </c:pt>
                <c:pt idx="47">
                  <c:v>187.90000000000003</c:v>
                </c:pt>
                <c:pt idx="48">
                  <c:v>208.70000000000005</c:v>
                </c:pt>
                <c:pt idx="49">
                  <c:v>205.90000000000003</c:v>
                </c:pt>
                <c:pt idx="50">
                  <c:v>205.90000000000003</c:v>
                </c:pt>
                <c:pt idx="51">
                  <c:v>283.60000000000002</c:v>
                </c:pt>
                <c:pt idx="52">
                  <c:v>309.10000000000002</c:v>
                </c:pt>
                <c:pt idx="53">
                  <c:v>259.60000000000002</c:v>
                </c:pt>
                <c:pt idx="54">
                  <c:v>244.50000000000003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FF2-4DFE-9E0D-C47BAB7F0C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いっしー!$N$2:$N$7</c:f>
              <c:numCache>
                <c:formatCode>0</c:formatCode>
                <c:ptCount val="6"/>
                <c:pt idx="0">
                  <c:v>-590.74074074074076</c:v>
                </c:pt>
                <c:pt idx="1">
                  <c:v>2784.3137254901962</c:v>
                </c:pt>
                <c:pt idx="2">
                  <c:v>-2071.4285714285716</c:v>
                </c:pt>
                <c:pt idx="3">
                  <c:v>-595.1219512195122</c:v>
                </c:pt>
                <c:pt idx="4">
                  <c:v>7894.2857142857147</c:v>
                </c:pt>
                <c:pt idx="5">
                  <c:v>-316.66666666666669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A0F-4033-84CB-18FEF5E487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がくと!$K$1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がくと!$J$2:$J$7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がくと!$K$2:$K$7</c:f>
              <c:numCache>
                <c:formatCode>\+0;\-0;\±0</c:formatCode>
                <c:ptCount val="6"/>
                <c:pt idx="0">
                  <c:v>0</c:v>
                </c:pt>
                <c:pt idx="1">
                  <c:v>-40.700000000000003</c:v>
                </c:pt>
                <c:pt idx="2">
                  <c:v>-80.7</c:v>
                </c:pt>
                <c:pt idx="3">
                  <c:v>-87.9</c:v>
                </c:pt>
                <c:pt idx="4">
                  <c:v>-107.2</c:v>
                </c:pt>
                <c:pt idx="5">
                  <c:v>-85.4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921-4723-993D-677E59AE3E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がくと!$N$1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がくと!$M$2:$M$7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がくと!$N$2:$N$7</c:f>
              <c:numCache>
                <c:formatCode>0</c:formatCode>
                <c:ptCount val="6"/>
                <c:pt idx="0">
                  <c:v>-2740</c:v>
                </c:pt>
                <c:pt idx="1">
                  <c:v>1500</c:v>
                </c:pt>
                <c:pt idx="2">
                  <c:v>-11250</c:v>
                </c:pt>
                <c:pt idx="3">
                  <c:v>-12000</c:v>
                </c:pt>
                <c:pt idx="4">
                  <c:v>5400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D2-41E0-8BC4-980E006822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たかの!$J$2:$J$54</c:f>
              <c:numCache>
                <c:formatCode>General</c:formatCode>
                <c:ptCount val="5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</c:numCache>
            </c:numRef>
          </c:xVal>
          <c:yVal>
            <c:numRef>
              <c:f>たかの!$K$2:$K$54</c:f>
              <c:numCache>
                <c:formatCode>\+0;\-0;\±0</c:formatCode>
                <c:ptCount val="53"/>
                <c:pt idx="0">
                  <c:v>0</c:v>
                </c:pt>
                <c:pt idx="1">
                  <c:v>67.2</c:v>
                </c:pt>
                <c:pt idx="2">
                  <c:v>58.5</c:v>
                </c:pt>
                <c:pt idx="3">
                  <c:v>81.099999999999994</c:v>
                </c:pt>
                <c:pt idx="4">
                  <c:v>56.699999999999996</c:v>
                </c:pt>
                <c:pt idx="5">
                  <c:v>121.69999999999999</c:v>
                </c:pt>
                <c:pt idx="6">
                  <c:v>123.19999999999999</c:v>
                </c:pt>
                <c:pt idx="7">
                  <c:v>125.99999999999999</c:v>
                </c:pt>
                <c:pt idx="8">
                  <c:v>94.499999999999986</c:v>
                </c:pt>
                <c:pt idx="9">
                  <c:v>81.799999999999983</c:v>
                </c:pt>
                <c:pt idx="10">
                  <c:v>108.49999999999999</c:v>
                </c:pt>
                <c:pt idx="11">
                  <c:v>135.19999999999999</c:v>
                </c:pt>
                <c:pt idx="12">
                  <c:v>97.299999999999983</c:v>
                </c:pt>
                <c:pt idx="13">
                  <c:v>60.299999999999983</c:v>
                </c:pt>
                <c:pt idx="14">
                  <c:v>39.999999999999986</c:v>
                </c:pt>
                <c:pt idx="15">
                  <c:v>31.499999999999986</c:v>
                </c:pt>
                <c:pt idx="16">
                  <c:v>-6.0000000000000142</c:v>
                </c:pt>
                <c:pt idx="17">
                  <c:v>-16.600000000000016</c:v>
                </c:pt>
                <c:pt idx="18">
                  <c:v>-16.300000000000015</c:v>
                </c:pt>
                <c:pt idx="19">
                  <c:v>-1.6000000000000156</c:v>
                </c:pt>
                <c:pt idx="20">
                  <c:v>45.399999999999984</c:v>
                </c:pt>
                <c:pt idx="21">
                  <c:v>4.5999999999999872</c:v>
                </c:pt>
                <c:pt idx="22">
                  <c:v>-0.90000000000001279</c:v>
                </c:pt>
                <c:pt idx="23">
                  <c:v>22.999999999999986</c:v>
                </c:pt>
                <c:pt idx="24">
                  <c:v>10.099999999999985</c:v>
                </c:pt>
                <c:pt idx="25">
                  <c:v>1.7999999999999847</c:v>
                </c:pt>
                <c:pt idx="26">
                  <c:v>-8.2000000000000153</c:v>
                </c:pt>
                <c:pt idx="27">
                  <c:v>-30.100000000000016</c:v>
                </c:pt>
                <c:pt idx="28">
                  <c:v>-24.000000000000014</c:v>
                </c:pt>
                <c:pt idx="29">
                  <c:v>-23.400000000000013</c:v>
                </c:pt>
                <c:pt idx="30">
                  <c:v>15.79999999999999</c:v>
                </c:pt>
                <c:pt idx="31">
                  <c:v>-18.900000000000013</c:v>
                </c:pt>
                <c:pt idx="32">
                  <c:v>-33.900000000000013</c:v>
                </c:pt>
                <c:pt idx="33">
                  <c:v>-39.70000000000001</c:v>
                </c:pt>
                <c:pt idx="34">
                  <c:v>-90.600000000000009</c:v>
                </c:pt>
                <c:pt idx="35">
                  <c:v>-102.60000000000001</c:v>
                </c:pt>
                <c:pt idx="36">
                  <c:v>-70.200000000000017</c:v>
                </c:pt>
                <c:pt idx="37">
                  <c:v>-75.800000000000011</c:v>
                </c:pt>
                <c:pt idx="38">
                  <c:v>-101.80000000000001</c:v>
                </c:pt>
                <c:pt idx="39">
                  <c:v>-96.600000000000009</c:v>
                </c:pt>
                <c:pt idx="40">
                  <c:v>-104.30000000000001</c:v>
                </c:pt>
                <c:pt idx="41">
                  <c:v>-119.30000000000001</c:v>
                </c:pt>
                <c:pt idx="42">
                  <c:v>-168.9</c:v>
                </c:pt>
                <c:pt idx="43">
                  <c:v>-164.1</c:v>
                </c:pt>
                <c:pt idx="44">
                  <c:v>-208.6</c:v>
                </c:pt>
                <c:pt idx="45">
                  <c:v>-209.7</c:v>
                </c:pt>
                <c:pt idx="46">
                  <c:v>-245.89999999999998</c:v>
                </c:pt>
                <c:pt idx="47">
                  <c:v>-286.2</c:v>
                </c:pt>
                <c:pt idx="48">
                  <c:v>-289.39999999999998</c:v>
                </c:pt>
                <c:pt idx="49">
                  <c:v>-348.7</c:v>
                </c:pt>
                <c:pt idx="50">
                  <c:v>-363.59999999999997</c:v>
                </c:pt>
                <c:pt idx="51">
                  <c:v>-358.59999999999997</c:v>
                </c:pt>
                <c:pt idx="52">
                  <c:v>-378.59999999999997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35-4E61-A646-4BD628F577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たかの!$N$2:$N$7</c:f>
              <c:numCache>
                <c:formatCode>0</c:formatCode>
                <c:ptCount val="6"/>
                <c:pt idx="0">
                  <c:v>-2221.1538461538462</c:v>
                </c:pt>
                <c:pt idx="1">
                  <c:v>-3755.1020408163267</c:v>
                </c:pt>
                <c:pt idx="2">
                  <c:v>-1088.0952380952381</c:v>
                </c:pt>
                <c:pt idx="3">
                  <c:v>1575</c:v>
                </c:pt>
                <c:pt idx="4">
                  <c:v>-2561.2903225806454</c:v>
                </c:pt>
                <c:pt idx="5">
                  <c:v>-1120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77-4687-8817-1E8AA26CC9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ただ!$J$2:$J$67</c:f>
              <c:numCache>
                <c:formatCode>General</c:formatCode>
                <c:ptCount val="6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</c:numCache>
            </c:numRef>
          </c:xVal>
          <c:yVal>
            <c:numRef>
              <c:f>ただ!$K$2:$K$67</c:f>
              <c:numCache>
                <c:formatCode>\+0;\-0;\±0</c:formatCode>
                <c:ptCount val="66"/>
                <c:pt idx="0">
                  <c:v>0</c:v>
                </c:pt>
                <c:pt idx="1">
                  <c:v>-35.700000000000003</c:v>
                </c:pt>
                <c:pt idx="2">
                  <c:v>-44.300000000000004</c:v>
                </c:pt>
                <c:pt idx="3">
                  <c:v>-79.7</c:v>
                </c:pt>
                <c:pt idx="4">
                  <c:v>-111.30000000000001</c:v>
                </c:pt>
                <c:pt idx="5">
                  <c:v>-133.30000000000001</c:v>
                </c:pt>
                <c:pt idx="6">
                  <c:v>-98.800000000000011</c:v>
                </c:pt>
                <c:pt idx="7">
                  <c:v>-103.20000000000002</c:v>
                </c:pt>
                <c:pt idx="8">
                  <c:v>-50.300000000000018</c:v>
                </c:pt>
                <c:pt idx="9">
                  <c:v>-51.500000000000021</c:v>
                </c:pt>
                <c:pt idx="10">
                  <c:v>-69.800000000000026</c:v>
                </c:pt>
                <c:pt idx="11">
                  <c:v>-88.100000000000023</c:v>
                </c:pt>
                <c:pt idx="12">
                  <c:v>-85.100000000000023</c:v>
                </c:pt>
                <c:pt idx="13">
                  <c:v>-70.600000000000023</c:v>
                </c:pt>
                <c:pt idx="14">
                  <c:v>-60.500000000000021</c:v>
                </c:pt>
                <c:pt idx="15">
                  <c:v>-67.700000000000017</c:v>
                </c:pt>
                <c:pt idx="16">
                  <c:v>5.5999999999999801</c:v>
                </c:pt>
                <c:pt idx="17">
                  <c:v>39.59999999999998</c:v>
                </c:pt>
                <c:pt idx="18">
                  <c:v>39.299999999999983</c:v>
                </c:pt>
                <c:pt idx="19">
                  <c:v>102.29999999999998</c:v>
                </c:pt>
                <c:pt idx="20">
                  <c:v>105.39999999999998</c:v>
                </c:pt>
                <c:pt idx="21">
                  <c:v>105.59999999999998</c:v>
                </c:pt>
                <c:pt idx="22">
                  <c:v>108.39999999999998</c:v>
                </c:pt>
                <c:pt idx="23">
                  <c:v>151.99999999999997</c:v>
                </c:pt>
                <c:pt idx="24">
                  <c:v>150.59999999999997</c:v>
                </c:pt>
                <c:pt idx="25">
                  <c:v>111.89999999999996</c:v>
                </c:pt>
                <c:pt idx="26">
                  <c:v>97.099999999999966</c:v>
                </c:pt>
                <c:pt idx="27">
                  <c:v>107.39999999999996</c:v>
                </c:pt>
                <c:pt idx="28">
                  <c:v>64.399999999999963</c:v>
                </c:pt>
                <c:pt idx="29">
                  <c:v>24.399999999999963</c:v>
                </c:pt>
                <c:pt idx="30">
                  <c:v>13.599999999999962</c:v>
                </c:pt>
                <c:pt idx="31">
                  <c:v>28.19999999999996</c:v>
                </c:pt>
                <c:pt idx="32">
                  <c:v>-14.200000000000038</c:v>
                </c:pt>
                <c:pt idx="33">
                  <c:v>-13.500000000000039</c:v>
                </c:pt>
                <c:pt idx="34">
                  <c:v>-2.3000000000000398</c:v>
                </c:pt>
                <c:pt idx="35">
                  <c:v>-38.600000000000037</c:v>
                </c:pt>
                <c:pt idx="36">
                  <c:v>9.3999999999999631</c:v>
                </c:pt>
                <c:pt idx="37">
                  <c:v>-3.4000000000000377</c:v>
                </c:pt>
                <c:pt idx="38">
                  <c:v>36.599999999999966</c:v>
                </c:pt>
                <c:pt idx="39">
                  <c:v>33.199999999999967</c:v>
                </c:pt>
                <c:pt idx="40">
                  <c:v>103.79999999999995</c:v>
                </c:pt>
                <c:pt idx="41">
                  <c:v>134.29999999999995</c:v>
                </c:pt>
                <c:pt idx="42">
                  <c:v>168.69999999999996</c:v>
                </c:pt>
                <c:pt idx="43">
                  <c:v>179.19999999999996</c:v>
                </c:pt>
                <c:pt idx="44">
                  <c:v>188.29999999999995</c:v>
                </c:pt>
                <c:pt idx="45">
                  <c:v>140.89999999999995</c:v>
                </c:pt>
                <c:pt idx="46">
                  <c:v>184.79999999999995</c:v>
                </c:pt>
                <c:pt idx="47">
                  <c:v>194.69999999999996</c:v>
                </c:pt>
                <c:pt idx="48">
                  <c:v>175.69999999999996</c:v>
                </c:pt>
                <c:pt idx="49">
                  <c:v>170.79999999999995</c:v>
                </c:pt>
                <c:pt idx="50">
                  <c:v>187.59999999999997</c:v>
                </c:pt>
                <c:pt idx="51">
                  <c:v>162.19999999999996</c:v>
                </c:pt>
                <c:pt idx="52">
                  <c:v>171.69999999999996</c:v>
                </c:pt>
                <c:pt idx="53">
                  <c:v>171.29999999999995</c:v>
                </c:pt>
                <c:pt idx="54">
                  <c:v>188.39999999999995</c:v>
                </c:pt>
                <c:pt idx="55">
                  <c:v>210.19999999999996</c:v>
                </c:pt>
                <c:pt idx="56">
                  <c:v>198.39999999999995</c:v>
                </c:pt>
                <c:pt idx="57">
                  <c:v>233.39999999999995</c:v>
                </c:pt>
                <c:pt idx="58">
                  <c:v>185.29999999999995</c:v>
                </c:pt>
                <c:pt idx="59">
                  <c:v>182.69999999999996</c:v>
                </c:pt>
                <c:pt idx="60">
                  <c:v>194.19999999999996</c:v>
                </c:pt>
                <c:pt idx="61">
                  <c:v>206.49999999999997</c:v>
                </c:pt>
                <c:pt idx="62">
                  <c:v>207.39999999999998</c:v>
                </c:pt>
                <c:pt idx="63">
                  <c:v>203.59999999999997</c:v>
                </c:pt>
                <c:pt idx="64">
                  <c:v>191.69999999999996</c:v>
                </c:pt>
                <c:pt idx="65">
                  <c:v>175.19999999999996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E24-4622-B168-1D3CFA0ADC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ただ!$N$2:$N$7</c:f>
              <c:numCache>
                <c:formatCode>0</c:formatCode>
                <c:ptCount val="6"/>
                <c:pt idx="0">
                  <c:v>3293.6507936507937</c:v>
                </c:pt>
                <c:pt idx="1">
                  <c:v>262.71186440677968</c:v>
                </c:pt>
                <c:pt idx="2">
                  <c:v>475.92592592592592</c:v>
                </c:pt>
                <c:pt idx="3">
                  <c:v>-1382.3529411764705</c:v>
                </c:pt>
                <c:pt idx="4">
                  <c:v>-47.61904761904762</c:v>
                </c:pt>
                <c:pt idx="5">
                  <c:v>-964.8648648648649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B0C-4753-BB60-8D32DB9E77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やがさき!$J$2:$J$21</c:f>
              <c:numCache>
                <c:formatCode>General</c:formatCode>
                <c:ptCount val="2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</c:numCache>
            </c:numRef>
          </c:xVal>
          <c:yVal>
            <c:numRef>
              <c:f>やがさき!$K$2:$K$21</c:f>
              <c:numCache>
                <c:formatCode>\+0;\-0;\±0</c:formatCode>
                <c:ptCount val="20"/>
                <c:pt idx="0">
                  <c:v>0</c:v>
                </c:pt>
                <c:pt idx="1">
                  <c:v>-14.4</c:v>
                </c:pt>
                <c:pt idx="2">
                  <c:v>36.6</c:v>
                </c:pt>
                <c:pt idx="3">
                  <c:v>-2.7999999999999972</c:v>
                </c:pt>
                <c:pt idx="4">
                  <c:v>-43.3</c:v>
                </c:pt>
                <c:pt idx="5">
                  <c:v>8.2000000000000028</c:v>
                </c:pt>
                <c:pt idx="6">
                  <c:v>22.200000000000003</c:v>
                </c:pt>
                <c:pt idx="7">
                  <c:v>38</c:v>
                </c:pt>
                <c:pt idx="8">
                  <c:v>3.2000000000000028</c:v>
                </c:pt>
                <c:pt idx="9">
                  <c:v>5.8000000000000025</c:v>
                </c:pt>
                <c:pt idx="10">
                  <c:v>54.800000000000004</c:v>
                </c:pt>
                <c:pt idx="11">
                  <c:v>66.300000000000011</c:v>
                </c:pt>
                <c:pt idx="12">
                  <c:v>77.800000000000011</c:v>
                </c:pt>
                <c:pt idx="13">
                  <c:v>151.10000000000002</c:v>
                </c:pt>
                <c:pt idx="14">
                  <c:v>144.10000000000002</c:v>
                </c:pt>
                <c:pt idx="15">
                  <c:v>145.80000000000001</c:v>
                </c:pt>
                <c:pt idx="16">
                  <c:v>149.30000000000001</c:v>
                </c:pt>
                <c:pt idx="17">
                  <c:v>174.10000000000002</c:v>
                </c:pt>
                <c:pt idx="18">
                  <c:v>152.00000000000003</c:v>
                </c:pt>
                <c:pt idx="19">
                  <c:v>140.60000000000002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06C-4404-83BB-2B9CD3375A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やがさき!$N$1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やがさき!$M$2:$M$7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やがさき!$N$2:$N$7</c:f>
              <c:numCache>
                <c:formatCode>0</c:formatCode>
                <c:ptCount val="6"/>
                <c:pt idx="0">
                  <c:v>1878.9473684210527</c:v>
                </c:pt>
                <c:pt idx="1">
                  <c:v>6941.1764705882351</c:v>
                </c:pt>
                <c:pt idx="2">
                  <c:v>-1892.8571428571429</c:v>
                </c:pt>
                <c:pt idx="3">
                  <c:v>1964.2857142857142</c:v>
                </c:pt>
                <c:pt idx="4">
                  <c:v>-483.33333333333331</c:v>
                </c:pt>
                <c:pt idx="5">
                  <c:v>-530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86C-4E44-9559-CFE9691404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れんたろう!$J$2:$J$64</c:f>
              <c:numCache>
                <c:formatCode>General</c:formatCode>
                <c:ptCount val="6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</c:numCache>
            </c:numRef>
          </c:xVal>
          <c:yVal>
            <c:numRef>
              <c:f>れんたろう!$K$2:$K$64</c:f>
              <c:numCache>
                <c:formatCode>\+0;\-0;\±0</c:formatCode>
                <c:ptCount val="63"/>
                <c:pt idx="0">
                  <c:v>0</c:v>
                </c:pt>
                <c:pt idx="1">
                  <c:v>3.9</c:v>
                </c:pt>
                <c:pt idx="2">
                  <c:v>-32.9</c:v>
                </c:pt>
                <c:pt idx="3">
                  <c:v>-68.099999999999994</c:v>
                </c:pt>
                <c:pt idx="4">
                  <c:v>-34.099999999999994</c:v>
                </c:pt>
                <c:pt idx="5">
                  <c:v>-78.099999999999994</c:v>
                </c:pt>
                <c:pt idx="6">
                  <c:v>-113.1</c:v>
                </c:pt>
                <c:pt idx="7">
                  <c:v>-143.4</c:v>
                </c:pt>
                <c:pt idx="8">
                  <c:v>-142</c:v>
                </c:pt>
                <c:pt idx="9">
                  <c:v>-168</c:v>
                </c:pt>
                <c:pt idx="10">
                  <c:v>-200.1</c:v>
                </c:pt>
                <c:pt idx="11">
                  <c:v>-169</c:v>
                </c:pt>
                <c:pt idx="12">
                  <c:v>-191</c:v>
                </c:pt>
                <c:pt idx="13">
                  <c:v>-228</c:v>
                </c:pt>
                <c:pt idx="14">
                  <c:v>-224</c:v>
                </c:pt>
                <c:pt idx="15">
                  <c:v>-205.5</c:v>
                </c:pt>
                <c:pt idx="16">
                  <c:v>-225.2</c:v>
                </c:pt>
                <c:pt idx="17">
                  <c:v>-259.7</c:v>
                </c:pt>
                <c:pt idx="18">
                  <c:v>-285.8</c:v>
                </c:pt>
                <c:pt idx="19">
                  <c:v>-264.2</c:v>
                </c:pt>
                <c:pt idx="20">
                  <c:v>-261</c:v>
                </c:pt>
                <c:pt idx="21">
                  <c:v>-234</c:v>
                </c:pt>
                <c:pt idx="22">
                  <c:v>-195.9</c:v>
                </c:pt>
                <c:pt idx="23">
                  <c:v>-193.9</c:v>
                </c:pt>
                <c:pt idx="24">
                  <c:v>-162.19999999999999</c:v>
                </c:pt>
                <c:pt idx="25">
                  <c:v>-209.89999999999998</c:v>
                </c:pt>
                <c:pt idx="26">
                  <c:v>-248.29999999999998</c:v>
                </c:pt>
                <c:pt idx="27">
                  <c:v>-287.29999999999995</c:v>
                </c:pt>
                <c:pt idx="28">
                  <c:v>-282.19999999999993</c:v>
                </c:pt>
                <c:pt idx="29">
                  <c:v>-232.19999999999993</c:v>
                </c:pt>
                <c:pt idx="30">
                  <c:v>-249.29999999999993</c:v>
                </c:pt>
                <c:pt idx="31">
                  <c:v>-257.39999999999992</c:v>
                </c:pt>
                <c:pt idx="32">
                  <c:v>-275.89999999999992</c:v>
                </c:pt>
                <c:pt idx="33">
                  <c:v>-283.2999999999999</c:v>
                </c:pt>
                <c:pt idx="34">
                  <c:v>-292.69999999999987</c:v>
                </c:pt>
                <c:pt idx="35">
                  <c:v>-329.69999999999987</c:v>
                </c:pt>
                <c:pt idx="36">
                  <c:v>-319.09999999999985</c:v>
                </c:pt>
                <c:pt idx="37">
                  <c:v>-361.59999999999985</c:v>
                </c:pt>
                <c:pt idx="38">
                  <c:v>-369.09999999999985</c:v>
                </c:pt>
                <c:pt idx="39">
                  <c:v>-350.49999999999983</c:v>
                </c:pt>
                <c:pt idx="40">
                  <c:v>-367.59999999999985</c:v>
                </c:pt>
                <c:pt idx="41">
                  <c:v>-355.59999999999985</c:v>
                </c:pt>
                <c:pt idx="42">
                  <c:v>-356.09999999999985</c:v>
                </c:pt>
                <c:pt idx="43">
                  <c:v>-315.09999999999985</c:v>
                </c:pt>
                <c:pt idx="44">
                  <c:v>-320.89999999999986</c:v>
                </c:pt>
                <c:pt idx="45">
                  <c:v>-319.19999999999987</c:v>
                </c:pt>
                <c:pt idx="46">
                  <c:v>-352.39999999999986</c:v>
                </c:pt>
                <c:pt idx="47">
                  <c:v>-341.39999999999986</c:v>
                </c:pt>
                <c:pt idx="48">
                  <c:v>-349.19999999999987</c:v>
                </c:pt>
                <c:pt idx="49">
                  <c:v>-354.49999999999989</c:v>
                </c:pt>
                <c:pt idx="50">
                  <c:v>-388.99999999999989</c:v>
                </c:pt>
                <c:pt idx="51">
                  <c:v>-398.99999999999989</c:v>
                </c:pt>
                <c:pt idx="52">
                  <c:v>-414.39999999999986</c:v>
                </c:pt>
                <c:pt idx="53">
                  <c:v>-388.89999999999986</c:v>
                </c:pt>
                <c:pt idx="54">
                  <c:v>-399.19999999999987</c:v>
                </c:pt>
                <c:pt idx="55">
                  <c:v>-408.49999999999989</c:v>
                </c:pt>
                <c:pt idx="56">
                  <c:v>-384.39999999999986</c:v>
                </c:pt>
                <c:pt idx="57">
                  <c:v>-416.89999999999986</c:v>
                </c:pt>
                <c:pt idx="58">
                  <c:v>-453.39999999999986</c:v>
                </c:pt>
                <c:pt idx="59">
                  <c:v>-461.79999999999984</c:v>
                </c:pt>
                <c:pt idx="60">
                  <c:v>-461.29999999999984</c:v>
                </c:pt>
                <c:pt idx="61">
                  <c:v>-472.39999999999986</c:v>
                </c:pt>
                <c:pt idx="62">
                  <c:v>-477.59999999999985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124-4646-BA18-36FFC32C3B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れんたろう!$N$2:$N$7</c:f>
              <c:numCache>
                <c:formatCode>0</c:formatCode>
                <c:ptCount val="6"/>
                <c:pt idx="0">
                  <c:v>-1720.6896551724137</c:v>
                </c:pt>
                <c:pt idx="1">
                  <c:v>-1350</c:v>
                </c:pt>
                <c:pt idx="2">
                  <c:v>-3441.818181818182</c:v>
                </c:pt>
                <c:pt idx="3">
                  <c:v>-931.37254901960785</c:v>
                </c:pt>
                <c:pt idx="4">
                  <c:v>-1878.7234042553191</c:v>
                </c:pt>
                <c:pt idx="5">
                  <c:v>3413.8888888888887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5BC-4816-A489-B13C447880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あさひ!$J$2:$J$7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あさひ!$K$2:$K$7</c:f>
              <c:numCache>
                <c:formatCode>\+0;\-0;\±0</c:formatCode>
                <c:ptCount val="6"/>
                <c:pt idx="0">
                  <c:v>0</c:v>
                </c:pt>
                <c:pt idx="1">
                  <c:v>27.3</c:v>
                </c:pt>
                <c:pt idx="2">
                  <c:v>69.3</c:v>
                </c:pt>
                <c:pt idx="3">
                  <c:v>56.3</c:v>
                </c:pt>
                <c:pt idx="4">
                  <c:v>63.5</c:v>
                </c:pt>
                <c:pt idx="5">
                  <c:v>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E01-41CE-B003-BD07C4E00B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あさひ!$N$2:$N$7</c:f>
              <c:numCache>
                <c:formatCode>0</c:formatCode>
                <c:ptCount val="6"/>
                <c:pt idx="0">
                  <c:v>9780</c:v>
                </c:pt>
                <c:pt idx="1">
                  <c:v>-4740</c:v>
                </c:pt>
                <c:pt idx="2">
                  <c:v>3000</c:v>
                </c:pt>
                <c:pt idx="3">
                  <c:v>10700</c:v>
                </c:pt>
                <c:pt idx="4">
                  <c:v>-1000</c:v>
                </c:pt>
                <c:pt idx="5">
                  <c:v>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3EB-4B88-9156-3C87F6BE2C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まっつん!$J$2:$J$21</c:f>
              <c:numCache>
                <c:formatCode>General</c:formatCode>
                <c:ptCount val="2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</c:numCache>
            </c:numRef>
          </c:xVal>
          <c:yVal>
            <c:numRef>
              <c:f>まっつん!$K$2:$K$21</c:f>
              <c:numCache>
                <c:formatCode>\+0;\-0;\±0</c:formatCode>
                <c:ptCount val="20"/>
                <c:pt idx="0">
                  <c:v>0</c:v>
                </c:pt>
                <c:pt idx="1">
                  <c:v>15</c:v>
                </c:pt>
                <c:pt idx="2">
                  <c:v>-23.299999999999997</c:v>
                </c:pt>
                <c:pt idx="3">
                  <c:v>-14.599999999999998</c:v>
                </c:pt>
                <c:pt idx="4">
                  <c:v>6.1000000000000014</c:v>
                </c:pt>
                <c:pt idx="5">
                  <c:v>10.600000000000001</c:v>
                </c:pt>
                <c:pt idx="6">
                  <c:v>4.2000000000000011</c:v>
                </c:pt>
                <c:pt idx="7">
                  <c:v>28.200000000000003</c:v>
                </c:pt>
                <c:pt idx="8">
                  <c:v>-2.4999999999999964</c:v>
                </c:pt>
                <c:pt idx="9">
                  <c:v>-7.3999999999999968</c:v>
                </c:pt>
                <c:pt idx="10">
                  <c:v>-21.299999999999997</c:v>
                </c:pt>
                <c:pt idx="11">
                  <c:v>-66</c:v>
                </c:pt>
                <c:pt idx="12">
                  <c:v>-40.799999999999997</c:v>
                </c:pt>
                <c:pt idx="13">
                  <c:v>-9.0999999999999943</c:v>
                </c:pt>
                <c:pt idx="14">
                  <c:v>-4.7999999999999945</c:v>
                </c:pt>
                <c:pt idx="15">
                  <c:v>-42.199999999999996</c:v>
                </c:pt>
                <c:pt idx="16">
                  <c:v>-24.599999999999994</c:v>
                </c:pt>
                <c:pt idx="17">
                  <c:v>-37.799999999999997</c:v>
                </c:pt>
                <c:pt idx="18">
                  <c:v>-57.4</c:v>
                </c:pt>
                <c:pt idx="19">
                  <c:v>-57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CD-40BE-8790-1F6DFE3A5C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まっつん!$N$2:$N$7</c:f>
              <c:numCache>
                <c:formatCode>0</c:formatCode>
                <c:ptCount val="6"/>
                <c:pt idx="0">
                  <c:v>-4400</c:v>
                </c:pt>
                <c:pt idx="1">
                  <c:v>3484.2105263157896</c:v>
                </c:pt>
                <c:pt idx="2">
                  <c:v>125</c:v>
                </c:pt>
                <c:pt idx="3">
                  <c:v>300</c:v>
                </c:pt>
                <c:pt idx="4">
                  <c:v>-1935.7142857142858</c:v>
                </c:pt>
                <c:pt idx="5">
                  <c:v>-2000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A5-49A8-A815-3ED3640796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0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E6D4010E-D400-44DA-B4CA-4F92D8C131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BC0469D8-0451-4E8F-AA50-924FE110804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E25C6895-DA06-4348-AE1F-EC8761725A4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25CCD8E-6C98-481B-96D7-A3D99013659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9E54815-C1BE-4165-8534-87CF55A56E2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D3FF9CC3-D184-4272-9F09-4DC3AB12D45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48053118-85EC-486C-A822-709B256E5E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58EDAFA5-24EC-430C-87A0-E79E4EB5CE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E1675167-AC73-4D86-9D36-01F7A7DBB4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1F42EC32-C0F2-4C68-A5C5-4CB870EE95E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B4A6600-CF80-4764-B973-FD720B00113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DD32CA95-46ED-4662-B922-AEBB380B599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D624D89-18CD-48BF-9928-2BB0D9DE31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371249A6-7FA5-4406-BE02-710689856F4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41464DD5-5396-4DC1-BFBB-79D32662B9C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6E506E8-F603-433E-BAB0-58294BE596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986CF78-9CFB-4974-8FEC-F2DE6432F73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28B6E82-489B-4B04-8CAD-28B6CBBB7A5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1E7A22B3-0200-4601-86D5-AC65AB195C5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5D5025EB-A75B-4E07-8362-2471A67DA0F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6CF23B0-BD58-4E04-98EF-B7D1B35061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9A58CA4E-F755-4328-9F80-0CC3B80AD35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F4FC1ECC-8981-4A24-9CB0-3C1B4DD8EA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A9B3C189-94F2-476B-BA92-55E33704BC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BFBAE8-7975-4487-BE4E-B4F3D1444D59}">
  <sheetPr codeName="Sheet1"/>
  <dimension ref="A1:AK14"/>
  <sheetViews>
    <sheetView showGridLines="0" tabSelected="1" zoomScale="200" zoomScaleNormal="200" workbookViewId="0"/>
  </sheetViews>
  <sheetFormatPr defaultColWidth="9" defaultRowHeight="18.75" x14ac:dyDescent="0.4"/>
  <cols>
    <col min="1" max="1" width="6" style="7" customWidth="1"/>
    <col min="2" max="2" width="10.75" style="6" customWidth="1"/>
    <col min="3" max="3" width="10.75" style="3" customWidth="1"/>
    <col min="4" max="4" width="10.75" style="1" customWidth="1"/>
    <col min="5" max="5" width="10.75" style="3" customWidth="1"/>
    <col min="6" max="6" width="10.75" style="1" customWidth="1"/>
    <col min="7" max="7" width="10.75" style="5" customWidth="1"/>
    <col min="8" max="8" width="10.75" style="1" customWidth="1"/>
    <col min="9" max="9" width="10.75" style="18" customWidth="1"/>
    <col min="10" max="10" width="10.75" style="1" customWidth="1"/>
    <col min="11" max="11" width="10.75" style="16" customWidth="1"/>
    <col min="12" max="12" width="10.75" style="1" customWidth="1"/>
    <col min="13" max="13" width="10.75" style="16" customWidth="1"/>
    <col min="14" max="14" width="10.75" style="1" customWidth="1"/>
    <col min="15" max="15" width="10.75" style="2" customWidth="1"/>
    <col min="16" max="16" width="10.75" style="1" customWidth="1"/>
    <col min="17" max="17" width="10.75" style="2" customWidth="1"/>
    <col min="18" max="18" width="10.75" style="1" customWidth="1"/>
    <col min="19" max="19" width="10.75" style="18" customWidth="1"/>
    <col min="20" max="20" width="10.75" style="1" customWidth="1"/>
    <col min="21" max="21" width="10.75" style="18" customWidth="1"/>
    <col min="22" max="22" width="10.75" style="1" customWidth="1"/>
    <col min="23" max="23" width="10.75" style="16" customWidth="1"/>
    <col min="24" max="24" width="10.75" style="1" customWidth="1"/>
    <col min="25" max="25" width="10.75" style="16" customWidth="1"/>
    <col min="26" max="26" width="10.75" style="1" customWidth="1"/>
    <col min="27" max="27" width="10.75" style="16" customWidth="1"/>
    <col min="28" max="28" width="10.75" style="1" customWidth="1"/>
    <col min="29" max="29" width="10.75" style="16" customWidth="1"/>
    <col min="30" max="30" width="10.75" style="1" customWidth="1"/>
    <col min="31" max="31" width="10.75" style="16" customWidth="1"/>
    <col min="32" max="32" width="10.75" style="1" customWidth="1"/>
    <col min="33" max="33" width="10.75" style="16" customWidth="1"/>
    <col min="34" max="34" width="10.75" style="1" customWidth="1"/>
    <col min="35" max="35" width="10.75" style="74" customWidth="1"/>
    <col min="36" max="36" width="10.75" style="1" customWidth="1"/>
    <col min="37" max="37" width="10.75" style="78" customWidth="1"/>
    <col min="38" max="16384" width="9" style="4"/>
  </cols>
  <sheetData>
    <row r="1" spans="1:37" x14ac:dyDescent="0.4">
      <c r="A1" s="14"/>
      <c r="B1" s="81" t="s">
        <v>6</v>
      </c>
      <c r="C1" s="82"/>
      <c r="D1" s="81" t="s">
        <v>7</v>
      </c>
      <c r="E1" s="82"/>
      <c r="F1" s="81" t="s">
        <v>16</v>
      </c>
      <c r="G1" s="82"/>
      <c r="H1" s="81" t="s">
        <v>15</v>
      </c>
      <c r="I1" s="82"/>
      <c r="J1" s="81" t="s">
        <v>17</v>
      </c>
      <c r="K1" s="82"/>
      <c r="L1" s="81" t="s">
        <v>18</v>
      </c>
      <c r="M1" s="82"/>
      <c r="N1" s="81" t="s">
        <v>5</v>
      </c>
      <c r="O1" s="82"/>
      <c r="P1" s="81" t="s">
        <v>19</v>
      </c>
      <c r="Q1" s="82"/>
      <c r="R1" s="81" t="s">
        <v>20</v>
      </c>
      <c r="S1" s="82"/>
      <c r="T1" s="81" t="s">
        <v>192</v>
      </c>
      <c r="U1" s="82"/>
      <c r="V1" s="81" t="s">
        <v>131</v>
      </c>
      <c r="W1" s="82"/>
      <c r="X1" s="81" t="s">
        <v>126</v>
      </c>
      <c r="Y1" s="82"/>
      <c r="Z1" s="81" t="s">
        <v>134</v>
      </c>
      <c r="AA1" s="82"/>
      <c r="AB1" s="81" t="s">
        <v>135</v>
      </c>
      <c r="AC1" s="82"/>
      <c r="AD1" s="81" t="s">
        <v>218</v>
      </c>
      <c r="AE1" s="82"/>
      <c r="AF1" s="81" t="s">
        <v>180</v>
      </c>
      <c r="AG1" s="82"/>
      <c r="AH1" s="81" t="s">
        <v>197</v>
      </c>
      <c r="AI1" s="82"/>
      <c r="AJ1" s="81" t="s">
        <v>198</v>
      </c>
      <c r="AK1" s="82"/>
    </row>
    <row r="2" spans="1:37" x14ac:dyDescent="0.4">
      <c r="A2" s="8">
        <v>1</v>
      </c>
      <c r="B2" s="9" t="s">
        <v>137</v>
      </c>
      <c r="C2" s="11">
        <v>923.40000000000009</v>
      </c>
      <c r="D2" s="10" t="s">
        <v>194</v>
      </c>
      <c r="E2" s="11">
        <v>17.399999999999999</v>
      </c>
      <c r="F2" s="10" t="s">
        <v>194</v>
      </c>
      <c r="G2" s="12">
        <v>1.6</v>
      </c>
      <c r="H2" s="10" t="s">
        <v>194</v>
      </c>
      <c r="I2" s="17">
        <v>0.6</v>
      </c>
      <c r="J2" s="10" t="s">
        <v>194</v>
      </c>
      <c r="K2" s="15">
        <v>0.39130434782608697</v>
      </c>
      <c r="L2" s="10" t="s">
        <v>194</v>
      </c>
      <c r="M2" s="15">
        <v>6.5217391304347824E-2</v>
      </c>
      <c r="N2" s="10" t="s">
        <v>156</v>
      </c>
      <c r="O2" s="13">
        <v>11364.583333333334</v>
      </c>
      <c r="P2" s="10" t="s">
        <v>194</v>
      </c>
      <c r="Q2" s="13">
        <v>-5366.666666666667</v>
      </c>
      <c r="R2" s="10" t="s">
        <v>139</v>
      </c>
      <c r="S2" s="17">
        <v>0</v>
      </c>
      <c r="T2" s="10" t="s">
        <v>156</v>
      </c>
      <c r="U2" s="17">
        <v>0.21052631578947367</v>
      </c>
      <c r="V2" s="10" t="s">
        <v>139</v>
      </c>
      <c r="W2" s="15">
        <v>0.45454545454545453</v>
      </c>
      <c r="X2" s="10" t="s">
        <v>195</v>
      </c>
      <c r="Y2" s="15">
        <v>0.38410596026490068</v>
      </c>
      <c r="Z2" s="10" t="s">
        <v>145</v>
      </c>
      <c r="AA2" s="15">
        <v>0.75</v>
      </c>
      <c r="AB2" s="10" t="s">
        <v>194</v>
      </c>
      <c r="AC2" s="15">
        <v>0.5</v>
      </c>
      <c r="AD2" s="10" t="s">
        <v>138</v>
      </c>
      <c r="AE2" s="15">
        <v>1</v>
      </c>
      <c r="AF2" s="10" t="s">
        <v>194</v>
      </c>
      <c r="AG2" s="15">
        <v>0.46666666666666667</v>
      </c>
      <c r="AH2" s="10" t="s">
        <v>225</v>
      </c>
      <c r="AI2" s="73">
        <v>10</v>
      </c>
      <c r="AJ2" s="10" t="s">
        <v>225</v>
      </c>
      <c r="AK2" s="77">
        <v>16</v>
      </c>
    </row>
    <row r="3" spans="1:37" x14ac:dyDescent="0.4">
      <c r="A3" s="7">
        <v>2</v>
      </c>
      <c r="B3" s="6" t="s">
        <v>142</v>
      </c>
      <c r="C3" s="3">
        <v>244.50000000000003</v>
      </c>
      <c r="D3" s="1" t="s">
        <v>156</v>
      </c>
      <c r="E3" s="3">
        <v>7.4000000000000012</v>
      </c>
      <c r="F3" s="1" t="s">
        <v>137</v>
      </c>
      <c r="G3" s="5">
        <v>1.7987804878048781</v>
      </c>
      <c r="H3" s="1" t="s">
        <v>137</v>
      </c>
      <c r="I3" s="18">
        <v>0.42682926829268292</v>
      </c>
      <c r="J3" s="1" t="s">
        <v>142</v>
      </c>
      <c r="K3" s="16">
        <v>0.35584415584415585</v>
      </c>
      <c r="L3" s="1" t="s">
        <v>139</v>
      </c>
      <c r="M3" s="16">
        <v>0.125</v>
      </c>
      <c r="N3" s="1" t="s">
        <v>141</v>
      </c>
      <c r="O3" s="2">
        <v>11244.497607655503</v>
      </c>
      <c r="P3" s="1" t="s">
        <v>195</v>
      </c>
      <c r="Q3" s="2">
        <v>-8165.3846153846152</v>
      </c>
      <c r="R3" s="1" t="s">
        <v>194</v>
      </c>
      <c r="S3" s="18">
        <v>0</v>
      </c>
      <c r="T3" s="1" t="s">
        <v>145</v>
      </c>
      <c r="U3" s="18">
        <v>0.2</v>
      </c>
      <c r="V3" s="1" t="s">
        <v>194</v>
      </c>
      <c r="W3" s="16">
        <v>0.43478260869565216</v>
      </c>
      <c r="X3" s="1" t="s">
        <v>142</v>
      </c>
      <c r="Y3" s="16">
        <v>0.32653061224489793</v>
      </c>
      <c r="Z3" s="1" t="s">
        <v>142</v>
      </c>
      <c r="AA3" s="16">
        <v>0.66666666666666663</v>
      </c>
      <c r="AB3" s="1" t="s">
        <v>137</v>
      </c>
      <c r="AC3" s="16">
        <v>0.48823529411764705</v>
      </c>
      <c r="AD3" s="1" t="s">
        <v>160</v>
      </c>
      <c r="AE3" s="16">
        <v>0.47058823529411764</v>
      </c>
      <c r="AF3" s="1" t="s">
        <v>145</v>
      </c>
      <c r="AG3" s="16">
        <v>0.46153846153846156</v>
      </c>
      <c r="AH3" s="1" t="s">
        <v>137</v>
      </c>
      <c r="AI3" s="74">
        <v>10</v>
      </c>
      <c r="AJ3" s="1" t="s">
        <v>160</v>
      </c>
      <c r="AK3" s="78">
        <v>5</v>
      </c>
    </row>
    <row r="4" spans="1:37" x14ac:dyDescent="0.4">
      <c r="A4" s="7">
        <v>3</v>
      </c>
      <c r="B4" s="6" t="s">
        <v>149</v>
      </c>
      <c r="C4" s="3">
        <v>175.19999999999996</v>
      </c>
      <c r="D4" s="1" t="s">
        <v>137</v>
      </c>
      <c r="E4" s="3">
        <v>5.6304878048780491</v>
      </c>
      <c r="F4" s="1" t="s">
        <v>156</v>
      </c>
      <c r="G4" s="5">
        <v>1.8421052631578947</v>
      </c>
      <c r="H4" s="1" t="s">
        <v>156</v>
      </c>
      <c r="I4" s="18">
        <v>0.42105263157894735</v>
      </c>
      <c r="J4" s="1" t="s">
        <v>137</v>
      </c>
      <c r="K4" s="16">
        <v>0.35020408163265304</v>
      </c>
      <c r="L4" s="1" t="s">
        <v>137</v>
      </c>
      <c r="M4" s="16">
        <v>0.14448979591836736</v>
      </c>
      <c r="N4" s="1" t="s">
        <v>160</v>
      </c>
      <c r="O4" s="2">
        <v>10600</v>
      </c>
      <c r="P4" s="1" t="s">
        <v>138</v>
      </c>
      <c r="Q4" s="2">
        <v>-8240</v>
      </c>
      <c r="R4" s="1" t="s">
        <v>137</v>
      </c>
      <c r="S4" s="18">
        <v>0.10975609756097561</v>
      </c>
      <c r="T4" s="1" t="s">
        <v>194</v>
      </c>
      <c r="U4" s="18">
        <v>0.2</v>
      </c>
      <c r="V4" s="1" t="s">
        <v>156</v>
      </c>
      <c r="W4" s="16">
        <v>0.38805970149253732</v>
      </c>
      <c r="X4" s="1" t="s">
        <v>148</v>
      </c>
      <c r="Y4" s="16">
        <v>0.27064220183486237</v>
      </c>
      <c r="Z4" s="1" t="s">
        <v>137</v>
      </c>
      <c r="AA4" s="16">
        <v>0.64055299539170507</v>
      </c>
      <c r="AB4" s="1" t="s">
        <v>225</v>
      </c>
      <c r="AC4" s="16">
        <v>0.39875389408099687</v>
      </c>
      <c r="AD4" s="1" t="s">
        <v>142</v>
      </c>
      <c r="AE4" s="16">
        <v>0.45985401459854014</v>
      </c>
      <c r="AF4" s="1" t="s">
        <v>156</v>
      </c>
      <c r="AG4" s="16">
        <v>0.44827586206896552</v>
      </c>
      <c r="AH4" s="1" t="s">
        <v>141</v>
      </c>
      <c r="AI4" s="74">
        <v>10</v>
      </c>
      <c r="AJ4" s="1" t="s">
        <v>141</v>
      </c>
      <c r="AK4" s="78">
        <v>4</v>
      </c>
    </row>
    <row r="5" spans="1:37" x14ac:dyDescent="0.4">
      <c r="A5" s="7">
        <v>4</v>
      </c>
      <c r="B5" s="6" t="s">
        <v>156</v>
      </c>
      <c r="C5" s="3">
        <v>140.60000000000002</v>
      </c>
      <c r="D5" s="1" t="s">
        <v>142</v>
      </c>
      <c r="E5" s="3">
        <v>4.5277777777777786</v>
      </c>
      <c r="F5" s="1" t="s">
        <v>142</v>
      </c>
      <c r="G5" s="5">
        <v>1.8888888888888888</v>
      </c>
      <c r="H5" s="1" t="s">
        <v>149</v>
      </c>
      <c r="I5" s="18">
        <v>0.38461538461538464</v>
      </c>
      <c r="J5" s="1" t="s">
        <v>156</v>
      </c>
      <c r="K5" s="16">
        <v>0.32214765100671139</v>
      </c>
      <c r="L5" s="1" t="s">
        <v>142</v>
      </c>
      <c r="M5" s="16">
        <v>0.15844155844155844</v>
      </c>
      <c r="N5" s="1" t="s">
        <v>149</v>
      </c>
      <c r="O5" s="2">
        <v>10388.050314465409</v>
      </c>
      <c r="P5" s="1" t="s">
        <v>156</v>
      </c>
      <c r="Q5" s="2">
        <v>-8883.3333333333339</v>
      </c>
      <c r="R5" s="1" t="s">
        <v>142</v>
      </c>
      <c r="S5" s="18">
        <v>0.12962962962962962</v>
      </c>
      <c r="T5" s="1" t="s">
        <v>137</v>
      </c>
      <c r="U5" s="18">
        <v>0.1951219512195122</v>
      </c>
      <c r="V5" s="1" t="s">
        <v>149</v>
      </c>
      <c r="W5" s="16">
        <v>0.3324175824175824</v>
      </c>
      <c r="X5" s="1" t="s">
        <v>149</v>
      </c>
      <c r="Y5" s="16">
        <v>0.23076923076923078</v>
      </c>
      <c r="Z5" s="1" t="s">
        <v>149</v>
      </c>
      <c r="AA5" s="16">
        <v>0.6198347107438017</v>
      </c>
      <c r="AB5" s="1" t="s">
        <v>160</v>
      </c>
      <c r="AC5" s="16">
        <v>0.38144329896907214</v>
      </c>
      <c r="AD5" s="1" t="s">
        <v>148</v>
      </c>
      <c r="AE5" s="16">
        <v>0.44230769230769229</v>
      </c>
      <c r="AF5" s="1" t="s">
        <v>137</v>
      </c>
      <c r="AG5" s="16">
        <v>0.41549295774647887</v>
      </c>
      <c r="AH5" s="1" t="s">
        <v>149</v>
      </c>
      <c r="AI5" s="74">
        <v>9</v>
      </c>
      <c r="AJ5" s="1" t="s">
        <v>149</v>
      </c>
      <c r="AK5" s="78">
        <v>3</v>
      </c>
    </row>
    <row r="6" spans="1:37" x14ac:dyDescent="0.4">
      <c r="A6" s="7">
        <v>5</v>
      </c>
      <c r="B6" s="6" t="s">
        <v>194</v>
      </c>
      <c r="C6" s="3">
        <v>87</v>
      </c>
      <c r="D6" s="1" t="s">
        <v>149</v>
      </c>
      <c r="E6" s="3">
        <v>2.6953846153846146</v>
      </c>
      <c r="F6" s="1" t="s">
        <v>149</v>
      </c>
      <c r="G6" s="5">
        <v>1.9076923076923078</v>
      </c>
      <c r="H6" s="1" t="s">
        <v>142</v>
      </c>
      <c r="I6" s="18">
        <v>0.35185185185185186</v>
      </c>
      <c r="J6" s="1" t="s">
        <v>149</v>
      </c>
      <c r="K6" s="16">
        <v>0.31991951710261568</v>
      </c>
      <c r="L6" s="1" t="s">
        <v>149</v>
      </c>
      <c r="M6" s="16">
        <v>0.15895372233400401</v>
      </c>
      <c r="N6" s="1" t="s">
        <v>225</v>
      </c>
      <c r="O6" s="2">
        <v>10216.846986089644</v>
      </c>
      <c r="P6" s="1" t="s">
        <v>148</v>
      </c>
      <c r="Q6" s="2">
        <v>-9117.2839506172841</v>
      </c>
      <c r="R6" s="1" t="s">
        <v>149</v>
      </c>
      <c r="S6" s="18">
        <v>0.13846153846153847</v>
      </c>
      <c r="T6" s="1" t="s">
        <v>142</v>
      </c>
      <c r="U6" s="18">
        <v>0.18518518518518517</v>
      </c>
      <c r="V6" s="1" t="s">
        <v>160</v>
      </c>
      <c r="W6" s="16">
        <v>0.29464285714285715</v>
      </c>
      <c r="X6" s="1" t="s">
        <v>225</v>
      </c>
      <c r="Y6" s="16">
        <v>0.2296137339055794</v>
      </c>
      <c r="Z6" s="1" t="s">
        <v>194</v>
      </c>
      <c r="AA6" s="16">
        <v>0.6</v>
      </c>
      <c r="AB6" s="1" t="s">
        <v>141</v>
      </c>
      <c r="AC6" s="16">
        <v>0.38</v>
      </c>
      <c r="AD6" s="1" t="s">
        <v>156</v>
      </c>
      <c r="AE6" s="16">
        <v>0.4375</v>
      </c>
      <c r="AF6" s="1" t="s">
        <v>142</v>
      </c>
      <c r="AG6" s="16">
        <v>0.37323943661971831</v>
      </c>
      <c r="AH6" s="1" t="s">
        <v>142</v>
      </c>
      <c r="AI6" s="74">
        <v>7</v>
      </c>
      <c r="AJ6" s="1" t="s">
        <v>148</v>
      </c>
      <c r="AK6" s="78">
        <v>2</v>
      </c>
    </row>
    <row r="7" spans="1:37" x14ac:dyDescent="0.4">
      <c r="A7" s="7">
        <v>6</v>
      </c>
      <c r="B7" s="6" t="s">
        <v>225</v>
      </c>
      <c r="C7" s="3">
        <v>-4.9999999999999858</v>
      </c>
      <c r="D7" s="1" t="s">
        <v>225</v>
      </c>
      <c r="E7" s="3">
        <v>-8.9605734767024842E-3</v>
      </c>
      <c r="F7" s="1" t="s">
        <v>225</v>
      </c>
      <c r="G7" s="5">
        <v>2</v>
      </c>
      <c r="H7" s="1" t="s">
        <v>225</v>
      </c>
      <c r="I7" s="18">
        <v>0.33333333333333331</v>
      </c>
      <c r="J7" s="1" t="s">
        <v>225</v>
      </c>
      <c r="K7" s="16">
        <v>0.30569336168202221</v>
      </c>
      <c r="L7" s="1" t="s">
        <v>156</v>
      </c>
      <c r="M7" s="16">
        <v>0.16107382550335569</v>
      </c>
      <c r="N7" s="1" t="s">
        <v>137</v>
      </c>
      <c r="O7" s="2">
        <v>9893.0069930069931</v>
      </c>
      <c r="P7" s="1" t="s">
        <v>142</v>
      </c>
      <c r="Q7" s="2">
        <v>-9145.9016393442616</v>
      </c>
      <c r="R7" s="1" t="s">
        <v>156</v>
      </c>
      <c r="S7" s="18">
        <v>0.15789473684210525</v>
      </c>
      <c r="T7" s="1" t="s">
        <v>149</v>
      </c>
      <c r="U7" s="18">
        <v>0.18461538461538463</v>
      </c>
      <c r="V7" s="1" t="s">
        <v>141</v>
      </c>
      <c r="W7" s="16">
        <v>0.29401088929219599</v>
      </c>
      <c r="X7" s="1" t="s">
        <v>156</v>
      </c>
      <c r="Y7" s="16">
        <v>0.22388059701492538</v>
      </c>
      <c r="Z7" s="1" t="s">
        <v>225</v>
      </c>
      <c r="AA7" s="16">
        <v>0.58655043586550437</v>
      </c>
      <c r="AB7" s="1" t="s">
        <v>148</v>
      </c>
      <c r="AC7" s="16">
        <v>0.3728813559322034</v>
      </c>
      <c r="AD7" s="1" t="s">
        <v>149</v>
      </c>
      <c r="AE7" s="16">
        <v>0.42767295597484278</v>
      </c>
      <c r="AF7" s="1" t="s">
        <v>225</v>
      </c>
      <c r="AG7" s="16">
        <v>0.36467236467236469</v>
      </c>
      <c r="AH7" s="1" t="s">
        <v>160</v>
      </c>
      <c r="AI7" s="74">
        <v>7</v>
      </c>
      <c r="AJ7" s="1" t="s">
        <v>137</v>
      </c>
      <c r="AK7" s="78">
        <v>1</v>
      </c>
    </row>
    <row r="8" spans="1:37" x14ac:dyDescent="0.4">
      <c r="A8" s="7">
        <v>7</v>
      </c>
      <c r="B8" s="6" t="s">
        <v>139</v>
      </c>
      <c r="C8" s="3">
        <v>-25.5</v>
      </c>
      <c r="D8" s="1" t="s">
        <v>195</v>
      </c>
      <c r="E8" s="3">
        <v>-3</v>
      </c>
      <c r="F8" s="1" t="s">
        <v>141</v>
      </c>
      <c r="G8" s="5">
        <v>2.141509433962264</v>
      </c>
      <c r="H8" s="1" t="s">
        <v>141</v>
      </c>
      <c r="I8" s="18">
        <v>0.28301886792452829</v>
      </c>
      <c r="J8" s="1" t="s">
        <v>160</v>
      </c>
      <c r="K8" s="16">
        <v>0.28041237113402062</v>
      </c>
      <c r="L8" s="1" t="s">
        <v>195</v>
      </c>
      <c r="M8" s="16">
        <v>0.17218543046357615</v>
      </c>
      <c r="N8" s="1" t="s">
        <v>142</v>
      </c>
      <c r="O8" s="2">
        <v>9855.4744525547449</v>
      </c>
      <c r="P8" s="1" t="s">
        <v>149</v>
      </c>
      <c r="Q8" s="2">
        <v>-9489.8734177215192</v>
      </c>
      <c r="R8" s="1" t="s">
        <v>195</v>
      </c>
      <c r="S8" s="18">
        <v>0.15789473684210525</v>
      </c>
      <c r="T8" s="1" t="s">
        <v>225</v>
      </c>
      <c r="U8" s="18">
        <v>0.16129032258064516</v>
      </c>
      <c r="V8" s="1" t="s">
        <v>225</v>
      </c>
      <c r="W8" s="16">
        <v>0.28719599427753933</v>
      </c>
      <c r="X8" s="1" t="s">
        <v>137</v>
      </c>
      <c r="Y8" s="16">
        <v>0.2230971128608924</v>
      </c>
      <c r="Z8" s="1" t="s">
        <v>160</v>
      </c>
      <c r="AA8" s="16">
        <v>0.58333333333333337</v>
      </c>
      <c r="AB8" s="1" t="s">
        <v>149</v>
      </c>
      <c r="AC8" s="16">
        <v>0.36904761904761907</v>
      </c>
      <c r="AD8" s="1" t="s">
        <v>141</v>
      </c>
      <c r="AE8" s="16">
        <v>0.41626794258373206</v>
      </c>
      <c r="AF8" s="1" t="s">
        <v>149</v>
      </c>
      <c r="AG8" s="16">
        <v>0.36312849162011174</v>
      </c>
      <c r="AH8" s="1" t="s">
        <v>156</v>
      </c>
      <c r="AI8" s="74">
        <v>6</v>
      </c>
      <c r="AJ8" s="1" t="s">
        <v>142</v>
      </c>
      <c r="AK8" s="78">
        <v>1</v>
      </c>
    </row>
    <row r="9" spans="1:37" x14ac:dyDescent="0.4">
      <c r="A9" s="7">
        <v>8</v>
      </c>
      <c r="B9" s="6" t="s">
        <v>195</v>
      </c>
      <c r="C9" s="3">
        <v>-57</v>
      </c>
      <c r="D9" s="1" t="s">
        <v>141</v>
      </c>
      <c r="E9" s="3">
        <v>-3.9952830188679238</v>
      </c>
      <c r="F9" s="1" t="s">
        <v>195</v>
      </c>
      <c r="G9" s="5">
        <v>2.1578947368421053</v>
      </c>
      <c r="H9" s="1" t="s">
        <v>195</v>
      </c>
      <c r="I9" s="18">
        <v>0.26315789473684209</v>
      </c>
      <c r="J9" s="1" t="s">
        <v>145</v>
      </c>
      <c r="K9" s="16">
        <v>0.27027027027027029</v>
      </c>
      <c r="L9" s="1" t="s">
        <v>225</v>
      </c>
      <c r="M9" s="16">
        <v>0.17576187101346563</v>
      </c>
      <c r="N9" s="1" t="s">
        <v>195</v>
      </c>
      <c r="O9" s="2">
        <v>9597.5</v>
      </c>
      <c r="P9" s="1" t="s">
        <v>137</v>
      </c>
      <c r="Q9" s="2">
        <v>-9502.2598870056499</v>
      </c>
      <c r="R9" s="1" t="s">
        <v>225</v>
      </c>
      <c r="S9" s="18">
        <v>0.16129032258064516</v>
      </c>
      <c r="T9" s="1" t="s">
        <v>141</v>
      </c>
      <c r="U9" s="18">
        <v>0.14150943396226415</v>
      </c>
      <c r="V9" s="1" t="s">
        <v>137</v>
      </c>
      <c r="W9" s="16">
        <v>0.28477690288713908</v>
      </c>
      <c r="X9" s="1" t="s">
        <v>160</v>
      </c>
      <c r="Y9" s="16">
        <v>0.21651785714285715</v>
      </c>
      <c r="Z9" s="1" t="s">
        <v>141</v>
      </c>
      <c r="AA9" s="16">
        <v>0.55555555555555558</v>
      </c>
      <c r="AB9" s="1" t="s">
        <v>195</v>
      </c>
      <c r="AC9" s="16">
        <v>0.36206896551724138</v>
      </c>
      <c r="AD9" s="1" t="s">
        <v>225</v>
      </c>
      <c r="AE9" s="16">
        <v>0.41112828438948995</v>
      </c>
      <c r="AF9" s="1" t="s">
        <v>148</v>
      </c>
      <c r="AG9" s="16">
        <v>0.35087719298245612</v>
      </c>
      <c r="AH9" s="1" t="s">
        <v>148</v>
      </c>
      <c r="AI9" s="74">
        <v>5</v>
      </c>
      <c r="AJ9" s="1" t="s">
        <v>138</v>
      </c>
      <c r="AK9" s="78">
        <v>0</v>
      </c>
    </row>
    <row r="10" spans="1:37" x14ac:dyDescent="0.4">
      <c r="A10" s="7">
        <v>9</v>
      </c>
      <c r="B10" s="6" t="s">
        <v>145</v>
      </c>
      <c r="C10" s="3">
        <v>-85.4</v>
      </c>
      <c r="D10" s="1" t="s">
        <v>148</v>
      </c>
      <c r="E10" s="3">
        <v>-7.2807692307692298</v>
      </c>
      <c r="F10" s="1" t="s">
        <v>145</v>
      </c>
      <c r="G10" s="5">
        <v>2.2000000000000002</v>
      </c>
      <c r="H10" s="1" t="s">
        <v>160</v>
      </c>
      <c r="I10" s="18">
        <v>0.22580645161290322</v>
      </c>
      <c r="J10" s="1" t="s">
        <v>195</v>
      </c>
      <c r="K10" s="16">
        <v>0.26490066225165565</v>
      </c>
      <c r="L10" s="1" t="s">
        <v>141</v>
      </c>
      <c r="M10" s="16">
        <v>0.19458128078817735</v>
      </c>
      <c r="N10" s="1" t="s">
        <v>148</v>
      </c>
      <c r="O10" s="2">
        <v>9467.3076923076915</v>
      </c>
      <c r="P10" s="1" t="s">
        <v>225</v>
      </c>
      <c r="Q10" s="2">
        <v>-9509.0053763440865</v>
      </c>
      <c r="R10" s="1" t="s">
        <v>141</v>
      </c>
      <c r="S10" s="18">
        <v>0.20754716981132076</v>
      </c>
      <c r="T10" s="1" t="s">
        <v>148</v>
      </c>
      <c r="U10" s="18">
        <v>0.13461538461538461</v>
      </c>
      <c r="V10" s="1" t="s">
        <v>145</v>
      </c>
      <c r="W10" s="16">
        <v>0.25806451612903225</v>
      </c>
      <c r="X10" s="1" t="s">
        <v>141</v>
      </c>
      <c r="Y10" s="16">
        <v>0.18148820326678766</v>
      </c>
      <c r="Z10" s="1" t="s">
        <v>156</v>
      </c>
      <c r="AA10" s="16">
        <v>0.53846153846153844</v>
      </c>
      <c r="AB10" s="1" t="s">
        <v>142</v>
      </c>
      <c r="AC10" s="16">
        <v>0.35416666666666669</v>
      </c>
      <c r="AD10" s="1" t="s">
        <v>137</v>
      </c>
      <c r="AE10" s="16">
        <v>0.37995337995337997</v>
      </c>
      <c r="AF10" s="1" t="s">
        <v>141</v>
      </c>
      <c r="AG10" s="16">
        <v>0.31007751937984496</v>
      </c>
      <c r="AH10" s="1" t="s">
        <v>194</v>
      </c>
      <c r="AI10" s="74">
        <v>5</v>
      </c>
      <c r="AJ10" s="1" t="s">
        <v>139</v>
      </c>
      <c r="AK10" s="78">
        <v>0</v>
      </c>
    </row>
    <row r="11" spans="1:37" x14ac:dyDescent="0.4">
      <c r="A11" s="7">
        <v>10</v>
      </c>
      <c r="B11" s="6" t="s">
        <v>138</v>
      </c>
      <c r="C11" s="3">
        <v>-128.1</v>
      </c>
      <c r="D11" s="1" t="s">
        <v>160</v>
      </c>
      <c r="E11" s="3">
        <v>-7.7032258064516101</v>
      </c>
      <c r="F11" s="1" t="s">
        <v>148</v>
      </c>
      <c r="G11" s="5">
        <v>2.2115384615384617</v>
      </c>
      <c r="H11" s="1" t="s">
        <v>148</v>
      </c>
      <c r="I11" s="18">
        <v>0.21153846153846154</v>
      </c>
      <c r="J11" s="1" t="s">
        <v>141</v>
      </c>
      <c r="K11" s="16">
        <v>0.25738916256157635</v>
      </c>
      <c r="L11" s="1" t="s">
        <v>148</v>
      </c>
      <c r="M11" s="16">
        <v>0.2</v>
      </c>
      <c r="N11" s="1" t="s">
        <v>194</v>
      </c>
      <c r="O11" s="2">
        <v>9227.7777777777774</v>
      </c>
      <c r="P11" s="1" t="s">
        <v>160</v>
      </c>
      <c r="Q11" s="2">
        <v>-9648.6956521739139</v>
      </c>
      <c r="R11" s="1" t="s">
        <v>160</v>
      </c>
      <c r="S11" s="18">
        <v>0.20967741935483872</v>
      </c>
      <c r="T11" s="1" t="s">
        <v>195</v>
      </c>
      <c r="U11" s="18">
        <v>0.10526315789473684</v>
      </c>
      <c r="V11" s="1" t="s">
        <v>148</v>
      </c>
      <c r="W11" s="16">
        <v>0.23853211009174313</v>
      </c>
      <c r="X11" s="1" t="s">
        <v>145</v>
      </c>
      <c r="Y11" s="16">
        <v>0.16129032258064516</v>
      </c>
      <c r="Z11" s="1" t="s">
        <v>195</v>
      </c>
      <c r="AA11" s="16">
        <v>0.51851851851851849</v>
      </c>
      <c r="AB11" s="1" t="s">
        <v>145</v>
      </c>
      <c r="AC11" s="16">
        <v>0.2</v>
      </c>
      <c r="AD11" s="1" t="s">
        <v>145</v>
      </c>
      <c r="AE11" s="16">
        <v>0.3</v>
      </c>
      <c r="AF11" s="1" t="s">
        <v>160</v>
      </c>
      <c r="AG11" s="16">
        <v>0.30463576158940397</v>
      </c>
      <c r="AH11" s="1" t="s">
        <v>195</v>
      </c>
      <c r="AI11" s="74">
        <v>5</v>
      </c>
      <c r="AJ11" s="1" t="s">
        <v>145</v>
      </c>
      <c r="AK11" s="78">
        <v>0</v>
      </c>
    </row>
    <row r="12" spans="1:37" x14ac:dyDescent="0.4">
      <c r="A12" s="7">
        <v>11</v>
      </c>
      <c r="B12" s="6" t="s">
        <v>148</v>
      </c>
      <c r="C12" s="3">
        <v>-378.59999999999997</v>
      </c>
      <c r="D12" s="1" t="s">
        <v>139</v>
      </c>
      <c r="E12" s="3">
        <v>-8.5</v>
      </c>
      <c r="F12" s="1" t="s">
        <v>160</v>
      </c>
      <c r="G12" s="5">
        <v>2.2419354838709675</v>
      </c>
      <c r="H12" s="1" t="s">
        <v>145</v>
      </c>
      <c r="I12" s="18">
        <v>0.2</v>
      </c>
      <c r="J12" s="1" t="s">
        <v>148</v>
      </c>
      <c r="K12" s="16">
        <v>0.25679012345679014</v>
      </c>
      <c r="L12" s="1" t="s">
        <v>145</v>
      </c>
      <c r="M12" s="16">
        <v>0.21621621621621623</v>
      </c>
      <c r="N12" s="1" t="s">
        <v>139</v>
      </c>
      <c r="O12" s="2">
        <v>8000</v>
      </c>
      <c r="P12" s="1" t="s">
        <v>141</v>
      </c>
      <c r="Q12" s="2">
        <v>-10058.227848101265</v>
      </c>
      <c r="R12" s="1" t="s">
        <v>148</v>
      </c>
      <c r="S12" s="18">
        <v>0.21153846153846154</v>
      </c>
      <c r="T12" s="1" t="s">
        <v>160</v>
      </c>
      <c r="U12" s="18">
        <v>9.6774193548387094E-2</v>
      </c>
      <c r="V12" s="1" t="s">
        <v>142</v>
      </c>
      <c r="W12" s="16">
        <v>0.22448979591836735</v>
      </c>
      <c r="X12" s="1" t="s">
        <v>194</v>
      </c>
      <c r="Y12" s="16">
        <v>0.13043478260869565</v>
      </c>
      <c r="Z12" s="1" t="s">
        <v>148</v>
      </c>
      <c r="AA12" s="16">
        <v>0.40384615384615385</v>
      </c>
      <c r="AB12" s="1" t="s">
        <v>156</v>
      </c>
      <c r="AC12" s="16">
        <v>0.2</v>
      </c>
      <c r="AD12" s="1" t="s">
        <v>194</v>
      </c>
      <c r="AE12" s="16">
        <v>0.27777777777777779</v>
      </c>
      <c r="AF12" s="1" t="s">
        <v>195</v>
      </c>
      <c r="AG12" s="16">
        <v>0.26666666666666666</v>
      </c>
      <c r="AH12" s="1" t="s">
        <v>145</v>
      </c>
      <c r="AI12" s="74">
        <v>3</v>
      </c>
      <c r="AJ12" s="1" t="s">
        <v>156</v>
      </c>
      <c r="AK12" s="78">
        <v>0</v>
      </c>
    </row>
    <row r="13" spans="1:37" x14ac:dyDescent="0.4">
      <c r="A13" s="7">
        <v>12</v>
      </c>
      <c r="B13" s="6" t="s">
        <v>141</v>
      </c>
      <c r="C13" s="3">
        <v>-423.49999999999994</v>
      </c>
      <c r="D13" s="1" t="s">
        <v>145</v>
      </c>
      <c r="E13" s="3">
        <v>-17.080000000000002</v>
      </c>
      <c r="F13" s="1" t="s">
        <v>139</v>
      </c>
      <c r="G13" s="5">
        <v>2.3333333333333335</v>
      </c>
      <c r="H13" s="1" t="s">
        <v>138</v>
      </c>
      <c r="I13" s="18">
        <v>0</v>
      </c>
      <c r="J13" s="1" t="s">
        <v>139</v>
      </c>
      <c r="K13" s="16">
        <v>0.1875</v>
      </c>
      <c r="L13" s="1" t="s">
        <v>160</v>
      </c>
      <c r="M13" s="16">
        <v>0.23711340206185566</v>
      </c>
      <c r="N13" s="1" t="s">
        <v>138</v>
      </c>
      <c r="O13" s="2">
        <v>7800</v>
      </c>
      <c r="P13" s="1" t="s">
        <v>139</v>
      </c>
      <c r="Q13" s="2">
        <v>-12000</v>
      </c>
      <c r="R13" s="1" t="s">
        <v>145</v>
      </c>
      <c r="S13" s="18">
        <v>0.4</v>
      </c>
      <c r="T13" s="1" t="s">
        <v>138</v>
      </c>
      <c r="U13" s="18">
        <v>0</v>
      </c>
      <c r="V13" s="1" t="s">
        <v>195</v>
      </c>
      <c r="W13" s="16">
        <v>0.17880794701986755</v>
      </c>
      <c r="X13" s="1" t="s">
        <v>138</v>
      </c>
      <c r="Y13" s="16">
        <v>0</v>
      </c>
      <c r="Z13" s="1" t="s">
        <v>139</v>
      </c>
      <c r="AA13" s="16">
        <v>0.2</v>
      </c>
      <c r="AB13" s="1" t="s">
        <v>138</v>
      </c>
      <c r="AC13" s="16">
        <v>0</v>
      </c>
      <c r="AD13" s="1" t="s">
        <v>195</v>
      </c>
      <c r="AE13" s="16">
        <v>0.27500000000000002</v>
      </c>
      <c r="AF13" s="1" t="s">
        <v>138</v>
      </c>
      <c r="AG13" s="16">
        <v>0</v>
      </c>
      <c r="AH13" s="1" t="s">
        <v>139</v>
      </c>
      <c r="AI13" s="74">
        <v>2</v>
      </c>
      <c r="AJ13" s="1" t="s">
        <v>194</v>
      </c>
      <c r="AK13" s="78">
        <v>0</v>
      </c>
    </row>
    <row r="14" spans="1:37" x14ac:dyDescent="0.4">
      <c r="A14" s="7">
        <v>13</v>
      </c>
      <c r="B14" s="6" t="s">
        <v>160</v>
      </c>
      <c r="C14" s="3">
        <v>-477.59999999999985</v>
      </c>
      <c r="D14" s="1" t="s">
        <v>138</v>
      </c>
      <c r="E14" s="3">
        <v>-32.024999999999999</v>
      </c>
      <c r="F14" s="1" t="s">
        <v>138</v>
      </c>
      <c r="G14" s="5">
        <v>3</v>
      </c>
      <c r="H14" s="1" t="s">
        <v>139</v>
      </c>
      <c r="I14" s="18">
        <v>0</v>
      </c>
      <c r="J14" s="1" t="s">
        <v>138</v>
      </c>
      <c r="K14" s="16">
        <v>0.04</v>
      </c>
      <c r="L14" s="1" t="s">
        <v>138</v>
      </c>
      <c r="M14" s="16">
        <v>0.4</v>
      </c>
      <c r="N14" s="1" t="s">
        <v>145</v>
      </c>
      <c r="O14" s="2">
        <v>7100</v>
      </c>
      <c r="P14" s="1" t="s">
        <v>145</v>
      </c>
      <c r="Q14" s="2">
        <v>-12487.5</v>
      </c>
      <c r="R14" s="1" t="s">
        <v>138</v>
      </c>
      <c r="S14" s="18">
        <v>0.5</v>
      </c>
      <c r="T14" s="1" t="s">
        <v>139</v>
      </c>
      <c r="U14" s="18">
        <v>0</v>
      </c>
      <c r="V14" s="1" t="s">
        <v>138</v>
      </c>
      <c r="W14" s="16">
        <v>0</v>
      </c>
      <c r="X14" s="1" t="s">
        <v>139</v>
      </c>
      <c r="Y14" s="16">
        <v>0</v>
      </c>
      <c r="Z14" s="1" t="s">
        <v>138</v>
      </c>
      <c r="AA14" s="16">
        <v>0</v>
      </c>
      <c r="AB14" s="1" t="s">
        <v>139</v>
      </c>
      <c r="AC14" s="16">
        <v>0</v>
      </c>
      <c r="AD14" s="1" t="s">
        <v>139</v>
      </c>
      <c r="AE14" s="16">
        <v>0</v>
      </c>
      <c r="AF14" s="1" t="s">
        <v>139</v>
      </c>
      <c r="AG14" s="16">
        <v>0</v>
      </c>
      <c r="AH14" s="1" t="s">
        <v>138</v>
      </c>
      <c r="AI14" s="74">
        <v>0</v>
      </c>
      <c r="AJ14" s="1" t="s">
        <v>195</v>
      </c>
      <c r="AK14" s="78">
        <v>0</v>
      </c>
    </row>
  </sheetData>
  <sortState ref="AJ2:AK31">
    <sortCondition descending="1" ref="AK1"/>
  </sortState>
  <mergeCells count="18">
    <mergeCell ref="AJ1:AK1"/>
    <mergeCell ref="AH1:AI1"/>
    <mergeCell ref="AF1:AG1"/>
    <mergeCell ref="AB1:AC1"/>
    <mergeCell ref="D1:E1"/>
    <mergeCell ref="R1:S1"/>
    <mergeCell ref="V1:W1"/>
    <mergeCell ref="X1:Y1"/>
    <mergeCell ref="Z1:AA1"/>
    <mergeCell ref="T1:U1"/>
    <mergeCell ref="AD1:AE1"/>
    <mergeCell ref="B1:C1"/>
    <mergeCell ref="P1:Q1"/>
    <mergeCell ref="N1:O1"/>
    <mergeCell ref="L1:M1"/>
    <mergeCell ref="J1:K1"/>
    <mergeCell ref="H1:I1"/>
    <mergeCell ref="F1:G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1" r:id="rId4" name="Button 3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P51"/>
  <sheetViews>
    <sheetView showGridLines="0" zoomScale="120" zoomScaleNormal="120" workbookViewId="0"/>
  </sheetViews>
  <sheetFormatPr defaultColWidth="9"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56" t="s">
        <v>0</v>
      </c>
      <c r="B1" s="89"/>
      <c r="C1" s="90"/>
      <c r="E1" s="66" t="s">
        <v>193</v>
      </c>
      <c r="F1" s="47" t="s">
        <v>122</v>
      </c>
      <c r="G1" s="62" t="s">
        <v>123</v>
      </c>
      <c r="H1" s="20" t="s">
        <v>124</v>
      </c>
      <c r="J1" s="21" t="s">
        <v>22</v>
      </c>
      <c r="K1" s="22" t="s">
        <v>127</v>
      </c>
      <c r="M1" s="21" t="s">
        <v>187</v>
      </c>
      <c r="N1" s="20" t="s">
        <v>189</v>
      </c>
      <c r="O1" s="40" t="s">
        <v>190</v>
      </c>
      <c r="P1" s="36" t="s">
        <v>188</v>
      </c>
    </row>
    <row r="2" spans="1:16" x14ac:dyDescent="0.4">
      <c r="A2" s="57" t="s">
        <v>9</v>
      </c>
      <c r="B2" s="83">
        <v>0</v>
      </c>
      <c r="C2" s="84"/>
      <c r="E2" s="67" t="s">
        <v>69</v>
      </c>
      <c r="F2" s="63" t="s">
        <v>23</v>
      </c>
      <c r="G2" s="49">
        <v>0</v>
      </c>
      <c r="H2" s="24">
        <f t="shared" ref="H2:H33" si="0">IF(B$25=0,0,G2/B$25)</f>
        <v>0</v>
      </c>
      <c r="J2" s="23">
        <v>0</v>
      </c>
      <c r="K2" s="25">
        <v>0</v>
      </c>
      <c r="M2" s="23" t="s">
        <v>181</v>
      </c>
      <c r="N2" s="44">
        <f t="shared" ref="N2:N7" si="1">IF(P2=0,0,O2/P2)</f>
        <v>0</v>
      </c>
      <c r="O2" s="41">
        <v>0</v>
      </c>
      <c r="P2" s="39">
        <v>0</v>
      </c>
    </row>
    <row r="3" spans="1:16" x14ac:dyDescent="0.4">
      <c r="A3" s="58" t="s">
        <v>8</v>
      </c>
      <c r="B3" s="91">
        <v>0</v>
      </c>
      <c r="C3" s="92"/>
      <c r="E3" s="68" t="s">
        <v>70</v>
      </c>
      <c r="F3" s="64" t="s">
        <v>24</v>
      </c>
      <c r="G3" s="50">
        <v>0</v>
      </c>
      <c r="H3" s="27">
        <f t="shared" si="0"/>
        <v>0</v>
      </c>
      <c r="M3" s="26" t="s">
        <v>182</v>
      </c>
      <c r="N3" s="45">
        <f t="shared" si="1"/>
        <v>0</v>
      </c>
      <c r="O3" s="42">
        <v>0</v>
      </c>
      <c r="P3" s="37">
        <v>0</v>
      </c>
    </row>
    <row r="4" spans="1:16" x14ac:dyDescent="0.4">
      <c r="A4" s="58" t="s">
        <v>6</v>
      </c>
      <c r="B4" s="93">
        <v>0</v>
      </c>
      <c r="C4" s="94"/>
      <c r="E4" s="68" t="s">
        <v>71</v>
      </c>
      <c r="F4" s="64" t="s">
        <v>25</v>
      </c>
      <c r="G4" s="50">
        <v>0</v>
      </c>
      <c r="H4" s="27">
        <f t="shared" si="0"/>
        <v>0</v>
      </c>
      <c r="M4" s="26" t="s">
        <v>183</v>
      </c>
      <c r="N4" s="45">
        <f t="shared" si="1"/>
        <v>0</v>
      </c>
      <c r="O4" s="42">
        <v>0</v>
      </c>
      <c r="P4" s="37">
        <v>0</v>
      </c>
    </row>
    <row r="5" spans="1:16" x14ac:dyDescent="0.4">
      <c r="A5" s="58" t="s">
        <v>7</v>
      </c>
      <c r="B5" s="93">
        <f>IF(B$2=0,0,B$4/B$2)</f>
        <v>0</v>
      </c>
      <c r="C5" s="94"/>
      <c r="E5" s="68" t="s">
        <v>72</v>
      </c>
      <c r="F5" s="64" t="s">
        <v>26</v>
      </c>
      <c r="G5" s="50">
        <v>0</v>
      </c>
      <c r="H5" s="27">
        <f t="shared" si="0"/>
        <v>0</v>
      </c>
      <c r="M5" s="26" t="s">
        <v>184</v>
      </c>
      <c r="N5" s="45">
        <f t="shared" si="1"/>
        <v>0</v>
      </c>
      <c r="O5" s="42">
        <v>0</v>
      </c>
      <c r="P5" s="37">
        <v>0</v>
      </c>
    </row>
    <row r="6" spans="1:16" x14ac:dyDescent="0.4">
      <c r="A6" s="58" t="s">
        <v>1</v>
      </c>
      <c r="B6" s="95">
        <f>IF(B$2=0,0,(B$7*1+B$8*2+B$9*3)/B$2)</f>
        <v>0</v>
      </c>
      <c r="C6" s="96"/>
      <c r="E6" s="68" t="s">
        <v>73</v>
      </c>
      <c r="F6" s="64" t="s">
        <v>27</v>
      </c>
      <c r="G6" s="50">
        <v>0</v>
      </c>
      <c r="H6" s="27">
        <f t="shared" si="0"/>
        <v>0</v>
      </c>
      <c r="M6" s="26" t="s">
        <v>185</v>
      </c>
      <c r="N6" s="45">
        <f t="shared" si="1"/>
        <v>0</v>
      </c>
      <c r="O6" s="42">
        <v>0</v>
      </c>
      <c r="P6" s="37">
        <v>0</v>
      </c>
    </row>
    <row r="7" spans="1:16" x14ac:dyDescent="0.4">
      <c r="A7" s="58" t="s">
        <v>2</v>
      </c>
      <c r="B7" s="50">
        <v>0</v>
      </c>
      <c r="C7" s="27">
        <f>IF(B$2=0,0,B7/B$2)</f>
        <v>0</v>
      </c>
      <c r="E7" s="68" t="s">
        <v>74</v>
      </c>
      <c r="F7" s="64" t="s">
        <v>12</v>
      </c>
      <c r="G7" s="50">
        <v>0</v>
      </c>
      <c r="H7" s="27">
        <f t="shared" si="0"/>
        <v>0</v>
      </c>
      <c r="M7" s="31" t="s">
        <v>186</v>
      </c>
      <c r="N7" s="46">
        <f t="shared" si="1"/>
        <v>0</v>
      </c>
      <c r="O7" s="43">
        <v>0</v>
      </c>
      <c r="P7" s="38">
        <v>0</v>
      </c>
    </row>
    <row r="8" spans="1:16" x14ac:dyDescent="0.4">
      <c r="A8" s="58" t="s">
        <v>3</v>
      </c>
      <c r="B8" s="50">
        <v>0</v>
      </c>
      <c r="C8" s="27">
        <f t="shared" ref="C8:C9" si="2">IF(B$2=0,0,B8/B$2)</f>
        <v>0</v>
      </c>
      <c r="E8" s="68" t="s">
        <v>75</v>
      </c>
      <c r="F8" s="64" t="s">
        <v>28</v>
      </c>
      <c r="G8" s="50">
        <v>0</v>
      </c>
      <c r="H8" s="27">
        <f t="shared" si="0"/>
        <v>0</v>
      </c>
    </row>
    <row r="9" spans="1:16" x14ac:dyDescent="0.4">
      <c r="A9" s="59" t="s">
        <v>4</v>
      </c>
      <c r="B9" s="51">
        <v>0</v>
      </c>
      <c r="C9" s="29">
        <f t="shared" si="2"/>
        <v>0</v>
      </c>
      <c r="E9" s="68" t="s">
        <v>76</v>
      </c>
      <c r="F9" s="64" t="s">
        <v>29</v>
      </c>
      <c r="G9" s="50">
        <v>0</v>
      </c>
      <c r="H9" s="27">
        <f t="shared" si="0"/>
        <v>0</v>
      </c>
    </row>
    <row r="10" spans="1:16" x14ac:dyDescent="0.4">
      <c r="A10" s="59" t="s">
        <v>21</v>
      </c>
      <c r="B10" s="51">
        <v>0</v>
      </c>
      <c r="C10" s="29">
        <f>IF(B$2=0,0,B10/B$2)</f>
        <v>0</v>
      </c>
      <c r="E10" s="68" t="s">
        <v>77</v>
      </c>
      <c r="F10" s="64" t="s">
        <v>30</v>
      </c>
      <c r="G10" s="50">
        <v>0</v>
      </c>
      <c r="H10" s="27">
        <f t="shared" si="0"/>
        <v>0</v>
      </c>
    </row>
    <row r="11" spans="1:16" x14ac:dyDescent="0.4">
      <c r="A11" s="60" t="s">
        <v>191</v>
      </c>
      <c r="B11" s="52">
        <v>0</v>
      </c>
      <c r="C11" s="32">
        <f>IF(B$2=0,0,B11/B$2)</f>
        <v>0</v>
      </c>
      <c r="E11" s="68" t="s">
        <v>78</v>
      </c>
      <c r="F11" s="64" t="s">
        <v>31</v>
      </c>
      <c r="G11" s="50">
        <v>0</v>
      </c>
      <c r="H11" s="27">
        <f t="shared" si="0"/>
        <v>0</v>
      </c>
    </row>
    <row r="12" spans="1:16" x14ac:dyDescent="0.4">
      <c r="A12" s="61" t="s">
        <v>130</v>
      </c>
      <c r="B12" s="53">
        <v>0</v>
      </c>
      <c r="C12" s="35">
        <f>IF(B$24=0,0,B12/B$24)</f>
        <v>0</v>
      </c>
      <c r="E12" s="68" t="s">
        <v>79</v>
      </c>
      <c r="F12" s="64" t="s">
        <v>32</v>
      </c>
      <c r="G12" s="50">
        <v>0</v>
      </c>
      <c r="H12" s="27">
        <f t="shared" si="0"/>
        <v>0</v>
      </c>
    </row>
    <row r="13" spans="1:16" x14ac:dyDescent="0.4">
      <c r="A13" s="58" t="s">
        <v>125</v>
      </c>
      <c r="B13" s="50">
        <v>0</v>
      </c>
      <c r="C13" s="27">
        <f>IF(B$24=0,0,B13/B$24)</f>
        <v>0</v>
      </c>
      <c r="E13" s="68" t="s">
        <v>80</v>
      </c>
      <c r="F13" s="64" t="s">
        <v>33</v>
      </c>
      <c r="G13" s="50">
        <v>0</v>
      </c>
      <c r="H13" s="27">
        <f t="shared" si="0"/>
        <v>0</v>
      </c>
    </row>
    <row r="14" spans="1:16" x14ac:dyDescent="0.4">
      <c r="A14" s="57" t="s">
        <v>132</v>
      </c>
      <c r="B14" s="49">
        <v>0</v>
      </c>
      <c r="C14" s="24">
        <f>IF(B$12=0,0,B14/B$12)</f>
        <v>0</v>
      </c>
      <c r="E14" s="68" t="s">
        <v>81</v>
      </c>
      <c r="F14" s="64" t="s">
        <v>34</v>
      </c>
      <c r="G14" s="50">
        <v>0</v>
      </c>
      <c r="H14" s="27">
        <f t="shared" si="0"/>
        <v>0</v>
      </c>
    </row>
    <row r="15" spans="1:16" x14ac:dyDescent="0.4">
      <c r="A15" s="57" t="s">
        <v>133</v>
      </c>
      <c r="B15" s="49">
        <v>0</v>
      </c>
      <c r="C15" s="24">
        <f>IF(B$13=0,0,B15/B$13)</f>
        <v>0</v>
      </c>
      <c r="E15" s="68" t="s">
        <v>82</v>
      </c>
      <c r="F15" s="64" t="s">
        <v>35</v>
      </c>
      <c r="G15" s="50">
        <v>0</v>
      </c>
      <c r="H15" s="27">
        <f t="shared" si="0"/>
        <v>0</v>
      </c>
    </row>
    <row r="16" spans="1:16" x14ac:dyDescent="0.4">
      <c r="A16" s="57" t="s">
        <v>10</v>
      </c>
      <c r="B16" s="49">
        <f>B18+B17</f>
        <v>0</v>
      </c>
      <c r="C16" s="24">
        <f>IF(B$3=0,0,B16/B$3)</f>
        <v>0</v>
      </c>
      <c r="E16" s="68" t="s">
        <v>83</v>
      </c>
      <c r="F16" s="64" t="s">
        <v>36</v>
      </c>
      <c r="G16" s="50">
        <v>0</v>
      </c>
      <c r="H16" s="27">
        <f t="shared" si="0"/>
        <v>0</v>
      </c>
    </row>
    <row r="17" spans="1:8" x14ac:dyDescent="0.4">
      <c r="A17" s="58" t="s">
        <v>12</v>
      </c>
      <c r="B17" s="50">
        <v>0</v>
      </c>
      <c r="C17" s="27">
        <f>IF(B$16=0,0,B17/B$16)</f>
        <v>0</v>
      </c>
      <c r="E17" s="68" t="s">
        <v>84</v>
      </c>
      <c r="F17" s="64" t="s">
        <v>37</v>
      </c>
      <c r="G17" s="50">
        <v>0</v>
      </c>
      <c r="H17" s="27">
        <f t="shared" si="0"/>
        <v>0</v>
      </c>
    </row>
    <row r="18" spans="1:8" x14ac:dyDescent="0.4">
      <c r="A18" s="58" t="s">
        <v>11</v>
      </c>
      <c r="B18" s="50">
        <v>0</v>
      </c>
      <c r="C18" s="27">
        <f>IF(B$16=0,0,B18/B$16)</f>
        <v>0</v>
      </c>
      <c r="E18" s="68" t="s">
        <v>85</v>
      </c>
      <c r="F18" s="64" t="s">
        <v>38</v>
      </c>
      <c r="G18" s="50">
        <v>0</v>
      </c>
      <c r="H18" s="27">
        <f t="shared" si="0"/>
        <v>0</v>
      </c>
    </row>
    <row r="19" spans="1:8" x14ac:dyDescent="0.4">
      <c r="A19" s="58" t="s">
        <v>13</v>
      </c>
      <c r="B19" s="50">
        <v>0</v>
      </c>
      <c r="C19" s="27">
        <f>IF(B$3=0,0,B19/B$3)</f>
        <v>0</v>
      </c>
      <c r="E19" s="68" t="s">
        <v>86</v>
      </c>
      <c r="F19" s="64" t="s">
        <v>39</v>
      </c>
      <c r="G19" s="50">
        <v>0</v>
      </c>
      <c r="H19" s="27">
        <f t="shared" si="0"/>
        <v>0</v>
      </c>
    </row>
    <row r="20" spans="1:8" x14ac:dyDescent="0.4">
      <c r="A20" s="58" t="s">
        <v>5</v>
      </c>
      <c r="B20" s="54">
        <f>IF(B$16=0,0,C20/B$16)</f>
        <v>0</v>
      </c>
      <c r="C20" s="30">
        <v>0</v>
      </c>
      <c r="E20" s="68" t="s">
        <v>87</v>
      </c>
      <c r="F20" s="64" t="s">
        <v>40</v>
      </c>
      <c r="G20" s="50">
        <v>0</v>
      </c>
      <c r="H20" s="27">
        <f t="shared" si="0"/>
        <v>0</v>
      </c>
    </row>
    <row r="21" spans="1:8" x14ac:dyDescent="0.4">
      <c r="A21" s="60" t="s">
        <v>14</v>
      </c>
      <c r="B21" s="55">
        <f>IF(B$19=0,0,C21/B$19)</f>
        <v>0</v>
      </c>
      <c r="C21" s="48">
        <v>0</v>
      </c>
      <c r="E21" s="68" t="s">
        <v>88</v>
      </c>
      <c r="F21" s="64" t="s">
        <v>41</v>
      </c>
      <c r="G21" s="50">
        <v>0</v>
      </c>
      <c r="H21" s="27">
        <f t="shared" si="0"/>
        <v>0</v>
      </c>
    </row>
    <row r="22" spans="1:8" x14ac:dyDescent="0.4">
      <c r="A22" s="57" t="s">
        <v>178</v>
      </c>
      <c r="B22" s="49">
        <v>0</v>
      </c>
      <c r="C22" s="24">
        <f>IF(B$3=0,0,B22/B$3)</f>
        <v>0</v>
      </c>
      <c r="E22" s="68" t="s">
        <v>89</v>
      </c>
      <c r="F22" s="64" t="s">
        <v>42</v>
      </c>
      <c r="G22" s="50">
        <v>0</v>
      </c>
      <c r="H22" s="27">
        <f t="shared" si="0"/>
        <v>0</v>
      </c>
    </row>
    <row r="23" spans="1:8" x14ac:dyDescent="0.4">
      <c r="A23" s="60" t="s">
        <v>179</v>
      </c>
      <c r="B23" s="52">
        <v>0</v>
      </c>
      <c r="C23" s="32">
        <f>IF(B$22=0,0,B23/B$22)</f>
        <v>0</v>
      </c>
      <c r="E23" s="68" t="s">
        <v>90</v>
      </c>
      <c r="F23" s="64" t="s">
        <v>43</v>
      </c>
      <c r="G23" s="50">
        <v>0</v>
      </c>
      <c r="H23" s="27">
        <f t="shared" si="0"/>
        <v>0</v>
      </c>
    </row>
    <row r="24" spans="1:8" x14ac:dyDescent="0.4">
      <c r="A24" s="57" t="s">
        <v>128</v>
      </c>
      <c r="B24" s="83">
        <v>0</v>
      </c>
      <c r="C24" s="84"/>
      <c r="E24" s="68" t="s">
        <v>91</v>
      </c>
      <c r="F24" s="64" t="s">
        <v>44</v>
      </c>
      <c r="G24" s="50">
        <v>0</v>
      </c>
      <c r="H24" s="27">
        <f t="shared" si="0"/>
        <v>0</v>
      </c>
    </row>
    <row r="25" spans="1:8" x14ac:dyDescent="0.4">
      <c r="A25" s="60" t="s">
        <v>129</v>
      </c>
      <c r="B25" s="85">
        <v>0</v>
      </c>
      <c r="C25" s="86"/>
      <c r="E25" s="68" t="s">
        <v>92</v>
      </c>
      <c r="F25" s="64" t="s">
        <v>45</v>
      </c>
      <c r="G25" s="50">
        <v>0</v>
      </c>
      <c r="H25" s="27">
        <f t="shared" si="0"/>
        <v>0</v>
      </c>
    </row>
    <row r="26" spans="1:8" x14ac:dyDescent="0.4">
      <c r="A26" s="75" t="s">
        <v>196</v>
      </c>
      <c r="B26" s="87">
        <v>0</v>
      </c>
      <c r="C26" s="88"/>
      <c r="E26" s="68" t="s">
        <v>93</v>
      </c>
      <c r="F26" s="64" t="s">
        <v>46</v>
      </c>
      <c r="G26" s="50">
        <v>0</v>
      </c>
      <c r="H26" s="27">
        <f t="shared" si="0"/>
        <v>0</v>
      </c>
    </row>
    <row r="27" spans="1:8" x14ac:dyDescent="0.4">
      <c r="A27" s="60" t="s">
        <v>198</v>
      </c>
      <c r="B27" s="76">
        <v>0</v>
      </c>
      <c r="C27" s="32">
        <f>IF(B$3=0,0,B27/B$3)</f>
        <v>0</v>
      </c>
      <c r="E27" s="68" t="s">
        <v>94</v>
      </c>
      <c r="F27" s="64" t="s">
        <v>47</v>
      </c>
      <c r="G27" s="50">
        <v>0</v>
      </c>
      <c r="H27" s="27">
        <f t="shared" si="0"/>
        <v>0</v>
      </c>
    </row>
    <row r="28" spans="1:8" x14ac:dyDescent="0.4">
      <c r="E28" s="68" t="s">
        <v>95</v>
      </c>
      <c r="F28" s="64" t="s">
        <v>48</v>
      </c>
      <c r="G28" s="50">
        <v>0</v>
      </c>
      <c r="H28" s="27">
        <f t="shared" si="0"/>
        <v>0</v>
      </c>
    </row>
    <row r="29" spans="1:8" x14ac:dyDescent="0.4">
      <c r="E29" s="68" t="s">
        <v>96</v>
      </c>
      <c r="F29" s="64" t="s">
        <v>49</v>
      </c>
      <c r="G29" s="50">
        <v>0</v>
      </c>
      <c r="H29" s="27">
        <f t="shared" si="0"/>
        <v>0</v>
      </c>
    </row>
    <row r="30" spans="1:8" x14ac:dyDescent="0.4">
      <c r="E30" s="68" t="s">
        <v>97</v>
      </c>
      <c r="F30" s="64" t="s">
        <v>50</v>
      </c>
      <c r="G30" s="50">
        <v>0</v>
      </c>
      <c r="H30" s="27">
        <f t="shared" si="0"/>
        <v>0</v>
      </c>
    </row>
    <row r="31" spans="1:8" x14ac:dyDescent="0.4">
      <c r="E31" s="68" t="s">
        <v>98</v>
      </c>
      <c r="F31" s="64" t="s">
        <v>51</v>
      </c>
      <c r="G31" s="50">
        <v>0</v>
      </c>
      <c r="H31" s="27">
        <f t="shared" si="0"/>
        <v>0</v>
      </c>
    </row>
    <row r="32" spans="1:8" x14ac:dyDescent="0.4">
      <c r="E32" s="68" t="s">
        <v>99</v>
      </c>
      <c r="F32" s="64" t="s">
        <v>52</v>
      </c>
      <c r="G32" s="50">
        <v>0</v>
      </c>
      <c r="H32" s="27">
        <f t="shared" si="0"/>
        <v>0</v>
      </c>
    </row>
    <row r="33" spans="5:8" x14ac:dyDescent="0.4">
      <c r="E33" s="68" t="s">
        <v>100</v>
      </c>
      <c r="F33" s="64" t="s">
        <v>53</v>
      </c>
      <c r="G33" s="50">
        <v>0</v>
      </c>
      <c r="H33" s="27">
        <f t="shared" si="0"/>
        <v>0</v>
      </c>
    </row>
    <row r="34" spans="5:8" x14ac:dyDescent="0.4">
      <c r="E34" s="68" t="s">
        <v>101</v>
      </c>
      <c r="F34" s="64" t="s">
        <v>54</v>
      </c>
      <c r="G34" s="50">
        <v>0</v>
      </c>
      <c r="H34" s="27">
        <f t="shared" ref="H34:H51" si="3">IF(B$25=0,0,G34/B$25)</f>
        <v>0</v>
      </c>
    </row>
    <row r="35" spans="5:8" x14ac:dyDescent="0.4">
      <c r="E35" s="68" t="s">
        <v>102</v>
      </c>
      <c r="F35" s="64" t="s">
        <v>55</v>
      </c>
      <c r="G35" s="50">
        <v>0</v>
      </c>
      <c r="H35" s="27">
        <f t="shared" si="3"/>
        <v>0</v>
      </c>
    </row>
    <row r="36" spans="5:8" x14ac:dyDescent="0.4">
      <c r="E36" s="68" t="s">
        <v>103</v>
      </c>
      <c r="F36" s="64" t="s">
        <v>56</v>
      </c>
      <c r="G36" s="50">
        <v>0</v>
      </c>
      <c r="H36" s="27">
        <f t="shared" si="3"/>
        <v>0</v>
      </c>
    </row>
    <row r="37" spans="5:8" x14ac:dyDescent="0.4">
      <c r="E37" s="68" t="s">
        <v>104</v>
      </c>
      <c r="F37" s="64" t="s">
        <v>57</v>
      </c>
      <c r="G37" s="50">
        <v>0</v>
      </c>
      <c r="H37" s="27">
        <f t="shared" si="3"/>
        <v>0</v>
      </c>
    </row>
    <row r="38" spans="5:8" x14ac:dyDescent="0.4">
      <c r="E38" s="68" t="s">
        <v>105</v>
      </c>
      <c r="F38" s="64" t="s">
        <v>58</v>
      </c>
      <c r="G38" s="50">
        <v>0</v>
      </c>
      <c r="H38" s="27">
        <f t="shared" si="3"/>
        <v>0</v>
      </c>
    </row>
    <row r="39" spans="5:8" x14ac:dyDescent="0.4">
      <c r="E39" s="68" t="s">
        <v>106</v>
      </c>
      <c r="F39" s="64" t="s">
        <v>59</v>
      </c>
      <c r="G39" s="50">
        <v>0</v>
      </c>
      <c r="H39" s="27">
        <f t="shared" si="3"/>
        <v>0</v>
      </c>
    </row>
    <row r="40" spans="5:8" x14ac:dyDescent="0.4">
      <c r="E40" s="68" t="s">
        <v>107</v>
      </c>
      <c r="F40" s="64" t="s">
        <v>60</v>
      </c>
      <c r="G40" s="50">
        <v>0</v>
      </c>
      <c r="H40" s="27">
        <f t="shared" si="3"/>
        <v>0</v>
      </c>
    </row>
    <row r="41" spans="5:8" x14ac:dyDescent="0.4">
      <c r="E41" s="68" t="s">
        <v>108</v>
      </c>
      <c r="F41" s="64" t="s">
        <v>61</v>
      </c>
      <c r="G41" s="50">
        <v>0</v>
      </c>
      <c r="H41" s="27">
        <f t="shared" si="3"/>
        <v>0</v>
      </c>
    </row>
    <row r="42" spans="5:8" x14ac:dyDescent="0.4">
      <c r="E42" s="68" t="s">
        <v>109</v>
      </c>
      <c r="F42" s="64" t="s">
        <v>62</v>
      </c>
      <c r="G42" s="50">
        <v>0</v>
      </c>
      <c r="H42" s="27">
        <f t="shared" si="3"/>
        <v>0</v>
      </c>
    </row>
    <row r="43" spans="5:8" x14ac:dyDescent="0.4">
      <c r="E43" s="68" t="s">
        <v>110</v>
      </c>
      <c r="F43" s="64" t="s">
        <v>63</v>
      </c>
      <c r="G43" s="50">
        <v>0</v>
      </c>
      <c r="H43" s="27">
        <f t="shared" si="3"/>
        <v>0</v>
      </c>
    </row>
    <row r="44" spans="5:8" x14ac:dyDescent="0.4">
      <c r="E44" s="68" t="s">
        <v>111</v>
      </c>
      <c r="F44" s="64" t="s">
        <v>64</v>
      </c>
      <c r="G44" s="50">
        <v>0</v>
      </c>
      <c r="H44" s="27">
        <f t="shared" si="3"/>
        <v>0</v>
      </c>
    </row>
    <row r="45" spans="5:8" x14ac:dyDescent="0.4">
      <c r="E45" s="68" t="s">
        <v>112</v>
      </c>
      <c r="F45" s="64" t="s">
        <v>119</v>
      </c>
      <c r="G45" s="50">
        <v>0</v>
      </c>
      <c r="H45" s="27">
        <f t="shared" si="3"/>
        <v>0</v>
      </c>
    </row>
    <row r="46" spans="5:8" x14ac:dyDescent="0.4">
      <c r="E46" s="68" t="s">
        <v>113</v>
      </c>
      <c r="F46" s="64" t="s">
        <v>120</v>
      </c>
      <c r="G46" s="50">
        <v>0</v>
      </c>
      <c r="H46" s="27">
        <f t="shared" si="3"/>
        <v>0</v>
      </c>
    </row>
    <row r="47" spans="5:8" x14ac:dyDescent="0.4">
      <c r="E47" s="68" t="s">
        <v>114</v>
      </c>
      <c r="F47" s="64" t="s">
        <v>121</v>
      </c>
      <c r="G47" s="50">
        <v>0</v>
      </c>
      <c r="H47" s="27">
        <f t="shared" si="3"/>
        <v>0</v>
      </c>
    </row>
    <row r="48" spans="5:8" x14ac:dyDescent="0.4">
      <c r="E48" s="68" t="s">
        <v>115</v>
      </c>
      <c r="F48" s="64" t="s">
        <v>65</v>
      </c>
      <c r="G48" s="50">
        <v>0</v>
      </c>
      <c r="H48" s="27">
        <f t="shared" si="3"/>
        <v>0</v>
      </c>
    </row>
    <row r="49" spans="5:8" x14ac:dyDescent="0.4">
      <c r="E49" s="68" t="s">
        <v>116</v>
      </c>
      <c r="F49" s="64" t="s">
        <v>66</v>
      </c>
      <c r="G49" s="50">
        <v>0</v>
      </c>
      <c r="H49" s="27">
        <f t="shared" si="3"/>
        <v>0</v>
      </c>
    </row>
    <row r="50" spans="5:8" x14ac:dyDescent="0.4">
      <c r="E50" s="68" t="s">
        <v>117</v>
      </c>
      <c r="F50" s="64" t="s">
        <v>67</v>
      </c>
      <c r="G50" s="50">
        <v>0</v>
      </c>
      <c r="H50" s="27">
        <f t="shared" si="3"/>
        <v>0</v>
      </c>
    </row>
    <row r="51" spans="5:8" x14ac:dyDescent="0.4">
      <c r="E51" s="69" t="s">
        <v>118</v>
      </c>
      <c r="F51" s="65" t="s">
        <v>68</v>
      </c>
      <c r="G51" s="52">
        <v>0</v>
      </c>
      <c r="H51" s="32">
        <f t="shared" si="3"/>
        <v>0</v>
      </c>
    </row>
  </sheetData>
  <mergeCells count="9">
    <mergeCell ref="B26:C26"/>
    <mergeCell ref="B6:C6"/>
    <mergeCell ref="B24:C24"/>
    <mergeCell ref="B25:C25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N46"/>
  <sheetViews>
    <sheetView workbookViewId="0"/>
  </sheetViews>
  <sheetFormatPr defaultColWidth="9" defaultRowHeight="18.75" x14ac:dyDescent="0.4"/>
  <cols>
    <col min="1" max="1" width="16.375" style="71" bestFit="1" customWidth="1"/>
    <col min="2" max="2" width="16.875" style="72" bestFit="1" customWidth="1"/>
    <col min="3" max="16384" width="9" style="71"/>
  </cols>
  <sheetData>
    <row r="1" spans="1:14" x14ac:dyDescent="0.4">
      <c r="A1" s="70">
        <v>32874</v>
      </c>
      <c r="B1" s="70">
        <v>2958465</v>
      </c>
    </row>
    <row r="2" spans="1:14" x14ac:dyDescent="0.4">
      <c r="A2" s="71" t="s">
        <v>136</v>
      </c>
      <c r="B2" s="72">
        <v>43454.62740740741</v>
      </c>
      <c r="C2" s="71" t="s">
        <v>166</v>
      </c>
    </row>
    <row r="3" spans="1:14" x14ac:dyDescent="0.4">
      <c r="A3" s="71" t="s">
        <v>140</v>
      </c>
      <c r="B3" s="72">
        <v>43454.62740740741</v>
      </c>
      <c r="C3" s="71" t="s">
        <v>166</v>
      </c>
    </row>
    <row r="4" spans="1:14" x14ac:dyDescent="0.4">
      <c r="A4" s="71" t="s">
        <v>143</v>
      </c>
      <c r="B4" s="72">
        <v>43454.62740740741</v>
      </c>
      <c r="C4" s="71" t="s">
        <v>166</v>
      </c>
    </row>
    <row r="5" spans="1:14" x14ac:dyDescent="0.4">
      <c r="A5" s="71" t="s">
        <v>144</v>
      </c>
      <c r="B5" s="72">
        <v>43454.62740740741</v>
      </c>
      <c r="C5" s="71" t="s">
        <v>166</v>
      </c>
      <c r="D5" s="71" t="s">
        <v>167</v>
      </c>
      <c r="E5" s="71" t="s">
        <v>168</v>
      </c>
      <c r="F5" s="71" t="s">
        <v>169</v>
      </c>
      <c r="G5" s="71" t="s">
        <v>170</v>
      </c>
    </row>
    <row r="6" spans="1:14" x14ac:dyDescent="0.4">
      <c r="A6" s="71" t="s">
        <v>146</v>
      </c>
      <c r="B6" s="72">
        <v>43454.62740740741</v>
      </c>
      <c r="C6" s="71" t="s">
        <v>166</v>
      </c>
    </row>
    <row r="7" spans="1:14" x14ac:dyDescent="0.4">
      <c r="A7" s="71" t="s">
        <v>147</v>
      </c>
      <c r="B7" s="72">
        <v>43454.62740740741</v>
      </c>
      <c r="C7" s="71" t="s">
        <v>166</v>
      </c>
      <c r="D7" s="71" t="s">
        <v>167</v>
      </c>
      <c r="E7" s="71" t="s">
        <v>168</v>
      </c>
    </row>
    <row r="8" spans="1:14" x14ac:dyDescent="0.4">
      <c r="A8" s="71" t="s">
        <v>150</v>
      </c>
      <c r="B8" s="72">
        <v>43492.671666666669</v>
      </c>
      <c r="C8" s="71" t="s">
        <v>166</v>
      </c>
      <c r="D8" s="71" t="s">
        <v>167</v>
      </c>
    </row>
    <row r="9" spans="1:14" x14ac:dyDescent="0.4">
      <c r="A9" s="71" t="s">
        <v>151</v>
      </c>
      <c r="B9" s="72">
        <v>43454.62740740741</v>
      </c>
      <c r="C9" s="71" t="s">
        <v>166</v>
      </c>
      <c r="D9" s="71" t="s">
        <v>167</v>
      </c>
      <c r="E9" s="71" t="s">
        <v>168</v>
      </c>
      <c r="F9" s="71" t="s">
        <v>169</v>
      </c>
    </row>
    <row r="10" spans="1:14" x14ac:dyDescent="0.4">
      <c r="A10" s="71" t="s">
        <v>152</v>
      </c>
      <c r="B10" s="72">
        <v>43454.62740740741</v>
      </c>
      <c r="C10" s="71" t="s">
        <v>166</v>
      </c>
      <c r="D10" s="71" t="s">
        <v>167</v>
      </c>
      <c r="E10" s="71" t="s">
        <v>168</v>
      </c>
    </row>
    <row r="11" spans="1:14" x14ac:dyDescent="0.4">
      <c r="A11" s="71" t="s">
        <v>153</v>
      </c>
      <c r="B11" s="72">
        <v>43454.62740740741</v>
      </c>
      <c r="C11" s="71" t="s">
        <v>166</v>
      </c>
      <c r="D11" s="71" t="s">
        <v>167</v>
      </c>
      <c r="E11" s="71" t="s">
        <v>168</v>
      </c>
      <c r="F11" s="71" t="s">
        <v>169</v>
      </c>
      <c r="G11" s="71" t="s">
        <v>170</v>
      </c>
      <c r="H11" s="71" t="s">
        <v>171</v>
      </c>
      <c r="I11" s="71" t="s">
        <v>172</v>
      </c>
    </row>
    <row r="12" spans="1:14" x14ac:dyDescent="0.4">
      <c r="A12" s="71" t="s">
        <v>154</v>
      </c>
      <c r="B12" s="72">
        <v>43454.62740740741</v>
      </c>
      <c r="C12" s="71" t="s">
        <v>166</v>
      </c>
      <c r="D12" s="71" t="s">
        <v>167</v>
      </c>
    </row>
    <row r="13" spans="1:14" x14ac:dyDescent="0.4">
      <c r="A13" s="71" t="s">
        <v>155</v>
      </c>
      <c r="B13" s="72">
        <v>43454.62740740741</v>
      </c>
      <c r="C13" s="71" t="s">
        <v>166</v>
      </c>
      <c r="D13" s="71" t="s">
        <v>167</v>
      </c>
      <c r="E13" s="71" t="s">
        <v>168</v>
      </c>
      <c r="F13" s="71" t="s">
        <v>169</v>
      </c>
      <c r="G13" s="71" t="s">
        <v>170</v>
      </c>
      <c r="H13" s="71" t="s">
        <v>171</v>
      </c>
      <c r="I13" s="71" t="s">
        <v>172</v>
      </c>
      <c r="J13" s="71" t="s">
        <v>173</v>
      </c>
      <c r="K13" s="71" t="s">
        <v>174</v>
      </c>
      <c r="L13" s="71" t="s">
        <v>175</v>
      </c>
      <c r="M13" s="71" t="s">
        <v>176</v>
      </c>
      <c r="N13" s="71" t="s">
        <v>177</v>
      </c>
    </row>
    <row r="14" spans="1:14" x14ac:dyDescent="0.4">
      <c r="A14" s="71" t="s">
        <v>157</v>
      </c>
      <c r="B14" s="72">
        <v>43454.62740740741</v>
      </c>
      <c r="C14" s="71" t="s">
        <v>166</v>
      </c>
      <c r="D14" s="71" t="s">
        <v>167</v>
      </c>
      <c r="E14" s="71" t="s">
        <v>168</v>
      </c>
    </row>
    <row r="15" spans="1:14" x14ac:dyDescent="0.4">
      <c r="A15" s="71" t="s">
        <v>158</v>
      </c>
      <c r="B15" s="72">
        <v>43454.62740740741</v>
      </c>
      <c r="C15" s="71" t="s">
        <v>166</v>
      </c>
      <c r="D15" s="71" t="s">
        <v>167</v>
      </c>
      <c r="E15" s="71" t="s">
        <v>168</v>
      </c>
    </row>
    <row r="16" spans="1:14" x14ac:dyDescent="0.4">
      <c r="A16" s="71" t="s">
        <v>159</v>
      </c>
      <c r="B16" s="72">
        <v>43454.62740740741</v>
      </c>
      <c r="C16" s="71" t="s">
        <v>166</v>
      </c>
      <c r="D16" s="71" t="s">
        <v>167</v>
      </c>
      <c r="E16" s="71" t="s">
        <v>168</v>
      </c>
    </row>
    <row r="17" spans="1:9" x14ac:dyDescent="0.4">
      <c r="A17" s="71" t="s">
        <v>161</v>
      </c>
      <c r="B17" s="72">
        <v>43471.701018518521</v>
      </c>
      <c r="C17" s="71" t="s">
        <v>166</v>
      </c>
      <c r="D17" s="71" t="s">
        <v>167</v>
      </c>
      <c r="E17" s="71" t="s">
        <v>168</v>
      </c>
      <c r="F17" s="71" t="s">
        <v>169</v>
      </c>
      <c r="G17" s="71" t="s">
        <v>170</v>
      </c>
      <c r="H17" s="71" t="s">
        <v>171</v>
      </c>
    </row>
    <row r="18" spans="1:9" x14ac:dyDescent="0.4">
      <c r="A18" s="71" t="s">
        <v>162</v>
      </c>
      <c r="B18" s="72">
        <v>43454.62740740741</v>
      </c>
      <c r="C18" s="71" t="s">
        <v>166</v>
      </c>
      <c r="D18" s="71" t="s">
        <v>167</v>
      </c>
      <c r="E18" s="71" t="s">
        <v>168</v>
      </c>
      <c r="F18" s="71" t="s">
        <v>169</v>
      </c>
      <c r="G18" s="71" t="s">
        <v>170</v>
      </c>
      <c r="H18" s="71" t="s">
        <v>171</v>
      </c>
    </row>
    <row r="19" spans="1:9" x14ac:dyDescent="0.4">
      <c r="A19" s="71" t="s">
        <v>163</v>
      </c>
      <c r="B19" s="72">
        <v>43454.62740740741</v>
      </c>
      <c r="C19" s="71" t="s">
        <v>166</v>
      </c>
      <c r="D19" s="71" t="s">
        <v>167</v>
      </c>
    </row>
    <row r="20" spans="1:9" x14ac:dyDescent="0.4">
      <c r="A20" s="71" t="s">
        <v>164</v>
      </c>
      <c r="B20" s="72">
        <v>43471.701018518521</v>
      </c>
      <c r="C20" s="71" t="s">
        <v>166</v>
      </c>
      <c r="D20" s="71" t="s">
        <v>167</v>
      </c>
      <c r="E20" s="71" t="s">
        <v>168</v>
      </c>
    </row>
    <row r="21" spans="1:9" x14ac:dyDescent="0.4">
      <c r="A21" s="71" t="s">
        <v>165</v>
      </c>
      <c r="B21" s="72">
        <v>43484.832372685189</v>
      </c>
      <c r="C21" s="71" t="s">
        <v>166</v>
      </c>
      <c r="D21" s="71" t="s">
        <v>167</v>
      </c>
      <c r="E21" s="71" t="s">
        <v>168</v>
      </c>
      <c r="F21" s="71" t="s">
        <v>169</v>
      </c>
    </row>
    <row r="22" spans="1:9" x14ac:dyDescent="0.4">
      <c r="A22" s="71" t="s">
        <v>199</v>
      </c>
      <c r="B22" s="72">
        <v>43454.62740740741</v>
      </c>
      <c r="C22" s="71" t="s">
        <v>166</v>
      </c>
      <c r="D22" s="71" t="s">
        <v>167</v>
      </c>
      <c r="E22" s="71" t="s">
        <v>168</v>
      </c>
      <c r="F22" s="71" t="s">
        <v>169</v>
      </c>
    </row>
    <row r="23" spans="1:9" x14ac:dyDescent="0.4">
      <c r="A23" s="71" t="s">
        <v>200</v>
      </c>
      <c r="B23" s="72">
        <v>43454.62740740741</v>
      </c>
      <c r="C23" s="71" t="s">
        <v>166</v>
      </c>
      <c r="D23" s="71" t="s">
        <v>167</v>
      </c>
      <c r="E23" s="71" t="s">
        <v>168</v>
      </c>
      <c r="F23" s="71" t="s">
        <v>169</v>
      </c>
      <c r="G23" s="71" t="s">
        <v>170</v>
      </c>
      <c r="H23" s="71" t="s">
        <v>171</v>
      </c>
      <c r="I23" s="71" t="s">
        <v>172</v>
      </c>
    </row>
    <row r="24" spans="1:9" x14ac:dyDescent="0.4">
      <c r="A24" s="71" t="s">
        <v>201</v>
      </c>
      <c r="B24" s="72">
        <v>43454.62740740741</v>
      </c>
      <c r="C24" s="71" t="s">
        <v>166</v>
      </c>
      <c r="D24" s="71" t="s">
        <v>167</v>
      </c>
      <c r="E24" s="71" t="s">
        <v>168</v>
      </c>
    </row>
    <row r="25" spans="1:9" x14ac:dyDescent="0.4">
      <c r="A25" s="71" t="s">
        <v>202</v>
      </c>
      <c r="B25" s="72">
        <v>43454.62740740741</v>
      </c>
      <c r="C25" s="71" t="s">
        <v>166</v>
      </c>
      <c r="D25" s="71" t="s">
        <v>167</v>
      </c>
      <c r="E25" s="71" t="s">
        <v>168</v>
      </c>
      <c r="F25" s="71" t="s">
        <v>169</v>
      </c>
      <c r="G25" s="71" t="s">
        <v>170</v>
      </c>
      <c r="H25" s="71" t="s">
        <v>171</v>
      </c>
    </row>
    <row r="26" spans="1:9" x14ac:dyDescent="0.4">
      <c r="A26" s="71" t="s">
        <v>203</v>
      </c>
      <c r="B26" s="72">
        <v>43454.62740740741</v>
      </c>
      <c r="C26" s="71" t="s">
        <v>166</v>
      </c>
      <c r="D26" s="71" t="s">
        <v>167</v>
      </c>
    </row>
    <row r="27" spans="1:9" x14ac:dyDescent="0.4">
      <c r="A27" s="71" t="s">
        <v>204</v>
      </c>
      <c r="B27" s="72">
        <v>43454.62740740741</v>
      </c>
      <c r="C27" s="71" t="s">
        <v>166</v>
      </c>
      <c r="D27" s="71" t="s">
        <v>167</v>
      </c>
    </row>
    <row r="28" spans="1:9" x14ac:dyDescent="0.4">
      <c r="A28" s="71" t="s">
        <v>205</v>
      </c>
      <c r="B28" s="72">
        <v>43454.62740740741</v>
      </c>
      <c r="C28" s="71" t="s">
        <v>166</v>
      </c>
      <c r="D28" s="71" t="s">
        <v>167</v>
      </c>
      <c r="E28" s="71" t="s">
        <v>168</v>
      </c>
      <c r="F28" s="71" t="s">
        <v>169</v>
      </c>
    </row>
    <row r="29" spans="1:9" x14ac:dyDescent="0.4">
      <c r="A29" s="71" t="s">
        <v>206</v>
      </c>
      <c r="B29" s="72">
        <v>43455.084918981483</v>
      </c>
      <c r="C29" s="71" t="s">
        <v>166</v>
      </c>
      <c r="D29" s="71" t="s">
        <v>167</v>
      </c>
      <c r="E29" s="71" t="s">
        <v>168</v>
      </c>
      <c r="F29" s="71" t="s">
        <v>169</v>
      </c>
      <c r="G29" s="71" t="s">
        <v>170</v>
      </c>
      <c r="H29" s="71" t="s">
        <v>171</v>
      </c>
    </row>
    <row r="30" spans="1:9" x14ac:dyDescent="0.4">
      <c r="A30" s="71" t="s">
        <v>207</v>
      </c>
      <c r="B30" s="72">
        <v>43456.147789351853</v>
      </c>
      <c r="C30" s="71" t="s">
        <v>166</v>
      </c>
      <c r="D30" s="71" t="s">
        <v>167</v>
      </c>
      <c r="E30" s="71" t="s">
        <v>168</v>
      </c>
      <c r="F30" s="71" t="s">
        <v>169</v>
      </c>
      <c r="G30" s="71" t="s">
        <v>170</v>
      </c>
    </row>
    <row r="31" spans="1:9" x14ac:dyDescent="0.4">
      <c r="A31" s="71" t="s">
        <v>208</v>
      </c>
      <c r="B31" s="72">
        <v>43471.8909375</v>
      </c>
      <c r="C31" s="71" t="s">
        <v>166</v>
      </c>
      <c r="D31" s="71" t="s">
        <v>167</v>
      </c>
      <c r="E31" s="71" t="s">
        <v>168</v>
      </c>
      <c r="F31" s="71" t="s">
        <v>169</v>
      </c>
    </row>
    <row r="32" spans="1:9" x14ac:dyDescent="0.4">
      <c r="A32" s="71" t="s">
        <v>209</v>
      </c>
      <c r="B32" s="72">
        <v>43475.056238425925</v>
      </c>
      <c r="C32" s="71" t="s">
        <v>166</v>
      </c>
    </row>
    <row r="33" spans="1:10" x14ac:dyDescent="0.4">
      <c r="A33" s="71" t="s">
        <v>210</v>
      </c>
      <c r="B33" s="72">
        <v>43478.456446759257</v>
      </c>
      <c r="C33" s="71" t="s">
        <v>166</v>
      </c>
      <c r="D33" s="71" t="s">
        <v>167</v>
      </c>
      <c r="E33" s="71" t="s">
        <v>168</v>
      </c>
    </row>
    <row r="34" spans="1:10" x14ac:dyDescent="0.4">
      <c r="A34" s="71" t="s">
        <v>211</v>
      </c>
      <c r="B34" s="72">
        <v>43479.152256944442</v>
      </c>
      <c r="C34" s="71" t="s">
        <v>166</v>
      </c>
      <c r="D34" s="71" t="s">
        <v>167</v>
      </c>
      <c r="E34" s="71" t="s">
        <v>168</v>
      </c>
      <c r="F34" s="71" t="s">
        <v>169</v>
      </c>
      <c r="G34" s="71" t="s">
        <v>170</v>
      </c>
      <c r="H34" s="71" t="s">
        <v>171</v>
      </c>
      <c r="I34" s="71" t="s">
        <v>172</v>
      </c>
      <c r="J34" s="71" t="s">
        <v>173</v>
      </c>
    </row>
    <row r="35" spans="1:10" x14ac:dyDescent="0.4">
      <c r="A35" s="71" t="s">
        <v>212</v>
      </c>
      <c r="B35" s="72">
        <v>43480.04891203704</v>
      </c>
      <c r="C35" s="71" t="s">
        <v>166</v>
      </c>
      <c r="D35" s="71" t="s">
        <v>167</v>
      </c>
      <c r="E35" s="71" t="s">
        <v>168</v>
      </c>
      <c r="F35" s="71" t="s">
        <v>169</v>
      </c>
      <c r="G35" s="71" t="s">
        <v>170</v>
      </c>
      <c r="H35" s="71" t="s">
        <v>171</v>
      </c>
      <c r="I35" s="71" t="s">
        <v>172</v>
      </c>
      <c r="J35" s="71" t="s">
        <v>173</v>
      </c>
    </row>
    <row r="36" spans="1:10" x14ac:dyDescent="0.4">
      <c r="A36" s="71" t="s">
        <v>213</v>
      </c>
      <c r="B36" s="72">
        <v>43481.046527777777</v>
      </c>
      <c r="C36" s="71" t="s">
        <v>166</v>
      </c>
      <c r="D36" s="71" t="s">
        <v>167</v>
      </c>
      <c r="E36" s="71" t="s">
        <v>168</v>
      </c>
    </row>
    <row r="37" spans="1:10" x14ac:dyDescent="0.4">
      <c r="A37" s="71" t="s">
        <v>214</v>
      </c>
      <c r="B37" s="72">
        <v>43482.020208333335</v>
      </c>
      <c r="C37" s="71" t="s">
        <v>166</v>
      </c>
      <c r="D37" s="71" t="s">
        <v>167</v>
      </c>
    </row>
    <row r="38" spans="1:10" x14ac:dyDescent="0.4">
      <c r="A38" s="71" t="s">
        <v>215</v>
      </c>
      <c r="B38" s="72">
        <v>43483.045300925929</v>
      </c>
      <c r="C38" s="71" t="s">
        <v>166</v>
      </c>
      <c r="D38" s="71" t="s">
        <v>167</v>
      </c>
      <c r="E38" s="71" t="s">
        <v>168</v>
      </c>
      <c r="F38" s="71" t="s">
        <v>169</v>
      </c>
      <c r="G38" s="71" t="s">
        <v>170</v>
      </c>
    </row>
    <row r="39" spans="1:10" x14ac:dyDescent="0.4">
      <c r="A39" s="71" t="s">
        <v>216</v>
      </c>
      <c r="B39" s="72">
        <v>43484.815625000003</v>
      </c>
      <c r="C39" s="71" t="s">
        <v>166</v>
      </c>
      <c r="D39" s="71" t="s">
        <v>167</v>
      </c>
      <c r="E39" s="71" t="s">
        <v>168</v>
      </c>
      <c r="F39" s="71" t="s">
        <v>169</v>
      </c>
      <c r="G39" s="71" t="s">
        <v>170</v>
      </c>
      <c r="H39" s="71" t="s">
        <v>171</v>
      </c>
    </row>
    <row r="40" spans="1:10" x14ac:dyDescent="0.4">
      <c r="A40" s="71" t="s">
        <v>217</v>
      </c>
      <c r="B40" s="72">
        <v>43485.111226851855</v>
      </c>
      <c r="C40" s="71" t="s">
        <v>166</v>
      </c>
      <c r="D40" s="71" t="s">
        <v>167</v>
      </c>
      <c r="E40" s="71" t="s">
        <v>168</v>
      </c>
      <c r="F40" s="71" t="s">
        <v>169</v>
      </c>
    </row>
    <row r="41" spans="1:10" x14ac:dyDescent="0.4">
      <c r="A41" s="71" t="s">
        <v>219</v>
      </c>
      <c r="B41" s="72">
        <v>43486.066643518519</v>
      </c>
      <c r="C41" s="71" t="s">
        <v>166</v>
      </c>
      <c r="D41" s="71" t="s">
        <v>167</v>
      </c>
      <c r="E41" s="71" t="s">
        <v>168</v>
      </c>
      <c r="F41" s="71" t="s">
        <v>169</v>
      </c>
    </row>
    <row r="42" spans="1:10" x14ac:dyDescent="0.4">
      <c r="A42" s="71" t="s">
        <v>220</v>
      </c>
      <c r="B42" s="72">
        <v>43487.036203703705</v>
      </c>
      <c r="C42" s="71" t="s">
        <v>166</v>
      </c>
      <c r="D42" s="71" t="s">
        <v>167</v>
      </c>
      <c r="E42" s="71" t="s">
        <v>168</v>
      </c>
      <c r="F42" s="71" t="s">
        <v>169</v>
      </c>
      <c r="G42" s="71" t="s">
        <v>170</v>
      </c>
      <c r="H42" s="71" t="s">
        <v>171</v>
      </c>
      <c r="I42" s="71" t="s">
        <v>172</v>
      </c>
    </row>
    <row r="43" spans="1:10" x14ac:dyDescent="0.4">
      <c r="A43" s="71" t="s">
        <v>221</v>
      </c>
      <c r="B43" s="72">
        <v>43488.059837962966</v>
      </c>
      <c r="C43" s="71" t="s">
        <v>166</v>
      </c>
      <c r="D43" s="71" t="s">
        <v>167</v>
      </c>
      <c r="E43" s="71" t="s">
        <v>168</v>
      </c>
      <c r="F43" s="71" t="s">
        <v>169</v>
      </c>
      <c r="G43" s="71" t="s">
        <v>170</v>
      </c>
      <c r="H43" s="71" t="s">
        <v>171</v>
      </c>
      <c r="I43" s="71" t="s">
        <v>172</v>
      </c>
    </row>
    <row r="44" spans="1:10" x14ac:dyDescent="0.4">
      <c r="A44" s="71" t="s">
        <v>222</v>
      </c>
      <c r="B44" s="72">
        <v>43489.041319444441</v>
      </c>
      <c r="C44" s="71" t="s">
        <v>166</v>
      </c>
      <c r="D44" s="71" t="s">
        <v>167</v>
      </c>
      <c r="E44" s="71" t="s">
        <v>168</v>
      </c>
    </row>
    <row r="45" spans="1:10" x14ac:dyDescent="0.4">
      <c r="A45" s="71" t="s">
        <v>223</v>
      </c>
      <c r="B45" s="72">
        <v>43491.152187500003</v>
      </c>
      <c r="C45" s="71" t="s">
        <v>166</v>
      </c>
      <c r="D45" s="71" t="s">
        <v>167</v>
      </c>
      <c r="E45" s="71" t="s">
        <v>168</v>
      </c>
      <c r="F45" s="71" t="s">
        <v>169</v>
      </c>
      <c r="G45" s="71" t="s">
        <v>170</v>
      </c>
      <c r="H45" s="71" t="s">
        <v>171</v>
      </c>
    </row>
    <row r="46" spans="1:10" x14ac:dyDescent="0.4">
      <c r="A46" s="71" t="s">
        <v>224</v>
      </c>
      <c r="B46" s="72">
        <v>43492.105717592596</v>
      </c>
      <c r="C46" s="71" t="s">
        <v>166</v>
      </c>
      <c r="D46" s="71" t="s">
        <v>167</v>
      </c>
      <c r="E46" s="71" t="s">
        <v>168</v>
      </c>
      <c r="F46" s="71" t="s">
        <v>169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76015B-CC38-4F9A-86D3-8B11074C6D5B}">
  <sheetPr codeName="Sheet4"/>
  <dimension ref="A1:H51"/>
  <sheetViews>
    <sheetView showGridLines="0" zoomScale="120" zoomScaleNormal="120" workbookViewId="0"/>
  </sheetViews>
  <sheetFormatPr defaultColWidth="9"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16384" width="9" style="19"/>
  </cols>
  <sheetData>
    <row r="1" spans="1:8" x14ac:dyDescent="0.4">
      <c r="A1" s="56" t="s">
        <v>0</v>
      </c>
      <c r="B1" s="89" t="s">
        <v>225</v>
      </c>
      <c r="C1" s="90"/>
      <c r="E1" s="66" t="s">
        <v>193</v>
      </c>
      <c r="F1" s="80" t="s">
        <v>122</v>
      </c>
      <c r="G1" s="79" t="s">
        <v>123</v>
      </c>
      <c r="H1" s="80" t="s">
        <v>124</v>
      </c>
    </row>
    <row r="2" spans="1:8" x14ac:dyDescent="0.4">
      <c r="A2" s="57" t="s">
        <v>9</v>
      </c>
      <c r="B2" s="83">
        <v>558</v>
      </c>
      <c r="C2" s="84"/>
      <c r="E2" s="67" t="s">
        <v>69</v>
      </c>
      <c r="F2" s="63" t="s">
        <v>23</v>
      </c>
      <c r="G2" s="49">
        <v>461</v>
      </c>
      <c r="H2" s="24">
        <f t="shared" ref="H2:H51" si="0">IF(B$25=0,0,G2/B$25)</f>
        <v>0.54044548651817115</v>
      </c>
    </row>
    <row r="3" spans="1:8" x14ac:dyDescent="0.4">
      <c r="A3" s="58" t="s">
        <v>8</v>
      </c>
      <c r="B3" s="91">
        <v>4233</v>
      </c>
      <c r="C3" s="92"/>
      <c r="E3" s="68" t="s">
        <v>70</v>
      </c>
      <c r="F3" s="64" t="s">
        <v>24</v>
      </c>
      <c r="G3" s="50">
        <v>104</v>
      </c>
      <c r="H3" s="27">
        <f t="shared" si="0"/>
        <v>0.12192262602579132</v>
      </c>
    </row>
    <row r="4" spans="1:8" x14ac:dyDescent="0.4">
      <c r="A4" s="58" t="s">
        <v>6</v>
      </c>
      <c r="B4" s="93">
        <v>-4.9999999999999858</v>
      </c>
      <c r="C4" s="94"/>
      <c r="E4" s="68" t="s">
        <v>71</v>
      </c>
      <c r="F4" s="64" t="s">
        <v>25</v>
      </c>
      <c r="G4" s="50">
        <v>605</v>
      </c>
      <c r="H4" s="27">
        <f t="shared" si="0"/>
        <v>0.70926143024618993</v>
      </c>
    </row>
    <row r="5" spans="1:8" x14ac:dyDescent="0.4">
      <c r="A5" s="58" t="s">
        <v>7</v>
      </c>
      <c r="B5" s="93">
        <f>IF(B$2=0,0,B$4/B$2)</f>
        <v>-8.9605734767024842E-3</v>
      </c>
      <c r="C5" s="94"/>
      <c r="E5" s="68" t="s">
        <v>72</v>
      </c>
      <c r="F5" s="64" t="s">
        <v>26</v>
      </c>
      <c r="G5" s="50">
        <v>255</v>
      </c>
      <c r="H5" s="27">
        <f t="shared" si="0"/>
        <v>0.2989449003516999</v>
      </c>
    </row>
    <row r="6" spans="1:8" x14ac:dyDescent="0.4">
      <c r="A6" s="58" t="s">
        <v>1</v>
      </c>
      <c r="B6" s="95">
        <f>IF(B$2=0,0,(B$7*1+B$8*2+B$9*3)/B$2)</f>
        <v>2</v>
      </c>
      <c r="C6" s="96"/>
      <c r="E6" s="68" t="s">
        <v>73</v>
      </c>
      <c r="F6" s="64" t="s">
        <v>27</v>
      </c>
      <c r="G6" s="50">
        <v>767</v>
      </c>
      <c r="H6" s="27">
        <f t="shared" si="0"/>
        <v>0.89917936694021106</v>
      </c>
    </row>
    <row r="7" spans="1:8" x14ac:dyDescent="0.4">
      <c r="A7" s="58" t="s">
        <v>2</v>
      </c>
      <c r="B7" s="50">
        <v>186</v>
      </c>
      <c r="C7" s="27">
        <f>IF(B$2=0,0,B7/B$2)</f>
        <v>0.33333333333333331</v>
      </c>
      <c r="E7" s="68" t="s">
        <v>74</v>
      </c>
      <c r="F7" s="64" t="s">
        <v>12</v>
      </c>
      <c r="G7" s="50">
        <v>255</v>
      </c>
      <c r="H7" s="27">
        <f t="shared" si="0"/>
        <v>0.2989449003516999</v>
      </c>
    </row>
    <row r="8" spans="1:8" x14ac:dyDescent="0.4">
      <c r="A8" s="58" t="s">
        <v>3</v>
      </c>
      <c r="B8" s="50">
        <v>186</v>
      </c>
      <c r="C8" s="27">
        <f t="shared" ref="C8:C9" si="1">IF(B$2=0,0,B8/B$2)</f>
        <v>0.33333333333333331</v>
      </c>
      <c r="E8" s="68" t="s">
        <v>75</v>
      </c>
      <c r="F8" s="64" t="s">
        <v>28</v>
      </c>
      <c r="G8" s="50">
        <v>126</v>
      </c>
      <c r="H8" s="27">
        <f t="shared" si="0"/>
        <v>0.1477139507620164</v>
      </c>
    </row>
    <row r="9" spans="1:8" x14ac:dyDescent="0.4">
      <c r="A9" s="59" t="s">
        <v>4</v>
      </c>
      <c r="B9" s="51">
        <v>186</v>
      </c>
      <c r="C9" s="29">
        <f t="shared" si="1"/>
        <v>0.33333333333333331</v>
      </c>
      <c r="E9" s="68" t="s">
        <v>76</v>
      </c>
      <c r="F9" s="64" t="s">
        <v>29</v>
      </c>
      <c r="G9" s="50">
        <v>81</v>
      </c>
      <c r="H9" s="27">
        <f t="shared" si="0"/>
        <v>9.495896834701055E-2</v>
      </c>
    </row>
    <row r="10" spans="1:8" x14ac:dyDescent="0.4">
      <c r="A10" s="59" t="s">
        <v>21</v>
      </c>
      <c r="B10" s="51">
        <v>90</v>
      </c>
      <c r="C10" s="29">
        <f>IF(B$2=0,0,B10/B$2)</f>
        <v>0.16129032258064516</v>
      </c>
      <c r="E10" s="68" t="s">
        <v>77</v>
      </c>
      <c r="F10" s="64" t="s">
        <v>30</v>
      </c>
      <c r="G10" s="50">
        <v>41</v>
      </c>
      <c r="H10" s="27">
        <f t="shared" si="0"/>
        <v>4.8065650644783117E-2</v>
      </c>
    </row>
    <row r="11" spans="1:8" x14ac:dyDescent="0.4">
      <c r="A11" s="60" t="s">
        <v>191</v>
      </c>
      <c r="B11" s="52">
        <v>90</v>
      </c>
      <c r="C11" s="32">
        <f>IF(B$2=0,0,B11/B$2)</f>
        <v>0.16129032258064516</v>
      </c>
      <c r="E11" s="68" t="s">
        <v>78</v>
      </c>
      <c r="F11" s="64" t="s">
        <v>31</v>
      </c>
      <c r="G11" s="50">
        <v>503</v>
      </c>
      <c r="H11" s="27">
        <f t="shared" si="0"/>
        <v>0.58968347010550992</v>
      </c>
    </row>
    <row r="12" spans="1:8" x14ac:dyDescent="0.4">
      <c r="A12" s="61" t="s">
        <v>130</v>
      </c>
      <c r="B12" s="53">
        <v>803</v>
      </c>
      <c r="C12" s="35">
        <f>IF(B$24=0,0,B12/B$24)</f>
        <v>0.28719599427753933</v>
      </c>
      <c r="E12" s="68" t="s">
        <v>79</v>
      </c>
      <c r="F12" s="64" t="s">
        <v>32</v>
      </c>
      <c r="G12" s="50">
        <v>7</v>
      </c>
      <c r="H12" s="27">
        <f t="shared" si="0"/>
        <v>8.2063305978898014E-3</v>
      </c>
    </row>
    <row r="13" spans="1:8" x14ac:dyDescent="0.4">
      <c r="A13" s="58" t="s">
        <v>125</v>
      </c>
      <c r="B13" s="50">
        <v>642</v>
      </c>
      <c r="C13" s="27">
        <f>IF(B$24=0,0,B13/B$24)</f>
        <v>0.2296137339055794</v>
      </c>
      <c r="E13" s="68" t="s">
        <v>80</v>
      </c>
      <c r="F13" s="64" t="s">
        <v>33</v>
      </c>
      <c r="G13" s="50">
        <v>2</v>
      </c>
      <c r="H13" s="27">
        <f t="shared" si="0"/>
        <v>2.3446658851113715E-3</v>
      </c>
    </row>
    <row r="14" spans="1:8" x14ac:dyDescent="0.4">
      <c r="A14" s="57" t="s">
        <v>132</v>
      </c>
      <c r="B14" s="49">
        <v>471</v>
      </c>
      <c r="C14" s="24">
        <f>IF(B$12=0,0,B14/B$12)</f>
        <v>0.58655043586550437</v>
      </c>
      <c r="E14" s="68" t="s">
        <v>81</v>
      </c>
      <c r="F14" s="64" t="s">
        <v>34</v>
      </c>
      <c r="G14" s="50">
        <v>5</v>
      </c>
      <c r="H14" s="27">
        <f t="shared" si="0"/>
        <v>5.8616647127784291E-3</v>
      </c>
    </row>
    <row r="15" spans="1:8" x14ac:dyDescent="0.4">
      <c r="A15" s="57" t="s">
        <v>133</v>
      </c>
      <c r="B15" s="49">
        <v>256</v>
      </c>
      <c r="C15" s="24">
        <f>IF(B$13=0,0,B15/B$13)</f>
        <v>0.39875389408099687</v>
      </c>
      <c r="E15" s="68" t="s">
        <v>82</v>
      </c>
      <c r="F15" s="64" t="s">
        <v>35</v>
      </c>
      <c r="G15" s="50">
        <v>0</v>
      </c>
      <c r="H15" s="27">
        <f t="shared" si="0"/>
        <v>0</v>
      </c>
    </row>
    <row r="16" spans="1:8" x14ac:dyDescent="0.4">
      <c r="A16" s="57" t="s">
        <v>10</v>
      </c>
      <c r="B16" s="49">
        <f>B18+B17</f>
        <v>1294</v>
      </c>
      <c r="C16" s="24">
        <f>IF(B$3=0,0,B16/B$3)</f>
        <v>0.30569336168202221</v>
      </c>
      <c r="E16" s="68" t="s">
        <v>83</v>
      </c>
      <c r="F16" s="64" t="s">
        <v>36</v>
      </c>
      <c r="G16" s="50">
        <v>7</v>
      </c>
      <c r="H16" s="27">
        <f t="shared" si="0"/>
        <v>8.2063305978898014E-3</v>
      </c>
    </row>
    <row r="17" spans="1:8" x14ac:dyDescent="0.4">
      <c r="A17" s="58" t="s">
        <v>12</v>
      </c>
      <c r="B17" s="50">
        <v>532</v>
      </c>
      <c r="C17" s="27">
        <f>IF(B$16=0,0,B17/B$16)</f>
        <v>0.41112828438948995</v>
      </c>
      <c r="E17" s="68" t="s">
        <v>84</v>
      </c>
      <c r="F17" s="64" t="s">
        <v>37</v>
      </c>
      <c r="G17" s="50">
        <v>25</v>
      </c>
      <c r="H17" s="27">
        <f t="shared" si="0"/>
        <v>2.9308323563892145E-2</v>
      </c>
    </row>
    <row r="18" spans="1:8" x14ac:dyDescent="0.4">
      <c r="A18" s="58" t="s">
        <v>11</v>
      </c>
      <c r="B18" s="50">
        <v>762</v>
      </c>
      <c r="C18" s="27">
        <f>IF(B$16=0,0,B18/B$16)</f>
        <v>0.58887171561050999</v>
      </c>
      <c r="E18" s="68" t="s">
        <v>85</v>
      </c>
      <c r="F18" s="64" t="s">
        <v>38</v>
      </c>
      <c r="G18" s="50">
        <v>11</v>
      </c>
      <c r="H18" s="27">
        <f t="shared" si="0"/>
        <v>1.2895662368112544E-2</v>
      </c>
    </row>
    <row r="19" spans="1:8" x14ac:dyDescent="0.4">
      <c r="A19" s="58" t="s">
        <v>13</v>
      </c>
      <c r="B19" s="50">
        <v>744</v>
      </c>
      <c r="C19" s="27">
        <f>IF(B$3=0,0,B19/B$3)</f>
        <v>0.17576187101346563</v>
      </c>
      <c r="E19" s="68" t="s">
        <v>86</v>
      </c>
      <c r="F19" s="64" t="s">
        <v>39</v>
      </c>
      <c r="G19" s="50">
        <v>0</v>
      </c>
      <c r="H19" s="27">
        <f t="shared" si="0"/>
        <v>0</v>
      </c>
    </row>
    <row r="20" spans="1:8" x14ac:dyDescent="0.4">
      <c r="A20" s="58" t="s">
        <v>5</v>
      </c>
      <c r="B20" s="54">
        <f>IF(B$16=0,0,C20/B$16)</f>
        <v>10216.846986089644</v>
      </c>
      <c r="C20" s="30">
        <v>13220600</v>
      </c>
      <c r="E20" s="68" t="s">
        <v>87</v>
      </c>
      <c r="F20" s="64" t="s">
        <v>40</v>
      </c>
      <c r="G20" s="50">
        <v>1</v>
      </c>
      <c r="H20" s="27">
        <f t="shared" si="0"/>
        <v>1.1723329425556857E-3</v>
      </c>
    </row>
    <row r="21" spans="1:8" x14ac:dyDescent="0.4">
      <c r="A21" s="60" t="s">
        <v>14</v>
      </c>
      <c r="B21" s="55">
        <f>IF(B$19=0,0,C21/B$19)</f>
        <v>-9509.0053763440865</v>
      </c>
      <c r="C21" s="48">
        <v>-7074700</v>
      </c>
      <c r="E21" s="68" t="s">
        <v>88</v>
      </c>
      <c r="F21" s="64" t="s">
        <v>41</v>
      </c>
      <c r="G21" s="50">
        <v>22</v>
      </c>
      <c r="H21" s="27">
        <f t="shared" si="0"/>
        <v>2.5791324736225089E-2</v>
      </c>
    </row>
    <row r="22" spans="1:8" x14ac:dyDescent="0.4">
      <c r="A22" s="57" t="s">
        <v>178</v>
      </c>
      <c r="B22" s="49">
        <v>1404</v>
      </c>
      <c r="C22" s="24">
        <f>IF(B$3=0,0,B22/B$3)</f>
        <v>0.3316796598157335</v>
      </c>
      <c r="E22" s="68" t="s">
        <v>89</v>
      </c>
      <c r="F22" s="64" t="s">
        <v>42</v>
      </c>
      <c r="G22" s="50">
        <v>0</v>
      </c>
      <c r="H22" s="27">
        <f t="shared" si="0"/>
        <v>0</v>
      </c>
    </row>
    <row r="23" spans="1:8" x14ac:dyDescent="0.4">
      <c r="A23" s="60" t="s">
        <v>179</v>
      </c>
      <c r="B23" s="52">
        <v>512</v>
      </c>
      <c r="C23" s="32">
        <f>IF(B$22=0,0,B23/B$22)</f>
        <v>0.36467236467236469</v>
      </c>
      <c r="E23" s="68" t="s">
        <v>90</v>
      </c>
      <c r="F23" s="64" t="s">
        <v>43</v>
      </c>
      <c r="G23" s="50">
        <v>37</v>
      </c>
      <c r="H23" s="27">
        <f t="shared" si="0"/>
        <v>4.3376318874560373E-2</v>
      </c>
    </row>
    <row r="24" spans="1:8" x14ac:dyDescent="0.4">
      <c r="A24" s="57" t="s">
        <v>128</v>
      </c>
      <c r="B24" s="83">
        <v>2796</v>
      </c>
      <c r="C24" s="84"/>
      <c r="E24" s="68" t="s">
        <v>91</v>
      </c>
      <c r="F24" s="64" t="s">
        <v>44</v>
      </c>
      <c r="G24" s="50">
        <v>3</v>
      </c>
      <c r="H24" s="27">
        <f t="shared" si="0"/>
        <v>3.5169988276670576E-3</v>
      </c>
    </row>
    <row r="25" spans="1:8" x14ac:dyDescent="0.4">
      <c r="A25" s="60" t="s">
        <v>129</v>
      </c>
      <c r="B25" s="85">
        <v>853</v>
      </c>
      <c r="C25" s="86"/>
      <c r="E25" s="68" t="s">
        <v>92</v>
      </c>
      <c r="F25" s="64" t="s">
        <v>45</v>
      </c>
      <c r="G25" s="50">
        <v>4</v>
      </c>
      <c r="H25" s="27">
        <f t="shared" si="0"/>
        <v>4.6893317702227429E-3</v>
      </c>
    </row>
    <row r="26" spans="1:8" x14ac:dyDescent="0.4">
      <c r="A26" s="75" t="s">
        <v>196</v>
      </c>
      <c r="B26" s="87">
        <v>10</v>
      </c>
      <c r="C26" s="88"/>
      <c r="E26" s="68" t="s">
        <v>93</v>
      </c>
      <c r="F26" s="64" t="s">
        <v>46</v>
      </c>
      <c r="G26" s="50">
        <v>59</v>
      </c>
      <c r="H26" s="27">
        <f t="shared" si="0"/>
        <v>6.9167643610785465E-2</v>
      </c>
    </row>
    <row r="27" spans="1:8" x14ac:dyDescent="0.4">
      <c r="A27" s="60" t="s">
        <v>198</v>
      </c>
      <c r="B27" s="76">
        <v>16</v>
      </c>
      <c r="C27" s="32">
        <f>IF(B$3=0,0,B27/B$3)</f>
        <v>3.7798251830852823E-3</v>
      </c>
      <c r="E27" s="68" t="s">
        <v>94</v>
      </c>
      <c r="F27" s="64" t="s">
        <v>47</v>
      </c>
      <c r="G27" s="50">
        <v>3</v>
      </c>
      <c r="H27" s="27">
        <f t="shared" si="0"/>
        <v>3.5169988276670576E-3</v>
      </c>
    </row>
    <row r="28" spans="1:8" x14ac:dyDescent="0.4">
      <c r="E28" s="68" t="s">
        <v>95</v>
      </c>
      <c r="F28" s="64" t="s">
        <v>48</v>
      </c>
      <c r="G28" s="50">
        <v>1</v>
      </c>
      <c r="H28" s="27">
        <f t="shared" si="0"/>
        <v>1.1723329425556857E-3</v>
      </c>
    </row>
    <row r="29" spans="1:8" x14ac:dyDescent="0.4">
      <c r="E29" s="68" t="s">
        <v>96</v>
      </c>
      <c r="F29" s="64" t="s">
        <v>49</v>
      </c>
      <c r="G29" s="50">
        <v>128</v>
      </c>
      <c r="H29" s="27">
        <f t="shared" si="0"/>
        <v>0.15005861664712777</v>
      </c>
    </row>
    <row r="30" spans="1:8" x14ac:dyDescent="0.4">
      <c r="E30" s="68" t="s">
        <v>97</v>
      </c>
      <c r="F30" s="64" t="s">
        <v>50</v>
      </c>
      <c r="G30" s="50">
        <v>1</v>
      </c>
      <c r="H30" s="27">
        <f t="shared" si="0"/>
        <v>1.1723329425556857E-3</v>
      </c>
    </row>
    <row r="31" spans="1:8" x14ac:dyDescent="0.4">
      <c r="E31" s="68" t="s">
        <v>98</v>
      </c>
      <c r="F31" s="64" t="s">
        <v>51</v>
      </c>
      <c r="G31" s="50">
        <v>14</v>
      </c>
      <c r="H31" s="27">
        <f t="shared" si="0"/>
        <v>1.6412661195779603E-2</v>
      </c>
    </row>
    <row r="32" spans="1:8" x14ac:dyDescent="0.4">
      <c r="E32" s="68" t="s">
        <v>99</v>
      </c>
      <c r="F32" s="64" t="s">
        <v>52</v>
      </c>
      <c r="G32" s="50">
        <v>5</v>
      </c>
      <c r="H32" s="27">
        <f t="shared" si="0"/>
        <v>5.8616647127784291E-3</v>
      </c>
    </row>
    <row r="33" spans="5:8" x14ac:dyDescent="0.4">
      <c r="E33" s="68" t="s">
        <v>100</v>
      </c>
      <c r="F33" s="64" t="s">
        <v>53</v>
      </c>
      <c r="G33" s="50">
        <v>2</v>
      </c>
      <c r="H33" s="27">
        <f t="shared" si="0"/>
        <v>2.3446658851113715E-3</v>
      </c>
    </row>
    <row r="34" spans="5:8" x14ac:dyDescent="0.4">
      <c r="E34" s="68" t="s">
        <v>101</v>
      </c>
      <c r="F34" s="64" t="s">
        <v>54</v>
      </c>
      <c r="G34" s="50">
        <v>0</v>
      </c>
      <c r="H34" s="27">
        <f t="shared" si="0"/>
        <v>0</v>
      </c>
    </row>
    <row r="35" spans="5:8" x14ac:dyDescent="0.4">
      <c r="E35" s="68" t="s">
        <v>102</v>
      </c>
      <c r="F35" s="64" t="s">
        <v>55</v>
      </c>
      <c r="G35" s="50">
        <v>1</v>
      </c>
      <c r="H35" s="27">
        <f t="shared" si="0"/>
        <v>1.1723329425556857E-3</v>
      </c>
    </row>
    <row r="36" spans="5:8" x14ac:dyDescent="0.4">
      <c r="E36" s="68" t="s">
        <v>103</v>
      </c>
      <c r="F36" s="64" t="s">
        <v>56</v>
      </c>
      <c r="G36" s="50">
        <v>0</v>
      </c>
      <c r="H36" s="27">
        <f t="shared" si="0"/>
        <v>0</v>
      </c>
    </row>
    <row r="37" spans="5:8" x14ac:dyDescent="0.4">
      <c r="E37" s="68" t="s">
        <v>104</v>
      </c>
      <c r="F37" s="64" t="s">
        <v>57</v>
      </c>
      <c r="G37" s="50">
        <v>0</v>
      </c>
      <c r="H37" s="27">
        <f t="shared" si="0"/>
        <v>0</v>
      </c>
    </row>
    <row r="38" spans="5:8" x14ac:dyDescent="0.4">
      <c r="E38" s="68" t="s">
        <v>105</v>
      </c>
      <c r="F38" s="64" t="s">
        <v>58</v>
      </c>
      <c r="G38" s="50">
        <v>0</v>
      </c>
      <c r="H38" s="27">
        <f t="shared" si="0"/>
        <v>0</v>
      </c>
    </row>
    <row r="39" spans="5:8" x14ac:dyDescent="0.4">
      <c r="E39" s="68" t="s">
        <v>106</v>
      </c>
      <c r="F39" s="64" t="s">
        <v>59</v>
      </c>
      <c r="G39" s="50">
        <v>0</v>
      </c>
      <c r="H39" s="27">
        <f t="shared" si="0"/>
        <v>0</v>
      </c>
    </row>
    <row r="40" spans="5:8" x14ac:dyDescent="0.4">
      <c r="E40" s="68" t="s">
        <v>107</v>
      </c>
      <c r="F40" s="64" t="s">
        <v>60</v>
      </c>
      <c r="G40" s="50">
        <v>0</v>
      </c>
      <c r="H40" s="27">
        <f t="shared" si="0"/>
        <v>0</v>
      </c>
    </row>
    <row r="41" spans="5:8" x14ac:dyDescent="0.4">
      <c r="E41" s="68" t="s">
        <v>108</v>
      </c>
      <c r="F41" s="64" t="s">
        <v>61</v>
      </c>
      <c r="G41" s="50">
        <v>0</v>
      </c>
      <c r="H41" s="27">
        <f t="shared" si="0"/>
        <v>0</v>
      </c>
    </row>
    <row r="42" spans="5:8" x14ac:dyDescent="0.4">
      <c r="E42" s="68" t="s">
        <v>109</v>
      </c>
      <c r="F42" s="64" t="s">
        <v>62</v>
      </c>
      <c r="G42" s="50">
        <v>0</v>
      </c>
      <c r="H42" s="27">
        <f t="shared" si="0"/>
        <v>0</v>
      </c>
    </row>
    <row r="43" spans="5:8" x14ac:dyDescent="0.4">
      <c r="E43" s="68" t="s">
        <v>110</v>
      </c>
      <c r="F43" s="64" t="s">
        <v>63</v>
      </c>
      <c r="G43" s="50">
        <v>0</v>
      </c>
      <c r="H43" s="27">
        <f t="shared" si="0"/>
        <v>0</v>
      </c>
    </row>
    <row r="44" spans="5:8" x14ac:dyDescent="0.4">
      <c r="E44" s="68" t="s">
        <v>111</v>
      </c>
      <c r="F44" s="64" t="s">
        <v>64</v>
      </c>
      <c r="G44" s="50">
        <v>0</v>
      </c>
      <c r="H44" s="27">
        <f t="shared" si="0"/>
        <v>0</v>
      </c>
    </row>
    <row r="45" spans="5:8" x14ac:dyDescent="0.4">
      <c r="E45" s="68" t="s">
        <v>112</v>
      </c>
      <c r="F45" s="64" t="s">
        <v>119</v>
      </c>
      <c r="G45" s="50">
        <v>0</v>
      </c>
      <c r="H45" s="27">
        <f t="shared" si="0"/>
        <v>0</v>
      </c>
    </row>
    <row r="46" spans="5:8" x14ac:dyDescent="0.4">
      <c r="E46" s="68" t="s">
        <v>113</v>
      </c>
      <c r="F46" s="64" t="s">
        <v>120</v>
      </c>
      <c r="G46" s="50">
        <v>1</v>
      </c>
      <c r="H46" s="27">
        <f t="shared" si="0"/>
        <v>1.1723329425556857E-3</v>
      </c>
    </row>
    <row r="47" spans="5:8" x14ac:dyDescent="0.4">
      <c r="E47" s="68" t="s">
        <v>114</v>
      </c>
      <c r="F47" s="64" t="s">
        <v>121</v>
      </c>
      <c r="G47" s="50">
        <v>0</v>
      </c>
      <c r="H47" s="27">
        <f t="shared" si="0"/>
        <v>0</v>
      </c>
    </row>
    <row r="48" spans="5:8" x14ac:dyDescent="0.4">
      <c r="E48" s="68" t="s">
        <v>115</v>
      </c>
      <c r="F48" s="64" t="s">
        <v>65</v>
      </c>
      <c r="G48" s="50">
        <v>0</v>
      </c>
      <c r="H48" s="27">
        <f t="shared" si="0"/>
        <v>0</v>
      </c>
    </row>
    <row r="49" spans="5:8" x14ac:dyDescent="0.4">
      <c r="E49" s="68" t="s">
        <v>116</v>
      </c>
      <c r="F49" s="64" t="s">
        <v>66</v>
      </c>
      <c r="G49" s="50">
        <v>0</v>
      </c>
      <c r="H49" s="27">
        <f t="shared" si="0"/>
        <v>0</v>
      </c>
    </row>
    <row r="50" spans="5:8" x14ac:dyDescent="0.4">
      <c r="E50" s="68" t="s">
        <v>117</v>
      </c>
      <c r="F50" s="64" t="s">
        <v>67</v>
      </c>
      <c r="G50" s="50">
        <v>0</v>
      </c>
      <c r="H50" s="27">
        <f t="shared" si="0"/>
        <v>0</v>
      </c>
    </row>
    <row r="51" spans="5:8" x14ac:dyDescent="0.4">
      <c r="E51" s="69" t="s">
        <v>118</v>
      </c>
      <c r="F51" s="65" t="s">
        <v>68</v>
      </c>
      <c r="G51" s="52">
        <v>0</v>
      </c>
      <c r="H51" s="32">
        <f t="shared" si="0"/>
        <v>0</v>
      </c>
    </row>
  </sheetData>
  <mergeCells count="9">
    <mergeCell ref="B24:C24"/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4A71B4-BEC6-4121-853F-89F6FCA681AB}">
  <sheetPr codeName="Sheet6"/>
  <dimension ref="A1:P51"/>
  <sheetViews>
    <sheetView showGridLines="0" zoomScale="120" zoomScaleNormal="120" workbookViewId="0"/>
  </sheetViews>
  <sheetFormatPr defaultColWidth="9"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56" t="s">
        <v>0</v>
      </c>
      <c r="B1" s="89" t="s">
        <v>138</v>
      </c>
      <c r="C1" s="90"/>
      <c r="E1" s="66" t="s">
        <v>193</v>
      </c>
      <c r="F1" s="80" t="s">
        <v>122</v>
      </c>
      <c r="G1" s="79" t="s">
        <v>123</v>
      </c>
      <c r="H1" s="80" t="s">
        <v>124</v>
      </c>
      <c r="J1" s="21" t="s">
        <v>22</v>
      </c>
      <c r="K1" s="22" t="s">
        <v>127</v>
      </c>
      <c r="M1" s="21" t="s">
        <v>187</v>
      </c>
      <c r="N1" s="80" t="s">
        <v>189</v>
      </c>
      <c r="O1" s="40" t="s">
        <v>190</v>
      </c>
      <c r="P1" s="36" t="s">
        <v>123</v>
      </c>
    </row>
    <row r="2" spans="1:16" x14ac:dyDescent="0.4">
      <c r="A2" s="57" t="s">
        <v>9</v>
      </c>
      <c r="B2" s="83">
        <v>4</v>
      </c>
      <c r="C2" s="84"/>
      <c r="E2" s="67" t="s">
        <v>69</v>
      </c>
      <c r="F2" s="63" t="s">
        <v>23</v>
      </c>
      <c r="G2" s="49">
        <v>0</v>
      </c>
      <c r="H2" s="24">
        <f>IF(B$25=0,0,G2/B$25)</f>
        <v>0</v>
      </c>
      <c r="J2" s="23">
        <v>0</v>
      </c>
      <c r="K2" s="25">
        <v>0</v>
      </c>
      <c r="M2" s="23" t="s">
        <v>181</v>
      </c>
      <c r="N2" s="44">
        <f t="shared" ref="N2:N7" si="0">IF(P2=0,0,O2/P2)</f>
        <v>-9250</v>
      </c>
      <c r="O2" s="41">
        <v>-37000</v>
      </c>
      <c r="P2" s="39">
        <v>4</v>
      </c>
    </row>
    <row r="3" spans="1:16" x14ac:dyDescent="0.4">
      <c r="A3" s="58" t="s">
        <v>8</v>
      </c>
      <c r="B3" s="91">
        <v>25</v>
      </c>
      <c r="C3" s="92"/>
      <c r="E3" s="68" t="s">
        <v>70</v>
      </c>
      <c r="F3" s="64" t="s">
        <v>24</v>
      </c>
      <c r="G3" s="50">
        <v>0</v>
      </c>
      <c r="H3" s="27">
        <f>IF(B$25=0,0,G3/B$25)</f>
        <v>0</v>
      </c>
      <c r="J3" s="26">
        <v>1</v>
      </c>
      <c r="K3" s="28">
        <v>-21</v>
      </c>
      <c r="M3" s="26" t="s">
        <v>182</v>
      </c>
      <c r="N3" s="45">
        <f t="shared" si="0"/>
        <v>-7225</v>
      </c>
      <c r="O3" s="42">
        <v>-28900</v>
      </c>
      <c r="P3" s="37">
        <v>4</v>
      </c>
    </row>
    <row r="4" spans="1:16" x14ac:dyDescent="0.4">
      <c r="A4" s="58" t="s">
        <v>6</v>
      </c>
      <c r="B4" s="93">
        <v>-128.1</v>
      </c>
      <c r="C4" s="94"/>
      <c r="E4" s="68" t="s">
        <v>71</v>
      </c>
      <c r="F4" s="64" t="s">
        <v>25</v>
      </c>
      <c r="G4" s="50">
        <v>0</v>
      </c>
      <c r="H4" s="27">
        <f>IF(B$25=0,0,G4/B$25)</f>
        <v>0</v>
      </c>
      <c r="J4" s="26">
        <v>2</v>
      </c>
      <c r="K4" s="28">
        <v>-58.4</v>
      </c>
      <c r="M4" s="26" t="s">
        <v>183</v>
      </c>
      <c r="N4" s="45">
        <f t="shared" si="0"/>
        <v>-10875</v>
      </c>
      <c r="O4" s="42">
        <v>-43500</v>
      </c>
      <c r="P4" s="37">
        <v>4</v>
      </c>
    </row>
    <row r="5" spans="1:16" x14ac:dyDescent="0.4">
      <c r="A5" s="58" t="s">
        <v>7</v>
      </c>
      <c r="B5" s="93">
        <f>IF(B$2=0,0,B$4/B$2)</f>
        <v>-32.024999999999999</v>
      </c>
      <c r="C5" s="94"/>
      <c r="E5" s="68" t="s">
        <v>72</v>
      </c>
      <c r="F5" s="64" t="s">
        <v>26</v>
      </c>
      <c r="G5" s="50">
        <v>0</v>
      </c>
      <c r="H5" s="27">
        <f>IF(B$25=0,0,G5/B$25)</f>
        <v>0</v>
      </c>
      <c r="J5" s="26">
        <v>3</v>
      </c>
      <c r="K5" s="28">
        <v>-82.6</v>
      </c>
      <c r="M5" s="26" t="s">
        <v>184</v>
      </c>
      <c r="N5" s="45">
        <f t="shared" si="0"/>
        <v>-2850</v>
      </c>
      <c r="O5" s="42">
        <v>-5700</v>
      </c>
      <c r="P5" s="37">
        <v>2</v>
      </c>
    </row>
    <row r="6" spans="1:16" x14ac:dyDescent="0.4">
      <c r="A6" s="58" t="s">
        <v>1</v>
      </c>
      <c r="B6" s="95">
        <f>IF(B$2=0,0,(B$7*1+B$8*2+B$9*3)/B$2)</f>
        <v>3</v>
      </c>
      <c r="C6" s="96"/>
      <c r="E6" s="68" t="s">
        <v>73</v>
      </c>
      <c r="F6" s="64" t="s">
        <v>27</v>
      </c>
      <c r="G6" s="50">
        <v>0</v>
      </c>
      <c r="H6" s="27">
        <f>IF(B$25=0,0,G6/B$25)</f>
        <v>0</v>
      </c>
      <c r="J6" s="26">
        <v>4</v>
      </c>
      <c r="K6" s="28">
        <v>-128.1</v>
      </c>
      <c r="M6" s="26" t="s">
        <v>185</v>
      </c>
      <c r="N6" s="45">
        <f t="shared" si="0"/>
        <v>-6000</v>
      </c>
      <c r="O6" s="42">
        <v>-12000</v>
      </c>
      <c r="P6" s="37">
        <v>2</v>
      </c>
    </row>
    <row r="7" spans="1:16" x14ac:dyDescent="0.4">
      <c r="A7" s="58" t="s">
        <v>2</v>
      </c>
      <c r="B7" s="50">
        <v>0</v>
      </c>
      <c r="C7" s="27">
        <f>IF(B$2=0,0,B7/B$2)</f>
        <v>0</v>
      </c>
      <c r="E7" s="68" t="s">
        <v>74</v>
      </c>
      <c r="F7" s="64" t="s">
        <v>12</v>
      </c>
      <c r="G7" s="50">
        <v>0</v>
      </c>
      <c r="H7" s="27">
        <f>IF(B$25=0,0,G7/B$25)</f>
        <v>0</v>
      </c>
      <c r="M7" s="31" t="s">
        <v>186</v>
      </c>
      <c r="N7" s="46">
        <f t="shared" si="0"/>
        <v>-5000</v>
      </c>
      <c r="O7" s="43">
        <v>-5000</v>
      </c>
      <c r="P7" s="38">
        <v>1</v>
      </c>
    </row>
    <row r="8" spans="1:16" x14ac:dyDescent="0.4">
      <c r="A8" s="58" t="s">
        <v>3</v>
      </c>
      <c r="B8" s="50">
        <v>0</v>
      </c>
      <c r="C8" s="27">
        <f t="shared" ref="C8:C9" si="1">IF(B$2=0,0,B8/B$2)</f>
        <v>0</v>
      </c>
      <c r="E8" s="68" t="s">
        <v>75</v>
      </c>
      <c r="F8" s="64" t="s">
        <v>28</v>
      </c>
      <c r="G8" s="50">
        <v>0</v>
      </c>
      <c r="H8" s="27">
        <f>IF(B$25=0,0,G8/B$25)</f>
        <v>0</v>
      </c>
    </row>
    <row r="9" spans="1:16" x14ac:dyDescent="0.4">
      <c r="A9" s="59" t="s">
        <v>4</v>
      </c>
      <c r="B9" s="51">
        <v>4</v>
      </c>
      <c r="C9" s="29">
        <f t="shared" si="1"/>
        <v>1</v>
      </c>
      <c r="E9" s="68" t="s">
        <v>76</v>
      </c>
      <c r="F9" s="64" t="s">
        <v>29</v>
      </c>
      <c r="G9" s="50">
        <v>0</v>
      </c>
      <c r="H9" s="27">
        <f>IF(B$25=0,0,G9/B$25)</f>
        <v>0</v>
      </c>
    </row>
    <row r="10" spans="1:16" x14ac:dyDescent="0.4">
      <c r="A10" s="59" t="s">
        <v>21</v>
      </c>
      <c r="B10" s="51">
        <v>2</v>
      </c>
      <c r="C10" s="29">
        <f>IF(B$2=0,0,B10/B$2)</f>
        <v>0.5</v>
      </c>
      <c r="E10" s="68" t="s">
        <v>77</v>
      </c>
      <c r="F10" s="64" t="s">
        <v>30</v>
      </c>
      <c r="G10" s="50">
        <v>0</v>
      </c>
      <c r="H10" s="27">
        <f>IF(B$25=0,0,G10/B$25)</f>
        <v>0</v>
      </c>
    </row>
    <row r="11" spans="1:16" x14ac:dyDescent="0.4">
      <c r="A11" s="60" t="s">
        <v>191</v>
      </c>
      <c r="B11" s="52">
        <v>0</v>
      </c>
      <c r="C11" s="32">
        <f>IF(B$2=0,0,B11/B$2)</f>
        <v>0</v>
      </c>
      <c r="E11" s="68" t="s">
        <v>78</v>
      </c>
      <c r="F11" s="64" t="s">
        <v>31</v>
      </c>
      <c r="G11" s="50">
        <v>0</v>
      </c>
      <c r="H11" s="27">
        <f>IF(B$25=0,0,G11/B$25)</f>
        <v>0</v>
      </c>
    </row>
    <row r="12" spans="1:16" x14ac:dyDescent="0.4">
      <c r="A12" s="61" t="s">
        <v>130</v>
      </c>
      <c r="B12" s="53">
        <v>0</v>
      </c>
      <c r="C12" s="35">
        <f>IF(B$24=0,0,B12/B$24)</f>
        <v>0</v>
      </c>
      <c r="E12" s="68" t="s">
        <v>79</v>
      </c>
      <c r="F12" s="64" t="s">
        <v>32</v>
      </c>
      <c r="G12" s="50">
        <v>0</v>
      </c>
      <c r="H12" s="27">
        <f>IF(B$25=0,0,G12/B$25)</f>
        <v>0</v>
      </c>
    </row>
    <row r="13" spans="1:16" x14ac:dyDescent="0.4">
      <c r="A13" s="58" t="s">
        <v>125</v>
      </c>
      <c r="B13" s="50">
        <v>0</v>
      </c>
      <c r="C13" s="27">
        <f>IF(B$24=0,0,B13/B$24)</f>
        <v>0</v>
      </c>
      <c r="E13" s="68" t="s">
        <v>80</v>
      </c>
      <c r="F13" s="64" t="s">
        <v>33</v>
      </c>
      <c r="G13" s="50">
        <v>0</v>
      </c>
      <c r="H13" s="27">
        <f>IF(B$25=0,0,G13/B$25)</f>
        <v>0</v>
      </c>
    </row>
    <row r="14" spans="1:16" x14ac:dyDescent="0.4">
      <c r="A14" s="57" t="s">
        <v>132</v>
      </c>
      <c r="B14" s="49">
        <v>0</v>
      </c>
      <c r="C14" s="24">
        <f>IF(B$12=0,0,B14/B$12)</f>
        <v>0</v>
      </c>
      <c r="E14" s="68" t="s">
        <v>81</v>
      </c>
      <c r="F14" s="64" t="s">
        <v>34</v>
      </c>
      <c r="G14" s="50">
        <v>0</v>
      </c>
      <c r="H14" s="27">
        <f>IF(B$25=0,0,G14/B$25)</f>
        <v>0</v>
      </c>
    </row>
    <row r="15" spans="1:16" x14ac:dyDescent="0.4">
      <c r="A15" s="57" t="s">
        <v>133</v>
      </c>
      <c r="B15" s="49">
        <v>0</v>
      </c>
      <c r="C15" s="24">
        <f>IF(B$13=0,0,B15/B$13)</f>
        <v>0</v>
      </c>
      <c r="E15" s="68" t="s">
        <v>82</v>
      </c>
      <c r="F15" s="64" t="s">
        <v>35</v>
      </c>
      <c r="G15" s="50">
        <v>0</v>
      </c>
      <c r="H15" s="27">
        <f>IF(B$25=0,0,G15/B$25)</f>
        <v>0</v>
      </c>
    </row>
    <row r="16" spans="1:16" x14ac:dyDescent="0.4">
      <c r="A16" s="57" t="s">
        <v>10</v>
      </c>
      <c r="B16" s="49">
        <f>B18+B17</f>
        <v>1</v>
      </c>
      <c r="C16" s="24">
        <f>IF(B$3=0,0,B16/B$3)</f>
        <v>0.04</v>
      </c>
      <c r="E16" s="68" t="s">
        <v>83</v>
      </c>
      <c r="F16" s="64" t="s">
        <v>36</v>
      </c>
      <c r="G16" s="50">
        <v>0</v>
      </c>
      <c r="H16" s="27">
        <f>IF(B$25=0,0,G16/B$25)</f>
        <v>0</v>
      </c>
    </row>
    <row r="17" spans="1:8" x14ac:dyDescent="0.4">
      <c r="A17" s="58" t="s">
        <v>12</v>
      </c>
      <c r="B17" s="50">
        <v>1</v>
      </c>
      <c r="C17" s="27">
        <f>IF(B$16=0,0,B17/B$16)</f>
        <v>1</v>
      </c>
      <c r="E17" s="68" t="s">
        <v>84</v>
      </c>
      <c r="F17" s="64" t="s">
        <v>37</v>
      </c>
      <c r="G17" s="50">
        <v>0</v>
      </c>
      <c r="H17" s="27">
        <f>IF(B$25=0,0,G17/B$25)</f>
        <v>0</v>
      </c>
    </row>
    <row r="18" spans="1:8" x14ac:dyDescent="0.4">
      <c r="A18" s="58" t="s">
        <v>11</v>
      </c>
      <c r="B18" s="50">
        <v>0</v>
      </c>
      <c r="C18" s="27">
        <f>IF(B$16=0,0,B18/B$16)</f>
        <v>0</v>
      </c>
      <c r="E18" s="68" t="s">
        <v>85</v>
      </c>
      <c r="F18" s="64" t="s">
        <v>38</v>
      </c>
      <c r="G18" s="50">
        <v>0</v>
      </c>
      <c r="H18" s="27">
        <f>IF(B$25=0,0,G18/B$25)</f>
        <v>0</v>
      </c>
    </row>
    <row r="19" spans="1:8" x14ac:dyDescent="0.4">
      <c r="A19" s="58" t="s">
        <v>13</v>
      </c>
      <c r="B19" s="50">
        <v>10</v>
      </c>
      <c r="C19" s="27">
        <f>IF(B$3=0,0,B19/B$3)</f>
        <v>0.4</v>
      </c>
      <c r="E19" s="68" t="s">
        <v>86</v>
      </c>
      <c r="F19" s="64" t="s">
        <v>39</v>
      </c>
      <c r="G19" s="50">
        <v>0</v>
      </c>
      <c r="H19" s="27">
        <f>IF(B$25=0,0,G19/B$25)</f>
        <v>0</v>
      </c>
    </row>
    <row r="20" spans="1:8" x14ac:dyDescent="0.4">
      <c r="A20" s="58" t="s">
        <v>5</v>
      </c>
      <c r="B20" s="54">
        <f>IF(B$16=0,0,C20/B$16)</f>
        <v>7800</v>
      </c>
      <c r="C20" s="30">
        <v>7800</v>
      </c>
      <c r="E20" s="68" t="s">
        <v>87</v>
      </c>
      <c r="F20" s="64" t="s">
        <v>40</v>
      </c>
      <c r="G20" s="50">
        <v>0</v>
      </c>
      <c r="H20" s="27">
        <f>IF(B$25=0,0,G20/B$25)</f>
        <v>0</v>
      </c>
    </row>
    <row r="21" spans="1:8" x14ac:dyDescent="0.4">
      <c r="A21" s="60" t="s">
        <v>14</v>
      </c>
      <c r="B21" s="55">
        <f>IF(B$19=0,0,C21/B$19)</f>
        <v>-8240</v>
      </c>
      <c r="C21" s="48">
        <v>-82400</v>
      </c>
      <c r="E21" s="68" t="s">
        <v>88</v>
      </c>
      <c r="F21" s="64" t="s">
        <v>41</v>
      </c>
      <c r="G21" s="50">
        <v>0</v>
      </c>
      <c r="H21" s="27">
        <f>IF(B$25=0,0,G21/B$25)</f>
        <v>0</v>
      </c>
    </row>
    <row r="22" spans="1:8" x14ac:dyDescent="0.4">
      <c r="A22" s="57" t="s">
        <v>178</v>
      </c>
      <c r="B22" s="49">
        <v>0</v>
      </c>
      <c r="C22" s="24">
        <f>IF(B$3=0,0,B22/B$3)</f>
        <v>0</v>
      </c>
      <c r="E22" s="68" t="s">
        <v>89</v>
      </c>
      <c r="F22" s="64" t="s">
        <v>42</v>
      </c>
      <c r="G22" s="50">
        <v>0</v>
      </c>
      <c r="H22" s="27">
        <f>IF(B$25=0,0,G22/B$25)</f>
        <v>0</v>
      </c>
    </row>
    <row r="23" spans="1:8" x14ac:dyDescent="0.4">
      <c r="A23" s="60" t="s">
        <v>179</v>
      </c>
      <c r="B23" s="52">
        <v>0</v>
      </c>
      <c r="C23" s="32">
        <f>IF(B$22=0,0,B23/B$22)</f>
        <v>0</v>
      </c>
      <c r="E23" s="68" t="s">
        <v>90</v>
      </c>
      <c r="F23" s="64" t="s">
        <v>43</v>
      </c>
      <c r="G23" s="50">
        <v>0</v>
      </c>
      <c r="H23" s="27">
        <f>IF(B$25=0,0,G23/B$25)</f>
        <v>0</v>
      </c>
    </row>
    <row r="24" spans="1:8" x14ac:dyDescent="0.4">
      <c r="A24" s="57" t="s">
        <v>128</v>
      </c>
      <c r="B24" s="83">
        <v>0</v>
      </c>
      <c r="C24" s="84"/>
      <c r="E24" s="68" t="s">
        <v>91</v>
      </c>
      <c r="F24" s="64" t="s">
        <v>44</v>
      </c>
      <c r="G24" s="50">
        <v>0</v>
      </c>
      <c r="H24" s="27">
        <f>IF(B$25=0,0,G24/B$25)</f>
        <v>0</v>
      </c>
    </row>
    <row r="25" spans="1:8" x14ac:dyDescent="0.4">
      <c r="A25" s="60" t="s">
        <v>129</v>
      </c>
      <c r="B25" s="85">
        <v>0</v>
      </c>
      <c r="C25" s="86"/>
      <c r="E25" s="68" t="s">
        <v>92</v>
      </c>
      <c r="F25" s="64" t="s">
        <v>45</v>
      </c>
      <c r="G25" s="50">
        <v>0</v>
      </c>
      <c r="H25" s="27">
        <f>IF(B$25=0,0,G25/B$25)</f>
        <v>0</v>
      </c>
    </row>
    <row r="26" spans="1:8" x14ac:dyDescent="0.4">
      <c r="A26" s="75" t="s">
        <v>196</v>
      </c>
      <c r="B26" s="87">
        <v>0</v>
      </c>
      <c r="C26" s="88"/>
      <c r="E26" s="68" t="s">
        <v>93</v>
      </c>
      <c r="F26" s="64" t="s">
        <v>46</v>
      </c>
      <c r="G26" s="50">
        <v>0</v>
      </c>
      <c r="H26" s="27">
        <f>IF(B$25=0,0,G26/B$25)</f>
        <v>0</v>
      </c>
    </row>
    <row r="27" spans="1:8" x14ac:dyDescent="0.4">
      <c r="A27" s="60" t="s">
        <v>198</v>
      </c>
      <c r="B27" s="76">
        <v>0</v>
      </c>
      <c r="C27" s="32">
        <f>IF(B$3=0,0,B27/B$3)</f>
        <v>0</v>
      </c>
      <c r="E27" s="68" t="s">
        <v>94</v>
      </c>
      <c r="F27" s="64" t="s">
        <v>47</v>
      </c>
      <c r="G27" s="50">
        <v>0</v>
      </c>
      <c r="H27" s="27">
        <f>IF(B$25=0,0,G27/B$25)</f>
        <v>0</v>
      </c>
    </row>
    <row r="28" spans="1:8" x14ac:dyDescent="0.4">
      <c r="E28" s="68" t="s">
        <v>95</v>
      </c>
      <c r="F28" s="64" t="s">
        <v>48</v>
      </c>
      <c r="G28" s="50">
        <v>0</v>
      </c>
      <c r="H28" s="27">
        <f>IF(B$25=0,0,G28/B$25)</f>
        <v>0</v>
      </c>
    </row>
    <row r="29" spans="1:8" x14ac:dyDescent="0.4">
      <c r="E29" s="68" t="s">
        <v>96</v>
      </c>
      <c r="F29" s="64" t="s">
        <v>49</v>
      </c>
      <c r="G29" s="50">
        <v>0</v>
      </c>
      <c r="H29" s="27">
        <f>IF(B$25=0,0,G29/B$25)</f>
        <v>0</v>
      </c>
    </row>
    <row r="30" spans="1:8" x14ac:dyDescent="0.4">
      <c r="E30" s="68" t="s">
        <v>97</v>
      </c>
      <c r="F30" s="64" t="s">
        <v>50</v>
      </c>
      <c r="G30" s="50">
        <v>0</v>
      </c>
      <c r="H30" s="27">
        <f>IF(B$25=0,0,G30/B$25)</f>
        <v>0</v>
      </c>
    </row>
    <row r="31" spans="1:8" x14ac:dyDescent="0.4">
      <c r="E31" s="68" t="s">
        <v>98</v>
      </c>
      <c r="F31" s="64" t="s">
        <v>51</v>
      </c>
      <c r="G31" s="50">
        <v>0</v>
      </c>
      <c r="H31" s="27">
        <f>IF(B$25=0,0,G31/B$25)</f>
        <v>0</v>
      </c>
    </row>
    <row r="32" spans="1:8" x14ac:dyDescent="0.4">
      <c r="E32" s="68" t="s">
        <v>99</v>
      </c>
      <c r="F32" s="64" t="s">
        <v>52</v>
      </c>
      <c r="G32" s="50">
        <v>0</v>
      </c>
      <c r="H32" s="27">
        <f>IF(B$25=0,0,G32/B$25)</f>
        <v>0</v>
      </c>
    </row>
    <row r="33" spans="5:8" x14ac:dyDescent="0.4">
      <c r="E33" s="68" t="s">
        <v>100</v>
      </c>
      <c r="F33" s="64" t="s">
        <v>53</v>
      </c>
      <c r="G33" s="50">
        <v>0</v>
      </c>
      <c r="H33" s="27">
        <f>IF(B$25=0,0,G33/B$25)</f>
        <v>0</v>
      </c>
    </row>
    <row r="34" spans="5:8" x14ac:dyDescent="0.4">
      <c r="E34" s="68" t="s">
        <v>101</v>
      </c>
      <c r="F34" s="64" t="s">
        <v>54</v>
      </c>
      <c r="G34" s="50">
        <v>0</v>
      </c>
      <c r="H34" s="27">
        <f>IF(B$25=0,0,G34/B$25)</f>
        <v>0</v>
      </c>
    </row>
    <row r="35" spans="5:8" x14ac:dyDescent="0.4">
      <c r="E35" s="68" t="s">
        <v>102</v>
      </c>
      <c r="F35" s="64" t="s">
        <v>55</v>
      </c>
      <c r="G35" s="50">
        <v>0</v>
      </c>
      <c r="H35" s="27">
        <f>IF(B$25=0,0,G35/B$25)</f>
        <v>0</v>
      </c>
    </row>
    <row r="36" spans="5:8" x14ac:dyDescent="0.4">
      <c r="E36" s="68" t="s">
        <v>103</v>
      </c>
      <c r="F36" s="64" t="s">
        <v>56</v>
      </c>
      <c r="G36" s="50">
        <v>0</v>
      </c>
      <c r="H36" s="27">
        <f>IF(B$25=0,0,G36/B$25)</f>
        <v>0</v>
      </c>
    </row>
    <row r="37" spans="5:8" x14ac:dyDescent="0.4">
      <c r="E37" s="68" t="s">
        <v>104</v>
      </c>
      <c r="F37" s="64" t="s">
        <v>57</v>
      </c>
      <c r="G37" s="50">
        <v>0</v>
      </c>
      <c r="H37" s="27">
        <f>IF(B$25=0,0,G37/B$25)</f>
        <v>0</v>
      </c>
    </row>
    <row r="38" spans="5:8" x14ac:dyDescent="0.4">
      <c r="E38" s="68" t="s">
        <v>105</v>
      </c>
      <c r="F38" s="64" t="s">
        <v>58</v>
      </c>
      <c r="G38" s="50">
        <v>0</v>
      </c>
      <c r="H38" s="27">
        <f>IF(B$25=0,0,G38/B$25)</f>
        <v>0</v>
      </c>
    </row>
    <row r="39" spans="5:8" x14ac:dyDescent="0.4">
      <c r="E39" s="68" t="s">
        <v>106</v>
      </c>
      <c r="F39" s="64" t="s">
        <v>59</v>
      </c>
      <c r="G39" s="50">
        <v>0</v>
      </c>
      <c r="H39" s="27">
        <f>IF(B$25=0,0,G39/B$25)</f>
        <v>0</v>
      </c>
    </row>
    <row r="40" spans="5:8" x14ac:dyDescent="0.4">
      <c r="E40" s="68" t="s">
        <v>107</v>
      </c>
      <c r="F40" s="64" t="s">
        <v>60</v>
      </c>
      <c r="G40" s="50">
        <v>0</v>
      </c>
      <c r="H40" s="27">
        <f>IF(B$25=0,0,G40/B$25)</f>
        <v>0</v>
      </c>
    </row>
    <row r="41" spans="5:8" x14ac:dyDescent="0.4">
      <c r="E41" s="68" t="s">
        <v>108</v>
      </c>
      <c r="F41" s="64" t="s">
        <v>61</v>
      </c>
      <c r="G41" s="50">
        <v>0</v>
      </c>
      <c r="H41" s="27">
        <f>IF(B$25=0,0,G41/B$25)</f>
        <v>0</v>
      </c>
    </row>
    <row r="42" spans="5:8" x14ac:dyDescent="0.4">
      <c r="E42" s="68" t="s">
        <v>109</v>
      </c>
      <c r="F42" s="64" t="s">
        <v>62</v>
      </c>
      <c r="G42" s="50">
        <v>0</v>
      </c>
      <c r="H42" s="27">
        <f>IF(B$25=0,0,G42/B$25)</f>
        <v>0</v>
      </c>
    </row>
    <row r="43" spans="5:8" x14ac:dyDescent="0.4">
      <c r="E43" s="68" t="s">
        <v>110</v>
      </c>
      <c r="F43" s="64" t="s">
        <v>63</v>
      </c>
      <c r="G43" s="50">
        <v>0</v>
      </c>
      <c r="H43" s="27">
        <f>IF(B$25=0,0,G43/B$25)</f>
        <v>0</v>
      </c>
    </row>
    <row r="44" spans="5:8" x14ac:dyDescent="0.4">
      <c r="E44" s="68" t="s">
        <v>111</v>
      </c>
      <c r="F44" s="64" t="s">
        <v>64</v>
      </c>
      <c r="G44" s="50">
        <v>0</v>
      </c>
      <c r="H44" s="27">
        <f>IF(B$25=0,0,G44/B$25)</f>
        <v>0</v>
      </c>
    </row>
    <row r="45" spans="5:8" x14ac:dyDescent="0.4">
      <c r="E45" s="68" t="s">
        <v>112</v>
      </c>
      <c r="F45" s="64" t="s">
        <v>119</v>
      </c>
      <c r="G45" s="50">
        <v>0</v>
      </c>
      <c r="H45" s="27">
        <f>IF(B$25=0,0,G45/B$25)</f>
        <v>0</v>
      </c>
    </row>
    <row r="46" spans="5:8" x14ac:dyDescent="0.4">
      <c r="E46" s="68" t="s">
        <v>113</v>
      </c>
      <c r="F46" s="64" t="s">
        <v>120</v>
      </c>
      <c r="G46" s="50">
        <v>0</v>
      </c>
      <c r="H46" s="27">
        <f>IF(B$25=0,0,G46/B$25)</f>
        <v>0</v>
      </c>
    </row>
    <row r="47" spans="5:8" x14ac:dyDescent="0.4">
      <c r="E47" s="68" t="s">
        <v>114</v>
      </c>
      <c r="F47" s="64" t="s">
        <v>121</v>
      </c>
      <c r="G47" s="50">
        <v>0</v>
      </c>
      <c r="H47" s="27">
        <f>IF(B$25=0,0,G47/B$25)</f>
        <v>0</v>
      </c>
    </row>
    <row r="48" spans="5:8" x14ac:dyDescent="0.4">
      <c r="E48" s="68" t="s">
        <v>115</v>
      </c>
      <c r="F48" s="64" t="s">
        <v>65</v>
      </c>
      <c r="G48" s="50">
        <v>0</v>
      </c>
      <c r="H48" s="27">
        <f>IF(B$25=0,0,G48/B$25)</f>
        <v>0</v>
      </c>
    </row>
    <row r="49" spans="5:8" x14ac:dyDescent="0.4">
      <c r="E49" s="68" t="s">
        <v>116</v>
      </c>
      <c r="F49" s="64" t="s">
        <v>66</v>
      </c>
      <c r="G49" s="50">
        <v>0</v>
      </c>
      <c r="H49" s="27">
        <f>IF(B$25=0,0,G49/B$25)</f>
        <v>0</v>
      </c>
    </row>
    <row r="50" spans="5:8" x14ac:dyDescent="0.4">
      <c r="E50" s="68" t="s">
        <v>117</v>
      </c>
      <c r="F50" s="64" t="s">
        <v>67</v>
      </c>
      <c r="G50" s="50">
        <v>0</v>
      </c>
      <c r="H50" s="27">
        <f>IF(B$25=0,0,G50/B$25)</f>
        <v>0</v>
      </c>
    </row>
    <row r="51" spans="5:8" x14ac:dyDescent="0.4">
      <c r="E51" s="69" t="s">
        <v>118</v>
      </c>
      <c r="F51" s="65" t="s">
        <v>68</v>
      </c>
      <c r="G51" s="52">
        <v>0</v>
      </c>
      <c r="H51" s="32">
        <f>IF(B$25=0,0,G51/B$25)</f>
        <v>0</v>
      </c>
    </row>
  </sheetData>
  <sortState ref="E2:H51">
    <sortCondition descending="1" ref="H1"/>
  </sortState>
  <mergeCells count="9">
    <mergeCell ref="B24:C24"/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595816-0582-4D37-A91E-75DCE74C2B0C}">
  <sheetPr codeName="Sheet5"/>
  <dimension ref="A1:P166"/>
  <sheetViews>
    <sheetView showGridLines="0" zoomScale="120" zoomScaleNormal="120" workbookViewId="0"/>
  </sheetViews>
  <sheetFormatPr defaultColWidth="9"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56" t="s">
        <v>0</v>
      </c>
      <c r="B1" s="89" t="s">
        <v>137</v>
      </c>
      <c r="C1" s="90"/>
      <c r="E1" s="66" t="s">
        <v>193</v>
      </c>
      <c r="F1" s="80" t="s">
        <v>122</v>
      </c>
      <c r="G1" s="79" t="s">
        <v>123</v>
      </c>
      <c r="H1" s="80" t="s">
        <v>124</v>
      </c>
      <c r="J1" s="21" t="s">
        <v>22</v>
      </c>
      <c r="K1" s="22" t="s">
        <v>127</v>
      </c>
      <c r="M1" s="21" t="s">
        <v>187</v>
      </c>
      <c r="N1" s="80" t="s">
        <v>189</v>
      </c>
      <c r="O1" s="40" t="s">
        <v>190</v>
      </c>
      <c r="P1" s="36" t="s">
        <v>123</v>
      </c>
    </row>
    <row r="2" spans="1:16" x14ac:dyDescent="0.4">
      <c r="A2" s="57" t="s">
        <v>9</v>
      </c>
      <c r="B2" s="83">
        <v>164</v>
      </c>
      <c r="C2" s="84"/>
      <c r="E2" s="67" t="s">
        <v>73</v>
      </c>
      <c r="F2" s="63" t="s">
        <v>27</v>
      </c>
      <c r="G2" s="49">
        <v>244</v>
      </c>
      <c r="H2" s="24">
        <f>IF(B$25=0,0,G2/B$25)</f>
        <v>0.90370370370370368</v>
      </c>
      <c r="J2" s="23">
        <v>0</v>
      </c>
      <c r="K2" s="25">
        <v>0</v>
      </c>
      <c r="M2" s="23" t="s">
        <v>181</v>
      </c>
      <c r="N2" s="44">
        <f t="shared" ref="N2:N7" si="0">IF(P2=0,0,O2/P2)</f>
        <v>1076.25</v>
      </c>
      <c r="O2" s="41">
        <v>172200</v>
      </c>
      <c r="P2" s="39">
        <v>160</v>
      </c>
    </row>
    <row r="3" spans="1:16" x14ac:dyDescent="0.4">
      <c r="A3" s="58" t="s">
        <v>8</v>
      </c>
      <c r="B3" s="91">
        <v>1225</v>
      </c>
      <c r="C3" s="92"/>
      <c r="E3" s="68" t="s">
        <v>71</v>
      </c>
      <c r="F3" s="64" t="s">
        <v>25</v>
      </c>
      <c r="G3" s="50">
        <v>178</v>
      </c>
      <c r="H3" s="27">
        <f>IF(B$25=0,0,G3/B$25)</f>
        <v>0.65925925925925921</v>
      </c>
      <c r="J3" s="26">
        <v>1</v>
      </c>
      <c r="K3" s="28">
        <v>14</v>
      </c>
      <c r="M3" s="26" t="s">
        <v>182</v>
      </c>
      <c r="N3" s="45">
        <f t="shared" si="0"/>
        <v>1101.9607843137255</v>
      </c>
      <c r="O3" s="42">
        <v>168600</v>
      </c>
      <c r="P3" s="37">
        <v>153</v>
      </c>
    </row>
    <row r="4" spans="1:16" x14ac:dyDescent="0.4">
      <c r="A4" s="58" t="s">
        <v>6</v>
      </c>
      <c r="B4" s="93">
        <v>923.40000000000009</v>
      </c>
      <c r="C4" s="94"/>
      <c r="E4" s="68" t="s">
        <v>78</v>
      </c>
      <c r="F4" s="64" t="s">
        <v>31</v>
      </c>
      <c r="G4" s="50">
        <v>153</v>
      </c>
      <c r="H4" s="27">
        <f>IF(B$25=0,0,G4/B$25)</f>
        <v>0.56666666666666665</v>
      </c>
      <c r="J4" s="26">
        <v>2</v>
      </c>
      <c r="K4" s="28">
        <v>13</v>
      </c>
      <c r="M4" s="26" t="s">
        <v>183</v>
      </c>
      <c r="N4" s="45">
        <f t="shared" si="0"/>
        <v>1217.7304964539007</v>
      </c>
      <c r="O4" s="42">
        <v>171700</v>
      </c>
      <c r="P4" s="37">
        <v>141</v>
      </c>
    </row>
    <row r="5" spans="1:16" x14ac:dyDescent="0.4">
      <c r="A5" s="58" t="s">
        <v>7</v>
      </c>
      <c r="B5" s="93">
        <f>IF(B$2=0,0,B$4/B$2)</f>
        <v>5.6304878048780491</v>
      </c>
      <c r="C5" s="94"/>
      <c r="E5" s="68" t="s">
        <v>69</v>
      </c>
      <c r="F5" s="64" t="s">
        <v>23</v>
      </c>
      <c r="G5" s="50">
        <v>136</v>
      </c>
      <c r="H5" s="27">
        <f>IF(B$25=0,0,G5/B$25)</f>
        <v>0.50370370370370365</v>
      </c>
      <c r="J5" s="26">
        <v>3</v>
      </c>
      <c r="K5" s="28">
        <v>28.1</v>
      </c>
      <c r="M5" s="26" t="s">
        <v>184</v>
      </c>
      <c r="N5" s="45">
        <f t="shared" si="0"/>
        <v>1270.0787401574803</v>
      </c>
      <c r="O5" s="42">
        <v>161300</v>
      </c>
      <c r="P5" s="37">
        <v>127</v>
      </c>
    </row>
    <row r="6" spans="1:16" x14ac:dyDescent="0.4">
      <c r="A6" s="58" t="s">
        <v>1</v>
      </c>
      <c r="B6" s="95">
        <f>IF(B$2=0,0,(B$7*1+B$8*2+B$9*3)/B$2)</f>
        <v>1.7987804878048781</v>
      </c>
      <c r="C6" s="96"/>
      <c r="E6" s="68" t="s">
        <v>74</v>
      </c>
      <c r="F6" s="64" t="s">
        <v>12</v>
      </c>
      <c r="G6" s="50">
        <v>75</v>
      </c>
      <c r="H6" s="27">
        <f>IF(B$25=0,0,G6/B$25)</f>
        <v>0.27777777777777779</v>
      </c>
      <c r="J6" s="26">
        <v>4</v>
      </c>
      <c r="K6" s="28">
        <v>112.30000000000001</v>
      </c>
      <c r="M6" s="26" t="s">
        <v>185</v>
      </c>
      <c r="N6" s="45">
        <f t="shared" si="0"/>
        <v>1126.851851851852</v>
      </c>
      <c r="O6" s="42">
        <v>121700</v>
      </c>
      <c r="P6" s="37">
        <v>108</v>
      </c>
    </row>
    <row r="7" spans="1:16" x14ac:dyDescent="0.4">
      <c r="A7" s="58" t="s">
        <v>2</v>
      </c>
      <c r="B7" s="50">
        <v>70</v>
      </c>
      <c r="C7" s="27">
        <f>IF(B$2=0,0,B7/B$2)</f>
        <v>0.42682926829268292</v>
      </c>
      <c r="E7" s="68" t="s">
        <v>72</v>
      </c>
      <c r="F7" s="64" t="s">
        <v>26</v>
      </c>
      <c r="G7" s="50">
        <v>68</v>
      </c>
      <c r="H7" s="27">
        <f>IF(B$25=0,0,G7/B$25)</f>
        <v>0.25185185185185183</v>
      </c>
      <c r="J7" s="26">
        <v>5</v>
      </c>
      <c r="K7" s="28">
        <v>142.80000000000001</v>
      </c>
      <c r="M7" s="31" t="s">
        <v>186</v>
      </c>
      <c r="N7" s="46">
        <f t="shared" si="0"/>
        <v>1486.9047619047619</v>
      </c>
      <c r="O7" s="43">
        <v>124900</v>
      </c>
      <c r="P7" s="38">
        <v>84</v>
      </c>
    </row>
    <row r="8" spans="1:16" x14ac:dyDescent="0.4">
      <c r="A8" s="58" t="s">
        <v>3</v>
      </c>
      <c r="B8" s="50">
        <v>57</v>
      </c>
      <c r="C8" s="27">
        <f t="shared" ref="C8:C9" si="1">IF(B$2=0,0,B8/B$2)</f>
        <v>0.34756097560975607</v>
      </c>
      <c r="E8" s="68" t="s">
        <v>96</v>
      </c>
      <c r="F8" s="64" t="s">
        <v>49</v>
      </c>
      <c r="G8" s="50">
        <v>50</v>
      </c>
      <c r="H8" s="27">
        <f>IF(B$25=0,0,G8/B$25)</f>
        <v>0.18518518518518517</v>
      </c>
      <c r="J8" s="26">
        <v>6</v>
      </c>
      <c r="K8" s="28">
        <v>95.800000000000011</v>
      </c>
    </row>
    <row r="9" spans="1:16" x14ac:dyDescent="0.4">
      <c r="A9" s="59" t="s">
        <v>4</v>
      </c>
      <c r="B9" s="51">
        <v>37</v>
      </c>
      <c r="C9" s="29">
        <f t="shared" si="1"/>
        <v>0.22560975609756098</v>
      </c>
      <c r="E9" s="68" t="s">
        <v>75</v>
      </c>
      <c r="F9" s="64" t="s">
        <v>28</v>
      </c>
      <c r="G9" s="50">
        <v>44</v>
      </c>
      <c r="H9" s="27">
        <f>IF(B$25=0,0,G9/B$25)</f>
        <v>0.16296296296296298</v>
      </c>
      <c r="J9" s="26">
        <v>7</v>
      </c>
      <c r="K9" s="28">
        <v>90.700000000000017</v>
      </c>
    </row>
    <row r="10" spans="1:16" x14ac:dyDescent="0.4">
      <c r="A10" s="59" t="s">
        <v>21</v>
      </c>
      <c r="B10" s="51">
        <v>18</v>
      </c>
      <c r="C10" s="29">
        <f>IF(B$2=0,0,B10/B$2)</f>
        <v>0.10975609756097561</v>
      </c>
      <c r="E10" s="68" t="s">
        <v>70</v>
      </c>
      <c r="F10" s="64" t="s">
        <v>24</v>
      </c>
      <c r="G10" s="50">
        <v>28</v>
      </c>
      <c r="H10" s="27">
        <f>IF(B$25=0,0,G10/B$25)</f>
        <v>0.1037037037037037</v>
      </c>
      <c r="J10" s="26">
        <v>8</v>
      </c>
      <c r="K10" s="28">
        <v>55.700000000000017</v>
      </c>
    </row>
    <row r="11" spans="1:16" x14ac:dyDescent="0.4">
      <c r="A11" s="60" t="s">
        <v>191</v>
      </c>
      <c r="B11" s="52">
        <v>32</v>
      </c>
      <c r="C11" s="32">
        <f>IF(B$2=0,0,B11/B$2)</f>
        <v>0.1951219512195122</v>
      </c>
      <c r="E11" s="68" t="s">
        <v>76</v>
      </c>
      <c r="F11" s="64" t="s">
        <v>29</v>
      </c>
      <c r="G11" s="50">
        <v>22</v>
      </c>
      <c r="H11" s="27">
        <f>IF(B$25=0,0,G11/B$25)</f>
        <v>8.1481481481481488E-2</v>
      </c>
      <c r="J11" s="26">
        <v>9</v>
      </c>
      <c r="K11" s="28">
        <v>15.700000000000017</v>
      </c>
    </row>
    <row r="12" spans="1:16" x14ac:dyDescent="0.4">
      <c r="A12" s="61" t="s">
        <v>130</v>
      </c>
      <c r="B12" s="53">
        <v>217</v>
      </c>
      <c r="C12" s="35">
        <f>IF(B$24=0,0,B12/B$24)</f>
        <v>0.28477690288713908</v>
      </c>
      <c r="E12" s="68" t="s">
        <v>77</v>
      </c>
      <c r="F12" s="64" t="s">
        <v>30</v>
      </c>
      <c r="G12" s="50">
        <v>17</v>
      </c>
      <c r="H12" s="27">
        <f>IF(B$25=0,0,G12/B$25)</f>
        <v>6.2962962962962957E-2</v>
      </c>
      <c r="J12" s="26">
        <v>10</v>
      </c>
      <c r="K12" s="28">
        <v>-15.799999999999983</v>
      </c>
    </row>
    <row r="13" spans="1:16" x14ac:dyDescent="0.4">
      <c r="A13" s="58" t="s">
        <v>125</v>
      </c>
      <c r="B13" s="50">
        <v>170</v>
      </c>
      <c r="C13" s="27">
        <f>IF(B$24=0,0,B13/B$24)</f>
        <v>0.2230971128608924</v>
      </c>
      <c r="E13" s="68" t="s">
        <v>93</v>
      </c>
      <c r="F13" s="64" t="s">
        <v>46</v>
      </c>
      <c r="G13" s="50">
        <v>14</v>
      </c>
      <c r="H13" s="27">
        <f>IF(B$25=0,0,G13/B$25)</f>
        <v>5.185185185185185E-2</v>
      </c>
      <c r="J13" s="26">
        <v>11</v>
      </c>
      <c r="K13" s="28">
        <v>1.5000000000000178</v>
      </c>
    </row>
    <row r="14" spans="1:16" x14ac:dyDescent="0.4">
      <c r="A14" s="57" t="s">
        <v>132</v>
      </c>
      <c r="B14" s="49">
        <v>139</v>
      </c>
      <c r="C14" s="24">
        <f>IF(B$12=0,0,B14/B$12)</f>
        <v>0.64055299539170507</v>
      </c>
      <c r="E14" s="68" t="s">
        <v>90</v>
      </c>
      <c r="F14" s="64" t="s">
        <v>43</v>
      </c>
      <c r="G14" s="50">
        <v>9</v>
      </c>
      <c r="H14" s="27">
        <f>IF(B$25=0,0,G14/B$25)</f>
        <v>3.3333333333333333E-2</v>
      </c>
      <c r="J14" s="26">
        <v>12</v>
      </c>
      <c r="K14" s="28">
        <v>14.300000000000018</v>
      </c>
    </row>
    <row r="15" spans="1:16" x14ac:dyDescent="0.4">
      <c r="A15" s="57" t="s">
        <v>133</v>
      </c>
      <c r="B15" s="49">
        <v>83</v>
      </c>
      <c r="C15" s="24">
        <f>IF(B$13=0,0,B15/B$13)</f>
        <v>0.48823529411764705</v>
      </c>
      <c r="E15" s="68" t="s">
        <v>88</v>
      </c>
      <c r="F15" s="64" t="s">
        <v>41</v>
      </c>
      <c r="G15" s="50">
        <v>6</v>
      </c>
      <c r="H15" s="27">
        <f>IF(B$25=0,0,G15/B$25)</f>
        <v>2.2222222222222223E-2</v>
      </c>
      <c r="J15" s="26">
        <v>13</v>
      </c>
      <c r="K15" s="28">
        <v>70.300000000000011</v>
      </c>
    </row>
    <row r="16" spans="1:16" x14ac:dyDescent="0.4">
      <c r="A16" s="57" t="s">
        <v>10</v>
      </c>
      <c r="B16" s="49">
        <f>B18+B17</f>
        <v>429</v>
      </c>
      <c r="C16" s="24">
        <f>IF(B$3=0,0,B16/B$3)</f>
        <v>0.35020408163265304</v>
      </c>
      <c r="E16" s="68" t="s">
        <v>79</v>
      </c>
      <c r="F16" s="64" t="s">
        <v>32</v>
      </c>
      <c r="G16" s="50">
        <v>3</v>
      </c>
      <c r="H16" s="27">
        <f>IF(B$25=0,0,G16/B$25)</f>
        <v>1.1111111111111112E-2</v>
      </c>
      <c r="J16" s="26">
        <v>14</v>
      </c>
      <c r="K16" s="28">
        <v>27.300000000000011</v>
      </c>
    </row>
    <row r="17" spans="1:11" x14ac:dyDescent="0.4">
      <c r="A17" s="58" t="s">
        <v>12</v>
      </c>
      <c r="B17" s="50">
        <v>163</v>
      </c>
      <c r="C17" s="27">
        <f>IF(B$16=0,0,B17/B$16)</f>
        <v>0.37995337995337997</v>
      </c>
      <c r="E17" s="68" t="s">
        <v>83</v>
      </c>
      <c r="F17" s="64" t="s">
        <v>36</v>
      </c>
      <c r="G17" s="50">
        <v>3</v>
      </c>
      <c r="H17" s="27">
        <f>IF(B$25=0,0,G17/B$25)</f>
        <v>1.1111111111111112E-2</v>
      </c>
      <c r="J17" s="26">
        <v>15</v>
      </c>
      <c r="K17" s="28">
        <v>-8.6999999999999886</v>
      </c>
    </row>
    <row r="18" spans="1:11" x14ac:dyDescent="0.4">
      <c r="A18" s="58" t="s">
        <v>11</v>
      </c>
      <c r="B18" s="50">
        <v>266</v>
      </c>
      <c r="C18" s="27">
        <f>IF(B$16=0,0,B18/B$16)</f>
        <v>0.62004662004662003</v>
      </c>
      <c r="E18" s="68" t="s">
        <v>81</v>
      </c>
      <c r="F18" s="64" t="s">
        <v>34</v>
      </c>
      <c r="G18" s="50">
        <v>2</v>
      </c>
      <c r="H18" s="27">
        <f>IF(B$25=0,0,G18/B$25)</f>
        <v>7.4074074074074077E-3</v>
      </c>
      <c r="J18" s="26">
        <v>16</v>
      </c>
      <c r="K18" s="28">
        <v>-7.099999999999989</v>
      </c>
    </row>
    <row r="19" spans="1:11" x14ac:dyDescent="0.4">
      <c r="A19" s="58" t="s">
        <v>13</v>
      </c>
      <c r="B19" s="50">
        <v>177</v>
      </c>
      <c r="C19" s="27">
        <f>IF(B$3=0,0,B19/B$3)</f>
        <v>0.14448979591836736</v>
      </c>
      <c r="E19" s="68" t="s">
        <v>85</v>
      </c>
      <c r="F19" s="64" t="s">
        <v>38</v>
      </c>
      <c r="G19" s="50">
        <v>2</v>
      </c>
      <c r="H19" s="27">
        <f>IF(B$25=0,0,G19/B$25)</f>
        <v>7.4074074074074077E-3</v>
      </c>
      <c r="J19" s="26">
        <v>17</v>
      </c>
      <c r="K19" s="28">
        <v>-28.499999999999986</v>
      </c>
    </row>
    <row r="20" spans="1:11" x14ac:dyDescent="0.4">
      <c r="A20" s="58" t="s">
        <v>5</v>
      </c>
      <c r="B20" s="54">
        <f>IF(B$16=0,0,C20/B$16)</f>
        <v>9893.0069930069931</v>
      </c>
      <c r="C20" s="30">
        <v>4244100</v>
      </c>
      <c r="E20" s="68" t="s">
        <v>94</v>
      </c>
      <c r="F20" s="64" t="s">
        <v>47</v>
      </c>
      <c r="G20" s="50">
        <v>2</v>
      </c>
      <c r="H20" s="27">
        <f>IF(B$25=0,0,G20/B$25)</f>
        <v>7.4074074074074077E-3</v>
      </c>
      <c r="J20" s="26">
        <v>18</v>
      </c>
      <c r="K20" s="28">
        <v>-14.599999999999985</v>
      </c>
    </row>
    <row r="21" spans="1:11" x14ac:dyDescent="0.4">
      <c r="A21" s="60" t="s">
        <v>14</v>
      </c>
      <c r="B21" s="55">
        <f>IF(B$19=0,0,C21/B$19)</f>
        <v>-9502.2598870056499</v>
      </c>
      <c r="C21" s="48">
        <v>-1681900</v>
      </c>
      <c r="E21" s="68" t="s">
        <v>98</v>
      </c>
      <c r="F21" s="64" t="s">
        <v>51</v>
      </c>
      <c r="G21" s="50">
        <v>2</v>
      </c>
      <c r="H21" s="27">
        <f>IF(B$25=0,0,G21/B$25)</f>
        <v>7.4074074074074077E-3</v>
      </c>
      <c r="J21" s="26">
        <v>19</v>
      </c>
      <c r="K21" s="28">
        <v>41.600000000000016</v>
      </c>
    </row>
    <row r="22" spans="1:11" x14ac:dyDescent="0.4">
      <c r="A22" s="57" t="s">
        <v>178</v>
      </c>
      <c r="B22" s="49">
        <v>426</v>
      </c>
      <c r="C22" s="24">
        <f>IF(B$3=0,0,B22/B$3)</f>
        <v>0.34775510204081633</v>
      </c>
      <c r="E22" s="68" t="s">
        <v>99</v>
      </c>
      <c r="F22" s="64" t="s">
        <v>52</v>
      </c>
      <c r="G22" s="50">
        <v>2</v>
      </c>
      <c r="H22" s="27">
        <f>IF(B$25=0,0,G22/B$25)</f>
        <v>7.4074074074074077E-3</v>
      </c>
      <c r="J22" s="26">
        <v>20</v>
      </c>
      <c r="K22" s="28">
        <v>66.800000000000011</v>
      </c>
    </row>
    <row r="23" spans="1:11" x14ac:dyDescent="0.4">
      <c r="A23" s="60" t="s">
        <v>179</v>
      </c>
      <c r="B23" s="52">
        <v>177</v>
      </c>
      <c r="C23" s="32">
        <f>IF(B$22=0,0,B23/B$22)</f>
        <v>0.41549295774647887</v>
      </c>
      <c r="E23" s="68" t="s">
        <v>80</v>
      </c>
      <c r="F23" s="64" t="s">
        <v>33</v>
      </c>
      <c r="G23" s="50">
        <v>1</v>
      </c>
      <c r="H23" s="27">
        <f>IF(B$25=0,0,G23/B$25)</f>
        <v>3.7037037037037038E-3</v>
      </c>
      <c r="J23" s="26">
        <v>21</v>
      </c>
      <c r="K23" s="28">
        <v>122.30000000000001</v>
      </c>
    </row>
    <row r="24" spans="1:11" x14ac:dyDescent="0.4">
      <c r="A24" s="57" t="s">
        <v>128</v>
      </c>
      <c r="B24" s="83">
        <v>762</v>
      </c>
      <c r="C24" s="84"/>
      <c r="E24" s="68" t="s">
        <v>84</v>
      </c>
      <c r="F24" s="64" t="s">
        <v>37</v>
      </c>
      <c r="G24" s="50">
        <v>1</v>
      </c>
      <c r="H24" s="27">
        <f>IF(B$25=0,0,G24/B$25)</f>
        <v>3.7037037037037038E-3</v>
      </c>
      <c r="J24" s="26">
        <v>22</v>
      </c>
      <c r="K24" s="28">
        <v>96.800000000000011</v>
      </c>
    </row>
    <row r="25" spans="1:11" x14ac:dyDescent="0.4">
      <c r="A25" s="60" t="s">
        <v>129</v>
      </c>
      <c r="B25" s="85">
        <v>270</v>
      </c>
      <c r="C25" s="86"/>
      <c r="E25" s="68" t="s">
        <v>92</v>
      </c>
      <c r="F25" s="64" t="s">
        <v>45</v>
      </c>
      <c r="G25" s="50">
        <v>1</v>
      </c>
      <c r="H25" s="27">
        <f>IF(B$25=0,0,G25/B$25)</f>
        <v>3.7037037037037038E-3</v>
      </c>
      <c r="J25" s="26">
        <v>23</v>
      </c>
      <c r="K25" s="28">
        <v>120.50000000000001</v>
      </c>
    </row>
    <row r="26" spans="1:11" x14ac:dyDescent="0.4">
      <c r="A26" s="75" t="s">
        <v>196</v>
      </c>
      <c r="B26" s="87">
        <v>10</v>
      </c>
      <c r="C26" s="88"/>
      <c r="E26" s="68" t="s">
        <v>97</v>
      </c>
      <c r="F26" s="64" t="s">
        <v>50</v>
      </c>
      <c r="G26" s="50">
        <v>1</v>
      </c>
      <c r="H26" s="27">
        <f>IF(B$25=0,0,G26/B$25)</f>
        <v>3.7037037037037038E-3</v>
      </c>
      <c r="J26" s="26">
        <v>24</v>
      </c>
      <c r="K26" s="28">
        <v>114.00000000000001</v>
      </c>
    </row>
    <row r="27" spans="1:11" x14ac:dyDescent="0.4">
      <c r="A27" s="60" t="s">
        <v>198</v>
      </c>
      <c r="B27" s="76">
        <v>1</v>
      </c>
      <c r="C27" s="32">
        <f>IF(B$3=0,0,B27/B$3)</f>
        <v>8.1632653061224493E-4</v>
      </c>
      <c r="E27" s="68" t="s">
        <v>102</v>
      </c>
      <c r="F27" s="64" t="s">
        <v>55</v>
      </c>
      <c r="G27" s="50">
        <v>1</v>
      </c>
      <c r="H27" s="27">
        <f>IF(B$25=0,0,G27/B$25)</f>
        <v>3.7037037037037038E-3</v>
      </c>
      <c r="J27" s="26">
        <v>25</v>
      </c>
      <c r="K27" s="28">
        <v>81.300000000000011</v>
      </c>
    </row>
    <row r="28" spans="1:11" x14ac:dyDescent="0.4">
      <c r="E28" s="68" t="s">
        <v>113</v>
      </c>
      <c r="F28" s="64" t="s">
        <v>120</v>
      </c>
      <c r="G28" s="50">
        <v>1</v>
      </c>
      <c r="H28" s="27">
        <f>IF(B$25=0,0,G28/B$25)</f>
        <v>3.7037037037037038E-3</v>
      </c>
      <c r="J28" s="26">
        <v>26</v>
      </c>
      <c r="K28" s="28">
        <v>104.20000000000002</v>
      </c>
    </row>
    <row r="29" spans="1:11" x14ac:dyDescent="0.4">
      <c r="E29" s="68" t="s">
        <v>82</v>
      </c>
      <c r="F29" s="64" t="s">
        <v>35</v>
      </c>
      <c r="G29" s="50">
        <v>0</v>
      </c>
      <c r="H29" s="27">
        <f>IF(B$25=0,0,G29/B$25)</f>
        <v>0</v>
      </c>
      <c r="J29" s="26">
        <v>27</v>
      </c>
      <c r="K29" s="28">
        <v>68.200000000000017</v>
      </c>
    </row>
    <row r="30" spans="1:11" x14ac:dyDescent="0.4">
      <c r="E30" s="68" t="s">
        <v>86</v>
      </c>
      <c r="F30" s="64" t="s">
        <v>39</v>
      </c>
      <c r="G30" s="50">
        <v>0</v>
      </c>
      <c r="H30" s="27">
        <f>IF(B$25=0,0,G30/B$25)</f>
        <v>0</v>
      </c>
      <c r="J30" s="26">
        <v>28</v>
      </c>
      <c r="K30" s="28">
        <v>125.20000000000002</v>
      </c>
    </row>
    <row r="31" spans="1:11" x14ac:dyDescent="0.4">
      <c r="E31" s="68" t="s">
        <v>87</v>
      </c>
      <c r="F31" s="64" t="s">
        <v>40</v>
      </c>
      <c r="G31" s="50">
        <v>0</v>
      </c>
      <c r="H31" s="27">
        <f>IF(B$25=0,0,G31/B$25)</f>
        <v>0</v>
      </c>
      <c r="J31" s="26">
        <v>29</v>
      </c>
      <c r="K31" s="28">
        <v>116.80000000000001</v>
      </c>
    </row>
    <row r="32" spans="1:11" x14ac:dyDescent="0.4">
      <c r="E32" s="68" t="s">
        <v>89</v>
      </c>
      <c r="F32" s="64" t="s">
        <v>42</v>
      </c>
      <c r="G32" s="50">
        <v>0</v>
      </c>
      <c r="H32" s="27">
        <f>IF(B$25=0,0,G32/B$25)</f>
        <v>0</v>
      </c>
      <c r="J32" s="26">
        <v>30</v>
      </c>
      <c r="K32" s="28">
        <v>108.4</v>
      </c>
    </row>
    <row r="33" spans="5:11" x14ac:dyDescent="0.4">
      <c r="E33" s="68" t="s">
        <v>91</v>
      </c>
      <c r="F33" s="64" t="s">
        <v>44</v>
      </c>
      <c r="G33" s="50">
        <v>0</v>
      </c>
      <c r="H33" s="27">
        <f>IF(B$25=0,0,G33/B$25)</f>
        <v>0</v>
      </c>
      <c r="J33" s="26">
        <v>31</v>
      </c>
      <c r="K33" s="28">
        <v>160.69999999999999</v>
      </c>
    </row>
    <row r="34" spans="5:11" x14ac:dyDescent="0.4">
      <c r="E34" s="68" t="s">
        <v>95</v>
      </c>
      <c r="F34" s="64" t="s">
        <v>48</v>
      </c>
      <c r="G34" s="50">
        <v>0</v>
      </c>
      <c r="H34" s="27">
        <f>IF(B$25=0,0,G34/B$25)</f>
        <v>0</v>
      </c>
      <c r="J34" s="26">
        <v>32</v>
      </c>
      <c r="K34" s="28">
        <v>146.69999999999999</v>
      </c>
    </row>
    <row r="35" spans="5:11" x14ac:dyDescent="0.4">
      <c r="E35" s="68" t="s">
        <v>100</v>
      </c>
      <c r="F35" s="64" t="s">
        <v>53</v>
      </c>
      <c r="G35" s="50">
        <v>0</v>
      </c>
      <c r="H35" s="27">
        <f>IF(B$25=0,0,G35/B$25)</f>
        <v>0</v>
      </c>
      <c r="J35" s="26">
        <v>33</v>
      </c>
      <c r="K35" s="28">
        <v>206.39999999999998</v>
      </c>
    </row>
    <row r="36" spans="5:11" x14ac:dyDescent="0.4">
      <c r="E36" s="68" t="s">
        <v>101</v>
      </c>
      <c r="F36" s="64" t="s">
        <v>54</v>
      </c>
      <c r="G36" s="50">
        <v>0</v>
      </c>
      <c r="H36" s="27">
        <f>IF(B$25=0,0,G36/B$25)</f>
        <v>0</v>
      </c>
      <c r="J36" s="26">
        <v>34</v>
      </c>
      <c r="K36" s="28">
        <v>255.39999999999998</v>
      </c>
    </row>
    <row r="37" spans="5:11" x14ac:dyDescent="0.4">
      <c r="E37" s="68" t="s">
        <v>103</v>
      </c>
      <c r="F37" s="64" t="s">
        <v>56</v>
      </c>
      <c r="G37" s="50">
        <v>0</v>
      </c>
      <c r="H37" s="27">
        <f>IF(B$25=0,0,G37/B$25)</f>
        <v>0</v>
      </c>
      <c r="J37" s="26">
        <v>35</v>
      </c>
      <c r="K37" s="28">
        <v>241.39999999999998</v>
      </c>
    </row>
    <row r="38" spans="5:11" x14ac:dyDescent="0.4">
      <c r="E38" s="68" t="s">
        <v>104</v>
      </c>
      <c r="F38" s="64" t="s">
        <v>57</v>
      </c>
      <c r="G38" s="50">
        <v>0</v>
      </c>
      <c r="H38" s="27">
        <f>IF(B$25=0,0,G38/B$25)</f>
        <v>0</v>
      </c>
      <c r="J38" s="26">
        <v>36</v>
      </c>
      <c r="K38" s="28">
        <v>237.99999999999997</v>
      </c>
    </row>
    <row r="39" spans="5:11" x14ac:dyDescent="0.4">
      <c r="E39" s="68" t="s">
        <v>105</v>
      </c>
      <c r="F39" s="64" t="s">
        <v>58</v>
      </c>
      <c r="G39" s="50">
        <v>0</v>
      </c>
      <c r="H39" s="27">
        <f>IF(B$25=0,0,G39/B$25)</f>
        <v>0</v>
      </c>
      <c r="J39" s="26">
        <v>37</v>
      </c>
      <c r="K39" s="28">
        <v>221.89999999999998</v>
      </c>
    </row>
    <row r="40" spans="5:11" x14ac:dyDescent="0.4">
      <c r="E40" s="68" t="s">
        <v>106</v>
      </c>
      <c r="F40" s="64" t="s">
        <v>59</v>
      </c>
      <c r="G40" s="50">
        <v>0</v>
      </c>
      <c r="H40" s="27">
        <f>IF(B$25=0,0,G40/B$25)</f>
        <v>0</v>
      </c>
      <c r="J40" s="26">
        <v>38</v>
      </c>
      <c r="K40" s="28">
        <v>241.99999999999997</v>
      </c>
    </row>
    <row r="41" spans="5:11" x14ac:dyDescent="0.4">
      <c r="E41" s="68" t="s">
        <v>107</v>
      </c>
      <c r="F41" s="64" t="s">
        <v>60</v>
      </c>
      <c r="G41" s="50">
        <v>0</v>
      </c>
      <c r="H41" s="27">
        <f>IF(B$25=0,0,G41/B$25)</f>
        <v>0</v>
      </c>
      <c r="J41" s="26">
        <v>39</v>
      </c>
      <c r="K41" s="28">
        <v>192.39999999999998</v>
      </c>
    </row>
    <row r="42" spans="5:11" x14ac:dyDescent="0.4">
      <c r="E42" s="68" t="s">
        <v>108</v>
      </c>
      <c r="F42" s="64" t="s">
        <v>61</v>
      </c>
      <c r="G42" s="50">
        <v>0</v>
      </c>
      <c r="H42" s="27">
        <f>IF(B$25=0,0,G42/B$25)</f>
        <v>0</v>
      </c>
      <c r="J42" s="26">
        <v>40</v>
      </c>
      <c r="K42" s="28">
        <v>184.2</v>
      </c>
    </row>
    <row r="43" spans="5:11" x14ac:dyDescent="0.4">
      <c r="E43" s="68" t="s">
        <v>109</v>
      </c>
      <c r="F43" s="64" t="s">
        <v>62</v>
      </c>
      <c r="G43" s="50">
        <v>0</v>
      </c>
      <c r="H43" s="27">
        <f>IF(B$25=0,0,G43/B$25)</f>
        <v>0</v>
      </c>
      <c r="J43" s="26">
        <v>41</v>
      </c>
      <c r="K43" s="28">
        <v>178.2</v>
      </c>
    </row>
    <row r="44" spans="5:11" x14ac:dyDescent="0.4">
      <c r="E44" s="68" t="s">
        <v>110</v>
      </c>
      <c r="F44" s="64" t="s">
        <v>63</v>
      </c>
      <c r="G44" s="50">
        <v>0</v>
      </c>
      <c r="H44" s="27">
        <f>IF(B$25=0,0,G44/B$25)</f>
        <v>0</v>
      </c>
      <c r="J44" s="26">
        <v>42</v>
      </c>
      <c r="K44" s="28">
        <v>142.79999999999998</v>
      </c>
    </row>
    <row r="45" spans="5:11" x14ac:dyDescent="0.4">
      <c r="E45" s="68" t="s">
        <v>111</v>
      </c>
      <c r="F45" s="64" t="s">
        <v>64</v>
      </c>
      <c r="G45" s="50">
        <v>0</v>
      </c>
      <c r="H45" s="27">
        <f>IF(B$25=0,0,G45/B$25)</f>
        <v>0</v>
      </c>
      <c r="J45" s="26">
        <v>43</v>
      </c>
      <c r="K45" s="28">
        <v>135.29999999999998</v>
      </c>
    </row>
    <row r="46" spans="5:11" x14ac:dyDescent="0.4">
      <c r="E46" s="68" t="s">
        <v>112</v>
      </c>
      <c r="F46" s="64" t="s">
        <v>119</v>
      </c>
      <c r="G46" s="50">
        <v>0</v>
      </c>
      <c r="H46" s="27">
        <f>IF(B$25=0,0,G46/B$25)</f>
        <v>0</v>
      </c>
      <c r="J46" s="26">
        <v>44</v>
      </c>
      <c r="K46" s="28">
        <v>143.69999999999999</v>
      </c>
    </row>
    <row r="47" spans="5:11" x14ac:dyDescent="0.4">
      <c r="E47" s="68" t="s">
        <v>114</v>
      </c>
      <c r="F47" s="64" t="s">
        <v>121</v>
      </c>
      <c r="G47" s="50">
        <v>0</v>
      </c>
      <c r="H47" s="27">
        <f>IF(B$25=0,0,G47/B$25)</f>
        <v>0</v>
      </c>
      <c r="J47" s="26">
        <v>45</v>
      </c>
      <c r="K47" s="28">
        <v>134.29999999999998</v>
      </c>
    </row>
    <row r="48" spans="5:11" x14ac:dyDescent="0.4">
      <c r="E48" s="68" t="s">
        <v>115</v>
      </c>
      <c r="F48" s="64" t="s">
        <v>65</v>
      </c>
      <c r="G48" s="50">
        <v>0</v>
      </c>
      <c r="H48" s="27">
        <f>IF(B$25=0,0,G48/B$25)</f>
        <v>0</v>
      </c>
      <c r="J48" s="26">
        <v>46</v>
      </c>
      <c r="K48" s="28">
        <v>161.19999999999999</v>
      </c>
    </row>
    <row r="49" spans="5:11" x14ac:dyDescent="0.4">
      <c r="E49" s="68" t="s">
        <v>116</v>
      </c>
      <c r="F49" s="64" t="s">
        <v>66</v>
      </c>
      <c r="G49" s="50">
        <v>0</v>
      </c>
      <c r="H49" s="27">
        <f>IF(B$25=0,0,G49/B$25)</f>
        <v>0</v>
      </c>
      <c r="J49" s="26">
        <v>47</v>
      </c>
      <c r="K49" s="28">
        <v>141.69999999999999</v>
      </c>
    </row>
    <row r="50" spans="5:11" x14ac:dyDescent="0.4">
      <c r="E50" s="68" t="s">
        <v>117</v>
      </c>
      <c r="F50" s="64" t="s">
        <v>67</v>
      </c>
      <c r="G50" s="50">
        <v>0</v>
      </c>
      <c r="H50" s="27">
        <f>IF(B$25=0,0,G50/B$25)</f>
        <v>0</v>
      </c>
      <c r="J50" s="26">
        <v>48</v>
      </c>
      <c r="K50" s="28">
        <v>110.6</v>
      </c>
    </row>
    <row r="51" spans="5:11" x14ac:dyDescent="0.4">
      <c r="E51" s="69" t="s">
        <v>118</v>
      </c>
      <c r="F51" s="65" t="s">
        <v>68</v>
      </c>
      <c r="G51" s="52">
        <v>0</v>
      </c>
      <c r="H51" s="32">
        <f>IF(B$25=0,0,G51/B$25)</f>
        <v>0</v>
      </c>
      <c r="J51" s="26">
        <v>49</v>
      </c>
      <c r="K51" s="28">
        <v>125.8</v>
      </c>
    </row>
    <row r="52" spans="5:11" x14ac:dyDescent="0.4">
      <c r="J52" s="26">
        <v>50</v>
      </c>
      <c r="K52" s="28">
        <v>120.89999999999999</v>
      </c>
    </row>
    <row r="53" spans="5:11" x14ac:dyDescent="0.4">
      <c r="J53" s="26">
        <v>51</v>
      </c>
      <c r="K53" s="28">
        <v>132.69999999999999</v>
      </c>
    </row>
    <row r="54" spans="5:11" x14ac:dyDescent="0.4">
      <c r="J54" s="26">
        <v>52</v>
      </c>
      <c r="K54" s="28">
        <v>133.39999999999998</v>
      </c>
    </row>
    <row r="55" spans="5:11" x14ac:dyDescent="0.4">
      <c r="J55" s="26">
        <v>53</v>
      </c>
      <c r="K55" s="28">
        <v>127.69999999999997</v>
      </c>
    </row>
    <row r="56" spans="5:11" x14ac:dyDescent="0.4">
      <c r="J56" s="26">
        <v>54</v>
      </c>
      <c r="K56" s="28">
        <v>99.699999999999974</v>
      </c>
    </row>
    <row r="57" spans="5:11" x14ac:dyDescent="0.4">
      <c r="J57" s="26">
        <v>55</v>
      </c>
      <c r="K57" s="28">
        <v>116.39999999999998</v>
      </c>
    </row>
    <row r="58" spans="5:11" x14ac:dyDescent="0.4">
      <c r="J58" s="26">
        <v>56</v>
      </c>
      <c r="K58" s="28">
        <v>110.39999999999998</v>
      </c>
    </row>
    <row r="59" spans="5:11" x14ac:dyDescent="0.4">
      <c r="J59" s="26">
        <v>57</v>
      </c>
      <c r="K59" s="28">
        <v>140.99999999999997</v>
      </c>
    </row>
    <row r="60" spans="5:11" x14ac:dyDescent="0.4">
      <c r="J60" s="26">
        <v>58</v>
      </c>
      <c r="K60" s="28">
        <v>156.79999999999998</v>
      </c>
    </row>
    <row r="61" spans="5:11" x14ac:dyDescent="0.4">
      <c r="J61" s="26">
        <v>59</v>
      </c>
      <c r="K61" s="28">
        <v>212.79999999999998</v>
      </c>
    </row>
    <row r="62" spans="5:11" x14ac:dyDescent="0.4">
      <c r="J62" s="26">
        <v>60</v>
      </c>
      <c r="K62" s="28">
        <v>218.1</v>
      </c>
    </row>
    <row r="63" spans="5:11" x14ac:dyDescent="0.4">
      <c r="J63" s="26">
        <v>61</v>
      </c>
      <c r="K63" s="28">
        <v>173</v>
      </c>
    </row>
    <row r="64" spans="5:11" x14ac:dyDescent="0.4">
      <c r="J64" s="26">
        <v>62</v>
      </c>
      <c r="K64" s="28">
        <v>193.1</v>
      </c>
    </row>
    <row r="65" spans="10:11" x14ac:dyDescent="0.4">
      <c r="J65" s="26">
        <v>63</v>
      </c>
      <c r="K65" s="28">
        <v>128.1</v>
      </c>
    </row>
    <row r="66" spans="10:11" x14ac:dyDescent="0.4">
      <c r="J66" s="26">
        <v>64</v>
      </c>
      <c r="K66" s="28">
        <v>123.1</v>
      </c>
    </row>
    <row r="67" spans="10:11" x14ac:dyDescent="0.4">
      <c r="J67" s="26">
        <v>65</v>
      </c>
      <c r="K67" s="28">
        <v>124.1</v>
      </c>
    </row>
    <row r="68" spans="10:11" x14ac:dyDescent="0.4">
      <c r="J68" s="26">
        <v>66</v>
      </c>
      <c r="K68" s="28">
        <v>154.69999999999999</v>
      </c>
    </row>
    <row r="69" spans="10:11" x14ac:dyDescent="0.4">
      <c r="J69" s="26">
        <v>67</v>
      </c>
      <c r="K69" s="28">
        <v>135.69999999999999</v>
      </c>
    </row>
    <row r="70" spans="10:11" x14ac:dyDescent="0.4">
      <c r="J70" s="26">
        <v>68</v>
      </c>
      <c r="K70" s="28">
        <v>126.79999999999998</v>
      </c>
    </row>
    <row r="71" spans="10:11" x14ac:dyDescent="0.4">
      <c r="J71" s="26">
        <v>69</v>
      </c>
      <c r="K71" s="28">
        <v>127.69999999999999</v>
      </c>
    </row>
    <row r="72" spans="10:11" x14ac:dyDescent="0.4">
      <c r="J72" s="26">
        <v>70</v>
      </c>
      <c r="K72" s="28">
        <v>159</v>
      </c>
    </row>
    <row r="73" spans="10:11" x14ac:dyDescent="0.4">
      <c r="J73" s="26">
        <v>71</v>
      </c>
      <c r="K73" s="28">
        <v>186.4</v>
      </c>
    </row>
    <row r="74" spans="10:11" x14ac:dyDescent="0.4">
      <c r="J74" s="26">
        <v>72</v>
      </c>
      <c r="K74" s="28">
        <v>179</v>
      </c>
    </row>
    <row r="75" spans="10:11" x14ac:dyDescent="0.4">
      <c r="J75" s="26">
        <v>73</v>
      </c>
      <c r="K75" s="28">
        <v>196.3</v>
      </c>
    </row>
    <row r="76" spans="10:11" x14ac:dyDescent="0.4">
      <c r="J76" s="26">
        <v>74</v>
      </c>
      <c r="K76" s="28">
        <v>182.4</v>
      </c>
    </row>
    <row r="77" spans="10:11" x14ac:dyDescent="0.4">
      <c r="J77" s="26">
        <v>75</v>
      </c>
      <c r="K77" s="28">
        <v>221.4</v>
      </c>
    </row>
    <row r="78" spans="10:11" x14ac:dyDescent="0.4">
      <c r="J78" s="26">
        <v>76</v>
      </c>
      <c r="K78" s="28">
        <v>226.6</v>
      </c>
    </row>
    <row r="79" spans="10:11" x14ac:dyDescent="0.4">
      <c r="J79" s="26">
        <v>77</v>
      </c>
      <c r="K79" s="28">
        <v>212.9</v>
      </c>
    </row>
    <row r="80" spans="10:11" x14ac:dyDescent="0.4">
      <c r="J80" s="26">
        <v>78</v>
      </c>
      <c r="K80" s="28">
        <v>218</v>
      </c>
    </row>
    <row r="81" spans="10:11" x14ac:dyDescent="0.4">
      <c r="J81" s="26">
        <v>79</v>
      </c>
      <c r="K81" s="28">
        <v>248.9</v>
      </c>
    </row>
    <row r="82" spans="10:11" x14ac:dyDescent="0.4">
      <c r="J82" s="26">
        <v>80</v>
      </c>
      <c r="K82" s="28">
        <v>287.89999999999998</v>
      </c>
    </row>
    <row r="83" spans="10:11" x14ac:dyDescent="0.4">
      <c r="J83" s="26">
        <v>81</v>
      </c>
      <c r="K83" s="28">
        <v>309.39999999999998</v>
      </c>
    </row>
    <row r="84" spans="10:11" x14ac:dyDescent="0.4">
      <c r="J84" s="26">
        <v>82</v>
      </c>
      <c r="K84" s="28">
        <v>339.9</v>
      </c>
    </row>
    <row r="85" spans="10:11" x14ac:dyDescent="0.4">
      <c r="J85" s="26">
        <v>83</v>
      </c>
      <c r="K85" s="28">
        <v>398.7</v>
      </c>
    </row>
    <row r="86" spans="10:11" x14ac:dyDescent="0.4">
      <c r="J86" s="26">
        <v>84</v>
      </c>
      <c r="K86" s="28">
        <v>409.8</v>
      </c>
    </row>
    <row r="87" spans="10:11" x14ac:dyDescent="0.4">
      <c r="J87" s="26">
        <v>85</v>
      </c>
      <c r="K87" s="28">
        <v>411.40000000000003</v>
      </c>
    </row>
    <row r="88" spans="10:11" x14ac:dyDescent="0.4">
      <c r="J88" s="26">
        <v>86</v>
      </c>
      <c r="K88" s="28">
        <v>391.00000000000006</v>
      </c>
    </row>
    <row r="89" spans="10:11" x14ac:dyDescent="0.4">
      <c r="J89" s="26">
        <v>87</v>
      </c>
      <c r="K89" s="28">
        <v>393.50000000000006</v>
      </c>
    </row>
    <row r="90" spans="10:11" x14ac:dyDescent="0.4">
      <c r="J90" s="26">
        <v>88</v>
      </c>
      <c r="K90" s="28">
        <v>349.00000000000006</v>
      </c>
    </row>
    <row r="91" spans="10:11" x14ac:dyDescent="0.4">
      <c r="J91" s="26">
        <v>89</v>
      </c>
      <c r="K91" s="28">
        <v>348.40000000000003</v>
      </c>
    </row>
    <row r="92" spans="10:11" x14ac:dyDescent="0.4">
      <c r="J92" s="26">
        <v>90</v>
      </c>
      <c r="K92" s="28">
        <v>373.8</v>
      </c>
    </row>
    <row r="93" spans="10:11" x14ac:dyDescent="0.4">
      <c r="J93" s="26">
        <v>91</v>
      </c>
      <c r="K93" s="28">
        <v>383.5</v>
      </c>
    </row>
    <row r="94" spans="10:11" x14ac:dyDescent="0.4">
      <c r="J94" s="26">
        <v>92</v>
      </c>
      <c r="K94" s="28">
        <v>403.6</v>
      </c>
    </row>
    <row r="95" spans="10:11" x14ac:dyDescent="0.4">
      <c r="J95" s="26">
        <v>93</v>
      </c>
      <c r="K95" s="28">
        <v>445.70000000000005</v>
      </c>
    </row>
    <row r="96" spans="10:11" x14ac:dyDescent="0.4">
      <c r="J96" s="26">
        <v>94</v>
      </c>
      <c r="K96" s="28">
        <v>439.70000000000005</v>
      </c>
    </row>
    <row r="97" spans="10:11" x14ac:dyDescent="0.4">
      <c r="J97" s="26">
        <v>95</v>
      </c>
      <c r="K97" s="28">
        <v>403.20000000000005</v>
      </c>
    </row>
    <row r="98" spans="10:11" x14ac:dyDescent="0.4">
      <c r="J98" s="26">
        <v>96</v>
      </c>
      <c r="K98" s="28">
        <v>364.70000000000005</v>
      </c>
    </row>
    <row r="99" spans="10:11" x14ac:dyDescent="0.4">
      <c r="J99" s="26">
        <v>97</v>
      </c>
      <c r="K99" s="28">
        <v>374.80000000000007</v>
      </c>
    </row>
    <row r="100" spans="10:11" x14ac:dyDescent="0.4">
      <c r="J100" s="26">
        <v>98</v>
      </c>
      <c r="K100" s="28">
        <v>372.80000000000007</v>
      </c>
    </row>
    <row r="101" spans="10:11" x14ac:dyDescent="0.4">
      <c r="J101" s="26">
        <v>99</v>
      </c>
      <c r="K101" s="28">
        <v>415.30000000000007</v>
      </c>
    </row>
    <row r="102" spans="10:11" x14ac:dyDescent="0.4">
      <c r="J102" s="26">
        <v>100</v>
      </c>
      <c r="K102" s="28">
        <v>409.70000000000005</v>
      </c>
    </row>
    <row r="103" spans="10:11" x14ac:dyDescent="0.4">
      <c r="J103" s="26">
        <v>101</v>
      </c>
      <c r="K103" s="28">
        <v>402.30000000000007</v>
      </c>
    </row>
    <row r="104" spans="10:11" x14ac:dyDescent="0.4">
      <c r="J104" s="26">
        <v>102</v>
      </c>
      <c r="K104" s="28">
        <v>365.30000000000007</v>
      </c>
    </row>
    <row r="105" spans="10:11" x14ac:dyDescent="0.4">
      <c r="J105" s="26">
        <v>103</v>
      </c>
      <c r="K105" s="28">
        <v>347.50000000000006</v>
      </c>
    </row>
    <row r="106" spans="10:11" x14ac:dyDescent="0.4">
      <c r="J106" s="26">
        <v>104</v>
      </c>
      <c r="K106" s="28">
        <v>373.50000000000006</v>
      </c>
    </row>
    <row r="107" spans="10:11" x14ac:dyDescent="0.4">
      <c r="J107" s="26">
        <v>105</v>
      </c>
      <c r="K107" s="28">
        <v>417.10000000000008</v>
      </c>
    </row>
    <row r="108" spans="10:11" x14ac:dyDescent="0.4">
      <c r="J108" s="26">
        <v>106</v>
      </c>
      <c r="K108" s="28">
        <v>424.10000000000008</v>
      </c>
    </row>
    <row r="109" spans="10:11" x14ac:dyDescent="0.4">
      <c r="J109" s="26">
        <v>107</v>
      </c>
      <c r="K109" s="28">
        <v>413.80000000000007</v>
      </c>
    </row>
    <row r="110" spans="10:11" x14ac:dyDescent="0.4">
      <c r="J110" s="26">
        <v>108</v>
      </c>
      <c r="K110" s="28">
        <v>398.30000000000007</v>
      </c>
    </row>
    <row r="111" spans="10:11" x14ac:dyDescent="0.4">
      <c r="J111" s="26">
        <v>109</v>
      </c>
      <c r="K111" s="28">
        <v>380.00000000000006</v>
      </c>
    </row>
    <row r="112" spans="10:11" x14ac:dyDescent="0.4">
      <c r="J112" s="26">
        <v>110</v>
      </c>
      <c r="K112" s="28">
        <v>403.00000000000006</v>
      </c>
    </row>
    <row r="113" spans="10:11" x14ac:dyDescent="0.4">
      <c r="J113" s="26">
        <v>111</v>
      </c>
      <c r="K113" s="28">
        <v>421.50000000000006</v>
      </c>
    </row>
    <row r="114" spans="10:11" x14ac:dyDescent="0.4">
      <c r="J114" s="26">
        <v>112</v>
      </c>
      <c r="K114" s="28">
        <v>416.10000000000008</v>
      </c>
    </row>
    <row r="115" spans="10:11" x14ac:dyDescent="0.4">
      <c r="J115" s="26">
        <v>113</v>
      </c>
      <c r="K115" s="28">
        <v>471.10000000000008</v>
      </c>
    </row>
    <row r="116" spans="10:11" x14ac:dyDescent="0.4">
      <c r="J116" s="26">
        <v>114</v>
      </c>
      <c r="K116" s="28">
        <v>487.2000000000001</v>
      </c>
    </row>
    <row r="117" spans="10:11" x14ac:dyDescent="0.4">
      <c r="J117" s="26">
        <v>115</v>
      </c>
      <c r="K117" s="28">
        <v>450.2000000000001</v>
      </c>
    </row>
    <row r="118" spans="10:11" x14ac:dyDescent="0.4">
      <c r="J118" s="26">
        <v>116</v>
      </c>
      <c r="K118" s="28">
        <v>465.7000000000001</v>
      </c>
    </row>
    <row r="119" spans="10:11" x14ac:dyDescent="0.4">
      <c r="J119" s="26">
        <v>117</v>
      </c>
      <c r="K119" s="28">
        <v>480.00000000000011</v>
      </c>
    </row>
    <row r="120" spans="10:11" x14ac:dyDescent="0.4">
      <c r="J120" s="26">
        <v>118</v>
      </c>
      <c r="K120" s="28">
        <v>491.60000000000014</v>
      </c>
    </row>
    <row r="121" spans="10:11" x14ac:dyDescent="0.4">
      <c r="J121" s="26">
        <v>119</v>
      </c>
      <c r="K121" s="28">
        <v>507.50000000000011</v>
      </c>
    </row>
    <row r="122" spans="10:11" x14ac:dyDescent="0.4">
      <c r="J122" s="26">
        <v>120</v>
      </c>
      <c r="K122" s="28">
        <v>471.00000000000011</v>
      </c>
    </row>
    <row r="123" spans="10:11" x14ac:dyDescent="0.4">
      <c r="J123" s="26">
        <v>121</v>
      </c>
      <c r="K123" s="28">
        <v>508.50000000000011</v>
      </c>
    </row>
    <row r="124" spans="10:11" x14ac:dyDescent="0.4">
      <c r="J124" s="26">
        <v>122</v>
      </c>
      <c r="K124" s="28">
        <v>463.00000000000011</v>
      </c>
    </row>
    <row r="125" spans="10:11" x14ac:dyDescent="0.4">
      <c r="J125" s="26">
        <v>123</v>
      </c>
      <c r="K125" s="28">
        <v>475.2000000000001</v>
      </c>
    </row>
    <row r="126" spans="10:11" x14ac:dyDescent="0.4">
      <c r="J126" s="26">
        <v>124</v>
      </c>
      <c r="K126" s="28">
        <v>456.7000000000001</v>
      </c>
    </row>
    <row r="127" spans="10:11" x14ac:dyDescent="0.4">
      <c r="J127" s="26">
        <v>125</v>
      </c>
      <c r="K127" s="28">
        <v>497.10000000000008</v>
      </c>
    </row>
    <row r="128" spans="10:11" x14ac:dyDescent="0.4">
      <c r="J128" s="26">
        <v>126</v>
      </c>
      <c r="K128" s="28">
        <v>523.20000000000005</v>
      </c>
    </row>
    <row r="129" spans="10:11" x14ac:dyDescent="0.4">
      <c r="J129" s="26">
        <v>127</v>
      </c>
      <c r="K129" s="28">
        <v>531.70000000000005</v>
      </c>
    </row>
    <row r="130" spans="10:11" x14ac:dyDescent="0.4">
      <c r="J130" s="26">
        <v>128</v>
      </c>
      <c r="K130" s="28">
        <v>574</v>
      </c>
    </row>
    <row r="131" spans="10:11" x14ac:dyDescent="0.4">
      <c r="J131" s="26">
        <v>129</v>
      </c>
      <c r="K131" s="28">
        <v>599</v>
      </c>
    </row>
    <row r="132" spans="10:11" x14ac:dyDescent="0.4">
      <c r="J132" s="26">
        <v>130</v>
      </c>
      <c r="K132" s="28">
        <v>610</v>
      </c>
    </row>
    <row r="133" spans="10:11" x14ac:dyDescent="0.4">
      <c r="J133" s="26">
        <v>131</v>
      </c>
      <c r="K133" s="28">
        <v>650</v>
      </c>
    </row>
    <row r="134" spans="10:11" x14ac:dyDescent="0.4">
      <c r="J134" s="26">
        <v>132</v>
      </c>
      <c r="K134" s="28">
        <v>631.20000000000005</v>
      </c>
    </row>
    <row r="135" spans="10:11" x14ac:dyDescent="0.4">
      <c r="J135" s="26">
        <v>133</v>
      </c>
      <c r="K135" s="28">
        <v>667.80000000000007</v>
      </c>
    </row>
    <row r="136" spans="10:11" x14ac:dyDescent="0.4">
      <c r="J136" s="26">
        <v>134</v>
      </c>
      <c r="K136" s="28">
        <v>675.6</v>
      </c>
    </row>
    <row r="137" spans="10:11" x14ac:dyDescent="0.4">
      <c r="J137" s="26">
        <v>135</v>
      </c>
      <c r="K137" s="28">
        <v>742.7</v>
      </c>
    </row>
    <row r="138" spans="10:11" x14ac:dyDescent="0.4">
      <c r="J138" s="26">
        <v>136</v>
      </c>
      <c r="K138" s="28">
        <v>747.90000000000009</v>
      </c>
    </row>
    <row r="139" spans="10:11" x14ac:dyDescent="0.4">
      <c r="J139" s="26">
        <v>137</v>
      </c>
      <c r="K139" s="28">
        <v>763.10000000000014</v>
      </c>
    </row>
    <row r="140" spans="10:11" x14ac:dyDescent="0.4">
      <c r="J140" s="26">
        <v>138</v>
      </c>
      <c r="K140" s="28">
        <v>786.30000000000018</v>
      </c>
    </row>
    <row r="141" spans="10:11" x14ac:dyDescent="0.4">
      <c r="J141" s="26">
        <v>139</v>
      </c>
      <c r="K141" s="28">
        <v>806.9000000000002</v>
      </c>
    </row>
    <row r="142" spans="10:11" x14ac:dyDescent="0.4">
      <c r="J142" s="26">
        <v>140</v>
      </c>
      <c r="K142" s="28">
        <v>814.20000000000016</v>
      </c>
    </row>
    <row r="143" spans="10:11" x14ac:dyDescent="0.4">
      <c r="J143" s="26">
        <v>141</v>
      </c>
      <c r="K143" s="28">
        <v>819.00000000000011</v>
      </c>
    </row>
    <row r="144" spans="10:11" x14ac:dyDescent="0.4">
      <c r="J144" s="26">
        <v>142</v>
      </c>
      <c r="K144" s="28">
        <v>823.10000000000014</v>
      </c>
    </row>
    <row r="145" spans="10:11" x14ac:dyDescent="0.4">
      <c r="J145" s="26">
        <v>143</v>
      </c>
      <c r="K145" s="28">
        <v>812.10000000000014</v>
      </c>
    </row>
    <row r="146" spans="10:11" x14ac:dyDescent="0.4">
      <c r="J146" s="26">
        <v>144</v>
      </c>
      <c r="K146" s="28">
        <v>823.60000000000014</v>
      </c>
    </row>
    <row r="147" spans="10:11" x14ac:dyDescent="0.4">
      <c r="J147" s="26">
        <v>145</v>
      </c>
      <c r="K147" s="28">
        <v>811.70000000000016</v>
      </c>
    </row>
    <row r="148" spans="10:11" x14ac:dyDescent="0.4">
      <c r="J148" s="26">
        <v>146</v>
      </c>
      <c r="K148" s="28">
        <v>827.30000000000018</v>
      </c>
    </row>
    <row r="149" spans="10:11" x14ac:dyDescent="0.4">
      <c r="J149" s="26">
        <v>147</v>
      </c>
      <c r="K149" s="28">
        <v>841.9000000000002</v>
      </c>
    </row>
    <row r="150" spans="10:11" x14ac:dyDescent="0.4">
      <c r="J150" s="26">
        <v>148</v>
      </c>
      <c r="K150" s="28">
        <v>806.9000000000002</v>
      </c>
    </row>
    <row r="151" spans="10:11" x14ac:dyDescent="0.4">
      <c r="J151" s="26">
        <v>149</v>
      </c>
      <c r="K151" s="28">
        <v>777.30000000000018</v>
      </c>
    </row>
    <row r="152" spans="10:11" x14ac:dyDescent="0.4">
      <c r="J152" s="26">
        <v>150</v>
      </c>
      <c r="K152" s="28">
        <v>783.10000000000014</v>
      </c>
    </row>
    <row r="153" spans="10:11" x14ac:dyDescent="0.4">
      <c r="J153" s="26">
        <v>151</v>
      </c>
      <c r="K153" s="28">
        <v>770.10000000000014</v>
      </c>
    </row>
    <row r="154" spans="10:11" x14ac:dyDescent="0.4">
      <c r="J154" s="26">
        <v>152</v>
      </c>
      <c r="K154" s="28">
        <v>760.10000000000014</v>
      </c>
    </row>
    <row r="155" spans="10:11" x14ac:dyDescent="0.4">
      <c r="J155" s="26">
        <v>153</v>
      </c>
      <c r="K155" s="28">
        <v>803.70000000000016</v>
      </c>
    </row>
    <row r="156" spans="10:11" x14ac:dyDescent="0.4">
      <c r="J156" s="26">
        <v>154</v>
      </c>
      <c r="K156" s="28">
        <v>799.00000000000011</v>
      </c>
    </row>
    <row r="157" spans="10:11" x14ac:dyDescent="0.4">
      <c r="J157" s="26">
        <v>155</v>
      </c>
      <c r="K157" s="28">
        <v>812.40000000000009</v>
      </c>
    </row>
    <row r="158" spans="10:11" x14ac:dyDescent="0.4">
      <c r="J158" s="26">
        <v>156</v>
      </c>
      <c r="K158" s="28">
        <v>798.40000000000009</v>
      </c>
    </row>
    <row r="159" spans="10:11" x14ac:dyDescent="0.4">
      <c r="J159" s="26">
        <v>157</v>
      </c>
      <c r="K159" s="28">
        <v>804.50000000000011</v>
      </c>
    </row>
    <row r="160" spans="10:11" x14ac:dyDescent="0.4">
      <c r="J160" s="26">
        <v>158</v>
      </c>
      <c r="K160" s="28">
        <v>823.20000000000016</v>
      </c>
    </row>
    <row r="161" spans="10:11" x14ac:dyDescent="0.4">
      <c r="J161" s="26">
        <v>159</v>
      </c>
      <c r="K161" s="28">
        <v>846.00000000000011</v>
      </c>
    </row>
    <row r="162" spans="10:11" x14ac:dyDescent="0.4">
      <c r="J162" s="26">
        <v>160</v>
      </c>
      <c r="K162" s="28">
        <v>841.20000000000016</v>
      </c>
    </row>
    <row r="163" spans="10:11" x14ac:dyDescent="0.4">
      <c r="J163" s="26">
        <v>161</v>
      </c>
      <c r="K163" s="28">
        <v>872.70000000000016</v>
      </c>
    </row>
    <row r="164" spans="10:11" x14ac:dyDescent="0.4">
      <c r="J164" s="26">
        <v>162</v>
      </c>
      <c r="K164" s="28">
        <v>888.80000000000018</v>
      </c>
    </row>
    <row r="165" spans="10:11" x14ac:dyDescent="0.4">
      <c r="J165" s="26">
        <v>163</v>
      </c>
      <c r="K165" s="28">
        <v>900.10000000000014</v>
      </c>
    </row>
    <row r="166" spans="10:11" x14ac:dyDescent="0.4">
      <c r="J166" s="26">
        <v>164</v>
      </c>
      <c r="K166" s="28">
        <v>923.40000000000009</v>
      </c>
    </row>
  </sheetData>
  <sortState ref="E2:H166">
    <sortCondition descending="1" ref="H1"/>
  </sortState>
  <mergeCells count="9">
    <mergeCell ref="B24:C24"/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AE15AE-574E-430E-8637-2FA5C09FB4F9}">
  <sheetPr codeName="Sheet7"/>
  <dimension ref="A1:P51"/>
  <sheetViews>
    <sheetView showGridLines="0" zoomScale="120" zoomScaleNormal="120" workbookViewId="0"/>
  </sheetViews>
  <sheetFormatPr defaultColWidth="9"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56" t="s">
        <v>0</v>
      </c>
      <c r="B1" s="89" t="s">
        <v>139</v>
      </c>
      <c r="C1" s="90"/>
      <c r="E1" s="66" t="s">
        <v>193</v>
      </c>
      <c r="F1" s="80" t="s">
        <v>122</v>
      </c>
      <c r="G1" s="79" t="s">
        <v>123</v>
      </c>
      <c r="H1" s="80" t="s">
        <v>124</v>
      </c>
      <c r="J1" s="21" t="s">
        <v>22</v>
      </c>
      <c r="K1" s="22" t="s">
        <v>127</v>
      </c>
      <c r="M1" s="21" t="s">
        <v>187</v>
      </c>
      <c r="N1" s="80" t="s">
        <v>189</v>
      </c>
      <c r="O1" s="40" t="s">
        <v>190</v>
      </c>
      <c r="P1" s="36" t="s">
        <v>123</v>
      </c>
    </row>
    <row r="2" spans="1:16" x14ac:dyDescent="0.4">
      <c r="A2" s="57" t="s">
        <v>9</v>
      </c>
      <c r="B2" s="83">
        <v>3</v>
      </c>
      <c r="C2" s="84"/>
      <c r="E2" s="67" t="s">
        <v>72</v>
      </c>
      <c r="F2" s="63" t="s">
        <v>26</v>
      </c>
      <c r="G2" s="49">
        <v>2</v>
      </c>
      <c r="H2" s="24">
        <f>IF(B$25=0,0,G2/B$25)</f>
        <v>2</v>
      </c>
      <c r="J2" s="23">
        <v>0</v>
      </c>
      <c r="K2" s="25">
        <v>0</v>
      </c>
      <c r="M2" s="23" t="s">
        <v>181</v>
      </c>
      <c r="N2" s="44">
        <f t="shared" ref="N2:N7" si="0">IF(P2=0,0,O2/P2)</f>
        <v>-8666.6666666666661</v>
      </c>
      <c r="O2" s="41">
        <v>-26000</v>
      </c>
      <c r="P2" s="39">
        <v>3</v>
      </c>
    </row>
    <row r="3" spans="1:16" x14ac:dyDescent="0.4">
      <c r="A3" s="58" t="s">
        <v>8</v>
      </c>
      <c r="B3" s="91">
        <v>16</v>
      </c>
      <c r="C3" s="92"/>
      <c r="E3" s="68" t="s">
        <v>69</v>
      </c>
      <c r="F3" s="64" t="s">
        <v>23</v>
      </c>
      <c r="G3" s="50">
        <v>1</v>
      </c>
      <c r="H3" s="27">
        <f>IF(B$25=0,0,G3/B$25)</f>
        <v>1</v>
      </c>
      <c r="J3" s="26">
        <v>1</v>
      </c>
      <c r="K3" s="28">
        <v>7</v>
      </c>
      <c r="M3" s="26" t="s">
        <v>182</v>
      </c>
      <c r="N3" s="45">
        <f t="shared" si="0"/>
        <v>-250</v>
      </c>
      <c r="O3" s="42">
        <v>-500</v>
      </c>
      <c r="P3" s="37">
        <v>2</v>
      </c>
    </row>
    <row r="4" spans="1:16" x14ac:dyDescent="0.4">
      <c r="A4" s="58" t="s">
        <v>6</v>
      </c>
      <c r="B4" s="93">
        <v>-25.5</v>
      </c>
      <c r="C4" s="94"/>
      <c r="E4" s="68" t="s">
        <v>75</v>
      </c>
      <c r="F4" s="64" t="s">
        <v>28</v>
      </c>
      <c r="G4" s="50">
        <v>1</v>
      </c>
      <c r="H4" s="27">
        <f>IF(B$25=0,0,G4/B$25)</f>
        <v>1</v>
      </c>
      <c r="J4" s="26">
        <v>2</v>
      </c>
      <c r="K4" s="28">
        <v>-23.5</v>
      </c>
      <c r="M4" s="26" t="s">
        <v>183</v>
      </c>
      <c r="N4" s="45">
        <f t="shared" si="0"/>
        <v>-3500</v>
      </c>
      <c r="O4" s="42">
        <v>-7000</v>
      </c>
      <c r="P4" s="37">
        <v>2</v>
      </c>
    </row>
    <row r="5" spans="1:16" x14ac:dyDescent="0.4">
      <c r="A5" s="58" t="s">
        <v>7</v>
      </c>
      <c r="B5" s="93">
        <f>IF(B$2=0,0,B$4/B$2)</f>
        <v>-8.5</v>
      </c>
      <c r="C5" s="94"/>
      <c r="E5" s="68" t="s">
        <v>77</v>
      </c>
      <c r="F5" s="64" t="s">
        <v>30</v>
      </c>
      <c r="G5" s="50">
        <v>1</v>
      </c>
      <c r="H5" s="27">
        <f>IF(B$25=0,0,G5/B$25)</f>
        <v>1</v>
      </c>
      <c r="J5" s="26">
        <v>3</v>
      </c>
      <c r="K5" s="28">
        <v>-25.5</v>
      </c>
      <c r="M5" s="26" t="s">
        <v>184</v>
      </c>
      <c r="N5" s="45">
        <f t="shared" si="0"/>
        <v>0</v>
      </c>
      <c r="O5" s="42">
        <v>0</v>
      </c>
      <c r="P5" s="37">
        <v>1</v>
      </c>
    </row>
    <row r="6" spans="1:16" x14ac:dyDescent="0.4">
      <c r="A6" s="58" t="s">
        <v>1</v>
      </c>
      <c r="B6" s="95">
        <f>IF(B$2=0,0,(B$7*1+B$8*2+B$9*3)/B$2)</f>
        <v>2.3333333333333335</v>
      </c>
      <c r="C6" s="96"/>
      <c r="E6" s="68" t="s">
        <v>70</v>
      </c>
      <c r="F6" s="64" t="s">
        <v>24</v>
      </c>
      <c r="G6" s="50">
        <v>0</v>
      </c>
      <c r="H6" s="27">
        <f>IF(B$25=0,0,G6/B$25)</f>
        <v>0</v>
      </c>
      <c r="M6" s="26" t="s">
        <v>185</v>
      </c>
      <c r="N6" s="45">
        <f t="shared" si="0"/>
        <v>8000</v>
      </c>
      <c r="O6" s="42">
        <v>8000</v>
      </c>
      <c r="P6" s="37">
        <v>1</v>
      </c>
    </row>
    <row r="7" spans="1:16" x14ac:dyDescent="0.4">
      <c r="A7" s="58" t="s">
        <v>2</v>
      </c>
      <c r="B7" s="50">
        <v>0</v>
      </c>
      <c r="C7" s="27">
        <f>IF(B$2=0,0,B7/B$2)</f>
        <v>0</v>
      </c>
      <c r="E7" s="68" t="s">
        <v>71</v>
      </c>
      <c r="F7" s="64" t="s">
        <v>25</v>
      </c>
      <c r="G7" s="50">
        <v>0</v>
      </c>
      <c r="H7" s="27">
        <f>IF(B$25=0,0,G7/B$25)</f>
        <v>0</v>
      </c>
      <c r="M7" s="31" t="s">
        <v>186</v>
      </c>
      <c r="N7" s="46">
        <f t="shared" si="0"/>
        <v>-1000</v>
      </c>
      <c r="O7" s="43">
        <v>-1000</v>
      </c>
      <c r="P7" s="38">
        <v>1</v>
      </c>
    </row>
    <row r="8" spans="1:16" x14ac:dyDescent="0.4">
      <c r="A8" s="58" t="s">
        <v>3</v>
      </c>
      <c r="B8" s="50">
        <v>2</v>
      </c>
      <c r="C8" s="27">
        <f t="shared" ref="C8:C9" si="1">IF(B$2=0,0,B8/B$2)</f>
        <v>0.66666666666666663</v>
      </c>
      <c r="E8" s="68" t="s">
        <v>73</v>
      </c>
      <c r="F8" s="64" t="s">
        <v>27</v>
      </c>
      <c r="G8" s="50">
        <v>0</v>
      </c>
      <c r="H8" s="27">
        <f>IF(B$25=0,0,G8/B$25)</f>
        <v>0</v>
      </c>
    </row>
    <row r="9" spans="1:16" x14ac:dyDescent="0.4">
      <c r="A9" s="59" t="s">
        <v>4</v>
      </c>
      <c r="B9" s="51">
        <v>1</v>
      </c>
      <c r="C9" s="29">
        <f t="shared" si="1"/>
        <v>0.33333333333333331</v>
      </c>
      <c r="E9" s="68" t="s">
        <v>74</v>
      </c>
      <c r="F9" s="64" t="s">
        <v>12</v>
      </c>
      <c r="G9" s="50">
        <v>0</v>
      </c>
      <c r="H9" s="27">
        <f>IF(B$25=0,0,G9/B$25)</f>
        <v>0</v>
      </c>
    </row>
    <row r="10" spans="1:16" x14ac:dyDescent="0.4">
      <c r="A10" s="59" t="s">
        <v>21</v>
      </c>
      <c r="B10" s="51">
        <v>0</v>
      </c>
      <c r="C10" s="29">
        <f>IF(B$2=0,0,B10/B$2)</f>
        <v>0</v>
      </c>
      <c r="E10" s="68" t="s">
        <v>76</v>
      </c>
      <c r="F10" s="64" t="s">
        <v>29</v>
      </c>
      <c r="G10" s="50">
        <v>0</v>
      </c>
      <c r="H10" s="27">
        <f>IF(B$25=0,0,G10/B$25)</f>
        <v>0</v>
      </c>
    </row>
    <row r="11" spans="1:16" x14ac:dyDescent="0.4">
      <c r="A11" s="60" t="s">
        <v>191</v>
      </c>
      <c r="B11" s="52">
        <v>0</v>
      </c>
      <c r="C11" s="32">
        <f>IF(B$2=0,0,B11/B$2)</f>
        <v>0</v>
      </c>
      <c r="E11" s="68" t="s">
        <v>78</v>
      </c>
      <c r="F11" s="64" t="s">
        <v>31</v>
      </c>
      <c r="G11" s="50">
        <v>0</v>
      </c>
      <c r="H11" s="27">
        <f>IF(B$25=0,0,G11/B$25)</f>
        <v>0</v>
      </c>
    </row>
    <row r="12" spans="1:16" x14ac:dyDescent="0.4">
      <c r="A12" s="61" t="s">
        <v>130</v>
      </c>
      <c r="B12" s="53">
        <v>5</v>
      </c>
      <c r="C12" s="35">
        <f>IF(B$24=0,0,B12/B$24)</f>
        <v>0.45454545454545453</v>
      </c>
      <c r="E12" s="68" t="s">
        <v>79</v>
      </c>
      <c r="F12" s="64" t="s">
        <v>32</v>
      </c>
      <c r="G12" s="50">
        <v>0</v>
      </c>
      <c r="H12" s="27">
        <f>IF(B$25=0,0,G12/B$25)</f>
        <v>0</v>
      </c>
    </row>
    <row r="13" spans="1:16" x14ac:dyDescent="0.4">
      <c r="A13" s="58" t="s">
        <v>125</v>
      </c>
      <c r="B13" s="50">
        <v>0</v>
      </c>
      <c r="C13" s="27">
        <f>IF(B$24=0,0,B13/B$24)</f>
        <v>0</v>
      </c>
      <c r="E13" s="68" t="s">
        <v>80</v>
      </c>
      <c r="F13" s="64" t="s">
        <v>33</v>
      </c>
      <c r="G13" s="50">
        <v>0</v>
      </c>
      <c r="H13" s="27">
        <f>IF(B$25=0,0,G13/B$25)</f>
        <v>0</v>
      </c>
    </row>
    <row r="14" spans="1:16" x14ac:dyDescent="0.4">
      <c r="A14" s="57" t="s">
        <v>132</v>
      </c>
      <c r="B14" s="49">
        <v>1</v>
      </c>
      <c r="C14" s="24">
        <f>IF(B$12=0,0,B14/B$12)</f>
        <v>0.2</v>
      </c>
      <c r="E14" s="68" t="s">
        <v>81</v>
      </c>
      <c r="F14" s="64" t="s">
        <v>34</v>
      </c>
      <c r="G14" s="50">
        <v>0</v>
      </c>
      <c r="H14" s="27">
        <f>IF(B$25=0,0,G14/B$25)</f>
        <v>0</v>
      </c>
    </row>
    <row r="15" spans="1:16" x14ac:dyDescent="0.4">
      <c r="A15" s="57" t="s">
        <v>133</v>
      </c>
      <c r="B15" s="49">
        <v>0</v>
      </c>
      <c r="C15" s="24">
        <f>IF(B$13=0,0,B15/B$13)</f>
        <v>0</v>
      </c>
      <c r="E15" s="68" t="s">
        <v>82</v>
      </c>
      <c r="F15" s="64" t="s">
        <v>35</v>
      </c>
      <c r="G15" s="50">
        <v>0</v>
      </c>
      <c r="H15" s="27">
        <f>IF(B$25=0,0,G15/B$25)</f>
        <v>0</v>
      </c>
    </row>
    <row r="16" spans="1:16" x14ac:dyDescent="0.4">
      <c r="A16" s="57" t="s">
        <v>10</v>
      </c>
      <c r="B16" s="49">
        <f>B18+B17</f>
        <v>3</v>
      </c>
      <c r="C16" s="24">
        <f>IF(B$3=0,0,B16/B$3)</f>
        <v>0.1875</v>
      </c>
      <c r="E16" s="68" t="s">
        <v>83</v>
      </c>
      <c r="F16" s="64" t="s">
        <v>36</v>
      </c>
      <c r="G16" s="50">
        <v>0</v>
      </c>
      <c r="H16" s="27">
        <f>IF(B$25=0,0,G16/B$25)</f>
        <v>0</v>
      </c>
    </row>
    <row r="17" spans="1:8" x14ac:dyDescent="0.4">
      <c r="A17" s="58" t="s">
        <v>12</v>
      </c>
      <c r="B17" s="50">
        <v>0</v>
      </c>
      <c r="C17" s="27">
        <f>IF(B$16=0,0,B17/B$16)</f>
        <v>0</v>
      </c>
      <c r="E17" s="68" t="s">
        <v>84</v>
      </c>
      <c r="F17" s="64" t="s">
        <v>37</v>
      </c>
      <c r="G17" s="50">
        <v>0</v>
      </c>
      <c r="H17" s="27">
        <f>IF(B$25=0,0,G17/B$25)</f>
        <v>0</v>
      </c>
    </row>
    <row r="18" spans="1:8" x14ac:dyDescent="0.4">
      <c r="A18" s="58" t="s">
        <v>11</v>
      </c>
      <c r="B18" s="50">
        <v>3</v>
      </c>
      <c r="C18" s="27">
        <f>IF(B$16=0,0,B18/B$16)</f>
        <v>1</v>
      </c>
      <c r="E18" s="68" t="s">
        <v>85</v>
      </c>
      <c r="F18" s="64" t="s">
        <v>38</v>
      </c>
      <c r="G18" s="50">
        <v>0</v>
      </c>
      <c r="H18" s="27">
        <f>IF(B$25=0,0,G18/B$25)</f>
        <v>0</v>
      </c>
    </row>
    <row r="19" spans="1:8" x14ac:dyDescent="0.4">
      <c r="A19" s="58" t="s">
        <v>13</v>
      </c>
      <c r="B19" s="50">
        <v>2</v>
      </c>
      <c r="C19" s="27">
        <f>IF(B$3=0,0,B19/B$3)</f>
        <v>0.125</v>
      </c>
      <c r="E19" s="68" t="s">
        <v>86</v>
      </c>
      <c r="F19" s="64" t="s">
        <v>39</v>
      </c>
      <c r="G19" s="50">
        <v>0</v>
      </c>
      <c r="H19" s="27">
        <f>IF(B$25=0,0,G19/B$25)</f>
        <v>0</v>
      </c>
    </row>
    <row r="20" spans="1:8" x14ac:dyDescent="0.4">
      <c r="A20" s="58" t="s">
        <v>5</v>
      </c>
      <c r="B20" s="54">
        <f>IF(B$16=0,0,C20/B$16)</f>
        <v>8000</v>
      </c>
      <c r="C20" s="30">
        <v>24000</v>
      </c>
      <c r="E20" s="68" t="s">
        <v>87</v>
      </c>
      <c r="F20" s="64" t="s">
        <v>40</v>
      </c>
      <c r="G20" s="50">
        <v>0</v>
      </c>
      <c r="H20" s="27">
        <f>IF(B$25=0,0,G20/B$25)</f>
        <v>0</v>
      </c>
    </row>
    <row r="21" spans="1:8" x14ac:dyDescent="0.4">
      <c r="A21" s="60" t="s">
        <v>14</v>
      </c>
      <c r="B21" s="55">
        <f>IF(B$19=0,0,C21/B$19)</f>
        <v>-12000</v>
      </c>
      <c r="C21" s="48">
        <v>-24000</v>
      </c>
      <c r="E21" s="68" t="s">
        <v>88</v>
      </c>
      <c r="F21" s="64" t="s">
        <v>41</v>
      </c>
      <c r="G21" s="50">
        <v>0</v>
      </c>
      <c r="H21" s="27">
        <f>IF(B$25=0,0,G21/B$25)</f>
        <v>0</v>
      </c>
    </row>
    <row r="22" spans="1:8" x14ac:dyDescent="0.4">
      <c r="A22" s="57" t="s">
        <v>178</v>
      </c>
      <c r="B22" s="49">
        <v>3</v>
      </c>
      <c r="C22" s="24">
        <f>IF(B$3=0,0,B22/B$3)</f>
        <v>0.1875</v>
      </c>
      <c r="E22" s="68" t="s">
        <v>89</v>
      </c>
      <c r="F22" s="64" t="s">
        <v>42</v>
      </c>
      <c r="G22" s="50">
        <v>0</v>
      </c>
      <c r="H22" s="27">
        <f>IF(B$25=0,0,G22/B$25)</f>
        <v>0</v>
      </c>
    </row>
    <row r="23" spans="1:8" x14ac:dyDescent="0.4">
      <c r="A23" s="60" t="s">
        <v>179</v>
      </c>
      <c r="B23" s="52">
        <v>0</v>
      </c>
      <c r="C23" s="32">
        <f>IF(B$22=0,0,B23/B$22)</f>
        <v>0</v>
      </c>
      <c r="E23" s="68" t="s">
        <v>90</v>
      </c>
      <c r="F23" s="64" t="s">
        <v>43</v>
      </c>
      <c r="G23" s="50">
        <v>0</v>
      </c>
      <c r="H23" s="27">
        <f>IF(B$25=0,0,G23/B$25)</f>
        <v>0</v>
      </c>
    </row>
    <row r="24" spans="1:8" x14ac:dyDescent="0.4">
      <c r="A24" s="57" t="s">
        <v>128</v>
      </c>
      <c r="B24" s="83">
        <v>11</v>
      </c>
      <c r="C24" s="84"/>
      <c r="E24" s="68" t="s">
        <v>91</v>
      </c>
      <c r="F24" s="64" t="s">
        <v>44</v>
      </c>
      <c r="G24" s="50">
        <v>0</v>
      </c>
      <c r="H24" s="27">
        <f>IF(B$25=0,0,G24/B$25)</f>
        <v>0</v>
      </c>
    </row>
    <row r="25" spans="1:8" x14ac:dyDescent="0.4">
      <c r="A25" s="60" t="s">
        <v>129</v>
      </c>
      <c r="B25" s="85">
        <v>1</v>
      </c>
      <c r="C25" s="86"/>
      <c r="E25" s="68" t="s">
        <v>92</v>
      </c>
      <c r="F25" s="64" t="s">
        <v>45</v>
      </c>
      <c r="G25" s="50">
        <v>0</v>
      </c>
      <c r="H25" s="27">
        <f>IF(B$25=0,0,G25/B$25)</f>
        <v>0</v>
      </c>
    </row>
    <row r="26" spans="1:8" x14ac:dyDescent="0.4">
      <c r="A26" s="75" t="s">
        <v>196</v>
      </c>
      <c r="B26" s="87">
        <v>2</v>
      </c>
      <c r="C26" s="88"/>
      <c r="E26" s="68" t="s">
        <v>93</v>
      </c>
      <c r="F26" s="64" t="s">
        <v>46</v>
      </c>
      <c r="G26" s="50">
        <v>0</v>
      </c>
      <c r="H26" s="27">
        <f>IF(B$25=0,0,G26/B$25)</f>
        <v>0</v>
      </c>
    </row>
    <row r="27" spans="1:8" x14ac:dyDescent="0.4">
      <c r="A27" s="60" t="s">
        <v>198</v>
      </c>
      <c r="B27" s="76">
        <v>0</v>
      </c>
      <c r="C27" s="32">
        <f>IF(B$3=0,0,B27/B$3)</f>
        <v>0</v>
      </c>
      <c r="E27" s="68" t="s">
        <v>94</v>
      </c>
      <c r="F27" s="64" t="s">
        <v>47</v>
      </c>
      <c r="G27" s="50">
        <v>0</v>
      </c>
      <c r="H27" s="27">
        <f>IF(B$25=0,0,G27/B$25)</f>
        <v>0</v>
      </c>
    </row>
    <row r="28" spans="1:8" x14ac:dyDescent="0.4">
      <c r="E28" s="68" t="s">
        <v>95</v>
      </c>
      <c r="F28" s="64" t="s">
        <v>48</v>
      </c>
      <c r="G28" s="50">
        <v>0</v>
      </c>
      <c r="H28" s="27">
        <f>IF(B$25=0,0,G28/B$25)</f>
        <v>0</v>
      </c>
    </row>
    <row r="29" spans="1:8" x14ac:dyDescent="0.4">
      <c r="E29" s="68" t="s">
        <v>96</v>
      </c>
      <c r="F29" s="64" t="s">
        <v>49</v>
      </c>
      <c r="G29" s="50">
        <v>0</v>
      </c>
      <c r="H29" s="27">
        <f>IF(B$25=0,0,G29/B$25)</f>
        <v>0</v>
      </c>
    </row>
    <row r="30" spans="1:8" x14ac:dyDescent="0.4">
      <c r="E30" s="68" t="s">
        <v>97</v>
      </c>
      <c r="F30" s="64" t="s">
        <v>50</v>
      </c>
      <c r="G30" s="50">
        <v>0</v>
      </c>
      <c r="H30" s="27">
        <f>IF(B$25=0,0,G30/B$25)</f>
        <v>0</v>
      </c>
    </row>
    <row r="31" spans="1:8" x14ac:dyDescent="0.4">
      <c r="E31" s="68" t="s">
        <v>98</v>
      </c>
      <c r="F31" s="64" t="s">
        <v>51</v>
      </c>
      <c r="G31" s="50">
        <v>0</v>
      </c>
      <c r="H31" s="27">
        <f>IF(B$25=0,0,G31/B$25)</f>
        <v>0</v>
      </c>
    </row>
    <row r="32" spans="1:8" x14ac:dyDescent="0.4">
      <c r="E32" s="68" t="s">
        <v>99</v>
      </c>
      <c r="F32" s="64" t="s">
        <v>52</v>
      </c>
      <c r="G32" s="50">
        <v>0</v>
      </c>
      <c r="H32" s="27">
        <f>IF(B$25=0,0,G32/B$25)</f>
        <v>0</v>
      </c>
    </row>
    <row r="33" spans="5:8" x14ac:dyDescent="0.4">
      <c r="E33" s="68" t="s">
        <v>100</v>
      </c>
      <c r="F33" s="64" t="s">
        <v>53</v>
      </c>
      <c r="G33" s="50">
        <v>0</v>
      </c>
      <c r="H33" s="27">
        <f>IF(B$25=0,0,G33/B$25)</f>
        <v>0</v>
      </c>
    </row>
    <row r="34" spans="5:8" x14ac:dyDescent="0.4">
      <c r="E34" s="68" t="s">
        <v>101</v>
      </c>
      <c r="F34" s="64" t="s">
        <v>54</v>
      </c>
      <c r="G34" s="50">
        <v>0</v>
      </c>
      <c r="H34" s="27">
        <f>IF(B$25=0,0,G34/B$25)</f>
        <v>0</v>
      </c>
    </row>
    <row r="35" spans="5:8" x14ac:dyDescent="0.4">
      <c r="E35" s="68" t="s">
        <v>102</v>
      </c>
      <c r="F35" s="64" t="s">
        <v>55</v>
      </c>
      <c r="G35" s="50">
        <v>0</v>
      </c>
      <c r="H35" s="27">
        <f>IF(B$25=0,0,G35/B$25)</f>
        <v>0</v>
      </c>
    </row>
    <row r="36" spans="5:8" x14ac:dyDescent="0.4">
      <c r="E36" s="68" t="s">
        <v>103</v>
      </c>
      <c r="F36" s="64" t="s">
        <v>56</v>
      </c>
      <c r="G36" s="50">
        <v>0</v>
      </c>
      <c r="H36" s="27">
        <f>IF(B$25=0,0,G36/B$25)</f>
        <v>0</v>
      </c>
    </row>
    <row r="37" spans="5:8" x14ac:dyDescent="0.4">
      <c r="E37" s="68" t="s">
        <v>104</v>
      </c>
      <c r="F37" s="64" t="s">
        <v>57</v>
      </c>
      <c r="G37" s="50">
        <v>0</v>
      </c>
      <c r="H37" s="27">
        <f>IF(B$25=0,0,G37/B$25)</f>
        <v>0</v>
      </c>
    </row>
    <row r="38" spans="5:8" x14ac:dyDescent="0.4">
      <c r="E38" s="68" t="s">
        <v>105</v>
      </c>
      <c r="F38" s="64" t="s">
        <v>58</v>
      </c>
      <c r="G38" s="50">
        <v>0</v>
      </c>
      <c r="H38" s="27">
        <f>IF(B$25=0,0,G38/B$25)</f>
        <v>0</v>
      </c>
    </row>
    <row r="39" spans="5:8" x14ac:dyDescent="0.4">
      <c r="E39" s="68" t="s">
        <v>106</v>
      </c>
      <c r="F39" s="64" t="s">
        <v>59</v>
      </c>
      <c r="G39" s="50">
        <v>0</v>
      </c>
      <c r="H39" s="27">
        <f>IF(B$25=0,0,G39/B$25)</f>
        <v>0</v>
      </c>
    </row>
    <row r="40" spans="5:8" x14ac:dyDescent="0.4">
      <c r="E40" s="68" t="s">
        <v>107</v>
      </c>
      <c r="F40" s="64" t="s">
        <v>60</v>
      </c>
      <c r="G40" s="50">
        <v>0</v>
      </c>
      <c r="H40" s="27">
        <f>IF(B$25=0,0,G40/B$25)</f>
        <v>0</v>
      </c>
    </row>
    <row r="41" spans="5:8" x14ac:dyDescent="0.4">
      <c r="E41" s="68" t="s">
        <v>108</v>
      </c>
      <c r="F41" s="64" t="s">
        <v>61</v>
      </c>
      <c r="G41" s="50">
        <v>0</v>
      </c>
      <c r="H41" s="27">
        <f>IF(B$25=0,0,G41/B$25)</f>
        <v>0</v>
      </c>
    </row>
    <row r="42" spans="5:8" x14ac:dyDescent="0.4">
      <c r="E42" s="68" t="s">
        <v>109</v>
      </c>
      <c r="F42" s="64" t="s">
        <v>62</v>
      </c>
      <c r="G42" s="50">
        <v>0</v>
      </c>
      <c r="H42" s="27">
        <f>IF(B$25=0,0,G42/B$25)</f>
        <v>0</v>
      </c>
    </row>
    <row r="43" spans="5:8" x14ac:dyDescent="0.4">
      <c r="E43" s="68" t="s">
        <v>110</v>
      </c>
      <c r="F43" s="64" t="s">
        <v>63</v>
      </c>
      <c r="G43" s="50">
        <v>0</v>
      </c>
      <c r="H43" s="27">
        <f>IF(B$25=0,0,G43/B$25)</f>
        <v>0</v>
      </c>
    </row>
    <row r="44" spans="5:8" x14ac:dyDescent="0.4">
      <c r="E44" s="68" t="s">
        <v>111</v>
      </c>
      <c r="F44" s="64" t="s">
        <v>64</v>
      </c>
      <c r="G44" s="50">
        <v>0</v>
      </c>
      <c r="H44" s="27">
        <f>IF(B$25=0,0,G44/B$25)</f>
        <v>0</v>
      </c>
    </row>
    <row r="45" spans="5:8" x14ac:dyDescent="0.4">
      <c r="E45" s="68" t="s">
        <v>112</v>
      </c>
      <c r="F45" s="64" t="s">
        <v>119</v>
      </c>
      <c r="G45" s="50">
        <v>0</v>
      </c>
      <c r="H45" s="27">
        <f>IF(B$25=0,0,G45/B$25)</f>
        <v>0</v>
      </c>
    </row>
    <row r="46" spans="5:8" x14ac:dyDescent="0.4">
      <c r="E46" s="68" t="s">
        <v>113</v>
      </c>
      <c r="F46" s="64" t="s">
        <v>120</v>
      </c>
      <c r="G46" s="50">
        <v>0</v>
      </c>
      <c r="H46" s="27">
        <f>IF(B$25=0,0,G46/B$25)</f>
        <v>0</v>
      </c>
    </row>
    <row r="47" spans="5:8" x14ac:dyDescent="0.4">
      <c r="E47" s="68" t="s">
        <v>114</v>
      </c>
      <c r="F47" s="64" t="s">
        <v>121</v>
      </c>
      <c r="G47" s="50">
        <v>0</v>
      </c>
      <c r="H47" s="27">
        <f>IF(B$25=0,0,G47/B$25)</f>
        <v>0</v>
      </c>
    </row>
    <row r="48" spans="5:8" x14ac:dyDescent="0.4">
      <c r="E48" s="68" t="s">
        <v>115</v>
      </c>
      <c r="F48" s="64" t="s">
        <v>65</v>
      </c>
      <c r="G48" s="50">
        <v>0</v>
      </c>
      <c r="H48" s="27">
        <f>IF(B$25=0,0,G48/B$25)</f>
        <v>0</v>
      </c>
    </row>
    <row r="49" spans="5:8" x14ac:dyDescent="0.4">
      <c r="E49" s="68" t="s">
        <v>116</v>
      </c>
      <c r="F49" s="64" t="s">
        <v>66</v>
      </c>
      <c r="G49" s="50">
        <v>0</v>
      </c>
      <c r="H49" s="27">
        <f>IF(B$25=0,0,G49/B$25)</f>
        <v>0</v>
      </c>
    </row>
    <row r="50" spans="5:8" x14ac:dyDescent="0.4">
      <c r="E50" s="68" t="s">
        <v>117</v>
      </c>
      <c r="F50" s="64" t="s">
        <v>67</v>
      </c>
      <c r="G50" s="50">
        <v>0</v>
      </c>
      <c r="H50" s="27">
        <f>IF(B$25=0,0,G50/B$25)</f>
        <v>0</v>
      </c>
    </row>
    <row r="51" spans="5:8" x14ac:dyDescent="0.4">
      <c r="E51" s="69" t="s">
        <v>118</v>
      </c>
      <c r="F51" s="65" t="s">
        <v>68</v>
      </c>
      <c r="G51" s="52">
        <v>0</v>
      </c>
      <c r="H51" s="32">
        <f>IF(B$25=0,0,G51/B$25)</f>
        <v>0</v>
      </c>
    </row>
  </sheetData>
  <sortState ref="E2:H51">
    <sortCondition descending="1" ref="H1"/>
  </sortState>
  <mergeCells count="9">
    <mergeCell ref="B24:C24"/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F8B925-7003-4F78-98E7-A887EB02205A}">
  <sheetPr codeName="Sheet8"/>
  <dimension ref="A1:P108"/>
  <sheetViews>
    <sheetView showGridLines="0" zoomScale="120" zoomScaleNormal="120" workbookViewId="0"/>
  </sheetViews>
  <sheetFormatPr defaultColWidth="9"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56" t="s">
        <v>0</v>
      </c>
      <c r="B1" s="89" t="s">
        <v>141</v>
      </c>
      <c r="C1" s="90"/>
      <c r="E1" s="66" t="s">
        <v>193</v>
      </c>
      <c r="F1" s="80" t="s">
        <v>122</v>
      </c>
      <c r="G1" s="79" t="s">
        <v>123</v>
      </c>
      <c r="H1" s="80" t="s">
        <v>124</v>
      </c>
      <c r="J1" s="21" t="s">
        <v>22</v>
      </c>
      <c r="K1" s="22" t="s">
        <v>127</v>
      </c>
      <c r="M1" s="21" t="s">
        <v>187</v>
      </c>
      <c r="N1" s="80" t="s">
        <v>189</v>
      </c>
      <c r="O1" s="40" t="s">
        <v>190</v>
      </c>
      <c r="P1" s="36" t="s">
        <v>123</v>
      </c>
    </row>
    <row r="2" spans="1:16" x14ac:dyDescent="0.4">
      <c r="A2" s="57" t="s">
        <v>9</v>
      </c>
      <c r="B2" s="83">
        <v>106</v>
      </c>
      <c r="C2" s="84"/>
      <c r="E2" s="67" t="s">
        <v>73</v>
      </c>
      <c r="F2" s="63" t="s">
        <v>27</v>
      </c>
      <c r="G2" s="49">
        <v>114</v>
      </c>
      <c r="H2" s="24">
        <f>IF(B$25=0,0,G2/B$25)</f>
        <v>0.77027027027027029</v>
      </c>
      <c r="J2" s="23">
        <v>0</v>
      </c>
      <c r="K2" s="25">
        <v>0</v>
      </c>
      <c r="M2" s="23" t="s">
        <v>181</v>
      </c>
      <c r="N2" s="44">
        <f t="shared" ref="N2:N7" si="0">IF(P2=0,0,O2/P2)</f>
        <v>-603.84615384615381</v>
      </c>
      <c r="O2" s="41">
        <v>-62800</v>
      </c>
      <c r="P2" s="39">
        <v>104</v>
      </c>
    </row>
    <row r="3" spans="1:16" x14ac:dyDescent="0.4">
      <c r="A3" s="58" t="s">
        <v>8</v>
      </c>
      <c r="B3" s="91">
        <v>812</v>
      </c>
      <c r="C3" s="92"/>
      <c r="E3" s="68" t="s">
        <v>71</v>
      </c>
      <c r="F3" s="64" t="s">
        <v>25</v>
      </c>
      <c r="G3" s="50">
        <v>98</v>
      </c>
      <c r="H3" s="27">
        <f>IF(B$25=0,0,G3/B$25)</f>
        <v>0.66216216216216217</v>
      </c>
      <c r="J3" s="26">
        <v>1</v>
      </c>
      <c r="K3" s="28">
        <v>39.9</v>
      </c>
      <c r="M3" s="26" t="s">
        <v>182</v>
      </c>
      <c r="N3" s="45">
        <f t="shared" si="0"/>
        <v>-2044</v>
      </c>
      <c r="O3" s="42">
        <v>-204400</v>
      </c>
      <c r="P3" s="37">
        <v>100</v>
      </c>
    </row>
    <row r="4" spans="1:16" x14ac:dyDescent="0.4">
      <c r="A4" s="58" t="s">
        <v>6</v>
      </c>
      <c r="B4" s="93">
        <v>-423.49999999999994</v>
      </c>
      <c r="C4" s="94"/>
      <c r="E4" s="68" t="s">
        <v>69</v>
      </c>
      <c r="F4" s="64" t="s">
        <v>23</v>
      </c>
      <c r="G4" s="50">
        <v>89</v>
      </c>
      <c r="H4" s="27">
        <f>IF(B$25=0,0,G4/B$25)</f>
        <v>0.60135135135135132</v>
      </c>
      <c r="J4" s="26">
        <v>2</v>
      </c>
      <c r="K4" s="28">
        <v>-0.89999999999999858</v>
      </c>
      <c r="M4" s="26" t="s">
        <v>183</v>
      </c>
      <c r="N4" s="45">
        <f t="shared" si="0"/>
        <v>2568.0412371134021</v>
      </c>
      <c r="O4" s="42">
        <v>249100</v>
      </c>
      <c r="P4" s="37">
        <v>97</v>
      </c>
    </row>
    <row r="5" spans="1:16" x14ac:dyDescent="0.4">
      <c r="A5" s="58" t="s">
        <v>7</v>
      </c>
      <c r="B5" s="93">
        <f>IF(B$2=0,0,B$4/B$2)</f>
        <v>-3.9952830188679238</v>
      </c>
      <c r="C5" s="94"/>
      <c r="E5" s="68" t="s">
        <v>78</v>
      </c>
      <c r="F5" s="64" t="s">
        <v>31</v>
      </c>
      <c r="G5" s="50">
        <v>82</v>
      </c>
      <c r="H5" s="27">
        <f>IF(B$25=0,0,G5/B$25)</f>
        <v>0.55405405405405406</v>
      </c>
      <c r="J5" s="26">
        <v>3</v>
      </c>
      <c r="K5" s="28">
        <v>-35.4</v>
      </c>
      <c r="M5" s="26" t="s">
        <v>184</v>
      </c>
      <c r="N5" s="45">
        <f t="shared" si="0"/>
        <v>-1325.5813953488373</v>
      </c>
      <c r="O5" s="42">
        <v>-114000</v>
      </c>
      <c r="P5" s="37">
        <v>86</v>
      </c>
    </row>
    <row r="6" spans="1:16" x14ac:dyDescent="0.4">
      <c r="A6" s="58" t="s">
        <v>1</v>
      </c>
      <c r="B6" s="95">
        <f>IF(B$2=0,0,(B$7*1+B$8*2+B$9*3)/B$2)</f>
        <v>2.141509433962264</v>
      </c>
      <c r="C6" s="96"/>
      <c r="E6" s="68" t="s">
        <v>74</v>
      </c>
      <c r="F6" s="64" t="s">
        <v>12</v>
      </c>
      <c r="G6" s="50">
        <v>51</v>
      </c>
      <c r="H6" s="27">
        <f>IF(B$25=0,0,G6/B$25)</f>
        <v>0.34459459459459457</v>
      </c>
      <c r="J6" s="26">
        <v>4</v>
      </c>
      <c r="K6" s="28">
        <v>3.6000000000000014</v>
      </c>
      <c r="M6" s="26" t="s">
        <v>185</v>
      </c>
      <c r="N6" s="45">
        <f t="shared" si="0"/>
        <v>-2777.4647887323945</v>
      </c>
      <c r="O6" s="42">
        <v>-197200</v>
      </c>
      <c r="P6" s="37">
        <v>71</v>
      </c>
    </row>
    <row r="7" spans="1:16" x14ac:dyDescent="0.4">
      <c r="A7" s="58" t="s">
        <v>2</v>
      </c>
      <c r="B7" s="50">
        <v>30</v>
      </c>
      <c r="C7" s="27">
        <f>IF(B$2=0,0,B7/B$2)</f>
        <v>0.28301886792452829</v>
      </c>
      <c r="E7" s="68" t="s">
        <v>72</v>
      </c>
      <c r="F7" s="64" t="s">
        <v>26</v>
      </c>
      <c r="G7" s="50">
        <v>46</v>
      </c>
      <c r="H7" s="27">
        <f>IF(B$25=0,0,G7/B$25)</f>
        <v>0.3108108108108108</v>
      </c>
      <c r="J7" s="26">
        <v>5</v>
      </c>
      <c r="K7" s="28">
        <v>13.600000000000001</v>
      </c>
      <c r="M7" s="31" t="s">
        <v>186</v>
      </c>
      <c r="N7" s="46">
        <f t="shared" si="0"/>
        <v>-2628.5714285714284</v>
      </c>
      <c r="O7" s="43">
        <v>-147200</v>
      </c>
      <c r="P7" s="38">
        <v>56</v>
      </c>
    </row>
    <row r="8" spans="1:16" x14ac:dyDescent="0.4">
      <c r="A8" s="58" t="s">
        <v>3</v>
      </c>
      <c r="B8" s="50">
        <v>31</v>
      </c>
      <c r="C8" s="27">
        <f t="shared" ref="C8:C9" si="1">IF(B$2=0,0,B8/B$2)</f>
        <v>0.29245283018867924</v>
      </c>
      <c r="E8" s="68" t="s">
        <v>96</v>
      </c>
      <c r="F8" s="64" t="s">
        <v>49</v>
      </c>
      <c r="G8" s="50">
        <v>25</v>
      </c>
      <c r="H8" s="27">
        <f>IF(B$25=0,0,G8/B$25)</f>
        <v>0.16891891891891891</v>
      </c>
      <c r="J8" s="26">
        <v>6</v>
      </c>
      <c r="K8" s="28">
        <v>45.6</v>
      </c>
    </row>
    <row r="9" spans="1:16" x14ac:dyDescent="0.4">
      <c r="A9" s="59" t="s">
        <v>4</v>
      </c>
      <c r="B9" s="51">
        <v>45</v>
      </c>
      <c r="C9" s="29">
        <f t="shared" si="1"/>
        <v>0.42452830188679247</v>
      </c>
      <c r="E9" s="68" t="s">
        <v>70</v>
      </c>
      <c r="F9" s="64" t="s">
        <v>24</v>
      </c>
      <c r="G9" s="50">
        <v>22</v>
      </c>
      <c r="H9" s="27">
        <f>IF(B$25=0,0,G9/B$25)</f>
        <v>0.14864864864864866</v>
      </c>
      <c r="J9" s="26">
        <v>7</v>
      </c>
      <c r="K9" s="28">
        <v>97.1</v>
      </c>
    </row>
    <row r="10" spans="1:16" x14ac:dyDescent="0.4">
      <c r="A10" s="59" t="s">
        <v>21</v>
      </c>
      <c r="B10" s="51">
        <v>22</v>
      </c>
      <c r="C10" s="29">
        <f>IF(B$2=0,0,B10/B$2)</f>
        <v>0.20754716981132076</v>
      </c>
      <c r="E10" s="68" t="s">
        <v>75</v>
      </c>
      <c r="F10" s="64" t="s">
        <v>28</v>
      </c>
      <c r="G10" s="50">
        <v>22</v>
      </c>
      <c r="H10" s="27">
        <f>IF(B$25=0,0,G10/B$25)</f>
        <v>0.14864864864864866</v>
      </c>
      <c r="J10" s="26">
        <v>8</v>
      </c>
      <c r="K10" s="28">
        <v>58.199999999999996</v>
      </c>
    </row>
    <row r="11" spans="1:16" x14ac:dyDescent="0.4">
      <c r="A11" s="60" t="s">
        <v>191</v>
      </c>
      <c r="B11" s="52">
        <v>15</v>
      </c>
      <c r="C11" s="32">
        <f>IF(B$2=0,0,B11/B$2)</f>
        <v>0.14150943396226415</v>
      </c>
      <c r="E11" s="68" t="s">
        <v>76</v>
      </c>
      <c r="F11" s="64" t="s">
        <v>29</v>
      </c>
      <c r="G11" s="50">
        <v>22</v>
      </c>
      <c r="H11" s="27">
        <f>IF(B$25=0,0,G11/B$25)</f>
        <v>0.14864864864864866</v>
      </c>
      <c r="J11" s="26">
        <v>9</v>
      </c>
      <c r="K11" s="28">
        <v>23.4</v>
      </c>
    </row>
    <row r="12" spans="1:16" x14ac:dyDescent="0.4">
      <c r="A12" s="61" t="s">
        <v>130</v>
      </c>
      <c r="B12" s="53">
        <v>162</v>
      </c>
      <c r="C12" s="35">
        <f>IF(B$24=0,0,B12/B$24)</f>
        <v>0.29401088929219599</v>
      </c>
      <c r="E12" s="68" t="s">
        <v>93</v>
      </c>
      <c r="F12" s="64" t="s">
        <v>46</v>
      </c>
      <c r="G12" s="50">
        <v>14</v>
      </c>
      <c r="H12" s="27">
        <f>IF(B$25=0,0,G12/B$25)</f>
        <v>9.45945945945946E-2</v>
      </c>
      <c r="J12" s="26">
        <v>10</v>
      </c>
      <c r="K12" s="28">
        <v>-20.100000000000001</v>
      </c>
    </row>
    <row r="13" spans="1:16" x14ac:dyDescent="0.4">
      <c r="A13" s="58" t="s">
        <v>125</v>
      </c>
      <c r="B13" s="50">
        <v>100</v>
      </c>
      <c r="C13" s="27">
        <f>IF(B$24=0,0,B13/B$24)</f>
        <v>0.18148820326678766</v>
      </c>
      <c r="E13" s="68" t="s">
        <v>90</v>
      </c>
      <c r="F13" s="64" t="s">
        <v>43</v>
      </c>
      <c r="G13" s="50">
        <v>12</v>
      </c>
      <c r="H13" s="27">
        <f>IF(B$25=0,0,G13/B$25)</f>
        <v>8.1081081081081086E-2</v>
      </c>
      <c r="J13" s="26">
        <v>11</v>
      </c>
      <c r="K13" s="28">
        <v>-3.6000000000000014</v>
      </c>
    </row>
    <row r="14" spans="1:16" x14ac:dyDescent="0.4">
      <c r="A14" s="57" t="s">
        <v>132</v>
      </c>
      <c r="B14" s="49">
        <v>90</v>
      </c>
      <c r="C14" s="24">
        <f>IF(B$12=0,0,B14/B$12)</f>
        <v>0.55555555555555558</v>
      </c>
      <c r="E14" s="68" t="s">
        <v>98</v>
      </c>
      <c r="F14" s="64" t="s">
        <v>51</v>
      </c>
      <c r="G14" s="50">
        <v>7</v>
      </c>
      <c r="H14" s="27">
        <f>IF(B$25=0,0,G14/B$25)</f>
        <v>4.72972972972973E-2</v>
      </c>
      <c r="J14" s="26">
        <v>12</v>
      </c>
      <c r="K14" s="28">
        <v>-12.000000000000002</v>
      </c>
    </row>
    <row r="15" spans="1:16" x14ac:dyDescent="0.4">
      <c r="A15" s="57" t="s">
        <v>133</v>
      </c>
      <c r="B15" s="49">
        <v>38</v>
      </c>
      <c r="C15" s="24">
        <f>IF(B$13=0,0,B15/B$13)</f>
        <v>0.38</v>
      </c>
      <c r="E15" s="68" t="s">
        <v>88</v>
      </c>
      <c r="F15" s="64" t="s">
        <v>41</v>
      </c>
      <c r="G15" s="50">
        <v>6</v>
      </c>
      <c r="H15" s="27">
        <f>IF(B$25=0,0,G15/B$25)</f>
        <v>4.0540540540540543E-2</v>
      </c>
      <c r="J15" s="26">
        <v>13</v>
      </c>
      <c r="K15" s="28">
        <v>48.5</v>
      </c>
    </row>
    <row r="16" spans="1:16" x14ac:dyDescent="0.4">
      <c r="A16" s="57" t="s">
        <v>10</v>
      </c>
      <c r="B16" s="49">
        <f>B18+B17</f>
        <v>209</v>
      </c>
      <c r="C16" s="24">
        <f>IF(B$3=0,0,B16/B$3)</f>
        <v>0.25738916256157635</v>
      </c>
      <c r="E16" s="68" t="s">
        <v>77</v>
      </c>
      <c r="F16" s="64" t="s">
        <v>30</v>
      </c>
      <c r="G16" s="50">
        <v>4</v>
      </c>
      <c r="H16" s="27">
        <f>IF(B$25=0,0,G16/B$25)</f>
        <v>2.7027027027027029E-2</v>
      </c>
      <c r="J16" s="26">
        <v>14</v>
      </c>
      <c r="K16" s="28">
        <v>32</v>
      </c>
    </row>
    <row r="17" spans="1:11" x14ac:dyDescent="0.4">
      <c r="A17" s="58" t="s">
        <v>12</v>
      </c>
      <c r="B17" s="50">
        <v>87</v>
      </c>
      <c r="C17" s="27">
        <f>IF(B$16=0,0,B17/B$16)</f>
        <v>0.41626794258373206</v>
      </c>
      <c r="E17" s="68" t="s">
        <v>84</v>
      </c>
      <c r="F17" s="64" t="s">
        <v>37</v>
      </c>
      <c r="G17" s="50">
        <v>3</v>
      </c>
      <c r="H17" s="27">
        <f>IF(B$25=0,0,G17/B$25)</f>
        <v>2.0270270270270271E-2</v>
      </c>
      <c r="J17" s="26">
        <v>15</v>
      </c>
      <c r="K17" s="28">
        <v>36.5</v>
      </c>
    </row>
    <row r="18" spans="1:11" x14ac:dyDescent="0.4">
      <c r="A18" s="58" t="s">
        <v>11</v>
      </c>
      <c r="B18" s="50">
        <v>122</v>
      </c>
      <c r="C18" s="27">
        <f>IF(B$16=0,0,B18/B$16)</f>
        <v>0.58373205741626799</v>
      </c>
      <c r="E18" s="68" t="s">
        <v>85</v>
      </c>
      <c r="F18" s="64" t="s">
        <v>38</v>
      </c>
      <c r="G18" s="50">
        <v>2</v>
      </c>
      <c r="H18" s="27">
        <f>IF(B$25=0,0,G18/B$25)</f>
        <v>1.3513513513513514E-2</v>
      </c>
      <c r="J18" s="26">
        <v>16</v>
      </c>
      <c r="K18" s="28">
        <v>13.600000000000001</v>
      </c>
    </row>
    <row r="19" spans="1:11" x14ac:dyDescent="0.4">
      <c r="A19" s="58" t="s">
        <v>13</v>
      </c>
      <c r="B19" s="50">
        <v>158</v>
      </c>
      <c r="C19" s="27">
        <f>IF(B$3=0,0,B19/B$3)</f>
        <v>0.19458128078817735</v>
      </c>
      <c r="E19" s="68" t="s">
        <v>92</v>
      </c>
      <c r="F19" s="64" t="s">
        <v>45</v>
      </c>
      <c r="G19" s="50">
        <v>2</v>
      </c>
      <c r="H19" s="27">
        <f>IF(B$25=0,0,G19/B$25)</f>
        <v>1.3513513513513514E-2</v>
      </c>
      <c r="J19" s="26">
        <v>17</v>
      </c>
      <c r="K19" s="28">
        <v>12.900000000000002</v>
      </c>
    </row>
    <row r="20" spans="1:11" x14ac:dyDescent="0.4">
      <c r="A20" s="58" t="s">
        <v>5</v>
      </c>
      <c r="B20" s="54">
        <f>IF(B$16=0,0,C20/B$16)</f>
        <v>11244.497607655503</v>
      </c>
      <c r="C20" s="30">
        <v>2350100</v>
      </c>
      <c r="E20" s="68" t="s">
        <v>99</v>
      </c>
      <c r="F20" s="64" t="s">
        <v>52</v>
      </c>
      <c r="G20" s="50">
        <v>2</v>
      </c>
      <c r="H20" s="27">
        <f>IF(B$25=0,0,G20/B$25)</f>
        <v>1.3513513513513514E-2</v>
      </c>
      <c r="J20" s="26">
        <v>18</v>
      </c>
      <c r="K20" s="28">
        <v>-21.999999999999996</v>
      </c>
    </row>
    <row r="21" spans="1:11" x14ac:dyDescent="0.4">
      <c r="A21" s="60" t="s">
        <v>14</v>
      </c>
      <c r="B21" s="55">
        <f>IF(B$19=0,0,C21/B$19)</f>
        <v>-10058.227848101265</v>
      </c>
      <c r="C21" s="48">
        <v>-1589200</v>
      </c>
      <c r="E21" s="68" t="s">
        <v>87</v>
      </c>
      <c r="F21" s="64" t="s">
        <v>40</v>
      </c>
      <c r="G21" s="50">
        <v>1</v>
      </c>
      <c r="H21" s="27">
        <f>IF(B$25=0,0,G21/B$25)</f>
        <v>6.7567567567567571E-3</v>
      </c>
      <c r="J21" s="26">
        <v>19</v>
      </c>
      <c r="K21" s="28">
        <v>-26.699999999999996</v>
      </c>
    </row>
    <row r="22" spans="1:11" x14ac:dyDescent="0.4">
      <c r="A22" s="57" t="s">
        <v>178</v>
      </c>
      <c r="B22" s="49">
        <v>258</v>
      </c>
      <c r="C22" s="24">
        <f>IF(B$3=0,0,B22/B$3)</f>
        <v>0.31773399014778325</v>
      </c>
      <c r="E22" s="68" t="s">
        <v>91</v>
      </c>
      <c r="F22" s="64" t="s">
        <v>44</v>
      </c>
      <c r="G22" s="50">
        <v>1</v>
      </c>
      <c r="H22" s="27">
        <f>IF(B$25=0,0,G22/B$25)</f>
        <v>6.7567567567567571E-3</v>
      </c>
      <c r="J22" s="26">
        <v>20</v>
      </c>
      <c r="K22" s="28">
        <v>-56.899999999999991</v>
      </c>
    </row>
    <row r="23" spans="1:11" x14ac:dyDescent="0.4">
      <c r="A23" s="60" t="s">
        <v>179</v>
      </c>
      <c r="B23" s="52">
        <v>80</v>
      </c>
      <c r="C23" s="32">
        <f>IF(B$22=0,0,B23/B$22)</f>
        <v>0.31007751937984496</v>
      </c>
      <c r="E23" s="68" t="s">
        <v>94</v>
      </c>
      <c r="F23" s="64" t="s">
        <v>47</v>
      </c>
      <c r="G23" s="50">
        <v>1</v>
      </c>
      <c r="H23" s="27">
        <f>IF(B$25=0,0,G23/B$25)</f>
        <v>6.7567567567567571E-3</v>
      </c>
      <c r="J23" s="26">
        <v>21</v>
      </c>
      <c r="K23" s="28">
        <v>-80.699999999999989</v>
      </c>
    </row>
    <row r="24" spans="1:11" x14ac:dyDescent="0.4">
      <c r="A24" s="57" t="s">
        <v>128</v>
      </c>
      <c r="B24" s="83">
        <v>551</v>
      </c>
      <c r="C24" s="84"/>
      <c r="E24" s="68" t="s">
        <v>95</v>
      </c>
      <c r="F24" s="64" t="s">
        <v>48</v>
      </c>
      <c r="G24" s="50">
        <v>1</v>
      </c>
      <c r="H24" s="27">
        <f>IF(B$25=0,0,G24/B$25)</f>
        <v>6.7567567567567571E-3</v>
      </c>
      <c r="J24" s="26">
        <v>22</v>
      </c>
      <c r="K24" s="28">
        <v>-91.6</v>
      </c>
    </row>
    <row r="25" spans="1:11" x14ac:dyDescent="0.4">
      <c r="A25" s="60" t="s">
        <v>129</v>
      </c>
      <c r="B25" s="85">
        <v>148</v>
      </c>
      <c r="C25" s="86"/>
      <c r="E25" s="68" t="s">
        <v>79</v>
      </c>
      <c r="F25" s="64" t="s">
        <v>32</v>
      </c>
      <c r="G25" s="50">
        <v>0</v>
      </c>
      <c r="H25" s="27">
        <f>IF(B$25=0,0,G25/B$25)</f>
        <v>0</v>
      </c>
      <c r="J25" s="26">
        <v>23</v>
      </c>
      <c r="K25" s="28">
        <v>-107.3</v>
      </c>
    </row>
    <row r="26" spans="1:11" x14ac:dyDescent="0.4">
      <c r="A26" s="75" t="s">
        <v>196</v>
      </c>
      <c r="B26" s="87">
        <v>10</v>
      </c>
      <c r="C26" s="88"/>
      <c r="E26" s="68" t="s">
        <v>80</v>
      </c>
      <c r="F26" s="64" t="s">
        <v>33</v>
      </c>
      <c r="G26" s="50">
        <v>0</v>
      </c>
      <c r="H26" s="27">
        <f>IF(B$25=0,0,G26/B$25)</f>
        <v>0</v>
      </c>
      <c r="J26" s="26">
        <v>24</v>
      </c>
      <c r="K26" s="28">
        <v>-65.099999999999994</v>
      </c>
    </row>
    <row r="27" spans="1:11" x14ac:dyDescent="0.4">
      <c r="A27" s="60" t="s">
        <v>198</v>
      </c>
      <c r="B27" s="76">
        <v>4</v>
      </c>
      <c r="C27" s="32">
        <f>IF(B$3=0,0,B27/B$3)</f>
        <v>4.9261083743842365E-3</v>
      </c>
      <c r="E27" s="68" t="s">
        <v>81</v>
      </c>
      <c r="F27" s="64" t="s">
        <v>34</v>
      </c>
      <c r="G27" s="50">
        <v>0</v>
      </c>
      <c r="H27" s="27">
        <f>IF(B$25=0,0,G27/B$25)</f>
        <v>0</v>
      </c>
      <c r="J27" s="26">
        <v>25</v>
      </c>
      <c r="K27" s="28">
        <v>-67.899999999999991</v>
      </c>
    </row>
    <row r="28" spans="1:11" x14ac:dyDescent="0.4">
      <c r="E28" s="68" t="s">
        <v>82</v>
      </c>
      <c r="F28" s="64" t="s">
        <v>35</v>
      </c>
      <c r="G28" s="50">
        <v>0</v>
      </c>
      <c r="H28" s="27">
        <f>IF(B$25=0,0,G28/B$25)</f>
        <v>0</v>
      </c>
      <c r="J28" s="26">
        <v>26</v>
      </c>
      <c r="K28" s="28">
        <v>-121.89999999999999</v>
      </c>
    </row>
    <row r="29" spans="1:11" x14ac:dyDescent="0.4">
      <c r="E29" s="68" t="s">
        <v>83</v>
      </c>
      <c r="F29" s="64" t="s">
        <v>36</v>
      </c>
      <c r="G29" s="50">
        <v>0</v>
      </c>
      <c r="H29" s="27">
        <f>IF(B$25=0,0,G29/B$25)</f>
        <v>0</v>
      </c>
      <c r="J29" s="26">
        <v>27</v>
      </c>
      <c r="K29" s="28">
        <v>-158.6</v>
      </c>
    </row>
    <row r="30" spans="1:11" x14ac:dyDescent="0.4">
      <c r="E30" s="68" t="s">
        <v>86</v>
      </c>
      <c r="F30" s="64" t="s">
        <v>39</v>
      </c>
      <c r="G30" s="50">
        <v>0</v>
      </c>
      <c r="H30" s="27">
        <f>IF(B$25=0,0,G30/B$25)</f>
        <v>0</v>
      </c>
      <c r="J30" s="26">
        <v>28</v>
      </c>
      <c r="K30" s="28">
        <v>-164.5</v>
      </c>
    </row>
    <row r="31" spans="1:11" x14ac:dyDescent="0.4">
      <c r="E31" s="68" t="s">
        <v>89</v>
      </c>
      <c r="F31" s="64" t="s">
        <v>42</v>
      </c>
      <c r="G31" s="50">
        <v>0</v>
      </c>
      <c r="H31" s="27">
        <f>IF(B$25=0,0,G31/B$25)</f>
        <v>0</v>
      </c>
      <c r="J31" s="26">
        <v>29</v>
      </c>
      <c r="K31" s="28">
        <v>-158.30000000000001</v>
      </c>
    </row>
    <row r="32" spans="1:11" x14ac:dyDescent="0.4">
      <c r="E32" s="68" t="s">
        <v>97</v>
      </c>
      <c r="F32" s="64" t="s">
        <v>50</v>
      </c>
      <c r="G32" s="50">
        <v>0</v>
      </c>
      <c r="H32" s="27">
        <f>IF(B$25=0,0,G32/B$25)</f>
        <v>0</v>
      </c>
      <c r="J32" s="26">
        <v>30</v>
      </c>
      <c r="K32" s="28">
        <v>-203.4</v>
      </c>
    </row>
    <row r="33" spans="5:11" x14ac:dyDescent="0.4">
      <c r="E33" s="68" t="s">
        <v>100</v>
      </c>
      <c r="F33" s="64" t="s">
        <v>53</v>
      </c>
      <c r="G33" s="50">
        <v>0</v>
      </c>
      <c r="H33" s="27">
        <f>IF(B$25=0,0,G33/B$25)</f>
        <v>0</v>
      </c>
      <c r="J33" s="26">
        <v>31</v>
      </c>
      <c r="K33" s="28">
        <v>-252.9</v>
      </c>
    </row>
    <row r="34" spans="5:11" x14ac:dyDescent="0.4">
      <c r="E34" s="68" t="s">
        <v>101</v>
      </c>
      <c r="F34" s="64" t="s">
        <v>54</v>
      </c>
      <c r="G34" s="50">
        <v>0</v>
      </c>
      <c r="H34" s="27">
        <f>IF(B$25=0,0,G34/B$25)</f>
        <v>0</v>
      </c>
      <c r="J34" s="26">
        <v>32</v>
      </c>
      <c r="K34" s="28">
        <v>-247.6</v>
      </c>
    </row>
    <row r="35" spans="5:11" x14ac:dyDescent="0.4">
      <c r="E35" s="68" t="s">
        <v>102</v>
      </c>
      <c r="F35" s="64" t="s">
        <v>55</v>
      </c>
      <c r="G35" s="50">
        <v>0</v>
      </c>
      <c r="H35" s="27">
        <f>IF(B$25=0,0,G35/B$25)</f>
        <v>0</v>
      </c>
      <c r="J35" s="26">
        <v>33</v>
      </c>
      <c r="K35" s="28">
        <v>-229.9</v>
      </c>
    </row>
    <row r="36" spans="5:11" x14ac:dyDescent="0.4">
      <c r="E36" s="68" t="s">
        <v>103</v>
      </c>
      <c r="F36" s="64" t="s">
        <v>56</v>
      </c>
      <c r="G36" s="50">
        <v>0</v>
      </c>
      <c r="H36" s="27">
        <f>IF(B$25=0,0,G36/B$25)</f>
        <v>0</v>
      </c>
      <c r="J36" s="26">
        <v>34</v>
      </c>
      <c r="K36" s="28">
        <v>-224.8</v>
      </c>
    </row>
    <row r="37" spans="5:11" x14ac:dyDescent="0.4">
      <c r="E37" s="68" t="s">
        <v>104</v>
      </c>
      <c r="F37" s="64" t="s">
        <v>57</v>
      </c>
      <c r="G37" s="50">
        <v>0</v>
      </c>
      <c r="H37" s="27">
        <f>IF(B$25=0,0,G37/B$25)</f>
        <v>0</v>
      </c>
      <c r="J37" s="26">
        <v>35</v>
      </c>
      <c r="K37" s="28">
        <v>-248.3</v>
      </c>
    </row>
    <row r="38" spans="5:11" x14ac:dyDescent="0.4">
      <c r="E38" s="68" t="s">
        <v>105</v>
      </c>
      <c r="F38" s="64" t="s">
        <v>58</v>
      </c>
      <c r="G38" s="50">
        <v>0</v>
      </c>
      <c r="H38" s="27">
        <f>IF(B$25=0,0,G38/B$25)</f>
        <v>0</v>
      </c>
      <c r="J38" s="26">
        <v>36</v>
      </c>
      <c r="K38" s="28">
        <v>-199.3</v>
      </c>
    </row>
    <row r="39" spans="5:11" x14ac:dyDescent="0.4">
      <c r="E39" s="68" t="s">
        <v>106</v>
      </c>
      <c r="F39" s="64" t="s">
        <v>59</v>
      </c>
      <c r="G39" s="50">
        <v>0</v>
      </c>
      <c r="H39" s="27">
        <f>IF(B$25=0,0,G39/B$25)</f>
        <v>0</v>
      </c>
      <c r="J39" s="26">
        <v>37</v>
      </c>
      <c r="K39" s="28">
        <v>-243.3</v>
      </c>
    </row>
    <row r="40" spans="5:11" x14ac:dyDescent="0.4">
      <c r="E40" s="68" t="s">
        <v>107</v>
      </c>
      <c r="F40" s="64" t="s">
        <v>60</v>
      </c>
      <c r="G40" s="50">
        <v>0</v>
      </c>
      <c r="H40" s="27">
        <f>IF(B$25=0,0,G40/B$25)</f>
        <v>0</v>
      </c>
      <c r="J40" s="26">
        <v>38</v>
      </c>
      <c r="K40" s="28">
        <v>-237.5</v>
      </c>
    </row>
    <row r="41" spans="5:11" x14ac:dyDescent="0.4">
      <c r="E41" s="68" t="s">
        <v>108</v>
      </c>
      <c r="F41" s="64" t="s">
        <v>61</v>
      </c>
      <c r="G41" s="50">
        <v>0</v>
      </c>
      <c r="H41" s="27">
        <f>IF(B$25=0,0,G41/B$25)</f>
        <v>0</v>
      </c>
      <c r="J41" s="26">
        <v>39</v>
      </c>
      <c r="K41" s="28">
        <v>-238.6</v>
      </c>
    </row>
    <row r="42" spans="5:11" x14ac:dyDescent="0.4">
      <c r="E42" s="68" t="s">
        <v>109</v>
      </c>
      <c r="F42" s="64" t="s">
        <v>62</v>
      </c>
      <c r="G42" s="50">
        <v>0</v>
      </c>
      <c r="H42" s="27">
        <f>IF(B$25=0,0,G42/B$25)</f>
        <v>0</v>
      </c>
      <c r="J42" s="26">
        <v>40</v>
      </c>
      <c r="K42" s="28">
        <v>-272.7</v>
      </c>
    </row>
    <row r="43" spans="5:11" x14ac:dyDescent="0.4">
      <c r="E43" s="68" t="s">
        <v>110</v>
      </c>
      <c r="F43" s="64" t="s">
        <v>63</v>
      </c>
      <c r="G43" s="50">
        <v>0</v>
      </c>
      <c r="H43" s="27">
        <f>IF(B$25=0,0,G43/B$25)</f>
        <v>0</v>
      </c>
      <c r="J43" s="26">
        <v>41</v>
      </c>
      <c r="K43" s="28">
        <v>-312.09999999999997</v>
      </c>
    </row>
    <row r="44" spans="5:11" x14ac:dyDescent="0.4">
      <c r="E44" s="68" t="s">
        <v>111</v>
      </c>
      <c r="F44" s="64" t="s">
        <v>64</v>
      </c>
      <c r="G44" s="50">
        <v>0</v>
      </c>
      <c r="H44" s="27">
        <f>IF(B$25=0,0,G44/B$25)</f>
        <v>0</v>
      </c>
      <c r="J44" s="26">
        <v>42</v>
      </c>
      <c r="K44" s="28">
        <v>-307.29999999999995</v>
      </c>
    </row>
    <row r="45" spans="5:11" x14ac:dyDescent="0.4">
      <c r="E45" s="68" t="s">
        <v>112</v>
      </c>
      <c r="F45" s="64" t="s">
        <v>119</v>
      </c>
      <c r="G45" s="50">
        <v>0</v>
      </c>
      <c r="H45" s="27">
        <f>IF(B$25=0,0,G45/B$25)</f>
        <v>0</v>
      </c>
      <c r="J45" s="26">
        <v>43</v>
      </c>
      <c r="K45" s="28">
        <v>-278.79999999999995</v>
      </c>
    </row>
    <row r="46" spans="5:11" x14ac:dyDescent="0.4">
      <c r="E46" s="68" t="s">
        <v>113</v>
      </c>
      <c r="F46" s="64" t="s">
        <v>120</v>
      </c>
      <c r="G46" s="50">
        <v>0</v>
      </c>
      <c r="H46" s="27">
        <f>IF(B$25=0,0,G46/B$25)</f>
        <v>0</v>
      </c>
      <c r="J46" s="26">
        <v>44</v>
      </c>
      <c r="K46" s="28">
        <v>-234.89999999999995</v>
      </c>
    </row>
    <row r="47" spans="5:11" x14ac:dyDescent="0.4">
      <c r="E47" s="68" t="s">
        <v>114</v>
      </c>
      <c r="F47" s="64" t="s">
        <v>121</v>
      </c>
      <c r="G47" s="50">
        <v>0</v>
      </c>
      <c r="H47" s="27">
        <f>IF(B$25=0,0,G47/B$25)</f>
        <v>0</v>
      </c>
      <c r="J47" s="26">
        <v>45</v>
      </c>
      <c r="K47" s="28">
        <v>-250.29999999999995</v>
      </c>
    </row>
    <row r="48" spans="5:11" x14ac:dyDescent="0.4">
      <c r="E48" s="68" t="s">
        <v>115</v>
      </c>
      <c r="F48" s="64" t="s">
        <v>65</v>
      </c>
      <c r="G48" s="50">
        <v>0</v>
      </c>
      <c r="H48" s="27">
        <f>IF(B$25=0,0,G48/B$25)</f>
        <v>0</v>
      </c>
      <c r="J48" s="26">
        <v>46</v>
      </c>
      <c r="K48" s="28">
        <v>-274.59999999999997</v>
      </c>
    </row>
    <row r="49" spans="5:11" x14ac:dyDescent="0.4">
      <c r="E49" s="68" t="s">
        <v>116</v>
      </c>
      <c r="F49" s="64" t="s">
        <v>66</v>
      </c>
      <c r="G49" s="50">
        <v>0</v>
      </c>
      <c r="H49" s="27">
        <f>IF(B$25=0,0,G49/B$25)</f>
        <v>0</v>
      </c>
      <c r="J49" s="26">
        <v>47</v>
      </c>
      <c r="K49" s="28">
        <v>-259.59999999999997</v>
      </c>
    </row>
    <row r="50" spans="5:11" x14ac:dyDescent="0.4">
      <c r="E50" s="68" t="s">
        <v>117</v>
      </c>
      <c r="F50" s="64" t="s">
        <v>67</v>
      </c>
      <c r="G50" s="50">
        <v>0</v>
      </c>
      <c r="H50" s="27">
        <f>IF(B$25=0,0,G50/B$25)</f>
        <v>0</v>
      </c>
      <c r="J50" s="26">
        <v>48</v>
      </c>
      <c r="K50" s="28">
        <v>-282.79999999999995</v>
      </c>
    </row>
    <row r="51" spans="5:11" x14ac:dyDescent="0.4">
      <c r="E51" s="69" t="s">
        <v>118</v>
      </c>
      <c r="F51" s="65" t="s">
        <v>68</v>
      </c>
      <c r="G51" s="52">
        <v>0</v>
      </c>
      <c r="H51" s="32">
        <f>IF(B$25=0,0,G51/B$25)</f>
        <v>0</v>
      </c>
      <c r="J51" s="26">
        <v>49</v>
      </c>
      <c r="K51" s="28">
        <v>-276.99999999999994</v>
      </c>
    </row>
    <row r="52" spans="5:11" x14ac:dyDescent="0.4">
      <c r="J52" s="26">
        <v>50</v>
      </c>
      <c r="K52" s="28">
        <v>-280.09999999999997</v>
      </c>
    </row>
    <row r="53" spans="5:11" x14ac:dyDescent="0.4">
      <c r="J53" s="26">
        <v>51</v>
      </c>
      <c r="K53" s="28">
        <v>-262.59999999999997</v>
      </c>
    </row>
    <row r="54" spans="5:11" x14ac:dyDescent="0.4">
      <c r="J54" s="26">
        <v>52</v>
      </c>
      <c r="K54" s="28">
        <v>-300.09999999999997</v>
      </c>
    </row>
    <row r="55" spans="5:11" x14ac:dyDescent="0.4">
      <c r="J55" s="26">
        <v>53</v>
      </c>
      <c r="K55" s="28">
        <v>-327.49999999999994</v>
      </c>
    </row>
    <row r="56" spans="5:11" x14ac:dyDescent="0.4">
      <c r="J56" s="26">
        <v>54</v>
      </c>
      <c r="K56" s="28">
        <v>-368.89999999999992</v>
      </c>
    </row>
    <row r="57" spans="5:11" x14ac:dyDescent="0.4">
      <c r="J57" s="26">
        <v>55</v>
      </c>
      <c r="K57" s="28">
        <v>-354.2999999999999</v>
      </c>
    </row>
    <row r="58" spans="5:11" x14ac:dyDescent="0.4">
      <c r="J58" s="26">
        <v>56</v>
      </c>
      <c r="K58" s="28">
        <v>-307.2999999999999</v>
      </c>
    </row>
    <row r="59" spans="5:11" x14ac:dyDescent="0.4">
      <c r="J59" s="26">
        <v>57</v>
      </c>
      <c r="K59" s="28">
        <v>-303.49999999999989</v>
      </c>
    </row>
    <row r="60" spans="5:11" x14ac:dyDescent="0.4">
      <c r="J60" s="26">
        <v>58</v>
      </c>
      <c r="K60" s="28">
        <v>-246.59999999999988</v>
      </c>
    </row>
    <row r="61" spans="5:11" x14ac:dyDescent="0.4">
      <c r="J61" s="26">
        <v>59</v>
      </c>
      <c r="K61" s="28">
        <v>-198.09999999999988</v>
      </c>
    </row>
    <row r="62" spans="5:11" x14ac:dyDescent="0.4">
      <c r="J62" s="26">
        <v>60</v>
      </c>
      <c r="K62" s="28">
        <v>-207.59999999999988</v>
      </c>
    </row>
    <row r="63" spans="5:11" x14ac:dyDescent="0.4">
      <c r="J63" s="26">
        <v>61</v>
      </c>
      <c r="K63" s="28">
        <v>-204.89999999999989</v>
      </c>
    </row>
    <row r="64" spans="5:11" x14ac:dyDescent="0.4">
      <c r="J64" s="26">
        <v>62</v>
      </c>
      <c r="K64" s="28">
        <v>-242.89999999999989</v>
      </c>
    </row>
    <row r="65" spans="10:11" x14ac:dyDescent="0.4">
      <c r="J65" s="26">
        <v>63</v>
      </c>
      <c r="K65" s="28">
        <v>-281.99999999999989</v>
      </c>
    </row>
    <row r="66" spans="10:11" x14ac:dyDescent="0.4">
      <c r="J66" s="26">
        <v>64</v>
      </c>
      <c r="K66" s="28">
        <v>-346.99999999999989</v>
      </c>
    </row>
    <row r="67" spans="10:11" x14ac:dyDescent="0.4">
      <c r="J67" s="26">
        <v>65</v>
      </c>
      <c r="K67" s="28">
        <v>-370.09999999999991</v>
      </c>
    </row>
    <row r="68" spans="10:11" x14ac:dyDescent="0.4">
      <c r="J68" s="26">
        <v>66</v>
      </c>
      <c r="K68" s="28">
        <v>-367.49999999999989</v>
      </c>
    </row>
    <row r="69" spans="10:11" x14ac:dyDescent="0.4">
      <c r="J69" s="26">
        <v>67</v>
      </c>
      <c r="K69" s="28">
        <v>-360.19999999999987</v>
      </c>
    </row>
    <row r="70" spans="10:11" x14ac:dyDescent="0.4">
      <c r="J70" s="26">
        <v>68</v>
      </c>
      <c r="K70" s="28">
        <v>-395.2999999999999</v>
      </c>
    </row>
    <row r="71" spans="10:11" x14ac:dyDescent="0.4">
      <c r="J71" s="26">
        <v>69</v>
      </c>
      <c r="K71" s="28">
        <v>-400.49999999999989</v>
      </c>
    </row>
    <row r="72" spans="10:11" x14ac:dyDescent="0.4">
      <c r="J72" s="26">
        <v>70</v>
      </c>
      <c r="K72" s="28">
        <v>-368.49999999999989</v>
      </c>
    </row>
    <row r="73" spans="10:11" x14ac:dyDescent="0.4">
      <c r="J73" s="26">
        <v>71</v>
      </c>
      <c r="K73" s="28">
        <v>-363.2999999999999</v>
      </c>
    </row>
    <row r="74" spans="10:11" x14ac:dyDescent="0.4">
      <c r="J74" s="26">
        <v>72</v>
      </c>
      <c r="K74" s="28">
        <v>-397.7999999999999</v>
      </c>
    </row>
    <row r="75" spans="10:11" x14ac:dyDescent="0.4">
      <c r="J75" s="26">
        <v>73</v>
      </c>
      <c r="K75" s="28">
        <v>-382.59999999999991</v>
      </c>
    </row>
    <row r="76" spans="10:11" x14ac:dyDescent="0.4">
      <c r="J76" s="26">
        <v>74</v>
      </c>
      <c r="K76" s="28">
        <v>-388.49999999999989</v>
      </c>
    </row>
    <row r="77" spans="10:11" x14ac:dyDescent="0.4">
      <c r="J77" s="26">
        <v>75</v>
      </c>
      <c r="K77" s="28">
        <v>-407.69999999999987</v>
      </c>
    </row>
    <row r="78" spans="10:11" x14ac:dyDescent="0.4">
      <c r="J78" s="26">
        <v>76</v>
      </c>
      <c r="K78" s="28">
        <v>-358.69999999999987</v>
      </c>
    </row>
    <row r="79" spans="10:11" x14ac:dyDescent="0.4">
      <c r="J79" s="26">
        <v>77</v>
      </c>
      <c r="K79" s="28">
        <v>-369.7999999999999</v>
      </c>
    </row>
    <row r="80" spans="10:11" x14ac:dyDescent="0.4">
      <c r="J80" s="26">
        <v>78</v>
      </c>
      <c r="K80" s="28">
        <v>-354.99999999999989</v>
      </c>
    </row>
    <row r="81" spans="10:11" x14ac:dyDescent="0.4">
      <c r="J81" s="26">
        <v>79</v>
      </c>
      <c r="K81" s="28">
        <v>-372.99999999999989</v>
      </c>
    </row>
    <row r="82" spans="10:11" x14ac:dyDescent="0.4">
      <c r="J82" s="26">
        <v>80</v>
      </c>
      <c r="K82" s="28">
        <v>-379.7999999999999</v>
      </c>
    </row>
    <row r="83" spans="10:11" x14ac:dyDescent="0.4">
      <c r="J83" s="26">
        <v>81</v>
      </c>
      <c r="K83" s="28">
        <v>-368.99999999999989</v>
      </c>
    </row>
    <row r="84" spans="10:11" x14ac:dyDescent="0.4">
      <c r="J84" s="26">
        <v>82</v>
      </c>
      <c r="K84" s="28">
        <v>-387.59999999999991</v>
      </c>
    </row>
    <row r="85" spans="10:11" x14ac:dyDescent="0.4">
      <c r="J85" s="26">
        <v>83</v>
      </c>
      <c r="K85" s="28">
        <v>-386.39999999999992</v>
      </c>
    </row>
    <row r="86" spans="10:11" x14ac:dyDescent="0.4">
      <c r="J86" s="26">
        <v>84</v>
      </c>
      <c r="K86" s="28">
        <v>-361.89999999999992</v>
      </c>
    </row>
    <row r="87" spans="10:11" x14ac:dyDescent="0.4">
      <c r="J87" s="26">
        <v>85</v>
      </c>
      <c r="K87" s="28">
        <v>-398.89999999999992</v>
      </c>
    </row>
    <row r="88" spans="10:11" x14ac:dyDescent="0.4">
      <c r="J88" s="26">
        <v>86</v>
      </c>
      <c r="K88" s="28">
        <v>-375.39999999999992</v>
      </c>
    </row>
    <row r="89" spans="10:11" x14ac:dyDescent="0.4">
      <c r="J89" s="26">
        <v>87</v>
      </c>
      <c r="K89" s="28">
        <v>-350.69999999999993</v>
      </c>
    </row>
    <row r="90" spans="10:11" x14ac:dyDescent="0.4">
      <c r="J90" s="26">
        <v>88</v>
      </c>
      <c r="K90" s="28">
        <v>-366.49999999999994</v>
      </c>
    </row>
    <row r="91" spans="10:11" x14ac:dyDescent="0.4">
      <c r="J91" s="26">
        <v>89</v>
      </c>
      <c r="K91" s="28">
        <v>-398.29999999999995</v>
      </c>
    </row>
    <row r="92" spans="10:11" x14ac:dyDescent="0.4">
      <c r="J92" s="26">
        <v>90</v>
      </c>
      <c r="K92" s="28">
        <v>-393.79999999999995</v>
      </c>
    </row>
    <row r="93" spans="10:11" x14ac:dyDescent="0.4">
      <c r="J93" s="26">
        <v>91</v>
      </c>
      <c r="K93" s="28">
        <v>-383.29999999999995</v>
      </c>
    </row>
    <row r="94" spans="10:11" x14ac:dyDescent="0.4">
      <c r="J94" s="26">
        <v>92</v>
      </c>
      <c r="K94" s="28">
        <v>-354.49999999999994</v>
      </c>
    </row>
    <row r="95" spans="10:11" x14ac:dyDescent="0.4">
      <c r="J95" s="26">
        <v>93</v>
      </c>
      <c r="K95" s="28">
        <v>-389.99999999999994</v>
      </c>
    </row>
    <row r="96" spans="10:11" x14ac:dyDescent="0.4">
      <c r="J96" s="26">
        <v>94</v>
      </c>
      <c r="K96" s="28">
        <v>-361.59999999999997</v>
      </c>
    </row>
    <row r="97" spans="10:11" x14ac:dyDescent="0.4">
      <c r="J97" s="26">
        <v>95</v>
      </c>
      <c r="K97" s="28">
        <v>-388.4</v>
      </c>
    </row>
    <row r="98" spans="10:11" x14ac:dyDescent="0.4">
      <c r="J98" s="26">
        <v>96</v>
      </c>
      <c r="K98" s="28">
        <v>-371</v>
      </c>
    </row>
    <row r="99" spans="10:11" x14ac:dyDescent="0.4">
      <c r="J99" s="26">
        <v>97</v>
      </c>
      <c r="K99" s="28">
        <v>-383.5</v>
      </c>
    </row>
    <row r="100" spans="10:11" x14ac:dyDescent="0.4">
      <c r="J100" s="26">
        <v>98</v>
      </c>
      <c r="K100" s="28">
        <v>-324</v>
      </c>
    </row>
    <row r="101" spans="10:11" x14ac:dyDescent="0.4">
      <c r="J101" s="26">
        <v>99</v>
      </c>
      <c r="K101" s="28">
        <v>-352.5</v>
      </c>
    </row>
    <row r="102" spans="10:11" x14ac:dyDescent="0.4">
      <c r="J102" s="26">
        <v>100</v>
      </c>
      <c r="K102" s="28">
        <v>-365.4</v>
      </c>
    </row>
    <row r="103" spans="10:11" x14ac:dyDescent="0.4">
      <c r="J103" s="26">
        <v>101</v>
      </c>
      <c r="K103" s="28">
        <v>-363.7</v>
      </c>
    </row>
    <row r="104" spans="10:11" x14ac:dyDescent="0.4">
      <c r="J104" s="26">
        <v>102</v>
      </c>
      <c r="K104" s="28">
        <v>-389.4</v>
      </c>
    </row>
    <row r="105" spans="10:11" x14ac:dyDescent="0.4">
      <c r="J105" s="26">
        <v>103</v>
      </c>
      <c r="K105" s="28">
        <v>-413.9</v>
      </c>
    </row>
    <row r="106" spans="10:11" x14ac:dyDescent="0.4">
      <c r="J106" s="26">
        <v>104</v>
      </c>
      <c r="K106" s="28">
        <v>-422.4</v>
      </c>
    </row>
    <row r="107" spans="10:11" x14ac:dyDescent="0.4">
      <c r="J107" s="26">
        <v>105</v>
      </c>
      <c r="K107" s="28">
        <v>-411.59999999999997</v>
      </c>
    </row>
    <row r="108" spans="10:11" x14ac:dyDescent="0.4">
      <c r="J108" s="26">
        <v>106</v>
      </c>
      <c r="K108" s="28">
        <v>-423.49999999999994</v>
      </c>
    </row>
  </sheetData>
  <sortState ref="E2:H108">
    <sortCondition descending="1" ref="H1"/>
  </sortState>
  <mergeCells count="9">
    <mergeCell ref="B24:C24"/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7A378-DE66-4C46-80F6-D844026218B9}">
  <sheetPr codeName="Sheet9"/>
  <dimension ref="A1:P56"/>
  <sheetViews>
    <sheetView showGridLines="0" zoomScale="120" zoomScaleNormal="120" workbookViewId="0"/>
  </sheetViews>
  <sheetFormatPr defaultColWidth="9"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56" t="s">
        <v>0</v>
      </c>
      <c r="B1" s="89" t="s">
        <v>142</v>
      </c>
      <c r="C1" s="90"/>
      <c r="E1" s="66" t="s">
        <v>193</v>
      </c>
      <c r="F1" s="80" t="s">
        <v>122</v>
      </c>
      <c r="G1" s="79" t="s">
        <v>123</v>
      </c>
      <c r="H1" s="80" t="s">
        <v>124</v>
      </c>
      <c r="J1" s="21" t="s">
        <v>22</v>
      </c>
      <c r="K1" s="22" t="s">
        <v>127</v>
      </c>
      <c r="M1" s="21" t="s">
        <v>187</v>
      </c>
      <c r="N1" s="80" t="s">
        <v>189</v>
      </c>
      <c r="O1" s="40" t="s">
        <v>190</v>
      </c>
      <c r="P1" s="36" t="s">
        <v>123</v>
      </c>
    </row>
    <row r="2" spans="1:16" x14ac:dyDescent="0.4">
      <c r="A2" s="57" t="s">
        <v>9</v>
      </c>
      <c r="B2" s="83">
        <v>54</v>
      </c>
      <c r="C2" s="84"/>
      <c r="E2" s="67" t="s">
        <v>71</v>
      </c>
      <c r="F2" s="63" t="s">
        <v>25</v>
      </c>
      <c r="G2" s="49">
        <v>49</v>
      </c>
      <c r="H2" s="24">
        <f>IF(B$25=0,0,G2/B$25)</f>
        <v>0.98</v>
      </c>
      <c r="J2" s="23">
        <v>0</v>
      </c>
      <c r="K2" s="25">
        <v>0</v>
      </c>
      <c r="M2" s="23" t="s">
        <v>181</v>
      </c>
      <c r="N2" s="44">
        <f t="shared" ref="N2:N7" si="0">IF(P2=0,0,O2/P2)</f>
        <v>-590.74074074074076</v>
      </c>
      <c r="O2" s="41">
        <v>-31900</v>
      </c>
      <c r="P2" s="39">
        <v>54</v>
      </c>
    </row>
    <row r="3" spans="1:16" x14ac:dyDescent="0.4">
      <c r="A3" s="58" t="s">
        <v>8</v>
      </c>
      <c r="B3" s="91">
        <v>385</v>
      </c>
      <c r="C3" s="92"/>
      <c r="E3" s="68" t="s">
        <v>73</v>
      </c>
      <c r="F3" s="64" t="s">
        <v>27</v>
      </c>
      <c r="G3" s="50">
        <v>46</v>
      </c>
      <c r="H3" s="27">
        <f>IF(B$25=0,0,G3/B$25)</f>
        <v>0.92</v>
      </c>
      <c r="J3" s="26">
        <v>1</v>
      </c>
      <c r="K3" s="28">
        <v>-38.9</v>
      </c>
      <c r="M3" s="26" t="s">
        <v>182</v>
      </c>
      <c r="N3" s="45">
        <f t="shared" si="0"/>
        <v>2784.3137254901962</v>
      </c>
      <c r="O3" s="42">
        <v>142000</v>
      </c>
      <c r="P3" s="37">
        <v>51</v>
      </c>
    </row>
    <row r="4" spans="1:16" x14ac:dyDescent="0.4">
      <c r="A4" s="58" t="s">
        <v>6</v>
      </c>
      <c r="B4" s="93">
        <v>244.50000000000003</v>
      </c>
      <c r="C4" s="94"/>
      <c r="E4" s="68" t="s">
        <v>78</v>
      </c>
      <c r="F4" s="64" t="s">
        <v>31</v>
      </c>
      <c r="G4" s="50">
        <v>30</v>
      </c>
      <c r="H4" s="27">
        <f>IF(B$25=0,0,G4/B$25)</f>
        <v>0.6</v>
      </c>
      <c r="J4" s="26">
        <v>2</v>
      </c>
      <c r="K4" s="28">
        <v>-13.2</v>
      </c>
      <c r="M4" s="26" t="s">
        <v>183</v>
      </c>
      <c r="N4" s="45">
        <f t="shared" si="0"/>
        <v>-2071.4285714285716</v>
      </c>
      <c r="O4" s="42">
        <v>-101500</v>
      </c>
      <c r="P4" s="37">
        <v>49</v>
      </c>
    </row>
    <row r="5" spans="1:16" x14ac:dyDescent="0.4">
      <c r="A5" s="58" t="s">
        <v>7</v>
      </c>
      <c r="B5" s="93">
        <f>IF(B$2=0,0,B$4/B$2)</f>
        <v>4.5277777777777786</v>
      </c>
      <c r="C5" s="94"/>
      <c r="E5" s="68" t="s">
        <v>69</v>
      </c>
      <c r="F5" s="64" t="s">
        <v>23</v>
      </c>
      <c r="G5" s="50">
        <v>22</v>
      </c>
      <c r="H5" s="27">
        <f>IF(B$25=0,0,G5/B$25)</f>
        <v>0.44</v>
      </c>
      <c r="J5" s="26">
        <v>3</v>
      </c>
      <c r="K5" s="28">
        <v>-56.7</v>
      </c>
      <c r="M5" s="26" t="s">
        <v>184</v>
      </c>
      <c r="N5" s="45">
        <f t="shared" si="0"/>
        <v>-595.1219512195122</v>
      </c>
      <c r="O5" s="42">
        <v>-24400</v>
      </c>
      <c r="P5" s="37">
        <v>41</v>
      </c>
    </row>
    <row r="6" spans="1:16" x14ac:dyDescent="0.4">
      <c r="A6" s="58" t="s">
        <v>1</v>
      </c>
      <c r="B6" s="95">
        <f>IF(B$2=0,0,(B$7*1+B$8*2+B$9*3)/B$2)</f>
        <v>1.8888888888888888</v>
      </c>
      <c r="C6" s="96"/>
      <c r="E6" s="68" t="s">
        <v>72</v>
      </c>
      <c r="F6" s="64" t="s">
        <v>26</v>
      </c>
      <c r="G6" s="50">
        <v>17</v>
      </c>
      <c r="H6" s="27">
        <f>IF(B$25=0,0,G6/B$25)</f>
        <v>0.34</v>
      </c>
      <c r="J6" s="26">
        <v>4</v>
      </c>
      <c r="K6" s="28">
        <v>-52.7</v>
      </c>
      <c r="M6" s="26" t="s">
        <v>185</v>
      </c>
      <c r="N6" s="45">
        <f t="shared" si="0"/>
        <v>7894.2857142857147</v>
      </c>
      <c r="O6" s="42">
        <v>276300</v>
      </c>
      <c r="P6" s="37">
        <v>35</v>
      </c>
    </row>
    <row r="7" spans="1:16" x14ac:dyDescent="0.4">
      <c r="A7" s="58" t="s">
        <v>2</v>
      </c>
      <c r="B7" s="50">
        <v>19</v>
      </c>
      <c r="C7" s="27">
        <f>IF(B$2=0,0,B7/B$2)</f>
        <v>0.35185185185185186</v>
      </c>
      <c r="E7" s="68" t="s">
        <v>74</v>
      </c>
      <c r="F7" s="64" t="s">
        <v>12</v>
      </c>
      <c r="G7" s="50">
        <v>16</v>
      </c>
      <c r="H7" s="27">
        <f>IF(B$25=0,0,G7/B$25)</f>
        <v>0.32</v>
      </c>
      <c r="J7" s="26">
        <v>5</v>
      </c>
      <c r="K7" s="28">
        <v>-44.7</v>
      </c>
      <c r="M7" s="31" t="s">
        <v>186</v>
      </c>
      <c r="N7" s="46">
        <f t="shared" si="0"/>
        <v>-316.66666666666669</v>
      </c>
      <c r="O7" s="43">
        <v>-7600</v>
      </c>
      <c r="P7" s="38">
        <v>24</v>
      </c>
    </row>
    <row r="8" spans="1:16" x14ac:dyDescent="0.4">
      <c r="A8" s="58" t="s">
        <v>3</v>
      </c>
      <c r="B8" s="50">
        <v>22</v>
      </c>
      <c r="C8" s="27">
        <f t="shared" ref="C8:C9" si="1">IF(B$2=0,0,B8/B$2)</f>
        <v>0.40740740740740738</v>
      </c>
      <c r="E8" s="68" t="s">
        <v>75</v>
      </c>
      <c r="F8" s="64" t="s">
        <v>28</v>
      </c>
      <c r="G8" s="50">
        <v>5</v>
      </c>
      <c r="H8" s="27">
        <f>IF(B$25=0,0,G8/B$25)</f>
        <v>0.1</v>
      </c>
      <c r="J8" s="26">
        <v>6</v>
      </c>
      <c r="K8" s="28">
        <v>-49.6</v>
      </c>
    </row>
    <row r="9" spans="1:16" x14ac:dyDescent="0.4">
      <c r="A9" s="59" t="s">
        <v>4</v>
      </c>
      <c r="B9" s="51">
        <v>13</v>
      </c>
      <c r="C9" s="29">
        <f t="shared" si="1"/>
        <v>0.24074074074074073</v>
      </c>
      <c r="E9" s="68" t="s">
        <v>76</v>
      </c>
      <c r="F9" s="64" t="s">
        <v>29</v>
      </c>
      <c r="G9" s="50">
        <v>4</v>
      </c>
      <c r="H9" s="27">
        <f>IF(B$25=0,0,G9/B$25)</f>
        <v>0.08</v>
      </c>
      <c r="J9" s="26">
        <v>7</v>
      </c>
      <c r="K9" s="28">
        <v>-46.6</v>
      </c>
    </row>
    <row r="10" spans="1:16" x14ac:dyDescent="0.4">
      <c r="A10" s="59" t="s">
        <v>21</v>
      </c>
      <c r="B10" s="51">
        <v>7</v>
      </c>
      <c r="C10" s="29">
        <f>IF(B$2=0,0,B10/B$2)</f>
        <v>0.12962962962962962</v>
      </c>
      <c r="E10" s="68" t="s">
        <v>70</v>
      </c>
      <c r="F10" s="64" t="s">
        <v>24</v>
      </c>
      <c r="G10" s="50">
        <v>3</v>
      </c>
      <c r="H10" s="27">
        <f>IF(B$25=0,0,G10/B$25)</f>
        <v>0.06</v>
      </c>
      <c r="J10" s="26">
        <v>8</v>
      </c>
      <c r="K10" s="28">
        <v>-58.1</v>
      </c>
    </row>
    <row r="11" spans="1:16" x14ac:dyDescent="0.4">
      <c r="A11" s="60" t="s">
        <v>191</v>
      </c>
      <c r="B11" s="52">
        <v>10</v>
      </c>
      <c r="C11" s="32">
        <f>IF(B$2=0,0,B11/B$2)</f>
        <v>0.18518518518518517</v>
      </c>
      <c r="E11" s="68" t="s">
        <v>90</v>
      </c>
      <c r="F11" s="64" t="s">
        <v>43</v>
      </c>
      <c r="G11" s="50">
        <v>3</v>
      </c>
      <c r="H11" s="27">
        <f>IF(B$25=0,0,G11/B$25)</f>
        <v>0.06</v>
      </c>
      <c r="J11" s="26">
        <v>9</v>
      </c>
      <c r="K11" s="28">
        <v>-76.900000000000006</v>
      </c>
    </row>
    <row r="12" spans="1:16" x14ac:dyDescent="0.4">
      <c r="A12" s="61" t="s">
        <v>130</v>
      </c>
      <c r="B12" s="53">
        <v>33</v>
      </c>
      <c r="C12" s="35">
        <f>IF(B$24=0,0,B12/B$24)</f>
        <v>0.22448979591836735</v>
      </c>
      <c r="E12" s="68" t="s">
        <v>93</v>
      </c>
      <c r="F12" s="64" t="s">
        <v>46</v>
      </c>
      <c r="G12" s="50">
        <v>3</v>
      </c>
      <c r="H12" s="27">
        <f>IF(B$25=0,0,G12/B$25)</f>
        <v>0.06</v>
      </c>
      <c r="J12" s="26">
        <v>10</v>
      </c>
      <c r="K12" s="28">
        <v>-77.900000000000006</v>
      </c>
    </row>
    <row r="13" spans="1:16" x14ac:dyDescent="0.4">
      <c r="A13" s="58" t="s">
        <v>125</v>
      </c>
      <c r="B13" s="50">
        <v>48</v>
      </c>
      <c r="C13" s="27">
        <f>IF(B$24=0,0,B13/B$24)</f>
        <v>0.32653061224489793</v>
      </c>
      <c r="E13" s="68" t="s">
        <v>96</v>
      </c>
      <c r="F13" s="64" t="s">
        <v>49</v>
      </c>
      <c r="G13" s="50">
        <v>3</v>
      </c>
      <c r="H13" s="27">
        <f>IF(B$25=0,0,G13/B$25)</f>
        <v>0.06</v>
      </c>
      <c r="J13" s="26">
        <v>11</v>
      </c>
      <c r="K13" s="28">
        <v>-87.9</v>
      </c>
    </row>
    <row r="14" spans="1:16" x14ac:dyDescent="0.4">
      <c r="A14" s="57" t="s">
        <v>132</v>
      </c>
      <c r="B14" s="49">
        <v>22</v>
      </c>
      <c r="C14" s="24">
        <f>IF(B$12=0,0,B14/B$12)</f>
        <v>0.66666666666666663</v>
      </c>
      <c r="E14" s="68" t="s">
        <v>88</v>
      </c>
      <c r="F14" s="64" t="s">
        <v>41</v>
      </c>
      <c r="G14" s="50">
        <v>2</v>
      </c>
      <c r="H14" s="27">
        <f>IF(B$25=0,0,G14/B$25)</f>
        <v>0.04</v>
      </c>
      <c r="J14" s="26">
        <v>12</v>
      </c>
      <c r="K14" s="28">
        <v>-23.5</v>
      </c>
    </row>
    <row r="15" spans="1:16" x14ac:dyDescent="0.4">
      <c r="A15" s="57" t="s">
        <v>133</v>
      </c>
      <c r="B15" s="49">
        <v>17</v>
      </c>
      <c r="C15" s="24">
        <f>IF(B$13=0,0,B15/B$13)</f>
        <v>0.35416666666666669</v>
      </c>
      <c r="E15" s="68" t="s">
        <v>77</v>
      </c>
      <c r="F15" s="64" t="s">
        <v>30</v>
      </c>
      <c r="G15" s="50">
        <v>1</v>
      </c>
      <c r="H15" s="27">
        <f>IF(B$25=0,0,G15/B$25)</f>
        <v>0.02</v>
      </c>
      <c r="J15" s="26">
        <v>13</v>
      </c>
      <c r="K15" s="28">
        <v>-12.4</v>
      </c>
    </row>
    <row r="16" spans="1:16" x14ac:dyDescent="0.4">
      <c r="A16" s="57" t="s">
        <v>10</v>
      </c>
      <c r="B16" s="49">
        <f>B18+B17</f>
        <v>137</v>
      </c>
      <c r="C16" s="24">
        <f>IF(B$3=0,0,B16/B$3)</f>
        <v>0.35584415584415585</v>
      </c>
      <c r="E16" s="68" t="s">
        <v>84</v>
      </c>
      <c r="F16" s="64" t="s">
        <v>37</v>
      </c>
      <c r="G16" s="50">
        <v>1</v>
      </c>
      <c r="H16" s="27">
        <f>IF(B$25=0,0,G16/B$25)</f>
        <v>0.02</v>
      </c>
      <c r="J16" s="26">
        <v>14</v>
      </c>
      <c r="K16" s="28">
        <v>37.6</v>
      </c>
    </row>
    <row r="17" spans="1:11" x14ac:dyDescent="0.4">
      <c r="A17" s="58" t="s">
        <v>12</v>
      </c>
      <c r="B17" s="50">
        <v>63</v>
      </c>
      <c r="C17" s="27">
        <f>IF(B$16=0,0,B17/B$16)</f>
        <v>0.45985401459854014</v>
      </c>
      <c r="E17" s="68" t="s">
        <v>100</v>
      </c>
      <c r="F17" s="64" t="s">
        <v>53</v>
      </c>
      <c r="G17" s="50">
        <v>1</v>
      </c>
      <c r="H17" s="27">
        <f>IF(B$25=0,0,G17/B$25)</f>
        <v>0.02</v>
      </c>
      <c r="J17" s="26">
        <v>15</v>
      </c>
      <c r="K17" s="28">
        <v>53.8</v>
      </c>
    </row>
    <row r="18" spans="1:11" x14ac:dyDescent="0.4">
      <c r="A18" s="58" t="s">
        <v>11</v>
      </c>
      <c r="B18" s="50">
        <v>74</v>
      </c>
      <c r="C18" s="27">
        <f>IF(B$16=0,0,B18/B$16)</f>
        <v>0.54014598540145986</v>
      </c>
      <c r="E18" s="68" t="s">
        <v>79</v>
      </c>
      <c r="F18" s="64" t="s">
        <v>32</v>
      </c>
      <c r="G18" s="50">
        <v>0</v>
      </c>
      <c r="H18" s="27">
        <f>IF(B$25=0,0,G18/B$25)</f>
        <v>0</v>
      </c>
      <c r="J18" s="26">
        <v>16</v>
      </c>
      <c r="K18" s="28">
        <v>39.299999999999997</v>
      </c>
    </row>
    <row r="19" spans="1:11" x14ac:dyDescent="0.4">
      <c r="A19" s="58" t="s">
        <v>13</v>
      </c>
      <c r="B19" s="50">
        <v>61</v>
      </c>
      <c r="C19" s="27">
        <f>IF(B$3=0,0,B19/B$3)</f>
        <v>0.15844155844155844</v>
      </c>
      <c r="E19" s="68" t="s">
        <v>80</v>
      </c>
      <c r="F19" s="64" t="s">
        <v>33</v>
      </c>
      <c r="G19" s="50">
        <v>0</v>
      </c>
      <c r="H19" s="27">
        <f>IF(B$25=0,0,G19/B$25)</f>
        <v>0</v>
      </c>
      <c r="J19" s="26">
        <v>17</v>
      </c>
      <c r="K19" s="28">
        <v>14.799999999999997</v>
      </c>
    </row>
    <row r="20" spans="1:11" x14ac:dyDescent="0.4">
      <c r="A20" s="58" t="s">
        <v>5</v>
      </c>
      <c r="B20" s="54">
        <f>IF(B$16=0,0,C20/B$16)</f>
        <v>9855.4744525547449</v>
      </c>
      <c r="C20" s="30">
        <v>1350200</v>
      </c>
      <c r="E20" s="68" t="s">
        <v>81</v>
      </c>
      <c r="F20" s="64" t="s">
        <v>34</v>
      </c>
      <c r="G20" s="50">
        <v>0</v>
      </c>
      <c r="H20" s="27">
        <f>IF(B$25=0,0,G20/B$25)</f>
        <v>0</v>
      </c>
      <c r="J20" s="26">
        <v>18</v>
      </c>
      <c r="K20" s="28">
        <v>-25.700000000000003</v>
      </c>
    </row>
    <row r="21" spans="1:11" x14ac:dyDescent="0.4">
      <c r="A21" s="60" t="s">
        <v>14</v>
      </c>
      <c r="B21" s="55">
        <f>IF(B$19=0,0,C21/B$19)</f>
        <v>-9145.9016393442616</v>
      </c>
      <c r="C21" s="48">
        <v>-557900</v>
      </c>
      <c r="E21" s="68" t="s">
        <v>82</v>
      </c>
      <c r="F21" s="64" t="s">
        <v>35</v>
      </c>
      <c r="G21" s="50">
        <v>0</v>
      </c>
      <c r="H21" s="27">
        <f>IF(B$25=0,0,G21/B$25)</f>
        <v>0</v>
      </c>
      <c r="J21" s="26">
        <v>19</v>
      </c>
      <c r="K21" s="28">
        <v>-17.700000000000003</v>
      </c>
    </row>
    <row r="22" spans="1:11" x14ac:dyDescent="0.4">
      <c r="A22" s="57" t="s">
        <v>178</v>
      </c>
      <c r="B22" s="49">
        <v>142</v>
      </c>
      <c r="C22" s="24">
        <f>IF(B$3=0,0,B22/B$3)</f>
        <v>0.36883116883116884</v>
      </c>
      <c r="E22" s="68" t="s">
        <v>83</v>
      </c>
      <c r="F22" s="64" t="s">
        <v>36</v>
      </c>
      <c r="G22" s="50">
        <v>0</v>
      </c>
      <c r="H22" s="27">
        <f>IF(B$25=0,0,G22/B$25)</f>
        <v>0</v>
      </c>
      <c r="J22" s="26">
        <v>20</v>
      </c>
      <c r="K22" s="28">
        <v>6.4999999999999964</v>
      </c>
    </row>
    <row r="23" spans="1:11" x14ac:dyDescent="0.4">
      <c r="A23" s="60" t="s">
        <v>179</v>
      </c>
      <c r="B23" s="52">
        <v>53</v>
      </c>
      <c r="C23" s="32">
        <f>IF(B$22=0,0,B23/B$22)</f>
        <v>0.37323943661971831</v>
      </c>
      <c r="E23" s="68" t="s">
        <v>85</v>
      </c>
      <c r="F23" s="64" t="s">
        <v>38</v>
      </c>
      <c r="G23" s="50">
        <v>0</v>
      </c>
      <c r="H23" s="27">
        <f>IF(B$25=0,0,G23/B$25)</f>
        <v>0</v>
      </c>
      <c r="J23" s="26">
        <v>21</v>
      </c>
      <c r="K23" s="28">
        <v>67.8</v>
      </c>
    </row>
    <row r="24" spans="1:11" x14ac:dyDescent="0.4">
      <c r="A24" s="57" t="s">
        <v>128</v>
      </c>
      <c r="B24" s="83">
        <v>147</v>
      </c>
      <c r="C24" s="84"/>
      <c r="E24" s="68" t="s">
        <v>86</v>
      </c>
      <c r="F24" s="64" t="s">
        <v>39</v>
      </c>
      <c r="G24" s="50">
        <v>0</v>
      </c>
      <c r="H24" s="27">
        <f>IF(B$25=0,0,G24/B$25)</f>
        <v>0</v>
      </c>
      <c r="J24" s="26">
        <v>22</v>
      </c>
      <c r="K24" s="28">
        <v>76.399999999999991</v>
      </c>
    </row>
    <row r="25" spans="1:11" x14ac:dyDescent="0.4">
      <c r="A25" s="60" t="s">
        <v>129</v>
      </c>
      <c r="B25" s="85">
        <v>50</v>
      </c>
      <c r="C25" s="86"/>
      <c r="E25" s="68" t="s">
        <v>87</v>
      </c>
      <c r="F25" s="64" t="s">
        <v>40</v>
      </c>
      <c r="G25" s="50">
        <v>0</v>
      </c>
      <c r="H25" s="27">
        <f>IF(B$25=0,0,G25/B$25)</f>
        <v>0</v>
      </c>
      <c r="J25" s="26">
        <v>23</v>
      </c>
      <c r="K25" s="28">
        <v>90.199999999999989</v>
      </c>
    </row>
    <row r="26" spans="1:11" x14ac:dyDescent="0.4">
      <c r="A26" s="75" t="s">
        <v>196</v>
      </c>
      <c r="B26" s="87">
        <v>7</v>
      </c>
      <c r="C26" s="88"/>
      <c r="E26" s="68" t="s">
        <v>89</v>
      </c>
      <c r="F26" s="64" t="s">
        <v>42</v>
      </c>
      <c r="G26" s="50">
        <v>0</v>
      </c>
      <c r="H26" s="27">
        <f>IF(B$25=0,0,G26/B$25)</f>
        <v>0</v>
      </c>
      <c r="J26" s="26">
        <v>24</v>
      </c>
      <c r="K26" s="28">
        <v>47.29999999999999</v>
      </c>
    </row>
    <row r="27" spans="1:11" x14ac:dyDescent="0.4">
      <c r="A27" s="60" t="s">
        <v>198</v>
      </c>
      <c r="B27" s="76">
        <v>1</v>
      </c>
      <c r="C27" s="32">
        <f>IF(B$3=0,0,B27/B$3)</f>
        <v>2.5974025974025974E-3</v>
      </c>
      <c r="E27" s="68" t="s">
        <v>91</v>
      </c>
      <c r="F27" s="64" t="s">
        <v>44</v>
      </c>
      <c r="G27" s="50">
        <v>0</v>
      </c>
      <c r="H27" s="27">
        <f>IF(B$25=0,0,G27/B$25)</f>
        <v>0</v>
      </c>
      <c r="J27" s="26">
        <v>25</v>
      </c>
      <c r="K27" s="28">
        <v>55.79999999999999</v>
      </c>
    </row>
    <row r="28" spans="1:11" x14ac:dyDescent="0.4">
      <c r="E28" s="68" t="s">
        <v>92</v>
      </c>
      <c r="F28" s="64" t="s">
        <v>45</v>
      </c>
      <c r="G28" s="50">
        <v>0</v>
      </c>
      <c r="H28" s="27">
        <f>IF(B$25=0,0,G28/B$25)</f>
        <v>0</v>
      </c>
      <c r="J28" s="26">
        <v>26</v>
      </c>
      <c r="K28" s="28">
        <v>137.79999999999998</v>
      </c>
    </row>
    <row r="29" spans="1:11" x14ac:dyDescent="0.4">
      <c r="E29" s="68" t="s">
        <v>94</v>
      </c>
      <c r="F29" s="64" t="s">
        <v>47</v>
      </c>
      <c r="G29" s="50">
        <v>0</v>
      </c>
      <c r="H29" s="27">
        <f>IF(B$25=0,0,G29/B$25)</f>
        <v>0</v>
      </c>
      <c r="J29" s="26">
        <v>27</v>
      </c>
      <c r="K29" s="28">
        <v>157.79999999999998</v>
      </c>
    </row>
    <row r="30" spans="1:11" x14ac:dyDescent="0.4">
      <c r="E30" s="68" t="s">
        <v>95</v>
      </c>
      <c r="F30" s="64" t="s">
        <v>48</v>
      </c>
      <c r="G30" s="50">
        <v>0</v>
      </c>
      <c r="H30" s="27">
        <f>IF(B$25=0,0,G30/B$25)</f>
        <v>0</v>
      </c>
      <c r="J30" s="26">
        <v>28</v>
      </c>
      <c r="K30" s="28">
        <v>168.7</v>
      </c>
    </row>
    <row r="31" spans="1:11" x14ac:dyDescent="0.4">
      <c r="E31" s="68" t="s">
        <v>97</v>
      </c>
      <c r="F31" s="64" t="s">
        <v>50</v>
      </c>
      <c r="G31" s="50">
        <v>0</v>
      </c>
      <c r="H31" s="27">
        <f>IF(B$25=0,0,G31/B$25)</f>
        <v>0</v>
      </c>
      <c r="J31" s="26">
        <v>29</v>
      </c>
      <c r="K31" s="28">
        <v>198</v>
      </c>
    </row>
    <row r="32" spans="1:11" x14ac:dyDescent="0.4">
      <c r="E32" s="68" t="s">
        <v>98</v>
      </c>
      <c r="F32" s="64" t="s">
        <v>51</v>
      </c>
      <c r="G32" s="50">
        <v>0</v>
      </c>
      <c r="H32" s="27">
        <f>IF(B$25=0,0,G32/B$25)</f>
        <v>0</v>
      </c>
      <c r="J32" s="26">
        <v>30</v>
      </c>
      <c r="K32" s="28">
        <v>191.5</v>
      </c>
    </row>
    <row r="33" spans="5:11" x14ac:dyDescent="0.4">
      <c r="E33" s="68" t="s">
        <v>99</v>
      </c>
      <c r="F33" s="64" t="s">
        <v>52</v>
      </c>
      <c r="G33" s="50">
        <v>0</v>
      </c>
      <c r="H33" s="27">
        <f>IF(B$25=0,0,G33/B$25)</f>
        <v>0</v>
      </c>
      <c r="J33" s="26">
        <v>31</v>
      </c>
      <c r="K33" s="28">
        <v>180.9</v>
      </c>
    </row>
    <row r="34" spans="5:11" x14ac:dyDescent="0.4">
      <c r="E34" s="68" t="s">
        <v>101</v>
      </c>
      <c r="F34" s="64" t="s">
        <v>54</v>
      </c>
      <c r="G34" s="50">
        <v>0</v>
      </c>
      <c r="H34" s="27">
        <f>IF(B$25=0,0,G34/B$25)</f>
        <v>0</v>
      </c>
      <c r="J34" s="26">
        <v>32</v>
      </c>
      <c r="K34" s="28">
        <v>198.4</v>
      </c>
    </row>
    <row r="35" spans="5:11" x14ac:dyDescent="0.4">
      <c r="E35" s="68" t="s">
        <v>102</v>
      </c>
      <c r="F35" s="64" t="s">
        <v>55</v>
      </c>
      <c r="G35" s="50">
        <v>0</v>
      </c>
      <c r="H35" s="27">
        <f>IF(B$25=0,0,G35/B$25)</f>
        <v>0</v>
      </c>
      <c r="J35" s="26">
        <v>33</v>
      </c>
      <c r="K35" s="28">
        <v>238.4</v>
      </c>
    </row>
    <row r="36" spans="5:11" x14ac:dyDescent="0.4">
      <c r="E36" s="68" t="s">
        <v>103</v>
      </c>
      <c r="F36" s="64" t="s">
        <v>56</v>
      </c>
      <c r="G36" s="50">
        <v>0</v>
      </c>
      <c r="H36" s="27">
        <f>IF(B$25=0,0,G36/B$25)</f>
        <v>0</v>
      </c>
      <c r="J36" s="26">
        <v>34</v>
      </c>
      <c r="K36" s="28">
        <v>227.9</v>
      </c>
    </row>
    <row r="37" spans="5:11" x14ac:dyDescent="0.4">
      <c r="E37" s="68" t="s">
        <v>104</v>
      </c>
      <c r="F37" s="64" t="s">
        <v>57</v>
      </c>
      <c r="G37" s="50">
        <v>0</v>
      </c>
      <c r="H37" s="27">
        <f>IF(B$25=0,0,G37/B$25)</f>
        <v>0</v>
      </c>
      <c r="J37" s="26">
        <v>35</v>
      </c>
      <c r="K37" s="28">
        <v>182.9</v>
      </c>
    </row>
    <row r="38" spans="5:11" x14ac:dyDescent="0.4">
      <c r="E38" s="68" t="s">
        <v>105</v>
      </c>
      <c r="F38" s="64" t="s">
        <v>58</v>
      </c>
      <c r="G38" s="50">
        <v>0</v>
      </c>
      <c r="H38" s="27">
        <f>IF(B$25=0,0,G38/B$25)</f>
        <v>0</v>
      </c>
      <c r="J38" s="26">
        <v>36</v>
      </c>
      <c r="K38" s="28">
        <v>229</v>
      </c>
    </row>
    <row r="39" spans="5:11" x14ac:dyDescent="0.4">
      <c r="E39" s="68" t="s">
        <v>106</v>
      </c>
      <c r="F39" s="64" t="s">
        <v>59</v>
      </c>
      <c r="G39" s="50">
        <v>0</v>
      </c>
      <c r="H39" s="27">
        <f>IF(B$25=0,0,G39/B$25)</f>
        <v>0</v>
      </c>
      <c r="J39" s="26">
        <v>37</v>
      </c>
      <c r="K39" s="28">
        <v>243.8</v>
      </c>
    </row>
    <row r="40" spans="5:11" x14ac:dyDescent="0.4">
      <c r="E40" s="68" t="s">
        <v>107</v>
      </c>
      <c r="F40" s="64" t="s">
        <v>60</v>
      </c>
      <c r="G40" s="50">
        <v>0</v>
      </c>
      <c r="H40" s="27">
        <f>IF(B$25=0,0,G40/B$25)</f>
        <v>0</v>
      </c>
      <c r="J40" s="26">
        <v>38</v>
      </c>
      <c r="K40" s="28">
        <v>226.60000000000002</v>
      </c>
    </row>
    <row r="41" spans="5:11" x14ac:dyDescent="0.4">
      <c r="E41" s="68" t="s">
        <v>108</v>
      </c>
      <c r="F41" s="64" t="s">
        <v>61</v>
      </c>
      <c r="G41" s="50">
        <v>0</v>
      </c>
      <c r="H41" s="27">
        <f>IF(B$25=0,0,G41/B$25)</f>
        <v>0</v>
      </c>
      <c r="J41" s="26">
        <v>39</v>
      </c>
      <c r="K41" s="28">
        <v>227.00000000000003</v>
      </c>
    </row>
    <row r="42" spans="5:11" x14ac:dyDescent="0.4">
      <c r="E42" s="68" t="s">
        <v>109</v>
      </c>
      <c r="F42" s="64" t="s">
        <v>62</v>
      </c>
      <c r="G42" s="50">
        <v>0</v>
      </c>
      <c r="H42" s="27">
        <f>IF(B$25=0,0,G42/B$25)</f>
        <v>0</v>
      </c>
      <c r="J42" s="26">
        <v>40</v>
      </c>
      <c r="K42" s="28">
        <v>230.10000000000002</v>
      </c>
    </row>
    <row r="43" spans="5:11" x14ac:dyDescent="0.4">
      <c r="E43" s="68" t="s">
        <v>110</v>
      </c>
      <c r="F43" s="64" t="s">
        <v>63</v>
      </c>
      <c r="G43" s="50">
        <v>0</v>
      </c>
      <c r="H43" s="27">
        <f>IF(B$25=0,0,G43/B$25)</f>
        <v>0</v>
      </c>
      <c r="J43" s="26">
        <v>41</v>
      </c>
      <c r="K43" s="28">
        <v>228.10000000000002</v>
      </c>
    </row>
    <row r="44" spans="5:11" x14ac:dyDescent="0.4">
      <c r="E44" s="68" t="s">
        <v>111</v>
      </c>
      <c r="F44" s="64" t="s">
        <v>64</v>
      </c>
      <c r="G44" s="50">
        <v>0</v>
      </c>
      <c r="H44" s="27">
        <f>IF(B$25=0,0,G44/B$25)</f>
        <v>0</v>
      </c>
      <c r="J44" s="26">
        <v>42</v>
      </c>
      <c r="K44" s="28">
        <v>248.3</v>
      </c>
    </row>
    <row r="45" spans="5:11" x14ac:dyDescent="0.4">
      <c r="E45" s="68" t="s">
        <v>112</v>
      </c>
      <c r="F45" s="64" t="s">
        <v>119</v>
      </c>
      <c r="G45" s="50">
        <v>0</v>
      </c>
      <c r="H45" s="27">
        <f>IF(B$25=0,0,G45/B$25)</f>
        <v>0</v>
      </c>
      <c r="J45" s="26">
        <v>43</v>
      </c>
      <c r="K45" s="28">
        <v>280.10000000000002</v>
      </c>
    </row>
    <row r="46" spans="5:11" x14ac:dyDescent="0.4">
      <c r="E46" s="68" t="s">
        <v>113</v>
      </c>
      <c r="F46" s="64" t="s">
        <v>120</v>
      </c>
      <c r="G46" s="50">
        <v>0</v>
      </c>
      <c r="H46" s="27">
        <f>IF(B$25=0,0,G46/B$25)</f>
        <v>0</v>
      </c>
      <c r="J46" s="26">
        <v>44</v>
      </c>
      <c r="K46" s="28">
        <v>272.3</v>
      </c>
    </row>
    <row r="47" spans="5:11" x14ac:dyDescent="0.4">
      <c r="E47" s="68" t="s">
        <v>114</v>
      </c>
      <c r="F47" s="64" t="s">
        <v>121</v>
      </c>
      <c r="G47" s="50">
        <v>0</v>
      </c>
      <c r="H47" s="27">
        <f>IF(B$25=0,0,G47/B$25)</f>
        <v>0</v>
      </c>
      <c r="J47" s="26">
        <v>45</v>
      </c>
      <c r="K47" s="28">
        <v>242.10000000000002</v>
      </c>
    </row>
    <row r="48" spans="5:11" x14ac:dyDescent="0.4">
      <c r="E48" s="68" t="s">
        <v>115</v>
      </c>
      <c r="F48" s="64" t="s">
        <v>65</v>
      </c>
      <c r="G48" s="50">
        <v>0</v>
      </c>
      <c r="H48" s="27">
        <f>IF(B$25=0,0,G48/B$25)</f>
        <v>0</v>
      </c>
      <c r="J48" s="26">
        <v>46</v>
      </c>
      <c r="K48" s="28">
        <v>207.60000000000002</v>
      </c>
    </row>
    <row r="49" spans="5:11" x14ac:dyDescent="0.4">
      <c r="E49" s="68" t="s">
        <v>116</v>
      </c>
      <c r="F49" s="64" t="s">
        <v>66</v>
      </c>
      <c r="G49" s="50">
        <v>0</v>
      </c>
      <c r="H49" s="27">
        <f>IF(B$25=0,0,G49/B$25)</f>
        <v>0</v>
      </c>
      <c r="J49" s="26">
        <v>47</v>
      </c>
      <c r="K49" s="28">
        <v>187.90000000000003</v>
      </c>
    </row>
    <row r="50" spans="5:11" x14ac:dyDescent="0.4">
      <c r="E50" s="68" t="s">
        <v>117</v>
      </c>
      <c r="F50" s="64" t="s">
        <v>67</v>
      </c>
      <c r="G50" s="50">
        <v>0</v>
      </c>
      <c r="H50" s="27">
        <f>IF(B$25=0,0,G50/B$25)</f>
        <v>0</v>
      </c>
      <c r="J50" s="26">
        <v>48</v>
      </c>
      <c r="K50" s="28">
        <v>208.70000000000005</v>
      </c>
    </row>
    <row r="51" spans="5:11" x14ac:dyDescent="0.4">
      <c r="E51" s="69" t="s">
        <v>118</v>
      </c>
      <c r="F51" s="65" t="s">
        <v>68</v>
      </c>
      <c r="G51" s="52">
        <v>0</v>
      </c>
      <c r="H51" s="32">
        <f>IF(B$25=0,0,G51/B$25)</f>
        <v>0</v>
      </c>
      <c r="J51" s="26">
        <v>49</v>
      </c>
      <c r="K51" s="28">
        <v>205.90000000000003</v>
      </c>
    </row>
    <row r="52" spans="5:11" x14ac:dyDescent="0.4">
      <c r="J52" s="26">
        <v>50</v>
      </c>
      <c r="K52" s="28">
        <v>205.90000000000003</v>
      </c>
    </row>
    <row r="53" spans="5:11" x14ac:dyDescent="0.4">
      <c r="J53" s="26">
        <v>51</v>
      </c>
      <c r="K53" s="28">
        <v>283.60000000000002</v>
      </c>
    </row>
    <row r="54" spans="5:11" x14ac:dyDescent="0.4">
      <c r="J54" s="26">
        <v>52</v>
      </c>
      <c r="K54" s="28">
        <v>309.10000000000002</v>
      </c>
    </row>
    <row r="55" spans="5:11" x14ac:dyDescent="0.4">
      <c r="J55" s="26">
        <v>53</v>
      </c>
      <c r="K55" s="28">
        <v>259.60000000000002</v>
      </c>
    </row>
    <row r="56" spans="5:11" x14ac:dyDescent="0.4">
      <c r="J56" s="26">
        <v>54</v>
      </c>
      <c r="K56" s="28">
        <v>244.50000000000003</v>
      </c>
    </row>
  </sheetData>
  <sortState ref="E2:H56">
    <sortCondition descending="1" ref="H1"/>
  </sortState>
  <mergeCells count="9">
    <mergeCell ref="B24:C24"/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D3137E-C4D8-4FF9-9C02-AB044F5BAF5D}">
  <sheetPr codeName="Sheet10"/>
  <dimension ref="A1:P51"/>
  <sheetViews>
    <sheetView showGridLines="0" zoomScale="120" zoomScaleNormal="120" workbookViewId="0"/>
  </sheetViews>
  <sheetFormatPr defaultColWidth="9"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56" t="s">
        <v>0</v>
      </c>
      <c r="B1" s="89" t="s">
        <v>145</v>
      </c>
      <c r="C1" s="90"/>
      <c r="E1" s="66" t="s">
        <v>193</v>
      </c>
      <c r="F1" s="80" t="s">
        <v>122</v>
      </c>
      <c r="G1" s="79" t="s">
        <v>123</v>
      </c>
      <c r="H1" s="80" t="s">
        <v>124</v>
      </c>
      <c r="J1" s="21" t="s">
        <v>22</v>
      </c>
      <c r="K1" s="22" t="s">
        <v>127</v>
      </c>
      <c r="M1" s="21" t="s">
        <v>187</v>
      </c>
      <c r="N1" s="80" t="s">
        <v>189</v>
      </c>
      <c r="O1" s="40" t="s">
        <v>190</v>
      </c>
      <c r="P1" s="36" t="s">
        <v>123</v>
      </c>
    </row>
    <row r="2" spans="1:16" x14ac:dyDescent="0.4">
      <c r="A2" s="57" t="s">
        <v>9</v>
      </c>
      <c r="B2" s="83">
        <v>5</v>
      </c>
      <c r="C2" s="84"/>
      <c r="E2" s="67" t="s">
        <v>69</v>
      </c>
      <c r="F2" s="63" t="s">
        <v>23</v>
      </c>
      <c r="G2" s="49">
        <v>6</v>
      </c>
      <c r="H2" s="24">
        <f>IF(B$25=0,0,G2/B$25)</f>
        <v>0.66666666666666663</v>
      </c>
      <c r="J2" s="23">
        <v>0</v>
      </c>
      <c r="K2" s="25">
        <v>0</v>
      </c>
      <c r="M2" s="23" t="s">
        <v>181</v>
      </c>
      <c r="N2" s="44">
        <f t="shared" ref="N2:N7" si="0">IF(P2=0,0,O2/P2)</f>
        <v>-2740</v>
      </c>
      <c r="O2" s="41">
        <v>-13700</v>
      </c>
      <c r="P2" s="39">
        <v>5</v>
      </c>
    </row>
    <row r="3" spans="1:16" x14ac:dyDescent="0.4">
      <c r="A3" s="58" t="s">
        <v>8</v>
      </c>
      <c r="B3" s="91">
        <v>37</v>
      </c>
      <c r="C3" s="92"/>
      <c r="E3" s="68" t="s">
        <v>73</v>
      </c>
      <c r="F3" s="64" t="s">
        <v>27</v>
      </c>
      <c r="G3" s="50">
        <v>6</v>
      </c>
      <c r="H3" s="27">
        <f>IF(B$25=0,0,G3/B$25)</f>
        <v>0.66666666666666663</v>
      </c>
      <c r="J3" s="26">
        <v>1</v>
      </c>
      <c r="K3" s="28">
        <v>-40.700000000000003</v>
      </c>
      <c r="M3" s="26" t="s">
        <v>182</v>
      </c>
      <c r="N3" s="45">
        <f t="shared" si="0"/>
        <v>1500</v>
      </c>
      <c r="O3" s="42">
        <v>7500</v>
      </c>
      <c r="P3" s="37">
        <v>5</v>
      </c>
    </row>
    <row r="4" spans="1:16" x14ac:dyDescent="0.4">
      <c r="A4" s="58" t="s">
        <v>6</v>
      </c>
      <c r="B4" s="93">
        <v>-85.4</v>
      </c>
      <c r="C4" s="94"/>
      <c r="E4" s="68" t="s">
        <v>70</v>
      </c>
      <c r="F4" s="64" t="s">
        <v>24</v>
      </c>
      <c r="G4" s="50">
        <v>4</v>
      </c>
      <c r="H4" s="27">
        <f>IF(B$25=0,0,G4/B$25)</f>
        <v>0.44444444444444442</v>
      </c>
      <c r="J4" s="26">
        <v>2</v>
      </c>
      <c r="K4" s="28">
        <v>-80.7</v>
      </c>
      <c r="M4" s="26" t="s">
        <v>183</v>
      </c>
      <c r="N4" s="45">
        <f t="shared" si="0"/>
        <v>-11250</v>
      </c>
      <c r="O4" s="42">
        <v>-45000</v>
      </c>
      <c r="P4" s="37">
        <v>4</v>
      </c>
    </row>
    <row r="5" spans="1:16" x14ac:dyDescent="0.4">
      <c r="A5" s="58" t="s">
        <v>7</v>
      </c>
      <c r="B5" s="93">
        <f>IF(B$2=0,0,B$4/B$2)</f>
        <v>-17.080000000000002</v>
      </c>
      <c r="C5" s="94"/>
      <c r="E5" s="68" t="s">
        <v>78</v>
      </c>
      <c r="F5" s="64" t="s">
        <v>31</v>
      </c>
      <c r="G5" s="50">
        <v>4</v>
      </c>
      <c r="H5" s="27">
        <f>IF(B$25=0,0,G5/B$25)</f>
        <v>0.44444444444444442</v>
      </c>
      <c r="J5" s="26">
        <v>3</v>
      </c>
      <c r="K5" s="28">
        <v>-87.9</v>
      </c>
      <c r="M5" s="26" t="s">
        <v>184</v>
      </c>
      <c r="N5" s="45">
        <f t="shared" si="0"/>
        <v>-12000</v>
      </c>
      <c r="O5" s="42">
        <v>-36000</v>
      </c>
      <c r="P5" s="37">
        <v>3</v>
      </c>
    </row>
    <row r="6" spans="1:16" x14ac:dyDescent="0.4">
      <c r="A6" s="58" t="s">
        <v>1</v>
      </c>
      <c r="B6" s="95">
        <f>IF(B$2=0,0,(B$7*1+B$8*2+B$9*3)/B$2)</f>
        <v>2.2000000000000002</v>
      </c>
      <c r="C6" s="96"/>
      <c r="E6" s="68" t="s">
        <v>74</v>
      </c>
      <c r="F6" s="64" t="s">
        <v>12</v>
      </c>
      <c r="G6" s="50">
        <v>3</v>
      </c>
      <c r="H6" s="27">
        <f>IF(B$25=0,0,G6/B$25)</f>
        <v>0.33333333333333331</v>
      </c>
      <c r="J6" s="26">
        <v>4</v>
      </c>
      <c r="K6" s="28">
        <v>-107.2</v>
      </c>
      <c r="M6" s="26" t="s">
        <v>185</v>
      </c>
      <c r="N6" s="45">
        <f t="shared" si="0"/>
        <v>5400</v>
      </c>
      <c r="O6" s="42">
        <v>10800</v>
      </c>
      <c r="P6" s="37">
        <v>2</v>
      </c>
    </row>
    <row r="7" spans="1:16" x14ac:dyDescent="0.4">
      <c r="A7" s="58" t="s">
        <v>2</v>
      </c>
      <c r="B7" s="50">
        <v>1</v>
      </c>
      <c r="C7" s="27">
        <f>IF(B$2=0,0,B7/B$2)</f>
        <v>0.2</v>
      </c>
      <c r="E7" s="68" t="s">
        <v>72</v>
      </c>
      <c r="F7" s="64" t="s">
        <v>26</v>
      </c>
      <c r="G7" s="50">
        <v>2</v>
      </c>
      <c r="H7" s="27">
        <f>IF(B$25=0,0,G7/B$25)</f>
        <v>0.22222222222222221</v>
      </c>
      <c r="J7" s="26">
        <v>5</v>
      </c>
      <c r="K7" s="28">
        <v>-85.4</v>
      </c>
      <c r="M7" s="31" t="s">
        <v>186</v>
      </c>
      <c r="N7" s="46">
        <f t="shared" si="0"/>
        <v>-5000</v>
      </c>
      <c r="O7" s="43">
        <v>-10000</v>
      </c>
      <c r="P7" s="38">
        <v>2</v>
      </c>
    </row>
    <row r="8" spans="1:16" x14ac:dyDescent="0.4">
      <c r="A8" s="58" t="s">
        <v>3</v>
      </c>
      <c r="B8" s="50">
        <v>2</v>
      </c>
      <c r="C8" s="27">
        <f t="shared" ref="C8:C9" si="1">IF(B$2=0,0,B8/B$2)</f>
        <v>0.4</v>
      </c>
      <c r="E8" s="68" t="s">
        <v>85</v>
      </c>
      <c r="F8" s="64" t="s">
        <v>38</v>
      </c>
      <c r="G8" s="50">
        <v>2</v>
      </c>
      <c r="H8" s="27">
        <f>IF(B$25=0,0,G8/B$25)</f>
        <v>0.22222222222222221</v>
      </c>
    </row>
    <row r="9" spans="1:16" x14ac:dyDescent="0.4">
      <c r="A9" s="59" t="s">
        <v>4</v>
      </c>
      <c r="B9" s="51">
        <v>2</v>
      </c>
      <c r="C9" s="29">
        <f t="shared" si="1"/>
        <v>0.4</v>
      </c>
      <c r="E9" s="68" t="s">
        <v>71</v>
      </c>
      <c r="F9" s="64" t="s">
        <v>25</v>
      </c>
      <c r="G9" s="50">
        <v>1</v>
      </c>
      <c r="H9" s="27">
        <f>IF(B$25=0,0,G9/B$25)</f>
        <v>0.1111111111111111</v>
      </c>
    </row>
    <row r="10" spans="1:16" x14ac:dyDescent="0.4">
      <c r="A10" s="59" t="s">
        <v>21</v>
      </c>
      <c r="B10" s="51">
        <v>2</v>
      </c>
      <c r="C10" s="29">
        <f>IF(B$2=0,0,B10/B$2)</f>
        <v>0.4</v>
      </c>
      <c r="E10" s="68" t="s">
        <v>75</v>
      </c>
      <c r="F10" s="64" t="s">
        <v>28</v>
      </c>
      <c r="G10" s="50">
        <v>1</v>
      </c>
      <c r="H10" s="27">
        <f>IF(B$25=0,0,G10/B$25)</f>
        <v>0.1111111111111111</v>
      </c>
    </row>
    <row r="11" spans="1:16" x14ac:dyDescent="0.4">
      <c r="A11" s="60" t="s">
        <v>191</v>
      </c>
      <c r="B11" s="52">
        <v>1</v>
      </c>
      <c r="C11" s="32">
        <f>IF(B$2=0,0,B11/B$2)</f>
        <v>0.2</v>
      </c>
      <c r="E11" s="68" t="s">
        <v>93</v>
      </c>
      <c r="F11" s="64" t="s">
        <v>46</v>
      </c>
      <c r="G11" s="50">
        <v>1</v>
      </c>
      <c r="H11" s="27">
        <f>IF(B$25=0,0,G11/B$25)</f>
        <v>0.1111111111111111</v>
      </c>
    </row>
    <row r="12" spans="1:16" x14ac:dyDescent="0.4">
      <c r="A12" s="61" t="s">
        <v>130</v>
      </c>
      <c r="B12" s="53">
        <v>8</v>
      </c>
      <c r="C12" s="35">
        <f>IF(B$24=0,0,B12/B$24)</f>
        <v>0.25806451612903225</v>
      </c>
      <c r="E12" s="68" t="s">
        <v>76</v>
      </c>
      <c r="F12" s="64" t="s">
        <v>29</v>
      </c>
      <c r="G12" s="50">
        <v>0</v>
      </c>
      <c r="H12" s="27">
        <f>IF(B$25=0,0,G12/B$25)</f>
        <v>0</v>
      </c>
    </row>
    <row r="13" spans="1:16" x14ac:dyDescent="0.4">
      <c r="A13" s="58" t="s">
        <v>125</v>
      </c>
      <c r="B13" s="50">
        <v>5</v>
      </c>
      <c r="C13" s="27">
        <f>IF(B$24=0,0,B13/B$24)</f>
        <v>0.16129032258064516</v>
      </c>
      <c r="E13" s="68" t="s">
        <v>77</v>
      </c>
      <c r="F13" s="64" t="s">
        <v>30</v>
      </c>
      <c r="G13" s="50">
        <v>0</v>
      </c>
      <c r="H13" s="27">
        <f>IF(B$25=0,0,G13/B$25)</f>
        <v>0</v>
      </c>
    </row>
    <row r="14" spans="1:16" x14ac:dyDescent="0.4">
      <c r="A14" s="57" t="s">
        <v>132</v>
      </c>
      <c r="B14" s="49">
        <v>6</v>
      </c>
      <c r="C14" s="24">
        <f>IF(B$12=0,0,B14/B$12)</f>
        <v>0.75</v>
      </c>
      <c r="E14" s="68" t="s">
        <v>79</v>
      </c>
      <c r="F14" s="64" t="s">
        <v>32</v>
      </c>
      <c r="G14" s="50">
        <v>0</v>
      </c>
      <c r="H14" s="27">
        <f>IF(B$25=0,0,G14/B$25)</f>
        <v>0</v>
      </c>
    </row>
    <row r="15" spans="1:16" x14ac:dyDescent="0.4">
      <c r="A15" s="57" t="s">
        <v>133</v>
      </c>
      <c r="B15" s="49">
        <v>1</v>
      </c>
      <c r="C15" s="24">
        <f>IF(B$13=0,0,B15/B$13)</f>
        <v>0.2</v>
      </c>
      <c r="E15" s="68" t="s">
        <v>80</v>
      </c>
      <c r="F15" s="64" t="s">
        <v>33</v>
      </c>
      <c r="G15" s="50">
        <v>0</v>
      </c>
      <c r="H15" s="27">
        <f>IF(B$25=0,0,G15/B$25)</f>
        <v>0</v>
      </c>
    </row>
    <row r="16" spans="1:16" x14ac:dyDescent="0.4">
      <c r="A16" s="57" t="s">
        <v>10</v>
      </c>
      <c r="B16" s="49">
        <f>B18+B17</f>
        <v>10</v>
      </c>
      <c r="C16" s="24">
        <f>IF(B$3=0,0,B16/B$3)</f>
        <v>0.27027027027027029</v>
      </c>
      <c r="E16" s="68" t="s">
        <v>81</v>
      </c>
      <c r="F16" s="64" t="s">
        <v>34</v>
      </c>
      <c r="G16" s="50">
        <v>0</v>
      </c>
      <c r="H16" s="27">
        <f>IF(B$25=0,0,G16/B$25)</f>
        <v>0</v>
      </c>
    </row>
    <row r="17" spans="1:8" x14ac:dyDescent="0.4">
      <c r="A17" s="58" t="s">
        <v>12</v>
      </c>
      <c r="B17" s="50">
        <v>3</v>
      </c>
      <c r="C17" s="27">
        <f>IF(B$16=0,0,B17/B$16)</f>
        <v>0.3</v>
      </c>
      <c r="E17" s="68" t="s">
        <v>82</v>
      </c>
      <c r="F17" s="64" t="s">
        <v>35</v>
      </c>
      <c r="G17" s="50">
        <v>0</v>
      </c>
      <c r="H17" s="27">
        <f>IF(B$25=0,0,G17/B$25)</f>
        <v>0</v>
      </c>
    </row>
    <row r="18" spans="1:8" x14ac:dyDescent="0.4">
      <c r="A18" s="58" t="s">
        <v>11</v>
      </c>
      <c r="B18" s="50">
        <v>7</v>
      </c>
      <c r="C18" s="27">
        <f>IF(B$16=0,0,B18/B$16)</f>
        <v>0.7</v>
      </c>
      <c r="E18" s="68" t="s">
        <v>83</v>
      </c>
      <c r="F18" s="64" t="s">
        <v>36</v>
      </c>
      <c r="G18" s="50">
        <v>0</v>
      </c>
      <c r="H18" s="27">
        <f>IF(B$25=0,0,G18/B$25)</f>
        <v>0</v>
      </c>
    </row>
    <row r="19" spans="1:8" x14ac:dyDescent="0.4">
      <c r="A19" s="58" t="s">
        <v>13</v>
      </c>
      <c r="B19" s="50">
        <v>8</v>
      </c>
      <c r="C19" s="27">
        <f>IF(B$3=0,0,B19/B$3)</f>
        <v>0.21621621621621623</v>
      </c>
      <c r="E19" s="68" t="s">
        <v>84</v>
      </c>
      <c r="F19" s="64" t="s">
        <v>37</v>
      </c>
      <c r="G19" s="50">
        <v>0</v>
      </c>
      <c r="H19" s="27">
        <f>IF(B$25=0,0,G19/B$25)</f>
        <v>0</v>
      </c>
    </row>
    <row r="20" spans="1:8" x14ac:dyDescent="0.4">
      <c r="A20" s="58" t="s">
        <v>5</v>
      </c>
      <c r="B20" s="54">
        <f>IF(B$16=0,0,C20/B$16)</f>
        <v>7100</v>
      </c>
      <c r="C20" s="30">
        <v>71000</v>
      </c>
      <c r="E20" s="68" t="s">
        <v>86</v>
      </c>
      <c r="F20" s="64" t="s">
        <v>39</v>
      </c>
      <c r="G20" s="50">
        <v>0</v>
      </c>
      <c r="H20" s="27">
        <f>IF(B$25=0,0,G20/B$25)</f>
        <v>0</v>
      </c>
    </row>
    <row r="21" spans="1:8" x14ac:dyDescent="0.4">
      <c r="A21" s="60" t="s">
        <v>14</v>
      </c>
      <c r="B21" s="55">
        <f>IF(B$19=0,0,C21/B$19)</f>
        <v>-12487.5</v>
      </c>
      <c r="C21" s="48">
        <v>-99900</v>
      </c>
      <c r="E21" s="68" t="s">
        <v>87</v>
      </c>
      <c r="F21" s="64" t="s">
        <v>40</v>
      </c>
      <c r="G21" s="50">
        <v>0</v>
      </c>
      <c r="H21" s="27">
        <f>IF(B$25=0,0,G21/B$25)</f>
        <v>0</v>
      </c>
    </row>
    <row r="22" spans="1:8" x14ac:dyDescent="0.4">
      <c r="A22" s="57" t="s">
        <v>178</v>
      </c>
      <c r="B22" s="49">
        <v>13</v>
      </c>
      <c r="C22" s="24">
        <f>IF(B$3=0,0,B22/B$3)</f>
        <v>0.35135135135135137</v>
      </c>
      <c r="E22" s="68" t="s">
        <v>88</v>
      </c>
      <c r="F22" s="64" t="s">
        <v>41</v>
      </c>
      <c r="G22" s="50">
        <v>0</v>
      </c>
      <c r="H22" s="27">
        <f>IF(B$25=0,0,G22/B$25)</f>
        <v>0</v>
      </c>
    </row>
    <row r="23" spans="1:8" x14ac:dyDescent="0.4">
      <c r="A23" s="60" t="s">
        <v>179</v>
      </c>
      <c r="B23" s="52">
        <v>6</v>
      </c>
      <c r="C23" s="32">
        <f>IF(B$22=0,0,B23/B$22)</f>
        <v>0.46153846153846156</v>
      </c>
      <c r="E23" s="68" t="s">
        <v>89</v>
      </c>
      <c r="F23" s="64" t="s">
        <v>42</v>
      </c>
      <c r="G23" s="50">
        <v>0</v>
      </c>
      <c r="H23" s="27">
        <f>IF(B$25=0,0,G23/B$25)</f>
        <v>0</v>
      </c>
    </row>
    <row r="24" spans="1:8" x14ac:dyDescent="0.4">
      <c r="A24" s="57" t="s">
        <v>128</v>
      </c>
      <c r="B24" s="83">
        <v>31</v>
      </c>
      <c r="C24" s="84"/>
      <c r="E24" s="68" t="s">
        <v>90</v>
      </c>
      <c r="F24" s="64" t="s">
        <v>43</v>
      </c>
      <c r="G24" s="50">
        <v>0</v>
      </c>
      <c r="H24" s="27">
        <f>IF(B$25=0,0,G24/B$25)</f>
        <v>0</v>
      </c>
    </row>
    <row r="25" spans="1:8" x14ac:dyDescent="0.4">
      <c r="A25" s="60" t="s">
        <v>129</v>
      </c>
      <c r="B25" s="85">
        <v>9</v>
      </c>
      <c r="C25" s="86"/>
      <c r="E25" s="68" t="s">
        <v>91</v>
      </c>
      <c r="F25" s="64" t="s">
        <v>44</v>
      </c>
      <c r="G25" s="50">
        <v>0</v>
      </c>
      <c r="H25" s="27">
        <f>IF(B$25=0,0,G25/B$25)</f>
        <v>0</v>
      </c>
    </row>
    <row r="26" spans="1:8" x14ac:dyDescent="0.4">
      <c r="A26" s="75" t="s">
        <v>196</v>
      </c>
      <c r="B26" s="87">
        <v>3</v>
      </c>
      <c r="C26" s="88"/>
      <c r="E26" s="68" t="s">
        <v>92</v>
      </c>
      <c r="F26" s="64" t="s">
        <v>45</v>
      </c>
      <c r="G26" s="50">
        <v>0</v>
      </c>
      <c r="H26" s="27">
        <f>IF(B$25=0,0,G26/B$25)</f>
        <v>0</v>
      </c>
    </row>
    <row r="27" spans="1:8" x14ac:dyDescent="0.4">
      <c r="A27" s="60" t="s">
        <v>198</v>
      </c>
      <c r="B27" s="76">
        <v>0</v>
      </c>
      <c r="C27" s="32">
        <f>IF(B$3=0,0,B27/B$3)</f>
        <v>0</v>
      </c>
      <c r="E27" s="68" t="s">
        <v>94</v>
      </c>
      <c r="F27" s="64" t="s">
        <v>47</v>
      </c>
      <c r="G27" s="50">
        <v>0</v>
      </c>
      <c r="H27" s="27">
        <f>IF(B$25=0,0,G27/B$25)</f>
        <v>0</v>
      </c>
    </row>
    <row r="28" spans="1:8" x14ac:dyDescent="0.4">
      <c r="E28" s="68" t="s">
        <v>95</v>
      </c>
      <c r="F28" s="64" t="s">
        <v>48</v>
      </c>
      <c r="G28" s="50">
        <v>0</v>
      </c>
      <c r="H28" s="27">
        <f>IF(B$25=0,0,G28/B$25)</f>
        <v>0</v>
      </c>
    </row>
    <row r="29" spans="1:8" x14ac:dyDescent="0.4">
      <c r="E29" s="68" t="s">
        <v>96</v>
      </c>
      <c r="F29" s="64" t="s">
        <v>49</v>
      </c>
      <c r="G29" s="50">
        <v>0</v>
      </c>
      <c r="H29" s="27">
        <f>IF(B$25=0,0,G29/B$25)</f>
        <v>0</v>
      </c>
    </row>
    <row r="30" spans="1:8" x14ac:dyDescent="0.4">
      <c r="E30" s="68" t="s">
        <v>97</v>
      </c>
      <c r="F30" s="64" t="s">
        <v>50</v>
      </c>
      <c r="G30" s="50">
        <v>0</v>
      </c>
      <c r="H30" s="27">
        <f>IF(B$25=0,0,G30/B$25)</f>
        <v>0</v>
      </c>
    </row>
    <row r="31" spans="1:8" x14ac:dyDescent="0.4">
      <c r="E31" s="68" t="s">
        <v>98</v>
      </c>
      <c r="F31" s="64" t="s">
        <v>51</v>
      </c>
      <c r="G31" s="50">
        <v>0</v>
      </c>
      <c r="H31" s="27">
        <f>IF(B$25=0,0,G31/B$25)</f>
        <v>0</v>
      </c>
    </row>
    <row r="32" spans="1:8" x14ac:dyDescent="0.4">
      <c r="E32" s="68" t="s">
        <v>99</v>
      </c>
      <c r="F32" s="64" t="s">
        <v>52</v>
      </c>
      <c r="G32" s="50">
        <v>0</v>
      </c>
      <c r="H32" s="27">
        <f>IF(B$25=0,0,G32/B$25)</f>
        <v>0</v>
      </c>
    </row>
    <row r="33" spans="5:8" x14ac:dyDescent="0.4">
      <c r="E33" s="68" t="s">
        <v>100</v>
      </c>
      <c r="F33" s="64" t="s">
        <v>53</v>
      </c>
      <c r="G33" s="50">
        <v>0</v>
      </c>
      <c r="H33" s="27">
        <f>IF(B$25=0,0,G33/B$25)</f>
        <v>0</v>
      </c>
    </row>
    <row r="34" spans="5:8" x14ac:dyDescent="0.4">
      <c r="E34" s="68" t="s">
        <v>101</v>
      </c>
      <c r="F34" s="64" t="s">
        <v>54</v>
      </c>
      <c r="G34" s="50">
        <v>0</v>
      </c>
      <c r="H34" s="27">
        <f>IF(B$25=0,0,G34/B$25)</f>
        <v>0</v>
      </c>
    </row>
    <row r="35" spans="5:8" x14ac:dyDescent="0.4">
      <c r="E35" s="68" t="s">
        <v>102</v>
      </c>
      <c r="F35" s="64" t="s">
        <v>55</v>
      </c>
      <c r="G35" s="50">
        <v>0</v>
      </c>
      <c r="H35" s="27">
        <f>IF(B$25=0,0,G35/B$25)</f>
        <v>0</v>
      </c>
    </row>
    <row r="36" spans="5:8" x14ac:dyDescent="0.4">
      <c r="E36" s="68" t="s">
        <v>103</v>
      </c>
      <c r="F36" s="64" t="s">
        <v>56</v>
      </c>
      <c r="G36" s="50">
        <v>0</v>
      </c>
      <c r="H36" s="27">
        <f>IF(B$25=0,0,G36/B$25)</f>
        <v>0</v>
      </c>
    </row>
    <row r="37" spans="5:8" x14ac:dyDescent="0.4">
      <c r="E37" s="68" t="s">
        <v>104</v>
      </c>
      <c r="F37" s="64" t="s">
        <v>57</v>
      </c>
      <c r="G37" s="50">
        <v>0</v>
      </c>
      <c r="H37" s="27">
        <f>IF(B$25=0,0,G37/B$25)</f>
        <v>0</v>
      </c>
    </row>
    <row r="38" spans="5:8" x14ac:dyDescent="0.4">
      <c r="E38" s="68" t="s">
        <v>105</v>
      </c>
      <c r="F38" s="64" t="s">
        <v>58</v>
      </c>
      <c r="G38" s="50">
        <v>0</v>
      </c>
      <c r="H38" s="27">
        <f>IF(B$25=0,0,G38/B$25)</f>
        <v>0</v>
      </c>
    </row>
    <row r="39" spans="5:8" x14ac:dyDescent="0.4">
      <c r="E39" s="68" t="s">
        <v>106</v>
      </c>
      <c r="F39" s="64" t="s">
        <v>59</v>
      </c>
      <c r="G39" s="50">
        <v>0</v>
      </c>
      <c r="H39" s="27">
        <f>IF(B$25=0,0,G39/B$25)</f>
        <v>0</v>
      </c>
    </row>
    <row r="40" spans="5:8" x14ac:dyDescent="0.4">
      <c r="E40" s="68" t="s">
        <v>107</v>
      </c>
      <c r="F40" s="64" t="s">
        <v>60</v>
      </c>
      <c r="G40" s="50">
        <v>0</v>
      </c>
      <c r="H40" s="27">
        <f>IF(B$25=0,0,G40/B$25)</f>
        <v>0</v>
      </c>
    </row>
    <row r="41" spans="5:8" x14ac:dyDescent="0.4">
      <c r="E41" s="68" t="s">
        <v>108</v>
      </c>
      <c r="F41" s="64" t="s">
        <v>61</v>
      </c>
      <c r="G41" s="50">
        <v>0</v>
      </c>
      <c r="H41" s="27">
        <f>IF(B$25=0,0,G41/B$25)</f>
        <v>0</v>
      </c>
    </row>
    <row r="42" spans="5:8" x14ac:dyDescent="0.4">
      <c r="E42" s="68" t="s">
        <v>109</v>
      </c>
      <c r="F42" s="64" t="s">
        <v>62</v>
      </c>
      <c r="G42" s="50">
        <v>0</v>
      </c>
      <c r="H42" s="27">
        <f>IF(B$25=0,0,G42/B$25)</f>
        <v>0</v>
      </c>
    </row>
    <row r="43" spans="5:8" x14ac:dyDescent="0.4">
      <c r="E43" s="68" t="s">
        <v>110</v>
      </c>
      <c r="F43" s="64" t="s">
        <v>63</v>
      </c>
      <c r="G43" s="50">
        <v>0</v>
      </c>
      <c r="H43" s="27">
        <f>IF(B$25=0,0,G43/B$25)</f>
        <v>0</v>
      </c>
    </row>
    <row r="44" spans="5:8" x14ac:dyDescent="0.4">
      <c r="E44" s="68" t="s">
        <v>111</v>
      </c>
      <c r="F44" s="64" t="s">
        <v>64</v>
      </c>
      <c r="G44" s="50">
        <v>0</v>
      </c>
      <c r="H44" s="27">
        <f>IF(B$25=0,0,G44/B$25)</f>
        <v>0</v>
      </c>
    </row>
    <row r="45" spans="5:8" x14ac:dyDescent="0.4">
      <c r="E45" s="68" t="s">
        <v>112</v>
      </c>
      <c r="F45" s="64" t="s">
        <v>119</v>
      </c>
      <c r="G45" s="50">
        <v>0</v>
      </c>
      <c r="H45" s="27">
        <f>IF(B$25=0,0,G45/B$25)</f>
        <v>0</v>
      </c>
    </row>
    <row r="46" spans="5:8" x14ac:dyDescent="0.4">
      <c r="E46" s="68" t="s">
        <v>113</v>
      </c>
      <c r="F46" s="64" t="s">
        <v>120</v>
      </c>
      <c r="G46" s="50">
        <v>0</v>
      </c>
      <c r="H46" s="27">
        <f>IF(B$25=0,0,G46/B$25)</f>
        <v>0</v>
      </c>
    </row>
    <row r="47" spans="5:8" x14ac:dyDescent="0.4">
      <c r="E47" s="68" t="s">
        <v>114</v>
      </c>
      <c r="F47" s="64" t="s">
        <v>121</v>
      </c>
      <c r="G47" s="50">
        <v>0</v>
      </c>
      <c r="H47" s="27">
        <f>IF(B$25=0,0,G47/B$25)</f>
        <v>0</v>
      </c>
    </row>
    <row r="48" spans="5:8" x14ac:dyDescent="0.4">
      <c r="E48" s="68" t="s">
        <v>115</v>
      </c>
      <c r="F48" s="64" t="s">
        <v>65</v>
      </c>
      <c r="G48" s="50">
        <v>0</v>
      </c>
      <c r="H48" s="27">
        <f>IF(B$25=0,0,G48/B$25)</f>
        <v>0</v>
      </c>
    </row>
    <row r="49" spans="5:8" x14ac:dyDescent="0.4">
      <c r="E49" s="68" t="s">
        <v>116</v>
      </c>
      <c r="F49" s="64" t="s">
        <v>66</v>
      </c>
      <c r="G49" s="50">
        <v>0</v>
      </c>
      <c r="H49" s="27">
        <f>IF(B$25=0,0,G49/B$25)</f>
        <v>0</v>
      </c>
    </row>
    <row r="50" spans="5:8" x14ac:dyDescent="0.4">
      <c r="E50" s="68" t="s">
        <v>117</v>
      </c>
      <c r="F50" s="64" t="s">
        <v>67</v>
      </c>
      <c r="G50" s="50">
        <v>0</v>
      </c>
      <c r="H50" s="27">
        <f>IF(B$25=0,0,G50/B$25)</f>
        <v>0</v>
      </c>
    </row>
    <row r="51" spans="5:8" x14ac:dyDescent="0.4">
      <c r="E51" s="69" t="s">
        <v>118</v>
      </c>
      <c r="F51" s="65" t="s">
        <v>68</v>
      </c>
      <c r="G51" s="52">
        <v>0</v>
      </c>
      <c r="H51" s="32">
        <f>IF(B$25=0,0,G51/B$25)</f>
        <v>0</v>
      </c>
    </row>
  </sheetData>
  <sortState ref="E2:H51">
    <sortCondition descending="1" ref="H1"/>
  </sortState>
  <mergeCells count="9">
    <mergeCell ref="B24:C24"/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42CB72-D67C-43C4-B5BA-FA79C6EFD5AB}">
  <sheetPr codeName="Sheet11"/>
  <dimension ref="A1:P54"/>
  <sheetViews>
    <sheetView showGridLines="0" zoomScale="120" zoomScaleNormal="120" workbookViewId="0"/>
  </sheetViews>
  <sheetFormatPr defaultColWidth="9"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56" t="s">
        <v>0</v>
      </c>
      <c r="B1" s="89" t="s">
        <v>148</v>
      </c>
      <c r="C1" s="90"/>
      <c r="E1" s="66" t="s">
        <v>193</v>
      </c>
      <c r="F1" s="80" t="s">
        <v>122</v>
      </c>
      <c r="G1" s="79" t="s">
        <v>123</v>
      </c>
      <c r="H1" s="80" t="s">
        <v>124</v>
      </c>
      <c r="J1" s="21" t="s">
        <v>22</v>
      </c>
      <c r="K1" s="22" t="s">
        <v>127</v>
      </c>
      <c r="M1" s="21" t="s">
        <v>187</v>
      </c>
      <c r="N1" s="80" t="s">
        <v>189</v>
      </c>
      <c r="O1" s="40" t="s">
        <v>190</v>
      </c>
      <c r="P1" s="36" t="s">
        <v>123</v>
      </c>
    </row>
    <row r="2" spans="1:16" x14ac:dyDescent="0.4">
      <c r="A2" s="57" t="s">
        <v>9</v>
      </c>
      <c r="B2" s="83">
        <v>52</v>
      </c>
      <c r="C2" s="84"/>
      <c r="E2" s="67" t="s">
        <v>73</v>
      </c>
      <c r="F2" s="63" t="s">
        <v>27</v>
      </c>
      <c r="G2" s="49">
        <v>45</v>
      </c>
      <c r="H2" s="24">
        <f>IF(B$25=0,0,G2/B$25)</f>
        <v>0.9</v>
      </c>
      <c r="J2" s="23">
        <v>0</v>
      </c>
      <c r="K2" s="25">
        <v>0</v>
      </c>
      <c r="M2" s="23" t="s">
        <v>181</v>
      </c>
      <c r="N2" s="44">
        <f t="shared" ref="N2:N7" si="0">IF(P2=0,0,O2/P2)</f>
        <v>-2221.1538461538462</v>
      </c>
      <c r="O2" s="41">
        <v>-115500</v>
      </c>
      <c r="P2" s="39">
        <v>52</v>
      </c>
    </row>
    <row r="3" spans="1:16" x14ac:dyDescent="0.4">
      <c r="A3" s="58" t="s">
        <v>8</v>
      </c>
      <c r="B3" s="91">
        <v>405</v>
      </c>
      <c r="C3" s="92"/>
      <c r="E3" s="68" t="s">
        <v>71</v>
      </c>
      <c r="F3" s="64" t="s">
        <v>25</v>
      </c>
      <c r="G3" s="50">
        <v>35</v>
      </c>
      <c r="H3" s="27">
        <f>IF(B$25=0,0,G3/B$25)</f>
        <v>0.7</v>
      </c>
      <c r="J3" s="26">
        <v>1</v>
      </c>
      <c r="K3" s="28">
        <v>67.2</v>
      </c>
      <c r="M3" s="26" t="s">
        <v>182</v>
      </c>
      <c r="N3" s="45">
        <f t="shared" si="0"/>
        <v>-3755.1020408163267</v>
      </c>
      <c r="O3" s="42">
        <v>-184000</v>
      </c>
      <c r="P3" s="37">
        <v>49</v>
      </c>
    </row>
    <row r="4" spans="1:16" x14ac:dyDescent="0.4">
      <c r="A4" s="58" t="s">
        <v>6</v>
      </c>
      <c r="B4" s="93">
        <v>-378.59999999999997</v>
      </c>
      <c r="C4" s="94"/>
      <c r="E4" s="68" t="s">
        <v>78</v>
      </c>
      <c r="F4" s="64" t="s">
        <v>31</v>
      </c>
      <c r="G4" s="50">
        <v>34</v>
      </c>
      <c r="H4" s="27">
        <f>IF(B$25=0,0,G4/B$25)</f>
        <v>0.68</v>
      </c>
      <c r="J4" s="26">
        <v>2</v>
      </c>
      <c r="K4" s="28">
        <v>58.5</v>
      </c>
      <c r="M4" s="26" t="s">
        <v>183</v>
      </c>
      <c r="N4" s="45">
        <f t="shared" si="0"/>
        <v>-1088.0952380952381</v>
      </c>
      <c r="O4" s="42">
        <v>-45700</v>
      </c>
      <c r="P4" s="37">
        <v>42</v>
      </c>
    </row>
    <row r="5" spans="1:16" x14ac:dyDescent="0.4">
      <c r="A5" s="58" t="s">
        <v>7</v>
      </c>
      <c r="B5" s="93">
        <f>IF(B$2=0,0,B$4/B$2)</f>
        <v>-7.2807692307692298</v>
      </c>
      <c r="C5" s="94"/>
      <c r="E5" s="68" t="s">
        <v>69</v>
      </c>
      <c r="F5" s="64" t="s">
        <v>23</v>
      </c>
      <c r="G5" s="50">
        <v>22</v>
      </c>
      <c r="H5" s="27">
        <f>IF(B$25=0,0,G5/B$25)</f>
        <v>0.44</v>
      </c>
      <c r="J5" s="26">
        <v>3</v>
      </c>
      <c r="K5" s="28">
        <v>81.099999999999994</v>
      </c>
      <c r="M5" s="26" t="s">
        <v>184</v>
      </c>
      <c r="N5" s="45">
        <f t="shared" si="0"/>
        <v>1575</v>
      </c>
      <c r="O5" s="42">
        <v>63000</v>
      </c>
      <c r="P5" s="37">
        <v>40</v>
      </c>
    </row>
    <row r="6" spans="1:16" x14ac:dyDescent="0.4">
      <c r="A6" s="58" t="s">
        <v>1</v>
      </c>
      <c r="B6" s="95">
        <f>IF(B$2=0,0,(B$7*1+B$8*2+B$9*3)/B$2)</f>
        <v>2.2115384615384617</v>
      </c>
      <c r="C6" s="96"/>
      <c r="E6" s="68" t="s">
        <v>74</v>
      </c>
      <c r="F6" s="64" t="s">
        <v>12</v>
      </c>
      <c r="G6" s="50">
        <v>11</v>
      </c>
      <c r="H6" s="27">
        <f>IF(B$25=0,0,G6/B$25)</f>
        <v>0.22</v>
      </c>
      <c r="J6" s="26">
        <v>4</v>
      </c>
      <c r="K6" s="28">
        <v>56.699999999999996</v>
      </c>
      <c r="M6" s="26" t="s">
        <v>185</v>
      </c>
      <c r="N6" s="45">
        <f t="shared" si="0"/>
        <v>-2561.2903225806454</v>
      </c>
      <c r="O6" s="42">
        <v>-79400</v>
      </c>
      <c r="P6" s="37">
        <v>31</v>
      </c>
    </row>
    <row r="7" spans="1:16" x14ac:dyDescent="0.4">
      <c r="A7" s="58" t="s">
        <v>2</v>
      </c>
      <c r="B7" s="50">
        <v>11</v>
      </c>
      <c r="C7" s="27">
        <f>IF(B$2=0,0,B7/B$2)</f>
        <v>0.21153846153846154</v>
      </c>
      <c r="E7" s="68" t="s">
        <v>70</v>
      </c>
      <c r="F7" s="64" t="s">
        <v>24</v>
      </c>
      <c r="G7" s="50">
        <v>7</v>
      </c>
      <c r="H7" s="27">
        <f>IF(B$25=0,0,G7/B$25)</f>
        <v>0.14000000000000001</v>
      </c>
      <c r="J7" s="26">
        <v>5</v>
      </c>
      <c r="K7" s="28">
        <v>121.69999999999999</v>
      </c>
      <c r="M7" s="31" t="s">
        <v>186</v>
      </c>
      <c r="N7" s="46">
        <f t="shared" si="0"/>
        <v>-1120</v>
      </c>
      <c r="O7" s="43">
        <v>-28000</v>
      </c>
      <c r="P7" s="38">
        <v>25</v>
      </c>
    </row>
    <row r="8" spans="1:16" x14ac:dyDescent="0.4">
      <c r="A8" s="58" t="s">
        <v>3</v>
      </c>
      <c r="B8" s="50">
        <v>19</v>
      </c>
      <c r="C8" s="27">
        <f t="shared" ref="C8:C9" si="1">IF(B$2=0,0,B8/B$2)</f>
        <v>0.36538461538461536</v>
      </c>
      <c r="E8" s="68" t="s">
        <v>72</v>
      </c>
      <c r="F8" s="64" t="s">
        <v>26</v>
      </c>
      <c r="G8" s="50">
        <v>5</v>
      </c>
      <c r="H8" s="27">
        <f>IF(B$25=0,0,G8/B$25)</f>
        <v>0.1</v>
      </c>
      <c r="J8" s="26">
        <v>6</v>
      </c>
      <c r="K8" s="28">
        <v>123.19999999999999</v>
      </c>
    </row>
    <row r="9" spans="1:16" x14ac:dyDescent="0.4">
      <c r="A9" s="59" t="s">
        <v>4</v>
      </c>
      <c r="B9" s="51">
        <v>22</v>
      </c>
      <c r="C9" s="29">
        <f t="shared" si="1"/>
        <v>0.42307692307692307</v>
      </c>
      <c r="E9" s="68" t="s">
        <v>75</v>
      </c>
      <c r="F9" s="64" t="s">
        <v>28</v>
      </c>
      <c r="G9" s="50">
        <v>4</v>
      </c>
      <c r="H9" s="27">
        <f>IF(B$25=0,0,G9/B$25)</f>
        <v>0.08</v>
      </c>
      <c r="J9" s="26">
        <v>7</v>
      </c>
      <c r="K9" s="28">
        <v>125.99999999999999</v>
      </c>
    </row>
    <row r="10" spans="1:16" x14ac:dyDescent="0.4">
      <c r="A10" s="59" t="s">
        <v>21</v>
      </c>
      <c r="B10" s="51">
        <v>11</v>
      </c>
      <c r="C10" s="29">
        <f>IF(B$2=0,0,B10/B$2)</f>
        <v>0.21153846153846154</v>
      </c>
      <c r="E10" s="68" t="s">
        <v>96</v>
      </c>
      <c r="F10" s="64" t="s">
        <v>49</v>
      </c>
      <c r="G10" s="50">
        <v>4</v>
      </c>
      <c r="H10" s="27">
        <f>IF(B$25=0,0,G10/B$25)</f>
        <v>0.08</v>
      </c>
      <c r="J10" s="26">
        <v>8</v>
      </c>
      <c r="K10" s="28">
        <v>94.499999999999986</v>
      </c>
    </row>
    <row r="11" spans="1:16" x14ac:dyDescent="0.4">
      <c r="A11" s="60" t="s">
        <v>191</v>
      </c>
      <c r="B11" s="52">
        <v>7</v>
      </c>
      <c r="C11" s="32">
        <f>IF(B$2=0,0,B11/B$2)</f>
        <v>0.13461538461538461</v>
      </c>
      <c r="E11" s="68" t="s">
        <v>76</v>
      </c>
      <c r="F11" s="64" t="s">
        <v>29</v>
      </c>
      <c r="G11" s="50">
        <v>3</v>
      </c>
      <c r="H11" s="27">
        <f>IF(B$25=0,0,G11/B$25)</f>
        <v>0.06</v>
      </c>
      <c r="J11" s="26">
        <v>9</v>
      </c>
      <c r="K11" s="28">
        <v>81.799999999999983</v>
      </c>
    </row>
    <row r="12" spans="1:16" x14ac:dyDescent="0.4">
      <c r="A12" s="61" t="s">
        <v>130</v>
      </c>
      <c r="B12" s="53">
        <v>52</v>
      </c>
      <c r="C12" s="35">
        <f>IF(B$24=0,0,B12/B$24)</f>
        <v>0.23853211009174313</v>
      </c>
      <c r="E12" s="68" t="s">
        <v>77</v>
      </c>
      <c r="F12" s="64" t="s">
        <v>30</v>
      </c>
      <c r="G12" s="50">
        <v>3</v>
      </c>
      <c r="H12" s="27">
        <f>IF(B$25=0,0,G12/B$25)</f>
        <v>0.06</v>
      </c>
      <c r="J12" s="26">
        <v>10</v>
      </c>
      <c r="K12" s="28">
        <v>108.49999999999999</v>
      </c>
    </row>
    <row r="13" spans="1:16" x14ac:dyDescent="0.4">
      <c r="A13" s="58" t="s">
        <v>125</v>
      </c>
      <c r="B13" s="50">
        <v>59</v>
      </c>
      <c r="C13" s="27">
        <f>IF(B$24=0,0,B13/B$24)</f>
        <v>0.27064220183486237</v>
      </c>
      <c r="E13" s="68" t="s">
        <v>84</v>
      </c>
      <c r="F13" s="64" t="s">
        <v>37</v>
      </c>
      <c r="G13" s="50">
        <v>2</v>
      </c>
      <c r="H13" s="27">
        <f>IF(B$25=0,0,G13/B$25)</f>
        <v>0.04</v>
      </c>
      <c r="J13" s="26">
        <v>11</v>
      </c>
      <c r="K13" s="28">
        <v>135.19999999999999</v>
      </c>
    </row>
    <row r="14" spans="1:16" x14ac:dyDescent="0.4">
      <c r="A14" s="57" t="s">
        <v>132</v>
      </c>
      <c r="B14" s="49">
        <v>21</v>
      </c>
      <c r="C14" s="24">
        <f>IF(B$12=0,0,B14/B$12)</f>
        <v>0.40384615384615385</v>
      </c>
      <c r="E14" s="68" t="s">
        <v>85</v>
      </c>
      <c r="F14" s="64" t="s">
        <v>38</v>
      </c>
      <c r="G14" s="50">
        <v>2</v>
      </c>
      <c r="H14" s="27">
        <f>IF(B$25=0,0,G14/B$25)</f>
        <v>0.04</v>
      </c>
      <c r="J14" s="26">
        <v>12</v>
      </c>
      <c r="K14" s="28">
        <v>97.299999999999983</v>
      </c>
    </row>
    <row r="15" spans="1:16" x14ac:dyDescent="0.4">
      <c r="A15" s="57" t="s">
        <v>133</v>
      </c>
      <c r="B15" s="49">
        <v>22</v>
      </c>
      <c r="C15" s="24">
        <f>IF(B$13=0,0,B15/B$13)</f>
        <v>0.3728813559322034</v>
      </c>
      <c r="E15" s="68" t="s">
        <v>93</v>
      </c>
      <c r="F15" s="64" t="s">
        <v>46</v>
      </c>
      <c r="G15" s="50">
        <v>2</v>
      </c>
      <c r="H15" s="27">
        <f>IF(B$25=0,0,G15/B$25)</f>
        <v>0.04</v>
      </c>
      <c r="J15" s="26">
        <v>13</v>
      </c>
      <c r="K15" s="28">
        <v>60.299999999999983</v>
      </c>
    </row>
    <row r="16" spans="1:16" x14ac:dyDescent="0.4">
      <c r="A16" s="57" t="s">
        <v>10</v>
      </c>
      <c r="B16" s="49">
        <f>B18+B17</f>
        <v>104</v>
      </c>
      <c r="C16" s="24">
        <f>IF(B$3=0,0,B16/B$3)</f>
        <v>0.25679012345679014</v>
      </c>
      <c r="E16" s="68" t="s">
        <v>81</v>
      </c>
      <c r="F16" s="64" t="s">
        <v>34</v>
      </c>
      <c r="G16" s="50">
        <v>1</v>
      </c>
      <c r="H16" s="27">
        <f>IF(B$25=0,0,G16/B$25)</f>
        <v>0.02</v>
      </c>
      <c r="J16" s="26">
        <v>14</v>
      </c>
      <c r="K16" s="28">
        <v>39.999999999999986</v>
      </c>
    </row>
    <row r="17" spans="1:11" x14ac:dyDescent="0.4">
      <c r="A17" s="58" t="s">
        <v>12</v>
      </c>
      <c r="B17" s="50">
        <v>46</v>
      </c>
      <c r="C17" s="27">
        <f>IF(B$16=0,0,B17/B$16)</f>
        <v>0.44230769230769229</v>
      </c>
      <c r="E17" s="68" t="s">
        <v>88</v>
      </c>
      <c r="F17" s="64" t="s">
        <v>41</v>
      </c>
      <c r="G17" s="50">
        <v>1</v>
      </c>
      <c r="H17" s="27">
        <f>IF(B$25=0,0,G17/B$25)</f>
        <v>0.02</v>
      </c>
      <c r="J17" s="26">
        <v>15</v>
      </c>
      <c r="K17" s="28">
        <v>31.499999999999986</v>
      </c>
    </row>
    <row r="18" spans="1:11" x14ac:dyDescent="0.4">
      <c r="A18" s="58" t="s">
        <v>11</v>
      </c>
      <c r="B18" s="50">
        <v>58</v>
      </c>
      <c r="C18" s="27">
        <f>IF(B$16=0,0,B18/B$16)</f>
        <v>0.55769230769230771</v>
      </c>
      <c r="E18" s="68" t="s">
        <v>90</v>
      </c>
      <c r="F18" s="64" t="s">
        <v>43</v>
      </c>
      <c r="G18" s="50">
        <v>1</v>
      </c>
      <c r="H18" s="27">
        <f>IF(B$25=0,0,G18/B$25)</f>
        <v>0.02</v>
      </c>
      <c r="J18" s="26">
        <v>16</v>
      </c>
      <c r="K18" s="28">
        <v>-6.0000000000000142</v>
      </c>
    </row>
    <row r="19" spans="1:11" x14ac:dyDescent="0.4">
      <c r="A19" s="58" t="s">
        <v>13</v>
      </c>
      <c r="B19" s="50">
        <v>81</v>
      </c>
      <c r="C19" s="27">
        <f>IF(B$3=0,0,B19/B$3)</f>
        <v>0.2</v>
      </c>
      <c r="E19" s="68" t="s">
        <v>79</v>
      </c>
      <c r="F19" s="64" t="s">
        <v>32</v>
      </c>
      <c r="G19" s="50">
        <v>0</v>
      </c>
      <c r="H19" s="27">
        <f>IF(B$25=0,0,G19/B$25)</f>
        <v>0</v>
      </c>
      <c r="J19" s="26">
        <v>17</v>
      </c>
      <c r="K19" s="28">
        <v>-16.600000000000016</v>
      </c>
    </row>
    <row r="20" spans="1:11" x14ac:dyDescent="0.4">
      <c r="A20" s="58" t="s">
        <v>5</v>
      </c>
      <c r="B20" s="54">
        <f>IF(B$16=0,0,C20/B$16)</f>
        <v>9467.3076923076915</v>
      </c>
      <c r="C20" s="30">
        <v>984600</v>
      </c>
      <c r="E20" s="68" t="s">
        <v>80</v>
      </c>
      <c r="F20" s="64" t="s">
        <v>33</v>
      </c>
      <c r="G20" s="50">
        <v>0</v>
      </c>
      <c r="H20" s="27">
        <f>IF(B$25=0,0,G20/B$25)</f>
        <v>0</v>
      </c>
      <c r="J20" s="26">
        <v>18</v>
      </c>
      <c r="K20" s="28">
        <v>-16.300000000000015</v>
      </c>
    </row>
    <row r="21" spans="1:11" x14ac:dyDescent="0.4">
      <c r="A21" s="60" t="s">
        <v>14</v>
      </c>
      <c r="B21" s="55">
        <f>IF(B$19=0,0,C21/B$19)</f>
        <v>-9117.2839506172841</v>
      </c>
      <c r="C21" s="48">
        <v>-738500</v>
      </c>
      <c r="E21" s="68" t="s">
        <v>82</v>
      </c>
      <c r="F21" s="64" t="s">
        <v>35</v>
      </c>
      <c r="G21" s="50">
        <v>0</v>
      </c>
      <c r="H21" s="27">
        <f>IF(B$25=0,0,G21/B$25)</f>
        <v>0</v>
      </c>
      <c r="J21" s="26">
        <v>19</v>
      </c>
      <c r="K21" s="28">
        <v>-1.6000000000000156</v>
      </c>
    </row>
    <row r="22" spans="1:11" x14ac:dyDescent="0.4">
      <c r="A22" s="57" t="s">
        <v>178</v>
      </c>
      <c r="B22" s="49">
        <v>114</v>
      </c>
      <c r="C22" s="24">
        <f>IF(B$3=0,0,B22/B$3)</f>
        <v>0.2814814814814815</v>
      </c>
      <c r="E22" s="68" t="s">
        <v>83</v>
      </c>
      <c r="F22" s="64" t="s">
        <v>36</v>
      </c>
      <c r="G22" s="50">
        <v>0</v>
      </c>
      <c r="H22" s="27">
        <f>IF(B$25=0,0,G22/B$25)</f>
        <v>0</v>
      </c>
      <c r="J22" s="26">
        <v>20</v>
      </c>
      <c r="K22" s="28">
        <v>45.399999999999984</v>
      </c>
    </row>
    <row r="23" spans="1:11" x14ac:dyDescent="0.4">
      <c r="A23" s="60" t="s">
        <v>179</v>
      </c>
      <c r="B23" s="52">
        <v>40</v>
      </c>
      <c r="C23" s="32">
        <f>IF(B$22=0,0,B23/B$22)</f>
        <v>0.35087719298245612</v>
      </c>
      <c r="E23" s="68" t="s">
        <v>86</v>
      </c>
      <c r="F23" s="64" t="s">
        <v>39</v>
      </c>
      <c r="G23" s="50">
        <v>0</v>
      </c>
      <c r="H23" s="27">
        <f>IF(B$25=0,0,G23/B$25)</f>
        <v>0</v>
      </c>
      <c r="J23" s="26">
        <v>21</v>
      </c>
      <c r="K23" s="28">
        <v>4.5999999999999872</v>
      </c>
    </row>
    <row r="24" spans="1:11" x14ac:dyDescent="0.4">
      <c r="A24" s="57" t="s">
        <v>128</v>
      </c>
      <c r="B24" s="83">
        <v>218</v>
      </c>
      <c r="C24" s="84"/>
      <c r="E24" s="68" t="s">
        <v>87</v>
      </c>
      <c r="F24" s="64" t="s">
        <v>40</v>
      </c>
      <c r="G24" s="50">
        <v>0</v>
      </c>
      <c r="H24" s="27">
        <f>IF(B$25=0,0,G24/B$25)</f>
        <v>0</v>
      </c>
      <c r="J24" s="26">
        <v>22</v>
      </c>
      <c r="K24" s="28">
        <v>-0.90000000000001279</v>
      </c>
    </row>
    <row r="25" spans="1:11" x14ac:dyDescent="0.4">
      <c r="A25" s="60" t="s">
        <v>129</v>
      </c>
      <c r="B25" s="85">
        <v>50</v>
      </c>
      <c r="C25" s="86"/>
      <c r="E25" s="68" t="s">
        <v>89</v>
      </c>
      <c r="F25" s="64" t="s">
        <v>42</v>
      </c>
      <c r="G25" s="50">
        <v>0</v>
      </c>
      <c r="H25" s="27">
        <f>IF(B$25=0,0,G25/B$25)</f>
        <v>0</v>
      </c>
      <c r="J25" s="26">
        <v>23</v>
      </c>
      <c r="K25" s="28">
        <v>22.999999999999986</v>
      </c>
    </row>
    <row r="26" spans="1:11" x14ac:dyDescent="0.4">
      <c r="A26" s="75" t="s">
        <v>196</v>
      </c>
      <c r="B26" s="87">
        <v>5</v>
      </c>
      <c r="C26" s="88"/>
      <c r="E26" s="68" t="s">
        <v>91</v>
      </c>
      <c r="F26" s="64" t="s">
        <v>44</v>
      </c>
      <c r="G26" s="50">
        <v>0</v>
      </c>
      <c r="H26" s="27">
        <f>IF(B$25=0,0,G26/B$25)</f>
        <v>0</v>
      </c>
      <c r="J26" s="26">
        <v>24</v>
      </c>
      <c r="K26" s="28">
        <v>10.099999999999985</v>
      </c>
    </row>
    <row r="27" spans="1:11" x14ac:dyDescent="0.4">
      <c r="A27" s="60" t="s">
        <v>198</v>
      </c>
      <c r="B27" s="76">
        <v>2</v>
      </c>
      <c r="C27" s="32">
        <f>IF(B$3=0,0,B27/B$3)</f>
        <v>4.9382716049382715E-3</v>
      </c>
      <c r="E27" s="68" t="s">
        <v>92</v>
      </c>
      <c r="F27" s="64" t="s">
        <v>45</v>
      </c>
      <c r="G27" s="50">
        <v>0</v>
      </c>
      <c r="H27" s="27">
        <f>IF(B$25=0,0,G27/B$25)</f>
        <v>0</v>
      </c>
      <c r="J27" s="26">
        <v>25</v>
      </c>
      <c r="K27" s="28">
        <v>1.7999999999999847</v>
      </c>
    </row>
    <row r="28" spans="1:11" x14ac:dyDescent="0.4">
      <c r="E28" s="68" t="s">
        <v>94</v>
      </c>
      <c r="F28" s="64" t="s">
        <v>47</v>
      </c>
      <c r="G28" s="50">
        <v>0</v>
      </c>
      <c r="H28" s="27">
        <f>IF(B$25=0,0,G28/B$25)</f>
        <v>0</v>
      </c>
      <c r="J28" s="26">
        <v>26</v>
      </c>
      <c r="K28" s="28">
        <v>-8.2000000000000153</v>
      </c>
    </row>
    <row r="29" spans="1:11" x14ac:dyDescent="0.4">
      <c r="E29" s="68" t="s">
        <v>95</v>
      </c>
      <c r="F29" s="64" t="s">
        <v>48</v>
      </c>
      <c r="G29" s="50">
        <v>0</v>
      </c>
      <c r="H29" s="27">
        <f>IF(B$25=0,0,G29/B$25)</f>
        <v>0</v>
      </c>
      <c r="J29" s="26">
        <v>27</v>
      </c>
      <c r="K29" s="28">
        <v>-30.100000000000016</v>
      </c>
    </row>
    <row r="30" spans="1:11" x14ac:dyDescent="0.4">
      <c r="E30" s="68" t="s">
        <v>97</v>
      </c>
      <c r="F30" s="64" t="s">
        <v>50</v>
      </c>
      <c r="G30" s="50">
        <v>0</v>
      </c>
      <c r="H30" s="27">
        <f>IF(B$25=0,0,G30/B$25)</f>
        <v>0</v>
      </c>
      <c r="J30" s="26">
        <v>28</v>
      </c>
      <c r="K30" s="28">
        <v>-24.000000000000014</v>
      </c>
    </row>
    <row r="31" spans="1:11" x14ac:dyDescent="0.4">
      <c r="E31" s="68" t="s">
        <v>98</v>
      </c>
      <c r="F31" s="64" t="s">
        <v>51</v>
      </c>
      <c r="G31" s="50">
        <v>0</v>
      </c>
      <c r="H31" s="27">
        <f>IF(B$25=0,0,G31/B$25)</f>
        <v>0</v>
      </c>
      <c r="J31" s="26">
        <v>29</v>
      </c>
      <c r="K31" s="28">
        <v>-23.400000000000013</v>
      </c>
    </row>
    <row r="32" spans="1:11" x14ac:dyDescent="0.4">
      <c r="E32" s="68" t="s">
        <v>99</v>
      </c>
      <c r="F32" s="64" t="s">
        <v>52</v>
      </c>
      <c r="G32" s="50">
        <v>0</v>
      </c>
      <c r="H32" s="27">
        <f>IF(B$25=0,0,G32/B$25)</f>
        <v>0</v>
      </c>
      <c r="J32" s="26">
        <v>30</v>
      </c>
      <c r="K32" s="28">
        <v>15.79999999999999</v>
      </c>
    </row>
    <row r="33" spans="5:11" x14ac:dyDescent="0.4">
      <c r="E33" s="68" t="s">
        <v>100</v>
      </c>
      <c r="F33" s="64" t="s">
        <v>53</v>
      </c>
      <c r="G33" s="50">
        <v>0</v>
      </c>
      <c r="H33" s="27">
        <f>IF(B$25=0,0,G33/B$25)</f>
        <v>0</v>
      </c>
      <c r="J33" s="26">
        <v>31</v>
      </c>
      <c r="K33" s="28">
        <v>-18.900000000000013</v>
      </c>
    </row>
    <row r="34" spans="5:11" x14ac:dyDescent="0.4">
      <c r="E34" s="68" t="s">
        <v>101</v>
      </c>
      <c r="F34" s="64" t="s">
        <v>54</v>
      </c>
      <c r="G34" s="50">
        <v>0</v>
      </c>
      <c r="H34" s="27">
        <f>IF(B$25=0,0,G34/B$25)</f>
        <v>0</v>
      </c>
      <c r="J34" s="26">
        <v>32</v>
      </c>
      <c r="K34" s="28">
        <v>-33.900000000000013</v>
      </c>
    </row>
    <row r="35" spans="5:11" x14ac:dyDescent="0.4">
      <c r="E35" s="68" t="s">
        <v>102</v>
      </c>
      <c r="F35" s="64" t="s">
        <v>55</v>
      </c>
      <c r="G35" s="50">
        <v>0</v>
      </c>
      <c r="H35" s="27">
        <f>IF(B$25=0,0,G35/B$25)</f>
        <v>0</v>
      </c>
      <c r="J35" s="26">
        <v>33</v>
      </c>
      <c r="K35" s="28">
        <v>-39.70000000000001</v>
      </c>
    </row>
    <row r="36" spans="5:11" x14ac:dyDescent="0.4">
      <c r="E36" s="68" t="s">
        <v>103</v>
      </c>
      <c r="F36" s="64" t="s">
        <v>56</v>
      </c>
      <c r="G36" s="50">
        <v>0</v>
      </c>
      <c r="H36" s="27">
        <f>IF(B$25=0,0,G36/B$25)</f>
        <v>0</v>
      </c>
      <c r="J36" s="26">
        <v>34</v>
      </c>
      <c r="K36" s="28">
        <v>-90.600000000000009</v>
      </c>
    </row>
    <row r="37" spans="5:11" x14ac:dyDescent="0.4">
      <c r="E37" s="68" t="s">
        <v>104</v>
      </c>
      <c r="F37" s="64" t="s">
        <v>57</v>
      </c>
      <c r="G37" s="50">
        <v>0</v>
      </c>
      <c r="H37" s="27">
        <f>IF(B$25=0,0,G37/B$25)</f>
        <v>0</v>
      </c>
      <c r="J37" s="26">
        <v>35</v>
      </c>
      <c r="K37" s="28">
        <v>-102.60000000000001</v>
      </c>
    </row>
    <row r="38" spans="5:11" x14ac:dyDescent="0.4">
      <c r="E38" s="68" t="s">
        <v>105</v>
      </c>
      <c r="F38" s="64" t="s">
        <v>58</v>
      </c>
      <c r="G38" s="50">
        <v>0</v>
      </c>
      <c r="H38" s="27">
        <f>IF(B$25=0,0,G38/B$25)</f>
        <v>0</v>
      </c>
      <c r="J38" s="26">
        <v>36</v>
      </c>
      <c r="K38" s="28">
        <v>-70.200000000000017</v>
      </c>
    </row>
    <row r="39" spans="5:11" x14ac:dyDescent="0.4">
      <c r="E39" s="68" t="s">
        <v>106</v>
      </c>
      <c r="F39" s="64" t="s">
        <v>59</v>
      </c>
      <c r="G39" s="50">
        <v>0</v>
      </c>
      <c r="H39" s="27">
        <f>IF(B$25=0,0,G39/B$25)</f>
        <v>0</v>
      </c>
      <c r="J39" s="26">
        <v>37</v>
      </c>
      <c r="K39" s="28">
        <v>-75.800000000000011</v>
      </c>
    </row>
    <row r="40" spans="5:11" x14ac:dyDescent="0.4">
      <c r="E40" s="68" t="s">
        <v>107</v>
      </c>
      <c r="F40" s="64" t="s">
        <v>60</v>
      </c>
      <c r="G40" s="50">
        <v>0</v>
      </c>
      <c r="H40" s="27">
        <f>IF(B$25=0,0,G40/B$25)</f>
        <v>0</v>
      </c>
      <c r="J40" s="26">
        <v>38</v>
      </c>
      <c r="K40" s="28">
        <v>-101.80000000000001</v>
      </c>
    </row>
    <row r="41" spans="5:11" x14ac:dyDescent="0.4">
      <c r="E41" s="68" t="s">
        <v>108</v>
      </c>
      <c r="F41" s="64" t="s">
        <v>61</v>
      </c>
      <c r="G41" s="50">
        <v>0</v>
      </c>
      <c r="H41" s="27">
        <f>IF(B$25=0,0,G41/B$25)</f>
        <v>0</v>
      </c>
      <c r="J41" s="26">
        <v>39</v>
      </c>
      <c r="K41" s="28">
        <v>-96.600000000000009</v>
      </c>
    </row>
    <row r="42" spans="5:11" x14ac:dyDescent="0.4">
      <c r="E42" s="68" t="s">
        <v>109</v>
      </c>
      <c r="F42" s="64" t="s">
        <v>62</v>
      </c>
      <c r="G42" s="50">
        <v>0</v>
      </c>
      <c r="H42" s="27">
        <f>IF(B$25=0,0,G42/B$25)</f>
        <v>0</v>
      </c>
      <c r="J42" s="26">
        <v>40</v>
      </c>
      <c r="K42" s="28">
        <v>-104.30000000000001</v>
      </c>
    </row>
    <row r="43" spans="5:11" x14ac:dyDescent="0.4">
      <c r="E43" s="68" t="s">
        <v>110</v>
      </c>
      <c r="F43" s="64" t="s">
        <v>63</v>
      </c>
      <c r="G43" s="50">
        <v>0</v>
      </c>
      <c r="H43" s="27">
        <f>IF(B$25=0,0,G43/B$25)</f>
        <v>0</v>
      </c>
      <c r="J43" s="26">
        <v>41</v>
      </c>
      <c r="K43" s="28">
        <v>-119.30000000000001</v>
      </c>
    </row>
    <row r="44" spans="5:11" x14ac:dyDescent="0.4">
      <c r="E44" s="68" t="s">
        <v>111</v>
      </c>
      <c r="F44" s="64" t="s">
        <v>64</v>
      </c>
      <c r="G44" s="50">
        <v>0</v>
      </c>
      <c r="H44" s="27">
        <f>IF(B$25=0,0,G44/B$25)</f>
        <v>0</v>
      </c>
      <c r="J44" s="26">
        <v>42</v>
      </c>
      <c r="K44" s="28">
        <v>-168.9</v>
      </c>
    </row>
    <row r="45" spans="5:11" x14ac:dyDescent="0.4">
      <c r="E45" s="68" t="s">
        <v>112</v>
      </c>
      <c r="F45" s="64" t="s">
        <v>119</v>
      </c>
      <c r="G45" s="50">
        <v>0</v>
      </c>
      <c r="H45" s="27">
        <f>IF(B$25=0,0,G45/B$25)</f>
        <v>0</v>
      </c>
      <c r="J45" s="26">
        <v>43</v>
      </c>
      <c r="K45" s="28">
        <v>-164.1</v>
      </c>
    </row>
    <row r="46" spans="5:11" x14ac:dyDescent="0.4">
      <c r="E46" s="68" t="s">
        <v>113</v>
      </c>
      <c r="F46" s="64" t="s">
        <v>120</v>
      </c>
      <c r="G46" s="50">
        <v>0</v>
      </c>
      <c r="H46" s="27">
        <f>IF(B$25=0,0,G46/B$25)</f>
        <v>0</v>
      </c>
      <c r="J46" s="26">
        <v>44</v>
      </c>
      <c r="K46" s="28">
        <v>-208.6</v>
      </c>
    </row>
    <row r="47" spans="5:11" x14ac:dyDescent="0.4">
      <c r="E47" s="68" t="s">
        <v>114</v>
      </c>
      <c r="F47" s="64" t="s">
        <v>121</v>
      </c>
      <c r="G47" s="50">
        <v>0</v>
      </c>
      <c r="H47" s="27">
        <f>IF(B$25=0,0,G47/B$25)</f>
        <v>0</v>
      </c>
      <c r="J47" s="26">
        <v>45</v>
      </c>
      <c r="K47" s="28">
        <v>-209.7</v>
      </c>
    </row>
    <row r="48" spans="5:11" x14ac:dyDescent="0.4">
      <c r="E48" s="68" t="s">
        <v>115</v>
      </c>
      <c r="F48" s="64" t="s">
        <v>65</v>
      </c>
      <c r="G48" s="50">
        <v>0</v>
      </c>
      <c r="H48" s="27">
        <f>IF(B$25=0,0,G48/B$25)</f>
        <v>0</v>
      </c>
      <c r="J48" s="26">
        <v>46</v>
      </c>
      <c r="K48" s="28">
        <v>-245.89999999999998</v>
      </c>
    </row>
    <row r="49" spans="5:11" x14ac:dyDescent="0.4">
      <c r="E49" s="68" t="s">
        <v>116</v>
      </c>
      <c r="F49" s="64" t="s">
        <v>66</v>
      </c>
      <c r="G49" s="50">
        <v>0</v>
      </c>
      <c r="H49" s="27">
        <f>IF(B$25=0,0,G49/B$25)</f>
        <v>0</v>
      </c>
      <c r="J49" s="26">
        <v>47</v>
      </c>
      <c r="K49" s="28">
        <v>-286.2</v>
      </c>
    </row>
    <row r="50" spans="5:11" x14ac:dyDescent="0.4">
      <c r="E50" s="68" t="s">
        <v>117</v>
      </c>
      <c r="F50" s="64" t="s">
        <v>67</v>
      </c>
      <c r="G50" s="50">
        <v>0</v>
      </c>
      <c r="H50" s="27">
        <f>IF(B$25=0,0,G50/B$25)</f>
        <v>0</v>
      </c>
      <c r="J50" s="26">
        <v>48</v>
      </c>
      <c r="K50" s="28">
        <v>-289.39999999999998</v>
      </c>
    </row>
    <row r="51" spans="5:11" x14ac:dyDescent="0.4">
      <c r="E51" s="69" t="s">
        <v>118</v>
      </c>
      <c r="F51" s="65" t="s">
        <v>68</v>
      </c>
      <c r="G51" s="52">
        <v>0</v>
      </c>
      <c r="H51" s="32">
        <f>IF(B$25=0,0,G51/B$25)</f>
        <v>0</v>
      </c>
      <c r="J51" s="26">
        <v>49</v>
      </c>
      <c r="K51" s="28">
        <v>-348.7</v>
      </c>
    </row>
    <row r="52" spans="5:11" x14ac:dyDescent="0.4">
      <c r="J52" s="26">
        <v>50</v>
      </c>
      <c r="K52" s="28">
        <v>-363.59999999999997</v>
      </c>
    </row>
    <row r="53" spans="5:11" x14ac:dyDescent="0.4">
      <c r="J53" s="26">
        <v>51</v>
      </c>
      <c r="K53" s="28">
        <v>-358.59999999999997</v>
      </c>
    </row>
    <row r="54" spans="5:11" x14ac:dyDescent="0.4">
      <c r="J54" s="26">
        <v>52</v>
      </c>
      <c r="K54" s="28">
        <v>-378.59999999999997</v>
      </c>
    </row>
  </sheetData>
  <sortState ref="E2:H54">
    <sortCondition descending="1" ref="H1"/>
  </sortState>
  <mergeCells count="9">
    <mergeCell ref="B24:C24"/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9D53EC-AB5F-4F1D-9232-56B094563654}">
  <sheetPr codeName="Sheet12"/>
  <dimension ref="A1:P67"/>
  <sheetViews>
    <sheetView showGridLines="0" zoomScale="120" zoomScaleNormal="120" workbookViewId="0"/>
  </sheetViews>
  <sheetFormatPr defaultColWidth="9"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56" t="s">
        <v>0</v>
      </c>
      <c r="B1" s="89" t="s">
        <v>149</v>
      </c>
      <c r="C1" s="90"/>
      <c r="E1" s="66" t="s">
        <v>193</v>
      </c>
      <c r="F1" s="80" t="s">
        <v>122</v>
      </c>
      <c r="G1" s="79" t="s">
        <v>123</v>
      </c>
      <c r="H1" s="80" t="s">
        <v>124</v>
      </c>
      <c r="J1" s="21" t="s">
        <v>22</v>
      </c>
      <c r="K1" s="22" t="s">
        <v>127</v>
      </c>
      <c r="M1" s="21" t="s">
        <v>187</v>
      </c>
      <c r="N1" s="80" t="s">
        <v>189</v>
      </c>
      <c r="O1" s="40" t="s">
        <v>190</v>
      </c>
      <c r="P1" s="36" t="s">
        <v>123</v>
      </c>
    </row>
    <row r="2" spans="1:16" x14ac:dyDescent="0.4">
      <c r="A2" s="57" t="s">
        <v>9</v>
      </c>
      <c r="B2" s="83">
        <v>65</v>
      </c>
      <c r="C2" s="84"/>
      <c r="E2" s="67" t="s">
        <v>73</v>
      </c>
      <c r="F2" s="63" t="s">
        <v>27</v>
      </c>
      <c r="G2" s="49">
        <v>108</v>
      </c>
      <c r="H2" s="24">
        <f>IF(B$25=0,0,G2/B$25)</f>
        <v>0.8925619834710744</v>
      </c>
      <c r="J2" s="23">
        <v>0</v>
      </c>
      <c r="K2" s="25">
        <v>0</v>
      </c>
      <c r="M2" s="23" t="s">
        <v>181</v>
      </c>
      <c r="N2" s="44">
        <f t="shared" ref="N2:N7" si="0">IF(P2=0,0,O2/P2)</f>
        <v>3293.6507936507937</v>
      </c>
      <c r="O2" s="41">
        <v>207500</v>
      </c>
      <c r="P2" s="39">
        <v>63</v>
      </c>
    </row>
    <row r="3" spans="1:16" x14ac:dyDescent="0.4">
      <c r="A3" s="58" t="s">
        <v>8</v>
      </c>
      <c r="B3" s="91">
        <v>497</v>
      </c>
      <c r="C3" s="92"/>
      <c r="E3" s="68" t="s">
        <v>71</v>
      </c>
      <c r="F3" s="64" t="s">
        <v>25</v>
      </c>
      <c r="G3" s="50">
        <v>94</v>
      </c>
      <c r="H3" s="27">
        <f>IF(B$25=0,0,G3/B$25)</f>
        <v>0.77685950413223137</v>
      </c>
      <c r="J3" s="26">
        <v>1</v>
      </c>
      <c r="K3" s="28">
        <v>-35.700000000000003</v>
      </c>
      <c r="M3" s="26" t="s">
        <v>182</v>
      </c>
      <c r="N3" s="45">
        <f t="shared" si="0"/>
        <v>262.71186440677968</v>
      </c>
      <c r="O3" s="42">
        <v>15500</v>
      </c>
      <c r="P3" s="37">
        <v>59</v>
      </c>
    </row>
    <row r="4" spans="1:16" x14ac:dyDescent="0.4">
      <c r="A4" s="58" t="s">
        <v>6</v>
      </c>
      <c r="B4" s="93">
        <v>175.19999999999996</v>
      </c>
      <c r="C4" s="94"/>
      <c r="E4" s="68" t="s">
        <v>69</v>
      </c>
      <c r="F4" s="64" t="s">
        <v>23</v>
      </c>
      <c r="G4" s="50">
        <v>73</v>
      </c>
      <c r="H4" s="27">
        <f>IF(B$25=0,0,G4/B$25)</f>
        <v>0.60330578512396693</v>
      </c>
      <c r="J4" s="26">
        <v>2</v>
      </c>
      <c r="K4" s="28">
        <v>-44.300000000000004</v>
      </c>
      <c r="M4" s="26" t="s">
        <v>183</v>
      </c>
      <c r="N4" s="45">
        <f t="shared" si="0"/>
        <v>475.92592592592592</v>
      </c>
      <c r="O4" s="42">
        <v>25700</v>
      </c>
      <c r="P4" s="37">
        <v>54</v>
      </c>
    </row>
    <row r="5" spans="1:16" x14ac:dyDescent="0.4">
      <c r="A5" s="58" t="s">
        <v>7</v>
      </c>
      <c r="B5" s="93">
        <f>IF(B$2=0,0,B$4/B$2)</f>
        <v>2.6953846153846146</v>
      </c>
      <c r="C5" s="94"/>
      <c r="E5" s="68" t="s">
        <v>78</v>
      </c>
      <c r="F5" s="64" t="s">
        <v>31</v>
      </c>
      <c r="G5" s="50">
        <v>66</v>
      </c>
      <c r="H5" s="27">
        <f>IF(B$25=0,0,G5/B$25)</f>
        <v>0.54545454545454541</v>
      </c>
      <c r="J5" s="26">
        <v>3</v>
      </c>
      <c r="K5" s="28">
        <v>-79.7</v>
      </c>
      <c r="M5" s="26" t="s">
        <v>184</v>
      </c>
      <c r="N5" s="45">
        <f t="shared" si="0"/>
        <v>-1382.3529411764705</v>
      </c>
      <c r="O5" s="42">
        <v>-70500</v>
      </c>
      <c r="P5" s="37">
        <v>51</v>
      </c>
    </row>
    <row r="6" spans="1:16" x14ac:dyDescent="0.4">
      <c r="A6" s="58" t="s">
        <v>1</v>
      </c>
      <c r="B6" s="95">
        <f>IF(B$2=0,0,(B$7*1+B$8*2+B$9*3)/B$2)</f>
        <v>1.9076923076923078</v>
      </c>
      <c r="C6" s="96"/>
      <c r="E6" s="68" t="s">
        <v>72</v>
      </c>
      <c r="F6" s="64" t="s">
        <v>26</v>
      </c>
      <c r="G6" s="50">
        <v>44</v>
      </c>
      <c r="H6" s="27">
        <f>IF(B$25=0,0,G6/B$25)</f>
        <v>0.36363636363636365</v>
      </c>
      <c r="J6" s="26">
        <v>4</v>
      </c>
      <c r="K6" s="28">
        <v>-111.30000000000001</v>
      </c>
      <c r="M6" s="26" t="s">
        <v>185</v>
      </c>
      <c r="N6" s="45">
        <f t="shared" si="0"/>
        <v>-47.61904761904762</v>
      </c>
      <c r="O6" s="42">
        <v>-2000</v>
      </c>
      <c r="P6" s="37">
        <v>42</v>
      </c>
    </row>
    <row r="7" spans="1:16" x14ac:dyDescent="0.4">
      <c r="A7" s="58" t="s">
        <v>2</v>
      </c>
      <c r="B7" s="50">
        <v>25</v>
      </c>
      <c r="C7" s="27">
        <f>IF(B$2=0,0,B7/B$2)</f>
        <v>0.38461538461538464</v>
      </c>
      <c r="E7" s="68" t="s">
        <v>74</v>
      </c>
      <c r="F7" s="64" t="s">
        <v>12</v>
      </c>
      <c r="G7" s="50">
        <v>40</v>
      </c>
      <c r="H7" s="27">
        <f>IF(B$25=0,0,G7/B$25)</f>
        <v>0.33057851239669422</v>
      </c>
      <c r="J7" s="26">
        <v>5</v>
      </c>
      <c r="K7" s="28">
        <v>-133.30000000000001</v>
      </c>
      <c r="M7" s="31" t="s">
        <v>186</v>
      </c>
      <c r="N7" s="46">
        <f t="shared" si="0"/>
        <v>-964.8648648648649</v>
      </c>
      <c r="O7" s="43">
        <v>-35700</v>
      </c>
      <c r="P7" s="38">
        <v>37</v>
      </c>
    </row>
    <row r="8" spans="1:16" x14ac:dyDescent="0.4">
      <c r="A8" s="58" t="s">
        <v>3</v>
      </c>
      <c r="B8" s="50">
        <v>21</v>
      </c>
      <c r="C8" s="27">
        <f t="shared" ref="C8:C9" si="1">IF(B$2=0,0,B8/B$2)</f>
        <v>0.32307692307692309</v>
      </c>
      <c r="E8" s="68" t="s">
        <v>75</v>
      </c>
      <c r="F8" s="64" t="s">
        <v>28</v>
      </c>
      <c r="G8" s="50">
        <v>23</v>
      </c>
      <c r="H8" s="27">
        <f>IF(B$25=0,0,G8/B$25)</f>
        <v>0.19008264462809918</v>
      </c>
      <c r="J8" s="26">
        <v>6</v>
      </c>
      <c r="K8" s="28">
        <v>-98.800000000000011</v>
      </c>
    </row>
    <row r="9" spans="1:16" x14ac:dyDescent="0.4">
      <c r="A9" s="59" t="s">
        <v>4</v>
      </c>
      <c r="B9" s="51">
        <v>19</v>
      </c>
      <c r="C9" s="29">
        <f t="shared" si="1"/>
        <v>0.29230769230769232</v>
      </c>
      <c r="E9" s="68" t="s">
        <v>70</v>
      </c>
      <c r="F9" s="64" t="s">
        <v>24</v>
      </c>
      <c r="G9" s="50">
        <v>18</v>
      </c>
      <c r="H9" s="27">
        <f>IF(B$25=0,0,G9/B$25)</f>
        <v>0.1487603305785124</v>
      </c>
      <c r="J9" s="26">
        <v>7</v>
      </c>
      <c r="K9" s="28">
        <v>-103.20000000000002</v>
      </c>
    </row>
    <row r="10" spans="1:16" x14ac:dyDescent="0.4">
      <c r="A10" s="59" t="s">
        <v>21</v>
      </c>
      <c r="B10" s="51">
        <v>9</v>
      </c>
      <c r="C10" s="29">
        <f>IF(B$2=0,0,B10/B$2)</f>
        <v>0.13846153846153847</v>
      </c>
      <c r="E10" s="68" t="s">
        <v>96</v>
      </c>
      <c r="F10" s="64" t="s">
        <v>49</v>
      </c>
      <c r="G10" s="50">
        <v>17</v>
      </c>
      <c r="H10" s="27">
        <f>IF(B$25=0,0,G10/B$25)</f>
        <v>0.14049586776859505</v>
      </c>
      <c r="J10" s="26">
        <v>8</v>
      </c>
      <c r="K10" s="28">
        <v>-50.300000000000018</v>
      </c>
    </row>
    <row r="11" spans="1:16" x14ac:dyDescent="0.4">
      <c r="A11" s="60" t="s">
        <v>191</v>
      </c>
      <c r="B11" s="52">
        <v>12</v>
      </c>
      <c r="C11" s="32">
        <f>IF(B$2=0,0,B11/B$2)</f>
        <v>0.18461538461538463</v>
      </c>
      <c r="E11" s="68" t="s">
        <v>76</v>
      </c>
      <c r="F11" s="64" t="s">
        <v>29</v>
      </c>
      <c r="G11" s="50">
        <v>8</v>
      </c>
      <c r="H11" s="27">
        <f>IF(B$25=0,0,G11/B$25)</f>
        <v>6.6115702479338845E-2</v>
      </c>
      <c r="J11" s="26">
        <v>9</v>
      </c>
      <c r="K11" s="28">
        <v>-51.500000000000021</v>
      </c>
    </row>
    <row r="12" spans="1:16" x14ac:dyDescent="0.4">
      <c r="A12" s="61" t="s">
        <v>130</v>
      </c>
      <c r="B12" s="53">
        <v>121</v>
      </c>
      <c r="C12" s="35">
        <f>IF(B$24=0,0,B12/B$24)</f>
        <v>0.3324175824175824</v>
      </c>
      <c r="E12" s="68" t="s">
        <v>77</v>
      </c>
      <c r="F12" s="64" t="s">
        <v>30</v>
      </c>
      <c r="G12" s="50">
        <v>8</v>
      </c>
      <c r="H12" s="27">
        <f>IF(B$25=0,0,G12/B$25)</f>
        <v>6.6115702479338845E-2</v>
      </c>
      <c r="J12" s="26">
        <v>10</v>
      </c>
      <c r="K12" s="28">
        <v>-69.800000000000026</v>
      </c>
    </row>
    <row r="13" spans="1:16" x14ac:dyDescent="0.4">
      <c r="A13" s="58" t="s">
        <v>125</v>
      </c>
      <c r="B13" s="50">
        <v>84</v>
      </c>
      <c r="C13" s="27">
        <f>IF(B$24=0,0,B13/B$24)</f>
        <v>0.23076923076923078</v>
      </c>
      <c r="E13" s="68" t="s">
        <v>84</v>
      </c>
      <c r="F13" s="64" t="s">
        <v>37</v>
      </c>
      <c r="G13" s="50">
        <v>7</v>
      </c>
      <c r="H13" s="27">
        <f>IF(B$25=0,0,G13/B$25)</f>
        <v>5.7851239669421489E-2</v>
      </c>
      <c r="J13" s="26">
        <v>11</v>
      </c>
      <c r="K13" s="28">
        <v>-88.100000000000023</v>
      </c>
    </row>
    <row r="14" spans="1:16" x14ac:dyDescent="0.4">
      <c r="A14" s="57" t="s">
        <v>132</v>
      </c>
      <c r="B14" s="49">
        <v>75</v>
      </c>
      <c r="C14" s="24">
        <f>IF(B$12=0,0,B14/B$12)</f>
        <v>0.6198347107438017</v>
      </c>
      <c r="E14" s="68" t="s">
        <v>93</v>
      </c>
      <c r="F14" s="64" t="s">
        <v>46</v>
      </c>
      <c r="G14" s="50">
        <v>7</v>
      </c>
      <c r="H14" s="27">
        <f>IF(B$25=0,0,G14/B$25)</f>
        <v>5.7851239669421489E-2</v>
      </c>
      <c r="J14" s="26">
        <v>12</v>
      </c>
      <c r="K14" s="28">
        <v>-85.100000000000023</v>
      </c>
    </row>
    <row r="15" spans="1:16" x14ac:dyDescent="0.4">
      <c r="A15" s="57" t="s">
        <v>133</v>
      </c>
      <c r="B15" s="49">
        <v>31</v>
      </c>
      <c r="C15" s="24">
        <f>IF(B$13=0,0,B15/B$13)</f>
        <v>0.36904761904761907</v>
      </c>
      <c r="E15" s="68" t="s">
        <v>83</v>
      </c>
      <c r="F15" s="64" t="s">
        <v>36</v>
      </c>
      <c r="G15" s="50">
        <v>2</v>
      </c>
      <c r="H15" s="27">
        <f>IF(B$25=0,0,G15/B$25)</f>
        <v>1.6528925619834711E-2</v>
      </c>
      <c r="J15" s="26">
        <v>13</v>
      </c>
      <c r="K15" s="28">
        <v>-70.600000000000023</v>
      </c>
    </row>
    <row r="16" spans="1:16" x14ac:dyDescent="0.4">
      <c r="A16" s="57" t="s">
        <v>10</v>
      </c>
      <c r="B16" s="49">
        <f>B18+B17</f>
        <v>159</v>
      </c>
      <c r="C16" s="24">
        <f>IF(B$3=0,0,B16/B$3)</f>
        <v>0.31991951710261568</v>
      </c>
      <c r="E16" s="68" t="s">
        <v>88</v>
      </c>
      <c r="F16" s="64" t="s">
        <v>41</v>
      </c>
      <c r="G16" s="50">
        <v>2</v>
      </c>
      <c r="H16" s="27">
        <f>IF(B$25=0,0,G16/B$25)</f>
        <v>1.6528925619834711E-2</v>
      </c>
      <c r="J16" s="26">
        <v>14</v>
      </c>
      <c r="K16" s="28">
        <v>-60.500000000000021</v>
      </c>
    </row>
    <row r="17" spans="1:11" x14ac:dyDescent="0.4">
      <c r="A17" s="58" t="s">
        <v>12</v>
      </c>
      <c r="B17" s="50">
        <v>68</v>
      </c>
      <c r="C17" s="27">
        <f>IF(B$16=0,0,B17/B$16)</f>
        <v>0.42767295597484278</v>
      </c>
      <c r="E17" s="68" t="s">
        <v>98</v>
      </c>
      <c r="F17" s="64" t="s">
        <v>51</v>
      </c>
      <c r="G17" s="50">
        <v>2</v>
      </c>
      <c r="H17" s="27">
        <f>IF(B$25=0,0,G17/B$25)</f>
        <v>1.6528925619834711E-2</v>
      </c>
      <c r="J17" s="26">
        <v>15</v>
      </c>
      <c r="K17" s="28">
        <v>-67.700000000000017</v>
      </c>
    </row>
    <row r="18" spans="1:11" x14ac:dyDescent="0.4">
      <c r="A18" s="58" t="s">
        <v>11</v>
      </c>
      <c r="B18" s="50">
        <v>91</v>
      </c>
      <c r="C18" s="27">
        <f>IF(B$16=0,0,B18/B$16)</f>
        <v>0.57232704402515722</v>
      </c>
      <c r="E18" s="68" t="s">
        <v>80</v>
      </c>
      <c r="F18" s="64" t="s">
        <v>33</v>
      </c>
      <c r="G18" s="50">
        <v>1</v>
      </c>
      <c r="H18" s="27">
        <f>IF(B$25=0,0,G18/B$25)</f>
        <v>8.2644628099173556E-3</v>
      </c>
      <c r="J18" s="26">
        <v>16</v>
      </c>
      <c r="K18" s="28">
        <v>5.5999999999999801</v>
      </c>
    </row>
    <row r="19" spans="1:11" x14ac:dyDescent="0.4">
      <c r="A19" s="58" t="s">
        <v>13</v>
      </c>
      <c r="B19" s="50">
        <v>79</v>
      </c>
      <c r="C19" s="27">
        <f>IF(B$3=0,0,B19/B$3)</f>
        <v>0.15895372233400401</v>
      </c>
      <c r="E19" s="68" t="s">
        <v>81</v>
      </c>
      <c r="F19" s="64" t="s">
        <v>34</v>
      </c>
      <c r="G19" s="50">
        <v>1</v>
      </c>
      <c r="H19" s="27">
        <f>IF(B$25=0,0,G19/B$25)</f>
        <v>8.2644628099173556E-3</v>
      </c>
      <c r="J19" s="26">
        <v>17</v>
      </c>
      <c r="K19" s="28">
        <v>39.59999999999998</v>
      </c>
    </row>
    <row r="20" spans="1:11" x14ac:dyDescent="0.4">
      <c r="A20" s="58" t="s">
        <v>5</v>
      </c>
      <c r="B20" s="54">
        <f>IF(B$16=0,0,C20/B$16)</f>
        <v>10388.050314465409</v>
      </c>
      <c r="C20" s="30">
        <v>1651700</v>
      </c>
      <c r="E20" s="68" t="s">
        <v>90</v>
      </c>
      <c r="F20" s="64" t="s">
        <v>43</v>
      </c>
      <c r="G20" s="50">
        <v>1</v>
      </c>
      <c r="H20" s="27">
        <f>IF(B$25=0,0,G20/B$25)</f>
        <v>8.2644628099173556E-3</v>
      </c>
      <c r="J20" s="26">
        <v>18</v>
      </c>
      <c r="K20" s="28">
        <v>39.299999999999983</v>
      </c>
    </row>
    <row r="21" spans="1:11" x14ac:dyDescent="0.4">
      <c r="A21" s="60" t="s">
        <v>14</v>
      </c>
      <c r="B21" s="55">
        <f>IF(B$19=0,0,C21/B$19)</f>
        <v>-9489.8734177215192</v>
      </c>
      <c r="C21" s="48">
        <v>-749700</v>
      </c>
      <c r="E21" s="68" t="s">
        <v>91</v>
      </c>
      <c r="F21" s="64" t="s">
        <v>44</v>
      </c>
      <c r="G21" s="50">
        <v>1</v>
      </c>
      <c r="H21" s="27">
        <f>IF(B$25=0,0,G21/B$25)</f>
        <v>8.2644628099173556E-3</v>
      </c>
      <c r="J21" s="26">
        <v>19</v>
      </c>
      <c r="K21" s="28">
        <v>102.29999999999998</v>
      </c>
    </row>
    <row r="22" spans="1:11" x14ac:dyDescent="0.4">
      <c r="A22" s="57" t="s">
        <v>178</v>
      </c>
      <c r="B22" s="49">
        <v>179</v>
      </c>
      <c r="C22" s="24">
        <f>IF(B$3=0,0,B22/B$3)</f>
        <v>0.36016096579476864</v>
      </c>
      <c r="E22" s="68" t="s">
        <v>79</v>
      </c>
      <c r="F22" s="64" t="s">
        <v>32</v>
      </c>
      <c r="G22" s="50">
        <v>0</v>
      </c>
      <c r="H22" s="27">
        <f>IF(B$25=0,0,G22/B$25)</f>
        <v>0</v>
      </c>
      <c r="J22" s="26">
        <v>20</v>
      </c>
      <c r="K22" s="28">
        <v>105.39999999999998</v>
      </c>
    </row>
    <row r="23" spans="1:11" x14ac:dyDescent="0.4">
      <c r="A23" s="60" t="s">
        <v>179</v>
      </c>
      <c r="B23" s="52">
        <v>65</v>
      </c>
      <c r="C23" s="32">
        <f>IF(B$22=0,0,B23/B$22)</f>
        <v>0.36312849162011174</v>
      </c>
      <c r="E23" s="68" t="s">
        <v>82</v>
      </c>
      <c r="F23" s="64" t="s">
        <v>35</v>
      </c>
      <c r="G23" s="50">
        <v>0</v>
      </c>
      <c r="H23" s="27">
        <f>IF(B$25=0,0,G23/B$25)</f>
        <v>0</v>
      </c>
      <c r="J23" s="26">
        <v>21</v>
      </c>
      <c r="K23" s="28">
        <v>105.59999999999998</v>
      </c>
    </row>
    <row r="24" spans="1:11" x14ac:dyDescent="0.4">
      <c r="A24" s="57" t="s">
        <v>128</v>
      </c>
      <c r="B24" s="83">
        <v>364</v>
      </c>
      <c r="C24" s="84"/>
      <c r="E24" s="68" t="s">
        <v>85</v>
      </c>
      <c r="F24" s="64" t="s">
        <v>38</v>
      </c>
      <c r="G24" s="50">
        <v>0</v>
      </c>
      <c r="H24" s="27">
        <f>IF(B$25=0,0,G24/B$25)</f>
        <v>0</v>
      </c>
      <c r="J24" s="26">
        <v>22</v>
      </c>
      <c r="K24" s="28">
        <v>108.39999999999998</v>
      </c>
    </row>
    <row r="25" spans="1:11" x14ac:dyDescent="0.4">
      <c r="A25" s="60" t="s">
        <v>129</v>
      </c>
      <c r="B25" s="85">
        <v>121</v>
      </c>
      <c r="C25" s="86"/>
      <c r="E25" s="68" t="s">
        <v>86</v>
      </c>
      <c r="F25" s="64" t="s">
        <v>39</v>
      </c>
      <c r="G25" s="50">
        <v>0</v>
      </c>
      <c r="H25" s="27">
        <f>IF(B$25=0,0,G25/B$25)</f>
        <v>0</v>
      </c>
      <c r="J25" s="26">
        <v>23</v>
      </c>
      <c r="K25" s="28">
        <v>151.99999999999997</v>
      </c>
    </row>
    <row r="26" spans="1:11" x14ac:dyDescent="0.4">
      <c r="A26" s="75" t="s">
        <v>196</v>
      </c>
      <c r="B26" s="87">
        <v>9</v>
      </c>
      <c r="C26" s="88"/>
      <c r="E26" s="68" t="s">
        <v>87</v>
      </c>
      <c r="F26" s="64" t="s">
        <v>40</v>
      </c>
      <c r="G26" s="50">
        <v>0</v>
      </c>
      <c r="H26" s="27">
        <f>IF(B$25=0,0,G26/B$25)</f>
        <v>0</v>
      </c>
      <c r="J26" s="26">
        <v>24</v>
      </c>
      <c r="K26" s="28">
        <v>150.59999999999997</v>
      </c>
    </row>
    <row r="27" spans="1:11" x14ac:dyDescent="0.4">
      <c r="A27" s="60" t="s">
        <v>198</v>
      </c>
      <c r="B27" s="76">
        <v>3</v>
      </c>
      <c r="C27" s="32">
        <f>IF(B$3=0,0,B27/B$3)</f>
        <v>6.0362173038229373E-3</v>
      </c>
      <c r="E27" s="68" t="s">
        <v>89</v>
      </c>
      <c r="F27" s="64" t="s">
        <v>42</v>
      </c>
      <c r="G27" s="50">
        <v>0</v>
      </c>
      <c r="H27" s="27">
        <f>IF(B$25=0,0,G27/B$25)</f>
        <v>0</v>
      </c>
      <c r="J27" s="26">
        <v>25</v>
      </c>
      <c r="K27" s="28">
        <v>111.89999999999996</v>
      </c>
    </row>
    <row r="28" spans="1:11" x14ac:dyDescent="0.4">
      <c r="E28" s="68" t="s">
        <v>92</v>
      </c>
      <c r="F28" s="64" t="s">
        <v>45</v>
      </c>
      <c r="G28" s="50">
        <v>0</v>
      </c>
      <c r="H28" s="27">
        <f>IF(B$25=0,0,G28/B$25)</f>
        <v>0</v>
      </c>
      <c r="J28" s="26">
        <v>26</v>
      </c>
      <c r="K28" s="28">
        <v>97.099999999999966</v>
      </c>
    </row>
    <row r="29" spans="1:11" x14ac:dyDescent="0.4">
      <c r="E29" s="68" t="s">
        <v>94</v>
      </c>
      <c r="F29" s="64" t="s">
        <v>47</v>
      </c>
      <c r="G29" s="50">
        <v>0</v>
      </c>
      <c r="H29" s="27">
        <f>IF(B$25=0,0,G29/B$25)</f>
        <v>0</v>
      </c>
      <c r="J29" s="26">
        <v>27</v>
      </c>
      <c r="K29" s="28">
        <v>107.39999999999996</v>
      </c>
    </row>
    <row r="30" spans="1:11" x14ac:dyDescent="0.4">
      <c r="E30" s="68" t="s">
        <v>95</v>
      </c>
      <c r="F30" s="64" t="s">
        <v>48</v>
      </c>
      <c r="G30" s="50">
        <v>0</v>
      </c>
      <c r="H30" s="27">
        <f>IF(B$25=0,0,G30/B$25)</f>
        <v>0</v>
      </c>
      <c r="J30" s="26">
        <v>28</v>
      </c>
      <c r="K30" s="28">
        <v>64.399999999999963</v>
      </c>
    </row>
    <row r="31" spans="1:11" x14ac:dyDescent="0.4">
      <c r="E31" s="68" t="s">
        <v>97</v>
      </c>
      <c r="F31" s="64" t="s">
        <v>50</v>
      </c>
      <c r="G31" s="50">
        <v>0</v>
      </c>
      <c r="H31" s="27">
        <f>IF(B$25=0,0,G31/B$25)</f>
        <v>0</v>
      </c>
      <c r="J31" s="26">
        <v>29</v>
      </c>
      <c r="K31" s="28">
        <v>24.399999999999963</v>
      </c>
    </row>
    <row r="32" spans="1:11" x14ac:dyDescent="0.4">
      <c r="E32" s="68" t="s">
        <v>99</v>
      </c>
      <c r="F32" s="64" t="s">
        <v>52</v>
      </c>
      <c r="G32" s="50">
        <v>0</v>
      </c>
      <c r="H32" s="27">
        <f>IF(B$25=0,0,G32/B$25)</f>
        <v>0</v>
      </c>
      <c r="J32" s="26">
        <v>30</v>
      </c>
      <c r="K32" s="28">
        <v>13.599999999999962</v>
      </c>
    </row>
    <row r="33" spans="5:11" x14ac:dyDescent="0.4">
      <c r="E33" s="68" t="s">
        <v>100</v>
      </c>
      <c r="F33" s="64" t="s">
        <v>53</v>
      </c>
      <c r="G33" s="50">
        <v>0</v>
      </c>
      <c r="H33" s="27">
        <f>IF(B$25=0,0,G33/B$25)</f>
        <v>0</v>
      </c>
      <c r="J33" s="26">
        <v>31</v>
      </c>
      <c r="K33" s="28">
        <v>28.19999999999996</v>
      </c>
    </row>
    <row r="34" spans="5:11" x14ac:dyDescent="0.4">
      <c r="E34" s="68" t="s">
        <v>101</v>
      </c>
      <c r="F34" s="64" t="s">
        <v>54</v>
      </c>
      <c r="G34" s="50">
        <v>0</v>
      </c>
      <c r="H34" s="27">
        <f>IF(B$25=0,0,G34/B$25)</f>
        <v>0</v>
      </c>
      <c r="J34" s="26">
        <v>32</v>
      </c>
      <c r="K34" s="28">
        <v>-14.200000000000038</v>
      </c>
    </row>
    <row r="35" spans="5:11" x14ac:dyDescent="0.4">
      <c r="E35" s="68" t="s">
        <v>102</v>
      </c>
      <c r="F35" s="64" t="s">
        <v>55</v>
      </c>
      <c r="G35" s="50">
        <v>0</v>
      </c>
      <c r="H35" s="27">
        <f>IF(B$25=0,0,G35/B$25)</f>
        <v>0</v>
      </c>
      <c r="J35" s="26">
        <v>33</v>
      </c>
      <c r="K35" s="28">
        <v>-13.500000000000039</v>
      </c>
    </row>
    <row r="36" spans="5:11" x14ac:dyDescent="0.4">
      <c r="E36" s="68" t="s">
        <v>103</v>
      </c>
      <c r="F36" s="64" t="s">
        <v>56</v>
      </c>
      <c r="G36" s="50">
        <v>0</v>
      </c>
      <c r="H36" s="27">
        <f>IF(B$25=0,0,G36/B$25)</f>
        <v>0</v>
      </c>
      <c r="J36" s="26">
        <v>34</v>
      </c>
      <c r="K36" s="28">
        <v>-2.3000000000000398</v>
      </c>
    </row>
    <row r="37" spans="5:11" x14ac:dyDescent="0.4">
      <c r="E37" s="68" t="s">
        <v>104</v>
      </c>
      <c r="F37" s="64" t="s">
        <v>57</v>
      </c>
      <c r="G37" s="50">
        <v>0</v>
      </c>
      <c r="H37" s="27">
        <f>IF(B$25=0,0,G37/B$25)</f>
        <v>0</v>
      </c>
      <c r="J37" s="26">
        <v>35</v>
      </c>
      <c r="K37" s="28">
        <v>-38.600000000000037</v>
      </c>
    </row>
    <row r="38" spans="5:11" x14ac:dyDescent="0.4">
      <c r="E38" s="68" t="s">
        <v>105</v>
      </c>
      <c r="F38" s="64" t="s">
        <v>58</v>
      </c>
      <c r="G38" s="50">
        <v>0</v>
      </c>
      <c r="H38" s="27">
        <f>IF(B$25=0,0,G38/B$25)</f>
        <v>0</v>
      </c>
      <c r="J38" s="26">
        <v>36</v>
      </c>
      <c r="K38" s="28">
        <v>9.3999999999999631</v>
      </c>
    </row>
    <row r="39" spans="5:11" x14ac:dyDescent="0.4">
      <c r="E39" s="68" t="s">
        <v>106</v>
      </c>
      <c r="F39" s="64" t="s">
        <v>59</v>
      </c>
      <c r="G39" s="50">
        <v>0</v>
      </c>
      <c r="H39" s="27">
        <f>IF(B$25=0,0,G39/B$25)</f>
        <v>0</v>
      </c>
      <c r="J39" s="26">
        <v>37</v>
      </c>
      <c r="K39" s="28">
        <v>-3.4000000000000377</v>
      </c>
    </row>
    <row r="40" spans="5:11" x14ac:dyDescent="0.4">
      <c r="E40" s="68" t="s">
        <v>107</v>
      </c>
      <c r="F40" s="64" t="s">
        <v>60</v>
      </c>
      <c r="G40" s="50">
        <v>0</v>
      </c>
      <c r="H40" s="27">
        <f>IF(B$25=0,0,G40/B$25)</f>
        <v>0</v>
      </c>
      <c r="J40" s="26">
        <v>38</v>
      </c>
      <c r="K40" s="28">
        <v>36.599999999999966</v>
      </c>
    </row>
    <row r="41" spans="5:11" x14ac:dyDescent="0.4">
      <c r="E41" s="68" t="s">
        <v>108</v>
      </c>
      <c r="F41" s="64" t="s">
        <v>61</v>
      </c>
      <c r="G41" s="50">
        <v>0</v>
      </c>
      <c r="H41" s="27">
        <f>IF(B$25=0,0,G41/B$25)</f>
        <v>0</v>
      </c>
      <c r="J41" s="26">
        <v>39</v>
      </c>
      <c r="K41" s="28">
        <v>33.199999999999967</v>
      </c>
    </row>
    <row r="42" spans="5:11" x14ac:dyDescent="0.4">
      <c r="E42" s="68" t="s">
        <v>109</v>
      </c>
      <c r="F42" s="64" t="s">
        <v>62</v>
      </c>
      <c r="G42" s="50">
        <v>0</v>
      </c>
      <c r="H42" s="27">
        <f>IF(B$25=0,0,G42/B$25)</f>
        <v>0</v>
      </c>
      <c r="J42" s="26">
        <v>40</v>
      </c>
      <c r="K42" s="28">
        <v>103.79999999999995</v>
      </c>
    </row>
    <row r="43" spans="5:11" x14ac:dyDescent="0.4">
      <c r="E43" s="68" t="s">
        <v>110</v>
      </c>
      <c r="F43" s="64" t="s">
        <v>63</v>
      </c>
      <c r="G43" s="50">
        <v>0</v>
      </c>
      <c r="H43" s="27">
        <f>IF(B$25=0,0,G43/B$25)</f>
        <v>0</v>
      </c>
      <c r="J43" s="26">
        <v>41</v>
      </c>
      <c r="K43" s="28">
        <v>134.29999999999995</v>
      </c>
    </row>
    <row r="44" spans="5:11" x14ac:dyDescent="0.4">
      <c r="E44" s="68" t="s">
        <v>111</v>
      </c>
      <c r="F44" s="64" t="s">
        <v>64</v>
      </c>
      <c r="G44" s="50">
        <v>0</v>
      </c>
      <c r="H44" s="27">
        <f>IF(B$25=0,0,G44/B$25)</f>
        <v>0</v>
      </c>
      <c r="J44" s="26">
        <v>42</v>
      </c>
      <c r="K44" s="28">
        <v>168.69999999999996</v>
      </c>
    </row>
    <row r="45" spans="5:11" x14ac:dyDescent="0.4">
      <c r="E45" s="68" t="s">
        <v>112</v>
      </c>
      <c r="F45" s="64" t="s">
        <v>119</v>
      </c>
      <c r="G45" s="50">
        <v>0</v>
      </c>
      <c r="H45" s="27">
        <f>IF(B$25=0,0,G45/B$25)</f>
        <v>0</v>
      </c>
      <c r="J45" s="26">
        <v>43</v>
      </c>
      <c r="K45" s="28">
        <v>179.19999999999996</v>
      </c>
    </row>
    <row r="46" spans="5:11" x14ac:dyDescent="0.4">
      <c r="E46" s="68" t="s">
        <v>113</v>
      </c>
      <c r="F46" s="64" t="s">
        <v>120</v>
      </c>
      <c r="G46" s="50">
        <v>0</v>
      </c>
      <c r="H46" s="27">
        <f>IF(B$25=0,0,G46/B$25)</f>
        <v>0</v>
      </c>
      <c r="J46" s="26">
        <v>44</v>
      </c>
      <c r="K46" s="28">
        <v>188.29999999999995</v>
      </c>
    </row>
    <row r="47" spans="5:11" x14ac:dyDescent="0.4">
      <c r="E47" s="68" t="s">
        <v>114</v>
      </c>
      <c r="F47" s="64" t="s">
        <v>121</v>
      </c>
      <c r="G47" s="50">
        <v>0</v>
      </c>
      <c r="H47" s="27">
        <f>IF(B$25=0,0,G47/B$25)</f>
        <v>0</v>
      </c>
      <c r="J47" s="26">
        <v>45</v>
      </c>
      <c r="K47" s="28">
        <v>140.89999999999995</v>
      </c>
    </row>
    <row r="48" spans="5:11" x14ac:dyDescent="0.4">
      <c r="E48" s="68" t="s">
        <v>115</v>
      </c>
      <c r="F48" s="64" t="s">
        <v>65</v>
      </c>
      <c r="G48" s="50">
        <v>0</v>
      </c>
      <c r="H48" s="27">
        <f>IF(B$25=0,0,G48/B$25)</f>
        <v>0</v>
      </c>
      <c r="J48" s="26">
        <v>46</v>
      </c>
      <c r="K48" s="28">
        <v>184.79999999999995</v>
      </c>
    </row>
    <row r="49" spans="5:11" x14ac:dyDescent="0.4">
      <c r="E49" s="68" t="s">
        <v>116</v>
      </c>
      <c r="F49" s="64" t="s">
        <v>66</v>
      </c>
      <c r="G49" s="50">
        <v>0</v>
      </c>
      <c r="H49" s="27">
        <f>IF(B$25=0,0,G49/B$25)</f>
        <v>0</v>
      </c>
      <c r="J49" s="26">
        <v>47</v>
      </c>
      <c r="K49" s="28">
        <v>194.69999999999996</v>
      </c>
    </row>
    <row r="50" spans="5:11" x14ac:dyDescent="0.4">
      <c r="E50" s="68" t="s">
        <v>117</v>
      </c>
      <c r="F50" s="64" t="s">
        <v>67</v>
      </c>
      <c r="G50" s="50">
        <v>0</v>
      </c>
      <c r="H50" s="27">
        <f>IF(B$25=0,0,G50/B$25)</f>
        <v>0</v>
      </c>
      <c r="J50" s="26">
        <v>48</v>
      </c>
      <c r="K50" s="28">
        <v>175.69999999999996</v>
      </c>
    </row>
    <row r="51" spans="5:11" x14ac:dyDescent="0.4">
      <c r="E51" s="69" t="s">
        <v>118</v>
      </c>
      <c r="F51" s="65" t="s">
        <v>68</v>
      </c>
      <c r="G51" s="52">
        <v>0</v>
      </c>
      <c r="H51" s="32">
        <f>IF(B$25=0,0,G51/B$25)</f>
        <v>0</v>
      </c>
      <c r="J51" s="26">
        <v>49</v>
      </c>
      <c r="K51" s="28">
        <v>170.79999999999995</v>
      </c>
    </row>
    <row r="52" spans="5:11" x14ac:dyDescent="0.4">
      <c r="J52" s="26">
        <v>50</v>
      </c>
      <c r="K52" s="28">
        <v>187.59999999999997</v>
      </c>
    </row>
    <row r="53" spans="5:11" x14ac:dyDescent="0.4">
      <c r="J53" s="26">
        <v>51</v>
      </c>
      <c r="K53" s="28">
        <v>162.19999999999996</v>
      </c>
    </row>
    <row r="54" spans="5:11" x14ac:dyDescent="0.4">
      <c r="J54" s="26">
        <v>52</v>
      </c>
      <c r="K54" s="28">
        <v>171.69999999999996</v>
      </c>
    </row>
    <row r="55" spans="5:11" x14ac:dyDescent="0.4">
      <c r="J55" s="26">
        <v>53</v>
      </c>
      <c r="K55" s="28">
        <v>171.29999999999995</v>
      </c>
    </row>
    <row r="56" spans="5:11" x14ac:dyDescent="0.4">
      <c r="J56" s="26">
        <v>54</v>
      </c>
      <c r="K56" s="28">
        <v>188.39999999999995</v>
      </c>
    </row>
    <row r="57" spans="5:11" x14ac:dyDescent="0.4">
      <c r="J57" s="26">
        <v>55</v>
      </c>
      <c r="K57" s="28">
        <v>210.19999999999996</v>
      </c>
    </row>
    <row r="58" spans="5:11" x14ac:dyDescent="0.4">
      <c r="J58" s="26">
        <v>56</v>
      </c>
      <c r="K58" s="28">
        <v>198.39999999999995</v>
      </c>
    </row>
    <row r="59" spans="5:11" x14ac:dyDescent="0.4">
      <c r="J59" s="26">
        <v>57</v>
      </c>
      <c r="K59" s="28">
        <v>233.39999999999995</v>
      </c>
    </row>
    <row r="60" spans="5:11" x14ac:dyDescent="0.4">
      <c r="J60" s="26">
        <v>58</v>
      </c>
      <c r="K60" s="28">
        <v>185.29999999999995</v>
      </c>
    </row>
    <row r="61" spans="5:11" x14ac:dyDescent="0.4">
      <c r="J61" s="26">
        <v>59</v>
      </c>
      <c r="K61" s="28">
        <v>182.69999999999996</v>
      </c>
    </row>
    <row r="62" spans="5:11" x14ac:dyDescent="0.4">
      <c r="J62" s="26">
        <v>60</v>
      </c>
      <c r="K62" s="28">
        <v>194.19999999999996</v>
      </c>
    </row>
    <row r="63" spans="5:11" x14ac:dyDescent="0.4">
      <c r="J63" s="26">
        <v>61</v>
      </c>
      <c r="K63" s="28">
        <v>206.49999999999997</v>
      </c>
    </row>
    <row r="64" spans="5:11" x14ac:dyDescent="0.4">
      <c r="J64" s="26">
        <v>62</v>
      </c>
      <c r="K64" s="28">
        <v>207.39999999999998</v>
      </c>
    </row>
    <row r="65" spans="10:11" x14ac:dyDescent="0.4">
      <c r="J65" s="26">
        <v>63</v>
      </c>
      <c r="K65" s="28">
        <v>203.59999999999997</v>
      </c>
    </row>
    <row r="66" spans="10:11" x14ac:dyDescent="0.4">
      <c r="J66" s="26">
        <v>64</v>
      </c>
      <c r="K66" s="28">
        <v>191.69999999999996</v>
      </c>
    </row>
    <row r="67" spans="10:11" x14ac:dyDescent="0.4">
      <c r="J67" s="26">
        <v>65</v>
      </c>
      <c r="K67" s="28">
        <v>175.19999999999996</v>
      </c>
    </row>
  </sheetData>
  <sortState ref="E2:H67">
    <sortCondition descending="1" ref="H1"/>
  </sortState>
  <mergeCells count="9">
    <mergeCell ref="B24:C24"/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D1AF8F-7433-43C7-A53F-80FDF91F6612}">
  <sheetPr codeName="Sheet13"/>
  <dimension ref="A1:P51"/>
  <sheetViews>
    <sheetView showGridLines="0" zoomScale="120" zoomScaleNormal="120" workbookViewId="0"/>
  </sheetViews>
  <sheetFormatPr defaultColWidth="9"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56" t="s">
        <v>0</v>
      </c>
      <c r="B1" s="89" t="s">
        <v>156</v>
      </c>
      <c r="C1" s="90"/>
      <c r="E1" s="66" t="s">
        <v>193</v>
      </c>
      <c r="F1" s="80" t="s">
        <v>122</v>
      </c>
      <c r="G1" s="79" t="s">
        <v>123</v>
      </c>
      <c r="H1" s="80" t="s">
        <v>124</v>
      </c>
      <c r="J1" s="21" t="s">
        <v>22</v>
      </c>
      <c r="K1" s="22" t="s">
        <v>127</v>
      </c>
      <c r="M1" s="21" t="s">
        <v>187</v>
      </c>
      <c r="N1" s="80" t="s">
        <v>189</v>
      </c>
      <c r="O1" s="40" t="s">
        <v>190</v>
      </c>
      <c r="P1" s="36" t="s">
        <v>123</v>
      </c>
    </row>
    <row r="2" spans="1:16" x14ac:dyDescent="0.4">
      <c r="A2" s="57" t="s">
        <v>9</v>
      </c>
      <c r="B2" s="83">
        <v>19</v>
      </c>
      <c r="C2" s="84"/>
      <c r="E2" s="67" t="s">
        <v>73</v>
      </c>
      <c r="F2" s="63" t="s">
        <v>27</v>
      </c>
      <c r="G2" s="49">
        <v>18</v>
      </c>
      <c r="H2" s="24">
        <f>IF(B$25=0,0,G2/B$25)</f>
        <v>0.9</v>
      </c>
      <c r="J2" s="23">
        <v>0</v>
      </c>
      <c r="K2" s="25">
        <v>0</v>
      </c>
      <c r="M2" s="23" t="s">
        <v>181</v>
      </c>
      <c r="N2" s="44">
        <f t="shared" ref="N2:N7" si="0">IF(P2=0,0,O2/P2)</f>
        <v>1878.9473684210527</v>
      </c>
      <c r="O2" s="41">
        <v>35700</v>
      </c>
      <c r="P2" s="39">
        <v>19</v>
      </c>
    </row>
    <row r="3" spans="1:16" x14ac:dyDescent="0.4">
      <c r="A3" s="58" t="s">
        <v>8</v>
      </c>
      <c r="B3" s="91">
        <v>149</v>
      </c>
      <c r="C3" s="92"/>
      <c r="E3" s="68" t="s">
        <v>69</v>
      </c>
      <c r="F3" s="64" t="s">
        <v>23</v>
      </c>
      <c r="G3" s="50">
        <v>15</v>
      </c>
      <c r="H3" s="27">
        <f>IF(B$25=0,0,G3/B$25)</f>
        <v>0.75</v>
      </c>
      <c r="J3" s="26">
        <v>1</v>
      </c>
      <c r="K3" s="28">
        <v>-14.4</v>
      </c>
      <c r="M3" s="26" t="s">
        <v>182</v>
      </c>
      <c r="N3" s="45">
        <f t="shared" si="0"/>
        <v>6941.1764705882351</v>
      </c>
      <c r="O3" s="42">
        <v>118000</v>
      </c>
      <c r="P3" s="37">
        <v>17</v>
      </c>
    </row>
    <row r="4" spans="1:16" x14ac:dyDescent="0.4">
      <c r="A4" s="58" t="s">
        <v>6</v>
      </c>
      <c r="B4" s="93">
        <v>140.60000000000002</v>
      </c>
      <c r="C4" s="94"/>
      <c r="E4" s="68" t="s">
        <v>72</v>
      </c>
      <c r="F4" s="64" t="s">
        <v>26</v>
      </c>
      <c r="G4" s="50">
        <v>14</v>
      </c>
      <c r="H4" s="27">
        <f>IF(B$25=0,0,G4/B$25)</f>
        <v>0.7</v>
      </c>
      <c r="J4" s="26">
        <v>2</v>
      </c>
      <c r="K4" s="28">
        <v>36.6</v>
      </c>
      <c r="M4" s="26" t="s">
        <v>183</v>
      </c>
      <c r="N4" s="45">
        <f t="shared" si="0"/>
        <v>-1892.8571428571429</v>
      </c>
      <c r="O4" s="42">
        <v>-26500</v>
      </c>
      <c r="P4" s="37">
        <v>14</v>
      </c>
    </row>
    <row r="5" spans="1:16" x14ac:dyDescent="0.4">
      <c r="A5" s="58" t="s">
        <v>7</v>
      </c>
      <c r="B5" s="93">
        <f>IF(B$2=0,0,B$4/B$2)</f>
        <v>7.4000000000000012</v>
      </c>
      <c r="C5" s="94"/>
      <c r="E5" s="68" t="s">
        <v>71</v>
      </c>
      <c r="F5" s="64" t="s">
        <v>25</v>
      </c>
      <c r="G5" s="50">
        <v>10</v>
      </c>
      <c r="H5" s="27">
        <f>IF(B$25=0,0,G5/B$25)</f>
        <v>0.5</v>
      </c>
      <c r="J5" s="26">
        <v>3</v>
      </c>
      <c r="K5" s="28">
        <v>-2.7999999999999972</v>
      </c>
      <c r="M5" s="26" t="s">
        <v>184</v>
      </c>
      <c r="N5" s="45">
        <f t="shared" si="0"/>
        <v>1964.2857142857142</v>
      </c>
      <c r="O5" s="42">
        <v>27500</v>
      </c>
      <c r="P5" s="37">
        <v>14</v>
      </c>
    </row>
    <row r="6" spans="1:16" x14ac:dyDescent="0.4">
      <c r="A6" s="58" t="s">
        <v>1</v>
      </c>
      <c r="B6" s="95">
        <f>IF(B$2=0,0,(B$7*1+B$8*2+B$9*3)/B$2)</f>
        <v>1.8421052631578947</v>
      </c>
      <c r="C6" s="96"/>
      <c r="E6" s="68" t="s">
        <v>74</v>
      </c>
      <c r="F6" s="64" t="s">
        <v>12</v>
      </c>
      <c r="G6" s="50">
        <v>7</v>
      </c>
      <c r="H6" s="27">
        <f>IF(B$25=0,0,G6/B$25)</f>
        <v>0.35</v>
      </c>
      <c r="J6" s="26">
        <v>4</v>
      </c>
      <c r="K6" s="28">
        <v>-43.3</v>
      </c>
      <c r="M6" s="26" t="s">
        <v>185</v>
      </c>
      <c r="N6" s="45">
        <f t="shared" si="0"/>
        <v>-483.33333333333331</v>
      </c>
      <c r="O6" s="42">
        <v>-5800</v>
      </c>
      <c r="P6" s="37">
        <v>12</v>
      </c>
    </row>
    <row r="7" spans="1:16" x14ac:dyDescent="0.4">
      <c r="A7" s="58" t="s">
        <v>2</v>
      </c>
      <c r="B7" s="50">
        <v>8</v>
      </c>
      <c r="C7" s="27">
        <f>IF(B$2=0,0,B7/B$2)</f>
        <v>0.42105263157894735</v>
      </c>
      <c r="E7" s="68" t="s">
        <v>78</v>
      </c>
      <c r="F7" s="64" t="s">
        <v>31</v>
      </c>
      <c r="G7" s="50">
        <v>7</v>
      </c>
      <c r="H7" s="27">
        <f>IF(B$25=0,0,G7/B$25)</f>
        <v>0.35</v>
      </c>
      <c r="J7" s="26">
        <v>5</v>
      </c>
      <c r="K7" s="28">
        <v>8.2000000000000028</v>
      </c>
      <c r="M7" s="31" t="s">
        <v>186</v>
      </c>
      <c r="N7" s="46">
        <f t="shared" si="0"/>
        <v>-530</v>
      </c>
      <c r="O7" s="43">
        <v>-5300</v>
      </c>
      <c r="P7" s="38">
        <v>10</v>
      </c>
    </row>
    <row r="8" spans="1:16" x14ac:dyDescent="0.4">
      <c r="A8" s="58" t="s">
        <v>3</v>
      </c>
      <c r="B8" s="50">
        <v>6</v>
      </c>
      <c r="C8" s="27">
        <f t="shared" ref="C8:C9" si="1">IF(B$2=0,0,B8/B$2)</f>
        <v>0.31578947368421051</v>
      </c>
      <c r="E8" s="68" t="s">
        <v>70</v>
      </c>
      <c r="F8" s="64" t="s">
        <v>24</v>
      </c>
      <c r="G8" s="50">
        <v>4</v>
      </c>
      <c r="H8" s="27">
        <f>IF(B$25=0,0,G8/B$25)</f>
        <v>0.2</v>
      </c>
      <c r="J8" s="26">
        <v>6</v>
      </c>
      <c r="K8" s="28">
        <v>22.200000000000003</v>
      </c>
    </row>
    <row r="9" spans="1:16" x14ac:dyDescent="0.4">
      <c r="A9" s="59" t="s">
        <v>4</v>
      </c>
      <c r="B9" s="51">
        <v>5</v>
      </c>
      <c r="C9" s="29">
        <f t="shared" si="1"/>
        <v>0.26315789473684209</v>
      </c>
      <c r="E9" s="68" t="s">
        <v>75</v>
      </c>
      <c r="F9" s="64" t="s">
        <v>28</v>
      </c>
      <c r="G9" s="50">
        <v>3</v>
      </c>
      <c r="H9" s="27">
        <f>IF(B$25=0,0,G9/B$25)</f>
        <v>0.15</v>
      </c>
      <c r="J9" s="26">
        <v>7</v>
      </c>
      <c r="K9" s="28">
        <v>38</v>
      </c>
    </row>
    <row r="10" spans="1:16" x14ac:dyDescent="0.4">
      <c r="A10" s="59" t="s">
        <v>21</v>
      </c>
      <c r="B10" s="51">
        <v>3</v>
      </c>
      <c r="C10" s="29">
        <f>IF(B$2=0,0,B10/B$2)</f>
        <v>0.15789473684210525</v>
      </c>
      <c r="E10" s="68" t="s">
        <v>76</v>
      </c>
      <c r="F10" s="64" t="s">
        <v>29</v>
      </c>
      <c r="G10" s="50">
        <v>1</v>
      </c>
      <c r="H10" s="27">
        <f>IF(B$25=0,0,G10/B$25)</f>
        <v>0.05</v>
      </c>
      <c r="J10" s="26">
        <v>8</v>
      </c>
      <c r="K10" s="28">
        <v>3.2000000000000028</v>
      </c>
    </row>
    <row r="11" spans="1:16" x14ac:dyDescent="0.4">
      <c r="A11" s="60" t="s">
        <v>191</v>
      </c>
      <c r="B11" s="52">
        <v>4</v>
      </c>
      <c r="C11" s="32">
        <f>IF(B$2=0,0,B11/B$2)</f>
        <v>0.21052631578947367</v>
      </c>
      <c r="E11" s="68" t="s">
        <v>77</v>
      </c>
      <c r="F11" s="64" t="s">
        <v>30</v>
      </c>
      <c r="G11" s="50">
        <v>1</v>
      </c>
      <c r="H11" s="27">
        <f>IF(B$25=0,0,G11/B$25)</f>
        <v>0.05</v>
      </c>
      <c r="J11" s="26">
        <v>9</v>
      </c>
      <c r="K11" s="28">
        <v>5.8000000000000025</v>
      </c>
    </row>
    <row r="12" spans="1:16" x14ac:dyDescent="0.4">
      <c r="A12" s="61" t="s">
        <v>130</v>
      </c>
      <c r="B12" s="53">
        <v>26</v>
      </c>
      <c r="C12" s="35">
        <f>IF(B$24=0,0,B12/B$24)</f>
        <v>0.38805970149253732</v>
      </c>
      <c r="E12" s="68" t="s">
        <v>84</v>
      </c>
      <c r="F12" s="64" t="s">
        <v>37</v>
      </c>
      <c r="G12" s="50">
        <v>1</v>
      </c>
      <c r="H12" s="27">
        <f>IF(B$25=0,0,G12/B$25)</f>
        <v>0.05</v>
      </c>
      <c r="J12" s="26">
        <v>10</v>
      </c>
      <c r="K12" s="28">
        <v>54.800000000000004</v>
      </c>
    </row>
    <row r="13" spans="1:16" x14ac:dyDescent="0.4">
      <c r="A13" s="58" t="s">
        <v>125</v>
      </c>
      <c r="B13" s="50">
        <v>15</v>
      </c>
      <c r="C13" s="27">
        <f>IF(B$24=0,0,B13/B$24)</f>
        <v>0.22388059701492538</v>
      </c>
      <c r="E13" s="68" t="s">
        <v>93</v>
      </c>
      <c r="F13" s="64" t="s">
        <v>46</v>
      </c>
      <c r="G13" s="50">
        <v>1</v>
      </c>
      <c r="H13" s="27">
        <f>IF(B$25=0,0,G13/B$25)</f>
        <v>0.05</v>
      </c>
      <c r="J13" s="26">
        <v>11</v>
      </c>
      <c r="K13" s="28">
        <v>66.300000000000011</v>
      </c>
    </row>
    <row r="14" spans="1:16" x14ac:dyDescent="0.4">
      <c r="A14" s="57" t="s">
        <v>132</v>
      </c>
      <c r="B14" s="49">
        <v>14</v>
      </c>
      <c r="C14" s="24">
        <f>IF(B$12=0,0,B14/B$12)</f>
        <v>0.53846153846153844</v>
      </c>
      <c r="E14" s="68" t="s">
        <v>96</v>
      </c>
      <c r="F14" s="64" t="s">
        <v>49</v>
      </c>
      <c r="G14" s="50">
        <v>1</v>
      </c>
      <c r="H14" s="27">
        <f>IF(B$25=0,0,G14/B$25)</f>
        <v>0.05</v>
      </c>
      <c r="J14" s="26">
        <v>12</v>
      </c>
      <c r="K14" s="28">
        <v>77.800000000000011</v>
      </c>
    </row>
    <row r="15" spans="1:16" x14ac:dyDescent="0.4">
      <c r="A15" s="57" t="s">
        <v>133</v>
      </c>
      <c r="B15" s="49">
        <v>3</v>
      </c>
      <c r="C15" s="24">
        <f>IF(B$13=0,0,B15/B$13)</f>
        <v>0.2</v>
      </c>
      <c r="E15" s="68" t="s">
        <v>99</v>
      </c>
      <c r="F15" s="64" t="s">
        <v>52</v>
      </c>
      <c r="G15" s="50">
        <v>1</v>
      </c>
      <c r="H15" s="27">
        <f>IF(B$25=0,0,G15/B$25)</f>
        <v>0.05</v>
      </c>
      <c r="J15" s="26">
        <v>13</v>
      </c>
      <c r="K15" s="28">
        <v>151.10000000000002</v>
      </c>
    </row>
    <row r="16" spans="1:16" x14ac:dyDescent="0.4">
      <c r="A16" s="57" t="s">
        <v>10</v>
      </c>
      <c r="B16" s="49">
        <f>B18+B17</f>
        <v>48</v>
      </c>
      <c r="C16" s="24">
        <f>IF(B$3=0,0,B16/B$3)</f>
        <v>0.32214765100671139</v>
      </c>
      <c r="E16" s="68" t="s">
        <v>79</v>
      </c>
      <c r="F16" s="64" t="s">
        <v>32</v>
      </c>
      <c r="G16" s="50">
        <v>0</v>
      </c>
      <c r="H16" s="27">
        <f>IF(B$25=0,0,G16/B$25)</f>
        <v>0</v>
      </c>
      <c r="J16" s="26">
        <v>14</v>
      </c>
      <c r="K16" s="28">
        <v>144.10000000000002</v>
      </c>
    </row>
    <row r="17" spans="1:11" x14ac:dyDescent="0.4">
      <c r="A17" s="58" t="s">
        <v>12</v>
      </c>
      <c r="B17" s="50">
        <v>21</v>
      </c>
      <c r="C17" s="27">
        <f>IF(B$16=0,0,B17/B$16)</f>
        <v>0.4375</v>
      </c>
      <c r="E17" s="68" t="s">
        <v>80</v>
      </c>
      <c r="F17" s="64" t="s">
        <v>33</v>
      </c>
      <c r="G17" s="50">
        <v>0</v>
      </c>
      <c r="H17" s="27">
        <f>IF(B$25=0,0,G17/B$25)</f>
        <v>0</v>
      </c>
      <c r="J17" s="26">
        <v>15</v>
      </c>
      <c r="K17" s="28">
        <v>145.80000000000001</v>
      </c>
    </row>
    <row r="18" spans="1:11" x14ac:dyDescent="0.4">
      <c r="A18" s="58" t="s">
        <v>11</v>
      </c>
      <c r="B18" s="50">
        <v>27</v>
      </c>
      <c r="C18" s="27">
        <f>IF(B$16=0,0,B18/B$16)</f>
        <v>0.5625</v>
      </c>
      <c r="E18" s="68" t="s">
        <v>81</v>
      </c>
      <c r="F18" s="64" t="s">
        <v>34</v>
      </c>
      <c r="G18" s="50">
        <v>0</v>
      </c>
      <c r="H18" s="27">
        <f>IF(B$25=0,0,G18/B$25)</f>
        <v>0</v>
      </c>
      <c r="J18" s="26">
        <v>16</v>
      </c>
      <c r="K18" s="28">
        <v>149.30000000000001</v>
      </c>
    </row>
    <row r="19" spans="1:11" x14ac:dyDescent="0.4">
      <c r="A19" s="58" t="s">
        <v>13</v>
      </c>
      <c r="B19" s="50">
        <v>24</v>
      </c>
      <c r="C19" s="27">
        <f>IF(B$3=0,0,B19/B$3)</f>
        <v>0.16107382550335569</v>
      </c>
      <c r="E19" s="68" t="s">
        <v>82</v>
      </c>
      <c r="F19" s="64" t="s">
        <v>35</v>
      </c>
      <c r="G19" s="50">
        <v>0</v>
      </c>
      <c r="H19" s="27">
        <f>IF(B$25=0,0,G19/B$25)</f>
        <v>0</v>
      </c>
      <c r="J19" s="26">
        <v>17</v>
      </c>
      <c r="K19" s="28">
        <v>174.10000000000002</v>
      </c>
    </row>
    <row r="20" spans="1:11" x14ac:dyDescent="0.4">
      <c r="A20" s="58" t="s">
        <v>5</v>
      </c>
      <c r="B20" s="54">
        <f>IF(B$16=0,0,C20/B$16)</f>
        <v>11364.583333333334</v>
      </c>
      <c r="C20" s="30">
        <v>545500</v>
      </c>
      <c r="E20" s="68" t="s">
        <v>83</v>
      </c>
      <c r="F20" s="64" t="s">
        <v>36</v>
      </c>
      <c r="G20" s="50">
        <v>0</v>
      </c>
      <c r="H20" s="27">
        <f>IF(B$25=0,0,G20/B$25)</f>
        <v>0</v>
      </c>
      <c r="J20" s="26">
        <v>18</v>
      </c>
      <c r="K20" s="28">
        <v>152.00000000000003</v>
      </c>
    </row>
    <row r="21" spans="1:11" x14ac:dyDescent="0.4">
      <c r="A21" s="60" t="s">
        <v>14</v>
      </c>
      <c r="B21" s="55">
        <f>IF(B$19=0,0,C21/B$19)</f>
        <v>-8883.3333333333339</v>
      </c>
      <c r="C21" s="48">
        <v>-213200</v>
      </c>
      <c r="E21" s="68" t="s">
        <v>85</v>
      </c>
      <c r="F21" s="64" t="s">
        <v>38</v>
      </c>
      <c r="G21" s="50">
        <v>0</v>
      </c>
      <c r="H21" s="27">
        <f>IF(B$25=0,0,G21/B$25)</f>
        <v>0</v>
      </c>
      <c r="J21" s="26">
        <v>19</v>
      </c>
      <c r="K21" s="28">
        <v>140.60000000000002</v>
      </c>
    </row>
    <row r="22" spans="1:11" x14ac:dyDescent="0.4">
      <c r="A22" s="57" t="s">
        <v>178</v>
      </c>
      <c r="B22" s="49">
        <v>58</v>
      </c>
      <c r="C22" s="24">
        <f>IF(B$3=0,0,B22/B$3)</f>
        <v>0.38926174496644295</v>
      </c>
      <c r="E22" s="68" t="s">
        <v>86</v>
      </c>
      <c r="F22" s="64" t="s">
        <v>39</v>
      </c>
      <c r="G22" s="50">
        <v>0</v>
      </c>
      <c r="H22" s="27">
        <f>IF(B$25=0,0,G22/B$25)</f>
        <v>0</v>
      </c>
    </row>
    <row r="23" spans="1:11" x14ac:dyDescent="0.4">
      <c r="A23" s="60" t="s">
        <v>179</v>
      </c>
      <c r="B23" s="52">
        <v>26</v>
      </c>
      <c r="C23" s="32">
        <f>IF(B$22=0,0,B23/B$22)</f>
        <v>0.44827586206896552</v>
      </c>
      <c r="E23" s="68" t="s">
        <v>87</v>
      </c>
      <c r="F23" s="64" t="s">
        <v>40</v>
      </c>
      <c r="G23" s="50">
        <v>0</v>
      </c>
      <c r="H23" s="27">
        <f>IF(B$25=0,0,G23/B$25)</f>
        <v>0</v>
      </c>
    </row>
    <row r="24" spans="1:11" x14ac:dyDescent="0.4">
      <c r="A24" s="57" t="s">
        <v>128</v>
      </c>
      <c r="B24" s="83">
        <v>67</v>
      </c>
      <c r="C24" s="84"/>
      <c r="E24" s="68" t="s">
        <v>88</v>
      </c>
      <c r="F24" s="64" t="s">
        <v>41</v>
      </c>
      <c r="G24" s="50">
        <v>0</v>
      </c>
      <c r="H24" s="27">
        <f>IF(B$25=0,0,G24/B$25)</f>
        <v>0</v>
      </c>
    </row>
    <row r="25" spans="1:11" x14ac:dyDescent="0.4">
      <c r="A25" s="60" t="s">
        <v>129</v>
      </c>
      <c r="B25" s="85">
        <v>20</v>
      </c>
      <c r="C25" s="86"/>
      <c r="E25" s="68" t="s">
        <v>89</v>
      </c>
      <c r="F25" s="64" t="s">
        <v>42</v>
      </c>
      <c r="G25" s="50">
        <v>0</v>
      </c>
      <c r="H25" s="27">
        <f>IF(B$25=0,0,G25/B$25)</f>
        <v>0</v>
      </c>
    </row>
    <row r="26" spans="1:11" x14ac:dyDescent="0.4">
      <c r="A26" s="75" t="s">
        <v>196</v>
      </c>
      <c r="B26" s="87">
        <v>6</v>
      </c>
      <c r="C26" s="88"/>
      <c r="E26" s="68" t="s">
        <v>90</v>
      </c>
      <c r="F26" s="64" t="s">
        <v>43</v>
      </c>
      <c r="G26" s="50">
        <v>0</v>
      </c>
      <c r="H26" s="27">
        <f>IF(B$25=0,0,G26/B$25)</f>
        <v>0</v>
      </c>
    </row>
    <row r="27" spans="1:11" x14ac:dyDescent="0.4">
      <c r="A27" s="60" t="s">
        <v>198</v>
      </c>
      <c r="B27" s="76">
        <v>0</v>
      </c>
      <c r="C27" s="32">
        <f>IF(B$3=0,0,B27/B$3)</f>
        <v>0</v>
      </c>
      <c r="E27" s="68" t="s">
        <v>91</v>
      </c>
      <c r="F27" s="64" t="s">
        <v>44</v>
      </c>
      <c r="G27" s="50">
        <v>0</v>
      </c>
      <c r="H27" s="27">
        <f>IF(B$25=0,0,G27/B$25)</f>
        <v>0</v>
      </c>
    </row>
    <row r="28" spans="1:11" x14ac:dyDescent="0.4">
      <c r="E28" s="68" t="s">
        <v>92</v>
      </c>
      <c r="F28" s="64" t="s">
        <v>45</v>
      </c>
      <c r="G28" s="50">
        <v>0</v>
      </c>
      <c r="H28" s="27">
        <f>IF(B$25=0,0,G28/B$25)</f>
        <v>0</v>
      </c>
    </row>
    <row r="29" spans="1:11" x14ac:dyDescent="0.4">
      <c r="E29" s="68" t="s">
        <v>94</v>
      </c>
      <c r="F29" s="64" t="s">
        <v>47</v>
      </c>
      <c r="G29" s="50">
        <v>0</v>
      </c>
      <c r="H29" s="27">
        <f>IF(B$25=0,0,G29/B$25)</f>
        <v>0</v>
      </c>
    </row>
    <row r="30" spans="1:11" x14ac:dyDescent="0.4">
      <c r="E30" s="68" t="s">
        <v>95</v>
      </c>
      <c r="F30" s="64" t="s">
        <v>48</v>
      </c>
      <c r="G30" s="50">
        <v>0</v>
      </c>
      <c r="H30" s="27">
        <f>IF(B$25=0,0,G30/B$25)</f>
        <v>0</v>
      </c>
    </row>
    <row r="31" spans="1:11" x14ac:dyDescent="0.4">
      <c r="E31" s="68" t="s">
        <v>97</v>
      </c>
      <c r="F31" s="64" t="s">
        <v>50</v>
      </c>
      <c r="G31" s="50">
        <v>0</v>
      </c>
      <c r="H31" s="27">
        <f>IF(B$25=0,0,G31/B$25)</f>
        <v>0</v>
      </c>
    </row>
    <row r="32" spans="1:11" x14ac:dyDescent="0.4">
      <c r="E32" s="68" t="s">
        <v>98</v>
      </c>
      <c r="F32" s="64" t="s">
        <v>51</v>
      </c>
      <c r="G32" s="50">
        <v>0</v>
      </c>
      <c r="H32" s="27">
        <f>IF(B$25=0,0,G32/B$25)</f>
        <v>0</v>
      </c>
    </row>
    <row r="33" spans="5:8" x14ac:dyDescent="0.4">
      <c r="E33" s="68" t="s">
        <v>100</v>
      </c>
      <c r="F33" s="64" t="s">
        <v>53</v>
      </c>
      <c r="G33" s="50">
        <v>0</v>
      </c>
      <c r="H33" s="27">
        <f>IF(B$25=0,0,G33/B$25)</f>
        <v>0</v>
      </c>
    </row>
    <row r="34" spans="5:8" x14ac:dyDescent="0.4">
      <c r="E34" s="68" t="s">
        <v>101</v>
      </c>
      <c r="F34" s="64" t="s">
        <v>54</v>
      </c>
      <c r="G34" s="50">
        <v>0</v>
      </c>
      <c r="H34" s="27">
        <f>IF(B$25=0,0,G34/B$25)</f>
        <v>0</v>
      </c>
    </row>
    <row r="35" spans="5:8" x14ac:dyDescent="0.4">
      <c r="E35" s="68" t="s">
        <v>102</v>
      </c>
      <c r="F35" s="64" t="s">
        <v>55</v>
      </c>
      <c r="G35" s="50">
        <v>0</v>
      </c>
      <c r="H35" s="27">
        <f>IF(B$25=0,0,G35/B$25)</f>
        <v>0</v>
      </c>
    </row>
    <row r="36" spans="5:8" x14ac:dyDescent="0.4">
      <c r="E36" s="68" t="s">
        <v>103</v>
      </c>
      <c r="F36" s="64" t="s">
        <v>56</v>
      </c>
      <c r="G36" s="50">
        <v>0</v>
      </c>
      <c r="H36" s="27">
        <f>IF(B$25=0,0,G36/B$25)</f>
        <v>0</v>
      </c>
    </row>
    <row r="37" spans="5:8" x14ac:dyDescent="0.4">
      <c r="E37" s="68" t="s">
        <v>104</v>
      </c>
      <c r="F37" s="64" t="s">
        <v>57</v>
      </c>
      <c r="G37" s="50">
        <v>0</v>
      </c>
      <c r="H37" s="27">
        <f>IF(B$25=0,0,G37/B$25)</f>
        <v>0</v>
      </c>
    </row>
    <row r="38" spans="5:8" x14ac:dyDescent="0.4">
      <c r="E38" s="68" t="s">
        <v>105</v>
      </c>
      <c r="F38" s="64" t="s">
        <v>58</v>
      </c>
      <c r="G38" s="50">
        <v>0</v>
      </c>
      <c r="H38" s="27">
        <f>IF(B$25=0,0,G38/B$25)</f>
        <v>0</v>
      </c>
    </row>
    <row r="39" spans="5:8" x14ac:dyDescent="0.4">
      <c r="E39" s="68" t="s">
        <v>106</v>
      </c>
      <c r="F39" s="64" t="s">
        <v>59</v>
      </c>
      <c r="G39" s="50">
        <v>0</v>
      </c>
      <c r="H39" s="27">
        <f>IF(B$25=0,0,G39/B$25)</f>
        <v>0</v>
      </c>
    </row>
    <row r="40" spans="5:8" x14ac:dyDescent="0.4">
      <c r="E40" s="68" t="s">
        <v>107</v>
      </c>
      <c r="F40" s="64" t="s">
        <v>60</v>
      </c>
      <c r="G40" s="50">
        <v>0</v>
      </c>
      <c r="H40" s="27">
        <f>IF(B$25=0,0,G40/B$25)</f>
        <v>0</v>
      </c>
    </row>
    <row r="41" spans="5:8" x14ac:dyDescent="0.4">
      <c r="E41" s="68" t="s">
        <v>108</v>
      </c>
      <c r="F41" s="64" t="s">
        <v>61</v>
      </c>
      <c r="G41" s="50">
        <v>0</v>
      </c>
      <c r="H41" s="27">
        <f>IF(B$25=0,0,G41/B$25)</f>
        <v>0</v>
      </c>
    </row>
    <row r="42" spans="5:8" x14ac:dyDescent="0.4">
      <c r="E42" s="68" t="s">
        <v>109</v>
      </c>
      <c r="F42" s="64" t="s">
        <v>62</v>
      </c>
      <c r="G42" s="50">
        <v>0</v>
      </c>
      <c r="H42" s="27">
        <f>IF(B$25=0,0,G42/B$25)</f>
        <v>0</v>
      </c>
    </row>
    <row r="43" spans="5:8" x14ac:dyDescent="0.4">
      <c r="E43" s="68" t="s">
        <v>110</v>
      </c>
      <c r="F43" s="64" t="s">
        <v>63</v>
      </c>
      <c r="G43" s="50">
        <v>0</v>
      </c>
      <c r="H43" s="27">
        <f>IF(B$25=0,0,G43/B$25)</f>
        <v>0</v>
      </c>
    </row>
    <row r="44" spans="5:8" x14ac:dyDescent="0.4">
      <c r="E44" s="68" t="s">
        <v>111</v>
      </c>
      <c r="F44" s="64" t="s">
        <v>64</v>
      </c>
      <c r="G44" s="50">
        <v>0</v>
      </c>
      <c r="H44" s="27">
        <f>IF(B$25=0,0,G44/B$25)</f>
        <v>0</v>
      </c>
    </row>
    <row r="45" spans="5:8" x14ac:dyDescent="0.4">
      <c r="E45" s="68" t="s">
        <v>112</v>
      </c>
      <c r="F45" s="64" t="s">
        <v>119</v>
      </c>
      <c r="G45" s="50">
        <v>0</v>
      </c>
      <c r="H45" s="27">
        <f>IF(B$25=0,0,G45/B$25)</f>
        <v>0</v>
      </c>
    </row>
    <row r="46" spans="5:8" x14ac:dyDescent="0.4">
      <c r="E46" s="68" t="s">
        <v>113</v>
      </c>
      <c r="F46" s="64" t="s">
        <v>120</v>
      </c>
      <c r="G46" s="50">
        <v>0</v>
      </c>
      <c r="H46" s="27">
        <f>IF(B$25=0,0,G46/B$25)</f>
        <v>0</v>
      </c>
    </row>
    <row r="47" spans="5:8" x14ac:dyDescent="0.4">
      <c r="E47" s="68" t="s">
        <v>114</v>
      </c>
      <c r="F47" s="64" t="s">
        <v>121</v>
      </c>
      <c r="G47" s="50">
        <v>0</v>
      </c>
      <c r="H47" s="27">
        <f>IF(B$25=0,0,G47/B$25)</f>
        <v>0</v>
      </c>
    </row>
    <row r="48" spans="5:8" x14ac:dyDescent="0.4">
      <c r="E48" s="68" t="s">
        <v>115</v>
      </c>
      <c r="F48" s="64" t="s">
        <v>65</v>
      </c>
      <c r="G48" s="50">
        <v>0</v>
      </c>
      <c r="H48" s="27">
        <f>IF(B$25=0,0,G48/B$25)</f>
        <v>0</v>
      </c>
    </row>
    <row r="49" spans="5:8" x14ac:dyDescent="0.4">
      <c r="E49" s="68" t="s">
        <v>116</v>
      </c>
      <c r="F49" s="64" t="s">
        <v>66</v>
      </c>
      <c r="G49" s="50">
        <v>0</v>
      </c>
      <c r="H49" s="27">
        <f>IF(B$25=0,0,G49/B$25)</f>
        <v>0</v>
      </c>
    </row>
    <row r="50" spans="5:8" x14ac:dyDescent="0.4">
      <c r="E50" s="68" t="s">
        <v>117</v>
      </c>
      <c r="F50" s="64" t="s">
        <v>67</v>
      </c>
      <c r="G50" s="50">
        <v>0</v>
      </c>
      <c r="H50" s="27">
        <f>IF(B$25=0,0,G50/B$25)</f>
        <v>0</v>
      </c>
    </row>
    <row r="51" spans="5:8" x14ac:dyDescent="0.4">
      <c r="E51" s="69" t="s">
        <v>118</v>
      </c>
      <c r="F51" s="65" t="s">
        <v>68</v>
      </c>
      <c r="G51" s="52">
        <v>0</v>
      </c>
      <c r="H51" s="32">
        <f>IF(B$25=0,0,G51/B$25)</f>
        <v>0</v>
      </c>
    </row>
  </sheetData>
  <sortState ref="E2:H51">
    <sortCondition descending="1" ref="H1"/>
  </sortState>
  <mergeCells count="9">
    <mergeCell ref="B24:C24"/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F97711-E860-4C5C-BDBD-323A8D03A343}">
  <sheetPr codeName="Sheet14"/>
  <dimension ref="A1:P64"/>
  <sheetViews>
    <sheetView showGridLines="0" zoomScale="120" zoomScaleNormal="120" workbookViewId="0"/>
  </sheetViews>
  <sheetFormatPr defaultColWidth="9"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56" t="s">
        <v>0</v>
      </c>
      <c r="B1" s="89" t="s">
        <v>160</v>
      </c>
      <c r="C1" s="90"/>
      <c r="E1" s="66" t="s">
        <v>193</v>
      </c>
      <c r="F1" s="80" t="s">
        <v>122</v>
      </c>
      <c r="G1" s="79" t="s">
        <v>123</v>
      </c>
      <c r="H1" s="80" t="s">
        <v>124</v>
      </c>
      <c r="J1" s="21" t="s">
        <v>22</v>
      </c>
      <c r="K1" s="22" t="s">
        <v>127</v>
      </c>
      <c r="M1" s="21" t="s">
        <v>187</v>
      </c>
      <c r="N1" s="80" t="s">
        <v>189</v>
      </c>
      <c r="O1" s="40" t="s">
        <v>190</v>
      </c>
      <c r="P1" s="36" t="s">
        <v>123</v>
      </c>
    </row>
    <row r="2" spans="1:16" x14ac:dyDescent="0.4">
      <c r="A2" s="57" t="s">
        <v>9</v>
      </c>
      <c r="B2" s="83">
        <v>62</v>
      </c>
      <c r="C2" s="84"/>
      <c r="E2" s="67" t="s">
        <v>73</v>
      </c>
      <c r="F2" s="63" t="s">
        <v>27</v>
      </c>
      <c r="G2" s="49">
        <v>131</v>
      </c>
      <c r="H2" s="24">
        <f>IF(B$25=0,0,G2/B$25)</f>
        <v>1.0396825396825398</v>
      </c>
      <c r="J2" s="23">
        <v>0</v>
      </c>
      <c r="K2" s="25">
        <v>0</v>
      </c>
      <c r="M2" s="23" t="s">
        <v>181</v>
      </c>
      <c r="N2" s="44">
        <f t="shared" ref="N2:N7" si="0">IF(P2=0,0,O2/P2)</f>
        <v>-1720.6896551724137</v>
      </c>
      <c r="O2" s="41">
        <v>-99800</v>
      </c>
      <c r="P2" s="39">
        <v>58</v>
      </c>
    </row>
    <row r="3" spans="1:16" x14ac:dyDescent="0.4">
      <c r="A3" s="58" t="s">
        <v>8</v>
      </c>
      <c r="B3" s="91">
        <v>485</v>
      </c>
      <c r="C3" s="92"/>
      <c r="E3" s="68" t="s">
        <v>71</v>
      </c>
      <c r="F3" s="64" t="s">
        <v>25</v>
      </c>
      <c r="G3" s="50">
        <v>99</v>
      </c>
      <c r="H3" s="27">
        <f>IF(B$25=0,0,G3/B$25)</f>
        <v>0.7857142857142857</v>
      </c>
      <c r="J3" s="26">
        <v>1</v>
      </c>
      <c r="K3" s="28">
        <v>3.9</v>
      </c>
      <c r="M3" s="26" t="s">
        <v>182</v>
      </c>
      <c r="N3" s="45">
        <f t="shared" si="0"/>
        <v>-1350</v>
      </c>
      <c r="O3" s="42">
        <v>-78300</v>
      </c>
      <c r="P3" s="37">
        <v>58</v>
      </c>
    </row>
    <row r="4" spans="1:16" x14ac:dyDescent="0.4">
      <c r="A4" s="58" t="s">
        <v>6</v>
      </c>
      <c r="B4" s="93">
        <v>-477.59999999999985</v>
      </c>
      <c r="C4" s="94"/>
      <c r="E4" s="68" t="s">
        <v>78</v>
      </c>
      <c r="F4" s="64" t="s">
        <v>31</v>
      </c>
      <c r="G4" s="50">
        <v>88</v>
      </c>
      <c r="H4" s="27">
        <f>IF(B$25=0,0,G4/B$25)</f>
        <v>0.69841269841269837</v>
      </c>
      <c r="J4" s="26">
        <v>2</v>
      </c>
      <c r="K4" s="28">
        <v>-32.9</v>
      </c>
      <c r="M4" s="26" t="s">
        <v>183</v>
      </c>
      <c r="N4" s="45">
        <f t="shared" si="0"/>
        <v>-3441.818181818182</v>
      </c>
      <c r="O4" s="42">
        <v>-189300</v>
      </c>
      <c r="P4" s="37">
        <v>55</v>
      </c>
    </row>
    <row r="5" spans="1:16" x14ac:dyDescent="0.4">
      <c r="A5" s="58" t="s">
        <v>7</v>
      </c>
      <c r="B5" s="93">
        <f>IF(B$2=0,0,B$4/B$2)</f>
        <v>-7.7032258064516101</v>
      </c>
      <c r="C5" s="94"/>
      <c r="E5" s="68" t="s">
        <v>69</v>
      </c>
      <c r="F5" s="64" t="s">
        <v>23</v>
      </c>
      <c r="G5" s="50">
        <v>73</v>
      </c>
      <c r="H5" s="27">
        <f>IF(B$25=0,0,G5/B$25)</f>
        <v>0.57936507936507942</v>
      </c>
      <c r="J5" s="26">
        <v>3</v>
      </c>
      <c r="K5" s="28">
        <v>-68.099999999999994</v>
      </c>
      <c r="M5" s="26" t="s">
        <v>184</v>
      </c>
      <c r="N5" s="45">
        <f t="shared" si="0"/>
        <v>-931.37254901960785</v>
      </c>
      <c r="O5" s="42">
        <v>-47500</v>
      </c>
      <c r="P5" s="37">
        <v>51</v>
      </c>
    </row>
    <row r="6" spans="1:16" x14ac:dyDescent="0.4">
      <c r="A6" s="58" t="s">
        <v>1</v>
      </c>
      <c r="B6" s="95">
        <f>IF(B$2=0,0,(B$7*1+B$8*2+B$9*3)/B$2)</f>
        <v>2.2419354838709675</v>
      </c>
      <c r="C6" s="96"/>
      <c r="E6" s="68" t="s">
        <v>72</v>
      </c>
      <c r="F6" s="64" t="s">
        <v>26</v>
      </c>
      <c r="G6" s="50">
        <v>46</v>
      </c>
      <c r="H6" s="27">
        <f>IF(B$25=0,0,G6/B$25)</f>
        <v>0.36507936507936506</v>
      </c>
      <c r="J6" s="26">
        <v>4</v>
      </c>
      <c r="K6" s="28">
        <v>-34.099999999999994</v>
      </c>
      <c r="M6" s="26" t="s">
        <v>185</v>
      </c>
      <c r="N6" s="45">
        <f t="shared" si="0"/>
        <v>-1878.7234042553191</v>
      </c>
      <c r="O6" s="42">
        <v>-88300</v>
      </c>
      <c r="P6" s="37">
        <v>47</v>
      </c>
    </row>
    <row r="7" spans="1:16" x14ac:dyDescent="0.4">
      <c r="A7" s="58" t="s">
        <v>2</v>
      </c>
      <c r="B7" s="50">
        <v>14</v>
      </c>
      <c r="C7" s="27">
        <f>IF(B$2=0,0,B7/B$2)</f>
        <v>0.22580645161290322</v>
      </c>
      <c r="E7" s="68" t="s">
        <v>74</v>
      </c>
      <c r="F7" s="64" t="s">
        <v>12</v>
      </c>
      <c r="G7" s="50">
        <v>42</v>
      </c>
      <c r="H7" s="27">
        <f>IF(B$25=0,0,G7/B$25)</f>
        <v>0.33333333333333331</v>
      </c>
      <c r="J7" s="26">
        <v>5</v>
      </c>
      <c r="K7" s="28">
        <v>-78.099999999999994</v>
      </c>
      <c r="M7" s="31" t="s">
        <v>186</v>
      </c>
      <c r="N7" s="46">
        <f t="shared" si="0"/>
        <v>3413.8888888888887</v>
      </c>
      <c r="O7" s="43">
        <v>122900</v>
      </c>
      <c r="P7" s="38">
        <v>36</v>
      </c>
    </row>
    <row r="8" spans="1:16" x14ac:dyDescent="0.4">
      <c r="A8" s="58" t="s">
        <v>3</v>
      </c>
      <c r="B8" s="50">
        <v>19</v>
      </c>
      <c r="C8" s="27">
        <f t="shared" ref="C8:C9" si="1">IF(B$2=0,0,B8/B$2)</f>
        <v>0.30645161290322581</v>
      </c>
      <c r="E8" s="68" t="s">
        <v>75</v>
      </c>
      <c r="F8" s="64" t="s">
        <v>28</v>
      </c>
      <c r="G8" s="50">
        <v>18</v>
      </c>
      <c r="H8" s="27">
        <f>IF(B$25=0,0,G8/B$25)</f>
        <v>0.14285714285714285</v>
      </c>
      <c r="J8" s="26">
        <v>6</v>
      </c>
      <c r="K8" s="28">
        <v>-113.1</v>
      </c>
    </row>
    <row r="9" spans="1:16" x14ac:dyDescent="0.4">
      <c r="A9" s="59" t="s">
        <v>4</v>
      </c>
      <c r="B9" s="51">
        <v>29</v>
      </c>
      <c r="C9" s="29">
        <f t="shared" si="1"/>
        <v>0.46774193548387094</v>
      </c>
      <c r="E9" s="68" t="s">
        <v>96</v>
      </c>
      <c r="F9" s="64" t="s">
        <v>49</v>
      </c>
      <c r="G9" s="50">
        <v>17</v>
      </c>
      <c r="H9" s="27">
        <f>IF(B$25=0,0,G9/B$25)</f>
        <v>0.13492063492063491</v>
      </c>
      <c r="J9" s="26">
        <v>7</v>
      </c>
      <c r="K9" s="28">
        <v>-143.4</v>
      </c>
    </row>
    <row r="10" spans="1:16" x14ac:dyDescent="0.4">
      <c r="A10" s="59" t="s">
        <v>21</v>
      </c>
      <c r="B10" s="51">
        <v>13</v>
      </c>
      <c r="C10" s="29">
        <f>IF(B$2=0,0,B10/B$2)</f>
        <v>0.20967741935483872</v>
      </c>
      <c r="E10" s="68" t="s">
        <v>76</v>
      </c>
      <c r="F10" s="64" t="s">
        <v>29</v>
      </c>
      <c r="G10" s="50">
        <v>12</v>
      </c>
      <c r="H10" s="27">
        <f>IF(B$25=0,0,G10/B$25)</f>
        <v>9.5238095238095233E-2</v>
      </c>
      <c r="J10" s="26">
        <v>8</v>
      </c>
      <c r="K10" s="28">
        <v>-142</v>
      </c>
    </row>
    <row r="11" spans="1:16" x14ac:dyDescent="0.4">
      <c r="A11" s="60" t="s">
        <v>191</v>
      </c>
      <c r="B11" s="52">
        <v>6</v>
      </c>
      <c r="C11" s="32">
        <f>IF(B$2=0,0,B11/B$2)</f>
        <v>9.6774193548387094E-2</v>
      </c>
      <c r="E11" s="68" t="s">
        <v>70</v>
      </c>
      <c r="F11" s="64" t="s">
        <v>24</v>
      </c>
      <c r="G11" s="50">
        <v>11</v>
      </c>
      <c r="H11" s="27">
        <f>IF(B$25=0,0,G11/B$25)</f>
        <v>8.7301587301587297E-2</v>
      </c>
      <c r="J11" s="26">
        <v>9</v>
      </c>
      <c r="K11" s="28">
        <v>-168</v>
      </c>
    </row>
    <row r="12" spans="1:16" x14ac:dyDescent="0.4">
      <c r="A12" s="61" t="s">
        <v>130</v>
      </c>
      <c r="B12" s="53">
        <v>132</v>
      </c>
      <c r="C12" s="35">
        <f>IF(B$24=0,0,B12/B$24)</f>
        <v>0.29464285714285715</v>
      </c>
      <c r="E12" s="68" t="s">
        <v>93</v>
      </c>
      <c r="F12" s="64" t="s">
        <v>46</v>
      </c>
      <c r="G12" s="50">
        <v>10</v>
      </c>
      <c r="H12" s="27">
        <f>IF(B$25=0,0,G12/B$25)</f>
        <v>7.9365079365079361E-2</v>
      </c>
      <c r="J12" s="26">
        <v>10</v>
      </c>
      <c r="K12" s="28">
        <v>-200.1</v>
      </c>
    </row>
    <row r="13" spans="1:16" x14ac:dyDescent="0.4">
      <c r="A13" s="58" t="s">
        <v>125</v>
      </c>
      <c r="B13" s="50">
        <v>97</v>
      </c>
      <c r="C13" s="27">
        <f>IF(B$24=0,0,B13/B$24)</f>
        <v>0.21651785714285715</v>
      </c>
      <c r="E13" s="68" t="s">
        <v>84</v>
      </c>
      <c r="F13" s="64" t="s">
        <v>37</v>
      </c>
      <c r="G13" s="50">
        <v>9</v>
      </c>
      <c r="H13" s="27">
        <f>IF(B$25=0,0,G13/B$25)</f>
        <v>7.1428571428571425E-2</v>
      </c>
      <c r="J13" s="26">
        <v>11</v>
      </c>
      <c r="K13" s="28">
        <v>-169</v>
      </c>
    </row>
    <row r="14" spans="1:16" x14ac:dyDescent="0.4">
      <c r="A14" s="57" t="s">
        <v>132</v>
      </c>
      <c r="B14" s="49">
        <v>77</v>
      </c>
      <c r="C14" s="24">
        <f>IF(B$12=0,0,B14/B$12)</f>
        <v>0.58333333333333337</v>
      </c>
      <c r="E14" s="68" t="s">
        <v>79</v>
      </c>
      <c r="F14" s="64" t="s">
        <v>32</v>
      </c>
      <c r="G14" s="50">
        <v>4</v>
      </c>
      <c r="H14" s="27">
        <f>IF(B$25=0,0,G14/B$25)</f>
        <v>3.1746031746031744E-2</v>
      </c>
      <c r="J14" s="26">
        <v>12</v>
      </c>
      <c r="K14" s="28">
        <v>-191</v>
      </c>
    </row>
    <row r="15" spans="1:16" x14ac:dyDescent="0.4">
      <c r="A15" s="57" t="s">
        <v>133</v>
      </c>
      <c r="B15" s="49">
        <v>37</v>
      </c>
      <c r="C15" s="24">
        <f>IF(B$13=0,0,B15/B$13)</f>
        <v>0.38144329896907214</v>
      </c>
      <c r="E15" s="68" t="s">
        <v>90</v>
      </c>
      <c r="F15" s="64" t="s">
        <v>43</v>
      </c>
      <c r="G15" s="50">
        <v>4</v>
      </c>
      <c r="H15" s="27">
        <f>IF(B$25=0,0,G15/B$25)</f>
        <v>3.1746031746031744E-2</v>
      </c>
      <c r="J15" s="26">
        <v>13</v>
      </c>
      <c r="K15" s="28">
        <v>-228</v>
      </c>
    </row>
    <row r="16" spans="1:16" x14ac:dyDescent="0.4">
      <c r="A16" s="57" t="s">
        <v>10</v>
      </c>
      <c r="B16" s="49">
        <f>B18+B17</f>
        <v>136</v>
      </c>
      <c r="C16" s="24">
        <f>IF(B$3=0,0,B16/B$3)</f>
        <v>0.28041237113402062</v>
      </c>
      <c r="E16" s="68" t="s">
        <v>77</v>
      </c>
      <c r="F16" s="64" t="s">
        <v>30</v>
      </c>
      <c r="G16" s="50">
        <v>3</v>
      </c>
      <c r="H16" s="27">
        <f>IF(B$25=0,0,G16/B$25)</f>
        <v>2.3809523809523808E-2</v>
      </c>
      <c r="J16" s="26">
        <v>14</v>
      </c>
      <c r="K16" s="28">
        <v>-224</v>
      </c>
    </row>
    <row r="17" spans="1:11" x14ac:dyDescent="0.4">
      <c r="A17" s="58" t="s">
        <v>12</v>
      </c>
      <c r="B17" s="50">
        <v>64</v>
      </c>
      <c r="C17" s="27">
        <f>IF(B$16=0,0,B17/B$16)</f>
        <v>0.47058823529411764</v>
      </c>
      <c r="E17" s="68" t="s">
        <v>88</v>
      </c>
      <c r="F17" s="64" t="s">
        <v>41</v>
      </c>
      <c r="G17" s="50">
        <v>3</v>
      </c>
      <c r="H17" s="27">
        <f>IF(B$25=0,0,G17/B$25)</f>
        <v>2.3809523809523808E-2</v>
      </c>
      <c r="J17" s="26">
        <v>15</v>
      </c>
      <c r="K17" s="28">
        <v>-205.5</v>
      </c>
    </row>
    <row r="18" spans="1:11" x14ac:dyDescent="0.4">
      <c r="A18" s="58" t="s">
        <v>11</v>
      </c>
      <c r="B18" s="50">
        <v>72</v>
      </c>
      <c r="C18" s="27">
        <f>IF(B$16=0,0,B18/B$16)</f>
        <v>0.52941176470588236</v>
      </c>
      <c r="E18" s="68" t="s">
        <v>81</v>
      </c>
      <c r="F18" s="64" t="s">
        <v>34</v>
      </c>
      <c r="G18" s="50">
        <v>1</v>
      </c>
      <c r="H18" s="27">
        <f>IF(B$25=0,0,G18/B$25)</f>
        <v>7.9365079365079361E-3</v>
      </c>
      <c r="J18" s="26">
        <v>16</v>
      </c>
      <c r="K18" s="28">
        <v>-225.2</v>
      </c>
    </row>
    <row r="19" spans="1:11" x14ac:dyDescent="0.4">
      <c r="A19" s="58" t="s">
        <v>13</v>
      </c>
      <c r="B19" s="50">
        <v>115</v>
      </c>
      <c r="C19" s="27">
        <f>IF(B$3=0,0,B19/B$3)</f>
        <v>0.23711340206185566</v>
      </c>
      <c r="E19" s="68" t="s">
        <v>83</v>
      </c>
      <c r="F19" s="64" t="s">
        <v>36</v>
      </c>
      <c r="G19" s="50">
        <v>1</v>
      </c>
      <c r="H19" s="27">
        <f>IF(B$25=0,0,G19/B$25)</f>
        <v>7.9365079365079361E-3</v>
      </c>
      <c r="J19" s="26">
        <v>17</v>
      </c>
      <c r="K19" s="28">
        <v>-259.7</v>
      </c>
    </row>
    <row r="20" spans="1:11" x14ac:dyDescent="0.4">
      <c r="A20" s="58" t="s">
        <v>5</v>
      </c>
      <c r="B20" s="54">
        <f>IF(B$16=0,0,C20/B$16)</f>
        <v>10600</v>
      </c>
      <c r="C20" s="30">
        <v>1441600</v>
      </c>
      <c r="E20" s="68" t="s">
        <v>85</v>
      </c>
      <c r="F20" s="64" t="s">
        <v>38</v>
      </c>
      <c r="G20" s="50">
        <v>1</v>
      </c>
      <c r="H20" s="27">
        <f>IF(B$25=0,0,G20/B$25)</f>
        <v>7.9365079365079361E-3</v>
      </c>
      <c r="J20" s="26">
        <v>18</v>
      </c>
      <c r="K20" s="28">
        <v>-285.8</v>
      </c>
    </row>
    <row r="21" spans="1:11" x14ac:dyDescent="0.4">
      <c r="A21" s="60" t="s">
        <v>14</v>
      </c>
      <c r="B21" s="55">
        <f>IF(B$19=0,0,C21/B$19)</f>
        <v>-9648.6956521739139</v>
      </c>
      <c r="C21" s="48">
        <v>-1109600</v>
      </c>
      <c r="E21" s="68" t="s">
        <v>91</v>
      </c>
      <c r="F21" s="64" t="s">
        <v>44</v>
      </c>
      <c r="G21" s="50">
        <v>1</v>
      </c>
      <c r="H21" s="27">
        <f>IF(B$25=0,0,G21/B$25)</f>
        <v>7.9365079365079361E-3</v>
      </c>
      <c r="J21" s="26">
        <v>19</v>
      </c>
      <c r="K21" s="28">
        <v>-264.2</v>
      </c>
    </row>
    <row r="22" spans="1:11" x14ac:dyDescent="0.4">
      <c r="A22" s="57" t="s">
        <v>178</v>
      </c>
      <c r="B22" s="49">
        <v>151</v>
      </c>
      <c r="C22" s="24">
        <f>IF(B$3=0,0,B22/B$3)</f>
        <v>0.31134020618556701</v>
      </c>
      <c r="E22" s="68" t="s">
        <v>98</v>
      </c>
      <c r="F22" s="64" t="s">
        <v>51</v>
      </c>
      <c r="G22" s="50">
        <v>1</v>
      </c>
      <c r="H22" s="27">
        <f>IF(B$25=0,0,G22/B$25)</f>
        <v>7.9365079365079361E-3</v>
      </c>
      <c r="J22" s="26">
        <v>20</v>
      </c>
      <c r="K22" s="28">
        <v>-261</v>
      </c>
    </row>
    <row r="23" spans="1:11" x14ac:dyDescent="0.4">
      <c r="A23" s="60" t="s">
        <v>179</v>
      </c>
      <c r="B23" s="52">
        <v>46</v>
      </c>
      <c r="C23" s="32">
        <f>IF(B$22=0,0,B23/B$22)</f>
        <v>0.30463576158940397</v>
      </c>
      <c r="E23" s="68" t="s">
        <v>100</v>
      </c>
      <c r="F23" s="64" t="s">
        <v>53</v>
      </c>
      <c r="G23" s="50">
        <v>1</v>
      </c>
      <c r="H23" s="27">
        <f>IF(B$25=0,0,G23/B$25)</f>
        <v>7.9365079365079361E-3</v>
      </c>
      <c r="J23" s="26">
        <v>21</v>
      </c>
      <c r="K23" s="28">
        <v>-234</v>
      </c>
    </row>
    <row r="24" spans="1:11" x14ac:dyDescent="0.4">
      <c r="A24" s="57" t="s">
        <v>128</v>
      </c>
      <c r="B24" s="83">
        <v>448</v>
      </c>
      <c r="C24" s="84"/>
      <c r="E24" s="68" t="s">
        <v>80</v>
      </c>
      <c r="F24" s="64" t="s">
        <v>33</v>
      </c>
      <c r="G24" s="50">
        <v>0</v>
      </c>
      <c r="H24" s="27">
        <f>IF(B$25=0,0,G24/B$25)</f>
        <v>0</v>
      </c>
      <c r="J24" s="26">
        <v>22</v>
      </c>
      <c r="K24" s="28">
        <v>-195.9</v>
      </c>
    </row>
    <row r="25" spans="1:11" x14ac:dyDescent="0.4">
      <c r="A25" s="60" t="s">
        <v>129</v>
      </c>
      <c r="B25" s="85">
        <v>126</v>
      </c>
      <c r="C25" s="86"/>
      <c r="E25" s="68" t="s">
        <v>82</v>
      </c>
      <c r="F25" s="64" t="s">
        <v>35</v>
      </c>
      <c r="G25" s="50">
        <v>0</v>
      </c>
      <c r="H25" s="27">
        <f>IF(B$25=0,0,G25/B$25)</f>
        <v>0</v>
      </c>
      <c r="J25" s="26">
        <v>23</v>
      </c>
      <c r="K25" s="28">
        <v>-193.9</v>
      </c>
    </row>
    <row r="26" spans="1:11" x14ac:dyDescent="0.4">
      <c r="A26" s="75" t="s">
        <v>196</v>
      </c>
      <c r="B26" s="87">
        <v>7</v>
      </c>
      <c r="C26" s="88"/>
      <c r="E26" s="68" t="s">
        <v>86</v>
      </c>
      <c r="F26" s="64" t="s">
        <v>39</v>
      </c>
      <c r="G26" s="50">
        <v>0</v>
      </c>
      <c r="H26" s="27">
        <f>IF(B$25=0,0,G26/B$25)</f>
        <v>0</v>
      </c>
      <c r="J26" s="26">
        <v>24</v>
      </c>
      <c r="K26" s="28">
        <v>-162.19999999999999</v>
      </c>
    </row>
    <row r="27" spans="1:11" x14ac:dyDescent="0.4">
      <c r="A27" s="60" t="s">
        <v>198</v>
      </c>
      <c r="B27" s="76">
        <v>5</v>
      </c>
      <c r="C27" s="32">
        <f>IF(B$3=0,0,B27/B$3)</f>
        <v>1.0309278350515464E-2</v>
      </c>
      <c r="E27" s="68" t="s">
        <v>87</v>
      </c>
      <c r="F27" s="64" t="s">
        <v>40</v>
      </c>
      <c r="G27" s="50">
        <v>0</v>
      </c>
      <c r="H27" s="27">
        <f>IF(B$25=0,0,G27/B$25)</f>
        <v>0</v>
      </c>
      <c r="J27" s="26">
        <v>25</v>
      </c>
      <c r="K27" s="28">
        <v>-209.89999999999998</v>
      </c>
    </row>
    <row r="28" spans="1:11" x14ac:dyDescent="0.4">
      <c r="E28" s="68" t="s">
        <v>89</v>
      </c>
      <c r="F28" s="64" t="s">
        <v>42</v>
      </c>
      <c r="G28" s="50">
        <v>0</v>
      </c>
      <c r="H28" s="27">
        <f>IF(B$25=0,0,G28/B$25)</f>
        <v>0</v>
      </c>
      <c r="J28" s="26">
        <v>26</v>
      </c>
      <c r="K28" s="28">
        <v>-248.29999999999998</v>
      </c>
    </row>
    <row r="29" spans="1:11" x14ac:dyDescent="0.4">
      <c r="E29" s="68" t="s">
        <v>92</v>
      </c>
      <c r="F29" s="64" t="s">
        <v>45</v>
      </c>
      <c r="G29" s="50">
        <v>0</v>
      </c>
      <c r="H29" s="27">
        <f>IF(B$25=0,0,G29/B$25)</f>
        <v>0</v>
      </c>
      <c r="J29" s="26">
        <v>27</v>
      </c>
      <c r="K29" s="28">
        <v>-287.29999999999995</v>
      </c>
    </row>
    <row r="30" spans="1:11" x14ac:dyDescent="0.4">
      <c r="E30" s="68" t="s">
        <v>94</v>
      </c>
      <c r="F30" s="64" t="s">
        <v>47</v>
      </c>
      <c r="G30" s="50">
        <v>0</v>
      </c>
      <c r="H30" s="27">
        <f>IF(B$25=0,0,G30/B$25)</f>
        <v>0</v>
      </c>
      <c r="J30" s="26">
        <v>28</v>
      </c>
      <c r="K30" s="28">
        <v>-282.19999999999993</v>
      </c>
    </row>
    <row r="31" spans="1:11" x14ac:dyDescent="0.4">
      <c r="E31" s="68" t="s">
        <v>95</v>
      </c>
      <c r="F31" s="64" t="s">
        <v>48</v>
      </c>
      <c r="G31" s="50">
        <v>0</v>
      </c>
      <c r="H31" s="27">
        <f>IF(B$25=0,0,G31/B$25)</f>
        <v>0</v>
      </c>
      <c r="J31" s="26">
        <v>29</v>
      </c>
      <c r="K31" s="28">
        <v>-232.19999999999993</v>
      </c>
    </row>
    <row r="32" spans="1:11" x14ac:dyDescent="0.4">
      <c r="E32" s="68" t="s">
        <v>97</v>
      </c>
      <c r="F32" s="64" t="s">
        <v>50</v>
      </c>
      <c r="G32" s="50">
        <v>0</v>
      </c>
      <c r="H32" s="27">
        <f>IF(B$25=0,0,G32/B$25)</f>
        <v>0</v>
      </c>
      <c r="J32" s="26">
        <v>30</v>
      </c>
      <c r="K32" s="28">
        <v>-249.29999999999993</v>
      </c>
    </row>
    <row r="33" spans="5:11" x14ac:dyDescent="0.4">
      <c r="E33" s="68" t="s">
        <v>99</v>
      </c>
      <c r="F33" s="64" t="s">
        <v>52</v>
      </c>
      <c r="G33" s="50">
        <v>0</v>
      </c>
      <c r="H33" s="27">
        <f>IF(B$25=0,0,G33/B$25)</f>
        <v>0</v>
      </c>
      <c r="J33" s="26">
        <v>31</v>
      </c>
      <c r="K33" s="28">
        <v>-257.39999999999992</v>
      </c>
    </row>
    <row r="34" spans="5:11" x14ac:dyDescent="0.4">
      <c r="E34" s="68" t="s">
        <v>101</v>
      </c>
      <c r="F34" s="64" t="s">
        <v>54</v>
      </c>
      <c r="G34" s="50">
        <v>0</v>
      </c>
      <c r="H34" s="27">
        <f>IF(B$25=0,0,G34/B$25)</f>
        <v>0</v>
      </c>
      <c r="J34" s="26">
        <v>32</v>
      </c>
      <c r="K34" s="28">
        <v>-275.89999999999992</v>
      </c>
    </row>
    <row r="35" spans="5:11" x14ac:dyDescent="0.4">
      <c r="E35" s="68" t="s">
        <v>102</v>
      </c>
      <c r="F35" s="64" t="s">
        <v>55</v>
      </c>
      <c r="G35" s="50">
        <v>0</v>
      </c>
      <c r="H35" s="27">
        <f>IF(B$25=0,0,G35/B$25)</f>
        <v>0</v>
      </c>
      <c r="J35" s="26">
        <v>33</v>
      </c>
      <c r="K35" s="28">
        <v>-283.2999999999999</v>
      </c>
    </row>
    <row r="36" spans="5:11" x14ac:dyDescent="0.4">
      <c r="E36" s="68" t="s">
        <v>103</v>
      </c>
      <c r="F36" s="64" t="s">
        <v>56</v>
      </c>
      <c r="G36" s="50">
        <v>0</v>
      </c>
      <c r="H36" s="27">
        <f>IF(B$25=0,0,G36/B$25)</f>
        <v>0</v>
      </c>
      <c r="J36" s="26">
        <v>34</v>
      </c>
      <c r="K36" s="28">
        <v>-292.69999999999987</v>
      </c>
    </row>
    <row r="37" spans="5:11" x14ac:dyDescent="0.4">
      <c r="E37" s="68" t="s">
        <v>104</v>
      </c>
      <c r="F37" s="64" t="s">
        <v>57</v>
      </c>
      <c r="G37" s="50">
        <v>0</v>
      </c>
      <c r="H37" s="27">
        <f>IF(B$25=0,0,G37/B$25)</f>
        <v>0</v>
      </c>
      <c r="J37" s="26">
        <v>35</v>
      </c>
      <c r="K37" s="28">
        <v>-329.69999999999987</v>
      </c>
    </row>
    <row r="38" spans="5:11" x14ac:dyDescent="0.4">
      <c r="E38" s="68" t="s">
        <v>105</v>
      </c>
      <c r="F38" s="64" t="s">
        <v>58</v>
      </c>
      <c r="G38" s="50">
        <v>0</v>
      </c>
      <c r="H38" s="27">
        <f>IF(B$25=0,0,G38/B$25)</f>
        <v>0</v>
      </c>
      <c r="J38" s="26">
        <v>36</v>
      </c>
      <c r="K38" s="28">
        <v>-319.09999999999985</v>
      </c>
    </row>
    <row r="39" spans="5:11" x14ac:dyDescent="0.4">
      <c r="E39" s="68" t="s">
        <v>106</v>
      </c>
      <c r="F39" s="64" t="s">
        <v>59</v>
      </c>
      <c r="G39" s="50">
        <v>0</v>
      </c>
      <c r="H39" s="27">
        <f>IF(B$25=0,0,G39/B$25)</f>
        <v>0</v>
      </c>
      <c r="J39" s="26">
        <v>37</v>
      </c>
      <c r="K39" s="28">
        <v>-361.59999999999985</v>
      </c>
    </row>
    <row r="40" spans="5:11" x14ac:dyDescent="0.4">
      <c r="E40" s="68" t="s">
        <v>107</v>
      </c>
      <c r="F40" s="64" t="s">
        <v>60</v>
      </c>
      <c r="G40" s="50">
        <v>0</v>
      </c>
      <c r="H40" s="27">
        <f>IF(B$25=0,0,G40/B$25)</f>
        <v>0</v>
      </c>
      <c r="J40" s="26">
        <v>38</v>
      </c>
      <c r="K40" s="28">
        <v>-369.09999999999985</v>
      </c>
    </row>
    <row r="41" spans="5:11" x14ac:dyDescent="0.4">
      <c r="E41" s="68" t="s">
        <v>108</v>
      </c>
      <c r="F41" s="64" t="s">
        <v>61</v>
      </c>
      <c r="G41" s="50">
        <v>0</v>
      </c>
      <c r="H41" s="27">
        <f>IF(B$25=0,0,G41/B$25)</f>
        <v>0</v>
      </c>
      <c r="J41" s="26">
        <v>39</v>
      </c>
      <c r="K41" s="28">
        <v>-350.49999999999983</v>
      </c>
    </row>
    <row r="42" spans="5:11" x14ac:dyDescent="0.4">
      <c r="E42" s="68" t="s">
        <v>109</v>
      </c>
      <c r="F42" s="64" t="s">
        <v>62</v>
      </c>
      <c r="G42" s="50">
        <v>0</v>
      </c>
      <c r="H42" s="27">
        <f>IF(B$25=0,0,G42/B$25)</f>
        <v>0</v>
      </c>
      <c r="J42" s="26">
        <v>40</v>
      </c>
      <c r="K42" s="28">
        <v>-367.59999999999985</v>
      </c>
    </row>
    <row r="43" spans="5:11" x14ac:dyDescent="0.4">
      <c r="E43" s="68" t="s">
        <v>110</v>
      </c>
      <c r="F43" s="64" t="s">
        <v>63</v>
      </c>
      <c r="G43" s="50">
        <v>0</v>
      </c>
      <c r="H43" s="27">
        <f>IF(B$25=0,0,G43/B$25)</f>
        <v>0</v>
      </c>
      <c r="J43" s="26">
        <v>41</v>
      </c>
      <c r="K43" s="28">
        <v>-355.59999999999985</v>
      </c>
    </row>
    <row r="44" spans="5:11" x14ac:dyDescent="0.4">
      <c r="E44" s="68" t="s">
        <v>111</v>
      </c>
      <c r="F44" s="64" t="s">
        <v>64</v>
      </c>
      <c r="G44" s="50">
        <v>0</v>
      </c>
      <c r="H44" s="27">
        <f>IF(B$25=0,0,G44/B$25)</f>
        <v>0</v>
      </c>
      <c r="J44" s="26">
        <v>42</v>
      </c>
      <c r="K44" s="28">
        <v>-356.09999999999985</v>
      </c>
    </row>
    <row r="45" spans="5:11" x14ac:dyDescent="0.4">
      <c r="E45" s="68" t="s">
        <v>112</v>
      </c>
      <c r="F45" s="64" t="s">
        <v>119</v>
      </c>
      <c r="G45" s="50">
        <v>0</v>
      </c>
      <c r="H45" s="27">
        <f>IF(B$25=0,0,G45/B$25)</f>
        <v>0</v>
      </c>
      <c r="J45" s="26">
        <v>43</v>
      </c>
      <c r="K45" s="28">
        <v>-315.09999999999985</v>
      </c>
    </row>
    <row r="46" spans="5:11" x14ac:dyDescent="0.4">
      <c r="E46" s="68" t="s">
        <v>113</v>
      </c>
      <c r="F46" s="64" t="s">
        <v>120</v>
      </c>
      <c r="G46" s="50">
        <v>0</v>
      </c>
      <c r="H46" s="27">
        <f>IF(B$25=0,0,G46/B$25)</f>
        <v>0</v>
      </c>
      <c r="J46" s="26">
        <v>44</v>
      </c>
      <c r="K46" s="28">
        <v>-320.89999999999986</v>
      </c>
    </row>
    <row r="47" spans="5:11" x14ac:dyDescent="0.4">
      <c r="E47" s="68" t="s">
        <v>114</v>
      </c>
      <c r="F47" s="64" t="s">
        <v>121</v>
      </c>
      <c r="G47" s="50">
        <v>0</v>
      </c>
      <c r="H47" s="27">
        <f>IF(B$25=0,0,G47/B$25)</f>
        <v>0</v>
      </c>
      <c r="J47" s="26">
        <v>45</v>
      </c>
      <c r="K47" s="28">
        <v>-319.19999999999987</v>
      </c>
    </row>
    <row r="48" spans="5:11" x14ac:dyDescent="0.4">
      <c r="E48" s="68" t="s">
        <v>115</v>
      </c>
      <c r="F48" s="64" t="s">
        <v>65</v>
      </c>
      <c r="G48" s="50">
        <v>0</v>
      </c>
      <c r="H48" s="27">
        <f>IF(B$25=0,0,G48/B$25)</f>
        <v>0</v>
      </c>
      <c r="J48" s="26">
        <v>46</v>
      </c>
      <c r="K48" s="28">
        <v>-352.39999999999986</v>
      </c>
    </row>
    <row r="49" spans="5:11" x14ac:dyDescent="0.4">
      <c r="E49" s="68" t="s">
        <v>116</v>
      </c>
      <c r="F49" s="64" t="s">
        <v>66</v>
      </c>
      <c r="G49" s="50">
        <v>0</v>
      </c>
      <c r="H49" s="27">
        <f>IF(B$25=0,0,G49/B$25)</f>
        <v>0</v>
      </c>
      <c r="J49" s="26">
        <v>47</v>
      </c>
      <c r="K49" s="28">
        <v>-341.39999999999986</v>
      </c>
    </row>
    <row r="50" spans="5:11" x14ac:dyDescent="0.4">
      <c r="E50" s="68" t="s">
        <v>117</v>
      </c>
      <c r="F50" s="64" t="s">
        <v>67</v>
      </c>
      <c r="G50" s="50">
        <v>0</v>
      </c>
      <c r="H50" s="27">
        <f>IF(B$25=0,0,G50/B$25)</f>
        <v>0</v>
      </c>
      <c r="J50" s="26">
        <v>48</v>
      </c>
      <c r="K50" s="28">
        <v>-349.19999999999987</v>
      </c>
    </row>
    <row r="51" spans="5:11" x14ac:dyDescent="0.4">
      <c r="E51" s="69" t="s">
        <v>118</v>
      </c>
      <c r="F51" s="65" t="s">
        <v>68</v>
      </c>
      <c r="G51" s="52">
        <v>0</v>
      </c>
      <c r="H51" s="32">
        <f>IF(B$25=0,0,G51/B$25)</f>
        <v>0</v>
      </c>
      <c r="J51" s="26">
        <v>49</v>
      </c>
      <c r="K51" s="28">
        <v>-354.49999999999989</v>
      </c>
    </row>
    <row r="52" spans="5:11" x14ac:dyDescent="0.4">
      <c r="J52" s="26">
        <v>50</v>
      </c>
      <c r="K52" s="28">
        <v>-388.99999999999989</v>
      </c>
    </row>
    <row r="53" spans="5:11" x14ac:dyDescent="0.4">
      <c r="J53" s="26">
        <v>51</v>
      </c>
      <c r="K53" s="28">
        <v>-398.99999999999989</v>
      </c>
    </row>
    <row r="54" spans="5:11" x14ac:dyDescent="0.4">
      <c r="J54" s="26">
        <v>52</v>
      </c>
      <c r="K54" s="28">
        <v>-414.39999999999986</v>
      </c>
    </row>
    <row r="55" spans="5:11" x14ac:dyDescent="0.4">
      <c r="J55" s="26">
        <v>53</v>
      </c>
      <c r="K55" s="28">
        <v>-388.89999999999986</v>
      </c>
    </row>
    <row r="56" spans="5:11" x14ac:dyDescent="0.4">
      <c r="J56" s="26">
        <v>54</v>
      </c>
      <c r="K56" s="28">
        <v>-399.19999999999987</v>
      </c>
    </row>
    <row r="57" spans="5:11" x14ac:dyDescent="0.4">
      <c r="J57" s="26">
        <v>55</v>
      </c>
      <c r="K57" s="28">
        <v>-408.49999999999989</v>
      </c>
    </row>
    <row r="58" spans="5:11" x14ac:dyDescent="0.4">
      <c r="J58" s="26">
        <v>56</v>
      </c>
      <c r="K58" s="28">
        <v>-384.39999999999986</v>
      </c>
    </row>
    <row r="59" spans="5:11" x14ac:dyDescent="0.4">
      <c r="J59" s="26">
        <v>57</v>
      </c>
      <c r="K59" s="28">
        <v>-416.89999999999986</v>
      </c>
    </row>
    <row r="60" spans="5:11" x14ac:dyDescent="0.4">
      <c r="J60" s="26">
        <v>58</v>
      </c>
      <c r="K60" s="28">
        <v>-453.39999999999986</v>
      </c>
    </row>
    <row r="61" spans="5:11" x14ac:dyDescent="0.4">
      <c r="J61" s="26">
        <v>59</v>
      </c>
      <c r="K61" s="28">
        <v>-461.79999999999984</v>
      </c>
    </row>
    <row r="62" spans="5:11" x14ac:dyDescent="0.4">
      <c r="J62" s="26">
        <v>60</v>
      </c>
      <c r="K62" s="28">
        <v>-461.29999999999984</v>
      </c>
    </row>
    <row r="63" spans="5:11" x14ac:dyDescent="0.4">
      <c r="J63" s="26">
        <v>61</v>
      </c>
      <c r="K63" s="28">
        <v>-472.39999999999986</v>
      </c>
    </row>
    <row r="64" spans="5:11" x14ac:dyDescent="0.4">
      <c r="J64" s="26">
        <v>62</v>
      </c>
      <c r="K64" s="28">
        <v>-477.59999999999985</v>
      </c>
    </row>
  </sheetData>
  <sortState ref="E2:H64">
    <sortCondition descending="1" ref="H1"/>
  </sortState>
  <mergeCells count="9">
    <mergeCell ref="B24:C24"/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C776DD-C1E4-43CF-B3BE-1777418155B2}">
  <sheetPr codeName="Sheet15"/>
  <dimension ref="A1:P51"/>
  <sheetViews>
    <sheetView showGridLines="0" zoomScale="120" zoomScaleNormal="120" workbookViewId="0"/>
  </sheetViews>
  <sheetFormatPr defaultColWidth="9"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56" t="s">
        <v>0</v>
      </c>
      <c r="B1" s="89" t="s">
        <v>194</v>
      </c>
      <c r="C1" s="90"/>
      <c r="E1" s="66" t="s">
        <v>193</v>
      </c>
      <c r="F1" s="80" t="s">
        <v>122</v>
      </c>
      <c r="G1" s="79" t="s">
        <v>123</v>
      </c>
      <c r="H1" s="80" t="s">
        <v>124</v>
      </c>
      <c r="J1" s="21" t="s">
        <v>22</v>
      </c>
      <c r="K1" s="22" t="s">
        <v>127</v>
      </c>
      <c r="M1" s="21" t="s">
        <v>187</v>
      </c>
      <c r="N1" s="80" t="s">
        <v>189</v>
      </c>
      <c r="O1" s="40" t="s">
        <v>190</v>
      </c>
      <c r="P1" s="36" t="s">
        <v>123</v>
      </c>
    </row>
    <row r="2" spans="1:16" x14ac:dyDescent="0.4">
      <c r="A2" s="57" t="s">
        <v>9</v>
      </c>
      <c r="B2" s="83">
        <v>5</v>
      </c>
      <c r="C2" s="84"/>
      <c r="E2" s="67" t="s">
        <v>71</v>
      </c>
      <c r="F2" s="63" t="s">
        <v>25</v>
      </c>
      <c r="G2" s="49">
        <v>12</v>
      </c>
      <c r="H2" s="24">
        <f>IF(B$25=0,0,G2/B$25)</f>
        <v>0.66666666666666663</v>
      </c>
      <c r="J2" s="23">
        <v>0</v>
      </c>
      <c r="K2" s="25">
        <v>0</v>
      </c>
      <c r="M2" s="23" t="s">
        <v>181</v>
      </c>
      <c r="N2" s="44">
        <f t="shared" ref="N2:N7" si="0">IF(P2=0,0,O2/P2)</f>
        <v>9780</v>
      </c>
      <c r="O2" s="41">
        <v>48900</v>
      </c>
      <c r="P2" s="39">
        <v>5</v>
      </c>
    </row>
    <row r="3" spans="1:16" x14ac:dyDescent="0.4">
      <c r="A3" s="58" t="s">
        <v>8</v>
      </c>
      <c r="B3" s="91">
        <v>46</v>
      </c>
      <c r="C3" s="92"/>
      <c r="E3" s="68" t="s">
        <v>73</v>
      </c>
      <c r="F3" s="64" t="s">
        <v>27</v>
      </c>
      <c r="G3" s="50">
        <v>12</v>
      </c>
      <c r="H3" s="27">
        <f>IF(B$25=0,0,G3/B$25)</f>
        <v>0.66666666666666663</v>
      </c>
      <c r="J3" s="26">
        <v>1</v>
      </c>
      <c r="K3" s="28">
        <v>27.3</v>
      </c>
      <c r="M3" s="26" t="s">
        <v>182</v>
      </c>
      <c r="N3" s="45">
        <f t="shared" si="0"/>
        <v>-4740</v>
      </c>
      <c r="O3" s="42">
        <v>-23700</v>
      </c>
      <c r="P3" s="37">
        <v>5</v>
      </c>
    </row>
    <row r="4" spans="1:16" x14ac:dyDescent="0.4">
      <c r="A4" s="58" t="s">
        <v>6</v>
      </c>
      <c r="B4" s="93">
        <v>87</v>
      </c>
      <c r="C4" s="94"/>
      <c r="E4" s="68" t="s">
        <v>69</v>
      </c>
      <c r="F4" s="64" t="s">
        <v>23</v>
      </c>
      <c r="G4" s="50">
        <v>11</v>
      </c>
      <c r="H4" s="27">
        <f>IF(B$25=0,0,G4/B$25)</f>
        <v>0.61111111111111116</v>
      </c>
      <c r="J4" s="26">
        <v>2</v>
      </c>
      <c r="K4" s="28">
        <v>69.3</v>
      </c>
      <c r="M4" s="26" t="s">
        <v>183</v>
      </c>
      <c r="N4" s="45">
        <f t="shared" si="0"/>
        <v>3000</v>
      </c>
      <c r="O4" s="42">
        <v>15000</v>
      </c>
      <c r="P4" s="37">
        <v>5</v>
      </c>
    </row>
    <row r="5" spans="1:16" x14ac:dyDescent="0.4">
      <c r="A5" s="58" t="s">
        <v>7</v>
      </c>
      <c r="B5" s="93">
        <f>IF(B$2=0,0,B$4/B$2)</f>
        <v>17.399999999999999</v>
      </c>
      <c r="C5" s="94"/>
      <c r="E5" s="68" t="s">
        <v>78</v>
      </c>
      <c r="F5" s="64" t="s">
        <v>31</v>
      </c>
      <c r="G5" s="50">
        <v>10</v>
      </c>
      <c r="H5" s="27">
        <f>IF(B$25=0,0,G5/B$25)</f>
        <v>0.55555555555555558</v>
      </c>
      <c r="J5" s="26">
        <v>3</v>
      </c>
      <c r="K5" s="28">
        <v>56.3</v>
      </c>
      <c r="M5" s="26" t="s">
        <v>184</v>
      </c>
      <c r="N5" s="45">
        <f t="shared" si="0"/>
        <v>10700</v>
      </c>
      <c r="O5" s="42">
        <v>42800</v>
      </c>
      <c r="P5" s="37">
        <v>4</v>
      </c>
    </row>
    <row r="6" spans="1:16" x14ac:dyDescent="0.4">
      <c r="A6" s="58" t="s">
        <v>1</v>
      </c>
      <c r="B6" s="95">
        <f>IF(B$2=0,0,(B$7*1+B$8*2+B$9*3)/B$2)</f>
        <v>1.6</v>
      </c>
      <c r="C6" s="96"/>
      <c r="E6" s="68" t="s">
        <v>72</v>
      </c>
      <c r="F6" s="64" t="s">
        <v>26</v>
      </c>
      <c r="G6" s="50">
        <v>6</v>
      </c>
      <c r="H6" s="27">
        <f>IF(B$25=0,0,G6/B$25)</f>
        <v>0.33333333333333331</v>
      </c>
      <c r="J6" s="26">
        <v>4</v>
      </c>
      <c r="K6" s="28">
        <v>63.5</v>
      </c>
      <c r="M6" s="26" t="s">
        <v>185</v>
      </c>
      <c r="N6" s="45">
        <f t="shared" si="0"/>
        <v>-1000</v>
      </c>
      <c r="O6" s="42">
        <v>-4000</v>
      </c>
      <c r="P6" s="37">
        <v>4</v>
      </c>
    </row>
    <row r="7" spans="1:16" x14ac:dyDescent="0.4">
      <c r="A7" s="58" t="s">
        <v>2</v>
      </c>
      <c r="B7" s="50">
        <v>3</v>
      </c>
      <c r="C7" s="27">
        <f>IF(B$2=0,0,B7/B$2)</f>
        <v>0.6</v>
      </c>
      <c r="E7" s="68" t="s">
        <v>76</v>
      </c>
      <c r="F7" s="64" t="s">
        <v>29</v>
      </c>
      <c r="G7" s="50">
        <v>4</v>
      </c>
      <c r="H7" s="27">
        <f>IF(B$25=0,0,G7/B$25)</f>
        <v>0.22222222222222221</v>
      </c>
      <c r="J7" s="26">
        <v>5</v>
      </c>
      <c r="K7" s="28">
        <v>87</v>
      </c>
      <c r="M7" s="31" t="s">
        <v>186</v>
      </c>
      <c r="N7" s="46">
        <f t="shared" si="0"/>
        <v>2500</v>
      </c>
      <c r="O7" s="43">
        <v>10000</v>
      </c>
      <c r="P7" s="38">
        <v>4</v>
      </c>
    </row>
    <row r="8" spans="1:16" x14ac:dyDescent="0.4">
      <c r="A8" s="58" t="s">
        <v>3</v>
      </c>
      <c r="B8" s="50">
        <v>1</v>
      </c>
      <c r="C8" s="27">
        <f t="shared" ref="C8:C9" si="1">IF(B$2=0,0,B8/B$2)</f>
        <v>0.2</v>
      </c>
      <c r="E8" s="68" t="s">
        <v>74</v>
      </c>
      <c r="F8" s="64" t="s">
        <v>12</v>
      </c>
      <c r="G8" s="50">
        <v>3</v>
      </c>
      <c r="H8" s="27">
        <f>IF(B$25=0,0,G8/B$25)</f>
        <v>0.16666666666666666</v>
      </c>
    </row>
    <row r="9" spans="1:16" x14ac:dyDescent="0.4">
      <c r="A9" s="59" t="s">
        <v>4</v>
      </c>
      <c r="B9" s="51">
        <v>1</v>
      </c>
      <c r="C9" s="29">
        <f t="shared" si="1"/>
        <v>0.2</v>
      </c>
      <c r="E9" s="68" t="s">
        <v>75</v>
      </c>
      <c r="F9" s="64" t="s">
        <v>28</v>
      </c>
      <c r="G9" s="50">
        <v>3</v>
      </c>
      <c r="H9" s="27">
        <f>IF(B$25=0,0,G9/B$25)</f>
        <v>0.16666666666666666</v>
      </c>
    </row>
    <row r="10" spans="1:16" x14ac:dyDescent="0.4">
      <c r="A10" s="59" t="s">
        <v>21</v>
      </c>
      <c r="B10" s="51">
        <v>0</v>
      </c>
      <c r="C10" s="29">
        <f>IF(B$2=0,0,B10/B$2)</f>
        <v>0</v>
      </c>
      <c r="E10" s="68" t="s">
        <v>93</v>
      </c>
      <c r="F10" s="64" t="s">
        <v>46</v>
      </c>
      <c r="G10" s="50">
        <v>3</v>
      </c>
      <c r="H10" s="27">
        <f>IF(B$25=0,0,G10/B$25)</f>
        <v>0.16666666666666666</v>
      </c>
    </row>
    <row r="11" spans="1:16" x14ac:dyDescent="0.4">
      <c r="A11" s="60" t="s">
        <v>191</v>
      </c>
      <c r="B11" s="52">
        <v>1</v>
      </c>
      <c r="C11" s="32">
        <f>IF(B$2=0,0,B11/B$2)</f>
        <v>0.2</v>
      </c>
      <c r="E11" s="68" t="s">
        <v>96</v>
      </c>
      <c r="F11" s="64" t="s">
        <v>49</v>
      </c>
      <c r="G11" s="50">
        <v>3</v>
      </c>
      <c r="H11" s="27">
        <f>IF(B$25=0,0,G11/B$25)</f>
        <v>0.16666666666666666</v>
      </c>
    </row>
    <row r="12" spans="1:16" x14ac:dyDescent="0.4">
      <c r="A12" s="61" t="s">
        <v>130</v>
      </c>
      <c r="B12" s="53">
        <v>20</v>
      </c>
      <c r="C12" s="35">
        <f>IF(B$24=0,0,B12/B$24)</f>
        <v>0.43478260869565216</v>
      </c>
      <c r="E12" s="68" t="s">
        <v>70</v>
      </c>
      <c r="F12" s="64" t="s">
        <v>24</v>
      </c>
      <c r="G12" s="50">
        <v>2</v>
      </c>
      <c r="H12" s="27">
        <f>IF(B$25=0,0,G12/B$25)</f>
        <v>0.1111111111111111</v>
      </c>
    </row>
    <row r="13" spans="1:16" x14ac:dyDescent="0.4">
      <c r="A13" s="58" t="s">
        <v>125</v>
      </c>
      <c r="B13" s="50">
        <v>6</v>
      </c>
      <c r="C13" s="27">
        <f>IF(B$24=0,0,B13/B$24)</f>
        <v>0.13043478260869565</v>
      </c>
      <c r="E13" s="68" t="s">
        <v>77</v>
      </c>
      <c r="F13" s="64" t="s">
        <v>30</v>
      </c>
      <c r="G13" s="50">
        <v>1</v>
      </c>
      <c r="H13" s="27">
        <f>IF(B$25=0,0,G13/B$25)</f>
        <v>5.5555555555555552E-2</v>
      </c>
    </row>
    <row r="14" spans="1:16" x14ac:dyDescent="0.4">
      <c r="A14" s="57" t="s">
        <v>132</v>
      </c>
      <c r="B14" s="49">
        <v>12</v>
      </c>
      <c r="C14" s="24">
        <f>IF(B$12=0,0,B14/B$12)</f>
        <v>0.6</v>
      </c>
      <c r="E14" s="68" t="s">
        <v>98</v>
      </c>
      <c r="F14" s="64" t="s">
        <v>51</v>
      </c>
      <c r="G14" s="50">
        <v>1</v>
      </c>
      <c r="H14" s="27">
        <f>IF(B$25=0,0,G14/B$25)</f>
        <v>5.5555555555555552E-2</v>
      </c>
    </row>
    <row r="15" spans="1:16" x14ac:dyDescent="0.4">
      <c r="A15" s="57" t="s">
        <v>133</v>
      </c>
      <c r="B15" s="49">
        <v>3</v>
      </c>
      <c r="C15" s="24">
        <f>IF(B$13=0,0,B15/B$13)</f>
        <v>0.5</v>
      </c>
      <c r="E15" s="68" t="s">
        <v>79</v>
      </c>
      <c r="F15" s="64" t="s">
        <v>32</v>
      </c>
      <c r="G15" s="50">
        <v>0</v>
      </c>
      <c r="H15" s="27">
        <f>IF(B$25=0,0,G15/B$25)</f>
        <v>0</v>
      </c>
    </row>
    <row r="16" spans="1:16" x14ac:dyDescent="0.4">
      <c r="A16" s="57" t="s">
        <v>10</v>
      </c>
      <c r="B16" s="49">
        <f>B18+B17</f>
        <v>18</v>
      </c>
      <c r="C16" s="24">
        <f>IF(B$3=0,0,B16/B$3)</f>
        <v>0.39130434782608697</v>
      </c>
      <c r="E16" s="68" t="s">
        <v>80</v>
      </c>
      <c r="F16" s="64" t="s">
        <v>33</v>
      </c>
      <c r="G16" s="50">
        <v>0</v>
      </c>
      <c r="H16" s="27">
        <f>IF(B$25=0,0,G16/B$25)</f>
        <v>0</v>
      </c>
    </row>
    <row r="17" spans="1:8" x14ac:dyDescent="0.4">
      <c r="A17" s="58" t="s">
        <v>12</v>
      </c>
      <c r="B17" s="50">
        <v>5</v>
      </c>
      <c r="C17" s="27">
        <f>IF(B$16=0,0,B17/B$16)</f>
        <v>0.27777777777777779</v>
      </c>
      <c r="E17" s="68" t="s">
        <v>81</v>
      </c>
      <c r="F17" s="64" t="s">
        <v>34</v>
      </c>
      <c r="G17" s="50">
        <v>0</v>
      </c>
      <c r="H17" s="27">
        <f>IF(B$25=0,0,G17/B$25)</f>
        <v>0</v>
      </c>
    </row>
    <row r="18" spans="1:8" x14ac:dyDescent="0.4">
      <c r="A18" s="58" t="s">
        <v>11</v>
      </c>
      <c r="B18" s="50">
        <v>13</v>
      </c>
      <c r="C18" s="27">
        <f>IF(B$16=0,0,B18/B$16)</f>
        <v>0.72222222222222221</v>
      </c>
      <c r="E18" s="68" t="s">
        <v>82</v>
      </c>
      <c r="F18" s="64" t="s">
        <v>35</v>
      </c>
      <c r="G18" s="50">
        <v>0</v>
      </c>
      <c r="H18" s="27">
        <f>IF(B$25=0,0,G18/B$25)</f>
        <v>0</v>
      </c>
    </row>
    <row r="19" spans="1:8" x14ac:dyDescent="0.4">
      <c r="A19" s="58" t="s">
        <v>13</v>
      </c>
      <c r="B19" s="50">
        <v>3</v>
      </c>
      <c r="C19" s="27">
        <f>IF(B$3=0,0,B19/B$3)</f>
        <v>6.5217391304347824E-2</v>
      </c>
      <c r="E19" s="68" t="s">
        <v>83</v>
      </c>
      <c r="F19" s="64" t="s">
        <v>36</v>
      </c>
      <c r="G19" s="50">
        <v>0</v>
      </c>
      <c r="H19" s="27">
        <f>IF(B$25=0,0,G19/B$25)</f>
        <v>0</v>
      </c>
    </row>
    <row r="20" spans="1:8" x14ac:dyDescent="0.4">
      <c r="A20" s="58" t="s">
        <v>5</v>
      </c>
      <c r="B20" s="54">
        <f>IF(B$16=0,0,C20/B$16)</f>
        <v>9227.7777777777774</v>
      </c>
      <c r="C20" s="30">
        <v>166100</v>
      </c>
      <c r="E20" s="68" t="s">
        <v>84</v>
      </c>
      <c r="F20" s="64" t="s">
        <v>37</v>
      </c>
      <c r="G20" s="50">
        <v>0</v>
      </c>
      <c r="H20" s="27">
        <f>IF(B$25=0,0,G20/B$25)</f>
        <v>0</v>
      </c>
    </row>
    <row r="21" spans="1:8" x14ac:dyDescent="0.4">
      <c r="A21" s="60" t="s">
        <v>14</v>
      </c>
      <c r="B21" s="55">
        <f>IF(B$19=0,0,C21/B$19)</f>
        <v>-5366.666666666667</v>
      </c>
      <c r="C21" s="48">
        <v>-16100</v>
      </c>
      <c r="E21" s="68" t="s">
        <v>85</v>
      </c>
      <c r="F21" s="64" t="s">
        <v>38</v>
      </c>
      <c r="G21" s="50">
        <v>0</v>
      </c>
      <c r="H21" s="27">
        <f>IF(B$25=0,0,G21/B$25)</f>
        <v>0</v>
      </c>
    </row>
    <row r="22" spans="1:8" x14ac:dyDescent="0.4">
      <c r="A22" s="57" t="s">
        <v>178</v>
      </c>
      <c r="B22" s="49">
        <v>15</v>
      </c>
      <c r="C22" s="24">
        <f>IF(B$3=0,0,B22/B$3)</f>
        <v>0.32608695652173914</v>
      </c>
      <c r="E22" s="68" t="s">
        <v>86</v>
      </c>
      <c r="F22" s="64" t="s">
        <v>39</v>
      </c>
      <c r="G22" s="50">
        <v>0</v>
      </c>
      <c r="H22" s="27">
        <f>IF(B$25=0,0,G22/B$25)</f>
        <v>0</v>
      </c>
    </row>
    <row r="23" spans="1:8" x14ac:dyDescent="0.4">
      <c r="A23" s="60" t="s">
        <v>179</v>
      </c>
      <c r="B23" s="52">
        <v>7</v>
      </c>
      <c r="C23" s="32">
        <f>IF(B$22=0,0,B23/B$22)</f>
        <v>0.46666666666666667</v>
      </c>
      <c r="E23" s="68" t="s">
        <v>87</v>
      </c>
      <c r="F23" s="64" t="s">
        <v>40</v>
      </c>
      <c r="G23" s="50">
        <v>0</v>
      </c>
      <c r="H23" s="27">
        <f>IF(B$25=0,0,G23/B$25)</f>
        <v>0</v>
      </c>
    </row>
    <row r="24" spans="1:8" x14ac:dyDescent="0.4">
      <c r="A24" s="57" t="s">
        <v>128</v>
      </c>
      <c r="B24" s="83">
        <v>46</v>
      </c>
      <c r="C24" s="84"/>
      <c r="E24" s="68" t="s">
        <v>88</v>
      </c>
      <c r="F24" s="64" t="s">
        <v>41</v>
      </c>
      <c r="G24" s="50">
        <v>0</v>
      </c>
      <c r="H24" s="27">
        <f>IF(B$25=0,0,G24/B$25)</f>
        <v>0</v>
      </c>
    </row>
    <row r="25" spans="1:8" x14ac:dyDescent="0.4">
      <c r="A25" s="60" t="s">
        <v>129</v>
      </c>
      <c r="B25" s="85">
        <v>18</v>
      </c>
      <c r="C25" s="86"/>
      <c r="E25" s="68" t="s">
        <v>89</v>
      </c>
      <c r="F25" s="64" t="s">
        <v>42</v>
      </c>
      <c r="G25" s="50">
        <v>0</v>
      </c>
      <c r="H25" s="27">
        <f>IF(B$25=0,0,G25/B$25)</f>
        <v>0</v>
      </c>
    </row>
    <row r="26" spans="1:8" x14ac:dyDescent="0.4">
      <c r="A26" s="75" t="s">
        <v>196</v>
      </c>
      <c r="B26" s="87">
        <v>5</v>
      </c>
      <c r="C26" s="88"/>
      <c r="E26" s="68" t="s">
        <v>90</v>
      </c>
      <c r="F26" s="64" t="s">
        <v>43</v>
      </c>
      <c r="G26" s="50">
        <v>0</v>
      </c>
      <c r="H26" s="27">
        <f>IF(B$25=0,0,G26/B$25)</f>
        <v>0</v>
      </c>
    </row>
    <row r="27" spans="1:8" x14ac:dyDescent="0.4">
      <c r="A27" s="60" t="s">
        <v>198</v>
      </c>
      <c r="B27" s="76">
        <v>0</v>
      </c>
      <c r="C27" s="32">
        <f>IF(B$3=0,0,B27/B$3)</f>
        <v>0</v>
      </c>
      <c r="E27" s="68" t="s">
        <v>91</v>
      </c>
      <c r="F27" s="64" t="s">
        <v>44</v>
      </c>
      <c r="G27" s="50">
        <v>0</v>
      </c>
      <c r="H27" s="27">
        <f>IF(B$25=0,0,G27/B$25)</f>
        <v>0</v>
      </c>
    </row>
    <row r="28" spans="1:8" x14ac:dyDescent="0.4">
      <c r="E28" s="68" t="s">
        <v>92</v>
      </c>
      <c r="F28" s="64" t="s">
        <v>45</v>
      </c>
      <c r="G28" s="50">
        <v>0</v>
      </c>
      <c r="H28" s="27">
        <f>IF(B$25=0,0,G28/B$25)</f>
        <v>0</v>
      </c>
    </row>
    <row r="29" spans="1:8" x14ac:dyDescent="0.4">
      <c r="E29" s="68" t="s">
        <v>94</v>
      </c>
      <c r="F29" s="64" t="s">
        <v>47</v>
      </c>
      <c r="G29" s="50">
        <v>0</v>
      </c>
      <c r="H29" s="27">
        <f>IF(B$25=0,0,G29/B$25)</f>
        <v>0</v>
      </c>
    </row>
    <row r="30" spans="1:8" x14ac:dyDescent="0.4">
      <c r="E30" s="68" t="s">
        <v>95</v>
      </c>
      <c r="F30" s="64" t="s">
        <v>48</v>
      </c>
      <c r="G30" s="50">
        <v>0</v>
      </c>
      <c r="H30" s="27">
        <f>IF(B$25=0,0,G30/B$25)</f>
        <v>0</v>
      </c>
    </row>
    <row r="31" spans="1:8" x14ac:dyDescent="0.4">
      <c r="E31" s="68" t="s">
        <v>97</v>
      </c>
      <c r="F31" s="64" t="s">
        <v>50</v>
      </c>
      <c r="G31" s="50">
        <v>0</v>
      </c>
      <c r="H31" s="27">
        <f>IF(B$25=0,0,G31/B$25)</f>
        <v>0</v>
      </c>
    </row>
    <row r="32" spans="1:8" x14ac:dyDescent="0.4">
      <c r="E32" s="68" t="s">
        <v>99</v>
      </c>
      <c r="F32" s="64" t="s">
        <v>52</v>
      </c>
      <c r="G32" s="50">
        <v>0</v>
      </c>
      <c r="H32" s="27">
        <f>IF(B$25=0,0,G32/B$25)</f>
        <v>0</v>
      </c>
    </row>
    <row r="33" spans="5:8" x14ac:dyDescent="0.4">
      <c r="E33" s="68" t="s">
        <v>100</v>
      </c>
      <c r="F33" s="64" t="s">
        <v>53</v>
      </c>
      <c r="G33" s="50">
        <v>0</v>
      </c>
      <c r="H33" s="27">
        <f>IF(B$25=0,0,G33/B$25)</f>
        <v>0</v>
      </c>
    </row>
    <row r="34" spans="5:8" x14ac:dyDescent="0.4">
      <c r="E34" s="68" t="s">
        <v>101</v>
      </c>
      <c r="F34" s="64" t="s">
        <v>54</v>
      </c>
      <c r="G34" s="50">
        <v>0</v>
      </c>
      <c r="H34" s="27">
        <f>IF(B$25=0,0,G34/B$25)</f>
        <v>0</v>
      </c>
    </row>
    <row r="35" spans="5:8" x14ac:dyDescent="0.4">
      <c r="E35" s="68" t="s">
        <v>102</v>
      </c>
      <c r="F35" s="64" t="s">
        <v>55</v>
      </c>
      <c r="G35" s="50">
        <v>0</v>
      </c>
      <c r="H35" s="27">
        <f>IF(B$25=0,0,G35/B$25)</f>
        <v>0</v>
      </c>
    </row>
    <row r="36" spans="5:8" x14ac:dyDescent="0.4">
      <c r="E36" s="68" t="s">
        <v>103</v>
      </c>
      <c r="F36" s="64" t="s">
        <v>56</v>
      </c>
      <c r="G36" s="50">
        <v>0</v>
      </c>
      <c r="H36" s="27">
        <f>IF(B$25=0,0,G36/B$25)</f>
        <v>0</v>
      </c>
    </row>
    <row r="37" spans="5:8" x14ac:dyDescent="0.4">
      <c r="E37" s="68" t="s">
        <v>104</v>
      </c>
      <c r="F37" s="64" t="s">
        <v>57</v>
      </c>
      <c r="G37" s="50">
        <v>0</v>
      </c>
      <c r="H37" s="27">
        <f>IF(B$25=0,0,G37/B$25)</f>
        <v>0</v>
      </c>
    </row>
    <row r="38" spans="5:8" x14ac:dyDescent="0.4">
      <c r="E38" s="68" t="s">
        <v>105</v>
      </c>
      <c r="F38" s="64" t="s">
        <v>58</v>
      </c>
      <c r="G38" s="50">
        <v>0</v>
      </c>
      <c r="H38" s="27">
        <f>IF(B$25=0,0,G38/B$25)</f>
        <v>0</v>
      </c>
    </row>
    <row r="39" spans="5:8" x14ac:dyDescent="0.4">
      <c r="E39" s="68" t="s">
        <v>106</v>
      </c>
      <c r="F39" s="64" t="s">
        <v>59</v>
      </c>
      <c r="G39" s="50">
        <v>0</v>
      </c>
      <c r="H39" s="27">
        <f>IF(B$25=0,0,G39/B$25)</f>
        <v>0</v>
      </c>
    </row>
    <row r="40" spans="5:8" x14ac:dyDescent="0.4">
      <c r="E40" s="68" t="s">
        <v>107</v>
      </c>
      <c r="F40" s="64" t="s">
        <v>60</v>
      </c>
      <c r="G40" s="50">
        <v>0</v>
      </c>
      <c r="H40" s="27">
        <f>IF(B$25=0,0,G40/B$25)</f>
        <v>0</v>
      </c>
    </row>
    <row r="41" spans="5:8" x14ac:dyDescent="0.4">
      <c r="E41" s="68" t="s">
        <v>108</v>
      </c>
      <c r="F41" s="64" t="s">
        <v>61</v>
      </c>
      <c r="G41" s="50">
        <v>0</v>
      </c>
      <c r="H41" s="27">
        <f>IF(B$25=0,0,G41/B$25)</f>
        <v>0</v>
      </c>
    </row>
    <row r="42" spans="5:8" x14ac:dyDescent="0.4">
      <c r="E42" s="68" t="s">
        <v>109</v>
      </c>
      <c r="F42" s="64" t="s">
        <v>62</v>
      </c>
      <c r="G42" s="50">
        <v>0</v>
      </c>
      <c r="H42" s="27">
        <f>IF(B$25=0,0,G42/B$25)</f>
        <v>0</v>
      </c>
    </row>
    <row r="43" spans="5:8" x14ac:dyDescent="0.4">
      <c r="E43" s="68" t="s">
        <v>110</v>
      </c>
      <c r="F43" s="64" t="s">
        <v>63</v>
      </c>
      <c r="G43" s="50">
        <v>0</v>
      </c>
      <c r="H43" s="27">
        <f>IF(B$25=0,0,G43/B$25)</f>
        <v>0</v>
      </c>
    </row>
    <row r="44" spans="5:8" x14ac:dyDescent="0.4">
      <c r="E44" s="68" t="s">
        <v>111</v>
      </c>
      <c r="F44" s="64" t="s">
        <v>64</v>
      </c>
      <c r="G44" s="50">
        <v>0</v>
      </c>
      <c r="H44" s="27">
        <f>IF(B$25=0,0,G44/B$25)</f>
        <v>0</v>
      </c>
    </row>
    <row r="45" spans="5:8" x14ac:dyDescent="0.4">
      <c r="E45" s="68" t="s">
        <v>112</v>
      </c>
      <c r="F45" s="64" t="s">
        <v>119</v>
      </c>
      <c r="G45" s="50">
        <v>0</v>
      </c>
      <c r="H45" s="27">
        <f>IF(B$25=0,0,G45/B$25)</f>
        <v>0</v>
      </c>
    </row>
    <row r="46" spans="5:8" x14ac:dyDescent="0.4">
      <c r="E46" s="68" t="s">
        <v>113</v>
      </c>
      <c r="F46" s="64" t="s">
        <v>120</v>
      </c>
      <c r="G46" s="50">
        <v>0</v>
      </c>
      <c r="H46" s="27">
        <f>IF(B$25=0,0,G46/B$25)</f>
        <v>0</v>
      </c>
    </row>
    <row r="47" spans="5:8" x14ac:dyDescent="0.4">
      <c r="E47" s="68" t="s">
        <v>114</v>
      </c>
      <c r="F47" s="64" t="s">
        <v>121</v>
      </c>
      <c r="G47" s="50">
        <v>0</v>
      </c>
      <c r="H47" s="27">
        <f>IF(B$25=0,0,G47/B$25)</f>
        <v>0</v>
      </c>
    </row>
    <row r="48" spans="5:8" x14ac:dyDescent="0.4">
      <c r="E48" s="68" t="s">
        <v>115</v>
      </c>
      <c r="F48" s="64" t="s">
        <v>65</v>
      </c>
      <c r="G48" s="50">
        <v>0</v>
      </c>
      <c r="H48" s="27">
        <f>IF(B$25=0,0,G48/B$25)</f>
        <v>0</v>
      </c>
    </row>
    <row r="49" spans="5:8" x14ac:dyDescent="0.4">
      <c r="E49" s="68" t="s">
        <v>116</v>
      </c>
      <c r="F49" s="64" t="s">
        <v>66</v>
      </c>
      <c r="G49" s="50">
        <v>0</v>
      </c>
      <c r="H49" s="27">
        <f>IF(B$25=0,0,G49/B$25)</f>
        <v>0</v>
      </c>
    </row>
    <row r="50" spans="5:8" x14ac:dyDescent="0.4">
      <c r="E50" s="68" t="s">
        <v>117</v>
      </c>
      <c r="F50" s="64" t="s">
        <v>67</v>
      </c>
      <c r="G50" s="50">
        <v>0</v>
      </c>
      <c r="H50" s="27">
        <f>IF(B$25=0,0,G50/B$25)</f>
        <v>0</v>
      </c>
    </row>
    <row r="51" spans="5:8" x14ac:dyDescent="0.4">
      <c r="E51" s="69" t="s">
        <v>118</v>
      </c>
      <c r="F51" s="65" t="s">
        <v>68</v>
      </c>
      <c r="G51" s="52">
        <v>0</v>
      </c>
      <c r="H51" s="32">
        <f>IF(B$25=0,0,G51/B$25)</f>
        <v>0</v>
      </c>
    </row>
  </sheetData>
  <sortState ref="E2:H51">
    <sortCondition descending="1" ref="H1"/>
  </sortState>
  <mergeCells count="9">
    <mergeCell ref="B24:C24"/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C15BF5-AF0E-4D13-A2B7-E8C803277213}">
  <sheetPr codeName="Sheet16"/>
  <dimension ref="A1:P51"/>
  <sheetViews>
    <sheetView showGridLines="0" zoomScale="120" zoomScaleNormal="120" workbookViewId="0"/>
  </sheetViews>
  <sheetFormatPr defaultColWidth="9"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56" t="s">
        <v>0</v>
      </c>
      <c r="B1" s="89" t="s">
        <v>195</v>
      </c>
      <c r="C1" s="90"/>
      <c r="E1" s="66" t="s">
        <v>193</v>
      </c>
      <c r="F1" s="80" t="s">
        <v>122</v>
      </c>
      <c r="G1" s="79" t="s">
        <v>123</v>
      </c>
      <c r="H1" s="80" t="s">
        <v>124</v>
      </c>
      <c r="J1" s="21" t="s">
        <v>22</v>
      </c>
      <c r="K1" s="22" t="s">
        <v>127</v>
      </c>
      <c r="M1" s="21" t="s">
        <v>187</v>
      </c>
      <c r="N1" s="80" t="s">
        <v>189</v>
      </c>
      <c r="O1" s="40" t="s">
        <v>190</v>
      </c>
      <c r="P1" s="36" t="s">
        <v>123</v>
      </c>
    </row>
    <row r="2" spans="1:16" x14ac:dyDescent="0.4">
      <c r="A2" s="57" t="s">
        <v>9</v>
      </c>
      <c r="B2" s="83">
        <v>19</v>
      </c>
      <c r="C2" s="84"/>
      <c r="E2" s="67" t="s">
        <v>73</v>
      </c>
      <c r="F2" s="63" t="s">
        <v>27</v>
      </c>
      <c r="G2" s="49">
        <v>43</v>
      </c>
      <c r="H2" s="24">
        <f>IF(B$25=0,0,G2/B$25)</f>
        <v>1.075</v>
      </c>
      <c r="J2" s="23">
        <v>0</v>
      </c>
      <c r="K2" s="25">
        <v>0</v>
      </c>
      <c r="M2" s="23" t="s">
        <v>181</v>
      </c>
      <c r="N2" s="44">
        <f t="shared" ref="N2:N7" si="0">IF(P2=0,0,O2/P2)</f>
        <v>-4400</v>
      </c>
      <c r="O2" s="41">
        <v>-83600</v>
      </c>
      <c r="P2" s="39">
        <v>19</v>
      </c>
    </row>
    <row r="3" spans="1:16" x14ac:dyDescent="0.4">
      <c r="A3" s="58" t="s">
        <v>8</v>
      </c>
      <c r="B3" s="91">
        <v>151</v>
      </c>
      <c r="C3" s="92"/>
      <c r="E3" s="68" t="s">
        <v>71</v>
      </c>
      <c r="F3" s="64" t="s">
        <v>25</v>
      </c>
      <c r="G3" s="50">
        <v>29</v>
      </c>
      <c r="H3" s="27">
        <f>IF(B$25=0,0,G3/B$25)</f>
        <v>0.72499999999999998</v>
      </c>
      <c r="J3" s="26">
        <v>1</v>
      </c>
      <c r="K3" s="28">
        <v>15</v>
      </c>
      <c r="M3" s="26" t="s">
        <v>182</v>
      </c>
      <c r="N3" s="45">
        <f t="shared" si="0"/>
        <v>3484.2105263157896</v>
      </c>
      <c r="O3" s="42">
        <v>66200</v>
      </c>
      <c r="P3" s="37">
        <v>19</v>
      </c>
    </row>
    <row r="4" spans="1:16" x14ac:dyDescent="0.4">
      <c r="A4" s="58" t="s">
        <v>6</v>
      </c>
      <c r="B4" s="93">
        <v>-57</v>
      </c>
      <c r="C4" s="94"/>
      <c r="E4" s="68" t="s">
        <v>78</v>
      </c>
      <c r="F4" s="64" t="s">
        <v>31</v>
      </c>
      <c r="G4" s="50">
        <v>29</v>
      </c>
      <c r="H4" s="27">
        <f>IF(B$25=0,0,G4/B$25)</f>
        <v>0.72499999999999998</v>
      </c>
      <c r="J4" s="26">
        <v>2</v>
      </c>
      <c r="K4" s="28">
        <v>-23.299999999999997</v>
      </c>
      <c r="M4" s="26" t="s">
        <v>183</v>
      </c>
      <c r="N4" s="45">
        <f t="shared" si="0"/>
        <v>125</v>
      </c>
      <c r="O4" s="42">
        <v>2000</v>
      </c>
      <c r="P4" s="37">
        <v>16</v>
      </c>
    </row>
    <row r="5" spans="1:16" x14ac:dyDescent="0.4">
      <c r="A5" s="58" t="s">
        <v>7</v>
      </c>
      <c r="B5" s="93">
        <f>IF(B$2=0,0,B$4/B$2)</f>
        <v>-3</v>
      </c>
      <c r="C5" s="94"/>
      <c r="E5" s="68" t="s">
        <v>69</v>
      </c>
      <c r="F5" s="64" t="s">
        <v>23</v>
      </c>
      <c r="G5" s="50">
        <v>13</v>
      </c>
      <c r="H5" s="27">
        <f>IF(B$25=0,0,G5/B$25)</f>
        <v>0.32500000000000001</v>
      </c>
      <c r="J5" s="26">
        <v>3</v>
      </c>
      <c r="K5" s="28">
        <v>-14.599999999999998</v>
      </c>
      <c r="M5" s="26" t="s">
        <v>184</v>
      </c>
      <c r="N5" s="45">
        <f t="shared" si="0"/>
        <v>300</v>
      </c>
      <c r="O5" s="42">
        <v>4500</v>
      </c>
      <c r="P5" s="37">
        <v>15</v>
      </c>
    </row>
    <row r="6" spans="1:16" x14ac:dyDescent="0.4">
      <c r="A6" s="58" t="s">
        <v>1</v>
      </c>
      <c r="B6" s="95">
        <f>IF(B$2=0,0,(B$7*1+B$8*2+B$9*3)/B$2)</f>
        <v>2.1578947368421053</v>
      </c>
      <c r="C6" s="96"/>
      <c r="E6" s="68" t="s">
        <v>96</v>
      </c>
      <c r="F6" s="64" t="s">
        <v>49</v>
      </c>
      <c r="G6" s="50">
        <v>8</v>
      </c>
      <c r="H6" s="27">
        <f>IF(B$25=0,0,G6/B$25)</f>
        <v>0.2</v>
      </c>
      <c r="J6" s="26">
        <v>4</v>
      </c>
      <c r="K6" s="28">
        <v>6.1000000000000014</v>
      </c>
      <c r="M6" s="26" t="s">
        <v>185</v>
      </c>
      <c r="N6" s="45">
        <f t="shared" si="0"/>
        <v>-1935.7142857142858</v>
      </c>
      <c r="O6" s="42">
        <v>-27100</v>
      </c>
      <c r="P6" s="37">
        <v>14</v>
      </c>
    </row>
    <row r="7" spans="1:16" x14ac:dyDescent="0.4">
      <c r="A7" s="58" t="s">
        <v>2</v>
      </c>
      <c r="B7" s="50">
        <v>5</v>
      </c>
      <c r="C7" s="27">
        <f>IF(B$2=0,0,B7/B$2)</f>
        <v>0.26315789473684209</v>
      </c>
      <c r="E7" s="68" t="s">
        <v>74</v>
      </c>
      <c r="F7" s="64" t="s">
        <v>12</v>
      </c>
      <c r="G7" s="50">
        <v>7</v>
      </c>
      <c r="H7" s="27">
        <f>IF(B$25=0,0,G7/B$25)</f>
        <v>0.17499999999999999</v>
      </c>
      <c r="J7" s="26">
        <v>5</v>
      </c>
      <c r="K7" s="28">
        <v>10.600000000000001</v>
      </c>
      <c r="M7" s="31" t="s">
        <v>186</v>
      </c>
      <c r="N7" s="46">
        <f t="shared" si="0"/>
        <v>-2000</v>
      </c>
      <c r="O7" s="43">
        <v>-22000</v>
      </c>
      <c r="P7" s="38">
        <v>11</v>
      </c>
    </row>
    <row r="8" spans="1:16" x14ac:dyDescent="0.4">
      <c r="A8" s="58" t="s">
        <v>3</v>
      </c>
      <c r="B8" s="50">
        <v>6</v>
      </c>
      <c r="C8" s="27">
        <f t="shared" ref="C8:C9" si="1">IF(B$2=0,0,B8/B$2)</f>
        <v>0.31578947368421051</v>
      </c>
      <c r="E8" s="68" t="s">
        <v>90</v>
      </c>
      <c r="F8" s="64" t="s">
        <v>43</v>
      </c>
      <c r="G8" s="50">
        <v>7</v>
      </c>
      <c r="H8" s="27">
        <f>IF(B$25=0,0,G8/B$25)</f>
        <v>0.17499999999999999</v>
      </c>
      <c r="J8" s="26">
        <v>6</v>
      </c>
      <c r="K8" s="28">
        <v>4.2000000000000011</v>
      </c>
    </row>
    <row r="9" spans="1:16" x14ac:dyDescent="0.4">
      <c r="A9" s="59" t="s">
        <v>4</v>
      </c>
      <c r="B9" s="51">
        <v>8</v>
      </c>
      <c r="C9" s="29">
        <f t="shared" si="1"/>
        <v>0.42105263157894735</v>
      </c>
      <c r="E9" s="68" t="s">
        <v>70</v>
      </c>
      <c r="F9" s="64" t="s">
        <v>24</v>
      </c>
      <c r="G9" s="50">
        <v>5</v>
      </c>
      <c r="H9" s="27">
        <f>IF(B$25=0,0,G9/B$25)</f>
        <v>0.125</v>
      </c>
      <c r="J9" s="26">
        <v>7</v>
      </c>
      <c r="K9" s="28">
        <v>28.200000000000003</v>
      </c>
    </row>
    <row r="10" spans="1:16" x14ac:dyDescent="0.4">
      <c r="A10" s="59" t="s">
        <v>21</v>
      </c>
      <c r="B10" s="51">
        <v>3</v>
      </c>
      <c r="C10" s="29">
        <f>IF(B$2=0,0,B10/B$2)</f>
        <v>0.15789473684210525</v>
      </c>
      <c r="E10" s="68" t="s">
        <v>72</v>
      </c>
      <c r="F10" s="64" t="s">
        <v>26</v>
      </c>
      <c r="G10" s="50">
        <v>5</v>
      </c>
      <c r="H10" s="27">
        <f>IF(B$25=0,0,G10/B$25)</f>
        <v>0.125</v>
      </c>
      <c r="J10" s="26">
        <v>8</v>
      </c>
      <c r="K10" s="28">
        <v>-2.4999999999999964</v>
      </c>
    </row>
    <row r="11" spans="1:16" x14ac:dyDescent="0.4">
      <c r="A11" s="60" t="s">
        <v>191</v>
      </c>
      <c r="B11" s="52">
        <v>2</v>
      </c>
      <c r="C11" s="32">
        <f>IF(B$2=0,0,B11/B$2)</f>
        <v>0.10526315789473684</v>
      </c>
      <c r="E11" s="68" t="s">
        <v>76</v>
      </c>
      <c r="F11" s="64" t="s">
        <v>29</v>
      </c>
      <c r="G11" s="50">
        <v>5</v>
      </c>
      <c r="H11" s="27">
        <f>IF(B$25=0,0,G11/B$25)</f>
        <v>0.125</v>
      </c>
      <c r="J11" s="26">
        <v>9</v>
      </c>
      <c r="K11" s="28">
        <v>-7.3999999999999968</v>
      </c>
    </row>
    <row r="12" spans="1:16" x14ac:dyDescent="0.4">
      <c r="A12" s="61" t="s">
        <v>130</v>
      </c>
      <c r="B12" s="53">
        <v>27</v>
      </c>
      <c r="C12" s="35">
        <f>IF(B$24=0,0,B12/B$24)</f>
        <v>0.17880794701986755</v>
      </c>
      <c r="E12" s="68" t="s">
        <v>93</v>
      </c>
      <c r="F12" s="64" t="s">
        <v>46</v>
      </c>
      <c r="G12" s="50">
        <v>4</v>
      </c>
      <c r="H12" s="27">
        <f>IF(B$25=0,0,G12/B$25)</f>
        <v>0.1</v>
      </c>
      <c r="J12" s="26">
        <v>10</v>
      </c>
      <c r="K12" s="28">
        <v>-21.299999999999997</v>
      </c>
    </row>
    <row r="13" spans="1:16" x14ac:dyDescent="0.4">
      <c r="A13" s="58" t="s">
        <v>125</v>
      </c>
      <c r="B13" s="50">
        <v>58</v>
      </c>
      <c r="C13" s="27">
        <f>IF(B$24=0,0,B13/B$24)</f>
        <v>0.38410596026490068</v>
      </c>
      <c r="E13" s="68" t="s">
        <v>75</v>
      </c>
      <c r="F13" s="64" t="s">
        <v>28</v>
      </c>
      <c r="G13" s="50">
        <v>2</v>
      </c>
      <c r="H13" s="27">
        <f>IF(B$25=0,0,G13/B$25)</f>
        <v>0.05</v>
      </c>
      <c r="J13" s="26">
        <v>11</v>
      </c>
      <c r="K13" s="28">
        <v>-66</v>
      </c>
    </row>
    <row r="14" spans="1:16" x14ac:dyDescent="0.4">
      <c r="A14" s="57" t="s">
        <v>132</v>
      </c>
      <c r="B14" s="49">
        <v>14</v>
      </c>
      <c r="C14" s="24">
        <f>IF(B$12=0,0,B14/B$12)</f>
        <v>0.51851851851851849</v>
      </c>
      <c r="E14" s="68" t="s">
        <v>77</v>
      </c>
      <c r="F14" s="64" t="s">
        <v>30</v>
      </c>
      <c r="G14" s="50">
        <v>2</v>
      </c>
      <c r="H14" s="27">
        <f>IF(B$25=0,0,G14/B$25)</f>
        <v>0.05</v>
      </c>
      <c r="J14" s="26">
        <v>12</v>
      </c>
      <c r="K14" s="28">
        <v>-40.799999999999997</v>
      </c>
    </row>
    <row r="15" spans="1:16" x14ac:dyDescent="0.4">
      <c r="A15" s="57" t="s">
        <v>133</v>
      </c>
      <c r="B15" s="49">
        <v>21</v>
      </c>
      <c r="C15" s="24">
        <f>IF(B$13=0,0,B15/B$13)</f>
        <v>0.36206896551724138</v>
      </c>
      <c r="E15" s="68" t="s">
        <v>85</v>
      </c>
      <c r="F15" s="64" t="s">
        <v>38</v>
      </c>
      <c r="G15" s="50">
        <v>2</v>
      </c>
      <c r="H15" s="27">
        <f>IF(B$25=0,0,G15/B$25)</f>
        <v>0.05</v>
      </c>
      <c r="J15" s="26">
        <v>13</v>
      </c>
      <c r="K15" s="28">
        <v>-9.0999999999999943</v>
      </c>
    </row>
    <row r="16" spans="1:16" x14ac:dyDescent="0.4">
      <c r="A16" s="57" t="s">
        <v>10</v>
      </c>
      <c r="B16" s="49">
        <f>B18+B17</f>
        <v>40</v>
      </c>
      <c r="C16" s="24">
        <f>IF(B$3=0,0,B16/B$3)</f>
        <v>0.26490066225165565</v>
      </c>
      <c r="E16" s="68" t="s">
        <v>88</v>
      </c>
      <c r="F16" s="64" t="s">
        <v>41</v>
      </c>
      <c r="G16" s="50">
        <v>2</v>
      </c>
      <c r="H16" s="27">
        <f>IF(B$25=0,0,G16/B$25)</f>
        <v>0.05</v>
      </c>
      <c r="J16" s="26">
        <v>14</v>
      </c>
      <c r="K16" s="28">
        <v>-4.7999999999999945</v>
      </c>
    </row>
    <row r="17" spans="1:11" x14ac:dyDescent="0.4">
      <c r="A17" s="58" t="s">
        <v>12</v>
      </c>
      <c r="B17" s="50">
        <v>11</v>
      </c>
      <c r="C17" s="27">
        <f>IF(B$16=0,0,B17/B$16)</f>
        <v>0.27500000000000002</v>
      </c>
      <c r="E17" s="68" t="s">
        <v>83</v>
      </c>
      <c r="F17" s="64" t="s">
        <v>36</v>
      </c>
      <c r="G17" s="50">
        <v>1</v>
      </c>
      <c r="H17" s="27">
        <f>IF(B$25=0,0,G17/B$25)</f>
        <v>2.5000000000000001E-2</v>
      </c>
      <c r="J17" s="26">
        <v>15</v>
      </c>
      <c r="K17" s="28">
        <v>-42.199999999999996</v>
      </c>
    </row>
    <row r="18" spans="1:11" x14ac:dyDescent="0.4">
      <c r="A18" s="58" t="s">
        <v>11</v>
      </c>
      <c r="B18" s="50">
        <v>29</v>
      </c>
      <c r="C18" s="27">
        <f>IF(B$16=0,0,B18/B$16)</f>
        <v>0.72499999999999998</v>
      </c>
      <c r="E18" s="68" t="s">
        <v>84</v>
      </c>
      <c r="F18" s="64" t="s">
        <v>37</v>
      </c>
      <c r="G18" s="50">
        <v>1</v>
      </c>
      <c r="H18" s="27">
        <f>IF(B$25=0,0,G18/B$25)</f>
        <v>2.5000000000000001E-2</v>
      </c>
      <c r="J18" s="26">
        <v>16</v>
      </c>
      <c r="K18" s="28">
        <v>-24.599999999999994</v>
      </c>
    </row>
    <row r="19" spans="1:11" x14ac:dyDescent="0.4">
      <c r="A19" s="58" t="s">
        <v>13</v>
      </c>
      <c r="B19" s="50">
        <v>26</v>
      </c>
      <c r="C19" s="27">
        <f>IF(B$3=0,0,B19/B$3)</f>
        <v>0.17218543046357615</v>
      </c>
      <c r="E19" s="68" t="s">
        <v>92</v>
      </c>
      <c r="F19" s="64" t="s">
        <v>45</v>
      </c>
      <c r="G19" s="50">
        <v>1</v>
      </c>
      <c r="H19" s="27">
        <f>IF(B$25=0,0,G19/B$25)</f>
        <v>2.5000000000000001E-2</v>
      </c>
      <c r="J19" s="26">
        <v>17</v>
      </c>
      <c r="K19" s="28">
        <v>-37.799999999999997</v>
      </c>
    </row>
    <row r="20" spans="1:11" x14ac:dyDescent="0.4">
      <c r="A20" s="58" t="s">
        <v>5</v>
      </c>
      <c r="B20" s="54">
        <f>IF(B$16=0,0,C20/B$16)</f>
        <v>9597.5</v>
      </c>
      <c r="C20" s="30">
        <v>383900</v>
      </c>
      <c r="E20" s="68" t="s">
        <v>98</v>
      </c>
      <c r="F20" s="64" t="s">
        <v>51</v>
      </c>
      <c r="G20" s="50">
        <v>1</v>
      </c>
      <c r="H20" s="27">
        <f>IF(B$25=0,0,G20/B$25)</f>
        <v>2.5000000000000001E-2</v>
      </c>
      <c r="J20" s="26">
        <v>18</v>
      </c>
      <c r="K20" s="28">
        <v>-57.4</v>
      </c>
    </row>
    <row r="21" spans="1:11" x14ac:dyDescent="0.4">
      <c r="A21" s="60" t="s">
        <v>14</v>
      </c>
      <c r="B21" s="55">
        <f>IF(B$19=0,0,C21/B$19)</f>
        <v>-8165.3846153846152</v>
      </c>
      <c r="C21" s="48">
        <v>-212300</v>
      </c>
      <c r="E21" s="68" t="s">
        <v>79</v>
      </c>
      <c r="F21" s="64" t="s">
        <v>32</v>
      </c>
      <c r="G21" s="50">
        <v>0</v>
      </c>
      <c r="H21" s="27">
        <f>IF(B$25=0,0,G21/B$25)</f>
        <v>0</v>
      </c>
      <c r="J21" s="26">
        <v>19</v>
      </c>
      <c r="K21" s="28">
        <v>-57</v>
      </c>
    </row>
    <row r="22" spans="1:11" x14ac:dyDescent="0.4">
      <c r="A22" s="57" t="s">
        <v>178</v>
      </c>
      <c r="B22" s="49">
        <v>45</v>
      </c>
      <c r="C22" s="24">
        <f>IF(B$3=0,0,B22/B$3)</f>
        <v>0.29801324503311261</v>
      </c>
      <c r="E22" s="68" t="s">
        <v>80</v>
      </c>
      <c r="F22" s="64" t="s">
        <v>33</v>
      </c>
      <c r="G22" s="50">
        <v>0</v>
      </c>
      <c r="H22" s="27">
        <f>IF(B$25=0,0,G22/B$25)</f>
        <v>0</v>
      </c>
    </row>
    <row r="23" spans="1:11" x14ac:dyDescent="0.4">
      <c r="A23" s="60" t="s">
        <v>179</v>
      </c>
      <c r="B23" s="52">
        <v>12</v>
      </c>
      <c r="C23" s="32">
        <f>IF(B$22=0,0,B23/B$22)</f>
        <v>0.26666666666666666</v>
      </c>
      <c r="E23" s="68" t="s">
        <v>81</v>
      </c>
      <c r="F23" s="64" t="s">
        <v>34</v>
      </c>
      <c r="G23" s="50">
        <v>0</v>
      </c>
      <c r="H23" s="27">
        <f>IF(B$25=0,0,G23/B$25)</f>
        <v>0</v>
      </c>
    </row>
    <row r="24" spans="1:11" x14ac:dyDescent="0.4">
      <c r="A24" s="57" t="s">
        <v>128</v>
      </c>
      <c r="B24" s="83">
        <v>151</v>
      </c>
      <c r="C24" s="84"/>
      <c r="E24" s="68" t="s">
        <v>82</v>
      </c>
      <c r="F24" s="64" t="s">
        <v>35</v>
      </c>
      <c r="G24" s="50">
        <v>0</v>
      </c>
      <c r="H24" s="27">
        <f>IF(B$25=0,0,G24/B$25)</f>
        <v>0</v>
      </c>
    </row>
    <row r="25" spans="1:11" x14ac:dyDescent="0.4">
      <c r="A25" s="60" t="s">
        <v>129</v>
      </c>
      <c r="B25" s="85">
        <v>40</v>
      </c>
      <c r="C25" s="86"/>
      <c r="E25" s="68" t="s">
        <v>86</v>
      </c>
      <c r="F25" s="64" t="s">
        <v>39</v>
      </c>
      <c r="G25" s="50">
        <v>0</v>
      </c>
      <c r="H25" s="27">
        <f>IF(B$25=0,0,G25/B$25)</f>
        <v>0</v>
      </c>
    </row>
    <row r="26" spans="1:11" x14ac:dyDescent="0.4">
      <c r="A26" s="75" t="s">
        <v>196</v>
      </c>
      <c r="B26" s="87">
        <v>5</v>
      </c>
      <c r="C26" s="88"/>
      <c r="E26" s="68" t="s">
        <v>87</v>
      </c>
      <c r="F26" s="64" t="s">
        <v>40</v>
      </c>
      <c r="G26" s="50">
        <v>0</v>
      </c>
      <c r="H26" s="27">
        <f>IF(B$25=0,0,G26/B$25)</f>
        <v>0</v>
      </c>
    </row>
    <row r="27" spans="1:11" x14ac:dyDescent="0.4">
      <c r="A27" s="60" t="s">
        <v>198</v>
      </c>
      <c r="B27" s="76">
        <v>0</v>
      </c>
      <c r="C27" s="32">
        <f>IF(B$3=0,0,B27/B$3)</f>
        <v>0</v>
      </c>
      <c r="E27" s="68" t="s">
        <v>89</v>
      </c>
      <c r="F27" s="64" t="s">
        <v>42</v>
      </c>
      <c r="G27" s="50">
        <v>0</v>
      </c>
      <c r="H27" s="27">
        <f>IF(B$25=0,0,G27/B$25)</f>
        <v>0</v>
      </c>
    </row>
    <row r="28" spans="1:11" x14ac:dyDescent="0.4">
      <c r="E28" s="68" t="s">
        <v>91</v>
      </c>
      <c r="F28" s="64" t="s">
        <v>44</v>
      </c>
      <c r="G28" s="50">
        <v>0</v>
      </c>
      <c r="H28" s="27">
        <f>IF(B$25=0,0,G28/B$25)</f>
        <v>0</v>
      </c>
    </row>
    <row r="29" spans="1:11" x14ac:dyDescent="0.4">
      <c r="E29" s="68" t="s">
        <v>94</v>
      </c>
      <c r="F29" s="64" t="s">
        <v>47</v>
      </c>
      <c r="G29" s="50">
        <v>0</v>
      </c>
      <c r="H29" s="27">
        <f>IF(B$25=0,0,G29/B$25)</f>
        <v>0</v>
      </c>
    </row>
    <row r="30" spans="1:11" x14ac:dyDescent="0.4">
      <c r="E30" s="68" t="s">
        <v>95</v>
      </c>
      <c r="F30" s="64" t="s">
        <v>48</v>
      </c>
      <c r="G30" s="50">
        <v>0</v>
      </c>
      <c r="H30" s="27">
        <f>IF(B$25=0,0,G30/B$25)</f>
        <v>0</v>
      </c>
    </row>
    <row r="31" spans="1:11" x14ac:dyDescent="0.4">
      <c r="E31" s="68" t="s">
        <v>97</v>
      </c>
      <c r="F31" s="64" t="s">
        <v>50</v>
      </c>
      <c r="G31" s="50">
        <v>0</v>
      </c>
      <c r="H31" s="27">
        <f>IF(B$25=0,0,G31/B$25)</f>
        <v>0</v>
      </c>
    </row>
    <row r="32" spans="1:11" x14ac:dyDescent="0.4">
      <c r="E32" s="68" t="s">
        <v>99</v>
      </c>
      <c r="F32" s="64" t="s">
        <v>52</v>
      </c>
      <c r="G32" s="50">
        <v>0</v>
      </c>
      <c r="H32" s="27">
        <f>IF(B$25=0,0,G32/B$25)</f>
        <v>0</v>
      </c>
    </row>
    <row r="33" spans="5:8" x14ac:dyDescent="0.4">
      <c r="E33" s="68" t="s">
        <v>100</v>
      </c>
      <c r="F33" s="64" t="s">
        <v>53</v>
      </c>
      <c r="G33" s="50">
        <v>0</v>
      </c>
      <c r="H33" s="27">
        <f>IF(B$25=0,0,G33/B$25)</f>
        <v>0</v>
      </c>
    </row>
    <row r="34" spans="5:8" x14ac:dyDescent="0.4">
      <c r="E34" s="68" t="s">
        <v>101</v>
      </c>
      <c r="F34" s="64" t="s">
        <v>54</v>
      </c>
      <c r="G34" s="50">
        <v>0</v>
      </c>
      <c r="H34" s="27">
        <f>IF(B$25=0,0,G34/B$25)</f>
        <v>0</v>
      </c>
    </row>
    <row r="35" spans="5:8" x14ac:dyDescent="0.4">
      <c r="E35" s="68" t="s">
        <v>102</v>
      </c>
      <c r="F35" s="64" t="s">
        <v>55</v>
      </c>
      <c r="G35" s="50">
        <v>0</v>
      </c>
      <c r="H35" s="27">
        <f>IF(B$25=0,0,G35/B$25)</f>
        <v>0</v>
      </c>
    </row>
    <row r="36" spans="5:8" x14ac:dyDescent="0.4">
      <c r="E36" s="68" t="s">
        <v>103</v>
      </c>
      <c r="F36" s="64" t="s">
        <v>56</v>
      </c>
      <c r="G36" s="50">
        <v>0</v>
      </c>
      <c r="H36" s="27">
        <f>IF(B$25=0,0,G36/B$25)</f>
        <v>0</v>
      </c>
    </row>
    <row r="37" spans="5:8" x14ac:dyDescent="0.4">
      <c r="E37" s="68" t="s">
        <v>104</v>
      </c>
      <c r="F37" s="64" t="s">
        <v>57</v>
      </c>
      <c r="G37" s="50">
        <v>0</v>
      </c>
      <c r="H37" s="27">
        <f>IF(B$25=0,0,G37/B$25)</f>
        <v>0</v>
      </c>
    </row>
    <row r="38" spans="5:8" x14ac:dyDescent="0.4">
      <c r="E38" s="68" t="s">
        <v>105</v>
      </c>
      <c r="F38" s="64" t="s">
        <v>58</v>
      </c>
      <c r="G38" s="50">
        <v>0</v>
      </c>
      <c r="H38" s="27">
        <f>IF(B$25=0,0,G38/B$25)</f>
        <v>0</v>
      </c>
    </row>
    <row r="39" spans="5:8" x14ac:dyDescent="0.4">
      <c r="E39" s="68" t="s">
        <v>106</v>
      </c>
      <c r="F39" s="64" t="s">
        <v>59</v>
      </c>
      <c r="G39" s="50">
        <v>0</v>
      </c>
      <c r="H39" s="27">
        <f>IF(B$25=0,0,G39/B$25)</f>
        <v>0</v>
      </c>
    </row>
    <row r="40" spans="5:8" x14ac:dyDescent="0.4">
      <c r="E40" s="68" t="s">
        <v>107</v>
      </c>
      <c r="F40" s="64" t="s">
        <v>60</v>
      </c>
      <c r="G40" s="50">
        <v>0</v>
      </c>
      <c r="H40" s="27">
        <f>IF(B$25=0,0,G40/B$25)</f>
        <v>0</v>
      </c>
    </row>
    <row r="41" spans="5:8" x14ac:dyDescent="0.4">
      <c r="E41" s="68" t="s">
        <v>108</v>
      </c>
      <c r="F41" s="64" t="s">
        <v>61</v>
      </c>
      <c r="G41" s="50">
        <v>0</v>
      </c>
      <c r="H41" s="27">
        <f>IF(B$25=0,0,G41/B$25)</f>
        <v>0</v>
      </c>
    </row>
    <row r="42" spans="5:8" x14ac:dyDescent="0.4">
      <c r="E42" s="68" t="s">
        <v>109</v>
      </c>
      <c r="F42" s="64" t="s">
        <v>62</v>
      </c>
      <c r="G42" s="50">
        <v>0</v>
      </c>
      <c r="H42" s="27">
        <f>IF(B$25=0,0,G42/B$25)</f>
        <v>0</v>
      </c>
    </row>
    <row r="43" spans="5:8" x14ac:dyDescent="0.4">
      <c r="E43" s="68" t="s">
        <v>110</v>
      </c>
      <c r="F43" s="64" t="s">
        <v>63</v>
      </c>
      <c r="G43" s="50">
        <v>0</v>
      </c>
      <c r="H43" s="27">
        <f>IF(B$25=0,0,G43/B$25)</f>
        <v>0</v>
      </c>
    </row>
    <row r="44" spans="5:8" x14ac:dyDescent="0.4">
      <c r="E44" s="68" t="s">
        <v>111</v>
      </c>
      <c r="F44" s="64" t="s">
        <v>64</v>
      </c>
      <c r="G44" s="50">
        <v>0</v>
      </c>
      <c r="H44" s="27">
        <f>IF(B$25=0,0,G44/B$25)</f>
        <v>0</v>
      </c>
    </row>
    <row r="45" spans="5:8" x14ac:dyDescent="0.4">
      <c r="E45" s="68" t="s">
        <v>112</v>
      </c>
      <c r="F45" s="64" t="s">
        <v>119</v>
      </c>
      <c r="G45" s="50">
        <v>0</v>
      </c>
      <c r="H45" s="27">
        <f>IF(B$25=0,0,G45/B$25)</f>
        <v>0</v>
      </c>
    </row>
    <row r="46" spans="5:8" x14ac:dyDescent="0.4">
      <c r="E46" s="68" t="s">
        <v>113</v>
      </c>
      <c r="F46" s="64" t="s">
        <v>120</v>
      </c>
      <c r="G46" s="50">
        <v>0</v>
      </c>
      <c r="H46" s="27">
        <f>IF(B$25=0,0,G46/B$25)</f>
        <v>0</v>
      </c>
    </row>
    <row r="47" spans="5:8" x14ac:dyDescent="0.4">
      <c r="E47" s="68" t="s">
        <v>114</v>
      </c>
      <c r="F47" s="64" t="s">
        <v>121</v>
      </c>
      <c r="G47" s="50">
        <v>0</v>
      </c>
      <c r="H47" s="27">
        <f>IF(B$25=0,0,G47/B$25)</f>
        <v>0</v>
      </c>
    </row>
    <row r="48" spans="5:8" x14ac:dyDescent="0.4">
      <c r="E48" s="68" t="s">
        <v>115</v>
      </c>
      <c r="F48" s="64" t="s">
        <v>65</v>
      </c>
      <c r="G48" s="50">
        <v>0</v>
      </c>
      <c r="H48" s="27">
        <f>IF(B$25=0,0,G48/B$25)</f>
        <v>0</v>
      </c>
    </row>
    <row r="49" spans="5:8" x14ac:dyDescent="0.4">
      <c r="E49" s="68" t="s">
        <v>116</v>
      </c>
      <c r="F49" s="64" t="s">
        <v>66</v>
      </c>
      <c r="G49" s="50">
        <v>0</v>
      </c>
      <c r="H49" s="27">
        <f>IF(B$25=0,0,G49/B$25)</f>
        <v>0</v>
      </c>
    </row>
    <row r="50" spans="5:8" x14ac:dyDescent="0.4">
      <c r="E50" s="68" t="s">
        <v>117</v>
      </c>
      <c r="F50" s="64" t="s">
        <v>67</v>
      </c>
      <c r="G50" s="50">
        <v>0</v>
      </c>
      <c r="H50" s="27">
        <f>IF(B$25=0,0,G50/B$25)</f>
        <v>0</v>
      </c>
    </row>
    <row r="51" spans="5:8" x14ac:dyDescent="0.4">
      <c r="E51" s="69" t="s">
        <v>118</v>
      </c>
      <c r="F51" s="65" t="s">
        <v>68</v>
      </c>
      <c r="G51" s="52">
        <v>0</v>
      </c>
      <c r="H51" s="32">
        <f>IF(B$25=0,0,G51/B$25)</f>
        <v>0</v>
      </c>
    </row>
  </sheetData>
  <sortState ref="E2:H51">
    <sortCondition descending="1" ref="H1"/>
  </sortState>
  <mergeCells count="9">
    <mergeCell ref="B24:C24"/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16</vt:i4>
      </vt:variant>
    </vt:vector>
  </HeadingPairs>
  <TitlesOfParts>
    <vt:vector size="16" baseType="lpstr">
      <vt:lpstr>ランキング</vt:lpstr>
      <vt:lpstr>Template</vt:lpstr>
      <vt:lpstr>Cache</vt:lpstr>
      <vt:lpstr>全体</vt:lpstr>
      <vt:lpstr>かこたろう</vt:lpstr>
      <vt:lpstr>だいち</vt:lpstr>
      <vt:lpstr>ともき</vt:lpstr>
      <vt:lpstr>りくと</vt:lpstr>
      <vt:lpstr>いっしー</vt:lpstr>
      <vt:lpstr>がくと</vt:lpstr>
      <vt:lpstr>たかの</vt:lpstr>
      <vt:lpstr>ただ</vt:lpstr>
      <vt:lpstr>やがさき</vt:lpstr>
      <vt:lpstr>れんたろう</vt:lpstr>
      <vt:lpstr>あさひ</vt:lpstr>
      <vt:lpstr>まっつん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2019-01-27T07:48:58Z</dcterms:modified>
</cp:coreProperties>
</file>