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D074F32B-52D5-446D-878D-F0C682F8E9F0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259" r:id="rId2"/>
    <sheet name="かこたろう" sheetId="2260" r:id="rId3"/>
    <sheet name="ともき" sheetId="2261" r:id="rId4"/>
    <sheet name="りくと" sheetId="2262" r:id="rId5"/>
    <sheet name="いっしー" sheetId="2263" r:id="rId6"/>
    <sheet name="がくと" sheetId="2264" r:id="rId7"/>
    <sheet name="たかの" sheetId="2265" r:id="rId8"/>
    <sheet name="ただ" sheetId="2266" r:id="rId9"/>
    <sheet name="やがさき" sheetId="2267" r:id="rId10"/>
    <sheet name="れんたろう" sheetId="2268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268" l="1"/>
  <c r="H50" i="2268"/>
  <c r="H49" i="2268"/>
  <c r="H48" i="2268"/>
  <c r="H47" i="2268"/>
  <c r="H46" i="2268"/>
  <c r="H45" i="2268"/>
  <c r="H44" i="2268"/>
  <c r="H43" i="2268"/>
  <c r="H42" i="2268"/>
  <c r="H41" i="2268"/>
  <c r="H40" i="2268"/>
  <c r="H39" i="2268"/>
  <c r="H38" i="2268"/>
  <c r="H37" i="2268"/>
  <c r="H36" i="2268"/>
  <c r="H35" i="2268"/>
  <c r="H34" i="2268"/>
  <c r="H18" i="2268"/>
  <c r="H33" i="2268"/>
  <c r="H32" i="2268"/>
  <c r="H31" i="2268"/>
  <c r="H8" i="2268"/>
  <c r="H30" i="2268"/>
  <c r="H29" i="2268"/>
  <c r="H17" i="2268"/>
  <c r="H28" i="2268"/>
  <c r="H27" i="2268"/>
  <c r="H14" i="2268"/>
  <c r="H26" i="2268"/>
  <c r="H16" i="2268"/>
  <c r="H25" i="2268"/>
  <c r="B20" i="2268"/>
  <c r="H24" i="2268"/>
  <c r="H23" i="2268"/>
  <c r="C18" i="2268"/>
  <c r="H11" i="2268"/>
  <c r="C17" i="2268"/>
  <c r="H22" i="2268"/>
  <c r="C16" i="2268"/>
  <c r="H21" i="2268"/>
  <c r="B15" i="2268"/>
  <c r="B19" i="2268" s="1"/>
  <c r="H15" i="2268"/>
  <c r="C14" i="2268"/>
  <c r="H20" i="2268"/>
  <c r="C13" i="2268"/>
  <c r="H13" i="2268"/>
  <c r="C12" i="2268"/>
  <c r="H3" i="2268"/>
  <c r="C11" i="2268"/>
  <c r="H19" i="2268"/>
  <c r="C10" i="2268"/>
  <c r="H10" i="2268"/>
  <c r="C9" i="2268"/>
  <c r="H9" i="2268"/>
  <c r="C8" i="2268"/>
  <c r="H6" i="2268"/>
  <c r="C7" i="2268"/>
  <c r="H2" i="2268"/>
  <c r="B6" i="2268"/>
  <c r="H7" i="2268"/>
  <c r="B5" i="2268"/>
  <c r="H4" i="2268"/>
  <c r="H12" i="2268"/>
  <c r="H5" i="2268"/>
  <c r="C15" i="2268" l="1"/>
  <c r="H51" i="2267" l="1"/>
  <c r="H50" i="2267"/>
  <c r="H49" i="2267"/>
  <c r="H48" i="2267"/>
  <c r="H47" i="2267"/>
  <c r="H46" i="2267"/>
  <c r="H45" i="2267"/>
  <c r="H44" i="2267"/>
  <c r="H43" i="2267"/>
  <c r="H42" i="2267"/>
  <c r="H41" i="2267"/>
  <c r="H40" i="2267"/>
  <c r="H39" i="2267"/>
  <c r="H38" i="2267"/>
  <c r="H37" i="2267"/>
  <c r="H36" i="2267"/>
  <c r="H35" i="2267"/>
  <c r="H34" i="2267"/>
  <c r="H33" i="2267"/>
  <c r="H32" i="2267"/>
  <c r="H31" i="2267"/>
  <c r="H30" i="2267"/>
  <c r="H29" i="2267"/>
  <c r="H28" i="2267"/>
  <c r="H27" i="2267"/>
  <c r="H26" i="2267"/>
  <c r="H25" i="2267"/>
  <c r="H24" i="2267"/>
  <c r="H23" i="2267"/>
  <c r="H22" i="2267"/>
  <c r="H21" i="2267"/>
  <c r="H20" i="2267"/>
  <c r="B20" i="2267"/>
  <c r="H19" i="2267"/>
  <c r="H18" i="2267"/>
  <c r="C18" i="2267"/>
  <c r="H17" i="2267"/>
  <c r="C17" i="2267"/>
  <c r="H16" i="2267"/>
  <c r="C16" i="2267"/>
  <c r="H15" i="2267"/>
  <c r="B15" i="2267"/>
  <c r="B19" i="2267" s="1"/>
  <c r="H14" i="2267"/>
  <c r="C14" i="2267"/>
  <c r="H13" i="2267"/>
  <c r="C13" i="2267"/>
  <c r="H12" i="2267"/>
  <c r="C12" i="2267"/>
  <c r="H11" i="2267"/>
  <c r="C11" i="2267"/>
  <c r="H10" i="2267"/>
  <c r="C10" i="2267"/>
  <c r="H9" i="2267"/>
  <c r="C9" i="2267"/>
  <c r="H8" i="2267"/>
  <c r="C8" i="2267"/>
  <c r="H7" i="2267"/>
  <c r="C7" i="2267"/>
  <c r="H6" i="2267"/>
  <c r="B6" i="2267"/>
  <c r="H5" i="2267"/>
  <c r="B5" i="2267"/>
  <c r="H4" i="2267"/>
  <c r="H3" i="2267"/>
  <c r="H2" i="2267"/>
  <c r="C15" i="2267" l="1"/>
  <c r="H51" i="2266" l="1"/>
  <c r="H50" i="2266"/>
  <c r="H49" i="2266"/>
  <c r="H48" i="2266"/>
  <c r="H47" i="2266"/>
  <c r="H46" i="2266"/>
  <c r="H45" i="2266"/>
  <c r="H44" i="2266"/>
  <c r="H43" i="2266"/>
  <c r="H42" i="2266"/>
  <c r="H41" i="2266"/>
  <c r="H40" i="2266"/>
  <c r="H39" i="2266"/>
  <c r="H38" i="2266"/>
  <c r="H37" i="2266"/>
  <c r="H36" i="2266"/>
  <c r="H35" i="2266"/>
  <c r="H34" i="2266"/>
  <c r="H33" i="2266"/>
  <c r="H32" i="2266"/>
  <c r="H18" i="2266"/>
  <c r="H31" i="2266"/>
  <c r="H9" i="2266"/>
  <c r="H30" i="2266"/>
  <c r="H29" i="2266"/>
  <c r="H13" i="2266"/>
  <c r="H28" i="2266"/>
  <c r="H27" i="2266"/>
  <c r="H17" i="2266"/>
  <c r="H26" i="2266"/>
  <c r="H16" i="2266"/>
  <c r="H25" i="2266"/>
  <c r="B20" i="2266"/>
  <c r="H24" i="2266"/>
  <c r="H23" i="2266"/>
  <c r="C18" i="2266"/>
  <c r="H14" i="2266"/>
  <c r="C17" i="2266"/>
  <c r="H22" i="2266"/>
  <c r="C16" i="2266"/>
  <c r="H21" i="2266"/>
  <c r="B15" i="2266"/>
  <c r="B19" i="2266" s="1"/>
  <c r="H20" i="2266"/>
  <c r="C14" i="2266"/>
  <c r="H15" i="2266"/>
  <c r="C13" i="2266"/>
  <c r="H19" i="2266"/>
  <c r="C12" i="2266"/>
  <c r="H5" i="2266"/>
  <c r="C11" i="2266"/>
  <c r="H12" i="2266"/>
  <c r="C10" i="2266"/>
  <c r="H11" i="2266"/>
  <c r="C9" i="2266"/>
  <c r="H8" i="2266"/>
  <c r="C8" i="2266"/>
  <c r="H7" i="2266"/>
  <c r="C7" i="2266"/>
  <c r="H3" i="2266"/>
  <c r="B6" i="2266"/>
  <c r="H6" i="2266"/>
  <c r="B5" i="2266"/>
  <c r="H2" i="2266"/>
  <c r="H10" i="2266"/>
  <c r="H4" i="2266"/>
  <c r="H51" i="2265"/>
  <c r="H50" i="2265"/>
  <c r="H49" i="2265"/>
  <c r="H48" i="2265"/>
  <c r="H47" i="2265"/>
  <c r="H46" i="2265"/>
  <c r="H45" i="2265"/>
  <c r="H44" i="2265"/>
  <c r="H43" i="2265"/>
  <c r="H42" i="2265"/>
  <c r="H41" i="2265"/>
  <c r="H40" i="2265"/>
  <c r="H39" i="2265"/>
  <c r="H38" i="2265"/>
  <c r="H37" i="2265"/>
  <c r="H36" i="2265"/>
  <c r="H35" i="2265"/>
  <c r="H34" i="2265"/>
  <c r="H33" i="2265"/>
  <c r="H32" i="2265"/>
  <c r="H31" i="2265"/>
  <c r="H30" i="2265"/>
  <c r="H8" i="2265"/>
  <c r="H29" i="2265"/>
  <c r="H28" i="2265"/>
  <c r="H10" i="2265"/>
  <c r="H27" i="2265"/>
  <c r="H26" i="2265"/>
  <c r="H16" i="2265"/>
  <c r="H25" i="2265"/>
  <c r="H15" i="2265"/>
  <c r="H24" i="2265"/>
  <c r="B20" i="2265"/>
  <c r="H23" i="2265"/>
  <c r="H9" i="2265"/>
  <c r="C18" i="2265"/>
  <c r="H14" i="2265"/>
  <c r="C17" i="2265"/>
  <c r="H22" i="2265"/>
  <c r="C16" i="2265"/>
  <c r="H21" i="2265"/>
  <c r="B15" i="2265"/>
  <c r="C15" i="2265" s="1"/>
  <c r="H13" i="2265"/>
  <c r="C14" i="2265"/>
  <c r="H20" i="2265"/>
  <c r="C13" i="2265"/>
  <c r="H19" i="2265"/>
  <c r="C12" i="2265"/>
  <c r="H4" i="2265"/>
  <c r="C11" i="2265"/>
  <c r="H18" i="2265"/>
  <c r="C10" i="2265"/>
  <c r="H12" i="2265"/>
  <c r="C9" i="2265"/>
  <c r="H11" i="2265"/>
  <c r="C8" i="2265"/>
  <c r="H7" i="2265"/>
  <c r="C7" i="2265"/>
  <c r="H2" i="2265"/>
  <c r="B6" i="2265"/>
  <c r="H17" i="2265"/>
  <c r="B5" i="2265"/>
  <c r="H3" i="2265"/>
  <c r="H6" i="2265"/>
  <c r="H5" i="2265"/>
  <c r="C15" i="2266" l="1"/>
  <c r="B19" i="2265"/>
  <c r="H51" i="2264" l="1"/>
  <c r="H50" i="2264"/>
  <c r="H49" i="2264"/>
  <c r="H48" i="2264"/>
  <c r="H47" i="2264"/>
  <c r="H46" i="2264"/>
  <c r="H45" i="2264"/>
  <c r="H44" i="2264"/>
  <c r="H43" i="2264"/>
  <c r="H42" i="2264"/>
  <c r="H41" i="2264"/>
  <c r="H40" i="2264"/>
  <c r="H39" i="2264"/>
  <c r="H38" i="2264"/>
  <c r="H37" i="2264"/>
  <c r="H36" i="2264"/>
  <c r="H35" i="2264"/>
  <c r="H34" i="2264"/>
  <c r="H33" i="2264"/>
  <c r="H32" i="2264"/>
  <c r="H31" i="2264"/>
  <c r="H30" i="2264"/>
  <c r="H29" i="2264"/>
  <c r="H28" i="2264"/>
  <c r="H27" i="2264"/>
  <c r="H26" i="2264"/>
  <c r="H25" i="2264"/>
  <c r="H24" i="2264"/>
  <c r="H23" i="2264"/>
  <c r="H22" i="2264"/>
  <c r="H21" i="2264"/>
  <c r="H20" i="2264"/>
  <c r="B20" i="2264"/>
  <c r="H19" i="2264"/>
  <c r="H18" i="2264"/>
  <c r="C18" i="2264"/>
  <c r="H17" i="2264"/>
  <c r="C17" i="2264"/>
  <c r="H16" i="2264"/>
  <c r="C16" i="2264"/>
  <c r="H15" i="2264"/>
  <c r="B15" i="2264"/>
  <c r="B19" i="2264" s="1"/>
  <c r="H14" i="2264"/>
  <c r="C14" i="2264"/>
  <c r="H13" i="2264"/>
  <c r="C13" i="2264"/>
  <c r="H12" i="2264"/>
  <c r="C12" i="2264"/>
  <c r="H11" i="2264"/>
  <c r="C11" i="2264"/>
  <c r="H10" i="2264"/>
  <c r="C10" i="2264"/>
  <c r="H9" i="2264"/>
  <c r="C9" i="2264"/>
  <c r="H8" i="2264"/>
  <c r="C8" i="2264"/>
  <c r="H7" i="2264"/>
  <c r="C7" i="2264"/>
  <c r="H6" i="2264"/>
  <c r="B6" i="2264"/>
  <c r="H5" i="2264"/>
  <c r="B5" i="2264"/>
  <c r="H4" i="2264"/>
  <c r="H3" i="2264"/>
  <c r="H2" i="2264"/>
  <c r="C15" i="2264" l="1"/>
  <c r="H51" i="2263" l="1"/>
  <c r="H50" i="2263"/>
  <c r="H49" i="2263"/>
  <c r="H48" i="2263"/>
  <c r="H47" i="2263"/>
  <c r="H46" i="2263"/>
  <c r="H45" i="2263"/>
  <c r="H44" i="2263"/>
  <c r="H43" i="2263"/>
  <c r="H42" i="2263"/>
  <c r="H41" i="2263"/>
  <c r="H40" i="2263"/>
  <c r="H39" i="2263"/>
  <c r="H38" i="2263"/>
  <c r="H37" i="2263"/>
  <c r="H36" i="2263"/>
  <c r="H35" i="2263"/>
  <c r="H34" i="2263"/>
  <c r="H33" i="2263"/>
  <c r="H32" i="2263"/>
  <c r="H31" i="2263"/>
  <c r="H30" i="2263"/>
  <c r="H29" i="2263"/>
  <c r="H28" i="2263"/>
  <c r="H27" i="2263"/>
  <c r="H26" i="2263"/>
  <c r="H25" i="2263"/>
  <c r="H24" i="2263"/>
  <c r="H11" i="2263"/>
  <c r="H23" i="2263"/>
  <c r="H10" i="2263"/>
  <c r="H22" i="2263"/>
  <c r="B20" i="2263"/>
  <c r="H21" i="2263"/>
  <c r="H20" i="2263"/>
  <c r="C18" i="2263"/>
  <c r="H19" i="2263"/>
  <c r="C17" i="2263"/>
  <c r="H18" i="2263"/>
  <c r="C16" i="2263"/>
  <c r="H17" i="2263"/>
  <c r="B15" i="2263"/>
  <c r="B19" i="2263" s="1"/>
  <c r="H16" i="2263"/>
  <c r="C14" i="2263"/>
  <c r="H15" i="2263"/>
  <c r="C13" i="2263"/>
  <c r="H14" i="2263"/>
  <c r="C12" i="2263"/>
  <c r="H4" i="2263"/>
  <c r="C11" i="2263"/>
  <c r="H13" i="2263"/>
  <c r="C10" i="2263"/>
  <c r="H12" i="2263"/>
  <c r="C9" i="2263"/>
  <c r="H9" i="2263"/>
  <c r="C8" i="2263"/>
  <c r="H7" i="2263"/>
  <c r="C7" i="2263"/>
  <c r="H3" i="2263"/>
  <c r="B6" i="2263"/>
  <c r="H6" i="2263"/>
  <c r="B5" i="2263"/>
  <c r="H2" i="2263"/>
  <c r="H8" i="2263"/>
  <c r="H5" i="2263"/>
  <c r="H51" i="2262"/>
  <c r="H50" i="2262"/>
  <c r="H49" i="2262"/>
  <c r="H48" i="2262"/>
  <c r="H47" i="2262"/>
  <c r="H46" i="2262"/>
  <c r="H45" i="2262"/>
  <c r="H44" i="2262"/>
  <c r="H43" i="2262"/>
  <c r="H42" i="2262"/>
  <c r="H41" i="2262"/>
  <c r="H40" i="2262"/>
  <c r="H39" i="2262"/>
  <c r="H38" i="2262"/>
  <c r="H37" i="2262"/>
  <c r="H36" i="2262"/>
  <c r="H35" i="2262"/>
  <c r="H34" i="2262"/>
  <c r="H33" i="2262"/>
  <c r="H17" i="2262"/>
  <c r="H16" i="2262"/>
  <c r="H32" i="2262"/>
  <c r="H8" i="2262"/>
  <c r="H22" i="2262"/>
  <c r="H21" i="2262"/>
  <c r="H10" i="2262"/>
  <c r="H20" i="2262"/>
  <c r="H19" i="2262"/>
  <c r="H13" i="2262"/>
  <c r="H31" i="2262"/>
  <c r="H15" i="2262"/>
  <c r="H30" i="2262"/>
  <c r="B20" i="2262"/>
  <c r="H29" i="2262"/>
  <c r="H18" i="2262"/>
  <c r="C18" i="2262"/>
  <c r="H28" i="2262"/>
  <c r="C17" i="2262"/>
  <c r="H27" i="2262"/>
  <c r="C16" i="2262"/>
  <c r="H26" i="2262"/>
  <c r="B15" i="2262"/>
  <c r="C15" i="2262" s="1"/>
  <c r="H25" i="2262"/>
  <c r="C14" i="2262"/>
  <c r="H24" i="2262"/>
  <c r="C13" i="2262"/>
  <c r="H23" i="2262"/>
  <c r="C12" i="2262"/>
  <c r="H4" i="2262"/>
  <c r="C11" i="2262"/>
  <c r="H14" i="2262"/>
  <c r="C10" i="2262"/>
  <c r="H9" i="2262"/>
  <c r="C9" i="2262"/>
  <c r="H12" i="2262"/>
  <c r="C8" i="2262"/>
  <c r="H6" i="2262"/>
  <c r="C7" i="2262"/>
  <c r="H2" i="2262"/>
  <c r="B6" i="2262"/>
  <c r="H7" i="2262"/>
  <c r="B5" i="2262"/>
  <c r="H5" i="2262"/>
  <c r="H11" i="2262"/>
  <c r="H3" i="2262"/>
  <c r="C15" i="2263" l="1"/>
  <c r="B19" i="2262"/>
  <c r="H51" i="2261" l="1"/>
  <c r="H50" i="2261"/>
  <c r="H49" i="2261"/>
  <c r="H48" i="2261"/>
  <c r="H47" i="2261"/>
  <c r="H46" i="2261"/>
  <c r="H45" i="2261"/>
  <c r="H44" i="2261"/>
  <c r="H43" i="2261"/>
  <c r="H42" i="2261"/>
  <c r="H41" i="2261"/>
  <c r="H40" i="2261"/>
  <c r="H39" i="2261"/>
  <c r="H38" i="2261"/>
  <c r="H37" i="2261"/>
  <c r="H36" i="2261"/>
  <c r="H35" i="2261"/>
  <c r="H34" i="2261"/>
  <c r="H33" i="2261"/>
  <c r="H32" i="2261"/>
  <c r="H31" i="2261"/>
  <c r="H30" i="2261"/>
  <c r="H29" i="2261"/>
  <c r="H28" i="2261"/>
  <c r="H27" i="2261"/>
  <c r="H26" i="2261"/>
  <c r="H25" i="2261"/>
  <c r="H24" i="2261"/>
  <c r="H23" i="2261"/>
  <c r="H22" i="2261"/>
  <c r="H21" i="2261"/>
  <c r="H20" i="2261"/>
  <c r="B20" i="2261"/>
  <c r="H19" i="2261"/>
  <c r="H18" i="2261"/>
  <c r="C18" i="2261"/>
  <c r="H17" i="2261"/>
  <c r="C17" i="2261"/>
  <c r="H16" i="2261"/>
  <c r="C16" i="2261"/>
  <c r="H15" i="2261"/>
  <c r="B15" i="2261"/>
  <c r="C15" i="2261" s="1"/>
  <c r="H14" i="2261"/>
  <c r="C14" i="2261"/>
  <c r="H13" i="2261"/>
  <c r="C13" i="2261"/>
  <c r="H12" i="2261"/>
  <c r="C12" i="2261"/>
  <c r="H11" i="2261"/>
  <c r="C11" i="2261"/>
  <c r="H10" i="2261"/>
  <c r="C10" i="2261"/>
  <c r="H9" i="2261"/>
  <c r="C9" i="2261"/>
  <c r="H8" i="2261"/>
  <c r="C8" i="2261"/>
  <c r="H7" i="2261"/>
  <c r="C7" i="2261"/>
  <c r="H6" i="2261"/>
  <c r="B6" i="2261"/>
  <c r="H5" i="2261"/>
  <c r="B5" i="2261"/>
  <c r="H4" i="2261"/>
  <c r="H3" i="2261"/>
  <c r="H2" i="2261"/>
  <c r="H51" i="2260"/>
  <c r="H50" i="2260"/>
  <c r="H49" i="2260"/>
  <c r="H48" i="2260"/>
  <c r="H47" i="2260"/>
  <c r="H46" i="2260"/>
  <c r="H45" i="2260"/>
  <c r="H44" i="2260"/>
  <c r="H43" i="2260"/>
  <c r="H42" i="2260"/>
  <c r="H41" i="2260"/>
  <c r="H40" i="2260"/>
  <c r="H39" i="2260"/>
  <c r="H38" i="2260"/>
  <c r="H37" i="2260"/>
  <c r="H36" i="2260"/>
  <c r="H35" i="2260"/>
  <c r="H34" i="2260"/>
  <c r="H33" i="2260"/>
  <c r="H32" i="2260"/>
  <c r="H31" i="2260"/>
  <c r="H30" i="2260"/>
  <c r="H29" i="2260"/>
  <c r="H28" i="2260"/>
  <c r="H27" i="2260"/>
  <c r="H26" i="2260"/>
  <c r="H25" i="2260"/>
  <c r="H24" i="2260"/>
  <c r="H23" i="2260"/>
  <c r="H22" i="2260"/>
  <c r="H21" i="2260"/>
  <c r="H20" i="2260"/>
  <c r="B20" i="2260"/>
  <c r="H19" i="2260"/>
  <c r="B19" i="2260"/>
  <c r="H18" i="2260"/>
  <c r="C18" i="2260"/>
  <c r="H17" i="2260"/>
  <c r="C17" i="2260"/>
  <c r="H16" i="2260"/>
  <c r="C16" i="2260"/>
  <c r="H15" i="2260"/>
  <c r="C15" i="2260"/>
  <c r="B15" i="2260"/>
  <c r="H14" i="2260"/>
  <c r="C14" i="2260"/>
  <c r="H13" i="2260"/>
  <c r="C13" i="2260"/>
  <c r="H12" i="2260"/>
  <c r="C12" i="2260"/>
  <c r="H11" i="2260"/>
  <c r="C11" i="2260"/>
  <c r="H10" i="2260"/>
  <c r="C10" i="2260"/>
  <c r="H9" i="2260"/>
  <c r="C9" i="2260"/>
  <c r="H8" i="2260"/>
  <c r="C8" i="2260"/>
  <c r="H7" i="2260"/>
  <c r="C7" i="2260"/>
  <c r="H6" i="2260"/>
  <c r="B6" i="2260"/>
  <c r="H5" i="2260"/>
  <c r="B5" i="2260"/>
  <c r="H4" i="2260"/>
  <c r="H3" i="2260"/>
  <c r="H2" i="2260"/>
  <c r="H51" i="2259"/>
  <c r="H50" i="2259"/>
  <c r="H49" i="2259"/>
  <c r="H48" i="2259"/>
  <c r="H47" i="2259"/>
  <c r="H20" i="2259"/>
  <c r="H46" i="2259"/>
  <c r="H45" i="2259"/>
  <c r="H44" i="2259"/>
  <c r="H43" i="2259"/>
  <c r="H42" i="2259"/>
  <c r="H41" i="2259"/>
  <c r="H40" i="2259"/>
  <c r="H39" i="2259"/>
  <c r="H38" i="2259"/>
  <c r="H37" i="2259"/>
  <c r="H36" i="2259"/>
  <c r="H35" i="2259"/>
  <c r="H34" i="2259"/>
  <c r="H17" i="2259"/>
  <c r="H19" i="2259"/>
  <c r="H33" i="2259"/>
  <c r="H9" i="2259"/>
  <c r="H32" i="2259"/>
  <c r="H31" i="2259"/>
  <c r="H11" i="2259"/>
  <c r="H30" i="2259"/>
  <c r="H29" i="2259"/>
  <c r="H14" i="2259"/>
  <c r="H28" i="2259"/>
  <c r="H15" i="2259"/>
  <c r="H27" i="2259"/>
  <c r="B20" i="2259"/>
  <c r="H26" i="2259"/>
  <c r="H18" i="2259"/>
  <c r="C18" i="2259"/>
  <c r="H25" i="2259"/>
  <c r="C17" i="2259"/>
  <c r="H16" i="2259"/>
  <c r="C16" i="2259"/>
  <c r="H24" i="2259"/>
  <c r="B15" i="2259"/>
  <c r="B19" i="2259" s="1"/>
  <c r="H23" i="2259"/>
  <c r="C14" i="2259"/>
  <c r="H22" i="2259"/>
  <c r="C13" i="2259"/>
  <c r="H21" i="2259"/>
  <c r="C12" i="2259"/>
  <c r="H3" i="2259"/>
  <c r="C11" i="2259"/>
  <c r="H10" i="2259"/>
  <c r="C10" i="2259"/>
  <c r="H12" i="2259"/>
  <c r="C9" i="2259"/>
  <c r="H8" i="2259"/>
  <c r="C8" i="2259"/>
  <c r="H7" i="2259"/>
  <c r="C7" i="2259"/>
  <c r="H2" i="2259"/>
  <c r="B6" i="2259"/>
  <c r="H6" i="2259"/>
  <c r="B5" i="2259"/>
  <c r="H5" i="2259"/>
  <c r="H13" i="2259"/>
  <c r="H4" i="2259"/>
  <c r="B19" i="2261" l="1"/>
  <c r="C15" i="2259"/>
  <c r="B20" i="2228" l="1"/>
  <c r="B19" i="2228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8" i="2228"/>
  <c r="H17" i="2228"/>
  <c r="C17" i="2228"/>
  <c r="H16" i="2228"/>
  <c r="C16" i="2228"/>
  <c r="H15" i="2228"/>
  <c r="C15" i="2228"/>
  <c r="B15" i="2228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<sst xmlns="http://schemas.openxmlformats.org/spreadsheetml/2006/main" count="1693" uniqueCount="198">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</sst>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43-4DC5-AED2-48D5EB9C6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3-4F54-B337-53E6B6D7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6F-41FD-8D89-4B1162C8A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9-4285-A806-09BBE7940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DC-499B-B68D-C8B568EC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A-4885-BEEA-DA82E4BE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D0-411E-ACD2-D84210969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2-45E8-B6EB-ABBE165D1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A-41AB-8068-7EF02680B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9-43FE-BC3D-969154971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A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16384" width="9" style="4"/>
  </cols>
  <sheetData>
    <row r="1" spans="1:27" x14ac:dyDescent="0.4">
      <c r="A1" s="14"/>
      <c r="B1" s="75" t="s">
        <v>6</v>
      </c>
      <c r="C1" s="76"/>
      <c r="D1" s="75" t="s">
        <v>7</v>
      </c>
      <c r="E1" s="76"/>
      <c r="F1" s="75" t="s">
        <v>16</v>
      </c>
      <c r="G1" s="76"/>
      <c r="H1" s="75" t="s">
        <v>15</v>
      </c>
      <c r="I1" s="76"/>
      <c r="J1" s="75" t="s">
        <v>20</v>
      </c>
      <c r="K1" s="76"/>
      <c r="L1" s="75" t="s">
        <v>17</v>
      </c>
      <c r="M1" s="76"/>
      <c r="N1" s="75" t="s">
        <v>18</v>
      </c>
      <c r="O1" s="76"/>
      <c r="P1" s="75" t="s">
        <v>5</v>
      </c>
      <c r="Q1" s="76"/>
      <c r="R1" s="75" t="s">
        <v>19</v>
      </c>
      <c r="S1" s="76"/>
      <c r="T1" s="75" t="s">
        <v>131</v>
      </c>
      <c r="U1" s="76"/>
      <c r="V1" s="75" t="s">
        <v>126</v>
      </c>
      <c r="W1" s="76"/>
      <c r="X1" s="75" t="s">
        <v>134</v>
      </c>
      <c r="Y1" s="76"/>
      <c r="Z1" s="75" t="s">
        <v>135</v>
      </c>
      <c r="AA1" s="76"/>
    </row>
    <row r="2" spans="1:27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11481.967213114754</v>
      </c>
      <c r="R2" s="10" t="s">
        <v>138</v>
      </c>
      <c r="S2" s="13">
        <v>-8240</v>
      </c>
      <c r="T2" s="10" t="s">
        <v>149</v>
      </c>
      <c r="U2" s="15">
        <v>0.3383838383838384</v>
      </c>
      <c r="V2" s="10" t="s">
        <v>142</v>
      </c>
      <c r="W2" s="15">
        <v>0.33333333333333331</v>
      </c>
      <c r="X2" s="10" t="s">
        <v>137</v>
      </c>
      <c r="Y2" s="15">
        <v>0.6987951807228916</v>
      </c>
      <c r="Z2" s="10" t="s">
        <v>137</v>
      </c>
      <c r="AA2" s="15">
        <v>0.44444444444444442</v>
      </c>
    </row>
    <row r="3" spans="1:27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8">
        <v>0.12820512820512819</v>
      </c>
      <c r="L3" s="1" t="s">
        <v>142</v>
      </c>
      <c r="M3" s="16">
        <v>0.35793357933579334</v>
      </c>
      <c r="N3" s="1" t="s">
        <v>156</v>
      </c>
      <c r="O3" s="16">
        <v>0.13414634146341464</v>
      </c>
      <c r="P3" s="1" t="s">
        <v>149</v>
      </c>
      <c r="Q3" s="2">
        <v>11229.807692307691</v>
      </c>
      <c r="R3" s="1" t="s">
        <v>148</v>
      </c>
      <c r="S3" s="2">
        <v>-8287.2727272727279</v>
      </c>
      <c r="T3" s="1" t="s">
        <v>137</v>
      </c>
      <c r="U3" s="16">
        <v>0.28719723183391005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</row>
    <row r="4" spans="1:27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8">
        <v>0.13461538461538461</v>
      </c>
      <c r="L4" s="1" t="s">
        <v>137</v>
      </c>
      <c r="M4" s="16">
        <v>0.35372340425531917</v>
      </c>
      <c r="N4" s="1" t="s">
        <v>149</v>
      </c>
      <c r="O4" s="16">
        <v>0.15709969788519637</v>
      </c>
      <c r="P4" s="1" t="s">
        <v>156</v>
      </c>
      <c r="Q4" s="2">
        <v>10857.142857142857</v>
      </c>
      <c r="R4" s="1" t="s">
        <v>145</v>
      </c>
      <c r="S4" s="2">
        <v>-8500</v>
      </c>
      <c r="T4" s="1" t="s">
        <v>141</v>
      </c>
      <c r="U4" s="16">
        <v>0.28514056224899598</v>
      </c>
      <c r="V4" s="1" t="s">
        <v>149</v>
      </c>
      <c r="W4" s="16">
        <v>0.25252525252525254</v>
      </c>
      <c r="X4" s="1" t="s">
        <v>149</v>
      </c>
      <c r="Y4" s="16">
        <v>0.61194029850746268</v>
      </c>
      <c r="Z4" s="1" t="s">
        <v>149</v>
      </c>
      <c r="AA4" s="16">
        <v>0.38</v>
      </c>
    </row>
    <row r="5" spans="1:27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149</v>
      </c>
      <c r="K5" s="18">
        <v>0.15909090909090909</v>
      </c>
      <c r="L5" s="1" t="s">
        <v>156</v>
      </c>
      <c r="M5" s="16">
        <v>0.34146341463414637</v>
      </c>
      <c r="N5" s="1" t="s">
        <v>137</v>
      </c>
      <c r="O5" s="16">
        <v>0.16090425531914893</v>
      </c>
      <c r="P5" s="1" t="s">
        <v>160</v>
      </c>
      <c r="Q5" s="2">
        <v>10729.62962962963</v>
      </c>
      <c r="R5" s="1" t="s">
        <v>142</v>
      </c>
      <c r="S5" s="2">
        <v>-9613.8888888888887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0.52112676056338025</v>
      </c>
      <c r="Z5" s="1" t="s">
        <v>160</v>
      </c>
      <c r="AA5" s="16">
        <v>0.3783783783783784</v>
      </c>
    </row>
    <row r="6" spans="1:27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148</v>
      </c>
      <c r="K6" s="18">
        <v>0.17142857142857143</v>
      </c>
      <c r="L6" s="1" t="s">
        <v>149</v>
      </c>
      <c r="M6" s="16">
        <v>0.31419939577039274</v>
      </c>
      <c r="N6" s="1" t="s">
        <v>139</v>
      </c>
      <c r="O6" s="16">
        <v>0.2</v>
      </c>
      <c r="P6" s="1" t="s">
        <v>148</v>
      </c>
      <c r="Q6" s="2">
        <v>10240.25974025974</v>
      </c>
      <c r="R6" s="1" t="s">
        <v>149</v>
      </c>
      <c r="S6" s="2">
        <v>-9665.3846153846152</v>
      </c>
      <c r="T6" s="1" t="s">
        <v>142</v>
      </c>
      <c r="U6" s="16">
        <v>0.21212121212121213</v>
      </c>
      <c r="V6" s="1" t="s">
        <v>137</v>
      </c>
      <c r="W6" s="16">
        <v>0.2179930795847751</v>
      </c>
      <c r="X6" s="1" t="s">
        <v>142</v>
      </c>
      <c r="Y6" s="16">
        <v>0.42857142857142855</v>
      </c>
      <c r="Z6" s="1" t="s">
        <v>142</v>
      </c>
      <c r="AA6" s="16">
        <v>0.36363636363636365</v>
      </c>
    </row>
    <row r="7" spans="1:27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9861.6541353383454</v>
      </c>
      <c r="R7" s="1" t="s">
        <v>160</v>
      </c>
      <c r="S7" s="2">
        <v>-9697.5609756097565</v>
      </c>
      <c r="T7" s="1" t="s">
        <v>148</v>
      </c>
      <c r="U7" s="16">
        <v>0.19540229885057472</v>
      </c>
      <c r="V7" s="1" t="s">
        <v>141</v>
      </c>
      <c r="W7" s="16">
        <v>0.1606425702811245</v>
      </c>
      <c r="X7" s="1" t="s">
        <v>148</v>
      </c>
      <c r="Y7" s="16">
        <v>0.41176470588235292</v>
      </c>
      <c r="Z7" s="1" t="s">
        <v>141</v>
      </c>
      <c r="AA7" s="16">
        <v>0.35</v>
      </c>
    </row>
    <row r="8" spans="1:27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0.27941176470588236</v>
      </c>
      <c r="L8" s="1" t="s">
        <v>160</v>
      </c>
      <c r="M8" s="16">
        <v>0.27272727272727271</v>
      </c>
      <c r="N8" s="1" t="s">
        <v>141</v>
      </c>
      <c r="O8" s="16">
        <v>0.20392156862745098</v>
      </c>
      <c r="P8" s="1" t="s">
        <v>142</v>
      </c>
      <c r="Q8" s="2">
        <v>9631.9587628865975</v>
      </c>
      <c r="R8" s="1" t="s">
        <v>156</v>
      </c>
      <c r="S8" s="2">
        <v>-9927.2727272727279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</row>
    <row r="9" spans="1:27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0.23921568627450981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137</v>
      </c>
      <c r="S9" s="2">
        <v>-9957.0247933884293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</row>
    <row r="10" spans="1:27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-10577.884615384615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</row>
    <row r="11" spans="1:27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</row>
  </sheetData>
  <sortState ref="Z2:AA23">
    <sortCondition descending="1" ref="AA1"/>
  </sortState>
  <mergeCells count="13"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DD507-36E8-47AF-A785-D10497110C41}">
  <sheetPr codeName="Sheet4"/>
  <dimension ref="A1:K106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189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104</v>
      </c>
      <c r="C2" s="27"/>
      <c r="E2" s="28" t="s">
        <v>73</v>
      </c>
      <c r="F2" s="10" t="s">
        <v>27</v>
      </c>
      <c r="G2" s="26">
        <v>100</v>
      </c>
      <c r="H2" s="29">
        <f t="shared" ref="H2:H33" si="0">IF(B$22=0,0,G2/B$22)</f>
        <v>0.93457943925233644</v>
      </c>
      <c r="J2" s="25">
        <v>0</v>
      </c>
      <c r="K2" s="30">
        <v>0</v>
      </c>
    </row>
    <row r="3" spans="1:11" x14ac:dyDescent="0.4">
      <c r="A3" s="31" t="s">
        <v>8</v>
      </c>
      <c r="B3" s="32">
        <v>752</v>
      </c>
      <c r="C3" s="33"/>
      <c r="E3" s="34" t="s">
        <v>78</v>
      </c>
      <c r="F3" s="1" t="s">
        <v>31</v>
      </c>
      <c r="G3" s="32">
        <v>60</v>
      </c>
      <c r="H3" s="35">
        <f t="shared" si="0"/>
        <v>0.56074766355140182</v>
      </c>
      <c r="J3" s="31">
        <v>1</v>
      </c>
      <c r="K3" s="36">
        <v>15</v>
      </c>
    </row>
    <row r="4" spans="1:11" x14ac:dyDescent="0.4">
      <c r="A4" s="31" t="s">
        <v>6</v>
      </c>
      <c r="B4" s="37">
        <v>386.50000000000006</v>
      </c>
      <c r="C4" s="36"/>
      <c r="E4" s="34" t="s">
        <v>69</v>
      </c>
      <c r="F4" s="1" t="s">
        <v>23</v>
      </c>
      <c r="G4" s="32">
        <v>55</v>
      </c>
      <c r="H4" s="35">
        <f t="shared" si="0"/>
        <v>0.51401869158878499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3.7163461538461542</v>
      </c>
      <c r="C5" s="38"/>
      <c r="E5" s="34" t="s">
        <v>71</v>
      </c>
      <c r="F5" s="1" t="s">
        <v>25</v>
      </c>
      <c r="G5" s="32">
        <v>54</v>
      </c>
      <c r="H5" s="35">
        <f t="shared" si="0"/>
        <v>0.50467289719626163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1.875</v>
      </c>
      <c r="C6" s="40"/>
      <c r="E6" s="34" t="s">
        <v>72</v>
      </c>
      <c r="F6" s="1" t="s">
        <v>26</v>
      </c>
      <c r="G6" s="32">
        <v>28</v>
      </c>
      <c r="H6" s="35">
        <f t="shared" si="0"/>
        <v>0.26168224299065418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39</v>
      </c>
      <c r="C7" s="35">
        <f>IF(B$2=0,0,B7/B$2)</f>
        <v>0.375</v>
      </c>
      <c r="E7" s="34" t="s">
        <v>74</v>
      </c>
      <c r="F7" s="1" t="s">
        <v>12</v>
      </c>
      <c r="G7" s="32">
        <v>28</v>
      </c>
      <c r="H7" s="35">
        <f t="shared" si="0"/>
        <v>0.26168224299065418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39</v>
      </c>
      <c r="C8" s="35">
        <f t="shared" ref="C8:C9" si="1">IF(B$2=0,0,B8/B$2)</f>
        <v>0.375</v>
      </c>
      <c r="E8" s="34" t="s">
        <v>75</v>
      </c>
      <c r="F8" s="1" t="s">
        <v>28</v>
      </c>
      <c r="G8" s="32">
        <v>15</v>
      </c>
      <c r="H8" s="35">
        <f t="shared" si="0"/>
        <v>0.14018691588785046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26</v>
      </c>
      <c r="C9" s="43">
        <f t="shared" si="1"/>
        <v>0.25</v>
      </c>
      <c r="E9" s="34" t="s">
        <v>96</v>
      </c>
      <c r="F9" s="1" t="s">
        <v>49</v>
      </c>
      <c r="G9" s="32">
        <v>14</v>
      </c>
      <c r="H9" s="35">
        <f t="shared" si="0"/>
        <v>0.13084112149532709</v>
      </c>
      <c r="J9" s="31">
        <v>7</v>
      </c>
      <c r="K9" s="36">
        <v>91.700000000000017</v>
      </c>
    </row>
    <row r="10" spans="1:11" ht="19.5" thickBot="1" x14ac:dyDescent="0.45">
      <c r="A10" s="44" t="s">
        <v>21</v>
      </c>
      <c r="B10" s="45">
        <v>14</v>
      </c>
      <c r="C10" s="46">
        <f>IF(B$2=0,0,B10/B$2)</f>
        <v>0.13461538461538461</v>
      </c>
      <c r="E10" s="34" t="s">
        <v>77</v>
      </c>
      <c r="F10" s="1" t="s">
        <v>30</v>
      </c>
      <c r="G10" s="32">
        <v>7</v>
      </c>
      <c r="H10" s="35">
        <f t="shared" si="0"/>
        <v>6.5420560747663545E-2</v>
      </c>
      <c r="J10" s="31">
        <v>8</v>
      </c>
      <c r="K10" s="36">
        <v>55.700000000000017</v>
      </c>
    </row>
    <row r="11" spans="1:11" ht="19.5" thickTop="1" x14ac:dyDescent="0.4">
      <c r="A11" s="60" t="s">
        <v>130</v>
      </c>
      <c r="B11" s="61">
        <v>83</v>
      </c>
      <c r="C11" s="62">
        <f>IF(B$21=0,0,B11/B$21)</f>
        <v>0.28719723183391005</v>
      </c>
      <c r="E11" s="34" t="s">
        <v>93</v>
      </c>
      <c r="F11" s="1" t="s">
        <v>46</v>
      </c>
      <c r="G11" s="32">
        <v>7</v>
      </c>
      <c r="H11" s="35">
        <f t="shared" si="0"/>
        <v>6.5420560747663545E-2</v>
      </c>
      <c r="J11" s="31">
        <v>9</v>
      </c>
      <c r="K11" s="36">
        <v>14.700000000000017</v>
      </c>
    </row>
    <row r="12" spans="1:11" x14ac:dyDescent="0.4">
      <c r="A12" s="31" t="s">
        <v>125</v>
      </c>
      <c r="B12" s="32">
        <v>63</v>
      </c>
      <c r="C12" s="35">
        <f>IF(B$21=0,0,B12/B$21)</f>
        <v>0.2179930795847751</v>
      </c>
      <c r="E12" s="34" t="s">
        <v>76</v>
      </c>
      <c r="F12" s="1" t="s">
        <v>29</v>
      </c>
      <c r="G12" s="32">
        <v>5</v>
      </c>
      <c r="H12" s="35">
        <f t="shared" si="0"/>
        <v>4.6728971962616821E-2</v>
      </c>
      <c r="J12" s="31">
        <v>10</v>
      </c>
      <c r="K12" s="36">
        <v>-16.799999999999983</v>
      </c>
    </row>
    <row r="13" spans="1:11" x14ac:dyDescent="0.4">
      <c r="A13" s="25" t="s">
        <v>132</v>
      </c>
      <c r="B13" s="26">
        <v>58</v>
      </c>
      <c r="C13" s="29">
        <f>IF(B$11=0,0,B13/B$11)</f>
        <v>0.6987951807228916</v>
      </c>
      <c r="E13" s="34" t="s">
        <v>70</v>
      </c>
      <c r="F13" s="1" t="s">
        <v>24</v>
      </c>
      <c r="G13" s="32">
        <v>4</v>
      </c>
      <c r="H13" s="35">
        <f t="shared" si="0"/>
        <v>3.7383177570093455E-2</v>
      </c>
      <c r="J13" s="31">
        <v>11</v>
      </c>
      <c r="K13" s="36">
        <v>1.5000000000000178</v>
      </c>
    </row>
    <row r="14" spans="1:11" x14ac:dyDescent="0.4">
      <c r="A14" s="25" t="s">
        <v>133</v>
      </c>
      <c r="B14" s="26">
        <v>28</v>
      </c>
      <c r="C14" s="29">
        <f>IF(B$12=0,0,B14/B$12)</f>
        <v>0.44444444444444442</v>
      </c>
      <c r="E14" s="34" t="s">
        <v>90</v>
      </c>
      <c r="F14" s="1" t="s">
        <v>43</v>
      </c>
      <c r="G14" s="32">
        <v>4</v>
      </c>
      <c r="H14" s="35">
        <f t="shared" si="0"/>
        <v>3.7383177570093455E-2</v>
      </c>
      <c r="J14" s="31">
        <v>12</v>
      </c>
      <c r="K14" s="36">
        <v>14.300000000000018</v>
      </c>
    </row>
    <row r="15" spans="1:11" x14ac:dyDescent="0.4">
      <c r="A15" s="25" t="s">
        <v>10</v>
      </c>
      <c r="B15" s="26">
        <f>B16+B17</f>
        <v>266</v>
      </c>
      <c r="C15" s="29">
        <f>IF(B$3=0,0,B15/B$3)</f>
        <v>0.35372340425531917</v>
      </c>
      <c r="E15" s="34" t="s">
        <v>88</v>
      </c>
      <c r="F15" s="1" t="s">
        <v>41</v>
      </c>
      <c r="G15" s="32">
        <v>3</v>
      </c>
      <c r="H15" s="35">
        <f t="shared" si="0"/>
        <v>2.8037383177570093E-2</v>
      </c>
      <c r="J15" s="31">
        <v>13</v>
      </c>
      <c r="K15" s="36">
        <v>71.300000000000011</v>
      </c>
    </row>
    <row r="16" spans="1:11" x14ac:dyDescent="0.4">
      <c r="A16" s="31" t="s">
        <v>11</v>
      </c>
      <c r="B16" s="32">
        <v>168</v>
      </c>
      <c r="C16" s="35">
        <f>IF(B$3=0,0,B16/B$3)</f>
        <v>0.22340425531914893</v>
      </c>
      <c r="E16" s="34" t="s">
        <v>83</v>
      </c>
      <c r="F16" s="1" t="s">
        <v>36</v>
      </c>
      <c r="G16" s="32">
        <v>2</v>
      </c>
      <c r="H16" s="35">
        <f t="shared" si="0"/>
        <v>1.8691588785046728E-2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98</v>
      </c>
      <c r="C17" s="35">
        <f>IF(B$3=0,0,B17/B$3)</f>
        <v>0.13031914893617022</v>
      </c>
      <c r="E17" s="34" t="s">
        <v>99</v>
      </c>
      <c r="F17" s="1" t="s">
        <v>52</v>
      </c>
      <c r="G17" s="32">
        <v>2</v>
      </c>
      <c r="H17" s="35">
        <f t="shared" si="0"/>
        <v>1.8691588785046728E-2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121</v>
      </c>
      <c r="C18" s="35">
        <f>IF(B$3=0,0,B18/B$3)</f>
        <v>0.16090425531914893</v>
      </c>
      <c r="E18" s="34" t="s">
        <v>85</v>
      </c>
      <c r="F18" s="1" t="s">
        <v>38</v>
      </c>
      <c r="G18" s="32">
        <v>1</v>
      </c>
      <c r="H18" s="35">
        <f t="shared" si="0"/>
        <v>9.3457943925233638E-3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IF(B$15=0,0,C19/B$15)</f>
        <v>9861.6541353383454</v>
      </c>
      <c r="C19" s="50">
        <v>2623200</v>
      </c>
      <c r="E19" s="34" t="s">
        <v>98</v>
      </c>
      <c r="F19" s="1" t="s">
        <v>51</v>
      </c>
      <c r="G19" s="32">
        <v>1</v>
      </c>
      <c r="H19" s="35">
        <f t="shared" si="0"/>
        <v>9.3457943925233638E-3</v>
      </c>
      <c r="J19" s="31">
        <v>17</v>
      </c>
      <c r="K19" s="36">
        <v>-29.499999999999986</v>
      </c>
    </row>
    <row r="20" spans="1:11" ht="19.5" thickBot="1" x14ac:dyDescent="0.45">
      <c r="A20" s="51" t="s">
        <v>14</v>
      </c>
      <c r="B20" s="52">
        <f>IF(B$18=0,0,C20/B$18)</f>
        <v>-9957.0247933884293</v>
      </c>
      <c r="C20" s="58">
        <v>-1204800</v>
      </c>
      <c r="E20" s="34" t="s">
        <v>113</v>
      </c>
      <c r="F20" s="1" t="s">
        <v>120</v>
      </c>
      <c r="G20" s="32">
        <v>1</v>
      </c>
      <c r="H20" s="35">
        <f t="shared" si="0"/>
        <v>9.3457943925233638E-3</v>
      </c>
      <c r="J20" s="31">
        <v>18</v>
      </c>
      <c r="K20" s="36">
        <v>-14.599999999999985</v>
      </c>
    </row>
    <row r="21" spans="1:11" ht="19.5" thickTop="1" x14ac:dyDescent="0.4">
      <c r="A21" s="47" t="s">
        <v>128</v>
      </c>
      <c r="B21" s="48">
        <v>289</v>
      </c>
      <c r="C21" s="29"/>
      <c r="E21" s="34" t="s">
        <v>79</v>
      </c>
      <c r="F21" s="1" t="s">
        <v>32</v>
      </c>
      <c r="G21" s="32">
        <v>0</v>
      </c>
      <c r="H21" s="35">
        <f t="shared" si="0"/>
        <v>0</v>
      </c>
      <c r="J21" s="31">
        <v>19</v>
      </c>
      <c r="K21" s="36">
        <v>42.600000000000016</v>
      </c>
    </row>
    <row r="22" spans="1:11" x14ac:dyDescent="0.4">
      <c r="A22" s="51" t="s">
        <v>129</v>
      </c>
      <c r="B22" s="54">
        <v>107</v>
      </c>
      <c r="C22" s="55"/>
      <c r="E22" s="34" t="s">
        <v>80</v>
      </c>
      <c r="F22" s="1" t="s">
        <v>33</v>
      </c>
      <c r="G22" s="32">
        <v>0</v>
      </c>
      <c r="H22" s="35">
        <f t="shared" si="0"/>
        <v>0</v>
      </c>
      <c r="J22" s="31">
        <v>20</v>
      </c>
      <c r="K22" s="36">
        <v>68.800000000000011</v>
      </c>
    </row>
    <row r="23" spans="1:11" x14ac:dyDescent="0.4">
      <c r="E23" s="34" t="s">
        <v>81</v>
      </c>
      <c r="F23" s="1" t="s">
        <v>34</v>
      </c>
      <c r="G23" s="32">
        <v>0</v>
      </c>
      <c r="H23" s="35">
        <f t="shared" si="0"/>
        <v>0</v>
      </c>
      <c r="J23" s="31">
        <v>21</v>
      </c>
      <c r="K23" s="36">
        <v>125.30000000000001</v>
      </c>
    </row>
    <row r="24" spans="1:11" x14ac:dyDescent="0.4">
      <c r="E24" s="34" t="s">
        <v>82</v>
      </c>
      <c r="F24" s="1" t="s">
        <v>35</v>
      </c>
      <c r="G24" s="32">
        <v>0</v>
      </c>
      <c r="H24" s="35">
        <f t="shared" si="0"/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 t="shared" si="0"/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 t="shared" si="0"/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 t="shared" si="0"/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 t="shared" si="0"/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 t="shared" si="0"/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 t="shared" si="0"/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 t="shared" si="0"/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 t="shared" si="0"/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 t="shared" si="0"/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 t="shared" ref="H34:H65" si="2">IF(B$22=0,0,G34/B$22)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 t="shared" si="2"/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 t="shared" si="2"/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 t="shared" si="2"/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 t="shared" si="2"/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 t="shared" si="2"/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 t="shared" si="2"/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 t="shared" si="2"/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 t="shared" si="2"/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 t="shared" si="2"/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 t="shared" si="2"/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 t="shared" si="2"/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 t="shared" si="2"/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  <row r="102" spans="10:11" x14ac:dyDescent="0.4">
      <c r="J102" s="31">
        <v>100</v>
      </c>
      <c r="K102" s="36">
        <v>423.70000000000005</v>
      </c>
    </row>
    <row r="103" spans="10:11" x14ac:dyDescent="0.4">
      <c r="J103" s="31">
        <v>101</v>
      </c>
      <c r="K103" s="36">
        <v>416.30000000000007</v>
      </c>
    </row>
    <row r="104" spans="10:11" x14ac:dyDescent="0.4">
      <c r="J104" s="31">
        <v>102</v>
      </c>
      <c r="K104" s="36">
        <v>378.30000000000007</v>
      </c>
    </row>
    <row r="105" spans="10:11" x14ac:dyDescent="0.4">
      <c r="J105" s="31">
        <v>103</v>
      </c>
      <c r="K105" s="36">
        <v>359.50000000000006</v>
      </c>
    </row>
    <row r="106" spans="10:11" x14ac:dyDescent="0.4">
      <c r="J106" s="31">
        <v>104</v>
      </c>
      <c r="K106" s="36">
        <v>386.50000000000006</v>
      </c>
    </row>
  </sheetData>
  <sortState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7B86F-1E20-4E7A-8DBD-7817D7A10481}">
  <sheetPr codeName="Sheet5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194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4</v>
      </c>
      <c r="C9" s="43">
        <f t="shared" si="1"/>
        <v>1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IF(B$18=0,0,C20/B$18)</f>
        <v>-8240</v>
      </c>
      <c r="C20" s="58">
        <v>-82400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D0D36-6169-428E-BD3E-CD31DAAEE8F9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139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IF(B$18=0,0,C20/B$18)</f>
        <v>-12000</v>
      </c>
      <c r="C20" s="58">
        <v>-12000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E252D-D798-4CB7-A5C6-6ADF159EE3D5}">
  <sheetPr codeName="Sheet7"/>
  <dimension ref="A1:K70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190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68</v>
      </c>
      <c r="C2" s="27"/>
      <c r="E2" s="28" t="s">
        <v>73</v>
      </c>
      <c r="F2" s="10" t="s">
        <v>27</v>
      </c>
      <c r="G2" s="26">
        <v>46</v>
      </c>
      <c r="H2" s="29">
        <f t="shared" ref="H2:H33" si="0">IF(B$22=0,0,G2/B$22)</f>
        <v>0.75409836065573765</v>
      </c>
      <c r="J2" s="25">
        <v>0</v>
      </c>
      <c r="K2" s="30">
        <v>0</v>
      </c>
    </row>
    <row r="3" spans="1:11" x14ac:dyDescent="0.4">
      <c r="A3" s="31" t="s">
        <v>8</v>
      </c>
      <c r="B3" s="32">
        <v>510</v>
      </c>
      <c r="C3" s="33"/>
      <c r="E3" s="34" t="s">
        <v>69</v>
      </c>
      <c r="F3" s="1" t="s">
        <v>23</v>
      </c>
      <c r="G3" s="32">
        <v>37</v>
      </c>
      <c r="H3" s="35">
        <f t="shared" si="0"/>
        <v>0.60655737704918034</v>
      </c>
      <c r="J3" s="31">
        <v>1</v>
      </c>
      <c r="K3" s="36">
        <v>40.9</v>
      </c>
    </row>
    <row r="4" spans="1:11" x14ac:dyDescent="0.4">
      <c r="A4" s="31" t="s">
        <v>6</v>
      </c>
      <c r="B4" s="37">
        <v>-407.2999999999999</v>
      </c>
      <c r="C4" s="36"/>
      <c r="E4" s="34" t="s">
        <v>78</v>
      </c>
      <c r="F4" s="1" t="s">
        <v>31</v>
      </c>
      <c r="G4" s="32">
        <v>34</v>
      </c>
      <c r="H4" s="35">
        <f t="shared" si="0"/>
        <v>0.55737704918032782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-5.9897058823529399</v>
      </c>
      <c r="C5" s="38"/>
      <c r="E5" s="34" t="s">
        <v>71</v>
      </c>
      <c r="F5" s="1" t="s">
        <v>25</v>
      </c>
      <c r="G5" s="32">
        <v>32</v>
      </c>
      <c r="H5" s="35">
        <f t="shared" si="0"/>
        <v>0.52459016393442626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2.1764705882352939</v>
      </c>
      <c r="C6" s="40"/>
      <c r="E6" s="34" t="s">
        <v>74</v>
      </c>
      <c r="F6" s="1" t="s">
        <v>12</v>
      </c>
      <c r="G6" s="32">
        <v>22</v>
      </c>
      <c r="H6" s="35">
        <f t="shared" si="0"/>
        <v>0.36065573770491804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0.27941176470588236</v>
      </c>
      <c r="E7" s="34" t="s">
        <v>72</v>
      </c>
      <c r="F7" s="1" t="s">
        <v>26</v>
      </c>
      <c r="G7" s="32">
        <v>14</v>
      </c>
      <c r="H7" s="35">
        <f t="shared" si="0"/>
        <v>0.22950819672131148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18</v>
      </c>
      <c r="C8" s="35">
        <f t="shared" ref="C8:C9" si="1">IF(B$2=0,0,B8/B$2)</f>
        <v>0.26470588235294118</v>
      </c>
      <c r="E8" s="34" t="s">
        <v>96</v>
      </c>
      <c r="F8" s="1" t="s">
        <v>49</v>
      </c>
      <c r="G8" s="32">
        <v>12</v>
      </c>
      <c r="H8" s="35">
        <f t="shared" si="0"/>
        <v>0.19672131147540983</v>
      </c>
      <c r="J8" s="31">
        <v>6</v>
      </c>
      <c r="K8" s="36">
        <v>47.6</v>
      </c>
    </row>
    <row r="9" spans="1:11" x14ac:dyDescent="0.4">
      <c r="A9" s="41" t="s">
        <v>4</v>
      </c>
      <c r="B9" s="42">
        <v>31</v>
      </c>
      <c r="C9" s="43">
        <f t="shared" si="1"/>
        <v>0.45588235294117646</v>
      </c>
      <c r="E9" s="34" t="s">
        <v>76</v>
      </c>
      <c r="F9" s="1" t="s">
        <v>29</v>
      </c>
      <c r="G9" s="32">
        <v>10</v>
      </c>
      <c r="H9" s="35">
        <f t="shared" si="0"/>
        <v>0.16393442622950818</v>
      </c>
      <c r="J9" s="31">
        <v>7</v>
      </c>
      <c r="K9" s="36">
        <v>100.1</v>
      </c>
    </row>
    <row r="10" spans="1:11" ht="19.5" thickBot="1" x14ac:dyDescent="0.45">
      <c r="A10" s="44" t="s">
        <v>21</v>
      </c>
      <c r="B10" s="45">
        <v>19</v>
      </c>
      <c r="C10" s="46">
        <f>IF(B$2=0,0,B10/B$2)</f>
        <v>0.27941176470588236</v>
      </c>
      <c r="E10" s="34" t="s">
        <v>93</v>
      </c>
      <c r="F10" s="1" t="s">
        <v>46</v>
      </c>
      <c r="G10" s="32">
        <v>9</v>
      </c>
      <c r="H10" s="35">
        <f t="shared" si="0"/>
        <v>0.14754098360655737</v>
      </c>
      <c r="J10" s="31">
        <v>8</v>
      </c>
      <c r="K10" s="36">
        <v>60.199999999999996</v>
      </c>
    </row>
    <row r="11" spans="1:11" ht="19.5" thickTop="1" x14ac:dyDescent="0.4">
      <c r="A11" s="60" t="s">
        <v>130</v>
      </c>
      <c r="B11" s="61">
        <v>71</v>
      </c>
      <c r="C11" s="62">
        <f>IF(B$21=0,0,B11/B$21)</f>
        <v>0.28514056224899598</v>
      </c>
      <c r="E11" s="34" t="s">
        <v>70</v>
      </c>
      <c r="F11" s="1" t="s">
        <v>24</v>
      </c>
      <c r="G11" s="32">
        <v>7</v>
      </c>
      <c r="H11" s="35">
        <f t="shared" si="0"/>
        <v>0.11475409836065574</v>
      </c>
      <c r="J11" s="31">
        <v>9</v>
      </c>
      <c r="K11" s="36">
        <v>24.4</v>
      </c>
    </row>
    <row r="12" spans="1:11" x14ac:dyDescent="0.4">
      <c r="A12" s="31" t="s">
        <v>125</v>
      </c>
      <c r="B12" s="32">
        <v>40</v>
      </c>
      <c r="C12" s="35">
        <f>IF(B$21=0,0,B12/B$21)</f>
        <v>0.1606425702811245</v>
      </c>
      <c r="E12" s="34" t="s">
        <v>75</v>
      </c>
      <c r="F12" s="1" t="s">
        <v>28</v>
      </c>
      <c r="G12" s="32">
        <v>7</v>
      </c>
      <c r="H12" s="35">
        <f t="shared" si="0"/>
        <v>0.11475409836065574</v>
      </c>
      <c r="J12" s="31">
        <v>10</v>
      </c>
      <c r="K12" s="36">
        <v>-20.100000000000001</v>
      </c>
    </row>
    <row r="13" spans="1:11" x14ac:dyDescent="0.4">
      <c r="A13" s="25" t="s">
        <v>132</v>
      </c>
      <c r="B13" s="26">
        <v>37</v>
      </c>
      <c r="C13" s="29">
        <f>IF(B$11=0,0,B13/B$11)</f>
        <v>0.52112676056338025</v>
      </c>
      <c r="E13" s="34" t="s">
        <v>90</v>
      </c>
      <c r="F13" s="1" t="s">
        <v>43</v>
      </c>
      <c r="G13" s="32">
        <v>5</v>
      </c>
      <c r="H13" s="35">
        <f t="shared" si="0"/>
        <v>8.1967213114754092E-2</v>
      </c>
      <c r="J13" s="31">
        <v>11</v>
      </c>
      <c r="K13" s="36">
        <v>-3.6000000000000014</v>
      </c>
    </row>
    <row r="14" spans="1:11" x14ac:dyDescent="0.4">
      <c r="A14" s="25" t="s">
        <v>133</v>
      </c>
      <c r="B14" s="26">
        <v>14</v>
      </c>
      <c r="C14" s="29">
        <f>IF(B$12=0,0,B14/B$12)</f>
        <v>0.35</v>
      </c>
      <c r="E14" s="34" t="s">
        <v>77</v>
      </c>
      <c r="F14" s="1" t="s">
        <v>30</v>
      </c>
      <c r="G14" s="32">
        <v>2</v>
      </c>
      <c r="H14" s="35">
        <f t="shared" si="0"/>
        <v>3.2786885245901641E-2</v>
      </c>
      <c r="J14" s="31">
        <v>12</v>
      </c>
      <c r="K14" s="36">
        <v>-12.000000000000002</v>
      </c>
    </row>
    <row r="15" spans="1:11" x14ac:dyDescent="0.4">
      <c r="A15" s="25" t="s">
        <v>10</v>
      </c>
      <c r="B15" s="26">
        <f>B16+B17</f>
        <v>122</v>
      </c>
      <c r="C15" s="29">
        <f>IF(B$3=0,0,B15/B$3)</f>
        <v>0.23921568627450981</v>
      </c>
      <c r="E15" s="34" t="s">
        <v>88</v>
      </c>
      <c r="F15" s="1" t="s">
        <v>41</v>
      </c>
      <c r="G15" s="32">
        <v>2</v>
      </c>
      <c r="H15" s="35">
        <f t="shared" si="0"/>
        <v>3.2786885245901641E-2</v>
      </c>
      <c r="J15" s="31">
        <v>13</v>
      </c>
      <c r="K15" s="36">
        <v>49.5</v>
      </c>
    </row>
    <row r="16" spans="1:11" x14ac:dyDescent="0.4">
      <c r="A16" s="31" t="s">
        <v>11</v>
      </c>
      <c r="B16" s="32">
        <v>71</v>
      </c>
      <c r="C16" s="35">
        <f>IF(B$3=0,0,B16/B$3)</f>
        <v>0.13921568627450981</v>
      </c>
      <c r="E16" s="34" t="s">
        <v>98</v>
      </c>
      <c r="F16" s="1" t="s">
        <v>51</v>
      </c>
      <c r="G16" s="32">
        <v>2</v>
      </c>
      <c r="H16" s="35">
        <f t="shared" si="0"/>
        <v>3.2786885245901641E-2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51</v>
      </c>
      <c r="C17" s="35">
        <f>IF(B$3=0,0,B17/B$3)</f>
        <v>0.1</v>
      </c>
      <c r="E17" s="34" t="s">
        <v>99</v>
      </c>
      <c r="F17" s="1" t="s">
        <v>52</v>
      </c>
      <c r="G17" s="32">
        <v>2</v>
      </c>
      <c r="H17" s="35">
        <f t="shared" si="0"/>
        <v>3.2786885245901641E-2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104</v>
      </c>
      <c r="C18" s="35">
        <f>IF(B$3=0,0,B18/B$3)</f>
        <v>0.20392156862745098</v>
      </c>
      <c r="E18" s="34" t="s">
        <v>85</v>
      </c>
      <c r="F18" s="1" t="s">
        <v>38</v>
      </c>
      <c r="G18" s="32">
        <v>1</v>
      </c>
      <c r="H18" s="35">
        <f t="shared" si="0"/>
        <v>1.6393442622950821E-2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IF(B$15=0,0,C19/B$15)</f>
        <v>11481.967213114754</v>
      </c>
      <c r="C19" s="50">
        <v>1400800</v>
      </c>
      <c r="E19" s="34" t="s">
        <v>91</v>
      </c>
      <c r="F19" s="1" t="s">
        <v>44</v>
      </c>
      <c r="G19" s="32">
        <v>1</v>
      </c>
      <c r="H19" s="35">
        <f t="shared" si="0"/>
        <v>1.6393442622950821E-2</v>
      </c>
      <c r="J19" s="31">
        <v>17</v>
      </c>
      <c r="K19" s="36">
        <v>13.900000000000002</v>
      </c>
    </row>
    <row r="20" spans="1:11" ht="19.5" thickBot="1" x14ac:dyDescent="0.45">
      <c r="A20" s="51" t="s">
        <v>14</v>
      </c>
      <c r="B20" s="52">
        <f>IF(B$18=0,0,C20/B$18)</f>
        <v>-10577.884615384615</v>
      </c>
      <c r="C20" s="58">
        <v>-1100100</v>
      </c>
      <c r="E20" s="34" t="s">
        <v>92</v>
      </c>
      <c r="F20" s="1" t="s">
        <v>45</v>
      </c>
      <c r="G20" s="32">
        <v>1</v>
      </c>
      <c r="H20" s="35">
        <f t="shared" si="0"/>
        <v>1.6393442622950821E-2</v>
      </c>
      <c r="J20" s="31">
        <v>18</v>
      </c>
      <c r="K20" s="36">
        <v>-21.999999999999996</v>
      </c>
    </row>
    <row r="21" spans="1:11" ht="19.5" thickTop="1" x14ac:dyDescent="0.4">
      <c r="A21" s="47" t="s">
        <v>128</v>
      </c>
      <c r="B21" s="48">
        <v>249</v>
      </c>
      <c r="C21" s="29"/>
      <c r="E21" s="34" t="s">
        <v>94</v>
      </c>
      <c r="F21" s="1" t="s">
        <v>47</v>
      </c>
      <c r="G21" s="32">
        <v>1</v>
      </c>
      <c r="H21" s="35">
        <f t="shared" si="0"/>
        <v>1.6393442622950821E-2</v>
      </c>
      <c r="J21" s="31">
        <v>19</v>
      </c>
      <c r="K21" s="36">
        <v>-26.699999999999996</v>
      </c>
    </row>
    <row r="22" spans="1:11" x14ac:dyDescent="0.4">
      <c r="A22" s="51" t="s">
        <v>129</v>
      </c>
      <c r="B22" s="54">
        <v>61</v>
      </c>
      <c r="C22" s="55"/>
      <c r="E22" s="34" t="s">
        <v>95</v>
      </c>
      <c r="F22" s="1" t="s">
        <v>48</v>
      </c>
      <c r="G22" s="32">
        <v>1</v>
      </c>
      <c r="H22" s="35">
        <f t="shared" si="0"/>
        <v>1.6393442622950821E-2</v>
      </c>
      <c r="J22" s="31">
        <v>20</v>
      </c>
      <c r="K22" s="36">
        <v>-57.899999999999991</v>
      </c>
    </row>
    <row r="23" spans="1:11" x14ac:dyDescent="0.4">
      <c r="E23" s="34" t="s">
        <v>79</v>
      </c>
      <c r="F23" s="1" t="s">
        <v>32</v>
      </c>
      <c r="G23" s="32">
        <v>0</v>
      </c>
      <c r="H23" s="35">
        <f t="shared" si="0"/>
        <v>0</v>
      </c>
      <c r="J23" s="31">
        <v>21</v>
      </c>
      <c r="K23" s="36">
        <v>-82.699999999999989</v>
      </c>
    </row>
    <row r="24" spans="1:11" x14ac:dyDescent="0.4">
      <c r="E24" s="34" t="s">
        <v>80</v>
      </c>
      <c r="F24" s="1" t="s">
        <v>33</v>
      </c>
      <c r="G24" s="32">
        <v>0</v>
      </c>
      <c r="H24" s="35">
        <f t="shared" si="0"/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 t="shared" si="0"/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 t="shared" si="0"/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 t="shared" si="0"/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 t="shared" si="0"/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 t="shared" si="0"/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 t="shared" si="0"/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 t="shared" si="0"/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 t="shared" si="0"/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  <row r="66" spans="10:11" x14ac:dyDescent="0.4">
      <c r="J66" s="31">
        <v>64</v>
      </c>
      <c r="K66" s="36">
        <v>-356.99999999999989</v>
      </c>
    </row>
    <row r="67" spans="10:11" x14ac:dyDescent="0.4">
      <c r="J67" s="31">
        <v>65</v>
      </c>
      <c r="K67" s="36">
        <v>-381.09999999999991</v>
      </c>
    </row>
    <row r="68" spans="10:11" x14ac:dyDescent="0.4">
      <c r="J68" s="31">
        <v>66</v>
      </c>
      <c r="K68" s="36">
        <v>-378.49999999999989</v>
      </c>
    </row>
    <row r="69" spans="10:11" x14ac:dyDescent="0.4">
      <c r="J69" s="31">
        <v>67</v>
      </c>
      <c r="K69" s="36">
        <v>-371.19999999999987</v>
      </c>
    </row>
    <row r="70" spans="10:11" x14ac:dyDescent="0.4">
      <c r="J70" s="31">
        <v>68</v>
      </c>
      <c r="K70" s="36">
        <v>-407.2999999999999</v>
      </c>
    </row>
  </sheetData>
  <sortState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01789-BB80-4A12-9420-D8D1FEB7C141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191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 t="shared" ref="H2:H33" si="0">IF(B$22=0,0,G2/B$22)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 t="shared" si="0"/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 t="shared" si="0"/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 t="shared" si="0"/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 t="shared" si="0"/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 t="shared" si="0"/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1">IF(B$2=0,0,B8/B$2)</f>
        <v>0.4358974358974359</v>
      </c>
      <c r="E8" s="34" t="s">
        <v>70</v>
      </c>
      <c r="F8" s="1" t="s">
        <v>24</v>
      </c>
      <c r="G8" s="32">
        <v>1</v>
      </c>
      <c r="H8" s="35">
        <f t="shared" si="0"/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1"/>
        <v>0.20512820512820512</v>
      </c>
      <c r="E9" s="34" t="s">
        <v>75</v>
      </c>
      <c r="F9" s="1" t="s">
        <v>28</v>
      </c>
      <c r="G9" s="32">
        <v>1</v>
      </c>
      <c r="H9" s="35">
        <f t="shared" si="0"/>
        <v>0.1</v>
      </c>
      <c r="J9" s="31">
        <v>7</v>
      </c>
      <c r="K9" s="36">
        <v>-47.6</v>
      </c>
    </row>
    <row r="10" spans="1:11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 t="shared" si="0"/>
        <v>0.1</v>
      </c>
      <c r="J10" s="31">
        <v>8</v>
      </c>
      <c r="K10" s="36">
        <v>-59.1</v>
      </c>
    </row>
    <row r="11" spans="1:11" ht="19.5" thickTop="1" x14ac:dyDescent="0.4">
      <c r="A11" s="60" t="s">
        <v>130</v>
      </c>
      <c r="B11" s="61">
        <v>7</v>
      </c>
      <c r="C11" s="62">
        <f>IF(B$21=0,0,B11/B$21)</f>
        <v>0.21212121212121213</v>
      </c>
      <c r="E11" s="34" t="s">
        <v>90</v>
      </c>
      <c r="F11" s="1" t="s">
        <v>43</v>
      </c>
      <c r="G11" s="32">
        <v>1</v>
      </c>
      <c r="H11" s="35">
        <f t="shared" si="0"/>
        <v>0.1</v>
      </c>
      <c r="J11" s="31">
        <v>9</v>
      </c>
      <c r="K11" s="36">
        <v>-77.900000000000006</v>
      </c>
    </row>
    <row r="12" spans="1:11" x14ac:dyDescent="0.4">
      <c r="A12" s="31" t="s">
        <v>125</v>
      </c>
      <c r="B12" s="32">
        <v>11</v>
      </c>
      <c r="C12" s="35">
        <f>IF(B$21=0,0,B12/B$21)</f>
        <v>0.33333333333333331</v>
      </c>
      <c r="E12" s="34" t="s">
        <v>76</v>
      </c>
      <c r="F12" s="1" t="s">
        <v>29</v>
      </c>
      <c r="G12" s="32">
        <v>0</v>
      </c>
      <c r="H12" s="35">
        <f t="shared" si="0"/>
        <v>0</v>
      </c>
      <c r="J12" s="31">
        <v>10</v>
      </c>
      <c r="K12" s="36">
        <v>-78.900000000000006</v>
      </c>
    </row>
    <row r="13" spans="1:11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 t="shared" si="0"/>
        <v>0</v>
      </c>
      <c r="J13" s="31">
        <v>11</v>
      </c>
      <c r="K13" s="36">
        <v>-88.9</v>
      </c>
    </row>
    <row r="14" spans="1:11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 t="shared" si="0"/>
        <v>0</v>
      </c>
      <c r="J14" s="31">
        <v>12</v>
      </c>
      <c r="K14" s="36">
        <v>-23.5</v>
      </c>
    </row>
    <row r="15" spans="1:11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 t="shared" si="0"/>
        <v>0</v>
      </c>
      <c r="J15" s="31">
        <v>13</v>
      </c>
      <c r="K15" s="36">
        <v>-12.4</v>
      </c>
    </row>
    <row r="16" spans="1:11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 t="shared" si="0"/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 t="shared" si="0"/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 t="shared" si="0"/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IF(B$15=0,0,C19/B$15)</f>
        <v>9631.9587628865975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 t="shared" si="0"/>
        <v>0</v>
      </c>
      <c r="J19" s="31">
        <v>17</v>
      </c>
      <c r="K19" s="36">
        <v>15.799999999999997</v>
      </c>
    </row>
    <row r="20" spans="1:11" ht="19.5" thickBot="1" x14ac:dyDescent="0.45">
      <c r="A20" s="51" t="s">
        <v>14</v>
      </c>
      <c r="B20" s="52">
        <f>IF(B$18=0,0,C20/B$18)</f>
        <v>-9613.8888888888887</v>
      </c>
      <c r="C20" s="58">
        <v>-346100</v>
      </c>
      <c r="E20" s="34" t="s">
        <v>85</v>
      </c>
      <c r="F20" s="1" t="s">
        <v>38</v>
      </c>
      <c r="G20" s="32">
        <v>0</v>
      </c>
      <c r="H20" s="35">
        <f t="shared" si="0"/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128</v>
      </c>
      <c r="B21" s="48">
        <v>33</v>
      </c>
      <c r="C21" s="29"/>
      <c r="E21" s="34" t="s">
        <v>86</v>
      </c>
      <c r="F21" s="1" t="s">
        <v>39</v>
      </c>
      <c r="G21" s="32">
        <v>0</v>
      </c>
      <c r="H21" s="35">
        <f t="shared" si="0"/>
        <v>0</v>
      </c>
      <c r="J21" s="31">
        <v>19</v>
      </c>
      <c r="K21" s="36">
        <v>-17.700000000000003</v>
      </c>
    </row>
    <row r="22" spans="1:11" x14ac:dyDescent="0.4">
      <c r="A22" s="51" t="s">
        <v>129</v>
      </c>
      <c r="B22" s="54">
        <v>10</v>
      </c>
      <c r="C22" s="55"/>
      <c r="E22" s="34" t="s">
        <v>87</v>
      </c>
      <c r="F22" s="1" t="s">
        <v>40</v>
      </c>
      <c r="G22" s="32">
        <v>0</v>
      </c>
      <c r="H22" s="35">
        <f t="shared" si="0"/>
        <v>0</v>
      </c>
      <c r="J22" s="31">
        <v>20</v>
      </c>
      <c r="K22" s="36">
        <v>7.4999999999999964</v>
      </c>
    </row>
    <row r="23" spans="1:11" x14ac:dyDescent="0.4">
      <c r="E23" s="34" t="s">
        <v>89</v>
      </c>
      <c r="F23" s="1" t="s">
        <v>42</v>
      </c>
      <c r="G23" s="32">
        <v>0</v>
      </c>
      <c r="H23" s="35">
        <f t="shared" si="0"/>
        <v>0</v>
      </c>
      <c r="J23" s="31">
        <v>21</v>
      </c>
      <c r="K23" s="36">
        <v>69.8</v>
      </c>
    </row>
    <row r="24" spans="1:11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C6283-B5B9-477E-BB81-0E447A723EB2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145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1</v>
      </c>
      <c r="C8" s="35">
        <f t="shared" ref="C8:C9" si="1">IF(B$2=0,0,B8/B$2)</f>
        <v>1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IF(B$18=0,0,C20/B$18)</f>
        <v>-8500</v>
      </c>
      <c r="C20" s="58">
        <v>-17000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9CDE5-06EE-48A0-9FA4-E570A66F2959}">
  <sheetPr codeName="Sheet10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192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 t="shared" ref="H2:H33" si="0">IF(B$22=0,0,G2/B$22)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 t="shared" si="0"/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 t="shared" si="0"/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 t="shared" si="0"/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 t="shared" si="0"/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 t="shared" si="0"/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1">IF(B$2=0,0,B8/B$2)</f>
        <v>0.37142857142857144</v>
      </c>
      <c r="E8" s="34" t="s">
        <v>96</v>
      </c>
      <c r="F8" s="1" t="s">
        <v>49</v>
      </c>
      <c r="G8" s="32">
        <v>3</v>
      </c>
      <c r="H8" s="35">
        <f t="shared" si="0"/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1"/>
        <v>0.37142857142857144</v>
      </c>
      <c r="E9" s="34" t="s">
        <v>85</v>
      </c>
      <c r="F9" s="1" t="s">
        <v>38</v>
      </c>
      <c r="G9" s="32">
        <v>2</v>
      </c>
      <c r="H9" s="35">
        <f t="shared" si="0"/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 t="shared" si="0"/>
        <v>8.6956521739130432E-2</v>
      </c>
      <c r="J10" s="31">
        <v>8</v>
      </c>
      <c r="K10" s="36">
        <v>97</v>
      </c>
    </row>
    <row r="11" spans="1:11" ht="19.5" thickTop="1" x14ac:dyDescent="0.4">
      <c r="A11" s="60" t="s">
        <v>130</v>
      </c>
      <c r="B11" s="61">
        <v>17</v>
      </c>
      <c r="C11" s="62">
        <f>IF(B$21=0,0,B11/B$21)</f>
        <v>0.19540229885057472</v>
      </c>
      <c r="E11" s="34" t="s">
        <v>75</v>
      </c>
      <c r="F11" s="1" t="s">
        <v>28</v>
      </c>
      <c r="G11" s="32">
        <v>1</v>
      </c>
      <c r="H11" s="35">
        <f t="shared" si="0"/>
        <v>4.3478260869565216E-2</v>
      </c>
      <c r="J11" s="31">
        <v>9</v>
      </c>
      <c r="K11" s="36">
        <v>83.3</v>
      </c>
    </row>
    <row r="12" spans="1:11" x14ac:dyDescent="0.4">
      <c r="A12" s="31" t="s">
        <v>125</v>
      </c>
      <c r="B12" s="32">
        <v>25</v>
      </c>
      <c r="C12" s="35">
        <f>IF(B$21=0,0,B12/B$21)</f>
        <v>0.28735632183908044</v>
      </c>
      <c r="E12" s="34" t="s">
        <v>76</v>
      </c>
      <c r="F12" s="1" t="s">
        <v>29</v>
      </c>
      <c r="G12" s="32">
        <v>1</v>
      </c>
      <c r="H12" s="35">
        <f t="shared" si="0"/>
        <v>4.3478260869565216E-2</v>
      </c>
      <c r="J12" s="31">
        <v>10</v>
      </c>
      <c r="K12" s="36">
        <v>111</v>
      </c>
    </row>
    <row r="13" spans="1:11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 t="shared" si="0"/>
        <v>4.3478260869565216E-2</v>
      </c>
      <c r="J13" s="31">
        <v>11</v>
      </c>
      <c r="K13" s="36">
        <v>138.69999999999999</v>
      </c>
    </row>
    <row r="14" spans="1:11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 t="shared" si="0"/>
        <v>4.3478260869565216E-2</v>
      </c>
      <c r="J14" s="31">
        <v>12</v>
      </c>
      <c r="K14" s="36">
        <v>99.799999999999983</v>
      </c>
    </row>
    <row r="15" spans="1:11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 t="shared" si="0"/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 t="shared" si="0"/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 t="shared" si="0"/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 t="shared" si="0"/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IF(B$15=0,0,C19/B$15)</f>
        <v>10240.25974025974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 t="shared" si="0"/>
        <v>0</v>
      </c>
      <c r="J19" s="31">
        <v>17</v>
      </c>
      <c r="K19" s="36">
        <v>-17.100000000000016</v>
      </c>
    </row>
    <row r="20" spans="1:11" ht="19.5" thickBot="1" x14ac:dyDescent="0.45">
      <c r="A20" s="51" t="s">
        <v>14</v>
      </c>
      <c r="B20" s="52">
        <f>IF(B$18=0,0,C20/B$18)</f>
        <v>-8287.2727272727279</v>
      </c>
      <c r="C20" s="58">
        <v>-455800</v>
      </c>
      <c r="E20" s="34" t="s">
        <v>80</v>
      </c>
      <c r="F20" s="1" t="s">
        <v>33</v>
      </c>
      <c r="G20" s="32">
        <v>0</v>
      </c>
      <c r="H20" s="35">
        <f t="shared" si="0"/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128</v>
      </c>
      <c r="B21" s="48">
        <v>87</v>
      </c>
      <c r="C21" s="29"/>
      <c r="E21" s="34" t="s">
        <v>82</v>
      </c>
      <c r="F21" s="1" t="s">
        <v>35</v>
      </c>
      <c r="G21" s="32">
        <v>0</v>
      </c>
      <c r="H21" s="35">
        <f t="shared" si="0"/>
        <v>0</v>
      </c>
      <c r="J21" s="31">
        <v>19</v>
      </c>
      <c r="K21" s="36">
        <v>-2.1000000000000156</v>
      </c>
    </row>
    <row r="22" spans="1:11" x14ac:dyDescent="0.4">
      <c r="A22" s="51" t="s">
        <v>129</v>
      </c>
      <c r="B22" s="54">
        <v>23</v>
      </c>
      <c r="C22" s="55"/>
      <c r="E22" s="34" t="s">
        <v>83</v>
      </c>
      <c r="F22" s="1" t="s">
        <v>36</v>
      </c>
      <c r="G22" s="32">
        <v>0</v>
      </c>
      <c r="H22" s="35">
        <f t="shared" si="0"/>
        <v>0</v>
      </c>
      <c r="J22" s="31">
        <v>20</v>
      </c>
      <c r="K22" s="36">
        <v>45.899999999999984</v>
      </c>
    </row>
    <row r="23" spans="1:11" x14ac:dyDescent="0.4">
      <c r="E23" s="34" t="s">
        <v>86</v>
      </c>
      <c r="F23" s="1" t="s">
        <v>39</v>
      </c>
      <c r="G23" s="32">
        <v>0</v>
      </c>
      <c r="H23" s="35">
        <f t="shared" si="0"/>
        <v>0</v>
      </c>
      <c r="J23" s="31">
        <v>21</v>
      </c>
      <c r="K23" s="36">
        <v>4.0999999999999872</v>
      </c>
    </row>
    <row r="24" spans="1:11" x14ac:dyDescent="0.4">
      <c r="E24" s="34" t="s">
        <v>87</v>
      </c>
      <c r="F24" s="1" t="s">
        <v>40</v>
      </c>
      <c r="G24" s="32">
        <v>0</v>
      </c>
      <c r="H24" s="35">
        <f t="shared" si="0"/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 t="shared" si="0"/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 t="shared" si="0"/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 t="shared" si="0"/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 t="shared" si="0"/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 t="shared" si="0"/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8DF07-8881-4B1A-9579-3E001D236C35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193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44</v>
      </c>
      <c r="C2" s="27"/>
      <c r="E2" s="28" t="s">
        <v>71</v>
      </c>
      <c r="F2" s="10" t="s">
        <v>25</v>
      </c>
      <c r="G2" s="26">
        <v>68</v>
      </c>
      <c r="H2" s="29">
        <f t="shared" ref="H2:H33" si="0">IF(B$22=0,0,G2/B$22)</f>
        <v>1.0303030303030303</v>
      </c>
      <c r="J2" s="25">
        <v>0</v>
      </c>
      <c r="K2" s="30">
        <v>0</v>
      </c>
    </row>
    <row r="3" spans="1:11" x14ac:dyDescent="0.4">
      <c r="A3" s="31" t="s">
        <v>8</v>
      </c>
      <c r="B3" s="32">
        <v>331</v>
      </c>
      <c r="C3" s="33"/>
      <c r="E3" s="34" t="s">
        <v>73</v>
      </c>
      <c r="F3" s="1" t="s">
        <v>27</v>
      </c>
      <c r="G3" s="32">
        <v>59</v>
      </c>
      <c r="H3" s="35">
        <f t="shared" si="0"/>
        <v>0.89393939393939392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193.79999999999995</v>
      </c>
      <c r="C4" s="36"/>
      <c r="E4" s="34" t="s">
        <v>69</v>
      </c>
      <c r="F4" s="1" t="s">
        <v>23</v>
      </c>
      <c r="G4" s="32">
        <v>40</v>
      </c>
      <c r="H4" s="35">
        <f t="shared" si="0"/>
        <v>0.60606060606060608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4.4045454545454534</v>
      </c>
      <c r="C5" s="38"/>
      <c r="E5" s="34" t="s">
        <v>78</v>
      </c>
      <c r="F5" s="1" t="s">
        <v>31</v>
      </c>
      <c r="G5" s="32">
        <v>40</v>
      </c>
      <c r="H5" s="35">
        <f t="shared" si="0"/>
        <v>0.60606060606060608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1.8863636363636365</v>
      </c>
      <c r="C6" s="40"/>
      <c r="E6" s="34" t="s">
        <v>72</v>
      </c>
      <c r="F6" s="1" t="s">
        <v>26</v>
      </c>
      <c r="G6" s="32">
        <v>22</v>
      </c>
      <c r="H6" s="35">
        <f t="shared" si="0"/>
        <v>0.33333333333333331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18</v>
      </c>
      <c r="C7" s="35">
        <f>IF(B$2=0,0,B7/B$2)</f>
        <v>0.40909090909090912</v>
      </c>
      <c r="E7" s="34" t="s">
        <v>74</v>
      </c>
      <c r="F7" s="1" t="s">
        <v>12</v>
      </c>
      <c r="G7" s="32">
        <v>20</v>
      </c>
      <c r="H7" s="35">
        <f t="shared" si="0"/>
        <v>0.30303030303030304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13</v>
      </c>
      <c r="C8" s="35">
        <f t="shared" ref="C8:C9" si="1">IF(B$2=0,0,B8/B$2)</f>
        <v>0.29545454545454547</v>
      </c>
      <c r="E8" s="34" t="s">
        <v>75</v>
      </c>
      <c r="F8" s="1" t="s">
        <v>28</v>
      </c>
      <c r="G8" s="32">
        <v>11</v>
      </c>
      <c r="H8" s="35">
        <f t="shared" si="0"/>
        <v>0.16666666666666666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1"/>
        <v>0.29545454545454547</v>
      </c>
      <c r="E9" s="34" t="s">
        <v>96</v>
      </c>
      <c r="F9" s="1" t="s">
        <v>49</v>
      </c>
      <c r="G9" s="32">
        <v>10</v>
      </c>
      <c r="H9" s="35">
        <f t="shared" si="0"/>
        <v>0.15151515151515152</v>
      </c>
      <c r="J9" s="31">
        <v>7</v>
      </c>
      <c r="K9" s="36">
        <v>-105.70000000000002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0.15909090909090909</v>
      </c>
      <c r="E10" s="34" t="s">
        <v>70</v>
      </c>
      <c r="F10" s="1" t="s">
        <v>24</v>
      </c>
      <c r="G10" s="32">
        <v>7</v>
      </c>
      <c r="H10" s="35">
        <f t="shared" si="0"/>
        <v>0.10606060606060606</v>
      </c>
      <c r="J10" s="31">
        <v>8</v>
      </c>
      <c r="K10" s="36">
        <v>-51.800000000000018</v>
      </c>
    </row>
    <row r="11" spans="1:11" ht="19.5" thickTop="1" x14ac:dyDescent="0.4">
      <c r="A11" s="60" t="s">
        <v>130</v>
      </c>
      <c r="B11" s="61">
        <v>67</v>
      </c>
      <c r="C11" s="62">
        <f>IF(B$21=0,0,B11/B$21)</f>
        <v>0.3383838383838384</v>
      </c>
      <c r="E11" s="34" t="s">
        <v>76</v>
      </c>
      <c r="F11" s="1" t="s">
        <v>29</v>
      </c>
      <c r="G11" s="32">
        <v>6</v>
      </c>
      <c r="H11" s="35">
        <f t="shared" si="0"/>
        <v>9.0909090909090912E-2</v>
      </c>
      <c r="J11" s="31">
        <v>9</v>
      </c>
      <c r="K11" s="36">
        <v>-53.000000000000021</v>
      </c>
    </row>
    <row r="12" spans="1:11" x14ac:dyDescent="0.4">
      <c r="A12" s="31" t="s">
        <v>125</v>
      </c>
      <c r="B12" s="32">
        <v>50</v>
      </c>
      <c r="C12" s="35">
        <f>IF(B$21=0,0,B12/B$21)</f>
        <v>0.25252525252525254</v>
      </c>
      <c r="E12" s="34" t="s">
        <v>77</v>
      </c>
      <c r="F12" s="1" t="s">
        <v>30</v>
      </c>
      <c r="G12" s="32">
        <v>5</v>
      </c>
      <c r="H12" s="35">
        <f t="shared" si="0"/>
        <v>7.575757575757576E-2</v>
      </c>
      <c r="J12" s="31">
        <v>10</v>
      </c>
      <c r="K12" s="36">
        <v>-72.300000000000026</v>
      </c>
    </row>
    <row r="13" spans="1:11" x14ac:dyDescent="0.4">
      <c r="A13" s="25" t="s">
        <v>132</v>
      </c>
      <c r="B13" s="26">
        <v>41</v>
      </c>
      <c r="C13" s="29">
        <f>IF(B$11=0,0,B13/B$11)</f>
        <v>0.61194029850746268</v>
      </c>
      <c r="E13" s="34" t="s">
        <v>93</v>
      </c>
      <c r="F13" s="1" t="s">
        <v>46</v>
      </c>
      <c r="G13" s="32">
        <v>5</v>
      </c>
      <c r="H13" s="35">
        <f t="shared" si="0"/>
        <v>7.575757575757576E-2</v>
      </c>
      <c r="J13" s="31">
        <v>11</v>
      </c>
      <c r="K13" s="36">
        <v>-91.600000000000023</v>
      </c>
    </row>
    <row r="14" spans="1:11" x14ac:dyDescent="0.4">
      <c r="A14" s="25" t="s">
        <v>133</v>
      </c>
      <c r="B14" s="26">
        <v>19</v>
      </c>
      <c r="C14" s="29">
        <f>IF(B$12=0,0,B14/B$12)</f>
        <v>0.38</v>
      </c>
      <c r="E14" s="34" t="s">
        <v>84</v>
      </c>
      <c r="F14" s="1" t="s">
        <v>37</v>
      </c>
      <c r="G14" s="32">
        <v>2</v>
      </c>
      <c r="H14" s="35">
        <f t="shared" si="0"/>
        <v>3.0303030303030304E-2</v>
      </c>
      <c r="J14" s="31">
        <v>12</v>
      </c>
      <c r="K14" s="36">
        <v>-88.600000000000023</v>
      </c>
    </row>
    <row r="15" spans="1:11" x14ac:dyDescent="0.4">
      <c r="A15" s="25" t="s">
        <v>10</v>
      </c>
      <c r="B15" s="26">
        <f>B16+B17</f>
        <v>104</v>
      </c>
      <c r="C15" s="29">
        <f>IF(B$3=0,0,B15/B$3)</f>
        <v>0.31419939577039274</v>
      </c>
      <c r="E15" s="34" t="s">
        <v>80</v>
      </c>
      <c r="F15" s="1" t="s">
        <v>33</v>
      </c>
      <c r="G15" s="32">
        <v>1</v>
      </c>
      <c r="H15" s="35">
        <f t="shared" si="0"/>
        <v>1.5151515151515152E-2</v>
      </c>
      <c r="J15" s="31">
        <v>13</v>
      </c>
      <c r="K15" s="36">
        <v>-73.100000000000023</v>
      </c>
    </row>
    <row r="16" spans="1:11" x14ac:dyDescent="0.4">
      <c r="A16" s="31" t="s">
        <v>11</v>
      </c>
      <c r="B16" s="32">
        <v>62</v>
      </c>
      <c r="C16" s="35">
        <f>IF(B$3=0,0,B16/B$3)</f>
        <v>0.18731117824773413</v>
      </c>
      <c r="E16" s="34" t="s">
        <v>88</v>
      </c>
      <c r="F16" s="1" t="s">
        <v>41</v>
      </c>
      <c r="G16" s="32">
        <v>1</v>
      </c>
      <c r="H16" s="35">
        <f t="shared" si="0"/>
        <v>1.5151515151515152E-2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42</v>
      </c>
      <c r="C17" s="35">
        <f>IF(B$3=0,0,B17/B$3)</f>
        <v>0.12688821752265861</v>
      </c>
      <c r="E17" s="34" t="s">
        <v>90</v>
      </c>
      <c r="F17" s="1" t="s">
        <v>43</v>
      </c>
      <c r="G17" s="32">
        <v>1</v>
      </c>
      <c r="H17" s="35">
        <f t="shared" si="0"/>
        <v>1.5151515151515152E-2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52</v>
      </c>
      <c r="C18" s="35">
        <f>IF(B$3=0,0,B18/B$3)</f>
        <v>0.15709969788519637</v>
      </c>
      <c r="E18" s="34" t="s">
        <v>98</v>
      </c>
      <c r="F18" s="1" t="s">
        <v>51</v>
      </c>
      <c r="G18" s="32">
        <v>1</v>
      </c>
      <c r="H18" s="35">
        <f t="shared" si="0"/>
        <v>1.5151515151515152E-2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IF(B$15=0,0,C19/B$15)</f>
        <v>11229.807692307691</v>
      </c>
      <c r="C19" s="50">
        <v>1167900</v>
      </c>
      <c r="E19" s="34" t="s">
        <v>79</v>
      </c>
      <c r="F19" s="1" t="s">
        <v>32</v>
      </c>
      <c r="G19" s="32">
        <v>0</v>
      </c>
      <c r="H19" s="35">
        <f t="shared" si="0"/>
        <v>0</v>
      </c>
      <c r="J19" s="31">
        <v>17</v>
      </c>
      <c r="K19" s="36">
        <v>40.09999999999998</v>
      </c>
    </row>
    <row r="20" spans="1:11" ht="19.5" thickBot="1" x14ac:dyDescent="0.45">
      <c r="A20" s="51" t="s">
        <v>14</v>
      </c>
      <c r="B20" s="52">
        <f>IF(B$18=0,0,C20/B$18)</f>
        <v>-9665.3846153846152</v>
      </c>
      <c r="C20" s="58">
        <v>-502600</v>
      </c>
      <c r="E20" s="34" t="s">
        <v>81</v>
      </c>
      <c r="F20" s="1" t="s">
        <v>34</v>
      </c>
      <c r="G20" s="32">
        <v>0</v>
      </c>
      <c r="H20" s="35">
        <f t="shared" si="0"/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128</v>
      </c>
      <c r="B21" s="48">
        <v>198</v>
      </c>
      <c r="C21" s="29"/>
      <c r="E21" s="34" t="s">
        <v>82</v>
      </c>
      <c r="F21" s="1" t="s">
        <v>35</v>
      </c>
      <c r="G21" s="32">
        <v>0</v>
      </c>
      <c r="H21" s="35">
        <f t="shared" si="0"/>
        <v>0</v>
      </c>
      <c r="J21" s="31">
        <v>19</v>
      </c>
      <c r="K21" s="36">
        <v>103.79999999999998</v>
      </c>
    </row>
    <row r="22" spans="1:11" x14ac:dyDescent="0.4">
      <c r="A22" s="51" t="s">
        <v>129</v>
      </c>
      <c r="B22" s="54">
        <v>66</v>
      </c>
      <c r="C22" s="55"/>
      <c r="E22" s="34" t="s">
        <v>83</v>
      </c>
      <c r="F22" s="1" t="s">
        <v>36</v>
      </c>
      <c r="G22" s="32">
        <v>0</v>
      </c>
      <c r="H22" s="35">
        <f t="shared" si="0"/>
        <v>0</v>
      </c>
      <c r="J22" s="31">
        <v>20</v>
      </c>
      <c r="K22" s="36">
        <v>106.89999999999998</v>
      </c>
    </row>
    <row r="23" spans="1:11" x14ac:dyDescent="0.4">
      <c r="E23" s="34" t="s">
        <v>85</v>
      </c>
      <c r="F23" s="1" t="s">
        <v>38</v>
      </c>
      <c r="G23" s="32">
        <v>0</v>
      </c>
      <c r="H23" s="35">
        <f t="shared" si="0"/>
        <v>0</v>
      </c>
      <c r="J23" s="31">
        <v>21</v>
      </c>
      <c r="K23" s="36">
        <v>108.09999999999998</v>
      </c>
    </row>
    <row r="24" spans="1:11" x14ac:dyDescent="0.4">
      <c r="E24" s="34" t="s">
        <v>86</v>
      </c>
      <c r="F24" s="1" t="s">
        <v>39</v>
      </c>
      <c r="G24" s="32">
        <v>0</v>
      </c>
      <c r="H24" s="35">
        <f t="shared" si="0"/>
        <v>0</v>
      </c>
      <c r="J24" s="31">
        <v>22</v>
      </c>
      <c r="K24" s="36">
        <v>110.89999999999998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 t="shared" si="0"/>
        <v>0</v>
      </c>
      <c r="J25" s="31">
        <v>23</v>
      </c>
      <c r="K25" s="36">
        <v>155.49999999999997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 t="shared" si="0"/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 t="shared" si="0"/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 t="shared" si="0"/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 t="shared" si="0"/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 t="shared" si="0"/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 t="shared" si="0"/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  <c r="J42" s="31">
        <v>40</v>
      </c>
      <c r="K42" s="36">
        <v>106.29999999999995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  <c r="J43" s="31">
        <v>41</v>
      </c>
      <c r="K43" s="36">
        <v>137.79999999999995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  <c r="J44" s="31">
        <v>42</v>
      </c>
      <c r="K44" s="36">
        <v>173.19999999999996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  <c r="J45" s="31">
        <v>43</v>
      </c>
      <c r="K45" s="36">
        <v>184.69999999999996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  <c r="J46" s="31">
        <v>44</v>
      </c>
      <c r="K46" s="36">
        <v>193.79999999999995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1B76B-56D3-4EC4-9183-BCCBE0F1C613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 t="shared" si="0"/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1">IF(B$2=0,0,B8/B$2)</f>
        <v>0.25</v>
      </c>
      <c r="E8" s="34" t="s">
        <v>75</v>
      </c>
      <c r="F8" s="1" t="s">
        <v>28</v>
      </c>
      <c r="G8" s="32">
        <v>0</v>
      </c>
      <c r="H8" s="35">
        <f t="shared" si="0"/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1"/>
        <v>0.25</v>
      </c>
      <c r="E9" s="34" t="s">
        <v>76</v>
      </c>
      <c r="F9" s="1" t="s">
        <v>29</v>
      </c>
      <c r="G9" s="32">
        <v>0</v>
      </c>
      <c r="H9" s="35">
        <f t="shared" si="0"/>
        <v>0</v>
      </c>
      <c r="J9" s="31">
        <v>7</v>
      </c>
      <c r="K9" s="36">
        <v>40</v>
      </c>
    </row>
    <row r="10" spans="1:11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 t="shared" si="0"/>
        <v>0</v>
      </c>
      <c r="J10" s="31">
        <v>8</v>
      </c>
      <c r="K10" s="36">
        <v>4.2000000000000028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  <c r="J11" s="31">
        <v>9</v>
      </c>
      <c r="K11" s="36">
        <v>6.8000000000000025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  <c r="J12" s="31">
        <v>10</v>
      </c>
      <c r="K12" s="36">
        <v>56.800000000000004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  <c r="J13" s="31">
        <v>11</v>
      </c>
      <c r="K13" s="36">
        <v>69.300000000000011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  <c r="J14" s="31">
        <v>12</v>
      </c>
      <c r="K14" s="36">
        <v>80.800000000000011</v>
      </c>
    </row>
    <row r="15" spans="1:11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10857.142857142857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IF(B$18=0,0,C20/B$18)</f>
        <v>-9927.2727272727279</v>
      </c>
      <c r="C20" s="58">
        <v>-109200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EE4ED-6D4B-438F-BD92-B71C81CDB886}">
  <sheetPr codeName="Sheet1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196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 t="shared" ref="H2:H33" si="0">IF(B$22=0,0,G2/B$22)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 t="shared" si="0"/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 t="shared" si="0"/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 t="shared" si="0"/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 t="shared" si="0"/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 t="shared" si="0"/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1">IF(B$2=0,0,B8/B$2)</f>
        <v>0.24</v>
      </c>
      <c r="E8" s="34" t="s">
        <v>96</v>
      </c>
      <c r="F8" s="1" t="s">
        <v>49</v>
      </c>
      <c r="G8" s="32">
        <v>8</v>
      </c>
      <c r="H8" s="35">
        <f t="shared" si="0"/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1"/>
        <v>0.52</v>
      </c>
      <c r="E9" s="34" t="s">
        <v>75</v>
      </c>
      <c r="F9" s="1" t="s">
        <v>28</v>
      </c>
      <c r="G9" s="32">
        <v>7</v>
      </c>
      <c r="H9" s="35">
        <f t="shared" si="0"/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 t="shared" si="0"/>
        <v>9.0909090909090912E-2</v>
      </c>
      <c r="J10" s="31">
        <v>8</v>
      </c>
      <c r="K10" s="36">
        <v>-146</v>
      </c>
    </row>
    <row r="11" spans="1:11" ht="19.5" thickTop="1" x14ac:dyDescent="0.4">
      <c r="A11" s="60" t="s">
        <v>130</v>
      </c>
      <c r="B11" s="61">
        <v>39</v>
      </c>
      <c r="C11" s="62">
        <f>IF(B$21=0,0,B11/B$21)</f>
        <v>0.24223602484472051</v>
      </c>
      <c r="E11" s="34" t="s">
        <v>84</v>
      </c>
      <c r="F11" s="1" t="s">
        <v>37</v>
      </c>
      <c r="G11" s="32">
        <v>4</v>
      </c>
      <c r="H11" s="35">
        <f t="shared" si="0"/>
        <v>9.0909090909090912E-2</v>
      </c>
      <c r="J11" s="31">
        <v>9</v>
      </c>
      <c r="K11" s="36">
        <v>-173</v>
      </c>
    </row>
    <row r="12" spans="1:11" x14ac:dyDescent="0.4">
      <c r="A12" s="31" t="s">
        <v>125</v>
      </c>
      <c r="B12" s="32">
        <v>37</v>
      </c>
      <c r="C12" s="35">
        <f>IF(B$21=0,0,B12/B$21)</f>
        <v>0.22981366459627328</v>
      </c>
      <c r="E12" s="34" t="s">
        <v>70</v>
      </c>
      <c r="F12" s="1" t="s">
        <v>24</v>
      </c>
      <c r="G12" s="32">
        <v>3</v>
      </c>
      <c r="H12" s="35">
        <f t="shared" si="0"/>
        <v>6.8181818181818177E-2</v>
      </c>
      <c r="J12" s="31">
        <v>10</v>
      </c>
      <c r="K12" s="36">
        <v>-206.1</v>
      </c>
    </row>
    <row r="13" spans="1:11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 t="shared" si="0"/>
        <v>4.5454545454545456E-2</v>
      </c>
      <c r="J13" s="31">
        <v>11</v>
      </c>
      <c r="K13" s="36">
        <v>-174</v>
      </c>
    </row>
    <row r="14" spans="1:11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 t="shared" si="0"/>
        <v>4.5454545454545456E-2</v>
      </c>
      <c r="J14" s="31">
        <v>12</v>
      </c>
      <c r="K14" s="36">
        <v>-197</v>
      </c>
    </row>
    <row r="15" spans="1:11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 t="shared" si="0"/>
        <v>2.2727272727272728E-2</v>
      </c>
      <c r="J15" s="31">
        <v>13</v>
      </c>
      <c r="K15" s="36">
        <v>-235</v>
      </c>
    </row>
    <row r="16" spans="1:11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 t="shared" si="0"/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 t="shared" si="0"/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 t="shared" si="0"/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IF(B$15=0,0,C19/B$15)</f>
        <v>10729.62962962963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 t="shared" si="0"/>
        <v>0</v>
      </c>
      <c r="J19" s="31">
        <v>17</v>
      </c>
      <c r="K19" s="36">
        <v>-268.7</v>
      </c>
    </row>
    <row r="20" spans="1:11" ht="19.5" thickBot="1" x14ac:dyDescent="0.45">
      <c r="A20" s="51" t="s">
        <v>14</v>
      </c>
      <c r="B20" s="52">
        <f>IF(B$18=0,0,C20/B$18)</f>
        <v>-9697.5609756097565</v>
      </c>
      <c r="C20" s="58">
        <v>-397600</v>
      </c>
      <c r="E20" s="34" t="s">
        <v>80</v>
      </c>
      <c r="F20" s="1" t="s">
        <v>33</v>
      </c>
      <c r="G20" s="32">
        <v>0</v>
      </c>
      <c r="H20" s="35">
        <f t="shared" si="0"/>
        <v>0</v>
      </c>
      <c r="J20" s="31">
        <v>18</v>
      </c>
      <c r="K20" s="36">
        <v>-295.8</v>
      </c>
    </row>
    <row r="21" spans="1:11" ht="19.5" thickTop="1" x14ac:dyDescent="0.4">
      <c r="A21" s="47" t="s">
        <v>128</v>
      </c>
      <c r="B21" s="48">
        <v>161</v>
      </c>
      <c r="C21" s="29"/>
      <c r="E21" s="34" t="s">
        <v>82</v>
      </c>
      <c r="F21" s="1" t="s">
        <v>35</v>
      </c>
      <c r="G21" s="32">
        <v>0</v>
      </c>
      <c r="H21" s="35">
        <f t="shared" si="0"/>
        <v>0</v>
      </c>
      <c r="J21" s="31">
        <v>19</v>
      </c>
      <c r="K21" s="36">
        <v>-273.2</v>
      </c>
    </row>
    <row r="22" spans="1:11" x14ac:dyDescent="0.4">
      <c r="A22" s="51" t="s">
        <v>129</v>
      </c>
      <c r="B22" s="54">
        <v>44</v>
      </c>
      <c r="C22" s="55"/>
      <c r="E22" s="34" t="s">
        <v>83</v>
      </c>
      <c r="F22" s="1" t="s">
        <v>36</v>
      </c>
      <c r="G22" s="32">
        <v>0</v>
      </c>
      <c r="H22" s="35">
        <f t="shared" si="0"/>
        <v>0</v>
      </c>
      <c r="J22" s="31">
        <v>20</v>
      </c>
      <c r="K22" s="36">
        <v>-270</v>
      </c>
    </row>
    <row r="23" spans="1:11" x14ac:dyDescent="0.4">
      <c r="E23" s="34" t="s">
        <v>85</v>
      </c>
      <c r="F23" s="1" t="s">
        <v>38</v>
      </c>
      <c r="G23" s="32">
        <v>0</v>
      </c>
      <c r="H23" s="35">
        <f t="shared" si="0"/>
        <v>0</v>
      </c>
      <c r="J23" s="31">
        <v>21</v>
      </c>
      <c r="K23" s="36">
        <v>-242</v>
      </c>
    </row>
    <row r="24" spans="1:11" x14ac:dyDescent="0.4">
      <c r="E24" s="34" t="s">
        <v>86</v>
      </c>
      <c r="F24" s="1" t="s">
        <v>39</v>
      </c>
      <c r="G24" s="32">
        <v>0</v>
      </c>
      <c r="H24" s="35">
        <f t="shared" si="0"/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 t="shared" si="0"/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 t="shared" si="0"/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 t="shared" si="0"/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 t="shared" si="0"/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 t="shared" si="0"/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 t="shared" si="0"/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 t="shared" si="0"/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 t="shared" si="0"/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/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51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</row>
    <row r="4" spans="1:11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IF(B$18=0,0,C20/B$18)</f>
        <v>0</v>
      </c>
      <c r="C20" s="58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si="0"/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0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0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0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0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0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0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0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0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0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0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0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0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0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0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0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0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8" bestFit="1" customWidth="1"/>
    <col min="2" max="2" width="16.875" style="71" bestFit="1" customWidth="1"/>
    <col min="3" max="3" width="9" style="74"/>
    <col min="4" max="16384" width="9" style="63"/>
  </cols>
  <sheetData>
    <row r="1" spans="1:14" s="65" customFormat="1" x14ac:dyDescent="0.4">
      <c r="A1" s="66" t="s">
        <v>186</v>
      </c>
      <c r="B1" s="69" t="s">
        <v>187</v>
      </c>
      <c r="C1" s="72" t="s">
        <v>188</v>
      </c>
    </row>
    <row r="2" spans="1:14" s="64" customFormat="1" x14ac:dyDescent="0.4">
      <c r="A2" s="67" t="s">
        <v>136</v>
      </c>
      <c r="B2" s="70">
        <v>43454.62740740741</v>
      </c>
      <c r="C2" s="73" t="s">
        <v>174</v>
      </c>
    </row>
    <row r="3" spans="1:14" x14ac:dyDescent="0.4">
      <c r="A3" s="68" t="s">
        <v>140</v>
      </c>
      <c r="B3" s="71">
        <v>43454.62740740741</v>
      </c>
      <c r="C3" s="74" t="s">
        <v>174</v>
      </c>
    </row>
    <row r="4" spans="1:14" x14ac:dyDescent="0.4">
      <c r="A4" s="68" t="s">
        <v>143</v>
      </c>
      <c r="B4" s="71">
        <v>43454.62740740741</v>
      </c>
      <c r="C4" s="74" t="s">
        <v>174</v>
      </c>
    </row>
    <row r="5" spans="1:14" x14ac:dyDescent="0.4">
      <c r="A5" s="68" t="s">
        <v>144</v>
      </c>
      <c r="B5" s="71">
        <v>43454.62740740741</v>
      </c>
      <c r="C5" s="74" t="s">
        <v>174</v>
      </c>
      <c r="D5" s="63" t="s">
        <v>175</v>
      </c>
      <c r="E5" s="63" t="s">
        <v>176</v>
      </c>
      <c r="F5" s="63" t="s">
        <v>177</v>
      </c>
      <c r="G5" s="63" t="s">
        <v>178</v>
      </c>
    </row>
    <row r="6" spans="1:14" x14ac:dyDescent="0.4">
      <c r="A6" s="68" t="s">
        <v>146</v>
      </c>
      <c r="B6" s="71">
        <v>43454.62740740741</v>
      </c>
      <c r="C6" s="74" t="s">
        <v>174</v>
      </c>
    </row>
    <row r="7" spans="1:14" x14ac:dyDescent="0.4">
      <c r="A7" s="68" t="s">
        <v>147</v>
      </c>
      <c r="B7" s="71">
        <v>43454.62740740741</v>
      </c>
      <c r="C7" s="74" t="s">
        <v>174</v>
      </c>
      <c r="D7" s="63" t="s">
        <v>175</v>
      </c>
      <c r="E7" s="63" t="s">
        <v>176</v>
      </c>
    </row>
    <row r="8" spans="1:14" x14ac:dyDescent="0.4">
      <c r="A8" s="68" t="s">
        <v>150</v>
      </c>
      <c r="B8" s="71">
        <v>43454.62740740741</v>
      </c>
      <c r="C8" s="74" t="s">
        <v>174</v>
      </c>
      <c r="D8" s="63" t="s">
        <v>175</v>
      </c>
    </row>
    <row r="9" spans="1:14" x14ac:dyDescent="0.4">
      <c r="A9" s="68" t="s">
        <v>151</v>
      </c>
      <c r="B9" s="71">
        <v>43454.62740740741</v>
      </c>
      <c r="C9" s="74" t="s">
        <v>174</v>
      </c>
      <c r="D9" s="63" t="s">
        <v>175</v>
      </c>
      <c r="E9" s="63" t="s">
        <v>176</v>
      </c>
      <c r="F9" s="63" t="s">
        <v>177</v>
      </c>
    </row>
    <row r="10" spans="1:14" x14ac:dyDescent="0.4">
      <c r="A10" s="68" t="s">
        <v>152</v>
      </c>
      <c r="B10" s="71">
        <v>43454.62740740741</v>
      </c>
      <c r="C10" s="74" t="s">
        <v>174</v>
      </c>
      <c r="D10" s="63" t="s">
        <v>175</v>
      </c>
      <c r="E10" s="63" t="s">
        <v>176</v>
      </c>
    </row>
    <row r="11" spans="1:14" x14ac:dyDescent="0.4">
      <c r="A11" s="68" t="s">
        <v>153</v>
      </c>
      <c r="B11" s="71">
        <v>43454.62740740741</v>
      </c>
      <c r="C11" s="74" t="s">
        <v>174</v>
      </c>
      <c r="D11" s="63" t="s">
        <v>175</v>
      </c>
      <c r="E11" s="63" t="s">
        <v>176</v>
      </c>
      <c r="F11" s="63" t="s">
        <v>177</v>
      </c>
      <c r="G11" s="63" t="s">
        <v>178</v>
      </c>
      <c r="H11" s="63" t="s">
        <v>179</v>
      </c>
      <c r="I11" s="63" t="s">
        <v>180</v>
      </c>
    </row>
    <row r="12" spans="1:14" x14ac:dyDescent="0.4">
      <c r="A12" s="68" t="s">
        <v>154</v>
      </c>
      <c r="B12" s="71">
        <v>43454.62740740741</v>
      </c>
      <c r="C12" s="74" t="s">
        <v>174</v>
      </c>
      <c r="D12" s="63" t="s">
        <v>175</v>
      </c>
    </row>
    <row r="13" spans="1:14" x14ac:dyDescent="0.4">
      <c r="A13" s="68" t="s">
        <v>155</v>
      </c>
      <c r="B13" s="71">
        <v>43454.62740740741</v>
      </c>
      <c r="C13" s="74" t="s">
        <v>174</v>
      </c>
      <c r="D13" s="63" t="s">
        <v>175</v>
      </c>
      <c r="E13" s="63" t="s">
        <v>176</v>
      </c>
      <c r="F13" s="63" t="s">
        <v>177</v>
      </c>
      <c r="G13" s="63" t="s">
        <v>178</v>
      </c>
      <c r="H13" s="63" t="s">
        <v>179</v>
      </c>
      <c r="I13" s="63" t="s">
        <v>180</v>
      </c>
      <c r="J13" s="63" t="s">
        <v>181</v>
      </c>
      <c r="K13" s="63" t="s">
        <v>182</v>
      </c>
      <c r="L13" s="63" t="s">
        <v>183</v>
      </c>
      <c r="M13" s="63" t="s">
        <v>184</v>
      </c>
      <c r="N13" s="63" t="s">
        <v>185</v>
      </c>
    </row>
    <row r="14" spans="1:14" x14ac:dyDescent="0.4">
      <c r="A14" s="68" t="s">
        <v>157</v>
      </c>
      <c r="B14" s="71">
        <v>43454.62740740741</v>
      </c>
      <c r="C14" s="74" t="s">
        <v>174</v>
      </c>
      <c r="D14" s="63" t="s">
        <v>175</v>
      </c>
      <c r="E14" s="63" t="s">
        <v>176</v>
      </c>
    </row>
    <row r="15" spans="1:14" x14ac:dyDescent="0.4">
      <c r="A15" s="68" t="s">
        <v>158</v>
      </c>
      <c r="B15" s="71">
        <v>43454.62740740741</v>
      </c>
      <c r="C15" s="74" t="s">
        <v>174</v>
      </c>
      <c r="D15" s="63" t="s">
        <v>175</v>
      </c>
      <c r="E15" s="63" t="s">
        <v>176</v>
      </c>
    </row>
    <row r="16" spans="1:14" x14ac:dyDescent="0.4">
      <c r="A16" s="68" t="s">
        <v>159</v>
      </c>
      <c r="B16" s="71">
        <v>43454.62740740741</v>
      </c>
      <c r="C16" s="74" t="s">
        <v>174</v>
      </c>
      <c r="D16" s="63" t="s">
        <v>175</v>
      </c>
      <c r="E16" s="63" t="s">
        <v>176</v>
      </c>
    </row>
    <row r="17" spans="1:9" x14ac:dyDescent="0.4">
      <c r="A17" s="68" t="s">
        <v>161</v>
      </c>
      <c r="B17" s="71">
        <v>43454.62740740741</v>
      </c>
      <c r="C17" s="74" t="s">
        <v>174</v>
      </c>
      <c r="D17" s="63" t="s">
        <v>175</v>
      </c>
      <c r="E17" s="63" t="s">
        <v>176</v>
      </c>
      <c r="F17" s="63" t="s">
        <v>177</v>
      </c>
      <c r="G17" s="63" t="s">
        <v>178</v>
      </c>
      <c r="H17" s="63" t="s">
        <v>179</v>
      </c>
    </row>
    <row r="18" spans="1:9" x14ac:dyDescent="0.4">
      <c r="A18" s="68" t="s">
        <v>162</v>
      </c>
      <c r="B18" s="71">
        <v>43454.62740740741</v>
      </c>
      <c r="C18" s="74" t="s">
        <v>174</v>
      </c>
      <c r="D18" s="63" t="s">
        <v>175</v>
      </c>
      <c r="E18" s="63" t="s">
        <v>176</v>
      </c>
      <c r="F18" s="63" t="s">
        <v>177</v>
      </c>
      <c r="G18" s="63" t="s">
        <v>178</v>
      </c>
      <c r="H18" s="63" t="s">
        <v>179</v>
      </c>
    </row>
    <row r="19" spans="1:9" x14ac:dyDescent="0.4">
      <c r="A19" s="68" t="s">
        <v>163</v>
      </c>
      <c r="B19" s="71">
        <v>43454.62740740741</v>
      </c>
      <c r="C19" s="74" t="s">
        <v>174</v>
      </c>
      <c r="D19" s="63" t="s">
        <v>175</v>
      </c>
    </row>
    <row r="20" spans="1:9" x14ac:dyDescent="0.4">
      <c r="A20" s="68" t="s">
        <v>164</v>
      </c>
      <c r="B20" s="71">
        <v>43454.629004629627</v>
      </c>
      <c r="C20" s="74" t="s">
        <v>174</v>
      </c>
      <c r="D20" s="63" t="s">
        <v>175</v>
      </c>
      <c r="E20" s="63" t="s">
        <v>176</v>
      </c>
    </row>
    <row r="21" spans="1:9" x14ac:dyDescent="0.4">
      <c r="A21" s="68" t="s">
        <v>165</v>
      </c>
      <c r="B21" s="71">
        <v>43454.62740740741</v>
      </c>
      <c r="C21" s="74" t="s">
        <v>174</v>
      </c>
      <c r="D21" s="63" t="s">
        <v>175</v>
      </c>
      <c r="E21" s="63" t="s">
        <v>176</v>
      </c>
      <c r="F21" s="63" t="s">
        <v>177</v>
      </c>
    </row>
    <row r="22" spans="1:9" x14ac:dyDescent="0.4">
      <c r="A22" s="68" t="s">
        <v>166</v>
      </c>
      <c r="B22" s="71">
        <v>43454.62740740741</v>
      </c>
      <c r="C22" s="74" t="s">
        <v>174</v>
      </c>
      <c r="D22" s="63" t="s">
        <v>175</v>
      </c>
      <c r="E22" s="63" t="s">
        <v>176</v>
      </c>
      <c r="F22" s="63" t="s">
        <v>177</v>
      </c>
    </row>
    <row r="23" spans="1:9" x14ac:dyDescent="0.4">
      <c r="A23" s="68" t="s">
        <v>167</v>
      </c>
      <c r="B23" s="71">
        <v>43454.62740740741</v>
      </c>
      <c r="C23" s="74" t="s">
        <v>174</v>
      </c>
      <c r="D23" s="63" t="s">
        <v>175</v>
      </c>
      <c r="E23" s="63" t="s">
        <v>176</v>
      </c>
      <c r="F23" s="63" t="s">
        <v>177</v>
      </c>
      <c r="G23" s="63" t="s">
        <v>178</v>
      </c>
      <c r="H23" s="63" t="s">
        <v>179</v>
      </c>
      <c r="I23" s="63" t="s">
        <v>180</v>
      </c>
    </row>
    <row r="24" spans="1:9" x14ac:dyDescent="0.4">
      <c r="A24" s="68" t="s">
        <v>168</v>
      </c>
      <c r="B24" s="71">
        <v>43454.62740740741</v>
      </c>
      <c r="C24" s="74" t="s">
        <v>174</v>
      </c>
      <c r="D24" s="63" t="s">
        <v>175</v>
      </c>
      <c r="E24" s="63" t="s">
        <v>176</v>
      </c>
    </row>
    <row r="25" spans="1:9" x14ac:dyDescent="0.4">
      <c r="A25" s="68" t="s">
        <v>169</v>
      </c>
      <c r="B25" s="71">
        <v>43454.62740740741</v>
      </c>
      <c r="C25" s="74" t="s">
        <v>174</v>
      </c>
      <c r="D25" s="63" t="s">
        <v>175</v>
      </c>
      <c r="E25" s="63" t="s">
        <v>176</v>
      </c>
      <c r="F25" s="63" t="s">
        <v>177</v>
      </c>
      <c r="G25" s="63" t="s">
        <v>178</v>
      </c>
      <c r="H25" s="63" t="s">
        <v>179</v>
      </c>
    </row>
    <row r="26" spans="1:9" x14ac:dyDescent="0.4">
      <c r="A26" s="68" t="s">
        <v>170</v>
      </c>
      <c r="B26" s="71">
        <v>43454.62740740741</v>
      </c>
      <c r="C26" s="74" t="s">
        <v>174</v>
      </c>
      <c r="D26" s="63" t="s">
        <v>175</v>
      </c>
    </row>
    <row r="27" spans="1:9" x14ac:dyDescent="0.4">
      <c r="A27" s="68" t="s">
        <v>171</v>
      </c>
      <c r="B27" s="71">
        <v>43454.62740740741</v>
      </c>
      <c r="C27" s="74" t="s">
        <v>174</v>
      </c>
      <c r="D27" s="63" t="s">
        <v>175</v>
      </c>
    </row>
    <row r="28" spans="1:9" x14ac:dyDescent="0.4">
      <c r="A28" s="68" t="s">
        <v>172</v>
      </c>
      <c r="B28" s="71">
        <v>43454.62740740741</v>
      </c>
      <c r="C28" s="74" t="s">
        <v>174</v>
      </c>
      <c r="D28" s="63" t="s">
        <v>175</v>
      </c>
      <c r="E28" s="63" t="s">
        <v>176</v>
      </c>
      <c r="F28" s="63" t="s">
        <v>177</v>
      </c>
    </row>
    <row r="29" spans="1:9" x14ac:dyDescent="0.4">
      <c r="A29" s="68" t="s">
        <v>173</v>
      </c>
      <c r="B29" s="71">
        <v>43455.084918981483</v>
      </c>
      <c r="C29" s="74" t="s">
        <v>174</v>
      </c>
      <c r="D29" s="63" t="s">
        <v>175</v>
      </c>
      <c r="E29" s="63" t="s">
        <v>176</v>
      </c>
      <c r="F29" s="63" t="s">
        <v>177</v>
      </c>
      <c r="G29" s="63" t="s">
        <v>178</v>
      </c>
      <c r="H29" s="63" t="s">
        <v>179</v>
      </c>
    </row>
    <row r="30" spans="1:9" x14ac:dyDescent="0.4">
      <c r="A30" s="68" t="s">
        <v>197</v>
      </c>
      <c r="B30" s="71">
        <v>43456.147789351853</v>
      </c>
      <c r="C30" s="74" t="s">
        <v>174</v>
      </c>
      <c r="D30" s="63" t="s">
        <v>175</v>
      </c>
      <c r="E30" s="63" t="s">
        <v>176</v>
      </c>
      <c r="F30" s="63" t="s">
        <v>177</v>
      </c>
      <c r="G30" s="63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2018-12-21T18:47:40Z</dcterms:modified>
</cp:coreProperties>
</file>