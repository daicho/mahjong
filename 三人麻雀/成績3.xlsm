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2FC2CCF9-3392-44BC-8C84-6985CA9045B7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641" r:id="rId3"/>
    <sheet name="かこたろう" sheetId="2642" r:id="rId4"/>
    <sheet name="ともき" sheetId="2643" r:id="rId5"/>
    <sheet name="りくと" sheetId="2644" r:id="rId6"/>
    <sheet name="いっしー" sheetId="2645" r:id="rId7"/>
    <sheet name="がくと" sheetId="2646" r:id="rId8"/>
    <sheet name="たかの" sheetId="2647" r:id="rId9"/>
    <sheet name="ただ" sheetId="2648" r:id="rId10"/>
    <sheet name="やがさき" sheetId="2649" r:id="rId11"/>
    <sheet name="れんたろう" sheetId="2650" r:id="rId12"/>
    <sheet name="あさひ" sheetId="2651" r:id="rId13"/>
    <sheet name="まっつん" sheetId="2652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652" l="1"/>
  <c r="H50" i="2652"/>
  <c r="H49" i="2652"/>
  <c r="H48" i="2652"/>
  <c r="H47" i="2652"/>
  <c r="H46" i="2652"/>
  <c r="H45" i="2652"/>
  <c r="H44" i="2652"/>
  <c r="H43" i="2652"/>
  <c r="H42" i="2652"/>
  <c r="H41" i="2652"/>
  <c r="H40" i="2652"/>
  <c r="H39" i="2652"/>
  <c r="H38" i="2652"/>
  <c r="H37" i="2652"/>
  <c r="H36" i="2652"/>
  <c r="H35" i="2652"/>
  <c r="H34" i="2652"/>
  <c r="H33" i="2652"/>
  <c r="H32" i="2652"/>
  <c r="H31" i="2652"/>
  <c r="H30" i="2652"/>
  <c r="H6" i="2652"/>
  <c r="H29" i="2652"/>
  <c r="H28" i="2652"/>
  <c r="H27" i="2652"/>
  <c r="H10" i="2652"/>
  <c r="H26" i="2652"/>
  <c r="H5" i="2652"/>
  <c r="C23" i="2652"/>
  <c r="H25" i="2652"/>
  <c r="C22" i="2652"/>
  <c r="H24" i="2652"/>
  <c r="B21" i="2652"/>
  <c r="H23" i="2652"/>
  <c r="H22" i="2652"/>
  <c r="C19" i="2652"/>
  <c r="H9" i="2652"/>
  <c r="C18" i="2652"/>
  <c r="H21" i="2652"/>
  <c r="C17" i="2652"/>
  <c r="H20" i="2652"/>
  <c r="B16" i="2652"/>
  <c r="B20" i="2652" s="1"/>
  <c r="H19" i="2652"/>
  <c r="C15" i="2652"/>
  <c r="H18" i="2652"/>
  <c r="C14" i="2652"/>
  <c r="H17" i="2652"/>
  <c r="C13" i="2652"/>
  <c r="H16" i="2652"/>
  <c r="C12" i="2652"/>
  <c r="H4" i="2652"/>
  <c r="C11" i="2652"/>
  <c r="H15" i="2652"/>
  <c r="C10" i="2652"/>
  <c r="H8" i="2652"/>
  <c r="C9" i="2652"/>
  <c r="H14" i="2652"/>
  <c r="C8" i="2652"/>
  <c r="N7" i="2652"/>
  <c r="H13" i="2652"/>
  <c r="C7" i="2652"/>
  <c r="N6" i="2652"/>
  <c r="H2" i="2652"/>
  <c r="B6" i="2652"/>
  <c r="N5" i="2652"/>
  <c r="H12" i="2652"/>
  <c r="B5" i="2652"/>
  <c r="N4" i="2652"/>
  <c r="H3" i="2652"/>
  <c r="N3" i="2652"/>
  <c r="H11" i="2652"/>
  <c r="N2" i="2652"/>
  <c r="H7" i="2652"/>
  <c r="C16" i="2652" l="1"/>
  <c r="H51" i="2651" l="1"/>
  <c r="H50" i="2651"/>
  <c r="H49" i="2651"/>
  <c r="H48" i="2651"/>
  <c r="H47" i="2651"/>
  <c r="H46" i="2651"/>
  <c r="H45" i="2651"/>
  <c r="H44" i="2651"/>
  <c r="H43" i="2651"/>
  <c r="H42" i="2651"/>
  <c r="H41" i="2651"/>
  <c r="H40" i="2651"/>
  <c r="H39" i="2651"/>
  <c r="H38" i="2651"/>
  <c r="H37" i="2651"/>
  <c r="H36" i="2651"/>
  <c r="H35" i="2651"/>
  <c r="H34" i="2651"/>
  <c r="H33" i="2651"/>
  <c r="H32" i="2651"/>
  <c r="H14" i="2651"/>
  <c r="H31" i="2651"/>
  <c r="H11" i="2651"/>
  <c r="H30" i="2651"/>
  <c r="H29" i="2651"/>
  <c r="H10" i="2651"/>
  <c r="H28" i="2651"/>
  <c r="H27" i="2651"/>
  <c r="H26" i="2651"/>
  <c r="C23" i="2651"/>
  <c r="H25" i="2651"/>
  <c r="C22" i="2651"/>
  <c r="H24" i="2651"/>
  <c r="B21" i="2651"/>
  <c r="H23" i="2651"/>
  <c r="H22" i="2651"/>
  <c r="C19" i="2651"/>
  <c r="H21" i="2651"/>
  <c r="C18" i="2651"/>
  <c r="H20" i="2651"/>
  <c r="C17" i="2651"/>
  <c r="H19" i="2651"/>
  <c r="B16" i="2651"/>
  <c r="B20" i="2651" s="1"/>
  <c r="H18" i="2651"/>
  <c r="C15" i="2651"/>
  <c r="H17" i="2651"/>
  <c r="C14" i="2651"/>
  <c r="H16" i="2651"/>
  <c r="C13" i="2651"/>
  <c r="H15" i="2651"/>
  <c r="C12" i="2651"/>
  <c r="H5" i="2651"/>
  <c r="C11" i="2651"/>
  <c r="H13" i="2651"/>
  <c r="C10" i="2651"/>
  <c r="H7" i="2651"/>
  <c r="C9" i="2651"/>
  <c r="H9" i="2651"/>
  <c r="C8" i="2651"/>
  <c r="N7" i="2651"/>
  <c r="H8" i="2651"/>
  <c r="C7" i="2651"/>
  <c r="N6" i="2651"/>
  <c r="H3" i="2651"/>
  <c r="B6" i="2651"/>
  <c r="N5" i="2651"/>
  <c r="H6" i="2651"/>
  <c r="B5" i="2651"/>
  <c r="N4" i="2651"/>
  <c r="H2" i="2651"/>
  <c r="N3" i="2651"/>
  <c r="H12" i="2651"/>
  <c r="N2" i="2651"/>
  <c r="H4" i="2651"/>
  <c r="C16" i="2651" l="1"/>
  <c r="H51" i="2650" l="1"/>
  <c r="H50" i="2650"/>
  <c r="H49" i="2650"/>
  <c r="H48" i="2650"/>
  <c r="H47" i="2650"/>
  <c r="H46" i="2650"/>
  <c r="H45" i="2650"/>
  <c r="H44" i="2650"/>
  <c r="H43" i="2650"/>
  <c r="H42" i="2650"/>
  <c r="H41" i="2650"/>
  <c r="H40" i="2650"/>
  <c r="H39" i="2650"/>
  <c r="H38" i="2650"/>
  <c r="H37" i="2650"/>
  <c r="H36" i="2650"/>
  <c r="H35" i="2650"/>
  <c r="H34" i="2650"/>
  <c r="H21" i="2650"/>
  <c r="H33" i="2650"/>
  <c r="H22" i="2650"/>
  <c r="H32" i="2650"/>
  <c r="H8" i="2650"/>
  <c r="H31" i="2650"/>
  <c r="H30" i="2650"/>
  <c r="H13" i="2650"/>
  <c r="H29" i="2650"/>
  <c r="H20" i="2650"/>
  <c r="H15" i="2650"/>
  <c r="C23" i="2650"/>
  <c r="H28" i="2650"/>
  <c r="C22" i="2650"/>
  <c r="H17" i="2650"/>
  <c r="B21" i="2650"/>
  <c r="H27" i="2650"/>
  <c r="H26" i="2650"/>
  <c r="C19" i="2650"/>
  <c r="H19" i="2650"/>
  <c r="C18" i="2650"/>
  <c r="H12" i="2650"/>
  <c r="C17" i="2650"/>
  <c r="H25" i="2650"/>
  <c r="B16" i="2650"/>
  <c r="B20" i="2650" s="1"/>
  <c r="H24" i="2650"/>
  <c r="C15" i="2650"/>
  <c r="H18" i="2650"/>
  <c r="C14" i="2650"/>
  <c r="H23" i="2650"/>
  <c r="C13" i="2650"/>
  <c r="H14" i="2650"/>
  <c r="C12" i="2650"/>
  <c r="H3" i="2650"/>
  <c r="C11" i="2650"/>
  <c r="H16" i="2650"/>
  <c r="C10" i="2650"/>
  <c r="H10" i="2650"/>
  <c r="C9" i="2650"/>
  <c r="H9" i="2650"/>
  <c r="C8" i="2650"/>
  <c r="N7" i="2650"/>
  <c r="H7" i="2650"/>
  <c r="C7" i="2650"/>
  <c r="N6" i="2650"/>
  <c r="H2" i="2650"/>
  <c r="B6" i="2650"/>
  <c r="N5" i="2650"/>
  <c r="H6" i="2650"/>
  <c r="B5" i="2650"/>
  <c r="N4" i="2650"/>
  <c r="H4" i="2650"/>
  <c r="N3" i="2650"/>
  <c r="H11" i="2650"/>
  <c r="N2" i="2650"/>
  <c r="H5" i="2650"/>
  <c r="C16" i="2650" l="1"/>
  <c r="H51" i="2649" l="1"/>
  <c r="H50" i="2649"/>
  <c r="H49" i="2649"/>
  <c r="H48" i="2649"/>
  <c r="H47" i="2649"/>
  <c r="H46" i="2649"/>
  <c r="H45" i="2649"/>
  <c r="H44" i="2649"/>
  <c r="H43" i="2649"/>
  <c r="H42" i="2649"/>
  <c r="H41" i="2649"/>
  <c r="H40" i="2649"/>
  <c r="H39" i="2649"/>
  <c r="H38" i="2649"/>
  <c r="H37" i="2649"/>
  <c r="H36" i="2649"/>
  <c r="H35" i="2649"/>
  <c r="H34" i="2649"/>
  <c r="H33" i="2649"/>
  <c r="H32" i="2649"/>
  <c r="H31" i="2649"/>
  <c r="H30" i="2649"/>
  <c r="H29" i="2649"/>
  <c r="H28" i="2649"/>
  <c r="H27" i="2649"/>
  <c r="H26" i="2649"/>
  <c r="H25" i="2649"/>
  <c r="H24" i="2649"/>
  <c r="H23" i="2649"/>
  <c r="C23" i="2649"/>
  <c r="H22" i="2649"/>
  <c r="C22" i="2649"/>
  <c r="H21" i="2649"/>
  <c r="B21" i="2649"/>
  <c r="H20" i="2649"/>
  <c r="H19" i="2649"/>
  <c r="C19" i="2649"/>
  <c r="H18" i="2649"/>
  <c r="C18" i="2649"/>
  <c r="H17" i="2649"/>
  <c r="C17" i="2649"/>
  <c r="H16" i="2649"/>
  <c r="B16" i="2649"/>
  <c r="B20" i="2649" s="1"/>
  <c r="H15" i="2649"/>
  <c r="C15" i="2649"/>
  <c r="H14" i="2649"/>
  <c r="C14" i="2649"/>
  <c r="H13" i="2649"/>
  <c r="C13" i="2649"/>
  <c r="H12" i="2649"/>
  <c r="C12" i="2649"/>
  <c r="H11" i="2649"/>
  <c r="C11" i="2649"/>
  <c r="H10" i="2649"/>
  <c r="C10" i="2649"/>
  <c r="H9" i="2649"/>
  <c r="C9" i="2649"/>
  <c r="H8" i="2649"/>
  <c r="C8" i="2649"/>
  <c r="N7" i="2649"/>
  <c r="H7" i="2649"/>
  <c r="C7" i="2649"/>
  <c r="N6" i="2649"/>
  <c r="H6" i="2649"/>
  <c r="B6" i="2649"/>
  <c r="N5" i="2649"/>
  <c r="H5" i="2649"/>
  <c r="B5" i="2649"/>
  <c r="N4" i="2649"/>
  <c r="H4" i="2649"/>
  <c r="N3" i="2649"/>
  <c r="H3" i="2649"/>
  <c r="N2" i="2649"/>
  <c r="H2" i="2649"/>
  <c r="C16" i="2649" l="1"/>
  <c r="H51" i="2648" l="1"/>
  <c r="H50" i="2648"/>
  <c r="H49" i="2648"/>
  <c r="H48" i="2648"/>
  <c r="H47" i="2648"/>
  <c r="H46" i="2648"/>
  <c r="H45" i="2648"/>
  <c r="H44" i="2648"/>
  <c r="H43" i="2648"/>
  <c r="H42" i="2648"/>
  <c r="H41" i="2648"/>
  <c r="H40" i="2648"/>
  <c r="H39" i="2648"/>
  <c r="H38" i="2648"/>
  <c r="H37" i="2648"/>
  <c r="H36" i="2648"/>
  <c r="H35" i="2648"/>
  <c r="H34" i="2648"/>
  <c r="H33" i="2648"/>
  <c r="H32" i="2648"/>
  <c r="H19" i="2648"/>
  <c r="H31" i="2648"/>
  <c r="H10" i="2648"/>
  <c r="H30" i="2648"/>
  <c r="H29" i="2648"/>
  <c r="H13" i="2648"/>
  <c r="H28" i="2648"/>
  <c r="H18" i="2648"/>
  <c r="H17" i="2648"/>
  <c r="C23" i="2648"/>
  <c r="H27" i="2648"/>
  <c r="C22" i="2648"/>
  <c r="H15" i="2648"/>
  <c r="B21" i="2648"/>
  <c r="H26" i="2648"/>
  <c r="H25" i="2648"/>
  <c r="C19" i="2648"/>
  <c r="H24" i="2648"/>
  <c r="C18" i="2648"/>
  <c r="H14" i="2648"/>
  <c r="C17" i="2648"/>
  <c r="H23" i="2648"/>
  <c r="B16" i="2648"/>
  <c r="B20" i="2648" s="1"/>
  <c r="H22" i="2648"/>
  <c r="C15" i="2648"/>
  <c r="H21" i="2648"/>
  <c r="C14" i="2648"/>
  <c r="H16" i="2648"/>
  <c r="C13" i="2648"/>
  <c r="H20" i="2648"/>
  <c r="C12" i="2648"/>
  <c r="H5" i="2648"/>
  <c r="C11" i="2648"/>
  <c r="H12" i="2648"/>
  <c r="C10" i="2648"/>
  <c r="H11" i="2648"/>
  <c r="C9" i="2648"/>
  <c r="H8" i="2648"/>
  <c r="C8" i="2648"/>
  <c r="N7" i="2648"/>
  <c r="H7" i="2648"/>
  <c r="C7" i="2648"/>
  <c r="N6" i="2648"/>
  <c r="H2" i="2648"/>
  <c r="B6" i="2648"/>
  <c r="N5" i="2648"/>
  <c r="H6" i="2648"/>
  <c r="B5" i="2648"/>
  <c r="N4" i="2648"/>
  <c r="H3" i="2648"/>
  <c r="N3" i="2648"/>
  <c r="H9" i="2648"/>
  <c r="N2" i="2648"/>
  <c r="H4" i="2648"/>
  <c r="H51" i="2647"/>
  <c r="H50" i="2647"/>
  <c r="H49" i="2647"/>
  <c r="H48" i="2647"/>
  <c r="H47" i="2647"/>
  <c r="H46" i="2647"/>
  <c r="H45" i="2647"/>
  <c r="H44" i="2647"/>
  <c r="H43" i="2647"/>
  <c r="H42" i="2647"/>
  <c r="H41" i="2647"/>
  <c r="H40" i="2647"/>
  <c r="H39" i="2647"/>
  <c r="H38" i="2647"/>
  <c r="H37" i="2647"/>
  <c r="H36" i="2647"/>
  <c r="H35" i="2647"/>
  <c r="H34" i="2647"/>
  <c r="H33" i="2647"/>
  <c r="H32" i="2647"/>
  <c r="H31" i="2647"/>
  <c r="H30" i="2647"/>
  <c r="H10" i="2647"/>
  <c r="H29" i="2647"/>
  <c r="H28" i="2647"/>
  <c r="H13" i="2647"/>
  <c r="H27" i="2647"/>
  <c r="H26" i="2647"/>
  <c r="H18" i="2647"/>
  <c r="C23" i="2647"/>
  <c r="H25" i="2647"/>
  <c r="C22" i="2647"/>
  <c r="H17" i="2647"/>
  <c r="B21" i="2647"/>
  <c r="H24" i="2647"/>
  <c r="H23" i="2647"/>
  <c r="C19" i="2647"/>
  <c r="H12" i="2647"/>
  <c r="C18" i="2647"/>
  <c r="H11" i="2647"/>
  <c r="C17" i="2647"/>
  <c r="H22" i="2647"/>
  <c r="B16" i="2647"/>
  <c r="B20" i="2647" s="1"/>
  <c r="H21" i="2647"/>
  <c r="C15" i="2647"/>
  <c r="H16" i="2647"/>
  <c r="C14" i="2647"/>
  <c r="H20" i="2647"/>
  <c r="C13" i="2647"/>
  <c r="H19" i="2647"/>
  <c r="C12" i="2647"/>
  <c r="H3" i="2647"/>
  <c r="C11" i="2647"/>
  <c r="H15" i="2647"/>
  <c r="C10" i="2647"/>
  <c r="H14" i="2647"/>
  <c r="C9" i="2647"/>
  <c r="H9" i="2647"/>
  <c r="C8" i="2647"/>
  <c r="N7" i="2647"/>
  <c r="H8" i="2647"/>
  <c r="C7" i="2647"/>
  <c r="N6" i="2647"/>
  <c r="H2" i="2647"/>
  <c r="B6" i="2647"/>
  <c r="N5" i="2647"/>
  <c r="H7" i="2647"/>
  <c r="B5" i="2647"/>
  <c r="N4" i="2647"/>
  <c r="H4" i="2647"/>
  <c r="N3" i="2647"/>
  <c r="H6" i="2647"/>
  <c r="N2" i="2647"/>
  <c r="H5" i="2647"/>
  <c r="C16" i="2648" l="1"/>
  <c r="C16" i="2647"/>
  <c r="H51" i="2646" l="1"/>
  <c r="H50" i="2646"/>
  <c r="H49" i="2646"/>
  <c r="H48" i="2646"/>
  <c r="H47" i="2646"/>
  <c r="H46" i="2646"/>
  <c r="H45" i="2646"/>
  <c r="H44" i="2646"/>
  <c r="H43" i="2646"/>
  <c r="H42" i="2646"/>
  <c r="H41" i="2646"/>
  <c r="H40" i="2646"/>
  <c r="H39" i="2646"/>
  <c r="H38" i="2646"/>
  <c r="H37" i="2646"/>
  <c r="H36" i="2646"/>
  <c r="H35" i="2646"/>
  <c r="H34" i="2646"/>
  <c r="H33" i="2646"/>
  <c r="H32" i="2646"/>
  <c r="H31" i="2646"/>
  <c r="H30" i="2646"/>
  <c r="H29" i="2646"/>
  <c r="H28" i="2646"/>
  <c r="H27" i="2646"/>
  <c r="H11" i="2646"/>
  <c r="H26" i="2646"/>
  <c r="H25" i="2646"/>
  <c r="H24" i="2646"/>
  <c r="C23" i="2646"/>
  <c r="H23" i="2646"/>
  <c r="C22" i="2646"/>
  <c r="H22" i="2646"/>
  <c r="B21" i="2646"/>
  <c r="H21" i="2646"/>
  <c r="H20" i="2646"/>
  <c r="C19" i="2646"/>
  <c r="H8" i="2646"/>
  <c r="C18" i="2646"/>
  <c r="H19" i="2646"/>
  <c r="C17" i="2646"/>
  <c r="H18" i="2646"/>
  <c r="B16" i="2646"/>
  <c r="B20" i="2646" s="1"/>
  <c r="H17" i="2646"/>
  <c r="C15" i="2646"/>
  <c r="H16" i="2646"/>
  <c r="C14" i="2646"/>
  <c r="H15" i="2646"/>
  <c r="C13" i="2646"/>
  <c r="H14" i="2646"/>
  <c r="C12" i="2646"/>
  <c r="H5" i="2646"/>
  <c r="C11" i="2646"/>
  <c r="H13" i="2646"/>
  <c r="C10" i="2646"/>
  <c r="H12" i="2646"/>
  <c r="C9" i="2646"/>
  <c r="H10" i="2646"/>
  <c r="C8" i="2646"/>
  <c r="N7" i="2646"/>
  <c r="H6" i="2646"/>
  <c r="C7" i="2646"/>
  <c r="N6" i="2646"/>
  <c r="H3" i="2646"/>
  <c r="B6" i="2646"/>
  <c r="N5" i="2646"/>
  <c r="H7" i="2646"/>
  <c r="B5" i="2646"/>
  <c r="N4" i="2646"/>
  <c r="H9" i="2646"/>
  <c r="N3" i="2646"/>
  <c r="H4" i="2646"/>
  <c r="N2" i="2646"/>
  <c r="H2" i="2646"/>
  <c r="C16" i="2646" l="1"/>
  <c r="H51" i="2645" l="1"/>
  <c r="H50" i="2645"/>
  <c r="H49" i="2645"/>
  <c r="H48" i="2645"/>
  <c r="H47" i="2645"/>
  <c r="H46" i="2645"/>
  <c r="H45" i="2645"/>
  <c r="H44" i="2645"/>
  <c r="H43" i="2645"/>
  <c r="H42" i="2645"/>
  <c r="H41" i="2645"/>
  <c r="H40" i="2645"/>
  <c r="H39" i="2645"/>
  <c r="H38" i="2645"/>
  <c r="H37" i="2645"/>
  <c r="H36" i="2645"/>
  <c r="H35" i="2645"/>
  <c r="H34" i="2645"/>
  <c r="H33" i="2645"/>
  <c r="H32" i="2645"/>
  <c r="H31" i="2645"/>
  <c r="H30" i="2645"/>
  <c r="H13" i="2645"/>
  <c r="H29" i="2645"/>
  <c r="H28" i="2645"/>
  <c r="H14" i="2645"/>
  <c r="H27" i="2645"/>
  <c r="H26" i="2645"/>
  <c r="H9" i="2645"/>
  <c r="C23" i="2645"/>
  <c r="H25" i="2645"/>
  <c r="C22" i="2645"/>
  <c r="H12" i="2645"/>
  <c r="B21" i="2645"/>
  <c r="H24" i="2645"/>
  <c r="H23" i="2645"/>
  <c r="C19" i="2645"/>
  <c r="H22" i="2645"/>
  <c r="C18" i="2645"/>
  <c r="H15" i="2645"/>
  <c r="C17" i="2645"/>
  <c r="H21" i="2645"/>
  <c r="B16" i="2645"/>
  <c r="B20" i="2645" s="1"/>
  <c r="H20" i="2645"/>
  <c r="C15" i="2645"/>
  <c r="H19" i="2645"/>
  <c r="C14" i="2645"/>
  <c r="H18" i="2645"/>
  <c r="C13" i="2645"/>
  <c r="H17" i="2645"/>
  <c r="C12" i="2645"/>
  <c r="H4" i="2645"/>
  <c r="C11" i="2645"/>
  <c r="H16" i="2645"/>
  <c r="C10" i="2645"/>
  <c r="H11" i="2645"/>
  <c r="C9" i="2645"/>
  <c r="H10" i="2645"/>
  <c r="C8" i="2645"/>
  <c r="N7" i="2645"/>
  <c r="H7" i="2645"/>
  <c r="C7" i="2645"/>
  <c r="N6" i="2645"/>
  <c r="H3" i="2645"/>
  <c r="B6" i="2645"/>
  <c r="N5" i="2645"/>
  <c r="H6" i="2645"/>
  <c r="B5" i="2645"/>
  <c r="N4" i="2645"/>
  <c r="H2" i="2645"/>
  <c r="N3" i="2645"/>
  <c r="H8" i="2645"/>
  <c r="N2" i="2645"/>
  <c r="H5" i="2645"/>
  <c r="H51" i="2644"/>
  <c r="H50" i="2644"/>
  <c r="H49" i="2644"/>
  <c r="H48" i="2644"/>
  <c r="H47" i="2644"/>
  <c r="H46" i="2644"/>
  <c r="H45" i="2644"/>
  <c r="H44" i="2644"/>
  <c r="H43" i="2644"/>
  <c r="H42" i="2644"/>
  <c r="H41" i="2644"/>
  <c r="H40" i="2644"/>
  <c r="H39" i="2644"/>
  <c r="H38" i="2644"/>
  <c r="H37" i="2644"/>
  <c r="H36" i="2644"/>
  <c r="H35" i="2644"/>
  <c r="H34" i="2644"/>
  <c r="H33" i="2644"/>
  <c r="H20" i="2644"/>
  <c r="H14" i="2644"/>
  <c r="H32" i="2644"/>
  <c r="H10" i="2644"/>
  <c r="H24" i="2644"/>
  <c r="H23" i="2644"/>
  <c r="H12" i="2644"/>
  <c r="H19" i="2644"/>
  <c r="H22" i="2644"/>
  <c r="H13" i="2644"/>
  <c r="C23" i="2644"/>
  <c r="H31" i="2644"/>
  <c r="C22" i="2644"/>
  <c r="H16" i="2644"/>
  <c r="B21" i="2644"/>
  <c r="H21" i="2644"/>
  <c r="H30" i="2644"/>
  <c r="C19" i="2644"/>
  <c r="H18" i="2644"/>
  <c r="C18" i="2644"/>
  <c r="H17" i="2644"/>
  <c r="C17" i="2644"/>
  <c r="H29" i="2644"/>
  <c r="B16" i="2644"/>
  <c r="B20" i="2644" s="1"/>
  <c r="H28" i="2644"/>
  <c r="C15" i="2644"/>
  <c r="H27" i="2644"/>
  <c r="C14" i="2644"/>
  <c r="H26" i="2644"/>
  <c r="C13" i="2644"/>
  <c r="H25" i="2644"/>
  <c r="C12" i="2644"/>
  <c r="H5" i="2644"/>
  <c r="C11" i="2644"/>
  <c r="H15" i="2644"/>
  <c r="C10" i="2644"/>
  <c r="H9" i="2644"/>
  <c r="C9" i="2644"/>
  <c r="H8" i="2644"/>
  <c r="C8" i="2644"/>
  <c r="N7" i="2644"/>
  <c r="H6" i="2644"/>
  <c r="C7" i="2644"/>
  <c r="N6" i="2644"/>
  <c r="H2" i="2644"/>
  <c r="B6" i="2644"/>
  <c r="N5" i="2644"/>
  <c r="H7" i="2644"/>
  <c r="B5" i="2644"/>
  <c r="N4" i="2644"/>
  <c r="H3" i="2644"/>
  <c r="N3" i="2644"/>
  <c r="H11" i="2644"/>
  <c r="N2" i="2644"/>
  <c r="H4" i="2644"/>
  <c r="C16" i="2645" l="1"/>
  <c r="C16" i="2644"/>
  <c r="H51" i="2643" l="1"/>
  <c r="H50" i="2643"/>
  <c r="H49" i="2643"/>
  <c r="H48" i="2643"/>
  <c r="H47" i="2643"/>
  <c r="H46" i="2643"/>
  <c r="H45" i="2643"/>
  <c r="H44" i="2643"/>
  <c r="H43" i="2643"/>
  <c r="H42" i="2643"/>
  <c r="H41" i="2643"/>
  <c r="H40" i="2643"/>
  <c r="H39" i="2643"/>
  <c r="H38" i="2643"/>
  <c r="H37" i="2643"/>
  <c r="H36" i="2643"/>
  <c r="H35" i="2643"/>
  <c r="H34" i="2643"/>
  <c r="H33" i="2643"/>
  <c r="H32" i="2643"/>
  <c r="H31" i="2643"/>
  <c r="H30" i="2643"/>
  <c r="H29" i="2643"/>
  <c r="H28" i="2643"/>
  <c r="H27" i="2643"/>
  <c r="H26" i="2643"/>
  <c r="H25" i="2643"/>
  <c r="H24" i="2643"/>
  <c r="H23" i="2643"/>
  <c r="C23" i="2643"/>
  <c r="H22" i="2643"/>
  <c r="C22" i="2643"/>
  <c r="H21" i="2643"/>
  <c r="B21" i="2643"/>
  <c r="H20" i="2643"/>
  <c r="H19" i="2643"/>
  <c r="C19" i="2643"/>
  <c r="H18" i="2643"/>
  <c r="C18" i="2643"/>
  <c r="H17" i="2643"/>
  <c r="C17" i="2643"/>
  <c r="H16" i="2643"/>
  <c r="B16" i="2643"/>
  <c r="B20" i="2643" s="1"/>
  <c r="H15" i="2643"/>
  <c r="C15" i="2643"/>
  <c r="H14" i="2643"/>
  <c r="C14" i="2643"/>
  <c r="H13" i="2643"/>
  <c r="C13" i="2643"/>
  <c r="H12" i="2643"/>
  <c r="C12" i="2643"/>
  <c r="H11" i="2643"/>
  <c r="C11" i="2643"/>
  <c r="H10" i="2643"/>
  <c r="C10" i="2643"/>
  <c r="H9" i="2643"/>
  <c r="C9" i="2643"/>
  <c r="H8" i="2643"/>
  <c r="C8" i="2643"/>
  <c r="N7" i="2643"/>
  <c r="H7" i="2643"/>
  <c r="C7" i="2643"/>
  <c r="N6" i="2643"/>
  <c r="H6" i="2643"/>
  <c r="B6" i="2643"/>
  <c r="N5" i="2643"/>
  <c r="H5" i="2643"/>
  <c r="B5" i="2643"/>
  <c r="N4" i="2643"/>
  <c r="H4" i="2643"/>
  <c r="N3" i="2643"/>
  <c r="H3" i="2643"/>
  <c r="N2" i="2643"/>
  <c r="H2" i="2643"/>
  <c r="H51" i="2642"/>
  <c r="H50" i="2642"/>
  <c r="H49" i="2642"/>
  <c r="H48" i="2642"/>
  <c r="H47" i="2642"/>
  <c r="H46" i="2642"/>
  <c r="H45" i="2642"/>
  <c r="H44" i="2642"/>
  <c r="H43" i="2642"/>
  <c r="H42" i="2642"/>
  <c r="H41" i="2642"/>
  <c r="H40" i="2642"/>
  <c r="H39" i="2642"/>
  <c r="H38" i="2642"/>
  <c r="H37" i="2642"/>
  <c r="H36" i="2642"/>
  <c r="H35" i="2642"/>
  <c r="H34" i="2642"/>
  <c r="H33" i="2642"/>
  <c r="H32" i="2642"/>
  <c r="H31" i="2642"/>
  <c r="H30" i="2642"/>
  <c r="H29" i="2642"/>
  <c r="H28" i="2642"/>
  <c r="H27" i="2642"/>
  <c r="H26" i="2642"/>
  <c r="H25" i="2642"/>
  <c r="H24" i="2642"/>
  <c r="H23" i="2642"/>
  <c r="C23" i="2642"/>
  <c r="H22" i="2642"/>
  <c r="C22" i="2642"/>
  <c r="H21" i="2642"/>
  <c r="B21" i="2642"/>
  <c r="H20" i="2642"/>
  <c r="H19" i="2642"/>
  <c r="C19" i="2642"/>
  <c r="H18" i="2642"/>
  <c r="C18" i="2642"/>
  <c r="H17" i="2642"/>
  <c r="C17" i="2642"/>
  <c r="H16" i="2642"/>
  <c r="B16" i="2642"/>
  <c r="B20" i="2642" s="1"/>
  <c r="H15" i="2642"/>
  <c r="C15" i="2642"/>
  <c r="H14" i="2642"/>
  <c r="C14" i="2642"/>
  <c r="H13" i="2642"/>
  <c r="C13" i="2642"/>
  <c r="H12" i="2642"/>
  <c r="C12" i="2642"/>
  <c r="H11" i="2642"/>
  <c r="C11" i="2642"/>
  <c r="H10" i="2642"/>
  <c r="C10" i="2642"/>
  <c r="H9" i="2642"/>
  <c r="C9" i="2642"/>
  <c r="H8" i="2642"/>
  <c r="C8" i="2642"/>
  <c r="N7" i="2642"/>
  <c r="H7" i="2642"/>
  <c r="C7" i="2642"/>
  <c r="N6" i="2642"/>
  <c r="H6" i="2642"/>
  <c r="B6" i="2642"/>
  <c r="N5" i="2642"/>
  <c r="H5" i="2642"/>
  <c r="B5" i="2642"/>
  <c r="N4" i="2642"/>
  <c r="H4" i="2642"/>
  <c r="N3" i="2642"/>
  <c r="H3" i="2642"/>
  <c r="N2" i="2642"/>
  <c r="H2" i="2642"/>
  <c r="H51" i="2641"/>
  <c r="H50" i="2641"/>
  <c r="H49" i="2641"/>
  <c r="H48" i="2641"/>
  <c r="H47" i="2641"/>
  <c r="H26" i="2641"/>
  <c r="H46" i="2641"/>
  <c r="H45" i="2641"/>
  <c r="H44" i="2641"/>
  <c r="H43" i="2641"/>
  <c r="H42" i="2641"/>
  <c r="H41" i="2641"/>
  <c r="H40" i="2641"/>
  <c r="H39" i="2641"/>
  <c r="H38" i="2641"/>
  <c r="H37" i="2641"/>
  <c r="H36" i="2641"/>
  <c r="H35" i="2641"/>
  <c r="H34" i="2641"/>
  <c r="H18" i="2641"/>
  <c r="H20" i="2641"/>
  <c r="H25" i="2641"/>
  <c r="H9" i="2641"/>
  <c r="H33" i="2641"/>
  <c r="H24" i="2641"/>
  <c r="H13" i="2641"/>
  <c r="H23" i="2641"/>
  <c r="H32" i="2641"/>
  <c r="H14" i="2641"/>
  <c r="C23" i="2641"/>
  <c r="H31" i="2641"/>
  <c r="C22" i="2641"/>
  <c r="H16" i="2641"/>
  <c r="B21" i="2641"/>
  <c r="H30" i="2641"/>
  <c r="H29" i="2641"/>
  <c r="C19" i="2641"/>
  <c r="H22" i="2641"/>
  <c r="C18" i="2641"/>
  <c r="H21" i="2641"/>
  <c r="C17" i="2641"/>
  <c r="H15" i="2641"/>
  <c r="B16" i="2641"/>
  <c r="B20" i="2641" s="1"/>
  <c r="H28" i="2641"/>
  <c r="C15" i="2641"/>
  <c r="H19" i="2641"/>
  <c r="C14" i="2641"/>
  <c r="H27" i="2641"/>
  <c r="C13" i="2641"/>
  <c r="H17" i="2641"/>
  <c r="C12" i="2641"/>
  <c r="H4" i="2641"/>
  <c r="C11" i="2641"/>
  <c r="H12" i="2641"/>
  <c r="C10" i="2641"/>
  <c r="H10" i="2641"/>
  <c r="C9" i="2641"/>
  <c r="H8" i="2641"/>
  <c r="C8" i="2641"/>
  <c r="N7" i="2641"/>
  <c r="H6" i="2641"/>
  <c r="C7" i="2641"/>
  <c r="N6" i="2641"/>
  <c r="H2" i="2641"/>
  <c r="B6" i="2641"/>
  <c r="N5" i="2641"/>
  <c r="H7" i="2641"/>
  <c r="B5" i="2641"/>
  <c r="N4" i="2641"/>
  <c r="H3" i="2641"/>
  <c r="N3" i="2641"/>
  <c r="H11" i="2641"/>
  <c r="N2" i="2641"/>
  <c r="H5" i="2641"/>
  <c r="C16" i="2642" l="1"/>
  <c r="C16" i="2643"/>
  <c r="C16" i="264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1" i="2416"/>
  <c r="D17" i="2416"/>
  <c r="D27" i="2416"/>
  <c r="D9" i="2416"/>
  <c r="D29" i="2416"/>
  <c r="D25" i="2416"/>
  <c r="D12" i="2416"/>
  <c r="D20" i="2416"/>
  <c r="D23" i="2416"/>
  <c r="D13" i="2416"/>
  <c r="D34" i="2416"/>
  <c r="D16" i="2416"/>
  <c r="D26" i="2416"/>
  <c r="D33" i="2416"/>
  <c r="D18" i="2416"/>
  <c r="D15" i="2416"/>
  <c r="D24" i="2416"/>
  <c r="D32" i="2416"/>
  <c r="D22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<sst xmlns="http://schemas.openxmlformats.org/spreadsheetml/2006/main" count="2357" uniqueCount="234">
  <si>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</si>
  <si>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</si>
  <si>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</si>
  <si>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</si>
  <si>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</si>
  <si>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</si>
  <si>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</si>
  <si>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</si>
  <si>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</si>
  <si>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</si>
  <si>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</si>
  <si>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</si>
  <si>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</si>
  <si>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</si>
  <si>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</si>
  <si>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</si>
  <si>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</si>
  <si>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</si>
  <si>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</si>
  <si>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</si>
  <si>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</si>
  <si>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</si>
  <si>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</si>
  <si>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</si>
  <si>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</si>
  <si>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</si>
  <si>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</si>
  <si>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</si>
  <si>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</si>
  <si>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</si>
  <si>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</si>
  <si>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</si>
  <si>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</si>
  <si>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</si>
  <si>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</si>
  <si>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</si>
  <si>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</si>
  <si>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</si>
  <si>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</si>
  <si>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</si>
  <si>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</si>
  <si>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</si>
  <si>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</si>
  <si>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</si>
  <si>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</si>
  <si>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</si>
  <si>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</si>
  <si>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</si>
  <si>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</si>
  <si>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</si>
  <si>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</si>
  <si>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</si>
  <si>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</si>
  <si>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</si>
  <si>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</si>
  <si>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</si>
  <si>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</si>
  <si>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</si>
  <si>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</si>
  <si>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</si>
  <si>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</si>
  <si>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</si>
  <si>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</si>
  <si>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</si>
  <si>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</si>
  <si>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</si>
  <si>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</si>
  <si>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</si>
  <si>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</si>
  <si>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</si>
  <si>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</si>
  <si>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</si>
  <si>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</si>
  <si>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</si>
  <si>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</si>
  <si>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</si>
  <si>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</si>
  <si>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</si>
  <si>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</si>
  <si>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</si>
  <si>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</si>
  <si>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</si>
  <si>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</si>
  <si>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</si>
  <si>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</si>
  <si>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</si>
  <si>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</si>
  <si>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</si>
  <si>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</si>
  <si>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</si>
  <si>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</si>
  <si>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</si>
  <si>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</si>
  <si>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</si>
  <si>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</si>
  <si>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</si>
  <si>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</si>
  <si>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</si>
  <si>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</si>
  <si>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</si>
  <si>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</si>
  <si>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</si>
  <si>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</si>
  <si>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</si>
  <si>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</si>
  <si>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</si>
  <si>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</si>
  <si>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</si>
  <si>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</si>
  <si>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</si>
  <si>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</si>
  <si>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</si>
  <si>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</si>
  <si>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</si>
  <si>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</si>
  <si>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</si>
  <si>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</si>
  <si>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</si>
  <si>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</si>
  <si>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</si>
  <si>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</si>
  <si>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</si>
  <si>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</si>
  <si>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</si>
  <si>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</si>
  <si>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</si>
  <si>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</si>
  <si>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</si>
  <si>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</si>
  <si>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</si>
  <si>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</si>
  <si>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</si>
  <si>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</si>
  <si>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</si>
  <si>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</si>
  <si>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</si>
  <si>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</si>
  <si>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</si>
  <si>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</si>
  <si>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</si>
  <si>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</si>
  <si>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</si>
  <si>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</si>
  <si>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</si>
  <si>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</si>
  <si>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</si>
  <si>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</si>
  <si>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</si>
  <si>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</si>
  <si>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</si>
  <si>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</si>
  <si>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</si>
  <si>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</si>
  <si>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</si>
  <si>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</si>
  <si>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</si>
  <si>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</si>
  <si>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</si>
  <si>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</si>
  <si>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</si>
  <si>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</si>
  <si>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</si>
  <si>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</si>
  <si>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</si>
  <si>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</si>
  <si>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</si>
  <si>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</si>
  <si>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</si>
  <si>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</si>
  <si>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</si>
  <si>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</si>
  <si>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</si>
  <si>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</si>
  <si>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</si>
  <si>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</si>
  <si>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</si>
  <si>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</si>
  <si>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</si>
  <si>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</si>
  <si>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</si>
  <si>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</si>
  <si>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</si>
  <si>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</si>
  <si>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</si>
  <si>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</si>
  <si>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</si>
  <si>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</si>
  <si>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</si>
  <si>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</si>
  <si>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</si>
  <si>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</si>
  <si>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</si>
  <si>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</si>
  <si>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</si>
  <si>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</si>
  <si>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</si>
  <si>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</si>
  <si>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</si>
  <si>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</si>
  <si>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</si>
  <si>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</si>
  <si>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</si>
  <si>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</si>
  <si>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</si>
  <si>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</si>
  <si>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</si>
  <si>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</si>
  <si>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</si>
  <si>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</si>
  <si>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</si>
  <si>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</si>
  <si>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</si>
  <si>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</si>
  <si>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</si>
  <si>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</si>
  <si>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</si>
  <si>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</si>
  <si>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</si>
  <si>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</si>
  <si>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</si>
  <si>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</si>
  <si>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</si>
  <si>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</si>
  <si>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</si>
  <si>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</si>
  <si>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</si>
  <si>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</si>
  <si>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</si>
  <si>
    <t>2019-01-15.xlsm</t>
  </si>
  <si>
    <t>2019-01-16.xlsm</t>
  </si>
  <si>
    <t>2019-01-17.xlsm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</si>
  <si>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</si>
  <si>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</si>
  <si>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2019-01-18.xlsm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</si>
</sst>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6" xfId="0" applyNumberFormat="1" applyBorder="1" applyAlignment="1">
      <alignment horizontal="center" vertical="center" shrinkToFit="1"/>
    </xf>
    <xf numFmtId="184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だいち!$K$2:$K$132</c:f>
              <c:numCache>
                <c:formatCode>\+0;\-0;\±0</c:formatCode>
                <c:ptCount val="13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DC-495B-BE07-7965B517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788.09523809523807</c:v>
                </c:pt>
                <c:pt idx="1">
                  <c:v>1531.6666666666667</c:v>
                </c:pt>
                <c:pt idx="2">
                  <c:v>1080</c:v>
                </c:pt>
                <c:pt idx="3">
                  <c:v>1493.8144329896907</c:v>
                </c:pt>
                <c:pt idx="4">
                  <c:v>308.75</c:v>
                </c:pt>
                <c:pt idx="5">
                  <c:v>391.66666666666669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E-4386-8300-508ABEC6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1-4A3C-B393-5C0E1150B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93D-AB1C-B45B37CB8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5-4755-B2E2-181C39097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B-447E-9A39-13BC52126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りくと!$K$2:$K$91</c:f>
              <c:numCache>
                <c:formatCode>\+0;\-0;\±0</c:formatCode>
                <c:ptCount val="9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CD-4829-9575-379A2CC54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-122.98850574712644</c:v>
                </c:pt>
                <c:pt idx="1">
                  <c:v>-1785.5421686746988</c:v>
                </c:pt>
                <c:pt idx="2">
                  <c:v>1795</c:v>
                </c:pt>
                <c:pt idx="3">
                  <c:v>-2191.5492957746478</c:v>
                </c:pt>
                <c:pt idx="4">
                  <c:v>-2772.4137931034484</c:v>
                </c:pt>
                <c:pt idx="5">
                  <c:v>-2591.1111111111113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95-4797-B63F-E1BC4C364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いっしー!$K$2:$K$50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7-45F2-BC6D-C33BD955C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-718.75</c:v>
                </c:pt>
                <c:pt idx="1">
                  <c:v>2878.2608695652175</c:v>
                </c:pt>
                <c:pt idx="2">
                  <c:v>-272.72727272727275</c:v>
                </c:pt>
                <c:pt idx="3">
                  <c:v>-1586.4864864864865</c:v>
                </c:pt>
                <c:pt idx="4">
                  <c:v>6312.9032258064517</c:v>
                </c:pt>
                <c:pt idx="5">
                  <c:v>-323.8095238095238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7-48E7-9C5D-DA1258231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00-40F5-A46D-6CBE5342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9-4A11-AA6C-236D4A400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たかの!$K$2:$K$45</c:f>
              <c:numCache>
                <c:formatCode>\+0;\-0;\±0</c:formatCode>
                <c:ptCount val="4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24-48CC-B619-3FB70EA5E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-2123.2558139534885</c:v>
                </c:pt>
                <c:pt idx="1">
                  <c:v>-2702.5</c:v>
                </c:pt>
                <c:pt idx="2">
                  <c:v>-1311.7647058823529</c:v>
                </c:pt>
                <c:pt idx="3">
                  <c:v>3137.5</c:v>
                </c:pt>
                <c:pt idx="4">
                  <c:v>-1216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6-4D69-93E5-BE6F932E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6-4FC8-9F4D-C2AB77A12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7-4668-B129-A7CB51549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3-40D6-A13F-A439CEA74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C9-4B72-B00D-B880A0326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れんたろう!$K$2:$K$51</c:f>
              <c:numCache>
                <c:formatCode>\+0;\-0;\±0</c:formatCode>
                <c:ptCount val="5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67-4DCD-BE7C-08417EE2C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-3044.4444444444443</c:v>
                </c:pt>
                <c:pt idx="1">
                  <c:v>-1537.7777777777778</c:v>
                </c:pt>
                <c:pt idx="2">
                  <c:v>-2564.2857142857142</c:v>
                </c:pt>
                <c:pt idx="3">
                  <c:v>-312.82051282051282</c:v>
                </c:pt>
                <c:pt idx="4">
                  <c:v>-1125.7142857142858</c:v>
                </c:pt>
                <c:pt idx="5">
                  <c:v>4532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5-4C5A-AB61-229E16072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A-41A4-93C7-B7F3EFBE1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1-43CB-99A9-7B9E0BA5C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まっつん!$K$2:$K$8</c:f>
              <c:numCache>
                <c:formatCode>\+0;\-0;\±0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1F-4049-8547-62249586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-550</c:v>
                </c:pt>
                <c:pt idx="1">
                  <c:v>4833.333333333333</c:v>
                </c:pt>
                <c:pt idx="2">
                  <c:v>-2575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3-4F83-8994-2421E0999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G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77" customWidth="1"/>
    <col min="34" max="16384" width="9" style="4"/>
  </cols>
  <sheetData>
    <row r="1" spans="1:33" x14ac:dyDescent="0.4">
      <c r="A1" s="14"/>
      <c r="B1" s="80" t="s">
        <v>6</v>
      </c>
      <c r="C1" s="81"/>
      <c r="D1" s="80" t="s">
        <v>7</v>
      </c>
      <c r="E1" s="81"/>
      <c r="F1" s="80" t="s">
        <v>16</v>
      </c>
      <c r="G1" s="81"/>
      <c r="H1" s="80" t="s">
        <v>15</v>
      </c>
      <c r="I1" s="81"/>
      <c r="J1" s="80" t="s">
        <v>17</v>
      </c>
      <c r="K1" s="81"/>
      <c r="L1" s="80" t="s">
        <v>18</v>
      </c>
      <c r="M1" s="81"/>
      <c r="N1" s="80" t="s">
        <v>5</v>
      </c>
      <c r="O1" s="81"/>
      <c r="P1" s="80" t="s">
        <v>19</v>
      </c>
      <c r="Q1" s="81"/>
      <c r="R1" s="80" t="s">
        <v>20</v>
      </c>
      <c r="S1" s="81"/>
      <c r="T1" s="80" t="s">
        <v>209</v>
      </c>
      <c r="U1" s="81"/>
      <c r="V1" s="80" t="s">
        <v>131</v>
      </c>
      <c r="W1" s="81"/>
      <c r="X1" s="80" t="s">
        <v>126</v>
      </c>
      <c r="Y1" s="81"/>
      <c r="Z1" s="80" t="s">
        <v>134</v>
      </c>
      <c r="AA1" s="81"/>
      <c r="AB1" s="80" t="s">
        <v>135</v>
      </c>
      <c r="AC1" s="81"/>
      <c r="AD1" s="80" t="s">
        <v>197</v>
      </c>
      <c r="AE1" s="81"/>
      <c r="AF1" s="80" t="s">
        <v>232</v>
      </c>
      <c r="AG1" s="81"/>
    </row>
    <row r="2" spans="1:33" x14ac:dyDescent="0.4">
      <c r="A2" s="8">
        <v>1</v>
      </c>
      <c r="B2" s="9" t="s">
        <v>137</v>
      </c>
      <c r="C2" s="11">
        <v>631.00000000000011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141</v>
      </c>
      <c r="O2" s="13">
        <v>11335.294117647059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0.48837209302325579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  <c r="AF2" s="10" t="s">
        <v>137</v>
      </c>
      <c r="AG2" s="76">
        <v>10</v>
      </c>
    </row>
    <row r="3" spans="1:33" x14ac:dyDescent="0.4">
      <c r="A3" s="7">
        <v>2</v>
      </c>
      <c r="B3" s="6" t="s">
        <v>142</v>
      </c>
      <c r="C3" s="3">
        <v>213.70000000000005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142</v>
      </c>
      <c r="K3" s="16">
        <v>0.35276967930029157</v>
      </c>
      <c r="L3" s="1" t="s">
        <v>156</v>
      </c>
      <c r="M3" s="16">
        <v>0.13414634146341464</v>
      </c>
      <c r="N3" s="1" t="s">
        <v>149</v>
      </c>
      <c r="O3" s="2">
        <v>10903.27868852459</v>
      </c>
      <c r="P3" s="1" t="s">
        <v>219</v>
      </c>
      <c r="Q3" s="2">
        <v>-6914.2857142857147</v>
      </c>
      <c r="R3" s="1" t="s">
        <v>214</v>
      </c>
      <c r="S3" s="18">
        <v>0</v>
      </c>
      <c r="T3" s="1" t="s">
        <v>137</v>
      </c>
      <c r="U3" s="18">
        <v>0.22307692307692309</v>
      </c>
      <c r="V3" s="1" t="s">
        <v>214</v>
      </c>
      <c r="W3" s="16">
        <v>0.43478260869565216</v>
      </c>
      <c r="X3" s="1" t="s">
        <v>142</v>
      </c>
      <c r="Y3" s="16">
        <v>0.32380952380952382</v>
      </c>
      <c r="Z3" s="1" t="s">
        <v>137</v>
      </c>
      <c r="AA3" s="16">
        <v>0.68382352941176472</v>
      </c>
      <c r="AB3" s="1" t="s">
        <v>137</v>
      </c>
      <c r="AC3" s="16">
        <v>0.46728971962616822</v>
      </c>
      <c r="AD3" s="1" t="s">
        <v>145</v>
      </c>
      <c r="AE3" s="16">
        <v>0.46153846153846156</v>
      </c>
      <c r="AF3" s="1" t="s">
        <v>141</v>
      </c>
      <c r="AG3" s="77">
        <v>10</v>
      </c>
    </row>
    <row r="4" spans="1:33" x14ac:dyDescent="0.4">
      <c r="A4" s="7">
        <v>3</v>
      </c>
      <c r="B4" s="6" t="s">
        <v>149</v>
      </c>
      <c r="C4" s="3">
        <v>166.69999999999996</v>
      </c>
      <c r="D4" s="1" t="s">
        <v>137</v>
      </c>
      <c r="E4" s="3">
        <v>4.8538461538461544</v>
      </c>
      <c r="F4" s="1" t="s">
        <v>137</v>
      </c>
      <c r="G4" s="5">
        <v>1.8384615384615384</v>
      </c>
      <c r="H4" s="1" t="s">
        <v>137</v>
      </c>
      <c r="I4" s="18">
        <v>0.40769230769230769</v>
      </c>
      <c r="J4" s="1" t="s">
        <v>137</v>
      </c>
      <c r="K4" s="16">
        <v>0.35132275132275131</v>
      </c>
      <c r="L4" s="1" t="s">
        <v>142</v>
      </c>
      <c r="M4" s="16">
        <v>0.15451895043731778</v>
      </c>
      <c r="N4" s="1" t="s">
        <v>156</v>
      </c>
      <c r="O4" s="2">
        <v>10857.142857142857</v>
      </c>
      <c r="P4" s="1" t="s">
        <v>148</v>
      </c>
      <c r="Q4" s="2">
        <v>-8125.757575757576</v>
      </c>
      <c r="R4" s="1" t="s">
        <v>142</v>
      </c>
      <c r="S4" s="18">
        <v>0.125</v>
      </c>
      <c r="T4" s="1" t="s">
        <v>145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0.30344827586206896</v>
      </c>
      <c r="Z4" s="1" t="s">
        <v>142</v>
      </c>
      <c r="AA4" s="16">
        <v>0.68181818181818177</v>
      </c>
      <c r="AB4" s="1" t="s">
        <v>160</v>
      </c>
      <c r="AC4" s="16">
        <v>0.39189189189189189</v>
      </c>
      <c r="AD4" s="1" t="s">
        <v>156</v>
      </c>
      <c r="AE4" s="16">
        <v>0.45454545454545453</v>
      </c>
      <c r="AF4" s="1" t="s">
        <v>149</v>
      </c>
      <c r="AG4" s="77">
        <v>9</v>
      </c>
    </row>
    <row r="5" spans="1:33" x14ac:dyDescent="0.4">
      <c r="A5" s="7">
        <v>4</v>
      </c>
      <c r="B5" s="6" t="s">
        <v>214</v>
      </c>
      <c r="C5" s="3">
        <v>89</v>
      </c>
      <c r="D5" s="1" t="s">
        <v>142</v>
      </c>
      <c r="E5" s="3">
        <v>4.4520833333333343</v>
      </c>
      <c r="F5" s="1" t="s">
        <v>142</v>
      </c>
      <c r="G5" s="5">
        <v>1.8958333333333333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137</v>
      </c>
      <c r="M5" s="16">
        <v>0.15555555555555556</v>
      </c>
      <c r="N5" s="1" t="s">
        <v>160</v>
      </c>
      <c r="O5" s="2">
        <v>10728.703703703704</v>
      </c>
      <c r="P5" s="1" t="s">
        <v>138</v>
      </c>
      <c r="Q5" s="2">
        <v>-8240</v>
      </c>
      <c r="R5" s="1" t="s">
        <v>137</v>
      </c>
      <c r="S5" s="18">
        <v>0.13076923076923078</v>
      </c>
      <c r="T5" s="1" t="s">
        <v>214</v>
      </c>
      <c r="U5" s="18">
        <v>0.2</v>
      </c>
      <c r="V5" s="1" t="s">
        <v>160</v>
      </c>
      <c r="W5" s="16">
        <v>0.29850746268656714</v>
      </c>
      <c r="X5" s="1" t="s">
        <v>149</v>
      </c>
      <c r="Y5" s="16">
        <v>0.23346303501945526</v>
      </c>
      <c r="Z5" s="1" t="s">
        <v>149</v>
      </c>
      <c r="AA5" s="16">
        <v>0.60919540229885061</v>
      </c>
      <c r="AB5" s="1" t="s">
        <v>148</v>
      </c>
      <c r="AC5" s="16">
        <v>0.38636363636363635</v>
      </c>
      <c r="AD5" s="1" t="s">
        <v>137</v>
      </c>
      <c r="AE5" s="16">
        <v>0.41337386018237082</v>
      </c>
      <c r="AF5" s="1" t="s">
        <v>160</v>
      </c>
      <c r="AG5" s="77">
        <v>7</v>
      </c>
    </row>
    <row r="6" spans="1:33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3.2686274509803912</v>
      </c>
      <c r="F6" s="1" t="s">
        <v>149</v>
      </c>
      <c r="G6" s="5">
        <v>1.9215686274509804</v>
      </c>
      <c r="H6" s="1" t="s">
        <v>142</v>
      </c>
      <c r="I6" s="18">
        <v>0.35416666666666669</v>
      </c>
      <c r="J6" s="1" t="s">
        <v>149</v>
      </c>
      <c r="K6" s="16">
        <v>0.31282051282051282</v>
      </c>
      <c r="L6" s="1" t="s">
        <v>219</v>
      </c>
      <c r="M6" s="16">
        <v>0.16279069767441862</v>
      </c>
      <c r="N6" s="1" t="s">
        <v>137</v>
      </c>
      <c r="O6" s="2">
        <v>10045.481927710844</v>
      </c>
      <c r="P6" s="1" t="s">
        <v>142</v>
      </c>
      <c r="Q6" s="2">
        <v>-8954.7169811320746</v>
      </c>
      <c r="R6" s="1" t="s">
        <v>149</v>
      </c>
      <c r="S6" s="18">
        <v>0.15686274509803921</v>
      </c>
      <c r="T6" s="1" t="s">
        <v>149</v>
      </c>
      <c r="U6" s="18">
        <v>0.19607843137254902</v>
      </c>
      <c r="V6" s="1" t="s">
        <v>141</v>
      </c>
      <c r="W6" s="16">
        <v>0.28223844282238442</v>
      </c>
      <c r="X6" s="1" t="s">
        <v>137</v>
      </c>
      <c r="Y6" s="16">
        <v>0.22199170124481327</v>
      </c>
      <c r="Z6" s="1" t="s">
        <v>214</v>
      </c>
      <c r="AA6" s="16">
        <v>0.6</v>
      </c>
      <c r="AB6" s="1" t="s">
        <v>149</v>
      </c>
      <c r="AC6" s="16">
        <v>0.38333333333333336</v>
      </c>
      <c r="AD6" s="1" t="s">
        <v>149</v>
      </c>
      <c r="AE6" s="16">
        <v>0.39860139860139859</v>
      </c>
      <c r="AF6" s="1" t="s">
        <v>142</v>
      </c>
      <c r="AG6" s="77">
        <v>6</v>
      </c>
    </row>
    <row r="7" spans="1:33" x14ac:dyDescent="0.4">
      <c r="A7" s="7">
        <v>6</v>
      </c>
      <c r="B7" s="6" t="s">
        <v>219</v>
      </c>
      <c r="C7" s="3">
        <v>2.2000000000000011</v>
      </c>
      <c r="D7" s="1" t="s">
        <v>219</v>
      </c>
      <c r="E7" s="3">
        <v>0.36666666666666686</v>
      </c>
      <c r="F7" s="1" t="s">
        <v>148</v>
      </c>
      <c r="G7" s="5">
        <v>2.1162790697674421</v>
      </c>
      <c r="H7" s="1" t="s">
        <v>141</v>
      </c>
      <c r="I7" s="18">
        <v>0.29213483146067415</v>
      </c>
      <c r="J7" s="1" t="s">
        <v>160</v>
      </c>
      <c r="K7" s="16">
        <v>0.29032258064516131</v>
      </c>
      <c r="L7" s="1" t="s">
        <v>149</v>
      </c>
      <c r="M7" s="16">
        <v>0.1641025641025641</v>
      </c>
      <c r="N7" s="1" t="s">
        <v>219</v>
      </c>
      <c r="O7" s="2">
        <v>9988.8888888888887</v>
      </c>
      <c r="P7" s="1" t="s">
        <v>137</v>
      </c>
      <c r="Q7" s="2">
        <v>-9734.6938775510207</v>
      </c>
      <c r="R7" s="1" t="s">
        <v>148</v>
      </c>
      <c r="S7" s="18">
        <v>0.16279069767441862</v>
      </c>
      <c r="T7" s="1" t="s">
        <v>142</v>
      </c>
      <c r="U7" s="18">
        <v>0.1875</v>
      </c>
      <c r="V7" s="1" t="s">
        <v>137</v>
      </c>
      <c r="W7" s="16">
        <v>0.28215767634854771</v>
      </c>
      <c r="X7" s="1" t="s">
        <v>160</v>
      </c>
      <c r="Y7" s="16">
        <v>0.22089552238805971</v>
      </c>
      <c r="Z7" s="1" t="s">
        <v>160</v>
      </c>
      <c r="AA7" s="16">
        <v>0.57999999999999996</v>
      </c>
      <c r="AB7" s="1" t="s">
        <v>142</v>
      </c>
      <c r="AC7" s="16">
        <v>0.38235294117647056</v>
      </c>
      <c r="AD7" s="1" t="s">
        <v>148</v>
      </c>
      <c r="AE7" s="16">
        <v>0.37634408602150538</v>
      </c>
      <c r="AF7" s="1" t="s">
        <v>148</v>
      </c>
      <c r="AG7" s="77">
        <v>5</v>
      </c>
    </row>
    <row r="8" spans="1:33" x14ac:dyDescent="0.4">
      <c r="A8" s="7">
        <v>7</v>
      </c>
      <c r="B8" s="6" t="s">
        <v>139</v>
      </c>
      <c r="C8" s="3">
        <v>-24.5</v>
      </c>
      <c r="D8" s="1" t="s">
        <v>148</v>
      </c>
      <c r="E8" s="3">
        <v>-3.9209302325581392</v>
      </c>
      <c r="F8" s="1" t="s">
        <v>141</v>
      </c>
      <c r="G8" s="5">
        <v>2.1348314606741572</v>
      </c>
      <c r="H8" s="1" t="s">
        <v>160</v>
      </c>
      <c r="I8" s="18">
        <v>0.24489795918367346</v>
      </c>
      <c r="J8" s="1" t="s">
        <v>139</v>
      </c>
      <c r="K8" s="16">
        <v>0.2857142857142857</v>
      </c>
      <c r="L8" s="1" t="s">
        <v>148</v>
      </c>
      <c r="M8" s="16">
        <v>0.19879518072289157</v>
      </c>
      <c r="N8" s="1" t="s">
        <v>148</v>
      </c>
      <c r="O8" s="2">
        <v>9872.7272727272721</v>
      </c>
      <c r="P8" s="1" t="s">
        <v>160</v>
      </c>
      <c r="Q8" s="2">
        <v>-9742.5287356321842</v>
      </c>
      <c r="R8" s="1" t="s">
        <v>219</v>
      </c>
      <c r="S8" s="18">
        <v>0.16666666666666666</v>
      </c>
      <c r="T8" s="1" t="s">
        <v>148</v>
      </c>
      <c r="U8" s="18">
        <v>0.16279069767441862</v>
      </c>
      <c r="V8" s="1" t="s">
        <v>145</v>
      </c>
      <c r="W8" s="16">
        <v>0.25806451612903225</v>
      </c>
      <c r="X8" s="1" t="s">
        <v>141</v>
      </c>
      <c r="Y8" s="16">
        <v>0.18734793187347931</v>
      </c>
      <c r="Z8" s="1" t="s">
        <v>141</v>
      </c>
      <c r="AA8" s="16">
        <v>0.56896551724137934</v>
      </c>
      <c r="AB8" s="1" t="s">
        <v>219</v>
      </c>
      <c r="AC8" s="16">
        <v>0.38095238095238093</v>
      </c>
      <c r="AD8" s="1" t="s">
        <v>142</v>
      </c>
      <c r="AE8" s="16">
        <v>0.36</v>
      </c>
      <c r="AF8" s="1" t="s">
        <v>214</v>
      </c>
      <c r="AG8" s="77">
        <v>5</v>
      </c>
    </row>
    <row r="9" spans="1:33" x14ac:dyDescent="0.4">
      <c r="A9" s="7">
        <v>8</v>
      </c>
      <c r="B9" s="6" t="s">
        <v>145</v>
      </c>
      <c r="C9" s="3">
        <v>-86.4</v>
      </c>
      <c r="D9" s="1" t="s">
        <v>141</v>
      </c>
      <c r="E9" s="3">
        <v>-4.6101123595505609</v>
      </c>
      <c r="F9" s="1" t="s">
        <v>145</v>
      </c>
      <c r="G9" s="5">
        <v>2.2000000000000002</v>
      </c>
      <c r="H9" s="1" t="s">
        <v>148</v>
      </c>
      <c r="I9" s="18">
        <v>0.23255813953488372</v>
      </c>
      <c r="J9" s="1" t="s">
        <v>145</v>
      </c>
      <c r="K9" s="16">
        <v>0.27027027027027029</v>
      </c>
      <c r="L9" s="1" t="s">
        <v>141</v>
      </c>
      <c r="M9" s="16">
        <v>0.19940476190476192</v>
      </c>
      <c r="N9" s="1" t="s">
        <v>142</v>
      </c>
      <c r="O9" s="2">
        <v>9616.5289256198339</v>
      </c>
      <c r="P9" s="1" t="s">
        <v>149</v>
      </c>
      <c r="Q9" s="2">
        <v>-9809.375</v>
      </c>
      <c r="R9" s="1" t="s">
        <v>160</v>
      </c>
      <c r="S9" s="18">
        <v>0.22448979591836735</v>
      </c>
      <c r="T9" s="1" t="s">
        <v>141</v>
      </c>
      <c r="U9" s="18">
        <v>0.14606741573033707</v>
      </c>
      <c r="V9" s="1" t="s">
        <v>148</v>
      </c>
      <c r="W9" s="16">
        <v>0.21379310344827587</v>
      </c>
      <c r="X9" s="1" t="s">
        <v>145</v>
      </c>
      <c r="Y9" s="16">
        <v>0.16129032258064516</v>
      </c>
      <c r="Z9" s="1" t="s">
        <v>148</v>
      </c>
      <c r="AA9" s="16">
        <v>0.35483870967741937</v>
      </c>
      <c r="AB9" s="1" t="s">
        <v>141</v>
      </c>
      <c r="AC9" s="16">
        <v>0.36363636363636365</v>
      </c>
      <c r="AD9" s="1" t="s">
        <v>160</v>
      </c>
      <c r="AE9" s="16">
        <v>0.33613445378151263</v>
      </c>
      <c r="AF9" s="1" t="s">
        <v>219</v>
      </c>
      <c r="AG9" s="77">
        <v>5</v>
      </c>
    </row>
    <row r="10" spans="1:33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-7.4387755102040805</v>
      </c>
      <c r="F10" s="1" t="s">
        <v>160</v>
      </c>
      <c r="G10" s="5">
        <v>2.204081632653061</v>
      </c>
      <c r="H10" s="1" t="s">
        <v>145</v>
      </c>
      <c r="I10" s="18">
        <v>0.2</v>
      </c>
      <c r="J10" s="1" t="s">
        <v>148</v>
      </c>
      <c r="K10" s="16">
        <v>0.26506024096385544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156</v>
      </c>
      <c r="Q10" s="2">
        <v>-9927.2727272727279</v>
      </c>
      <c r="R10" s="1" t="s">
        <v>141</v>
      </c>
      <c r="S10" s="18">
        <v>0.23595505617977527</v>
      </c>
      <c r="T10" s="1" t="s">
        <v>160</v>
      </c>
      <c r="U10" s="18">
        <v>0.10204081632653061</v>
      </c>
      <c r="V10" s="1" t="s">
        <v>142</v>
      </c>
      <c r="W10" s="16">
        <v>0.20952380952380953</v>
      </c>
      <c r="X10" s="1" t="s">
        <v>214</v>
      </c>
      <c r="Y10" s="16">
        <v>0.13043478260869565</v>
      </c>
      <c r="Z10" s="1" t="s">
        <v>219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0.30952380952380953</v>
      </c>
      <c r="AF10" s="1" t="s">
        <v>145</v>
      </c>
      <c r="AG10" s="77">
        <v>3</v>
      </c>
    </row>
    <row r="11" spans="1:33" x14ac:dyDescent="0.4">
      <c r="A11" s="7">
        <v>10</v>
      </c>
      <c r="B11" s="6" t="s">
        <v>148</v>
      </c>
      <c r="C11" s="3">
        <v>-168.6</v>
      </c>
      <c r="D11" s="1" t="s">
        <v>139</v>
      </c>
      <c r="E11" s="3">
        <v>-12.25</v>
      </c>
      <c r="F11" s="1" t="s">
        <v>219</v>
      </c>
      <c r="G11" s="5">
        <v>2.3333333333333335</v>
      </c>
      <c r="H11" s="1" t="s">
        <v>138</v>
      </c>
      <c r="I11" s="18">
        <v>0</v>
      </c>
      <c r="J11" s="1" t="s">
        <v>141</v>
      </c>
      <c r="K11" s="16">
        <v>0.25297619047619047</v>
      </c>
      <c r="L11" s="1" t="s">
        <v>160</v>
      </c>
      <c r="M11" s="16">
        <v>0.23387096774193547</v>
      </c>
      <c r="N11" s="1" t="s">
        <v>139</v>
      </c>
      <c r="O11" s="2">
        <v>8000</v>
      </c>
      <c r="P11" s="1" t="s">
        <v>141</v>
      </c>
      <c r="Q11" s="2">
        <v>-10171.641791044776</v>
      </c>
      <c r="R11" s="1" t="s">
        <v>156</v>
      </c>
      <c r="S11" s="18">
        <v>0.25</v>
      </c>
      <c r="T11" s="1" t="s">
        <v>138</v>
      </c>
      <c r="U11" s="18">
        <v>0</v>
      </c>
      <c r="V11" s="1" t="s">
        <v>219</v>
      </c>
      <c r="W11" s="16">
        <v>6.9767441860465115E-2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</v>
      </c>
      <c r="AF11" s="1" t="s">
        <v>138</v>
      </c>
      <c r="AG11" s="77">
        <v>0</v>
      </c>
    </row>
    <row r="12" spans="1:33" x14ac:dyDescent="0.4">
      <c r="A12" s="7">
        <v>11</v>
      </c>
      <c r="B12" s="6" t="s">
        <v>160</v>
      </c>
      <c r="C12" s="3">
        <v>-364.49999999999994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219</v>
      </c>
      <c r="K12" s="16">
        <v>0.20930232558139536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  <c r="AF12" s="1" t="s">
        <v>139</v>
      </c>
      <c r="AG12" s="77">
        <v>0</v>
      </c>
    </row>
    <row r="13" spans="1:33" x14ac:dyDescent="0.4">
      <c r="A13" s="7">
        <v>12</v>
      </c>
      <c r="B13" s="6" t="s">
        <v>141</v>
      </c>
      <c r="C13" s="3">
        <v>-410.29999999999995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156</v>
      </c>
      <c r="AG13" s="77">
        <v>0</v>
      </c>
    </row>
  </sheetData>
  <sortState ref="AF2:AG28">
    <sortCondition descending="1" ref="AG1"/>
  </sortState>
  <mergeCells count="16">
    <mergeCell ref="AF1:AG1"/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568</v>
      </c>
    </row>
    <row r="2" spans="1:7" x14ac:dyDescent="0.4">
      <c r="A2" s="67" t="s">
        <v>73</v>
      </c>
      <c r="B2" s="63" t="s">
        <v>27</v>
      </c>
      <c r="C2" s="49">
        <v>509</v>
      </c>
      <c r="D2" s="24">
        <f>IF(G$1=0,0,C2/G$1)</f>
        <v>0.89612676056338025</v>
      </c>
    </row>
    <row r="3" spans="1:7" x14ac:dyDescent="0.4">
      <c r="A3" s="68" t="s">
        <v>71</v>
      </c>
      <c r="B3" s="64" t="s">
        <v>25</v>
      </c>
      <c r="C3" s="50">
        <v>416</v>
      </c>
      <c r="D3" s="27">
        <f>IF(G$1=0,0,C3/G$1)</f>
        <v>0.73239436619718312</v>
      </c>
    </row>
    <row r="4" spans="1:7" x14ac:dyDescent="0.4">
      <c r="A4" s="68" t="s">
        <v>78</v>
      </c>
      <c r="B4" s="64" t="s">
        <v>31</v>
      </c>
      <c r="C4" s="50">
        <v>345</v>
      </c>
      <c r="D4" s="27">
        <f>IF(G$1=0,0,C4/G$1)</f>
        <v>0.60739436619718312</v>
      </c>
    </row>
    <row r="5" spans="1:7" x14ac:dyDescent="0.4">
      <c r="A5" s="68" t="s">
        <v>226</v>
      </c>
      <c r="B5" s="64" t="s">
        <v>23</v>
      </c>
      <c r="C5" s="50">
        <v>306</v>
      </c>
      <c r="D5" s="27">
        <f>IF(G$1=0,0,C5/G$1)</f>
        <v>0.53873239436619713</v>
      </c>
    </row>
    <row r="6" spans="1:7" x14ac:dyDescent="0.4">
      <c r="A6" s="68" t="s">
        <v>72</v>
      </c>
      <c r="B6" s="64" t="s">
        <v>26</v>
      </c>
      <c r="C6" s="50">
        <v>162</v>
      </c>
      <c r="D6" s="27">
        <f>IF(G$1=0,0,C6/G$1)</f>
        <v>0.28521126760563381</v>
      </c>
    </row>
    <row r="7" spans="1:7" x14ac:dyDescent="0.4">
      <c r="A7" s="68" t="s">
        <v>74</v>
      </c>
      <c r="B7" s="64" t="s">
        <v>222</v>
      </c>
      <c r="C7" s="50">
        <v>159</v>
      </c>
      <c r="D7" s="27">
        <f>IF(G$1=0,0,C7/G$1)</f>
        <v>0.27992957746478875</v>
      </c>
    </row>
    <row r="8" spans="1:7" x14ac:dyDescent="0.4">
      <c r="A8" s="68" t="s">
        <v>75</v>
      </c>
      <c r="B8" s="64" t="s">
        <v>28</v>
      </c>
      <c r="C8" s="50">
        <v>88</v>
      </c>
      <c r="D8" s="27">
        <f>IF(G$1=0,0,C8/G$1)</f>
        <v>0.15492957746478872</v>
      </c>
    </row>
    <row r="9" spans="1:7" x14ac:dyDescent="0.4">
      <c r="A9" s="68" t="s">
        <v>96</v>
      </c>
      <c r="B9" s="64" t="s">
        <v>49</v>
      </c>
      <c r="C9" s="50">
        <v>79</v>
      </c>
      <c r="D9" s="27">
        <f>IF(G$1=0,0,C9/G$1)</f>
        <v>0.13908450704225353</v>
      </c>
    </row>
    <row r="10" spans="1:7" x14ac:dyDescent="0.4">
      <c r="A10" s="68" t="s">
        <v>227</v>
      </c>
      <c r="B10" s="64" t="s">
        <v>24</v>
      </c>
      <c r="C10" s="50">
        <v>64</v>
      </c>
      <c r="D10" s="27">
        <f>IF(G$1=0,0,C10/G$1)</f>
        <v>0.11267605633802817</v>
      </c>
    </row>
    <row r="11" spans="1:7" x14ac:dyDescent="0.4">
      <c r="A11" s="68" t="s">
        <v>76</v>
      </c>
      <c r="B11" s="64" t="s">
        <v>29</v>
      </c>
      <c r="C11" s="50">
        <v>59</v>
      </c>
      <c r="D11" s="27">
        <f>IF(G$1=0,0,C11/G$1)</f>
        <v>0.10387323943661972</v>
      </c>
    </row>
    <row r="12" spans="1:7" x14ac:dyDescent="0.4">
      <c r="A12" s="68" t="s">
        <v>93</v>
      </c>
      <c r="B12" s="64" t="s">
        <v>46</v>
      </c>
      <c r="C12" s="50">
        <v>42</v>
      </c>
      <c r="D12" s="27">
        <f>IF(G$1=0,0,C12/G$1)</f>
        <v>7.3943661971830985E-2</v>
      </c>
    </row>
    <row r="13" spans="1:7" x14ac:dyDescent="0.4">
      <c r="A13" s="68" t="s">
        <v>90</v>
      </c>
      <c r="B13" s="64" t="s">
        <v>43</v>
      </c>
      <c r="C13" s="50">
        <v>28</v>
      </c>
      <c r="D13" s="27">
        <f>IF(G$1=0,0,C13/G$1)</f>
        <v>4.9295774647887321E-2</v>
      </c>
    </row>
    <row r="14" spans="1:7" x14ac:dyDescent="0.4">
      <c r="A14" s="68" t="s">
        <v>77</v>
      </c>
      <c r="B14" s="64" t="s">
        <v>30</v>
      </c>
      <c r="C14" s="50">
        <v>26</v>
      </c>
      <c r="D14" s="27">
        <f>IF(G$1=0,0,C14/G$1)</f>
        <v>4.5774647887323945E-2</v>
      </c>
    </row>
    <row r="15" spans="1:7" x14ac:dyDescent="0.4">
      <c r="A15" s="68" t="s">
        <v>84</v>
      </c>
      <c r="B15" s="64" t="s">
        <v>37</v>
      </c>
      <c r="C15" s="50">
        <v>17</v>
      </c>
      <c r="D15" s="27">
        <f>IF(G$1=0,0,C15/G$1)</f>
        <v>2.9929577464788731E-2</v>
      </c>
    </row>
    <row r="16" spans="1:7" x14ac:dyDescent="0.4">
      <c r="A16" s="68" t="s">
        <v>88</v>
      </c>
      <c r="B16" s="64" t="s">
        <v>41</v>
      </c>
      <c r="C16" s="50">
        <v>14</v>
      </c>
      <c r="D16" s="27">
        <f>IF(G$1=0,0,C16/G$1)</f>
        <v>2.464788732394366E-2</v>
      </c>
    </row>
    <row r="17" spans="1:4" x14ac:dyDescent="0.4">
      <c r="A17" s="68" t="s">
        <v>98</v>
      </c>
      <c r="B17" s="64" t="s">
        <v>51</v>
      </c>
      <c r="C17" s="50">
        <v>11</v>
      </c>
      <c r="D17" s="27">
        <f>IF(G$1=0,0,C17/G$1)</f>
        <v>1.936619718309859E-2</v>
      </c>
    </row>
    <row r="18" spans="1:4" x14ac:dyDescent="0.4">
      <c r="A18" s="68" t="s">
        <v>85</v>
      </c>
      <c r="B18" s="64" t="s">
        <v>38</v>
      </c>
      <c r="C18" s="50">
        <v>9</v>
      </c>
      <c r="D18" s="27">
        <f>IF(G$1=0,0,C18/G$1)</f>
        <v>1.5845070422535211E-2</v>
      </c>
    </row>
    <row r="19" spans="1:4" x14ac:dyDescent="0.4">
      <c r="A19" s="68" t="s">
        <v>79</v>
      </c>
      <c r="B19" s="64" t="s">
        <v>32</v>
      </c>
      <c r="C19" s="50">
        <v>5</v>
      </c>
      <c r="D19" s="27">
        <f>IF(G$1=0,0,C19/G$1)</f>
        <v>8.8028169014084511E-3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7.0422535211267607E-3</v>
      </c>
    </row>
    <row r="21" spans="1:4" x14ac:dyDescent="0.4">
      <c r="A21" s="68" t="s">
        <v>99</v>
      </c>
      <c r="B21" s="64" t="s">
        <v>52</v>
      </c>
      <c r="C21" s="50">
        <v>4</v>
      </c>
      <c r="D21" s="27">
        <f>IF(G$1=0,0,C21/G$1)</f>
        <v>7.0422535211267607E-3</v>
      </c>
    </row>
    <row r="22" spans="1:4" x14ac:dyDescent="0.4">
      <c r="A22" s="68" t="s">
        <v>81</v>
      </c>
      <c r="B22" s="64" t="s">
        <v>34</v>
      </c>
      <c r="C22" s="50">
        <v>4</v>
      </c>
      <c r="D22" s="27">
        <f>IF(G$1=0,0,C22/G$1)</f>
        <v>7.0422535211267607E-3</v>
      </c>
    </row>
    <row r="23" spans="1:4" x14ac:dyDescent="0.4">
      <c r="A23" s="68" t="s">
        <v>91</v>
      </c>
      <c r="B23" s="64" t="s">
        <v>44</v>
      </c>
      <c r="C23" s="50">
        <v>3</v>
      </c>
      <c r="D23" s="27">
        <f>IF(G$1=0,0,C23/G$1)</f>
        <v>5.2816901408450703E-3</v>
      </c>
    </row>
    <row r="24" spans="1:4" x14ac:dyDescent="0.4">
      <c r="A24" s="68" t="s">
        <v>83</v>
      </c>
      <c r="B24" s="64" t="s">
        <v>36</v>
      </c>
      <c r="C24" s="50">
        <v>3</v>
      </c>
      <c r="D24" s="27">
        <f>IF(G$1=0,0,C24/G$1)</f>
        <v>5.2816901408450703E-3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3.5211267605633804E-3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1.7605633802816902E-3</v>
      </c>
    </row>
    <row r="27" spans="1:4" x14ac:dyDescent="0.4">
      <c r="A27" s="68" t="s">
        <v>97</v>
      </c>
      <c r="B27" s="64" t="s">
        <v>50</v>
      </c>
      <c r="C27" s="50">
        <v>1</v>
      </c>
      <c r="D27" s="27">
        <f>IF(G$1=0,0,C27/G$1)</f>
        <v>1.7605633802816902E-3</v>
      </c>
    </row>
    <row r="28" spans="1:4" x14ac:dyDescent="0.4">
      <c r="A28" s="68" t="s">
        <v>80</v>
      </c>
      <c r="B28" s="64" t="s">
        <v>33</v>
      </c>
      <c r="C28" s="50">
        <v>1</v>
      </c>
      <c r="D28" s="27">
        <f>IF(G$1=0,0,C28/G$1)</f>
        <v>1.7605633802816902E-3</v>
      </c>
    </row>
    <row r="29" spans="1:4" x14ac:dyDescent="0.4">
      <c r="A29" s="68" t="s">
        <v>95</v>
      </c>
      <c r="B29" s="64" t="s">
        <v>48</v>
      </c>
      <c r="C29" s="50">
        <v>1</v>
      </c>
      <c r="D29" s="27">
        <f>IF(G$1=0,0,C29/G$1)</f>
        <v>1.7605633802816902E-3</v>
      </c>
    </row>
    <row r="30" spans="1:4" x14ac:dyDescent="0.4">
      <c r="A30" s="68" t="s">
        <v>100</v>
      </c>
      <c r="B30" s="64" t="s">
        <v>53</v>
      </c>
      <c r="C30" s="50">
        <v>1</v>
      </c>
      <c r="D30" s="27">
        <f>IF(G$1=0,0,C30/G$1)</f>
        <v>1.7605633802816902E-3</v>
      </c>
    </row>
    <row r="31" spans="1:4" x14ac:dyDescent="0.4">
      <c r="A31" s="68" t="s">
        <v>113</v>
      </c>
      <c r="B31" s="64" t="s">
        <v>224</v>
      </c>
      <c r="C31" s="50">
        <v>1</v>
      </c>
      <c r="D31" s="27">
        <f>IF(G$1=0,0,C31/G$1)</f>
        <v>1.7605633802816902E-3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F65BB-F289-45B3-BB18-9210B1E304DC}">
  <sheetPr codeName="Sheet4"/>
  <dimension ref="A1:P132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186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130</v>
      </c>
      <c r="C2" s="83"/>
      <c r="E2" s="67" t="s">
        <v>73</v>
      </c>
      <c r="F2" s="63" t="s">
        <v>27</v>
      </c>
      <c r="G2" s="49">
        <v>163</v>
      </c>
      <c r="H2" s="24">
        <f>IF(B$25=0,0,G2/B$25)</f>
        <v>0.94219653179190754</v>
      </c>
      <c r="J2" s="23">
        <v>0</v>
      </c>
      <c r="K2" s="25">
        <v>0</v>
      </c>
      <c r="M2" s="23" t="s">
        <v>198</v>
      </c>
      <c r="N2" s="44">
        <f t="shared" ref="N2:N7" si="0">IF(P2=0,0,O2/P2)</f>
        <v>788.09523809523807</v>
      </c>
      <c r="O2" s="41">
        <v>99300</v>
      </c>
      <c r="P2" s="39">
        <v>126</v>
      </c>
    </row>
    <row r="3" spans="1:16" x14ac:dyDescent="0.4">
      <c r="A3" s="58" t="s">
        <v>8</v>
      </c>
      <c r="B3" s="90">
        <v>945</v>
      </c>
      <c r="C3" s="91"/>
      <c r="E3" s="68" t="s">
        <v>71</v>
      </c>
      <c r="F3" s="64" t="s">
        <v>25</v>
      </c>
      <c r="G3" s="50">
        <v>116</v>
      </c>
      <c r="H3" s="27">
        <f>IF(B$25=0,0,G3/B$25)</f>
        <v>0.67052023121387283</v>
      </c>
      <c r="J3" s="26">
        <v>1</v>
      </c>
      <c r="K3" s="28">
        <v>15</v>
      </c>
      <c r="M3" s="26" t="s">
        <v>199</v>
      </c>
      <c r="N3" s="45">
        <f t="shared" si="0"/>
        <v>1531.6666666666667</v>
      </c>
      <c r="O3" s="42">
        <v>183800</v>
      </c>
      <c r="P3" s="37">
        <v>120</v>
      </c>
    </row>
    <row r="4" spans="1:16" x14ac:dyDescent="0.4">
      <c r="A4" s="58" t="s">
        <v>6</v>
      </c>
      <c r="B4" s="92">
        <v>631.00000000000011</v>
      </c>
      <c r="C4" s="93"/>
      <c r="E4" s="68" t="s">
        <v>78</v>
      </c>
      <c r="F4" s="64" t="s">
        <v>31</v>
      </c>
      <c r="G4" s="50">
        <v>96</v>
      </c>
      <c r="H4" s="27">
        <f>IF(B$25=0,0,G4/B$25)</f>
        <v>0.55491329479768781</v>
      </c>
      <c r="J4" s="26">
        <v>2</v>
      </c>
      <c r="K4" s="28">
        <v>14</v>
      </c>
      <c r="M4" s="26" t="s">
        <v>200</v>
      </c>
      <c r="N4" s="45">
        <f t="shared" si="0"/>
        <v>1080</v>
      </c>
      <c r="O4" s="42">
        <v>118800</v>
      </c>
      <c r="P4" s="37">
        <v>110</v>
      </c>
    </row>
    <row r="5" spans="1:16" x14ac:dyDescent="0.4">
      <c r="A5" s="58" t="s">
        <v>7</v>
      </c>
      <c r="B5" s="92">
        <f>IF(B$2=0,0,B$4/B$2)</f>
        <v>4.8538461538461544</v>
      </c>
      <c r="C5" s="93"/>
      <c r="E5" s="68" t="s">
        <v>69</v>
      </c>
      <c r="F5" s="64" t="s">
        <v>23</v>
      </c>
      <c r="G5" s="50">
        <v>89</v>
      </c>
      <c r="H5" s="27">
        <f>IF(B$25=0,0,G5/B$25)</f>
        <v>0.51445086705202314</v>
      </c>
      <c r="J5" s="26">
        <v>3</v>
      </c>
      <c r="K5" s="28">
        <v>29.1</v>
      </c>
      <c r="M5" s="26" t="s">
        <v>201</v>
      </c>
      <c r="N5" s="45">
        <f t="shared" si="0"/>
        <v>1493.8144329896907</v>
      </c>
      <c r="O5" s="42">
        <v>144900</v>
      </c>
      <c r="P5" s="37">
        <v>97</v>
      </c>
    </row>
    <row r="6" spans="1:16" x14ac:dyDescent="0.4">
      <c r="A6" s="58" t="s">
        <v>1</v>
      </c>
      <c r="B6" s="94">
        <f>IF(B$2=0,0,(B$7*1+B$8*2+B$9*3)/B$2)</f>
        <v>1.8384615384615384</v>
      </c>
      <c r="C6" s="95"/>
      <c r="E6" s="68" t="s">
        <v>74</v>
      </c>
      <c r="F6" s="64" t="s">
        <v>12</v>
      </c>
      <c r="G6" s="50">
        <v>47</v>
      </c>
      <c r="H6" s="27">
        <f>IF(B$25=0,0,G6/B$25)</f>
        <v>0.27167630057803466</v>
      </c>
      <c r="J6" s="26">
        <v>4</v>
      </c>
      <c r="K6" s="28">
        <v>114.30000000000001</v>
      </c>
      <c r="M6" s="26" t="s">
        <v>202</v>
      </c>
      <c r="N6" s="45">
        <f t="shared" si="0"/>
        <v>308.75</v>
      </c>
      <c r="O6" s="42">
        <v>24700</v>
      </c>
      <c r="P6" s="37">
        <v>80</v>
      </c>
    </row>
    <row r="7" spans="1:16" x14ac:dyDescent="0.4">
      <c r="A7" s="58" t="s">
        <v>2</v>
      </c>
      <c r="B7" s="50">
        <v>53</v>
      </c>
      <c r="C7" s="27">
        <f>IF(B$2=0,0,B7/B$2)</f>
        <v>0.40769230769230769</v>
      </c>
      <c r="E7" s="68" t="s">
        <v>72</v>
      </c>
      <c r="F7" s="64" t="s">
        <v>26</v>
      </c>
      <c r="G7" s="50">
        <v>44</v>
      </c>
      <c r="H7" s="27">
        <f>IF(B$25=0,0,G7/B$25)</f>
        <v>0.25433526011560692</v>
      </c>
      <c r="J7" s="26">
        <v>5</v>
      </c>
      <c r="K7" s="28">
        <v>145.80000000000001</v>
      </c>
      <c r="M7" s="31" t="s">
        <v>203</v>
      </c>
      <c r="N7" s="46">
        <f t="shared" si="0"/>
        <v>391.66666666666669</v>
      </c>
      <c r="O7" s="43">
        <v>23500</v>
      </c>
      <c r="P7" s="38">
        <v>60</v>
      </c>
    </row>
    <row r="8" spans="1:16" x14ac:dyDescent="0.4">
      <c r="A8" s="58" t="s">
        <v>3</v>
      </c>
      <c r="B8" s="50">
        <v>45</v>
      </c>
      <c r="C8" s="27">
        <f t="shared" ref="C8:C9" si="1">IF(B$2=0,0,B8/B$2)</f>
        <v>0.34615384615384615</v>
      </c>
      <c r="E8" s="68" t="s">
        <v>75</v>
      </c>
      <c r="F8" s="64" t="s">
        <v>28</v>
      </c>
      <c r="G8" s="50">
        <v>30</v>
      </c>
      <c r="H8" s="27">
        <f>IF(B$25=0,0,G8/B$25)</f>
        <v>0.17341040462427745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32</v>
      </c>
      <c r="C9" s="29">
        <f t="shared" si="1"/>
        <v>0.24615384615384617</v>
      </c>
      <c r="E9" s="68" t="s">
        <v>96</v>
      </c>
      <c r="F9" s="64" t="s">
        <v>49</v>
      </c>
      <c r="G9" s="50">
        <v>27</v>
      </c>
      <c r="H9" s="27">
        <f>IF(B$25=0,0,G9/B$25)</f>
        <v>0.15606936416184972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0.13076923076923078</v>
      </c>
      <c r="E10" s="68" t="s">
        <v>76</v>
      </c>
      <c r="F10" s="64" t="s">
        <v>29</v>
      </c>
      <c r="G10" s="50">
        <v>16</v>
      </c>
      <c r="H10" s="27">
        <f>IF(B$25=0,0,G10/B$25)</f>
        <v>9.2485549132947972E-2</v>
      </c>
      <c r="J10" s="26">
        <v>8</v>
      </c>
      <c r="K10" s="28">
        <v>55.700000000000017</v>
      </c>
    </row>
    <row r="11" spans="1:16" x14ac:dyDescent="0.4">
      <c r="A11" s="60" t="s">
        <v>208</v>
      </c>
      <c r="B11" s="52">
        <v>29</v>
      </c>
      <c r="C11" s="32">
        <f>IF(B$2=0,0,B11/B$2)</f>
        <v>0.22307692307692309</v>
      </c>
      <c r="E11" s="68" t="s">
        <v>70</v>
      </c>
      <c r="F11" s="64" t="s">
        <v>24</v>
      </c>
      <c r="G11" s="50">
        <v>15</v>
      </c>
      <c r="H11" s="27">
        <f>IF(B$25=0,0,G11/B$25)</f>
        <v>8.6705202312138727E-2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136</v>
      </c>
      <c r="C12" s="35">
        <f>IF(B$24=0,0,B12/B$24)</f>
        <v>0.28215767634854771</v>
      </c>
      <c r="E12" s="68" t="s">
        <v>77</v>
      </c>
      <c r="F12" s="64" t="s">
        <v>30</v>
      </c>
      <c r="G12" s="50">
        <v>12</v>
      </c>
      <c r="H12" s="27">
        <f>IF(B$25=0,0,G12/B$25)</f>
        <v>6.9364161849710976E-2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107</v>
      </c>
      <c r="C13" s="27">
        <f>IF(B$24=0,0,B13/B$24)</f>
        <v>0.22199170124481327</v>
      </c>
      <c r="E13" s="68" t="s">
        <v>93</v>
      </c>
      <c r="F13" s="64" t="s">
        <v>46</v>
      </c>
      <c r="G13" s="50">
        <v>9</v>
      </c>
      <c r="H13" s="27">
        <f>IF(B$25=0,0,G13/B$25)</f>
        <v>5.2023121387283239E-2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93</v>
      </c>
      <c r="C14" s="24">
        <f>IF(B$12=0,0,B14/B$12)</f>
        <v>0.68382352941176472</v>
      </c>
      <c r="E14" s="68" t="s">
        <v>90</v>
      </c>
      <c r="F14" s="64" t="s">
        <v>43</v>
      </c>
      <c r="G14" s="50">
        <v>6</v>
      </c>
      <c r="H14" s="27">
        <f>IF(B$25=0,0,G14/B$25)</f>
        <v>3.4682080924855488E-2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50</v>
      </c>
      <c r="C15" s="24">
        <f>IF(B$13=0,0,B15/B$13)</f>
        <v>0.46728971962616822</v>
      </c>
      <c r="E15" s="68" t="s">
        <v>83</v>
      </c>
      <c r="F15" s="64" t="s">
        <v>36</v>
      </c>
      <c r="G15" s="50">
        <v>3</v>
      </c>
      <c r="H15" s="27">
        <f>IF(B$25=0,0,G15/B$25)</f>
        <v>1.7341040462427744E-2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B17+B18</f>
        <v>332</v>
      </c>
      <c r="C16" s="24">
        <f>IF(B$3=0,0,B16/B$3)</f>
        <v>0.35132275132275131</v>
      </c>
      <c r="E16" s="68" t="s">
        <v>88</v>
      </c>
      <c r="F16" s="64" t="s">
        <v>41</v>
      </c>
      <c r="G16" s="50">
        <v>3</v>
      </c>
      <c r="H16" s="27">
        <f>IF(B$25=0,0,G16/B$25)</f>
        <v>1.7341040462427744E-2</v>
      </c>
      <c r="J16" s="26">
        <v>14</v>
      </c>
      <c r="K16" s="28">
        <v>27.300000000000011</v>
      </c>
    </row>
    <row r="17" spans="1:11" x14ac:dyDescent="0.4">
      <c r="A17" s="58" t="s">
        <v>11</v>
      </c>
      <c r="B17" s="50">
        <v>208</v>
      </c>
      <c r="C17" s="27">
        <f>IF(B$3=0,0,B17/B$3)</f>
        <v>0.22010582010582011</v>
      </c>
      <c r="E17" s="68" t="s">
        <v>79</v>
      </c>
      <c r="F17" s="64" t="s">
        <v>32</v>
      </c>
      <c r="G17" s="50">
        <v>2</v>
      </c>
      <c r="H17" s="27">
        <f>IF(B$25=0,0,G17/B$25)</f>
        <v>1.1560693641618497E-2</v>
      </c>
      <c r="J17" s="26">
        <v>15</v>
      </c>
      <c r="K17" s="28">
        <v>-9.6999999999999886</v>
      </c>
    </row>
    <row r="18" spans="1:11" x14ac:dyDescent="0.4">
      <c r="A18" s="58" t="s">
        <v>12</v>
      </c>
      <c r="B18" s="50">
        <v>124</v>
      </c>
      <c r="C18" s="27">
        <f>IF(B$3=0,0,B18/B$3)</f>
        <v>0.1312169312169312</v>
      </c>
      <c r="E18" s="68" t="s">
        <v>99</v>
      </c>
      <c r="F18" s="64" t="s">
        <v>52</v>
      </c>
      <c r="G18" s="50">
        <v>2</v>
      </c>
      <c r="H18" s="27">
        <f>IF(B$25=0,0,G18/B$25)</f>
        <v>1.1560693641618497E-2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147</v>
      </c>
      <c r="C19" s="27">
        <f>IF(B$3=0,0,B19/B$3)</f>
        <v>0.15555555555555556</v>
      </c>
      <c r="E19" s="68" t="s">
        <v>81</v>
      </c>
      <c r="F19" s="64" t="s">
        <v>34</v>
      </c>
      <c r="G19" s="50">
        <v>2</v>
      </c>
      <c r="H19" s="27">
        <f>IF(B$25=0,0,G19/B$25)</f>
        <v>1.1560693641618497E-2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10045.481927710844</v>
      </c>
      <c r="C20" s="30">
        <v>3335100</v>
      </c>
      <c r="E20" s="68" t="s">
        <v>98</v>
      </c>
      <c r="F20" s="64" t="s">
        <v>51</v>
      </c>
      <c r="G20" s="50">
        <v>2</v>
      </c>
      <c r="H20" s="27">
        <f>IF(B$25=0,0,G20/B$25)</f>
        <v>1.1560693641618497E-2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-9734.6938775510207</v>
      </c>
      <c r="C21" s="48">
        <v>-1431000</v>
      </c>
      <c r="E21" s="68" t="s">
        <v>84</v>
      </c>
      <c r="F21" s="64" t="s">
        <v>37</v>
      </c>
      <c r="G21" s="50">
        <v>1</v>
      </c>
      <c r="H21" s="27">
        <f>IF(B$25=0,0,G21/B$25)</f>
        <v>5.7803468208092483E-3</v>
      </c>
      <c r="J21" s="26">
        <v>19</v>
      </c>
      <c r="K21" s="28">
        <v>42.600000000000016</v>
      </c>
    </row>
    <row r="22" spans="1:11" x14ac:dyDescent="0.4">
      <c r="A22" s="57" t="s">
        <v>195</v>
      </c>
      <c r="B22" s="49">
        <v>329</v>
      </c>
      <c r="C22" s="24">
        <f>IF(B$3=0,0,B22/B$3)</f>
        <v>0.34814814814814815</v>
      </c>
      <c r="E22" s="68" t="s">
        <v>85</v>
      </c>
      <c r="F22" s="64" t="s">
        <v>38</v>
      </c>
      <c r="G22" s="50">
        <v>1</v>
      </c>
      <c r="H22" s="27">
        <f>IF(B$25=0,0,G22/B$25)</f>
        <v>5.7803468208092483E-3</v>
      </c>
      <c r="J22" s="26">
        <v>20</v>
      </c>
      <c r="K22" s="28">
        <v>68.800000000000011</v>
      </c>
    </row>
    <row r="23" spans="1:11" x14ac:dyDescent="0.4">
      <c r="A23" s="60" t="s">
        <v>196</v>
      </c>
      <c r="B23" s="52">
        <v>136</v>
      </c>
      <c r="C23" s="32">
        <f>IF(B$22=0,0,B23/B$22)</f>
        <v>0.41337386018237082</v>
      </c>
      <c r="E23" s="68" t="s">
        <v>92</v>
      </c>
      <c r="F23" s="64" t="s">
        <v>45</v>
      </c>
      <c r="G23" s="50">
        <v>1</v>
      </c>
      <c r="H23" s="27">
        <f>IF(B$25=0,0,G23/B$25)</f>
        <v>5.7803468208092483E-3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2">
        <v>482</v>
      </c>
      <c r="C24" s="83"/>
      <c r="E24" s="68" t="s">
        <v>94</v>
      </c>
      <c r="F24" s="64" t="s">
        <v>47</v>
      </c>
      <c r="G24" s="50">
        <v>1</v>
      </c>
      <c r="H24" s="27">
        <f>IF(B$25=0,0,G24/B$25)</f>
        <v>5.7803468208092483E-3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4">
        <v>173</v>
      </c>
      <c r="C25" s="85"/>
      <c r="E25" s="68" t="s">
        <v>97</v>
      </c>
      <c r="F25" s="64" t="s">
        <v>50</v>
      </c>
      <c r="G25" s="50">
        <v>1</v>
      </c>
      <c r="H25" s="27">
        <f>IF(B$25=0,0,G25/B$25)</f>
        <v>5.7803468208092483E-3</v>
      </c>
      <c r="J25" s="26">
        <v>23</v>
      </c>
      <c r="K25" s="28">
        <v>124.50000000000001</v>
      </c>
    </row>
    <row r="26" spans="1:11" x14ac:dyDescent="0.4">
      <c r="A26" s="56" t="s">
        <v>231</v>
      </c>
      <c r="B26" s="86">
        <v>10</v>
      </c>
      <c r="C26" s="87"/>
      <c r="E26" s="68" t="s">
        <v>113</v>
      </c>
      <c r="F26" s="64" t="s">
        <v>120</v>
      </c>
      <c r="G26" s="50">
        <v>1</v>
      </c>
      <c r="H26" s="27">
        <f>IF(B$25=0,0,G26/B$25)</f>
        <v>5.7803468208092483E-3</v>
      </c>
      <c r="J26" s="26">
        <v>24</v>
      </c>
      <c r="K26" s="28">
        <v>118.00000000000001</v>
      </c>
    </row>
    <row r="27" spans="1:11" x14ac:dyDescent="0.4"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</sheetData>
  <sortState ref="E2:H132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A663F-BEAB-4DD3-817B-6D2A0C7E95BE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191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0">
        <v>25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2">
        <v>-132.1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2">
        <f>IF(B$2=0,0,B$4/B$2)</f>
        <v>-33.024999999999999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4">
        <f>IF(B$2=0,0,(B$7*1+B$8*2+B$9*3)/B$2)</f>
        <v>3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46CE5-6B47-4CB2-984D-436FCBE38FA0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215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2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">
      <c r="A3" s="58" t="s">
        <v>8</v>
      </c>
      <c r="B3" s="90">
        <v>7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">
      <c r="A4" s="58" t="s">
        <v>6</v>
      </c>
      <c r="B4" s="92">
        <v>-24.5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">
      <c r="A5" s="58" t="s">
        <v>7</v>
      </c>
      <c r="B5" s="92">
        <f>IF(B$2=0,0,B$4/B$2)</f>
        <v>-12.25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">
      <c r="A6" s="58" t="s">
        <v>1</v>
      </c>
      <c r="B6" s="94">
        <f>IF(B$2=0,0,(B$7*1+B$8*2+B$9*3)/B$2)</f>
        <v>2.5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2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6E86-A548-4F4D-8691-9D8BFA24FC86}">
  <sheetPr codeName="Sheet7"/>
  <dimension ref="A1:P9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187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89</v>
      </c>
      <c r="C2" s="83"/>
      <c r="E2" s="67" t="s">
        <v>73</v>
      </c>
      <c r="F2" s="63" t="s">
        <v>27</v>
      </c>
      <c r="G2" s="49">
        <v>81</v>
      </c>
      <c r="H2" s="24">
        <f>IF(B$25=0,0,G2/B$25)</f>
        <v>0.74311926605504586</v>
      </c>
      <c r="J2" s="23">
        <v>0</v>
      </c>
      <c r="K2" s="25">
        <v>0</v>
      </c>
      <c r="M2" s="23" t="s">
        <v>198</v>
      </c>
      <c r="N2" s="44">
        <f t="shared" ref="N2:N7" si="0">IF(P2=0,0,O2/P2)</f>
        <v>-122.98850574712644</v>
      </c>
      <c r="O2" s="41">
        <v>-10700</v>
      </c>
      <c r="P2" s="39">
        <v>87</v>
      </c>
    </row>
    <row r="3" spans="1:16" x14ac:dyDescent="0.4">
      <c r="A3" s="58" t="s">
        <v>8</v>
      </c>
      <c r="B3" s="90">
        <v>672</v>
      </c>
      <c r="C3" s="91"/>
      <c r="E3" s="68" t="s">
        <v>71</v>
      </c>
      <c r="F3" s="64" t="s">
        <v>25</v>
      </c>
      <c r="G3" s="50">
        <v>74</v>
      </c>
      <c r="H3" s="27">
        <f>IF(B$25=0,0,G3/B$25)</f>
        <v>0.67889908256880738</v>
      </c>
      <c r="J3" s="26">
        <v>1</v>
      </c>
      <c r="K3" s="28">
        <v>40.9</v>
      </c>
      <c r="M3" s="26" t="s">
        <v>199</v>
      </c>
      <c r="N3" s="45">
        <f t="shared" si="0"/>
        <v>-1785.5421686746988</v>
      </c>
      <c r="O3" s="42">
        <v>-148200</v>
      </c>
      <c r="P3" s="37">
        <v>83</v>
      </c>
    </row>
    <row r="4" spans="1:16" x14ac:dyDescent="0.4">
      <c r="A4" s="58" t="s">
        <v>6</v>
      </c>
      <c r="B4" s="92">
        <v>-410.29999999999995</v>
      </c>
      <c r="C4" s="93"/>
      <c r="E4" s="68" t="s">
        <v>69</v>
      </c>
      <c r="F4" s="64" t="s">
        <v>23</v>
      </c>
      <c r="G4" s="50">
        <v>65</v>
      </c>
      <c r="H4" s="27">
        <f>IF(B$25=0,0,G4/B$25)</f>
        <v>0.59633027522935778</v>
      </c>
      <c r="J4" s="26">
        <v>2</v>
      </c>
      <c r="K4" s="28">
        <v>-0.89999999999999858</v>
      </c>
      <c r="M4" s="26" t="s">
        <v>200</v>
      </c>
      <c r="N4" s="45">
        <f t="shared" si="0"/>
        <v>1795</v>
      </c>
      <c r="O4" s="42">
        <v>143600</v>
      </c>
      <c r="P4" s="37">
        <v>80</v>
      </c>
    </row>
    <row r="5" spans="1:16" x14ac:dyDescent="0.4">
      <c r="A5" s="58" t="s">
        <v>7</v>
      </c>
      <c r="B5" s="92">
        <f>IF(B$2=0,0,B$4/B$2)</f>
        <v>-4.6101123595505609</v>
      </c>
      <c r="C5" s="93"/>
      <c r="E5" s="68" t="s">
        <v>78</v>
      </c>
      <c r="F5" s="64" t="s">
        <v>31</v>
      </c>
      <c r="G5" s="50">
        <v>58</v>
      </c>
      <c r="H5" s="27">
        <f>IF(B$25=0,0,G5/B$25)</f>
        <v>0.5321100917431193</v>
      </c>
      <c r="J5" s="26">
        <v>3</v>
      </c>
      <c r="K5" s="28">
        <v>-36.4</v>
      </c>
      <c r="M5" s="26" t="s">
        <v>201</v>
      </c>
      <c r="N5" s="45">
        <f t="shared" si="0"/>
        <v>-2191.5492957746478</v>
      </c>
      <c r="O5" s="42">
        <v>-155600</v>
      </c>
      <c r="P5" s="37">
        <v>71</v>
      </c>
    </row>
    <row r="6" spans="1:16" x14ac:dyDescent="0.4">
      <c r="A6" s="58" t="s">
        <v>1</v>
      </c>
      <c r="B6" s="94">
        <f>IF(B$2=0,0,(B$7*1+B$8*2+B$9*3)/B$2)</f>
        <v>2.1348314606741572</v>
      </c>
      <c r="C6" s="95"/>
      <c r="E6" s="68" t="s">
        <v>74</v>
      </c>
      <c r="F6" s="64" t="s">
        <v>12</v>
      </c>
      <c r="G6" s="50">
        <v>37</v>
      </c>
      <c r="H6" s="27">
        <f>IF(B$25=0,0,G6/B$25)</f>
        <v>0.33944954128440369</v>
      </c>
      <c r="J6" s="26">
        <v>4</v>
      </c>
      <c r="K6" s="28">
        <v>3.6000000000000014</v>
      </c>
      <c r="M6" s="26" t="s">
        <v>202</v>
      </c>
      <c r="N6" s="45">
        <f t="shared" si="0"/>
        <v>-2772.4137931034484</v>
      </c>
      <c r="O6" s="42">
        <v>-160800</v>
      </c>
      <c r="P6" s="37">
        <v>58</v>
      </c>
    </row>
    <row r="7" spans="1:16" x14ac:dyDescent="0.4">
      <c r="A7" s="58" t="s">
        <v>2</v>
      </c>
      <c r="B7" s="50">
        <v>26</v>
      </c>
      <c r="C7" s="27">
        <f>IF(B$2=0,0,B7/B$2)</f>
        <v>0.29213483146067415</v>
      </c>
      <c r="E7" s="68" t="s">
        <v>72</v>
      </c>
      <c r="F7" s="64" t="s">
        <v>26</v>
      </c>
      <c r="G7" s="50">
        <v>26</v>
      </c>
      <c r="H7" s="27">
        <f>IF(B$25=0,0,G7/B$25)</f>
        <v>0.23853211009174313</v>
      </c>
      <c r="J7" s="26">
        <v>5</v>
      </c>
      <c r="K7" s="28">
        <v>14.600000000000001</v>
      </c>
      <c r="M7" s="31" t="s">
        <v>203</v>
      </c>
      <c r="N7" s="46">
        <f t="shared" si="0"/>
        <v>-2591.1111111111113</v>
      </c>
      <c r="O7" s="43">
        <v>-116600</v>
      </c>
      <c r="P7" s="38">
        <v>45</v>
      </c>
    </row>
    <row r="8" spans="1:16" x14ac:dyDescent="0.4">
      <c r="A8" s="58" t="s">
        <v>3</v>
      </c>
      <c r="B8" s="50">
        <v>25</v>
      </c>
      <c r="C8" s="27">
        <f t="shared" ref="C8:C9" si="1">IF(B$2=0,0,B8/B$2)</f>
        <v>0.2808988764044944</v>
      </c>
      <c r="E8" s="68" t="s">
        <v>75</v>
      </c>
      <c r="F8" s="64" t="s">
        <v>28</v>
      </c>
      <c r="G8" s="50">
        <v>17</v>
      </c>
      <c r="H8" s="27">
        <f>IF(B$25=0,0,G8/B$25)</f>
        <v>0.15596330275229359</v>
      </c>
      <c r="J8" s="26">
        <v>6</v>
      </c>
      <c r="K8" s="28">
        <v>47.6</v>
      </c>
    </row>
    <row r="9" spans="1:16" x14ac:dyDescent="0.4">
      <c r="A9" s="59" t="s">
        <v>4</v>
      </c>
      <c r="B9" s="51">
        <v>38</v>
      </c>
      <c r="C9" s="29">
        <f t="shared" si="1"/>
        <v>0.42696629213483145</v>
      </c>
      <c r="E9" s="68" t="s">
        <v>76</v>
      </c>
      <c r="F9" s="64" t="s">
        <v>29</v>
      </c>
      <c r="G9" s="50">
        <v>17</v>
      </c>
      <c r="H9" s="27">
        <f>IF(B$25=0,0,G9/B$25)</f>
        <v>0.15596330275229359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21</v>
      </c>
      <c r="C10" s="29">
        <f>IF(B$2=0,0,B10/B$2)</f>
        <v>0.23595505617977527</v>
      </c>
      <c r="E10" s="68" t="s">
        <v>96</v>
      </c>
      <c r="F10" s="64" t="s">
        <v>49</v>
      </c>
      <c r="G10" s="50">
        <v>16</v>
      </c>
      <c r="H10" s="27">
        <f>IF(B$25=0,0,G10/B$25)</f>
        <v>0.14678899082568808</v>
      </c>
      <c r="J10" s="26">
        <v>8</v>
      </c>
      <c r="K10" s="28">
        <v>60.199999999999996</v>
      </c>
    </row>
    <row r="11" spans="1:16" x14ac:dyDescent="0.4">
      <c r="A11" s="60" t="s">
        <v>208</v>
      </c>
      <c r="B11" s="52">
        <v>13</v>
      </c>
      <c r="C11" s="32">
        <f>IF(B$2=0,0,B11/B$2)</f>
        <v>0.14606741573033707</v>
      </c>
      <c r="E11" s="68" t="s">
        <v>70</v>
      </c>
      <c r="F11" s="64" t="s">
        <v>24</v>
      </c>
      <c r="G11" s="50">
        <v>13</v>
      </c>
      <c r="H11" s="27">
        <f>IF(B$25=0,0,G11/B$25)</f>
        <v>0.11926605504587157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116</v>
      </c>
      <c r="C12" s="35">
        <f>IF(B$24=0,0,B12/B$24)</f>
        <v>0.28223844282238442</v>
      </c>
      <c r="E12" s="68" t="s">
        <v>93</v>
      </c>
      <c r="F12" s="64" t="s">
        <v>46</v>
      </c>
      <c r="G12" s="50">
        <v>13</v>
      </c>
      <c r="H12" s="27">
        <f>IF(B$25=0,0,G12/B$25)</f>
        <v>0.11926605504587157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77</v>
      </c>
      <c r="C13" s="27">
        <f>IF(B$24=0,0,B13/B$24)</f>
        <v>0.18734793187347931</v>
      </c>
      <c r="E13" s="68" t="s">
        <v>90</v>
      </c>
      <c r="F13" s="64" t="s">
        <v>43</v>
      </c>
      <c r="G13" s="50">
        <v>10</v>
      </c>
      <c r="H13" s="27">
        <f>IF(B$25=0,0,G13/B$25)</f>
        <v>9.1743119266055051E-2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66</v>
      </c>
      <c r="C14" s="24">
        <f>IF(B$12=0,0,B14/B$12)</f>
        <v>0.56896551724137934</v>
      </c>
      <c r="E14" s="68" t="s">
        <v>98</v>
      </c>
      <c r="F14" s="64" t="s">
        <v>51</v>
      </c>
      <c r="G14" s="50">
        <v>6</v>
      </c>
      <c r="H14" s="27">
        <f>IF(B$25=0,0,G14/B$25)</f>
        <v>5.5045871559633031E-2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28</v>
      </c>
      <c r="C15" s="24">
        <f>IF(B$13=0,0,B15/B$13)</f>
        <v>0.36363636363636365</v>
      </c>
      <c r="E15" s="68" t="s">
        <v>77</v>
      </c>
      <c r="F15" s="64" t="s">
        <v>30</v>
      </c>
      <c r="G15" s="50">
        <v>4</v>
      </c>
      <c r="H15" s="27">
        <f>IF(B$25=0,0,G15/B$25)</f>
        <v>3.669724770642202E-2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B17+B18</f>
        <v>170</v>
      </c>
      <c r="C16" s="24">
        <f>IF(B$3=0,0,B16/B$3)</f>
        <v>0.25297619047619047</v>
      </c>
      <c r="E16" s="68" t="s">
        <v>88</v>
      </c>
      <c r="F16" s="64" t="s">
        <v>41</v>
      </c>
      <c r="G16" s="50">
        <v>4</v>
      </c>
      <c r="H16" s="27">
        <f>IF(B$25=0,0,G16/B$25)</f>
        <v>3.669724770642202E-2</v>
      </c>
      <c r="J16" s="26">
        <v>14</v>
      </c>
      <c r="K16" s="28">
        <v>33</v>
      </c>
    </row>
    <row r="17" spans="1:11" x14ac:dyDescent="0.4">
      <c r="A17" s="58" t="s">
        <v>11</v>
      </c>
      <c r="B17" s="50">
        <v>99</v>
      </c>
      <c r="C17" s="27">
        <f>IF(B$3=0,0,B17/B$3)</f>
        <v>0.14732142857142858</v>
      </c>
      <c r="E17" s="68" t="s">
        <v>84</v>
      </c>
      <c r="F17" s="64" t="s">
        <v>37</v>
      </c>
      <c r="G17" s="50">
        <v>2</v>
      </c>
      <c r="H17" s="27">
        <f>IF(B$25=0,0,G17/B$25)</f>
        <v>1.834862385321101E-2</v>
      </c>
      <c r="J17" s="26">
        <v>15</v>
      </c>
      <c r="K17" s="28">
        <v>38.5</v>
      </c>
    </row>
    <row r="18" spans="1:11" x14ac:dyDescent="0.4">
      <c r="A18" s="58" t="s">
        <v>12</v>
      </c>
      <c r="B18" s="50">
        <v>71</v>
      </c>
      <c r="C18" s="27">
        <f>IF(B$3=0,0,B18/B$3)</f>
        <v>0.1056547619047619</v>
      </c>
      <c r="E18" s="68" t="s">
        <v>85</v>
      </c>
      <c r="F18" s="64" t="s">
        <v>38</v>
      </c>
      <c r="G18" s="50">
        <v>2</v>
      </c>
      <c r="H18" s="27">
        <f>IF(B$25=0,0,G18/B$25)</f>
        <v>1.834862385321101E-2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134</v>
      </c>
      <c r="C19" s="27">
        <f>IF(B$3=0,0,B19/B$3)</f>
        <v>0.19940476190476192</v>
      </c>
      <c r="E19" s="68" t="s">
        <v>92</v>
      </c>
      <c r="F19" s="64" t="s">
        <v>45</v>
      </c>
      <c r="G19" s="50">
        <v>2</v>
      </c>
      <c r="H19" s="27">
        <f>IF(B$25=0,0,G19/B$25)</f>
        <v>1.834862385321101E-2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11335.294117647059</v>
      </c>
      <c r="C20" s="30">
        <v>1927000</v>
      </c>
      <c r="E20" s="68" t="s">
        <v>99</v>
      </c>
      <c r="F20" s="64" t="s">
        <v>52</v>
      </c>
      <c r="G20" s="50">
        <v>2</v>
      </c>
      <c r="H20" s="27">
        <f>IF(B$25=0,0,G20/B$25)</f>
        <v>1.834862385321101E-2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-10171.641791044776</v>
      </c>
      <c r="C21" s="48">
        <v>-1363000</v>
      </c>
      <c r="E21" s="68" t="s">
        <v>87</v>
      </c>
      <c r="F21" s="64" t="s">
        <v>40</v>
      </c>
      <c r="G21" s="50">
        <v>1</v>
      </c>
      <c r="H21" s="27">
        <f>IF(B$25=0,0,G21/B$25)</f>
        <v>9.1743119266055051E-3</v>
      </c>
      <c r="J21" s="26">
        <v>19</v>
      </c>
      <c r="K21" s="28">
        <v>-26.699999999999996</v>
      </c>
    </row>
    <row r="22" spans="1:11" x14ac:dyDescent="0.4">
      <c r="A22" s="57" t="s">
        <v>195</v>
      </c>
      <c r="B22" s="49">
        <v>210</v>
      </c>
      <c r="C22" s="24">
        <f>IF(B$3=0,0,B22/B$3)</f>
        <v>0.3125</v>
      </c>
      <c r="E22" s="68" t="s">
        <v>91</v>
      </c>
      <c r="F22" s="64" t="s">
        <v>44</v>
      </c>
      <c r="G22" s="50">
        <v>1</v>
      </c>
      <c r="H22" s="27">
        <f>IF(B$25=0,0,G22/B$25)</f>
        <v>9.1743119266055051E-3</v>
      </c>
      <c r="J22" s="26">
        <v>20</v>
      </c>
      <c r="K22" s="28">
        <v>-57.899999999999991</v>
      </c>
    </row>
    <row r="23" spans="1:11" x14ac:dyDescent="0.4">
      <c r="A23" s="60" t="s">
        <v>196</v>
      </c>
      <c r="B23" s="52">
        <v>65</v>
      </c>
      <c r="C23" s="32">
        <f>IF(B$22=0,0,B23/B$22)</f>
        <v>0.30952380952380953</v>
      </c>
      <c r="E23" s="68" t="s">
        <v>94</v>
      </c>
      <c r="F23" s="64" t="s">
        <v>47</v>
      </c>
      <c r="G23" s="50">
        <v>1</v>
      </c>
      <c r="H23" s="27">
        <f>IF(B$25=0,0,G23/B$25)</f>
        <v>9.1743119266055051E-3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2">
        <v>411</v>
      </c>
      <c r="C24" s="83"/>
      <c r="E24" s="68" t="s">
        <v>95</v>
      </c>
      <c r="F24" s="64" t="s">
        <v>48</v>
      </c>
      <c r="G24" s="50">
        <v>1</v>
      </c>
      <c r="H24" s="27">
        <f>IF(B$25=0,0,G24/B$25)</f>
        <v>9.1743119266055051E-3</v>
      </c>
      <c r="J24" s="26">
        <v>22</v>
      </c>
      <c r="K24" s="28">
        <v>-94.6</v>
      </c>
    </row>
    <row r="25" spans="1:11" x14ac:dyDescent="0.4">
      <c r="A25" s="60" t="s">
        <v>129</v>
      </c>
      <c r="B25" s="84">
        <v>109</v>
      </c>
      <c r="C25" s="85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56" t="s">
        <v>231</v>
      </c>
      <c r="B26" s="86">
        <v>10</v>
      </c>
      <c r="C26" s="87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</sheetData>
  <sortState ref="E2:H9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B5169-5A3A-4088-B31D-D0A25CC19485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188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48</v>
      </c>
      <c r="C2" s="83"/>
      <c r="E2" s="67" t="s">
        <v>71</v>
      </c>
      <c r="F2" s="63" t="s">
        <v>25</v>
      </c>
      <c r="G2" s="49">
        <v>34</v>
      </c>
      <c r="H2" s="24">
        <f>IF(B$25=0,0,G2/B$25)</f>
        <v>1</v>
      </c>
      <c r="J2" s="23">
        <v>0</v>
      </c>
      <c r="K2" s="25">
        <v>0</v>
      </c>
      <c r="M2" s="23" t="s">
        <v>198</v>
      </c>
      <c r="N2" s="44">
        <f t="shared" ref="N2:N7" si="0">IF(P2=0,0,O2/P2)</f>
        <v>-718.75</v>
      </c>
      <c r="O2" s="41">
        <v>-34500</v>
      </c>
      <c r="P2" s="39">
        <v>48</v>
      </c>
    </row>
    <row r="3" spans="1:16" x14ac:dyDescent="0.4">
      <c r="A3" s="58" t="s">
        <v>8</v>
      </c>
      <c r="B3" s="90">
        <v>343</v>
      </c>
      <c r="C3" s="91"/>
      <c r="E3" s="68" t="s">
        <v>73</v>
      </c>
      <c r="F3" s="64" t="s">
        <v>27</v>
      </c>
      <c r="G3" s="50">
        <v>30</v>
      </c>
      <c r="H3" s="27">
        <f>IF(B$25=0,0,G3/B$25)</f>
        <v>0.88235294117647056</v>
      </c>
      <c r="J3" s="26">
        <v>1</v>
      </c>
      <c r="K3" s="28">
        <v>-39.9</v>
      </c>
      <c r="M3" s="26" t="s">
        <v>199</v>
      </c>
      <c r="N3" s="45">
        <f t="shared" si="0"/>
        <v>2878.2608695652175</v>
      </c>
      <c r="O3" s="42">
        <v>132400</v>
      </c>
      <c r="P3" s="37">
        <v>46</v>
      </c>
    </row>
    <row r="4" spans="1:16" x14ac:dyDescent="0.4">
      <c r="A4" s="58" t="s">
        <v>6</v>
      </c>
      <c r="B4" s="92">
        <v>213.70000000000005</v>
      </c>
      <c r="C4" s="93"/>
      <c r="E4" s="68" t="s">
        <v>78</v>
      </c>
      <c r="F4" s="64" t="s">
        <v>31</v>
      </c>
      <c r="G4" s="50">
        <v>24</v>
      </c>
      <c r="H4" s="27">
        <f>IF(B$25=0,0,G4/B$25)</f>
        <v>0.70588235294117652</v>
      </c>
      <c r="J4" s="26">
        <v>2</v>
      </c>
      <c r="K4" s="28">
        <v>-13.2</v>
      </c>
      <c r="M4" s="26" t="s">
        <v>200</v>
      </c>
      <c r="N4" s="45">
        <f t="shared" si="0"/>
        <v>-272.72727272727275</v>
      </c>
      <c r="O4" s="42">
        <v>-12000</v>
      </c>
      <c r="P4" s="37">
        <v>44</v>
      </c>
    </row>
    <row r="5" spans="1:16" x14ac:dyDescent="0.4">
      <c r="A5" s="58" t="s">
        <v>7</v>
      </c>
      <c r="B5" s="92">
        <f>IF(B$2=0,0,B$4/B$2)</f>
        <v>4.4520833333333343</v>
      </c>
      <c r="C5" s="93"/>
      <c r="E5" s="68" t="s">
        <v>69</v>
      </c>
      <c r="F5" s="64" t="s">
        <v>23</v>
      </c>
      <c r="G5" s="50">
        <v>15</v>
      </c>
      <c r="H5" s="27">
        <f>IF(B$25=0,0,G5/B$25)</f>
        <v>0.44117647058823528</v>
      </c>
      <c r="J5" s="26">
        <v>3</v>
      </c>
      <c r="K5" s="28">
        <v>-57.7</v>
      </c>
      <c r="M5" s="26" t="s">
        <v>201</v>
      </c>
      <c r="N5" s="45">
        <f t="shared" si="0"/>
        <v>-1586.4864864864865</v>
      </c>
      <c r="O5" s="42">
        <v>-58700</v>
      </c>
      <c r="P5" s="37">
        <v>37</v>
      </c>
    </row>
    <row r="6" spans="1:16" x14ac:dyDescent="0.4">
      <c r="A6" s="58" t="s">
        <v>1</v>
      </c>
      <c r="B6" s="94">
        <f>IF(B$2=0,0,(B$7*1+B$8*2+B$9*3)/B$2)</f>
        <v>1.8958333333333333</v>
      </c>
      <c r="C6" s="95"/>
      <c r="E6" s="68" t="s">
        <v>72</v>
      </c>
      <c r="F6" s="64" t="s">
        <v>26</v>
      </c>
      <c r="G6" s="50">
        <v>10</v>
      </c>
      <c r="H6" s="27">
        <f>IF(B$25=0,0,G6/B$25)</f>
        <v>0.29411764705882354</v>
      </c>
      <c r="J6" s="26">
        <v>4</v>
      </c>
      <c r="K6" s="28">
        <v>-53.7</v>
      </c>
      <c r="M6" s="26" t="s">
        <v>202</v>
      </c>
      <c r="N6" s="45">
        <f t="shared" si="0"/>
        <v>6312.9032258064517</v>
      </c>
      <c r="O6" s="42">
        <v>195700</v>
      </c>
      <c r="P6" s="37">
        <v>31</v>
      </c>
    </row>
    <row r="7" spans="1:16" x14ac:dyDescent="0.4">
      <c r="A7" s="58" t="s">
        <v>2</v>
      </c>
      <c r="B7" s="50">
        <v>17</v>
      </c>
      <c r="C7" s="27">
        <f>IF(B$2=0,0,B7/B$2)</f>
        <v>0.35416666666666669</v>
      </c>
      <c r="E7" s="68" t="s">
        <v>74</v>
      </c>
      <c r="F7" s="64" t="s">
        <v>12</v>
      </c>
      <c r="G7" s="50">
        <v>7</v>
      </c>
      <c r="H7" s="27">
        <f>IF(B$25=0,0,G7/B$25)</f>
        <v>0.20588235294117646</v>
      </c>
      <c r="J7" s="26">
        <v>5</v>
      </c>
      <c r="K7" s="28">
        <v>-45.7</v>
      </c>
      <c r="M7" s="31" t="s">
        <v>203</v>
      </c>
      <c r="N7" s="46">
        <f t="shared" si="0"/>
        <v>-323.8095238095238</v>
      </c>
      <c r="O7" s="43">
        <v>-6800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0.39583333333333331</v>
      </c>
      <c r="E8" s="68" t="s">
        <v>70</v>
      </c>
      <c r="F8" s="64" t="s">
        <v>24</v>
      </c>
      <c r="G8" s="50">
        <v>3</v>
      </c>
      <c r="H8" s="27">
        <f>IF(B$25=0,0,G8/B$25)</f>
        <v>8.8235294117647065E-2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12</v>
      </c>
      <c r="C9" s="29">
        <f t="shared" si="1"/>
        <v>0.25</v>
      </c>
      <c r="E9" s="68" t="s">
        <v>90</v>
      </c>
      <c r="F9" s="64" t="s">
        <v>43</v>
      </c>
      <c r="G9" s="50">
        <v>3</v>
      </c>
      <c r="H9" s="27">
        <f>IF(B$25=0,0,G9/B$25)</f>
        <v>8.8235294117647065E-2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6</v>
      </c>
      <c r="C10" s="29">
        <f>IF(B$2=0,0,B10/B$2)</f>
        <v>0.125</v>
      </c>
      <c r="E10" s="68" t="s">
        <v>75</v>
      </c>
      <c r="F10" s="64" t="s">
        <v>28</v>
      </c>
      <c r="G10" s="50">
        <v>3</v>
      </c>
      <c r="H10" s="27">
        <f>IF(B$25=0,0,G10/B$25)</f>
        <v>8.8235294117647065E-2</v>
      </c>
      <c r="J10" s="26">
        <v>8</v>
      </c>
      <c r="K10" s="28">
        <v>-59.1</v>
      </c>
    </row>
    <row r="11" spans="1:16" x14ac:dyDescent="0.4">
      <c r="A11" s="60" t="s">
        <v>208</v>
      </c>
      <c r="B11" s="52">
        <v>9</v>
      </c>
      <c r="C11" s="32">
        <f>IF(B$2=0,0,B11/B$2)</f>
        <v>0.1875</v>
      </c>
      <c r="E11" s="68" t="s">
        <v>76</v>
      </c>
      <c r="F11" s="64" t="s">
        <v>29</v>
      </c>
      <c r="G11" s="50">
        <v>3</v>
      </c>
      <c r="H11" s="27">
        <f>IF(B$25=0,0,G11/B$25)</f>
        <v>8.8235294117647065E-2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22</v>
      </c>
      <c r="C12" s="35">
        <f>IF(B$24=0,0,B12/B$24)</f>
        <v>0.20952380952380953</v>
      </c>
      <c r="E12" s="68" t="s">
        <v>88</v>
      </c>
      <c r="F12" s="64" t="s">
        <v>41</v>
      </c>
      <c r="G12" s="50">
        <v>2</v>
      </c>
      <c r="H12" s="27">
        <f>IF(B$25=0,0,G12/B$25)</f>
        <v>5.8823529411764705E-2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34</v>
      </c>
      <c r="C13" s="27">
        <f>IF(B$24=0,0,B13/B$24)</f>
        <v>0.32380952380952382</v>
      </c>
      <c r="E13" s="68" t="s">
        <v>96</v>
      </c>
      <c r="F13" s="64" t="s">
        <v>49</v>
      </c>
      <c r="G13" s="50">
        <v>2</v>
      </c>
      <c r="H13" s="27">
        <f>IF(B$25=0,0,G13/B$25)</f>
        <v>5.8823529411764705E-2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15</v>
      </c>
      <c r="C14" s="24">
        <f>IF(B$12=0,0,B14/B$12)</f>
        <v>0.68181818181818177</v>
      </c>
      <c r="E14" s="68" t="s">
        <v>93</v>
      </c>
      <c r="F14" s="64" t="s">
        <v>46</v>
      </c>
      <c r="G14" s="50">
        <v>2</v>
      </c>
      <c r="H14" s="27">
        <f>IF(B$25=0,0,G14/B$25)</f>
        <v>5.8823529411764705E-2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13</v>
      </c>
      <c r="C15" s="24">
        <f>IF(B$13=0,0,B15/B$13)</f>
        <v>0.38235294117647056</v>
      </c>
      <c r="E15" s="68" t="s">
        <v>84</v>
      </c>
      <c r="F15" s="64" t="s">
        <v>37</v>
      </c>
      <c r="G15" s="50">
        <v>1</v>
      </c>
      <c r="H15" s="27">
        <f>IF(B$25=0,0,G15/B$25)</f>
        <v>2.9411764705882353E-2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B17+B18</f>
        <v>121</v>
      </c>
      <c r="C16" s="24">
        <f>IF(B$3=0,0,B16/B$3)</f>
        <v>0.35276967930029157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11</v>
      </c>
      <c r="B17" s="50">
        <v>70</v>
      </c>
      <c r="C17" s="27">
        <f>IF(B$3=0,0,B17/B$3)</f>
        <v>0.20408163265306123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12</v>
      </c>
      <c r="B18" s="50">
        <v>51</v>
      </c>
      <c r="C18" s="27">
        <f>IF(B$3=0,0,B18/B$3)</f>
        <v>0.14868804664723032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53</v>
      </c>
      <c r="C19" s="27">
        <f>IF(B$3=0,0,B19/B$3)</f>
        <v>0.15451895043731778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9616.5289256198339</v>
      </c>
      <c r="C20" s="30">
        <v>1163600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-8954.7169811320746</v>
      </c>
      <c r="C21" s="48">
        <v>-474600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195</v>
      </c>
      <c r="B22" s="49">
        <v>125</v>
      </c>
      <c r="C22" s="24">
        <f>IF(B$3=0,0,B22/B$3)</f>
        <v>0.36443148688046645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196</v>
      </c>
      <c r="B23" s="52">
        <v>45</v>
      </c>
      <c r="C23" s="32">
        <f>IF(B$22=0,0,B23/B$22)</f>
        <v>0.36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2">
        <v>105</v>
      </c>
      <c r="C24" s="83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4">
        <v>34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56" t="s">
        <v>231</v>
      </c>
      <c r="B26" s="86">
        <v>6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3BAC5-C4CF-4F02-A5B3-468C221177B9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218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</v>
      </c>
      <c r="C2" s="83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0">
        <v>37</v>
      </c>
      <c r="C3" s="91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2">
        <v>-86.4</v>
      </c>
      <c r="C4" s="93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2">
        <f>IF(B$2=0,0,B$4/B$2)</f>
        <v>-17.28</v>
      </c>
      <c r="C5" s="93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4">
        <f>IF(B$2=0,0,(B$7*1+B$8*2+B$9*3)/B$2)</f>
        <v>2.2000000000000002</v>
      </c>
      <c r="C6" s="95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31</v>
      </c>
      <c r="C24" s="83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9</v>
      </c>
      <c r="C25" s="85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3</v>
      </c>
      <c r="C26" s="87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B0E31-44D8-42C0-A0EF-6D5F9105FF44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189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43</v>
      </c>
      <c r="C2" s="83"/>
      <c r="E2" s="67" t="s">
        <v>73</v>
      </c>
      <c r="F2" s="63" t="s">
        <v>27</v>
      </c>
      <c r="G2" s="49">
        <v>31</v>
      </c>
      <c r="H2" s="24">
        <f>IF(B$25=0,0,G2/B$25)</f>
        <v>0.91176470588235292</v>
      </c>
      <c r="J2" s="23">
        <v>0</v>
      </c>
      <c r="K2" s="25">
        <v>0</v>
      </c>
      <c r="M2" s="23" t="s">
        <v>198</v>
      </c>
      <c r="N2" s="44">
        <f t="shared" ref="N2:N7" si="0">IF(P2=0,0,O2/P2)</f>
        <v>-2123.2558139534885</v>
      </c>
      <c r="O2" s="41">
        <v>-91300</v>
      </c>
      <c r="P2" s="39">
        <v>43</v>
      </c>
    </row>
    <row r="3" spans="1:16" x14ac:dyDescent="0.4">
      <c r="A3" s="58" t="s">
        <v>8</v>
      </c>
      <c r="B3" s="90">
        <v>332</v>
      </c>
      <c r="C3" s="91"/>
      <c r="E3" s="68" t="s">
        <v>78</v>
      </c>
      <c r="F3" s="64" t="s">
        <v>31</v>
      </c>
      <c r="G3" s="50">
        <v>25</v>
      </c>
      <c r="H3" s="27">
        <f>IF(B$25=0,0,G3/B$25)</f>
        <v>0.73529411764705888</v>
      </c>
      <c r="J3" s="26">
        <v>1</v>
      </c>
      <c r="K3" s="28">
        <v>68.2</v>
      </c>
      <c r="M3" s="26" t="s">
        <v>199</v>
      </c>
      <c r="N3" s="45">
        <f t="shared" si="0"/>
        <v>-2702.5</v>
      </c>
      <c r="O3" s="42">
        <v>-108100</v>
      </c>
      <c r="P3" s="37">
        <v>40</v>
      </c>
    </row>
    <row r="4" spans="1:16" x14ac:dyDescent="0.4">
      <c r="A4" s="58" t="s">
        <v>6</v>
      </c>
      <c r="B4" s="92">
        <v>-168.6</v>
      </c>
      <c r="C4" s="93"/>
      <c r="E4" s="68" t="s">
        <v>71</v>
      </c>
      <c r="F4" s="64" t="s">
        <v>25</v>
      </c>
      <c r="G4" s="50">
        <v>23</v>
      </c>
      <c r="H4" s="27">
        <f>IF(B$25=0,0,G4/B$25)</f>
        <v>0.67647058823529416</v>
      </c>
      <c r="J4" s="26">
        <v>2</v>
      </c>
      <c r="K4" s="28">
        <v>58.5</v>
      </c>
      <c r="M4" s="26" t="s">
        <v>200</v>
      </c>
      <c r="N4" s="45">
        <f t="shared" si="0"/>
        <v>-1311.7647058823529</v>
      </c>
      <c r="O4" s="42">
        <v>-44600</v>
      </c>
      <c r="P4" s="37">
        <v>34</v>
      </c>
    </row>
    <row r="5" spans="1:16" x14ac:dyDescent="0.4">
      <c r="A5" s="58" t="s">
        <v>7</v>
      </c>
      <c r="B5" s="92">
        <f>IF(B$2=0,0,B$4/B$2)</f>
        <v>-3.9209302325581392</v>
      </c>
      <c r="C5" s="93"/>
      <c r="E5" s="68" t="s">
        <v>69</v>
      </c>
      <c r="F5" s="64" t="s">
        <v>23</v>
      </c>
      <c r="G5" s="50">
        <v>12</v>
      </c>
      <c r="H5" s="27">
        <f>IF(B$25=0,0,G5/B$25)</f>
        <v>0.35294117647058826</v>
      </c>
      <c r="J5" s="26">
        <v>3</v>
      </c>
      <c r="K5" s="28">
        <v>82.1</v>
      </c>
      <c r="M5" s="26" t="s">
        <v>201</v>
      </c>
      <c r="N5" s="45">
        <f t="shared" si="0"/>
        <v>3137.5</v>
      </c>
      <c r="O5" s="42">
        <v>100400</v>
      </c>
      <c r="P5" s="37">
        <v>32</v>
      </c>
    </row>
    <row r="6" spans="1:16" x14ac:dyDescent="0.4">
      <c r="A6" s="58" t="s">
        <v>1</v>
      </c>
      <c r="B6" s="94">
        <f>IF(B$2=0,0,(B$7*1+B$8*2+B$9*3)/B$2)</f>
        <v>2.1162790697674421</v>
      </c>
      <c r="C6" s="95"/>
      <c r="E6" s="68" t="s">
        <v>70</v>
      </c>
      <c r="F6" s="64" t="s">
        <v>24</v>
      </c>
      <c r="G6" s="50">
        <v>6</v>
      </c>
      <c r="H6" s="27">
        <f>IF(B$25=0,0,G6/B$25)</f>
        <v>0.17647058823529413</v>
      </c>
      <c r="J6" s="26">
        <v>4</v>
      </c>
      <c r="K6" s="28">
        <v>58.199999999999996</v>
      </c>
      <c r="M6" s="26" t="s">
        <v>202</v>
      </c>
      <c r="N6" s="45">
        <f t="shared" si="0"/>
        <v>-1216</v>
      </c>
      <c r="O6" s="42">
        <v>-30400</v>
      </c>
      <c r="P6" s="37">
        <v>25</v>
      </c>
    </row>
    <row r="7" spans="1:16" x14ac:dyDescent="0.4">
      <c r="A7" s="58" t="s">
        <v>2</v>
      </c>
      <c r="B7" s="50">
        <v>10</v>
      </c>
      <c r="C7" s="27">
        <f>IF(B$2=0,0,B7/B$2)</f>
        <v>0.23255813953488372</v>
      </c>
      <c r="E7" s="68" t="s">
        <v>72</v>
      </c>
      <c r="F7" s="64" t="s">
        <v>26</v>
      </c>
      <c r="G7" s="50">
        <v>4</v>
      </c>
      <c r="H7" s="27">
        <f>IF(B$25=0,0,G7/B$25)</f>
        <v>0.11764705882352941</v>
      </c>
      <c r="J7" s="26">
        <v>5</v>
      </c>
      <c r="K7" s="28">
        <v>124.19999999999999</v>
      </c>
      <c r="M7" s="31" t="s">
        <v>203</v>
      </c>
      <c r="N7" s="46">
        <f t="shared" si="0"/>
        <v>257.14285714285717</v>
      </c>
      <c r="O7" s="43">
        <v>5400</v>
      </c>
      <c r="P7" s="38">
        <v>21</v>
      </c>
    </row>
    <row r="8" spans="1:16" x14ac:dyDescent="0.4">
      <c r="A8" s="58" t="s">
        <v>3</v>
      </c>
      <c r="B8" s="50">
        <v>18</v>
      </c>
      <c r="C8" s="27">
        <f t="shared" ref="C8:C9" si="1">IF(B$2=0,0,B8/B$2)</f>
        <v>0.41860465116279072</v>
      </c>
      <c r="E8" s="68" t="s">
        <v>74</v>
      </c>
      <c r="F8" s="64" t="s">
        <v>12</v>
      </c>
      <c r="G8" s="50">
        <v>4</v>
      </c>
      <c r="H8" s="27">
        <f>IF(B$25=0,0,G8/B$25)</f>
        <v>0.11764705882352941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15</v>
      </c>
      <c r="C9" s="29">
        <f t="shared" si="1"/>
        <v>0.34883720930232559</v>
      </c>
      <c r="E9" s="68" t="s">
        <v>75</v>
      </c>
      <c r="F9" s="64" t="s">
        <v>28</v>
      </c>
      <c r="G9" s="50">
        <v>3</v>
      </c>
      <c r="H9" s="27">
        <f>IF(B$25=0,0,G9/B$25)</f>
        <v>8.8235294117647065E-2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7</v>
      </c>
      <c r="C10" s="29">
        <f>IF(B$2=0,0,B10/B$2)</f>
        <v>0.16279069767441862</v>
      </c>
      <c r="E10" s="68" t="s">
        <v>96</v>
      </c>
      <c r="F10" s="64" t="s">
        <v>49</v>
      </c>
      <c r="G10" s="50">
        <v>3</v>
      </c>
      <c r="H10" s="27">
        <f>IF(B$25=0,0,G10/B$25)</f>
        <v>8.8235294117647065E-2</v>
      </c>
      <c r="J10" s="26">
        <v>8</v>
      </c>
      <c r="K10" s="28">
        <v>97</v>
      </c>
    </row>
    <row r="11" spans="1:16" x14ac:dyDescent="0.4">
      <c r="A11" s="60" t="s">
        <v>208</v>
      </c>
      <c r="B11" s="52">
        <v>7</v>
      </c>
      <c r="C11" s="32">
        <f>IF(B$2=0,0,B11/B$2)</f>
        <v>0.16279069767441862</v>
      </c>
      <c r="E11" s="68" t="s">
        <v>84</v>
      </c>
      <c r="F11" s="64" t="s">
        <v>37</v>
      </c>
      <c r="G11" s="50">
        <v>2</v>
      </c>
      <c r="H11" s="27">
        <f>IF(B$25=0,0,G11/B$25)</f>
        <v>5.8823529411764705E-2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31</v>
      </c>
      <c r="C12" s="35">
        <f>IF(B$24=0,0,B12/B$24)</f>
        <v>0.21379310344827587</v>
      </c>
      <c r="E12" s="68" t="s">
        <v>85</v>
      </c>
      <c r="F12" s="64" t="s">
        <v>38</v>
      </c>
      <c r="G12" s="50">
        <v>2</v>
      </c>
      <c r="H12" s="27">
        <f>IF(B$25=0,0,G12/B$25)</f>
        <v>5.8823529411764705E-2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44</v>
      </c>
      <c r="C13" s="27">
        <f>IF(B$24=0,0,B13/B$24)</f>
        <v>0.30344827586206896</v>
      </c>
      <c r="E13" s="68" t="s">
        <v>93</v>
      </c>
      <c r="F13" s="64" t="s">
        <v>46</v>
      </c>
      <c r="G13" s="50">
        <v>2</v>
      </c>
      <c r="H13" s="27">
        <f>IF(B$25=0,0,G13/B$25)</f>
        <v>5.8823529411764705E-2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11</v>
      </c>
      <c r="C14" s="24">
        <f>IF(B$12=0,0,B14/B$12)</f>
        <v>0.35483870967741937</v>
      </c>
      <c r="E14" s="68" t="s">
        <v>76</v>
      </c>
      <c r="F14" s="64" t="s">
        <v>29</v>
      </c>
      <c r="G14" s="50">
        <v>1</v>
      </c>
      <c r="H14" s="27">
        <f>IF(B$25=0,0,G14/B$25)</f>
        <v>2.9411764705882353E-2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17</v>
      </c>
      <c r="C15" s="24">
        <f>IF(B$13=0,0,B15/B$13)</f>
        <v>0.38636363636363635</v>
      </c>
      <c r="E15" s="68" t="s">
        <v>77</v>
      </c>
      <c r="F15" s="64" t="s">
        <v>30</v>
      </c>
      <c r="G15" s="50">
        <v>1</v>
      </c>
      <c r="H15" s="27">
        <f>IF(B$25=0,0,G15/B$25)</f>
        <v>2.9411764705882353E-2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B17+B18</f>
        <v>88</v>
      </c>
      <c r="C16" s="24">
        <f>IF(B$3=0,0,B16/B$3)</f>
        <v>0.26506024096385544</v>
      </c>
      <c r="E16" s="68" t="s">
        <v>81</v>
      </c>
      <c r="F16" s="64" t="s">
        <v>34</v>
      </c>
      <c r="G16" s="50">
        <v>1</v>
      </c>
      <c r="H16" s="27">
        <f>IF(B$25=0,0,G16/B$25)</f>
        <v>2.9411764705882353E-2</v>
      </c>
      <c r="J16" s="26">
        <v>14</v>
      </c>
      <c r="K16" s="28">
        <v>41.499999999999986</v>
      </c>
    </row>
    <row r="17" spans="1:11" x14ac:dyDescent="0.4">
      <c r="A17" s="58" t="s">
        <v>11</v>
      </c>
      <c r="B17" s="50">
        <v>53</v>
      </c>
      <c r="C17" s="27">
        <f>IF(B$3=0,0,B17/B$3)</f>
        <v>0.15963855421686746</v>
      </c>
      <c r="E17" s="68" t="s">
        <v>88</v>
      </c>
      <c r="F17" s="64" t="s">
        <v>41</v>
      </c>
      <c r="G17" s="50">
        <v>1</v>
      </c>
      <c r="H17" s="27">
        <f>IF(B$25=0,0,G17/B$25)</f>
        <v>2.9411764705882353E-2</v>
      </c>
      <c r="J17" s="26">
        <v>15</v>
      </c>
      <c r="K17" s="28">
        <v>32.999999999999986</v>
      </c>
    </row>
    <row r="18" spans="1:11" x14ac:dyDescent="0.4">
      <c r="A18" s="58" t="s">
        <v>12</v>
      </c>
      <c r="B18" s="50">
        <v>35</v>
      </c>
      <c r="C18" s="27">
        <f>IF(B$3=0,0,B18/B$3)</f>
        <v>0.10542168674698796</v>
      </c>
      <c r="E18" s="68" t="s">
        <v>90</v>
      </c>
      <c r="F18" s="64" t="s">
        <v>43</v>
      </c>
      <c r="G18" s="50">
        <v>1</v>
      </c>
      <c r="H18" s="27">
        <f>IF(B$25=0,0,G18/B$25)</f>
        <v>2.9411764705882353E-2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66</v>
      </c>
      <c r="C19" s="27">
        <f>IF(B$3=0,0,B19/B$3)</f>
        <v>0.19879518072289157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9872.7272727272721</v>
      </c>
      <c r="C20" s="30">
        <v>868800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-8125.757575757576</v>
      </c>
      <c r="C21" s="48">
        <v>-536300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195</v>
      </c>
      <c r="B22" s="49">
        <v>93</v>
      </c>
      <c r="C22" s="24">
        <f>IF(B$3=0,0,B22/B$3)</f>
        <v>0.28012048192771083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196</v>
      </c>
      <c r="B23" s="52">
        <v>35</v>
      </c>
      <c r="C23" s="32">
        <f>IF(B$22=0,0,B23/B$22)</f>
        <v>0.37634408602150538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2">
        <v>145</v>
      </c>
      <c r="C24" s="83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4">
        <v>34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2CF2E-6913-4F96-BDDD-93A77B0DBDDE}">
  <sheetPr codeName="Sheet11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190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51</v>
      </c>
      <c r="C2" s="83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198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">
      <c r="A3" s="58" t="s">
        <v>8</v>
      </c>
      <c r="B3" s="90">
        <v>390</v>
      </c>
      <c r="C3" s="91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199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">
      <c r="A4" s="58" t="s">
        <v>6</v>
      </c>
      <c r="B4" s="92">
        <v>166.69999999999996</v>
      </c>
      <c r="C4" s="93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200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">
      <c r="A5" s="58" t="s">
        <v>7</v>
      </c>
      <c r="B5" s="92">
        <f>IF(B$2=0,0,B$4/B$2)</f>
        <v>3.2686274509803912</v>
      </c>
      <c r="C5" s="93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201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">
      <c r="A6" s="58" t="s">
        <v>1</v>
      </c>
      <c r="B6" s="94">
        <f>IF(B$2=0,0,(B$7*1+B$8*2+B$9*3)/B$2)</f>
        <v>1.9215686274509804</v>
      </c>
      <c r="C6" s="95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202</v>
      </c>
      <c r="N6" s="45">
        <f t="shared" si="0"/>
        <v>1250</v>
      </c>
      <c r="O6" s="42">
        <v>37500</v>
      </c>
      <c r="P6" s="37">
        <v>30</v>
      </c>
    </row>
    <row r="7" spans="1:16" x14ac:dyDescent="0.4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203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">
      <c r="A11" s="60" t="s">
        <v>208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B17+B18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">
      <c r="A17" s="58" t="s">
        <v>11</v>
      </c>
      <c r="B17" s="50">
        <v>73</v>
      </c>
      <c r="C17" s="27">
        <f>IF(B$3=0,0,B17/B$3)</f>
        <v>0.18717948717948718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">
      <c r="A18" s="58" t="s">
        <v>12</v>
      </c>
      <c r="B18" s="50">
        <v>49</v>
      </c>
      <c r="C18" s="27">
        <f>IF(B$3=0,0,B18/B$3)</f>
        <v>0.12564102564102564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195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196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2">
        <v>257</v>
      </c>
      <c r="C24" s="83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4">
        <v>84</v>
      </c>
      <c r="C25" s="85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56" t="s">
        <v>231</v>
      </c>
      <c r="B26" s="86">
        <v>9</v>
      </c>
      <c r="C26" s="87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78FA-EB9F-42B9-913D-2CAE5553BB19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192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12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0">
        <v>82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2">
        <v>80.800000000000011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2">
        <f>IF(B$2=0,0,B$4/B$2)</f>
        <v>6.7333333333333343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4">
        <f>IF(B$2=0,0,(B$7*1+B$8*2+B$9*3)/B$2)</f>
        <v>1.75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13571-B869-4634-A6AD-FD0FCE98B755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193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49</v>
      </c>
      <c r="C2" s="83"/>
      <c r="E2" s="67" t="s">
        <v>73</v>
      </c>
      <c r="F2" s="63" t="s">
        <v>27</v>
      </c>
      <c r="G2" s="49">
        <v>95</v>
      </c>
      <c r="H2" s="24">
        <f>IF(B$25=0,0,G2/B$25)</f>
        <v>0.96938775510204078</v>
      </c>
      <c r="J2" s="23">
        <v>0</v>
      </c>
      <c r="K2" s="25">
        <v>0</v>
      </c>
      <c r="M2" s="23" t="s">
        <v>198</v>
      </c>
      <c r="N2" s="44">
        <f t="shared" ref="N2:N7" si="0">IF(P2=0,0,O2/P2)</f>
        <v>-3044.4444444444443</v>
      </c>
      <c r="O2" s="41">
        <v>-137000</v>
      </c>
      <c r="P2" s="39">
        <v>45</v>
      </c>
    </row>
    <row r="3" spans="1:16" x14ac:dyDescent="0.4">
      <c r="A3" s="58" t="s">
        <v>8</v>
      </c>
      <c r="B3" s="90">
        <v>372</v>
      </c>
      <c r="C3" s="91"/>
      <c r="E3" s="68" t="s">
        <v>78</v>
      </c>
      <c r="F3" s="64" t="s">
        <v>31</v>
      </c>
      <c r="G3" s="50">
        <v>72</v>
      </c>
      <c r="H3" s="27">
        <f>IF(B$25=0,0,G3/B$25)</f>
        <v>0.73469387755102045</v>
      </c>
      <c r="J3" s="26">
        <v>1</v>
      </c>
      <c r="K3" s="28">
        <v>3.9</v>
      </c>
      <c r="M3" s="26" t="s">
        <v>199</v>
      </c>
      <c r="N3" s="45">
        <f t="shared" si="0"/>
        <v>-1537.7777777777778</v>
      </c>
      <c r="O3" s="42">
        <v>-69200</v>
      </c>
      <c r="P3" s="37">
        <v>45</v>
      </c>
    </row>
    <row r="4" spans="1:16" x14ac:dyDescent="0.4">
      <c r="A4" s="58" t="s">
        <v>6</v>
      </c>
      <c r="B4" s="92">
        <v>-364.49999999999994</v>
      </c>
      <c r="C4" s="93"/>
      <c r="E4" s="68" t="s">
        <v>71</v>
      </c>
      <c r="F4" s="64" t="s">
        <v>25</v>
      </c>
      <c r="G4" s="50">
        <v>72</v>
      </c>
      <c r="H4" s="27">
        <f>IF(B$25=0,0,G4/B$25)</f>
        <v>0.73469387755102045</v>
      </c>
      <c r="J4" s="26">
        <v>2</v>
      </c>
      <c r="K4" s="28">
        <v>-33.9</v>
      </c>
      <c r="M4" s="26" t="s">
        <v>200</v>
      </c>
      <c r="N4" s="45">
        <f t="shared" si="0"/>
        <v>-2564.2857142857142</v>
      </c>
      <c r="O4" s="42">
        <v>-107700</v>
      </c>
      <c r="P4" s="37">
        <v>42</v>
      </c>
    </row>
    <row r="5" spans="1:16" x14ac:dyDescent="0.4">
      <c r="A5" s="58" t="s">
        <v>7</v>
      </c>
      <c r="B5" s="92">
        <f>IF(B$2=0,0,B$4/B$2)</f>
        <v>-7.4387755102040805</v>
      </c>
      <c r="C5" s="93"/>
      <c r="E5" s="68" t="s">
        <v>69</v>
      </c>
      <c r="F5" s="64" t="s">
        <v>23</v>
      </c>
      <c r="G5" s="50">
        <v>55</v>
      </c>
      <c r="H5" s="27">
        <f>IF(B$25=0,0,G5/B$25)</f>
        <v>0.56122448979591832</v>
      </c>
      <c r="J5" s="26">
        <v>3</v>
      </c>
      <c r="K5" s="28">
        <v>-70.099999999999994</v>
      </c>
      <c r="M5" s="26" t="s">
        <v>201</v>
      </c>
      <c r="N5" s="45">
        <f t="shared" si="0"/>
        <v>-312.82051282051282</v>
      </c>
      <c r="O5" s="42">
        <v>-12200</v>
      </c>
      <c r="P5" s="37">
        <v>39</v>
      </c>
    </row>
    <row r="6" spans="1:16" x14ac:dyDescent="0.4">
      <c r="A6" s="58" t="s">
        <v>1</v>
      </c>
      <c r="B6" s="94">
        <f>IF(B$2=0,0,(B$7*1+B$8*2+B$9*3)/B$2)</f>
        <v>2.204081632653061</v>
      </c>
      <c r="C6" s="95"/>
      <c r="E6" s="68" t="s">
        <v>72</v>
      </c>
      <c r="F6" s="64" t="s">
        <v>26</v>
      </c>
      <c r="G6" s="50">
        <v>41</v>
      </c>
      <c r="H6" s="27">
        <f>IF(B$25=0,0,G6/B$25)</f>
        <v>0.41836734693877553</v>
      </c>
      <c r="J6" s="26">
        <v>4</v>
      </c>
      <c r="K6" s="28">
        <v>-35.099999999999994</v>
      </c>
      <c r="M6" s="26" t="s">
        <v>202</v>
      </c>
      <c r="N6" s="45">
        <f t="shared" si="0"/>
        <v>-1125.7142857142858</v>
      </c>
      <c r="O6" s="42">
        <v>-39400</v>
      </c>
      <c r="P6" s="37">
        <v>35</v>
      </c>
    </row>
    <row r="7" spans="1:16" x14ac:dyDescent="0.4">
      <c r="A7" s="58" t="s">
        <v>2</v>
      </c>
      <c r="B7" s="50">
        <v>12</v>
      </c>
      <c r="C7" s="27">
        <f>IF(B$2=0,0,B7/B$2)</f>
        <v>0.24489795918367346</v>
      </c>
      <c r="E7" s="68" t="s">
        <v>74</v>
      </c>
      <c r="F7" s="64" t="s">
        <v>12</v>
      </c>
      <c r="G7" s="50">
        <v>32</v>
      </c>
      <c r="H7" s="27">
        <f>IF(B$25=0,0,G7/B$25)</f>
        <v>0.32653061224489793</v>
      </c>
      <c r="J7" s="26">
        <v>5</v>
      </c>
      <c r="K7" s="28">
        <v>-80.099999999999994</v>
      </c>
      <c r="M7" s="31" t="s">
        <v>203</v>
      </c>
      <c r="N7" s="46">
        <f t="shared" si="0"/>
        <v>4532</v>
      </c>
      <c r="O7" s="43">
        <v>113300</v>
      </c>
      <c r="P7" s="38">
        <v>25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0.30612244897959184</v>
      </c>
      <c r="E8" s="68" t="s">
        <v>96</v>
      </c>
      <c r="F8" s="64" t="s">
        <v>49</v>
      </c>
      <c r="G8" s="50">
        <v>15</v>
      </c>
      <c r="H8" s="27">
        <f>IF(B$25=0,0,G8/B$25)</f>
        <v>0.15306122448979592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22</v>
      </c>
      <c r="C9" s="29">
        <f t="shared" si="1"/>
        <v>0.44897959183673469</v>
      </c>
      <c r="E9" s="68" t="s">
        <v>75</v>
      </c>
      <c r="F9" s="64" t="s">
        <v>28</v>
      </c>
      <c r="G9" s="50">
        <v>14</v>
      </c>
      <c r="H9" s="27">
        <f>IF(B$25=0,0,G9/B$25)</f>
        <v>0.14285714285714285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11</v>
      </c>
      <c r="C10" s="29">
        <f>IF(B$2=0,0,B10/B$2)</f>
        <v>0.22448979591836735</v>
      </c>
      <c r="E10" s="68" t="s">
        <v>76</v>
      </c>
      <c r="F10" s="64" t="s">
        <v>29</v>
      </c>
      <c r="G10" s="50">
        <v>10</v>
      </c>
      <c r="H10" s="27">
        <f>IF(B$25=0,0,G10/B$25)</f>
        <v>0.10204081632653061</v>
      </c>
      <c r="J10" s="26">
        <v>8</v>
      </c>
      <c r="K10" s="28">
        <v>-146</v>
      </c>
    </row>
    <row r="11" spans="1:16" x14ac:dyDescent="0.4">
      <c r="A11" s="60" t="s">
        <v>208</v>
      </c>
      <c r="B11" s="52">
        <v>5</v>
      </c>
      <c r="C11" s="32">
        <f>IF(B$2=0,0,B11/B$2)</f>
        <v>0.10204081632653061</v>
      </c>
      <c r="E11" s="68" t="s">
        <v>70</v>
      </c>
      <c r="F11" s="64" t="s">
        <v>24</v>
      </c>
      <c r="G11" s="50">
        <v>9</v>
      </c>
      <c r="H11" s="27">
        <f>IF(B$25=0,0,G11/B$25)</f>
        <v>9.1836734693877556E-2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100</v>
      </c>
      <c r="C12" s="35">
        <f>IF(B$24=0,0,B12/B$24)</f>
        <v>0.29850746268656714</v>
      </c>
      <c r="E12" s="68" t="s">
        <v>84</v>
      </c>
      <c r="F12" s="64" t="s">
        <v>37</v>
      </c>
      <c r="G12" s="50">
        <v>7</v>
      </c>
      <c r="H12" s="27">
        <f>IF(B$25=0,0,G12/B$25)</f>
        <v>7.1428571428571425E-2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74</v>
      </c>
      <c r="C13" s="27">
        <f>IF(B$24=0,0,B13/B$24)</f>
        <v>0.22089552238805971</v>
      </c>
      <c r="E13" s="68" t="s">
        <v>93</v>
      </c>
      <c r="F13" s="64" t="s">
        <v>46</v>
      </c>
      <c r="G13" s="50">
        <v>7</v>
      </c>
      <c r="H13" s="27">
        <f>IF(B$25=0,0,G13/B$25)</f>
        <v>7.1428571428571425E-2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58</v>
      </c>
      <c r="C14" s="24">
        <f>IF(B$12=0,0,B14/B$12)</f>
        <v>0.57999999999999996</v>
      </c>
      <c r="E14" s="68" t="s">
        <v>79</v>
      </c>
      <c r="F14" s="64" t="s">
        <v>32</v>
      </c>
      <c r="G14" s="50">
        <v>3</v>
      </c>
      <c r="H14" s="27">
        <f>IF(B$25=0,0,G14/B$25)</f>
        <v>3.0612244897959183E-2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29</v>
      </c>
      <c r="C15" s="24">
        <f>IF(B$13=0,0,B15/B$13)</f>
        <v>0.39189189189189189</v>
      </c>
      <c r="E15" s="68" t="s">
        <v>90</v>
      </c>
      <c r="F15" s="64" t="s">
        <v>43</v>
      </c>
      <c r="G15" s="50">
        <v>3</v>
      </c>
      <c r="H15" s="27">
        <f>IF(B$25=0,0,G15/B$25)</f>
        <v>3.0612244897959183E-2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B17+B18</f>
        <v>108</v>
      </c>
      <c r="C16" s="24">
        <f>IF(B$3=0,0,B16/B$3)</f>
        <v>0.29032258064516131</v>
      </c>
      <c r="E16" s="68" t="s">
        <v>77</v>
      </c>
      <c r="F16" s="64" t="s">
        <v>30</v>
      </c>
      <c r="G16" s="50">
        <v>2</v>
      </c>
      <c r="H16" s="27">
        <f>IF(B$25=0,0,G16/B$25)</f>
        <v>2.0408163265306121E-2</v>
      </c>
      <c r="J16" s="26">
        <v>14</v>
      </c>
      <c r="K16" s="28">
        <v>-231</v>
      </c>
    </row>
    <row r="17" spans="1:11" x14ac:dyDescent="0.4">
      <c r="A17" s="58" t="s">
        <v>11</v>
      </c>
      <c r="B17" s="50">
        <v>58</v>
      </c>
      <c r="C17" s="27">
        <f>IF(B$3=0,0,B17/B$3)</f>
        <v>0.15591397849462366</v>
      </c>
      <c r="E17" s="68" t="s">
        <v>88</v>
      </c>
      <c r="F17" s="64" t="s">
        <v>41</v>
      </c>
      <c r="G17" s="50">
        <v>2</v>
      </c>
      <c r="H17" s="27">
        <f>IF(B$25=0,0,G17/B$25)</f>
        <v>2.0408163265306121E-2</v>
      </c>
      <c r="J17" s="26">
        <v>15</v>
      </c>
      <c r="K17" s="28">
        <v>-212.5</v>
      </c>
    </row>
    <row r="18" spans="1:11" x14ac:dyDescent="0.4">
      <c r="A18" s="58" t="s">
        <v>12</v>
      </c>
      <c r="B18" s="50">
        <v>50</v>
      </c>
      <c r="C18" s="27">
        <f>IF(B$3=0,0,B18/B$3)</f>
        <v>0.13440860215053763</v>
      </c>
      <c r="E18" s="68" t="s">
        <v>81</v>
      </c>
      <c r="F18" s="64" t="s">
        <v>34</v>
      </c>
      <c r="G18" s="50">
        <v>1</v>
      </c>
      <c r="H18" s="27">
        <f>IF(B$25=0,0,G18/B$25)</f>
        <v>1.020408163265306E-2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87</v>
      </c>
      <c r="C19" s="27">
        <f>IF(B$3=0,0,B19/B$3)</f>
        <v>0.23387096774193547</v>
      </c>
      <c r="E19" s="68" t="s">
        <v>85</v>
      </c>
      <c r="F19" s="64" t="s">
        <v>38</v>
      </c>
      <c r="G19" s="50">
        <v>1</v>
      </c>
      <c r="H19" s="27">
        <f>IF(B$25=0,0,G19/B$25)</f>
        <v>1.020408163265306E-2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10728.703703703704</v>
      </c>
      <c r="C20" s="30">
        <v>1158700</v>
      </c>
      <c r="E20" s="68" t="s">
        <v>91</v>
      </c>
      <c r="F20" s="64" t="s">
        <v>44</v>
      </c>
      <c r="G20" s="50">
        <v>1</v>
      </c>
      <c r="H20" s="27">
        <f>IF(B$25=0,0,G20/B$25)</f>
        <v>1.020408163265306E-2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-9742.5287356321842</v>
      </c>
      <c r="C21" s="48">
        <v>-847600</v>
      </c>
      <c r="E21" s="68" t="s">
        <v>100</v>
      </c>
      <c r="F21" s="64" t="s">
        <v>53</v>
      </c>
      <c r="G21" s="50">
        <v>1</v>
      </c>
      <c r="H21" s="27">
        <f>IF(B$25=0,0,G21/B$25)</f>
        <v>1.020408163265306E-2</v>
      </c>
      <c r="J21" s="26">
        <v>19</v>
      </c>
      <c r="K21" s="28">
        <v>-273.2</v>
      </c>
    </row>
    <row r="22" spans="1:11" x14ac:dyDescent="0.4">
      <c r="A22" s="57" t="s">
        <v>195</v>
      </c>
      <c r="B22" s="49">
        <v>119</v>
      </c>
      <c r="C22" s="24">
        <f>IF(B$3=0,0,B22/B$3)</f>
        <v>0.31989247311827956</v>
      </c>
      <c r="E22" s="68" t="s">
        <v>98</v>
      </c>
      <c r="F22" s="64" t="s">
        <v>51</v>
      </c>
      <c r="G22" s="50">
        <v>1</v>
      </c>
      <c r="H22" s="27">
        <f>IF(B$25=0,0,G22/B$25)</f>
        <v>1.020408163265306E-2</v>
      </c>
      <c r="J22" s="26">
        <v>20</v>
      </c>
      <c r="K22" s="28">
        <v>-270</v>
      </c>
    </row>
    <row r="23" spans="1:11" x14ac:dyDescent="0.4">
      <c r="A23" s="60" t="s">
        <v>196</v>
      </c>
      <c r="B23" s="52">
        <v>40</v>
      </c>
      <c r="C23" s="32">
        <f>IF(B$22=0,0,B23/B$22)</f>
        <v>0.33613445378151263</v>
      </c>
      <c r="E23" s="68" t="s">
        <v>80</v>
      </c>
      <c r="F23" s="64" t="s">
        <v>33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57" t="s">
        <v>128</v>
      </c>
      <c r="B24" s="82">
        <v>335</v>
      </c>
      <c r="C24" s="83"/>
      <c r="E24" s="68" t="s">
        <v>82</v>
      </c>
      <c r="F24" s="64" t="s">
        <v>35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4">
        <v>98</v>
      </c>
      <c r="C25" s="85"/>
      <c r="E25" s="68" t="s">
        <v>83</v>
      </c>
      <c r="F25" s="64" t="s">
        <v>36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56" t="s">
        <v>231</v>
      </c>
      <c r="B26" s="86">
        <v>7</v>
      </c>
      <c r="C26" s="87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9EC1E-7224-4A1C-A8F5-9B196EC8E168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217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</v>
      </c>
      <c r="C2" s="83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0">
        <v>46</v>
      </c>
      <c r="C3" s="91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2">
        <v>89</v>
      </c>
      <c r="C4" s="93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2">
        <f>IF(B$2=0,0,B$4/B$2)</f>
        <v>17.8</v>
      </c>
      <c r="C5" s="93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4">
        <f>IF(B$2=0,0,(B$7*1+B$8*2+B$9*3)/B$2)</f>
        <v>1.6</v>
      </c>
      <c r="C6" s="95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46</v>
      </c>
      <c r="C24" s="83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18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5</v>
      </c>
      <c r="C26" s="87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EB6E8-9A3F-4420-81BE-05E82D283FE1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220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6</v>
      </c>
      <c r="C2" s="83"/>
      <c r="E2" s="67" t="s">
        <v>73</v>
      </c>
      <c r="F2" s="63" t="s">
        <v>27</v>
      </c>
      <c r="G2" s="49">
        <v>15</v>
      </c>
      <c r="H2" s="24">
        <f>IF(B$25=0,0,G2/B$25)</f>
        <v>1.6666666666666667</v>
      </c>
      <c r="J2" s="23">
        <v>0</v>
      </c>
      <c r="K2" s="25">
        <v>0</v>
      </c>
      <c r="M2" s="23" t="s">
        <v>198</v>
      </c>
      <c r="N2" s="44">
        <f t="shared" ref="N2:N7" si="0">IF(P2=0,0,O2/P2)</f>
        <v>-550</v>
      </c>
      <c r="O2" s="41">
        <v>-3300</v>
      </c>
      <c r="P2" s="39">
        <v>6</v>
      </c>
    </row>
    <row r="3" spans="1:16" x14ac:dyDescent="0.4">
      <c r="A3" s="58" t="s">
        <v>8</v>
      </c>
      <c r="B3" s="90">
        <v>43</v>
      </c>
      <c r="C3" s="91"/>
      <c r="E3" s="68" t="s">
        <v>71</v>
      </c>
      <c r="F3" s="64" t="s">
        <v>25</v>
      </c>
      <c r="G3" s="50">
        <v>9</v>
      </c>
      <c r="H3" s="27">
        <f>IF(B$25=0,0,G3/B$25)</f>
        <v>1</v>
      </c>
      <c r="J3" s="26">
        <v>1</v>
      </c>
      <c r="K3" s="28">
        <v>15</v>
      </c>
      <c r="M3" s="26" t="s">
        <v>199</v>
      </c>
      <c r="N3" s="45">
        <f t="shared" si="0"/>
        <v>4833.333333333333</v>
      </c>
      <c r="O3" s="42">
        <v>29000</v>
      </c>
      <c r="P3" s="37">
        <v>6</v>
      </c>
    </row>
    <row r="4" spans="1:16" x14ac:dyDescent="0.4">
      <c r="A4" s="58" t="s">
        <v>6</v>
      </c>
      <c r="B4" s="92">
        <v>2.2000000000000011</v>
      </c>
      <c r="C4" s="93"/>
      <c r="E4" s="68" t="s">
        <v>78</v>
      </c>
      <c r="F4" s="64" t="s">
        <v>31</v>
      </c>
      <c r="G4" s="50">
        <v>7</v>
      </c>
      <c r="H4" s="27">
        <f>IF(B$25=0,0,G4/B$25)</f>
        <v>0.77777777777777779</v>
      </c>
      <c r="J4" s="26">
        <v>2</v>
      </c>
      <c r="K4" s="28">
        <v>-24.299999999999997</v>
      </c>
      <c r="M4" s="26" t="s">
        <v>200</v>
      </c>
      <c r="N4" s="45">
        <f t="shared" si="0"/>
        <v>-2575</v>
      </c>
      <c r="O4" s="42">
        <v>-10300</v>
      </c>
      <c r="P4" s="37">
        <v>4</v>
      </c>
    </row>
    <row r="5" spans="1:16" x14ac:dyDescent="0.4">
      <c r="A5" s="58" t="s">
        <v>7</v>
      </c>
      <c r="B5" s="92">
        <f>IF(B$2=0,0,B$4/B$2)</f>
        <v>0.36666666666666686</v>
      </c>
      <c r="C5" s="93"/>
      <c r="E5" s="68" t="s">
        <v>90</v>
      </c>
      <c r="F5" s="64" t="s">
        <v>43</v>
      </c>
      <c r="G5" s="50">
        <v>4</v>
      </c>
      <c r="H5" s="27">
        <f>IF(B$25=0,0,G5/B$25)</f>
        <v>0.44444444444444442</v>
      </c>
      <c r="J5" s="26">
        <v>3</v>
      </c>
      <c r="K5" s="28">
        <v>-15.599999999999998</v>
      </c>
      <c r="M5" s="26" t="s">
        <v>201</v>
      </c>
      <c r="N5" s="45">
        <f t="shared" si="0"/>
        <v>2575</v>
      </c>
      <c r="O5" s="42">
        <v>10300</v>
      </c>
      <c r="P5" s="37">
        <v>4</v>
      </c>
    </row>
    <row r="6" spans="1:16" x14ac:dyDescent="0.4">
      <c r="A6" s="58" t="s">
        <v>1</v>
      </c>
      <c r="B6" s="94">
        <f>IF(B$2=0,0,(B$7*1+B$8*2+B$9*3)/B$2)</f>
        <v>2.3333333333333335</v>
      </c>
      <c r="C6" s="95"/>
      <c r="E6" s="68" t="s">
        <v>96</v>
      </c>
      <c r="F6" s="64" t="s">
        <v>49</v>
      </c>
      <c r="G6" s="50">
        <v>2</v>
      </c>
      <c r="H6" s="27">
        <f>IF(B$25=0,0,G6/B$25)</f>
        <v>0.22222222222222221</v>
      </c>
      <c r="J6" s="26">
        <v>4</v>
      </c>
      <c r="K6" s="28">
        <v>5.1000000000000014</v>
      </c>
      <c r="M6" s="26" t="s">
        <v>202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>IF(B$25=0,0,G7/B$25)</f>
        <v>0.1111111111111111</v>
      </c>
      <c r="J7" s="26">
        <v>5</v>
      </c>
      <c r="K7" s="28">
        <v>9.6000000000000014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4</v>
      </c>
      <c r="C8" s="27">
        <f t="shared" ref="C8:C9" si="1">IF(B$2=0,0,B8/B$2)</f>
        <v>0.66666666666666663</v>
      </c>
      <c r="E8" s="68" t="s">
        <v>76</v>
      </c>
      <c r="F8" s="64" t="s">
        <v>29</v>
      </c>
      <c r="G8" s="50">
        <v>1</v>
      </c>
      <c r="H8" s="27">
        <f>IF(B$25=0,0,G8/B$25)</f>
        <v>0.1111111111111111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2</v>
      </c>
      <c r="C9" s="29">
        <f t="shared" si="1"/>
        <v>0.33333333333333331</v>
      </c>
      <c r="E9" s="68" t="s">
        <v>85</v>
      </c>
      <c r="F9" s="64" t="s">
        <v>38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1</v>
      </c>
      <c r="C10" s="29">
        <f>IF(B$2=0,0,B10/B$2)</f>
        <v>0.16666666666666666</v>
      </c>
      <c r="E10" s="68" t="s">
        <v>92</v>
      </c>
      <c r="F10" s="64" t="s">
        <v>45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3</v>
      </c>
      <c r="C12" s="35">
        <f>IF(B$24=0,0,B12/B$24)</f>
        <v>6.9767441860465115E-2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21</v>
      </c>
      <c r="C13" s="27">
        <f>IF(B$24=0,0,B13/B$24)</f>
        <v>0.48837209302325579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8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9</v>
      </c>
      <c r="C16" s="24">
        <f>IF(B$3=0,0,B16/B$3)</f>
        <v>0.20930232558139536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9</v>
      </c>
      <c r="C17" s="27">
        <f>IF(B$3=0,0,B17/B$3)</f>
        <v>0.20930232558139536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7</v>
      </c>
      <c r="C19" s="27">
        <f>IF(B$3=0,0,B19/B$3)</f>
        <v>0.16279069767441862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9988.8888888888887</v>
      </c>
      <c r="C20" s="30">
        <v>89900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10</v>
      </c>
      <c r="C22" s="24">
        <f>IF(B$3=0,0,B22/B$3)</f>
        <v>0.23255813953488372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</v>
      </c>
      <c r="C23" s="32">
        <f>IF(B$22=0,0,B23/B$22)</f>
        <v>0.1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43</v>
      </c>
      <c r="C24" s="83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9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/>
      <c r="C1" s="89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">
      <c r="A2" s="57" t="s">
        <v>9</v>
      </c>
      <c r="B2" s="82">
        <v>0</v>
      </c>
      <c r="C2" s="83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0">
        <v>0</v>
      </c>
      <c r="C3" s="91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2">
        <v>0</v>
      </c>
      <c r="C4" s="93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2">
        <f>IF(B$2=0,0,B$4/B$2)</f>
        <v>0</v>
      </c>
      <c r="C5" s="93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4">
        <f>IF(B$2=0,0,(B$7*1+B$8*2+B$9*3)/B$2)</f>
        <v>0</v>
      </c>
      <c r="C6" s="95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9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174</v>
      </c>
    </row>
    <row r="3" spans="1:14" x14ac:dyDescent="0.4">
      <c r="A3" s="74" t="s">
        <v>140</v>
      </c>
      <c r="B3" s="75">
        <v>43454.62740740741</v>
      </c>
      <c r="C3" s="74" t="s">
        <v>174</v>
      </c>
    </row>
    <row r="4" spans="1:14" x14ac:dyDescent="0.4">
      <c r="A4" s="74" t="s">
        <v>143</v>
      </c>
      <c r="B4" s="75">
        <v>43454.62740740741</v>
      </c>
      <c r="C4" s="74" t="s">
        <v>174</v>
      </c>
    </row>
    <row r="5" spans="1:14" x14ac:dyDescent="0.4">
      <c r="A5" s="74" t="s">
        <v>144</v>
      </c>
      <c r="B5" s="75">
        <v>43454.62740740741</v>
      </c>
      <c r="C5" s="74" t="s">
        <v>174</v>
      </c>
      <c r="D5" s="74" t="s">
        <v>175</v>
      </c>
      <c r="E5" s="74" t="s">
        <v>176</v>
      </c>
      <c r="F5" s="74" t="s">
        <v>177</v>
      </c>
      <c r="G5" s="74" t="s">
        <v>178</v>
      </c>
    </row>
    <row r="6" spans="1:14" x14ac:dyDescent="0.4">
      <c r="A6" s="74" t="s">
        <v>146</v>
      </c>
      <c r="B6" s="75">
        <v>43454.62740740741</v>
      </c>
      <c r="C6" s="74" t="s">
        <v>174</v>
      </c>
    </row>
    <row r="7" spans="1:14" x14ac:dyDescent="0.4">
      <c r="A7" s="74" t="s">
        <v>147</v>
      </c>
      <c r="B7" s="75">
        <v>43454.62740740741</v>
      </c>
      <c r="C7" s="74" t="s">
        <v>174</v>
      </c>
      <c r="D7" s="74" t="s">
        <v>175</v>
      </c>
      <c r="E7" s="74" t="s">
        <v>176</v>
      </c>
    </row>
    <row r="8" spans="1:14" x14ac:dyDescent="0.4">
      <c r="A8" s="74" t="s">
        <v>150</v>
      </c>
      <c r="B8" s="75">
        <v>43454.62740740741</v>
      </c>
      <c r="C8" s="74" t="s">
        <v>174</v>
      </c>
      <c r="D8" s="74" t="s">
        <v>175</v>
      </c>
    </row>
    <row r="9" spans="1:14" x14ac:dyDescent="0.4">
      <c r="A9" s="74" t="s">
        <v>151</v>
      </c>
      <c r="B9" s="75">
        <v>43454.62740740741</v>
      </c>
      <c r="C9" s="74" t="s">
        <v>174</v>
      </c>
      <c r="D9" s="74" t="s">
        <v>175</v>
      </c>
      <c r="E9" s="74" t="s">
        <v>176</v>
      </c>
      <c r="F9" s="74" t="s">
        <v>177</v>
      </c>
    </row>
    <row r="10" spans="1:14" x14ac:dyDescent="0.4">
      <c r="A10" s="74" t="s">
        <v>152</v>
      </c>
      <c r="B10" s="75">
        <v>43454.62740740741</v>
      </c>
      <c r="C10" s="74" t="s">
        <v>174</v>
      </c>
      <c r="D10" s="74" t="s">
        <v>175</v>
      </c>
      <c r="E10" s="74" t="s">
        <v>176</v>
      </c>
    </row>
    <row r="11" spans="1:14" x14ac:dyDescent="0.4">
      <c r="A11" s="74" t="s">
        <v>153</v>
      </c>
      <c r="B11" s="75">
        <v>43454.62740740741</v>
      </c>
      <c r="C11" s="74" t="s">
        <v>174</v>
      </c>
      <c r="D11" s="74" t="s">
        <v>175</v>
      </c>
      <c r="E11" s="74" t="s">
        <v>176</v>
      </c>
      <c r="F11" s="74" t="s">
        <v>177</v>
      </c>
      <c r="G11" s="74" t="s">
        <v>178</v>
      </c>
      <c r="H11" s="74" t="s">
        <v>179</v>
      </c>
      <c r="I11" s="74" t="s">
        <v>180</v>
      </c>
    </row>
    <row r="12" spans="1:14" x14ac:dyDescent="0.4">
      <c r="A12" s="74" t="s">
        <v>154</v>
      </c>
      <c r="B12" s="75">
        <v>43454.62740740741</v>
      </c>
      <c r="C12" s="74" t="s">
        <v>174</v>
      </c>
      <c r="D12" s="74" t="s">
        <v>175</v>
      </c>
    </row>
    <row r="13" spans="1:14" x14ac:dyDescent="0.4">
      <c r="A13" s="74" t="s">
        <v>155</v>
      </c>
      <c r="B13" s="75">
        <v>43454.62740740741</v>
      </c>
      <c r="C13" s="74" t="s">
        <v>174</v>
      </c>
      <c r="D13" s="74" t="s">
        <v>175</v>
      </c>
      <c r="E13" s="74" t="s">
        <v>176</v>
      </c>
      <c r="F13" s="74" t="s">
        <v>177</v>
      </c>
      <c r="G13" s="74" t="s">
        <v>178</v>
      </c>
      <c r="H13" s="74" t="s">
        <v>179</v>
      </c>
      <c r="I13" s="74" t="s">
        <v>180</v>
      </c>
      <c r="J13" s="74" t="s">
        <v>181</v>
      </c>
      <c r="K13" s="74" t="s">
        <v>182</v>
      </c>
      <c r="L13" s="74" t="s">
        <v>183</v>
      </c>
      <c r="M13" s="74" t="s">
        <v>184</v>
      </c>
      <c r="N13" s="74" t="s">
        <v>185</v>
      </c>
    </row>
    <row r="14" spans="1:14" x14ac:dyDescent="0.4">
      <c r="A14" s="74" t="s">
        <v>157</v>
      </c>
      <c r="B14" s="75">
        <v>43454.62740740741</v>
      </c>
      <c r="C14" s="74" t="s">
        <v>174</v>
      </c>
      <c r="D14" s="74" t="s">
        <v>175</v>
      </c>
      <c r="E14" s="74" t="s">
        <v>176</v>
      </c>
    </row>
    <row r="15" spans="1:14" x14ac:dyDescent="0.4">
      <c r="A15" s="74" t="s">
        <v>158</v>
      </c>
      <c r="B15" s="75">
        <v>43454.62740740741</v>
      </c>
      <c r="C15" s="74" t="s">
        <v>174</v>
      </c>
      <c r="D15" s="74" t="s">
        <v>175</v>
      </c>
      <c r="E15" s="74" t="s">
        <v>176</v>
      </c>
    </row>
    <row r="16" spans="1:14" x14ac:dyDescent="0.4">
      <c r="A16" s="74" t="s">
        <v>159</v>
      </c>
      <c r="B16" s="75">
        <v>43454.62740740741</v>
      </c>
      <c r="C16" s="74" t="s">
        <v>174</v>
      </c>
      <c r="D16" s="74" t="s">
        <v>175</v>
      </c>
      <c r="E16" s="74" t="s">
        <v>176</v>
      </c>
    </row>
    <row r="17" spans="1:9" x14ac:dyDescent="0.4">
      <c r="A17" s="74" t="s">
        <v>161</v>
      </c>
      <c r="B17" s="75">
        <v>43471.701018518521</v>
      </c>
      <c r="C17" s="74" t="s">
        <v>174</v>
      </c>
      <c r="D17" s="74" t="s">
        <v>175</v>
      </c>
      <c r="E17" s="74" t="s">
        <v>176</v>
      </c>
      <c r="F17" s="74" t="s">
        <v>177</v>
      </c>
      <c r="G17" s="74" t="s">
        <v>178</v>
      </c>
      <c r="H17" s="74" t="s">
        <v>179</v>
      </c>
    </row>
    <row r="18" spans="1:9" x14ac:dyDescent="0.4">
      <c r="A18" s="74" t="s">
        <v>162</v>
      </c>
      <c r="B18" s="75">
        <v>43454.62740740741</v>
      </c>
      <c r="C18" s="74" t="s">
        <v>174</v>
      </c>
      <c r="D18" s="74" t="s">
        <v>175</v>
      </c>
      <c r="E18" s="74" t="s">
        <v>176</v>
      </c>
      <c r="F18" s="74" t="s">
        <v>177</v>
      </c>
      <c r="G18" s="74" t="s">
        <v>178</v>
      </c>
      <c r="H18" s="74" t="s">
        <v>179</v>
      </c>
    </row>
    <row r="19" spans="1:9" x14ac:dyDescent="0.4">
      <c r="A19" s="74" t="s">
        <v>163</v>
      </c>
      <c r="B19" s="75">
        <v>43454.62740740741</v>
      </c>
      <c r="C19" s="74" t="s">
        <v>174</v>
      </c>
      <c r="D19" s="74" t="s">
        <v>175</v>
      </c>
    </row>
    <row r="20" spans="1:9" x14ac:dyDescent="0.4">
      <c r="A20" s="74" t="s">
        <v>164</v>
      </c>
      <c r="B20" s="75">
        <v>43471.701018518521</v>
      </c>
      <c r="C20" s="74" t="s">
        <v>174</v>
      </c>
      <c r="D20" s="74" t="s">
        <v>175</v>
      </c>
      <c r="E20" s="74" t="s">
        <v>176</v>
      </c>
    </row>
    <row r="21" spans="1:9" x14ac:dyDescent="0.4">
      <c r="A21" s="74" t="s">
        <v>165</v>
      </c>
      <c r="B21" s="75">
        <v>43454.62740740741</v>
      </c>
      <c r="C21" s="74" t="s">
        <v>174</v>
      </c>
      <c r="D21" s="74" t="s">
        <v>175</v>
      </c>
      <c r="E21" s="74" t="s">
        <v>176</v>
      </c>
      <c r="F21" s="74" t="s">
        <v>177</v>
      </c>
    </row>
    <row r="22" spans="1:9" x14ac:dyDescent="0.4">
      <c r="A22" s="74" t="s">
        <v>166</v>
      </c>
      <c r="B22" s="75">
        <v>43454.62740740741</v>
      </c>
      <c r="C22" s="74" t="s">
        <v>174</v>
      </c>
      <c r="D22" s="74" t="s">
        <v>175</v>
      </c>
      <c r="E22" s="74" t="s">
        <v>176</v>
      </c>
      <c r="F22" s="74" t="s">
        <v>177</v>
      </c>
    </row>
    <row r="23" spans="1:9" x14ac:dyDescent="0.4">
      <c r="A23" s="74" t="s">
        <v>167</v>
      </c>
      <c r="B23" s="75">
        <v>43454.62740740741</v>
      </c>
      <c r="C23" s="74" t="s">
        <v>174</v>
      </c>
      <c r="D23" s="74" t="s">
        <v>175</v>
      </c>
      <c r="E23" s="74" t="s">
        <v>176</v>
      </c>
      <c r="F23" s="74" t="s">
        <v>177</v>
      </c>
      <c r="G23" s="74" t="s">
        <v>178</v>
      </c>
      <c r="H23" s="74" t="s">
        <v>179</v>
      </c>
      <c r="I23" s="74" t="s">
        <v>180</v>
      </c>
    </row>
    <row r="24" spans="1:9" x14ac:dyDescent="0.4">
      <c r="A24" s="74" t="s">
        <v>168</v>
      </c>
      <c r="B24" s="75">
        <v>43454.62740740741</v>
      </c>
      <c r="C24" s="74" t="s">
        <v>174</v>
      </c>
      <c r="D24" s="74" t="s">
        <v>175</v>
      </c>
      <c r="E24" s="74" t="s">
        <v>176</v>
      </c>
    </row>
    <row r="25" spans="1:9" x14ac:dyDescent="0.4">
      <c r="A25" s="74" t="s">
        <v>169</v>
      </c>
      <c r="B25" s="75">
        <v>43454.62740740741</v>
      </c>
      <c r="C25" s="74" t="s">
        <v>174</v>
      </c>
      <c r="D25" s="74" t="s">
        <v>175</v>
      </c>
      <c r="E25" s="74" t="s">
        <v>176</v>
      </c>
      <c r="F25" s="74" t="s">
        <v>177</v>
      </c>
      <c r="G25" s="74" t="s">
        <v>178</v>
      </c>
      <c r="H25" s="74" t="s">
        <v>179</v>
      </c>
    </row>
    <row r="26" spans="1:9" x14ac:dyDescent="0.4">
      <c r="A26" s="74" t="s">
        <v>170</v>
      </c>
      <c r="B26" s="75">
        <v>43454.62740740741</v>
      </c>
      <c r="C26" s="74" t="s">
        <v>174</v>
      </c>
      <c r="D26" s="74" t="s">
        <v>175</v>
      </c>
    </row>
    <row r="27" spans="1:9" x14ac:dyDescent="0.4">
      <c r="A27" s="74" t="s">
        <v>171</v>
      </c>
      <c r="B27" s="75">
        <v>43454.62740740741</v>
      </c>
      <c r="C27" s="74" t="s">
        <v>174</v>
      </c>
      <c r="D27" s="74" t="s">
        <v>175</v>
      </c>
    </row>
    <row r="28" spans="1:9" x14ac:dyDescent="0.4">
      <c r="A28" s="74" t="s">
        <v>172</v>
      </c>
      <c r="B28" s="75">
        <v>43454.62740740741</v>
      </c>
      <c r="C28" s="74" t="s">
        <v>174</v>
      </c>
      <c r="D28" s="74" t="s">
        <v>175</v>
      </c>
      <c r="E28" s="74" t="s">
        <v>176</v>
      </c>
      <c r="F28" s="74" t="s">
        <v>177</v>
      </c>
    </row>
    <row r="29" spans="1:9" x14ac:dyDescent="0.4">
      <c r="A29" s="74" t="s">
        <v>173</v>
      </c>
      <c r="B29" s="75">
        <v>43455.084918981483</v>
      </c>
      <c r="C29" s="74" t="s">
        <v>174</v>
      </c>
      <c r="D29" s="74" t="s">
        <v>175</v>
      </c>
      <c r="E29" s="74" t="s">
        <v>176</v>
      </c>
      <c r="F29" s="74" t="s">
        <v>177</v>
      </c>
      <c r="G29" s="74" t="s">
        <v>178</v>
      </c>
      <c r="H29" s="74" t="s">
        <v>179</v>
      </c>
    </row>
    <row r="30" spans="1:9" x14ac:dyDescent="0.4">
      <c r="A30" s="74" t="s">
        <v>194</v>
      </c>
      <c r="B30" s="75">
        <v>43456.147789351853</v>
      </c>
      <c r="C30" s="74" t="s">
        <v>174</v>
      </c>
      <c r="D30" s="74" t="s">
        <v>175</v>
      </c>
      <c r="E30" s="74" t="s">
        <v>176</v>
      </c>
      <c r="F30" s="74" t="s">
        <v>177</v>
      </c>
      <c r="G30" s="74" t="s">
        <v>178</v>
      </c>
    </row>
    <row r="31" spans="1:9" x14ac:dyDescent="0.4">
      <c r="A31" s="74" t="s">
        <v>211</v>
      </c>
      <c r="B31" s="75">
        <v>43471.8909375</v>
      </c>
      <c r="C31" s="74" t="s">
        <v>174</v>
      </c>
      <c r="D31" s="74" t="s">
        <v>175</v>
      </c>
      <c r="E31" s="74" t="s">
        <v>176</v>
      </c>
      <c r="F31" s="74" t="s">
        <v>177</v>
      </c>
    </row>
    <row r="32" spans="1:9" x14ac:dyDescent="0.4">
      <c r="A32" s="74" t="s">
        <v>212</v>
      </c>
      <c r="B32" s="75">
        <v>43475.056238425925</v>
      </c>
      <c r="C32" s="74" t="s">
        <v>174</v>
      </c>
    </row>
    <row r="33" spans="1:10" x14ac:dyDescent="0.4">
      <c r="A33" s="74" t="s">
        <v>213</v>
      </c>
      <c r="B33" s="75">
        <v>43478.456446759257</v>
      </c>
      <c r="C33" s="74" t="s">
        <v>174</v>
      </c>
      <c r="D33" s="74" t="s">
        <v>175</v>
      </c>
      <c r="E33" s="74" t="s">
        <v>176</v>
      </c>
    </row>
    <row r="34" spans="1:10" x14ac:dyDescent="0.4">
      <c r="A34" s="74" t="s">
        <v>216</v>
      </c>
      <c r="B34" s="75">
        <v>43479.152256944442</v>
      </c>
      <c r="C34" s="74" t="s">
        <v>174</v>
      </c>
      <c r="D34" s="74" t="s">
        <v>175</v>
      </c>
      <c r="E34" s="74" t="s">
        <v>176</v>
      </c>
      <c r="F34" s="74" t="s">
        <v>177</v>
      </c>
      <c r="G34" s="74" t="s">
        <v>178</v>
      </c>
      <c r="H34" s="74" t="s">
        <v>179</v>
      </c>
      <c r="I34" s="74" t="s">
        <v>180</v>
      </c>
      <c r="J34" s="74" t="s">
        <v>181</v>
      </c>
    </row>
    <row r="35" spans="1:10" x14ac:dyDescent="0.4">
      <c r="A35" s="74" t="s">
        <v>221</v>
      </c>
      <c r="B35" s="75">
        <v>43480.04891203704</v>
      </c>
      <c r="C35" s="74" t="s">
        <v>174</v>
      </c>
      <c r="D35" s="74" t="s">
        <v>175</v>
      </c>
      <c r="E35" s="74" t="s">
        <v>176</v>
      </c>
      <c r="F35" s="74" t="s">
        <v>177</v>
      </c>
      <c r="G35" s="74" t="s">
        <v>178</v>
      </c>
      <c r="H35" s="74" t="s">
        <v>179</v>
      </c>
      <c r="I35" s="74" t="s">
        <v>180</v>
      </c>
      <c r="J35" s="74" t="s">
        <v>181</v>
      </c>
    </row>
    <row r="36" spans="1:10" x14ac:dyDescent="0.4">
      <c r="A36" s="74" t="s">
        <v>228</v>
      </c>
      <c r="B36" s="75">
        <v>43481.046527777777</v>
      </c>
      <c r="C36" s="74" t="s">
        <v>174</v>
      </c>
      <c r="D36" s="74" t="s">
        <v>175</v>
      </c>
      <c r="E36" s="74" t="s">
        <v>176</v>
      </c>
    </row>
    <row r="37" spans="1:10" x14ac:dyDescent="0.4">
      <c r="A37" s="74" t="s">
        <v>229</v>
      </c>
      <c r="B37" s="75">
        <v>43482.020208333335</v>
      </c>
      <c r="C37" s="74" t="s">
        <v>174</v>
      </c>
      <c r="D37" s="74" t="s">
        <v>175</v>
      </c>
    </row>
    <row r="38" spans="1:10" x14ac:dyDescent="0.4">
      <c r="A38" s="74" t="s">
        <v>230</v>
      </c>
      <c r="B38" s="75">
        <v>43483.045300925929</v>
      </c>
      <c r="C38" s="74" t="s">
        <v>174</v>
      </c>
      <c r="D38" s="74" t="s">
        <v>175</v>
      </c>
      <c r="E38" s="74" t="s">
        <v>176</v>
      </c>
      <c r="F38" s="74" t="s">
        <v>177</v>
      </c>
      <c r="G38" s="74" t="s">
        <v>178</v>
      </c>
    </row>
    <row r="39" spans="1:10" x14ac:dyDescent="0.4">
      <c r="A39" s="74" t="s">
        <v>233</v>
      </c>
      <c r="B39" s="75">
        <v>43483.769571759258</v>
      </c>
      <c r="C39" s="74" t="s">
        <v>174</v>
      </c>
      <c r="D39" s="74" t="s">
        <v>175</v>
      </c>
      <c r="E39" s="74" t="s">
        <v>176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2019-01-18T09:33:03Z</dcterms:modified>
</cp:coreProperties>
</file>