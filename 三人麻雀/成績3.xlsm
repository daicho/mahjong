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49B7BC4-2EAA-42A4-9674-8547AD92EC4D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Template" sheetId="2228" r:id="rId3"/>
    <sheet name="だいち" sheetId="2794" r:id="rId4"/>
    <sheet name="かこたろう" sheetId="2795" r:id="rId5"/>
    <sheet name="ともき" sheetId="2796" r:id="rId6"/>
    <sheet name="りくと" sheetId="2797" r:id="rId7"/>
    <sheet name="いっしー" sheetId="2798" r:id="rId8"/>
    <sheet name="がくと" sheetId="2799" r:id="rId9"/>
    <sheet name="たかの" sheetId="2800" r:id="rId10"/>
    <sheet name="ただ" sheetId="2801" r:id="rId11"/>
    <sheet name="やがさき" sheetId="2802" r:id="rId12"/>
    <sheet name="れんたろう" sheetId="2803" r:id="rId13"/>
    <sheet name="あさひ" sheetId="2804" r:id="rId14"/>
    <sheet name="まっつん" sheetId="2805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05" l="1"/>
  <c r="H50" i="2805"/>
  <c r="H49" i="2805"/>
  <c r="H48" i="2805"/>
  <c r="H47" i="2805"/>
  <c r="H46" i="2805"/>
  <c r="H45" i="2805"/>
  <c r="H44" i="2805"/>
  <c r="H43" i="2805"/>
  <c r="H42" i="2805"/>
  <c r="H41" i="2805"/>
  <c r="H40" i="2805"/>
  <c r="H39" i="2805"/>
  <c r="H38" i="2805"/>
  <c r="H37" i="2805"/>
  <c r="H36" i="2805"/>
  <c r="H35" i="2805"/>
  <c r="H34" i="2805"/>
  <c r="H33" i="2805"/>
  <c r="H32" i="2805"/>
  <c r="H31" i="2805"/>
  <c r="H30" i="2805"/>
  <c r="H6" i="2805"/>
  <c r="H29" i="2805"/>
  <c r="H28" i="2805"/>
  <c r="C27" i="2805"/>
  <c r="H27" i="2805"/>
  <c r="H10" i="2805"/>
  <c r="H26" i="2805"/>
  <c r="H5" i="2805"/>
  <c r="C23" i="2805"/>
  <c r="H25" i="2805"/>
  <c r="C22" i="2805"/>
  <c r="H24" i="2805"/>
  <c r="B21" i="2805"/>
  <c r="H23" i="2805"/>
  <c r="H22" i="2805"/>
  <c r="C19" i="2805"/>
  <c r="H9" i="2805"/>
  <c r="C18" i="2805"/>
  <c r="H21" i="2805"/>
  <c r="C17" i="2805"/>
  <c r="H20" i="2805"/>
  <c r="B16" i="2805"/>
  <c r="B20" i="2805" s="1"/>
  <c r="H19" i="2805"/>
  <c r="C15" i="2805"/>
  <c r="H18" i="2805"/>
  <c r="C14" i="2805"/>
  <c r="H17" i="2805"/>
  <c r="C13" i="2805"/>
  <c r="H16" i="2805"/>
  <c r="C12" i="2805"/>
  <c r="H4" i="2805"/>
  <c r="C11" i="2805"/>
  <c r="H15" i="2805"/>
  <c r="C10" i="2805"/>
  <c r="H8" i="2805"/>
  <c r="C9" i="2805"/>
  <c r="H14" i="2805"/>
  <c r="C8" i="2805"/>
  <c r="N7" i="2805"/>
  <c r="H13" i="2805"/>
  <c r="C7" i="2805"/>
  <c r="N6" i="2805"/>
  <c r="H2" i="2805"/>
  <c r="B6" i="2805"/>
  <c r="N5" i="2805"/>
  <c r="H12" i="2805"/>
  <c r="B5" i="2805"/>
  <c r="N4" i="2805"/>
  <c r="H3" i="2805"/>
  <c r="N3" i="2805"/>
  <c r="H11" i="2805"/>
  <c r="N2" i="2805"/>
  <c r="H7" i="2805"/>
  <c r="C16" i="2805" l="1"/>
  <c r="H51" i="2804" l="1"/>
  <c r="H50" i="2804"/>
  <c r="H49" i="2804"/>
  <c r="H48" i="2804"/>
  <c r="H47" i="2804"/>
  <c r="H46" i="2804"/>
  <c r="H45" i="2804"/>
  <c r="H44" i="2804"/>
  <c r="H43" i="2804"/>
  <c r="H42" i="2804"/>
  <c r="H41" i="2804"/>
  <c r="H40" i="2804"/>
  <c r="H39" i="2804"/>
  <c r="H38" i="2804"/>
  <c r="H37" i="2804"/>
  <c r="H36" i="2804"/>
  <c r="H35" i="2804"/>
  <c r="H34" i="2804"/>
  <c r="H33" i="2804"/>
  <c r="H32" i="2804"/>
  <c r="H14" i="2804"/>
  <c r="H31" i="2804"/>
  <c r="H11" i="2804"/>
  <c r="H30" i="2804"/>
  <c r="H29" i="2804"/>
  <c r="C27" i="2804"/>
  <c r="H10" i="2804"/>
  <c r="H28" i="2804"/>
  <c r="H27" i="2804"/>
  <c r="H26" i="2804"/>
  <c r="C23" i="2804"/>
  <c r="H25" i="2804"/>
  <c r="C22" i="2804"/>
  <c r="H24" i="2804"/>
  <c r="B21" i="2804"/>
  <c r="H23" i="2804"/>
  <c r="H22" i="2804"/>
  <c r="C19" i="2804"/>
  <c r="H21" i="2804"/>
  <c r="C18" i="2804"/>
  <c r="H20" i="2804"/>
  <c r="C17" i="2804"/>
  <c r="H19" i="2804"/>
  <c r="B16" i="2804"/>
  <c r="B20" i="2804" s="1"/>
  <c r="H18" i="2804"/>
  <c r="C15" i="2804"/>
  <c r="H17" i="2804"/>
  <c r="C14" i="2804"/>
  <c r="H16" i="2804"/>
  <c r="C13" i="2804"/>
  <c r="H15" i="2804"/>
  <c r="C12" i="2804"/>
  <c r="H5" i="2804"/>
  <c r="C11" i="2804"/>
  <c r="H13" i="2804"/>
  <c r="C10" i="2804"/>
  <c r="H7" i="2804"/>
  <c r="C9" i="2804"/>
  <c r="H9" i="2804"/>
  <c r="C8" i="2804"/>
  <c r="N7" i="2804"/>
  <c r="H8" i="2804"/>
  <c r="C7" i="2804"/>
  <c r="N6" i="2804"/>
  <c r="H3" i="2804"/>
  <c r="B6" i="2804"/>
  <c r="N5" i="2804"/>
  <c r="H6" i="2804"/>
  <c r="B5" i="2804"/>
  <c r="N4" i="2804"/>
  <c r="H2" i="2804"/>
  <c r="N3" i="2804"/>
  <c r="H12" i="2804"/>
  <c r="N2" i="2804"/>
  <c r="H4" i="2804"/>
  <c r="C16" i="2804" l="1"/>
  <c r="H51" i="2803" l="1"/>
  <c r="H50" i="2803"/>
  <c r="H49" i="2803"/>
  <c r="H48" i="2803"/>
  <c r="H47" i="2803"/>
  <c r="H46" i="2803"/>
  <c r="H45" i="2803"/>
  <c r="H44" i="2803"/>
  <c r="H43" i="2803"/>
  <c r="H42" i="2803"/>
  <c r="H41" i="2803"/>
  <c r="H40" i="2803"/>
  <c r="H39" i="2803"/>
  <c r="H38" i="2803"/>
  <c r="H37" i="2803"/>
  <c r="H36" i="2803"/>
  <c r="H35" i="2803"/>
  <c r="H34" i="2803"/>
  <c r="H22" i="2803"/>
  <c r="H33" i="2803"/>
  <c r="H21" i="2803"/>
  <c r="H32" i="2803"/>
  <c r="H8" i="2803"/>
  <c r="H31" i="2803"/>
  <c r="H30" i="2803"/>
  <c r="C27" i="2803"/>
  <c r="H12" i="2803"/>
  <c r="H29" i="2803"/>
  <c r="H20" i="2803"/>
  <c r="H16" i="2803"/>
  <c r="C23" i="2803"/>
  <c r="H28" i="2803"/>
  <c r="C22" i="2803"/>
  <c r="H17" i="2803"/>
  <c r="B21" i="2803"/>
  <c r="H27" i="2803"/>
  <c r="H26" i="2803"/>
  <c r="C19" i="2803"/>
  <c r="H19" i="2803"/>
  <c r="C18" i="2803"/>
  <c r="H13" i="2803"/>
  <c r="C17" i="2803"/>
  <c r="H25" i="2803"/>
  <c r="B16" i="2803"/>
  <c r="B20" i="2803" s="1"/>
  <c r="H24" i="2803"/>
  <c r="C15" i="2803"/>
  <c r="H18" i="2803"/>
  <c r="C14" i="2803"/>
  <c r="H23" i="2803"/>
  <c r="C13" i="2803"/>
  <c r="H15" i="2803"/>
  <c r="C12" i="2803"/>
  <c r="H4" i="2803"/>
  <c r="C11" i="2803"/>
  <c r="H14" i="2803"/>
  <c r="C10" i="2803"/>
  <c r="H11" i="2803"/>
  <c r="C9" i="2803"/>
  <c r="H9" i="2803"/>
  <c r="C8" i="2803"/>
  <c r="N7" i="2803"/>
  <c r="H7" i="2803"/>
  <c r="C7" i="2803"/>
  <c r="N6" i="2803"/>
  <c r="H2" i="2803"/>
  <c r="B6" i="2803"/>
  <c r="N5" i="2803"/>
  <c r="H6" i="2803"/>
  <c r="B5" i="2803"/>
  <c r="N4" i="2803"/>
  <c r="H3" i="2803"/>
  <c r="N3" i="2803"/>
  <c r="H10" i="2803"/>
  <c r="N2" i="2803"/>
  <c r="H5" i="2803"/>
  <c r="C16" i="2803" l="1"/>
  <c r="H51" i="2802"/>
  <c r="H50" i="2802"/>
  <c r="H49" i="2802"/>
  <c r="H48" i="2802"/>
  <c r="H47" i="2802"/>
  <c r="H46" i="2802"/>
  <c r="H45" i="2802"/>
  <c r="H44" i="2802"/>
  <c r="H43" i="2802"/>
  <c r="H42" i="2802"/>
  <c r="H41" i="2802"/>
  <c r="H40" i="2802"/>
  <c r="H39" i="2802"/>
  <c r="H38" i="2802"/>
  <c r="H37" i="2802"/>
  <c r="H36" i="2802"/>
  <c r="H35" i="2802"/>
  <c r="H34" i="2802"/>
  <c r="H33" i="2802"/>
  <c r="H32" i="2802"/>
  <c r="H31" i="2802"/>
  <c r="H30" i="2802"/>
  <c r="H29" i="2802"/>
  <c r="H28" i="2802"/>
  <c r="H27" i="2802"/>
  <c r="C27" i="2802"/>
  <c r="H26" i="2802"/>
  <c r="H25" i="2802"/>
  <c r="H24" i="2802"/>
  <c r="H23" i="2802"/>
  <c r="C23" i="2802"/>
  <c r="H22" i="2802"/>
  <c r="C22" i="2802"/>
  <c r="H21" i="2802"/>
  <c r="B21" i="2802"/>
  <c r="H20" i="2802"/>
  <c r="H19" i="2802"/>
  <c r="C19" i="2802"/>
  <c r="H18" i="2802"/>
  <c r="C18" i="2802"/>
  <c r="H17" i="2802"/>
  <c r="C17" i="2802"/>
  <c r="H16" i="2802"/>
  <c r="B16" i="2802"/>
  <c r="B20" i="2802" s="1"/>
  <c r="H15" i="2802"/>
  <c r="C15" i="2802"/>
  <c r="H14" i="2802"/>
  <c r="C14" i="2802"/>
  <c r="H13" i="2802"/>
  <c r="C13" i="2802"/>
  <c r="H12" i="2802"/>
  <c r="C12" i="2802"/>
  <c r="H11" i="2802"/>
  <c r="C11" i="2802"/>
  <c r="H10" i="2802"/>
  <c r="C10" i="2802"/>
  <c r="H9" i="2802"/>
  <c r="C9" i="2802"/>
  <c r="H8" i="2802"/>
  <c r="C8" i="2802"/>
  <c r="N7" i="2802"/>
  <c r="H7" i="2802"/>
  <c r="C7" i="2802"/>
  <c r="N6" i="2802"/>
  <c r="H6" i="2802"/>
  <c r="B6" i="2802"/>
  <c r="N5" i="2802"/>
  <c r="H5" i="2802"/>
  <c r="B5" i="2802"/>
  <c r="N4" i="2802"/>
  <c r="H4" i="2802"/>
  <c r="N3" i="2802"/>
  <c r="H3" i="2802"/>
  <c r="N2" i="2802"/>
  <c r="H2" i="2802"/>
  <c r="C16" i="2802" l="1"/>
  <c r="H51" i="2801" l="1"/>
  <c r="H50" i="2801"/>
  <c r="H49" i="2801"/>
  <c r="H48" i="2801"/>
  <c r="H47" i="2801"/>
  <c r="H46" i="2801"/>
  <c r="H45" i="2801"/>
  <c r="H44" i="2801"/>
  <c r="H43" i="2801"/>
  <c r="H42" i="2801"/>
  <c r="H41" i="2801"/>
  <c r="H40" i="2801"/>
  <c r="H39" i="2801"/>
  <c r="H38" i="2801"/>
  <c r="H37" i="2801"/>
  <c r="H36" i="2801"/>
  <c r="H35" i="2801"/>
  <c r="H34" i="2801"/>
  <c r="H33" i="2801"/>
  <c r="H32" i="2801"/>
  <c r="H19" i="2801"/>
  <c r="H31" i="2801"/>
  <c r="H10" i="2801"/>
  <c r="H30" i="2801"/>
  <c r="H29" i="2801"/>
  <c r="C27" i="2801"/>
  <c r="H13" i="2801"/>
  <c r="H28" i="2801"/>
  <c r="H18" i="2801"/>
  <c r="H17" i="2801"/>
  <c r="C23" i="2801"/>
  <c r="H27" i="2801"/>
  <c r="C22" i="2801"/>
  <c r="H15" i="2801"/>
  <c r="B21" i="2801"/>
  <c r="H26" i="2801"/>
  <c r="H25" i="2801"/>
  <c r="C19" i="2801"/>
  <c r="H24" i="2801"/>
  <c r="C18" i="2801"/>
  <c r="H14" i="2801"/>
  <c r="C17" i="2801"/>
  <c r="H23" i="2801"/>
  <c r="B16" i="2801"/>
  <c r="B20" i="2801" s="1"/>
  <c r="H22" i="2801"/>
  <c r="C15" i="2801"/>
  <c r="H21" i="2801"/>
  <c r="C14" i="2801"/>
  <c r="H16" i="2801"/>
  <c r="C13" i="2801"/>
  <c r="H20" i="2801"/>
  <c r="C12" i="2801"/>
  <c r="H5" i="2801"/>
  <c r="C11" i="2801"/>
  <c r="H12" i="2801"/>
  <c r="C10" i="2801"/>
  <c r="H11" i="2801"/>
  <c r="C9" i="2801"/>
  <c r="H8" i="2801"/>
  <c r="C8" i="2801"/>
  <c r="N7" i="2801"/>
  <c r="H7" i="2801"/>
  <c r="C7" i="2801"/>
  <c r="N6" i="2801"/>
  <c r="H2" i="2801"/>
  <c r="B6" i="2801"/>
  <c r="N5" i="2801"/>
  <c r="H6" i="2801"/>
  <c r="B5" i="2801"/>
  <c r="N4" i="2801"/>
  <c r="H3" i="2801"/>
  <c r="N3" i="2801"/>
  <c r="H9" i="2801"/>
  <c r="N2" i="2801"/>
  <c r="H4" i="2801"/>
  <c r="H51" i="2800"/>
  <c r="H50" i="2800"/>
  <c r="H49" i="2800"/>
  <c r="H48" i="2800"/>
  <c r="H47" i="2800"/>
  <c r="H46" i="2800"/>
  <c r="H45" i="2800"/>
  <c r="H44" i="2800"/>
  <c r="H43" i="2800"/>
  <c r="H42" i="2800"/>
  <c r="H41" i="2800"/>
  <c r="H40" i="2800"/>
  <c r="H39" i="2800"/>
  <c r="H38" i="2800"/>
  <c r="H37" i="2800"/>
  <c r="H36" i="2800"/>
  <c r="H35" i="2800"/>
  <c r="H34" i="2800"/>
  <c r="H33" i="2800"/>
  <c r="H32" i="2800"/>
  <c r="H31" i="2800"/>
  <c r="H30" i="2800"/>
  <c r="H10" i="2800"/>
  <c r="H29" i="2800"/>
  <c r="H28" i="2800"/>
  <c r="C27" i="2800"/>
  <c r="H13" i="2800"/>
  <c r="H27" i="2800"/>
  <c r="H26" i="2800"/>
  <c r="H18" i="2800"/>
  <c r="C23" i="2800"/>
  <c r="H25" i="2800"/>
  <c r="C22" i="2800"/>
  <c r="H17" i="2800"/>
  <c r="B21" i="2800"/>
  <c r="H24" i="2800"/>
  <c r="H23" i="2800"/>
  <c r="C19" i="2800"/>
  <c r="H12" i="2800"/>
  <c r="C18" i="2800"/>
  <c r="H11" i="2800"/>
  <c r="C17" i="2800"/>
  <c r="H22" i="2800"/>
  <c r="B16" i="2800"/>
  <c r="B20" i="2800" s="1"/>
  <c r="H21" i="2800"/>
  <c r="C15" i="2800"/>
  <c r="H16" i="2800"/>
  <c r="C14" i="2800"/>
  <c r="H20" i="2800"/>
  <c r="C13" i="2800"/>
  <c r="H19" i="2800"/>
  <c r="C12" i="2800"/>
  <c r="H3" i="2800"/>
  <c r="C11" i="2800"/>
  <c r="H15" i="2800"/>
  <c r="C10" i="2800"/>
  <c r="H14" i="2800"/>
  <c r="C9" i="2800"/>
  <c r="H9" i="2800"/>
  <c r="C8" i="2800"/>
  <c r="N7" i="2800"/>
  <c r="H7" i="2800"/>
  <c r="C7" i="2800"/>
  <c r="N6" i="2800"/>
  <c r="H2" i="2800"/>
  <c r="B6" i="2800"/>
  <c r="N5" i="2800"/>
  <c r="H8" i="2800"/>
  <c r="B5" i="2800"/>
  <c r="N4" i="2800"/>
  <c r="H4" i="2800"/>
  <c r="N3" i="2800"/>
  <c r="H6" i="2800"/>
  <c r="N2" i="2800"/>
  <c r="H5" i="2800"/>
  <c r="C16" i="2801" l="1"/>
  <c r="C16" i="2800"/>
  <c r="H51" i="2799" l="1"/>
  <c r="H50" i="2799"/>
  <c r="H49" i="2799"/>
  <c r="H48" i="2799"/>
  <c r="H47" i="2799"/>
  <c r="H46" i="2799"/>
  <c r="H45" i="2799"/>
  <c r="H44" i="2799"/>
  <c r="H43" i="2799"/>
  <c r="H42" i="2799"/>
  <c r="H41" i="2799"/>
  <c r="H40" i="2799"/>
  <c r="H39" i="2799"/>
  <c r="H38" i="2799"/>
  <c r="H37" i="2799"/>
  <c r="H36" i="2799"/>
  <c r="H35" i="2799"/>
  <c r="H34" i="2799"/>
  <c r="H33" i="2799"/>
  <c r="H32" i="2799"/>
  <c r="H31" i="2799"/>
  <c r="H30" i="2799"/>
  <c r="H29" i="2799"/>
  <c r="H28" i="2799"/>
  <c r="H27" i="2799"/>
  <c r="C27" i="2799"/>
  <c r="H11" i="2799"/>
  <c r="H26" i="2799"/>
  <c r="H25" i="2799"/>
  <c r="H24" i="2799"/>
  <c r="C23" i="2799"/>
  <c r="H23" i="2799"/>
  <c r="C22" i="2799"/>
  <c r="H22" i="2799"/>
  <c r="B21" i="2799"/>
  <c r="H21" i="2799"/>
  <c r="H20" i="2799"/>
  <c r="C19" i="2799"/>
  <c r="H8" i="2799"/>
  <c r="C18" i="2799"/>
  <c r="H19" i="2799"/>
  <c r="C17" i="2799"/>
  <c r="H18" i="2799"/>
  <c r="C16" i="2799"/>
  <c r="B16" i="2799"/>
  <c r="B20" i="2799" s="1"/>
  <c r="H17" i="2799"/>
  <c r="C15" i="2799"/>
  <c r="H16" i="2799"/>
  <c r="C14" i="2799"/>
  <c r="H15" i="2799"/>
  <c r="C13" i="2799"/>
  <c r="H14" i="2799"/>
  <c r="C12" i="2799"/>
  <c r="H5" i="2799"/>
  <c r="C11" i="2799"/>
  <c r="H13" i="2799"/>
  <c r="C10" i="2799"/>
  <c r="H12" i="2799"/>
  <c r="C9" i="2799"/>
  <c r="H10" i="2799"/>
  <c r="C8" i="2799"/>
  <c r="N7" i="2799"/>
  <c r="H6" i="2799"/>
  <c r="C7" i="2799"/>
  <c r="N6" i="2799"/>
  <c r="H3" i="2799"/>
  <c r="B6" i="2799"/>
  <c r="N5" i="2799"/>
  <c r="H7" i="2799"/>
  <c r="B5" i="2799"/>
  <c r="N4" i="2799"/>
  <c r="H9" i="2799"/>
  <c r="N3" i="2799"/>
  <c r="H4" i="2799"/>
  <c r="N2" i="2799"/>
  <c r="H2" i="2799"/>
  <c r="H51" i="2798" l="1"/>
  <c r="H50" i="2798"/>
  <c r="H49" i="2798"/>
  <c r="H48" i="2798"/>
  <c r="H47" i="2798"/>
  <c r="H46" i="2798"/>
  <c r="H45" i="2798"/>
  <c r="H44" i="2798"/>
  <c r="H43" i="2798"/>
  <c r="H42" i="2798"/>
  <c r="H41" i="2798"/>
  <c r="H40" i="2798"/>
  <c r="H39" i="2798"/>
  <c r="H38" i="2798"/>
  <c r="H37" i="2798"/>
  <c r="H36" i="2798"/>
  <c r="H35" i="2798"/>
  <c r="H34" i="2798"/>
  <c r="H33" i="2798"/>
  <c r="H32" i="2798"/>
  <c r="H31" i="2798"/>
  <c r="H30" i="2798"/>
  <c r="H14" i="2798"/>
  <c r="H29" i="2798"/>
  <c r="H28" i="2798"/>
  <c r="C27" i="2798"/>
  <c r="H13" i="2798"/>
  <c r="H27" i="2798"/>
  <c r="H26" i="2798"/>
  <c r="H11" i="2798"/>
  <c r="C23" i="2798"/>
  <c r="H25" i="2798"/>
  <c r="C22" i="2798"/>
  <c r="H12" i="2798"/>
  <c r="B21" i="2798"/>
  <c r="H24" i="2798"/>
  <c r="H23" i="2798"/>
  <c r="C19" i="2798"/>
  <c r="H22" i="2798"/>
  <c r="C18" i="2798"/>
  <c r="H15" i="2798"/>
  <c r="C17" i="2798"/>
  <c r="H21" i="2798"/>
  <c r="B16" i="2798"/>
  <c r="B20" i="2798" s="1"/>
  <c r="H20" i="2798"/>
  <c r="C15" i="2798"/>
  <c r="H19" i="2798"/>
  <c r="C14" i="2798"/>
  <c r="H18" i="2798"/>
  <c r="C13" i="2798"/>
  <c r="H17" i="2798"/>
  <c r="C12" i="2798"/>
  <c r="H4" i="2798"/>
  <c r="C11" i="2798"/>
  <c r="H16" i="2798"/>
  <c r="C10" i="2798"/>
  <c r="H10" i="2798"/>
  <c r="C9" i="2798"/>
  <c r="H9" i="2798"/>
  <c r="C8" i="2798"/>
  <c r="N7" i="2798"/>
  <c r="H7" i="2798"/>
  <c r="C7" i="2798"/>
  <c r="N6" i="2798"/>
  <c r="H3" i="2798"/>
  <c r="B6" i="2798"/>
  <c r="N5" i="2798"/>
  <c r="H6" i="2798"/>
  <c r="B5" i="2798"/>
  <c r="N4" i="2798"/>
  <c r="H2" i="2798"/>
  <c r="N3" i="2798"/>
  <c r="H8" i="2798"/>
  <c r="N2" i="2798"/>
  <c r="H5" i="2798"/>
  <c r="H51" i="2797"/>
  <c r="H50" i="2797"/>
  <c r="H49" i="2797"/>
  <c r="H48" i="2797"/>
  <c r="H47" i="2797"/>
  <c r="H46" i="2797"/>
  <c r="H45" i="2797"/>
  <c r="H44" i="2797"/>
  <c r="H43" i="2797"/>
  <c r="H42" i="2797"/>
  <c r="H41" i="2797"/>
  <c r="H40" i="2797"/>
  <c r="H39" i="2797"/>
  <c r="H38" i="2797"/>
  <c r="H37" i="2797"/>
  <c r="H36" i="2797"/>
  <c r="H35" i="2797"/>
  <c r="H34" i="2797"/>
  <c r="H33" i="2797"/>
  <c r="H20" i="2797"/>
  <c r="H14" i="2797"/>
  <c r="H32" i="2797"/>
  <c r="H9" i="2797"/>
  <c r="H24" i="2797"/>
  <c r="H23" i="2797"/>
  <c r="C27" i="2797"/>
  <c r="H12" i="2797"/>
  <c r="H19" i="2797"/>
  <c r="H22" i="2797"/>
  <c r="H13" i="2797"/>
  <c r="C23" i="2797"/>
  <c r="H31" i="2797"/>
  <c r="C22" i="2797"/>
  <c r="H15" i="2797"/>
  <c r="B21" i="2797"/>
  <c r="H21" i="2797"/>
  <c r="H30" i="2797"/>
  <c r="C19" i="2797"/>
  <c r="H18" i="2797"/>
  <c r="C18" i="2797"/>
  <c r="H17" i="2797"/>
  <c r="C17" i="2797"/>
  <c r="H29" i="2797"/>
  <c r="B16" i="2797"/>
  <c r="B20" i="2797" s="1"/>
  <c r="H28" i="2797"/>
  <c r="C15" i="2797"/>
  <c r="H27" i="2797"/>
  <c r="C14" i="2797"/>
  <c r="H26" i="2797"/>
  <c r="C13" i="2797"/>
  <c r="H25" i="2797"/>
  <c r="C12" i="2797"/>
  <c r="H5" i="2797"/>
  <c r="C11" i="2797"/>
  <c r="H16" i="2797"/>
  <c r="C10" i="2797"/>
  <c r="H8" i="2797"/>
  <c r="C9" i="2797"/>
  <c r="H10" i="2797"/>
  <c r="C8" i="2797"/>
  <c r="N7" i="2797"/>
  <c r="H6" i="2797"/>
  <c r="C7" i="2797"/>
  <c r="N6" i="2797"/>
  <c r="H2" i="2797"/>
  <c r="B6" i="2797"/>
  <c r="N5" i="2797"/>
  <c r="H7" i="2797"/>
  <c r="B5" i="2797"/>
  <c r="N4" i="2797"/>
  <c r="H3" i="2797"/>
  <c r="N3" i="2797"/>
  <c r="H11" i="2797"/>
  <c r="N2" i="2797"/>
  <c r="H4" i="2797"/>
  <c r="C16" i="2797" l="1"/>
  <c r="C16" i="2798"/>
  <c r="H51" i="2796"/>
  <c r="H50" i="2796"/>
  <c r="H49" i="2796"/>
  <c r="H48" i="2796"/>
  <c r="H47" i="2796"/>
  <c r="H46" i="2796"/>
  <c r="H45" i="2796"/>
  <c r="H44" i="2796"/>
  <c r="H43" i="2796"/>
  <c r="H42" i="2796"/>
  <c r="H41" i="2796"/>
  <c r="H40" i="2796"/>
  <c r="H39" i="2796"/>
  <c r="H38" i="2796"/>
  <c r="H37" i="2796"/>
  <c r="H36" i="2796"/>
  <c r="H35" i="2796"/>
  <c r="H34" i="2796"/>
  <c r="H33" i="2796"/>
  <c r="H32" i="2796"/>
  <c r="H31" i="2796"/>
  <c r="H30" i="2796"/>
  <c r="H29" i="2796"/>
  <c r="H28" i="2796"/>
  <c r="H27" i="2796"/>
  <c r="C27" i="2796"/>
  <c r="H26" i="2796"/>
  <c r="H25" i="2796"/>
  <c r="H24" i="2796"/>
  <c r="H23" i="2796"/>
  <c r="C23" i="2796"/>
  <c r="H22" i="2796"/>
  <c r="C22" i="2796"/>
  <c r="H21" i="2796"/>
  <c r="B21" i="2796"/>
  <c r="H20" i="2796"/>
  <c r="H19" i="2796"/>
  <c r="C19" i="2796"/>
  <c r="H18" i="2796"/>
  <c r="C18" i="2796"/>
  <c r="H17" i="2796"/>
  <c r="C17" i="2796"/>
  <c r="H16" i="2796"/>
  <c r="C16" i="2796"/>
  <c r="B16" i="2796"/>
  <c r="B20" i="2796" s="1"/>
  <c r="H15" i="2796"/>
  <c r="C15" i="2796"/>
  <c r="H14" i="2796"/>
  <c r="C14" i="2796"/>
  <c r="H13" i="2796"/>
  <c r="C13" i="2796"/>
  <c r="H12" i="2796"/>
  <c r="C12" i="2796"/>
  <c r="H11" i="2796"/>
  <c r="C11" i="2796"/>
  <c r="H10" i="2796"/>
  <c r="C10" i="2796"/>
  <c r="H9" i="2796"/>
  <c r="C9" i="2796"/>
  <c r="H8" i="2796"/>
  <c r="C8" i="2796"/>
  <c r="N7" i="2796"/>
  <c r="H7" i="2796"/>
  <c r="C7" i="2796"/>
  <c r="N6" i="2796"/>
  <c r="H6" i="2796"/>
  <c r="B6" i="2796"/>
  <c r="N5" i="2796"/>
  <c r="H5" i="2796"/>
  <c r="B5" i="2796"/>
  <c r="N4" i="2796"/>
  <c r="H4" i="2796"/>
  <c r="N3" i="2796"/>
  <c r="H3" i="2796"/>
  <c r="N2" i="2796"/>
  <c r="H2" i="2796"/>
  <c r="H51" i="2795"/>
  <c r="H50" i="2795"/>
  <c r="H49" i="2795"/>
  <c r="H48" i="2795"/>
  <c r="H47" i="2795"/>
  <c r="H46" i="2795"/>
  <c r="H45" i="2795"/>
  <c r="H44" i="2795"/>
  <c r="H43" i="2795"/>
  <c r="H42" i="2795"/>
  <c r="H41" i="2795"/>
  <c r="H40" i="2795"/>
  <c r="H39" i="2795"/>
  <c r="H38" i="2795"/>
  <c r="H37" i="2795"/>
  <c r="H36" i="2795"/>
  <c r="H35" i="2795"/>
  <c r="H34" i="2795"/>
  <c r="H33" i="2795"/>
  <c r="H32" i="2795"/>
  <c r="H31" i="2795"/>
  <c r="H30" i="2795"/>
  <c r="H29" i="2795"/>
  <c r="H28" i="2795"/>
  <c r="H27" i="2795"/>
  <c r="C27" i="2795"/>
  <c r="H26" i="2795"/>
  <c r="H25" i="2795"/>
  <c r="H24" i="2795"/>
  <c r="H23" i="2795"/>
  <c r="C23" i="2795"/>
  <c r="H22" i="2795"/>
  <c r="C22" i="2795"/>
  <c r="H21" i="2795"/>
  <c r="B21" i="2795"/>
  <c r="H20" i="2795"/>
  <c r="H19" i="2795"/>
  <c r="C19" i="2795"/>
  <c r="H18" i="2795"/>
  <c r="C18" i="2795"/>
  <c r="H17" i="2795"/>
  <c r="C17" i="2795"/>
  <c r="H16" i="2795"/>
  <c r="B16" i="2795"/>
  <c r="B20" i="2795" s="1"/>
  <c r="H15" i="2795"/>
  <c r="C15" i="2795"/>
  <c r="H14" i="2795"/>
  <c r="C14" i="2795"/>
  <c r="H13" i="2795"/>
  <c r="C13" i="2795"/>
  <c r="H12" i="2795"/>
  <c r="C12" i="2795"/>
  <c r="H11" i="2795"/>
  <c r="C11" i="2795"/>
  <c r="H10" i="2795"/>
  <c r="C10" i="2795"/>
  <c r="H9" i="2795"/>
  <c r="C9" i="2795"/>
  <c r="H8" i="2795"/>
  <c r="C8" i="2795"/>
  <c r="N7" i="2795"/>
  <c r="H7" i="2795"/>
  <c r="C7" i="2795"/>
  <c r="N6" i="2795"/>
  <c r="H6" i="2795"/>
  <c r="B6" i="2795"/>
  <c r="N5" i="2795"/>
  <c r="H5" i="2795"/>
  <c r="B5" i="2795"/>
  <c r="N4" i="2795"/>
  <c r="H4" i="2795"/>
  <c r="N3" i="2795"/>
  <c r="H3" i="2795"/>
  <c r="N2" i="2795"/>
  <c r="H2" i="2795"/>
  <c r="H51" i="2794"/>
  <c r="H50" i="2794"/>
  <c r="H49" i="2794"/>
  <c r="H48" i="2794"/>
  <c r="H47" i="2794"/>
  <c r="H26" i="2794"/>
  <c r="H46" i="2794"/>
  <c r="H45" i="2794"/>
  <c r="H44" i="2794"/>
  <c r="H43" i="2794"/>
  <c r="H42" i="2794"/>
  <c r="H41" i="2794"/>
  <c r="H40" i="2794"/>
  <c r="H39" i="2794"/>
  <c r="H38" i="2794"/>
  <c r="H37" i="2794"/>
  <c r="H36" i="2794"/>
  <c r="H35" i="2794"/>
  <c r="H34" i="2794"/>
  <c r="H20" i="2794"/>
  <c r="H19" i="2794"/>
  <c r="H25" i="2794"/>
  <c r="H9" i="2794"/>
  <c r="H33" i="2794"/>
  <c r="H24" i="2794"/>
  <c r="C27" i="2794"/>
  <c r="H13" i="2794"/>
  <c r="H23" i="2794"/>
  <c r="H32" i="2794"/>
  <c r="H14" i="2794"/>
  <c r="C23" i="2794"/>
  <c r="H31" i="2794"/>
  <c r="C22" i="2794"/>
  <c r="H17" i="2794"/>
  <c r="B21" i="2794"/>
  <c r="H30" i="2794"/>
  <c r="H29" i="2794"/>
  <c r="C19" i="2794"/>
  <c r="H22" i="2794"/>
  <c r="C18" i="2794"/>
  <c r="H21" i="2794"/>
  <c r="C17" i="2794"/>
  <c r="H16" i="2794"/>
  <c r="B16" i="2794"/>
  <c r="B20" i="2794" s="1"/>
  <c r="H28" i="2794"/>
  <c r="C15" i="2794"/>
  <c r="H18" i="2794"/>
  <c r="C14" i="2794"/>
  <c r="H27" i="2794"/>
  <c r="C13" i="2794"/>
  <c r="H15" i="2794"/>
  <c r="C12" i="2794"/>
  <c r="H4" i="2794"/>
  <c r="C11" i="2794"/>
  <c r="H12" i="2794"/>
  <c r="C10" i="2794"/>
  <c r="H11" i="2794"/>
  <c r="C9" i="2794"/>
  <c r="H8" i="2794"/>
  <c r="C8" i="2794"/>
  <c r="N7" i="2794"/>
  <c r="H6" i="2794"/>
  <c r="C7" i="2794"/>
  <c r="N6" i="2794"/>
  <c r="H2" i="2794"/>
  <c r="B6" i="2794"/>
  <c r="N5" i="2794"/>
  <c r="H7" i="2794"/>
  <c r="B5" i="2794"/>
  <c r="N4" i="2794"/>
  <c r="H3" i="2794"/>
  <c r="N3" i="2794"/>
  <c r="H10" i="2794"/>
  <c r="N2" i="2794"/>
  <c r="H5" i="2794"/>
  <c r="C16" i="2795" l="1"/>
  <c r="C16" i="2794"/>
  <c r="C27" i="2228"/>
  <c r="C18" i="2228" l="1"/>
  <c r="C17" i="2228"/>
  <c r="C13" i="2228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2" i="2416"/>
  <c r="D17" i="2416"/>
  <c r="D27" i="2416"/>
  <c r="D9" i="2416"/>
  <c r="D29" i="2416"/>
  <c r="D25" i="2416"/>
  <c r="D12" i="2416"/>
  <c r="D20" i="2416"/>
  <c r="D23" i="2416"/>
  <c r="D13" i="2416"/>
  <c r="D34" i="2416"/>
  <c r="D16" i="2416"/>
  <c r="D26" i="2416"/>
  <c r="D33" i="2416"/>
  <c r="D18" i="2416"/>
  <c r="D15" i="2416"/>
  <c r="D24" i="2416"/>
  <c r="D32" i="2416"/>
  <c r="D21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B20" i="2228" s="1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<sst xmlns="http://schemas.openxmlformats.org/spreadsheetml/2006/main" count="2386" uniqueCount="235">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</sst>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だいち!$K$2:$K$134</c:f>
              <c:numCache>
                <c:formatCode>\+0;\-0;\±0</c:formatCode>
                <c:ptCount val="13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0-4E4D-A4A4-980C38A9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1056.25</c:v>
                </c:pt>
                <c:pt idx="1">
                  <c:v>1588.5245901639344</c:v>
                </c:pt>
                <c:pt idx="2">
                  <c:v>984.82142857142856</c:v>
                </c:pt>
                <c:pt idx="3">
                  <c:v>1451.5151515151515</c:v>
                </c:pt>
                <c:pt idx="4">
                  <c:v>209.7560975609756</c:v>
                </c:pt>
                <c:pt idx="5">
                  <c:v>262.29508196721309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95-42D4-9577-1657C9065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DA-44CC-B1F0-A067C427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4-44FE-A7F6-A4E3D8DC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0-4A2B-94B2-0827448B3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26-467E-88FA-F91FAFB1A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りくと!$K$2:$K$94</c:f>
              <c:numCache>
                <c:formatCode>\+0;\-0;\±0</c:formatCode>
                <c:ptCount val="9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56-4F06-8FC4-4EFE7BE81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-251.11111111111111</c:v>
                </c:pt>
                <c:pt idx="1">
                  <c:v>-1694.1860465116279</c:v>
                </c:pt>
                <c:pt idx="2">
                  <c:v>2049.397590361446</c:v>
                </c:pt>
                <c:pt idx="3">
                  <c:v>-2080.821917808219</c:v>
                </c:pt>
                <c:pt idx="4">
                  <c:v>-2305</c:v>
                </c:pt>
                <c:pt idx="5">
                  <c:v>-2502.1739130434785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3-4730-AF5C-7E212EB8A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7-48D2-9199-588CE6346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44-4DDE-B774-3ECC2A84E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F-4C75-A252-A08957C8E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7-415B-AF3E-61C5E00FB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9C-478D-8E44-326A3997C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-2529.5454545454545</c:v>
                </c:pt>
                <c:pt idx="1">
                  <c:v>-2953.6585365853657</c:v>
                </c:pt>
                <c:pt idx="2">
                  <c:v>-902.85714285714289</c:v>
                </c:pt>
                <c:pt idx="3">
                  <c:v>2966.6666666666665</c:v>
                </c:pt>
                <c:pt idx="4">
                  <c:v>-2053.8461538461538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6-404D-9AFC-A2272F2D8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7-4086-8E82-5DE30C13D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3-41D4-A3ED-54B48038A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E-42B0-9A61-472EBFE3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6-4DA0-BA69-DFF934CCC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B6-497A-A3FC-6C5684DB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-2968.0851063829787</c:v>
                </c:pt>
                <c:pt idx="1">
                  <c:v>-1748.936170212766</c:v>
                </c:pt>
                <c:pt idx="2">
                  <c:v>-3447.7272727272725</c:v>
                </c:pt>
                <c:pt idx="3">
                  <c:v>-305</c:v>
                </c:pt>
                <c:pt idx="4">
                  <c:v>-872.22222222222217</c:v>
                </c:pt>
                <c:pt idx="5">
                  <c:v>4588.4615384615381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5-41A6-8C18-838E3661E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B2-4C40-A2CD-50F4B21E2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6-4EDE-AE9C-60D7C1E34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BB-4A0A-BA59-3BDB5C78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-685.71428571428567</c:v>
                </c:pt>
                <c:pt idx="1">
                  <c:v>6071.4285714285716</c:v>
                </c:pt>
                <c:pt idx="2">
                  <c:v>540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E-4F7C-8BF3-CB90379E5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E2253E-B8AF-4835-A79B-64C301A33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EB2A5A-BD5E-4188-BD4F-683D638E8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6DF906-EBBB-4CF8-A675-9C423E1088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40C2FC-210A-4B8A-AD2C-FD9E5D815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5F5F61-34D1-4839-984D-7D62989F7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4662C2-C9E4-4981-A489-297EF7D23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AE8800-631E-4E93-991C-3FFC7BBE2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8FF2B5-6609-4D04-B0A7-50DA40EF0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4870CD-B269-427D-812C-9C76A8A4B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FFC509-E329-4108-971D-BF1821BCF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125733-B790-4E48-A2D1-780D0422C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52D043-CC5D-4595-96A3-015922722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54F2DA-F4BE-4764-B31F-28B828ED76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DA56C5-835B-41D4-B23E-3B25E5B959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B63A74-EEAB-4EB3-A3D6-B13C0A30E3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EF9415-93C4-4B37-8076-FB1E966CA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E5170F-ACA2-4169-9CDF-EE9D87EA4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E47A45-0CC1-4D01-92B6-AB8DDDC35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A8CA81-D9A6-4113-9812-8B7ED4889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4F74F7-0299-4EC0-8F19-2BB2F2266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0C7ADB-24D4-423E-80A0-E9348029E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6F730B-DB41-4354-8E1D-0C9898BD16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CC41E2-952A-4DED-8942-E3ACA43706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799918-7B9A-47AC-ACF8-E1A3C85E1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I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77" customWidth="1"/>
    <col min="34" max="34" width="10.75" style="1" customWidth="1"/>
    <col min="35" max="35" width="10.75" style="99" customWidth="1"/>
    <col min="36" max="16384" width="9" style="4"/>
  </cols>
  <sheetData>
    <row r="1" spans="1:35" x14ac:dyDescent="0.4">
      <c r="A1" s="14"/>
      <c r="B1" s="82" t="s">
        <v>6</v>
      </c>
      <c r="C1" s="83"/>
      <c r="D1" s="82" t="s">
        <v>7</v>
      </c>
      <c r="E1" s="83"/>
      <c r="F1" s="82" t="s">
        <v>16</v>
      </c>
      <c r="G1" s="83"/>
      <c r="H1" s="82" t="s">
        <v>15</v>
      </c>
      <c r="I1" s="83"/>
      <c r="J1" s="82" t="s">
        <v>17</v>
      </c>
      <c r="K1" s="83"/>
      <c r="L1" s="82" t="s">
        <v>18</v>
      </c>
      <c r="M1" s="83"/>
      <c r="N1" s="82" t="s">
        <v>5</v>
      </c>
      <c r="O1" s="83"/>
      <c r="P1" s="82" t="s">
        <v>19</v>
      </c>
      <c r="Q1" s="83"/>
      <c r="R1" s="82" t="s">
        <v>20</v>
      </c>
      <c r="S1" s="83"/>
      <c r="T1" s="82" t="s">
        <v>200</v>
      </c>
      <c r="U1" s="83"/>
      <c r="V1" s="82" t="s">
        <v>131</v>
      </c>
      <c r="W1" s="83"/>
      <c r="X1" s="82" t="s">
        <v>126</v>
      </c>
      <c r="Y1" s="83"/>
      <c r="Z1" s="82" t="s">
        <v>134</v>
      </c>
      <c r="AA1" s="83"/>
      <c r="AB1" s="82" t="s">
        <v>135</v>
      </c>
      <c r="AC1" s="83"/>
      <c r="AD1" s="82" t="s">
        <v>188</v>
      </c>
      <c r="AE1" s="83"/>
      <c r="AF1" s="82" t="s">
        <v>211</v>
      </c>
      <c r="AG1" s="83"/>
      <c r="AH1" s="82" t="s">
        <v>212</v>
      </c>
      <c r="AI1" s="83"/>
    </row>
    <row r="2" spans="1:35" x14ac:dyDescent="0.4">
      <c r="A2" s="8">
        <v>1</v>
      </c>
      <c r="B2" s="9" t="s">
        <v>137</v>
      </c>
      <c r="C2" s="11">
        <v>652.20000000000016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11418.285714285714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203</v>
      </c>
      <c r="Y2" s="15">
        <v>0.47916666666666669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202</v>
      </c>
      <c r="AE2" s="15">
        <v>0.46666666666666667</v>
      </c>
      <c r="AF2" s="10" t="s">
        <v>137</v>
      </c>
      <c r="AG2" s="76">
        <v>10</v>
      </c>
      <c r="AH2" s="10" t="s">
        <v>160</v>
      </c>
      <c r="AI2" s="98">
        <v>5</v>
      </c>
    </row>
    <row r="3" spans="1:35" x14ac:dyDescent="0.4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0.35276967930029157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203</v>
      </c>
      <c r="Q3" s="2">
        <v>-6914.2857142857147</v>
      </c>
      <c r="R3" s="1" t="s">
        <v>202</v>
      </c>
      <c r="S3" s="18">
        <v>0</v>
      </c>
      <c r="T3" s="1" t="s">
        <v>137</v>
      </c>
      <c r="U3" s="18">
        <v>0.22727272727272727</v>
      </c>
      <c r="V3" s="1" t="s">
        <v>202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0.47272727272727272</v>
      </c>
      <c r="AD3" s="1" t="s">
        <v>145</v>
      </c>
      <c r="AE3" s="16">
        <v>0.46153846153846156</v>
      </c>
      <c r="AF3" s="1" t="s">
        <v>141</v>
      </c>
      <c r="AG3" s="77">
        <v>10</v>
      </c>
      <c r="AH3" s="1" t="s">
        <v>141</v>
      </c>
      <c r="AI3" s="99">
        <v>4</v>
      </c>
    </row>
    <row r="4" spans="1:35" x14ac:dyDescent="0.4">
      <c r="A4" s="7">
        <v>3</v>
      </c>
      <c r="B4" s="6" t="s">
        <v>149</v>
      </c>
      <c r="C4" s="3">
        <v>166.69999999999996</v>
      </c>
      <c r="D4" s="1" t="s">
        <v>137</v>
      </c>
      <c r="E4" s="3">
        <v>4.9409090909090922</v>
      </c>
      <c r="F4" s="1" t="s">
        <v>137</v>
      </c>
      <c r="G4" s="5">
        <v>1.8409090909090908</v>
      </c>
      <c r="H4" s="1" t="s">
        <v>137</v>
      </c>
      <c r="I4" s="18">
        <v>0.40909090909090912</v>
      </c>
      <c r="J4" s="1" t="s">
        <v>137</v>
      </c>
      <c r="K4" s="16">
        <v>0.35073068893528186</v>
      </c>
      <c r="L4" s="1" t="s">
        <v>203</v>
      </c>
      <c r="M4" s="16">
        <v>0.14583333333333334</v>
      </c>
      <c r="N4" s="1" t="s">
        <v>156</v>
      </c>
      <c r="O4" s="2">
        <v>10857.142857142857</v>
      </c>
      <c r="P4" s="1" t="s">
        <v>138</v>
      </c>
      <c r="Q4" s="2">
        <v>-8240</v>
      </c>
      <c r="R4" s="1" t="s">
        <v>142</v>
      </c>
      <c r="S4" s="18">
        <v>0.125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0.29139072847682118</v>
      </c>
      <c r="Z4" s="1" t="s">
        <v>137</v>
      </c>
      <c r="AA4" s="16">
        <v>0.6785714285714286</v>
      </c>
      <c r="AB4" s="1" t="s">
        <v>203</v>
      </c>
      <c r="AC4" s="16">
        <v>0.43478260869565216</v>
      </c>
      <c r="AD4" s="1" t="s">
        <v>156</v>
      </c>
      <c r="AE4" s="16">
        <v>0.45454545454545453</v>
      </c>
      <c r="AF4" s="1" t="s">
        <v>149</v>
      </c>
      <c r="AG4" s="77">
        <v>9</v>
      </c>
      <c r="AH4" s="1" t="s">
        <v>149</v>
      </c>
      <c r="AI4" s="99">
        <v>3</v>
      </c>
    </row>
    <row r="5" spans="1:35" x14ac:dyDescent="0.4">
      <c r="A5" s="7">
        <v>4</v>
      </c>
      <c r="B5" s="6" t="s">
        <v>202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142</v>
      </c>
      <c r="M5" s="16">
        <v>0.15451895043731778</v>
      </c>
      <c r="N5" s="1" t="s">
        <v>160</v>
      </c>
      <c r="O5" s="2">
        <v>10654.954954954956</v>
      </c>
      <c r="P5" s="1" t="s">
        <v>148</v>
      </c>
      <c r="Q5" s="2">
        <v>-8327.9411764705874</v>
      </c>
      <c r="R5" s="1" t="s">
        <v>137</v>
      </c>
      <c r="S5" s="18">
        <v>0.12878787878787878</v>
      </c>
      <c r="T5" s="1" t="s">
        <v>202</v>
      </c>
      <c r="U5" s="18">
        <v>0.2</v>
      </c>
      <c r="V5" s="1" t="s">
        <v>160</v>
      </c>
      <c r="W5" s="16">
        <v>0.29682997118155618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160</v>
      </c>
      <c r="AC5" s="16">
        <v>0.39473684210526316</v>
      </c>
      <c r="AD5" s="1" t="s">
        <v>137</v>
      </c>
      <c r="AE5" s="16">
        <v>0.40840840840840842</v>
      </c>
      <c r="AF5" s="1" t="s">
        <v>160</v>
      </c>
      <c r="AG5" s="77">
        <v>7</v>
      </c>
      <c r="AH5" s="1" t="s">
        <v>137</v>
      </c>
      <c r="AI5" s="99">
        <v>1</v>
      </c>
    </row>
    <row r="6" spans="1:35" x14ac:dyDescent="0.4">
      <c r="A6" s="7">
        <v>5</v>
      </c>
      <c r="B6" s="6" t="s">
        <v>156</v>
      </c>
      <c r="C6" s="3">
        <v>80.800000000000011</v>
      </c>
      <c r="D6" s="1" t="s">
        <v>203</v>
      </c>
      <c r="E6" s="3">
        <v>3.8857142857142861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137</v>
      </c>
      <c r="M6" s="16">
        <v>0.15657620041753653</v>
      </c>
      <c r="N6" s="1" t="s">
        <v>203</v>
      </c>
      <c r="O6" s="2">
        <v>10354.545454545454</v>
      </c>
      <c r="P6" s="1" t="s">
        <v>142</v>
      </c>
      <c r="Q6" s="2">
        <v>-8954.7169811320746</v>
      </c>
      <c r="R6" s="1" t="s">
        <v>203</v>
      </c>
      <c r="S6" s="18">
        <v>0.14285714285714285</v>
      </c>
      <c r="T6" s="1" t="s">
        <v>149</v>
      </c>
      <c r="U6" s="18">
        <v>0.19607843137254902</v>
      </c>
      <c r="V6" s="1" t="s">
        <v>137</v>
      </c>
      <c r="W6" s="16">
        <v>0.28282828282828282</v>
      </c>
      <c r="X6" s="1" t="s">
        <v>137</v>
      </c>
      <c r="Y6" s="16">
        <v>0.22222222222222221</v>
      </c>
      <c r="Z6" s="1" t="s">
        <v>202</v>
      </c>
      <c r="AA6" s="16">
        <v>0.6</v>
      </c>
      <c r="AB6" s="1" t="s">
        <v>148</v>
      </c>
      <c r="AC6" s="16">
        <v>0.38636363636363635</v>
      </c>
      <c r="AD6" s="1" t="s">
        <v>149</v>
      </c>
      <c r="AE6" s="16">
        <v>0.39860139860139859</v>
      </c>
      <c r="AF6" s="1" t="s">
        <v>142</v>
      </c>
      <c r="AG6" s="77">
        <v>6</v>
      </c>
      <c r="AH6" s="1" t="s">
        <v>142</v>
      </c>
      <c r="AI6" s="99">
        <v>1</v>
      </c>
    </row>
    <row r="7" spans="1:35" x14ac:dyDescent="0.4">
      <c r="A7" s="7">
        <v>6</v>
      </c>
      <c r="B7" s="6" t="s">
        <v>203</v>
      </c>
      <c r="C7" s="3">
        <v>27.200000000000003</v>
      </c>
      <c r="D7" s="1" t="s">
        <v>149</v>
      </c>
      <c r="E7" s="3">
        <v>3.2686274509803912</v>
      </c>
      <c r="F7" s="1" t="s">
        <v>141</v>
      </c>
      <c r="G7" s="5">
        <v>2.1195652173913042</v>
      </c>
      <c r="H7" s="1" t="s">
        <v>141</v>
      </c>
      <c r="I7" s="18">
        <v>0.29347826086956524</v>
      </c>
      <c r="J7" s="1" t="s">
        <v>160</v>
      </c>
      <c r="K7" s="16">
        <v>0.2890625</v>
      </c>
      <c r="L7" s="1" t="s">
        <v>149</v>
      </c>
      <c r="M7" s="16">
        <v>0.1641025641025641</v>
      </c>
      <c r="N7" s="1" t="s">
        <v>137</v>
      </c>
      <c r="O7" s="2">
        <v>10080.357142857143</v>
      </c>
      <c r="P7" s="1" t="s">
        <v>137</v>
      </c>
      <c r="Q7" s="2">
        <v>-9681.3333333333339</v>
      </c>
      <c r="R7" s="1" t="s">
        <v>149</v>
      </c>
      <c r="S7" s="18">
        <v>0.15686274509803921</v>
      </c>
      <c r="T7" s="1" t="s">
        <v>142</v>
      </c>
      <c r="U7" s="18">
        <v>0.1875</v>
      </c>
      <c r="V7" s="1" t="s">
        <v>141</v>
      </c>
      <c r="W7" s="16">
        <v>0.28205128205128205</v>
      </c>
      <c r="X7" s="1" t="s">
        <v>160</v>
      </c>
      <c r="Y7" s="16">
        <v>0.21902017291066284</v>
      </c>
      <c r="Z7" s="1" t="s">
        <v>160</v>
      </c>
      <c r="AA7" s="16">
        <v>0.58252427184466016</v>
      </c>
      <c r="AB7" s="1" t="s">
        <v>149</v>
      </c>
      <c r="AC7" s="16">
        <v>0.38333333333333336</v>
      </c>
      <c r="AD7" s="1" t="s">
        <v>148</v>
      </c>
      <c r="AE7" s="16">
        <v>0.36842105263157893</v>
      </c>
      <c r="AF7" s="1" t="s">
        <v>148</v>
      </c>
      <c r="AG7" s="77">
        <v>5</v>
      </c>
      <c r="AH7" s="1" t="s">
        <v>148</v>
      </c>
      <c r="AI7" s="99">
        <v>1</v>
      </c>
    </row>
    <row r="8" spans="1:35" x14ac:dyDescent="0.4">
      <c r="A8" s="7">
        <v>7</v>
      </c>
      <c r="B8" s="6" t="s">
        <v>139</v>
      </c>
      <c r="C8" s="3">
        <v>-24.5</v>
      </c>
      <c r="D8" s="1" t="s">
        <v>141</v>
      </c>
      <c r="E8" s="3">
        <v>-3.9728260869565211</v>
      </c>
      <c r="F8" s="1" t="s">
        <v>148</v>
      </c>
      <c r="G8" s="5">
        <v>2.1363636363636362</v>
      </c>
      <c r="H8" s="1" t="s">
        <v>160</v>
      </c>
      <c r="I8" s="18">
        <v>0.23529411764705882</v>
      </c>
      <c r="J8" s="1" t="s">
        <v>139</v>
      </c>
      <c r="K8" s="16">
        <v>0.2857142857142857</v>
      </c>
      <c r="L8" s="1" t="s">
        <v>141</v>
      </c>
      <c r="M8" s="16">
        <v>0.19565217391304349</v>
      </c>
      <c r="N8" s="1" t="s">
        <v>148</v>
      </c>
      <c r="O8" s="2">
        <v>9896.6292134831456</v>
      </c>
      <c r="P8" s="1" t="s">
        <v>149</v>
      </c>
      <c r="Q8" s="2">
        <v>-9809.375</v>
      </c>
      <c r="R8" s="1" t="s">
        <v>148</v>
      </c>
      <c r="S8" s="18">
        <v>0.18181818181818182</v>
      </c>
      <c r="T8" s="1" t="s">
        <v>148</v>
      </c>
      <c r="U8" s="18">
        <v>0.15909090909090909</v>
      </c>
      <c r="V8" s="1" t="s">
        <v>145</v>
      </c>
      <c r="W8" s="16">
        <v>0.25806451612903225</v>
      </c>
      <c r="X8" s="1" t="s">
        <v>141</v>
      </c>
      <c r="Y8" s="16">
        <v>0.1888111888111888</v>
      </c>
      <c r="Z8" s="1" t="s">
        <v>141</v>
      </c>
      <c r="AA8" s="16">
        <v>0.57024793388429751</v>
      </c>
      <c r="AB8" s="1" t="s">
        <v>142</v>
      </c>
      <c r="AC8" s="16">
        <v>0.38235294117647056</v>
      </c>
      <c r="AD8" s="1" t="s">
        <v>142</v>
      </c>
      <c r="AE8" s="16">
        <v>0.36</v>
      </c>
      <c r="AF8" s="1" t="s">
        <v>202</v>
      </c>
      <c r="AG8" s="77">
        <v>5</v>
      </c>
      <c r="AH8" s="1" t="s">
        <v>138</v>
      </c>
      <c r="AI8" s="99">
        <v>0</v>
      </c>
    </row>
    <row r="9" spans="1:35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-4.8659090909090912</v>
      </c>
      <c r="F9" s="1" t="s">
        <v>203</v>
      </c>
      <c r="G9" s="5">
        <v>2.1428571428571428</v>
      </c>
      <c r="H9" s="1" t="s">
        <v>148</v>
      </c>
      <c r="I9" s="18">
        <v>0.22727272727272727</v>
      </c>
      <c r="J9" s="1" t="s">
        <v>145</v>
      </c>
      <c r="K9" s="16">
        <v>0.27027027027027029</v>
      </c>
      <c r="L9" s="1" t="s">
        <v>148</v>
      </c>
      <c r="M9" s="16">
        <v>0.20118343195266272</v>
      </c>
      <c r="N9" s="1" t="s">
        <v>142</v>
      </c>
      <c r="O9" s="2">
        <v>9616.5289256198339</v>
      </c>
      <c r="P9" s="1" t="s">
        <v>156</v>
      </c>
      <c r="Q9" s="2">
        <v>-9927.2727272727279</v>
      </c>
      <c r="R9" s="1" t="s">
        <v>141</v>
      </c>
      <c r="S9" s="18">
        <v>0.22826086956521738</v>
      </c>
      <c r="T9" s="1" t="s">
        <v>203</v>
      </c>
      <c r="U9" s="18">
        <v>0.14285714285714285</v>
      </c>
      <c r="V9" s="1" t="s">
        <v>148</v>
      </c>
      <c r="W9" s="16">
        <v>0.2251655629139073</v>
      </c>
      <c r="X9" s="1" t="s">
        <v>145</v>
      </c>
      <c r="Y9" s="16">
        <v>0.16129032258064516</v>
      </c>
      <c r="Z9" s="1" t="s">
        <v>148</v>
      </c>
      <c r="AA9" s="16">
        <v>0.35294117647058826</v>
      </c>
      <c r="AB9" s="1" t="s">
        <v>141</v>
      </c>
      <c r="AC9" s="16">
        <v>0.37037037037037035</v>
      </c>
      <c r="AD9" s="1" t="s">
        <v>160</v>
      </c>
      <c r="AE9" s="16">
        <v>0.32786885245901637</v>
      </c>
      <c r="AF9" s="1" t="s">
        <v>203</v>
      </c>
      <c r="AG9" s="77">
        <v>5</v>
      </c>
      <c r="AH9" s="1" t="s">
        <v>139</v>
      </c>
      <c r="AI9" s="99">
        <v>0</v>
      </c>
    </row>
    <row r="10" spans="1:35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-8.0392156862745079</v>
      </c>
      <c r="F10" s="1" t="s">
        <v>145</v>
      </c>
      <c r="G10" s="5">
        <v>2.2000000000000002</v>
      </c>
      <c r="H10" s="1" t="s">
        <v>145</v>
      </c>
      <c r="I10" s="18">
        <v>0.2</v>
      </c>
      <c r="J10" s="1" t="s">
        <v>148</v>
      </c>
      <c r="K10" s="16">
        <v>0.26331360946745563</v>
      </c>
      <c r="L10" s="1" t="s">
        <v>145</v>
      </c>
      <c r="M10" s="16">
        <v>0.21621621621621623</v>
      </c>
      <c r="N10" s="1" t="s">
        <v>202</v>
      </c>
      <c r="O10" s="2">
        <v>9227.7777777777774</v>
      </c>
      <c r="P10" s="1" t="s">
        <v>160</v>
      </c>
      <c r="Q10" s="2">
        <v>-10040</v>
      </c>
      <c r="R10" s="1" t="s">
        <v>160</v>
      </c>
      <c r="S10" s="18">
        <v>0.23529411764705882</v>
      </c>
      <c r="T10" s="1" t="s">
        <v>141</v>
      </c>
      <c r="U10" s="18">
        <v>0.14130434782608695</v>
      </c>
      <c r="V10" s="1" t="s">
        <v>142</v>
      </c>
      <c r="W10" s="16">
        <v>0.20952380952380953</v>
      </c>
      <c r="X10" s="1" t="s">
        <v>202</v>
      </c>
      <c r="Y10" s="16">
        <v>0.13043478260869565</v>
      </c>
      <c r="Z10" s="1" t="s">
        <v>203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0.30733944954128439</v>
      </c>
      <c r="AF10" s="1" t="s">
        <v>145</v>
      </c>
      <c r="AG10" s="77">
        <v>3</v>
      </c>
      <c r="AH10" s="1" t="s">
        <v>145</v>
      </c>
      <c r="AI10" s="99">
        <v>0</v>
      </c>
    </row>
    <row r="11" spans="1:35" x14ac:dyDescent="0.4">
      <c r="A11" s="7">
        <v>10</v>
      </c>
      <c r="B11" s="6" t="s">
        <v>148</v>
      </c>
      <c r="C11" s="3">
        <v>-214.1</v>
      </c>
      <c r="D11" s="1" t="s">
        <v>139</v>
      </c>
      <c r="E11" s="3">
        <v>-12.25</v>
      </c>
      <c r="F11" s="1" t="s">
        <v>160</v>
      </c>
      <c r="G11" s="5">
        <v>2.215686274509804</v>
      </c>
      <c r="H11" s="1" t="s">
        <v>203</v>
      </c>
      <c r="I11" s="18">
        <v>0.14285714285714285</v>
      </c>
      <c r="J11" s="1" t="s">
        <v>141</v>
      </c>
      <c r="K11" s="16">
        <v>0.25362318840579712</v>
      </c>
      <c r="L11" s="1" t="s">
        <v>160</v>
      </c>
      <c r="M11" s="16">
        <v>0.234375</v>
      </c>
      <c r="N11" s="1" t="s">
        <v>139</v>
      </c>
      <c r="O11" s="2">
        <v>8000</v>
      </c>
      <c r="P11" s="1" t="s">
        <v>141</v>
      </c>
      <c r="Q11" s="2">
        <v>-10125.185185185184</v>
      </c>
      <c r="R11" s="1" t="s">
        <v>156</v>
      </c>
      <c r="S11" s="18">
        <v>0.25</v>
      </c>
      <c r="T11" s="1" t="s">
        <v>160</v>
      </c>
      <c r="U11" s="18">
        <v>9.8039215686274508E-2</v>
      </c>
      <c r="V11" s="1" t="s">
        <v>203</v>
      </c>
      <c r="W11" s="16">
        <v>6.25E-2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203</v>
      </c>
      <c r="AE11" s="16">
        <v>0.18181818181818182</v>
      </c>
      <c r="AF11" s="1" t="s">
        <v>138</v>
      </c>
      <c r="AG11" s="77">
        <v>0</v>
      </c>
      <c r="AH11" s="1" t="s">
        <v>156</v>
      </c>
      <c r="AI11" s="99">
        <v>0</v>
      </c>
    </row>
    <row r="12" spans="1:35" x14ac:dyDescent="0.4">
      <c r="A12" s="7">
        <v>11</v>
      </c>
      <c r="B12" s="6" t="s">
        <v>141</v>
      </c>
      <c r="C12" s="3">
        <v>-365.49999999999994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138</v>
      </c>
      <c r="I12" s="18">
        <v>0</v>
      </c>
      <c r="J12" s="1" t="s">
        <v>203</v>
      </c>
      <c r="K12" s="16">
        <v>0.22916666666666666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77">
        <v>0</v>
      </c>
      <c r="AH12" s="1" t="s">
        <v>202</v>
      </c>
      <c r="AI12" s="99">
        <v>0</v>
      </c>
    </row>
    <row r="13" spans="1:35" x14ac:dyDescent="0.4">
      <c r="A13" s="7">
        <v>12</v>
      </c>
      <c r="B13" s="6" t="s">
        <v>160</v>
      </c>
      <c r="C13" s="3">
        <v>-409.99999999999994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7">
        <v>0</v>
      </c>
      <c r="AH13" s="1" t="s">
        <v>203</v>
      </c>
      <c r="AI13" s="99">
        <v>0</v>
      </c>
    </row>
  </sheetData>
  <sortState ref="AH2:AI29">
    <sortCondition descending="1" ref="AI1"/>
  </sortState>
  <mergeCells count="17">
    <mergeCell ref="AH1:AI1"/>
    <mergeCell ref="AF1:AG1"/>
    <mergeCell ref="AD1:AE1"/>
    <mergeCell ref="AB1:AC1"/>
    <mergeCell ref="D1:E1"/>
    <mergeCell ref="R1:S1"/>
    <mergeCell ref="V1:W1"/>
    <mergeCell ref="X1:Y1"/>
    <mergeCell ref="Z1:AA1"/>
    <mergeCell ref="T1:U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583</v>
      </c>
    </row>
    <row r="2" spans="1:7" x14ac:dyDescent="0.4">
      <c r="A2" s="67" t="s">
        <v>73</v>
      </c>
      <c r="B2" s="63" t="s">
        <v>27</v>
      </c>
      <c r="C2" s="49">
        <v>522</v>
      </c>
      <c r="D2" s="24">
        <f>IF(G$1=0,0,C2/G$1)</f>
        <v>0.89536878216123494</v>
      </c>
    </row>
    <row r="3" spans="1:7" x14ac:dyDescent="0.4">
      <c r="A3" s="68" t="s">
        <v>71</v>
      </c>
      <c r="B3" s="64" t="s">
        <v>25</v>
      </c>
      <c r="C3" s="50">
        <v>437</v>
      </c>
      <c r="D3" s="27">
        <f>IF(G$1=0,0,C3/G$1)</f>
        <v>0.74957118353344765</v>
      </c>
    </row>
    <row r="4" spans="1:7" x14ac:dyDescent="0.4">
      <c r="A4" s="68" t="s">
        <v>78</v>
      </c>
      <c r="B4" s="64" t="s">
        <v>31</v>
      </c>
      <c r="C4" s="50">
        <v>358</v>
      </c>
      <c r="D4" s="27">
        <f>IF(G$1=0,0,C4/G$1)</f>
        <v>0.614065180102916</v>
      </c>
    </row>
    <row r="5" spans="1:7" x14ac:dyDescent="0.4">
      <c r="A5" s="68" t="s">
        <v>208</v>
      </c>
      <c r="B5" s="64" t="s">
        <v>23</v>
      </c>
      <c r="C5" s="50">
        <v>314</v>
      </c>
      <c r="D5" s="27">
        <f>IF(G$1=0,0,C5/G$1)</f>
        <v>0.53859348198970836</v>
      </c>
    </row>
    <row r="6" spans="1:7" x14ac:dyDescent="0.4">
      <c r="A6" s="68" t="s">
        <v>72</v>
      </c>
      <c r="B6" s="64" t="s">
        <v>26</v>
      </c>
      <c r="C6" s="50">
        <v>166</v>
      </c>
      <c r="D6" s="27">
        <f>IF(G$1=0,0,C6/G$1)</f>
        <v>0.28473413379073759</v>
      </c>
    </row>
    <row r="7" spans="1:7" x14ac:dyDescent="0.4">
      <c r="A7" s="68" t="s">
        <v>74</v>
      </c>
      <c r="B7" s="64" t="s">
        <v>204</v>
      </c>
      <c r="C7" s="50">
        <v>162</v>
      </c>
      <c r="D7" s="27">
        <f>IF(G$1=0,0,C7/G$1)</f>
        <v>0.27787307032590053</v>
      </c>
    </row>
    <row r="8" spans="1:7" x14ac:dyDescent="0.4">
      <c r="A8" s="68" t="s">
        <v>75</v>
      </c>
      <c r="B8" s="64" t="s">
        <v>28</v>
      </c>
      <c r="C8" s="50">
        <v>88</v>
      </c>
      <c r="D8" s="27">
        <f>IF(G$1=0,0,C8/G$1)</f>
        <v>0.15094339622641509</v>
      </c>
    </row>
    <row r="9" spans="1:7" x14ac:dyDescent="0.4">
      <c r="A9" s="68" t="s">
        <v>96</v>
      </c>
      <c r="B9" s="64" t="s">
        <v>49</v>
      </c>
      <c r="C9" s="50">
        <v>83</v>
      </c>
      <c r="D9" s="27">
        <f>IF(G$1=0,0,C9/G$1)</f>
        <v>0.14236706689536879</v>
      </c>
    </row>
    <row r="10" spans="1:7" x14ac:dyDescent="0.4">
      <c r="A10" s="68" t="s">
        <v>209</v>
      </c>
      <c r="B10" s="64" t="s">
        <v>24</v>
      </c>
      <c r="C10" s="50">
        <v>67</v>
      </c>
      <c r="D10" s="27">
        <f>IF(G$1=0,0,C10/G$1)</f>
        <v>0.11492281303602059</v>
      </c>
    </row>
    <row r="11" spans="1:7" x14ac:dyDescent="0.4">
      <c r="A11" s="68" t="s">
        <v>76</v>
      </c>
      <c r="B11" s="64" t="s">
        <v>29</v>
      </c>
      <c r="C11" s="50">
        <v>60</v>
      </c>
      <c r="D11" s="27">
        <f>IF(G$1=0,0,C11/G$1)</f>
        <v>0.10291595197255575</v>
      </c>
    </row>
    <row r="12" spans="1:7" x14ac:dyDescent="0.4">
      <c r="A12" s="68" t="s">
        <v>93</v>
      </c>
      <c r="B12" s="64" t="s">
        <v>46</v>
      </c>
      <c r="C12" s="50">
        <v>44</v>
      </c>
      <c r="D12" s="27">
        <f>IF(G$1=0,0,C12/G$1)</f>
        <v>7.5471698113207544E-2</v>
      </c>
    </row>
    <row r="13" spans="1:7" x14ac:dyDescent="0.4">
      <c r="A13" s="68" t="s">
        <v>90</v>
      </c>
      <c r="B13" s="64" t="s">
        <v>43</v>
      </c>
      <c r="C13" s="50">
        <v>30</v>
      </c>
      <c r="D13" s="27">
        <f>IF(G$1=0,0,C13/G$1)</f>
        <v>5.1457975986277875E-2</v>
      </c>
    </row>
    <row r="14" spans="1:7" x14ac:dyDescent="0.4">
      <c r="A14" s="68" t="s">
        <v>77</v>
      </c>
      <c r="B14" s="64" t="s">
        <v>30</v>
      </c>
      <c r="C14" s="50">
        <v>27</v>
      </c>
      <c r="D14" s="27">
        <f>IF(G$1=0,0,C14/G$1)</f>
        <v>4.6312178387650088E-2</v>
      </c>
    </row>
    <row r="15" spans="1:7" x14ac:dyDescent="0.4">
      <c r="A15" s="68" t="s">
        <v>84</v>
      </c>
      <c r="B15" s="64" t="s">
        <v>37</v>
      </c>
      <c r="C15" s="50">
        <v>17</v>
      </c>
      <c r="D15" s="27">
        <f>IF(G$1=0,0,C15/G$1)</f>
        <v>2.9159519725557463E-2</v>
      </c>
    </row>
    <row r="16" spans="1:7" x14ac:dyDescent="0.4">
      <c r="A16" s="68" t="s">
        <v>88</v>
      </c>
      <c r="B16" s="64" t="s">
        <v>41</v>
      </c>
      <c r="C16" s="50">
        <v>15</v>
      </c>
      <c r="D16" s="27">
        <f>IF(G$1=0,0,C16/G$1)</f>
        <v>2.5728987993138937E-2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1.8867924528301886E-2</v>
      </c>
    </row>
    <row r="18" spans="1:4" x14ac:dyDescent="0.4">
      <c r="A18" s="68" t="s">
        <v>85</v>
      </c>
      <c r="B18" s="64" t="s">
        <v>38</v>
      </c>
      <c r="C18" s="50">
        <v>9</v>
      </c>
      <c r="D18" s="27">
        <f>IF(G$1=0,0,C18/G$1)</f>
        <v>1.5437392795883362E-2</v>
      </c>
    </row>
    <row r="19" spans="1:4" x14ac:dyDescent="0.4">
      <c r="A19" s="68" t="s">
        <v>79</v>
      </c>
      <c r="B19" s="64" t="s">
        <v>32</v>
      </c>
      <c r="C19" s="50">
        <v>6</v>
      </c>
      <c r="D19" s="27">
        <f>IF(G$1=0,0,C19/G$1)</f>
        <v>1.0291595197255575E-2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6.8610634648370496E-3</v>
      </c>
    </row>
    <row r="21" spans="1:4" x14ac:dyDescent="0.4">
      <c r="A21" s="68" t="s">
        <v>81</v>
      </c>
      <c r="B21" s="64" t="s">
        <v>34</v>
      </c>
      <c r="C21" s="50">
        <v>4</v>
      </c>
      <c r="D21" s="27">
        <f>IF(G$1=0,0,C21/G$1)</f>
        <v>6.8610634648370496E-3</v>
      </c>
    </row>
    <row r="22" spans="1:4" x14ac:dyDescent="0.4">
      <c r="A22" s="68" t="s">
        <v>99</v>
      </c>
      <c r="B22" s="64" t="s">
        <v>52</v>
      </c>
      <c r="C22" s="50">
        <v>4</v>
      </c>
      <c r="D22" s="27">
        <f>IF(G$1=0,0,C22/G$1)</f>
        <v>6.8610634648370496E-3</v>
      </c>
    </row>
    <row r="23" spans="1:4" x14ac:dyDescent="0.4">
      <c r="A23" s="68" t="s">
        <v>91</v>
      </c>
      <c r="B23" s="64" t="s">
        <v>44</v>
      </c>
      <c r="C23" s="50">
        <v>3</v>
      </c>
      <c r="D23" s="27">
        <f>IF(G$1=0,0,C23/G$1)</f>
        <v>5.1457975986277877E-3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5.1457975986277877E-3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3.4305317324185248E-3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1.7152658662092624E-3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1.7152658662092624E-3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1.7152658662092624E-3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1.7152658662092624E-3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1.7152658662092624E-3</v>
      </c>
    </row>
    <row r="31" spans="1:4" x14ac:dyDescent="0.4">
      <c r="A31" s="68" t="s">
        <v>113</v>
      </c>
      <c r="B31" s="64" t="s">
        <v>206</v>
      </c>
      <c r="C31" s="50">
        <v>1</v>
      </c>
      <c r="D31" s="27">
        <f>IF(G$1=0,0,C31/G$1)</f>
        <v>1.7152658662092624E-3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205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207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/>
      <c r="C1" s="91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">
      <c r="A2" s="57" t="s">
        <v>9</v>
      </c>
      <c r="B2" s="84">
        <v>0</v>
      </c>
      <c r="C2" s="85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2">
        <v>0</v>
      </c>
      <c r="C3" s="93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190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4">
        <v>0</v>
      </c>
      <c r="C4" s="95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191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4">
        <f>IF(B$2=0,0,B$4/B$2)</f>
        <v>0</v>
      </c>
      <c r="C5" s="95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192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6">
        <f>IF(B$2=0,0,(B$7*1+B$8*2+B$9*3)/B$2)</f>
        <v>0</v>
      </c>
      <c r="C6" s="97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193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4">
        <v>0</v>
      </c>
      <c r="C24" s="85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6">
        <v>0</v>
      </c>
      <c r="C25" s="87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210</v>
      </c>
      <c r="B26" s="88">
        <v>0</v>
      </c>
      <c r="C26" s="89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1DB23-4640-4873-AF00-1670925DFA03}">
  <sheetPr codeName="Sheet4"/>
  <dimension ref="A1:P13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178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132</v>
      </c>
      <c r="C2" s="85"/>
      <c r="E2" s="67" t="s">
        <v>73</v>
      </c>
      <c r="F2" s="63" t="s">
        <v>27</v>
      </c>
      <c r="G2" s="49">
        <v>167</v>
      </c>
      <c r="H2" s="24">
        <f>IF(B$25=0,0,G2/B$25)</f>
        <v>0.94350282485875703</v>
      </c>
      <c r="J2" s="23">
        <v>0</v>
      </c>
      <c r="K2" s="25">
        <v>0</v>
      </c>
      <c r="M2" s="23" t="s">
        <v>189</v>
      </c>
      <c r="N2" s="44">
        <f t="shared" ref="N2:N7" si="0">IF(P2=0,0,O2/P2)</f>
        <v>1056.25</v>
      </c>
      <c r="O2" s="41">
        <v>135200</v>
      </c>
      <c r="P2" s="39">
        <v>128</v>
      </c>
    </row>
    <row r="3" spans="1:16" x14ac:dyDescent="0.4">
      <c r="A3" s="58" t="s">
        <v>8</v>
      </c>
      <c r="B3" s="92">
        <v>958</v>
      </c>
      <c r="C3" s="93"/>
      <c r="E3" s="68" t="s">
        <v>71</v>
      </c>
      <c r="F3" s="64" t="s">
        <v>25</v>
      </c>
      <c r="G3" s="50">
        <v>123</v>
      </c>
      <c r="H3" s="27">
        <f>IF(B$25=0,0,G3/B$25)</f>
        <v>0.69491525423728817</v>
      </c>
      <c r="J3" s="26">
        <v>1</v>
      </c>
      <c r="K3" s="28">
        <v>15</v>
      </c>
      <c r="M3" s="26" t="s">
        <v>190</v>
      </c>
      <c r="N3" s="45">
        <f t="shared" si="0"/>
        <v>1588.5245901639344</v>
      </c>
      <c r="O3" s="42">
        <v>193800</v>
      </c>
      <c r="P3" s="37">
        <v>122</v>
      </c>
    </row>
    <row r="4" spans="1:16" x14ac:dyDescent="0.4">
      <c r="A4" s="58" t="s">
        <v>6</v>
      </c>
      <c r="B4" s="94">
        <v>652.20000000000016</v>
      </c>
      <c r="C4" s="95"/>
      <c r="E4" s="68" t="s">
        <v>78</v>
      </c>
      <c r="F4" s="64" t="s">
        <v>31</v>
      </c>
      <c r="G4" s="50">
        <v>99</v>
      </c>
      <c r="H4" s="27">
        <f>IF(B$25=0,0,G4/B$25)</f>
        <v>0.55932203389830504</v>
      </c>
      <c r="J4" s="26">
        <v>2</v>
      </c>
      <c r="K4" s="28">
        <v>14</v>
      </c>
      <c r="M4" s="26" t="s">
        <v>191</v>
      </c>
      <c r="N4" s="45">
        <f t="shared" si="0"/>
        <v>984.82142857142856</v>
      </c>
      <c r="O4" s="42">
        <v>110300</v>
      </c>
      <c r="P4" s="37">
        <v>112</v>
      </c>
    </row>
    <row r="5" spans="1:16" x14ac:dyDescent="0.4">
      <c r="A5" s="58" t="s">
        <v>7</v>
      </c>
      <c r="B5" s="94">
        <f>IF(B$2=0,0,B$4/B$2)</f>
        <v>4.9409090909090922</v>
      </c>
      <c r="C5" s="95"/>
      <c r="E5" s="68" t="s">
        <v>69</v>
      </c>
      <c r="F5" s="64" t="s">
        <v>23</v>
      </c>
      <c r="G5" s="50">
        <v>91</v>
      </c>
      <c r="H5" s="27">
        <f>IF(B$25=0,0,G5/B$25)</f>
        <v>0.51412429378531077</v>
      </c>
      <c r="J5" s="26">
        <v>3</v>
      </c>
      <c r="K5" s="28">
        <v>29.1</v>
      </c>
      <c r="M5" s="26" t="s">
        <v>192</v>
      </c>
      <c r="N5" s="45">
        <f t="shared" si="0"/>
        <v>1451.5151515151515</v>
      </c>
      <c r="O5" s="42">
        <v>143700</v>
      </c>
      <c r="P5" s="37">
        <v>99</v>
      </c>
    </row>
    <row r="6" spans="1:16" x14ac:dyDescent="0.4">
      <c r="A6" s="58" t="s">
        <v>1</v>
      </c>
      <c r="B6" s="96">
        <f>IF(B$2=0,0,(B$7*1+B$8*2+B$9*3)/B$2)</f>
        <v>1.8409090909090908</v>
      </c>
      <c r="C6" s="97"/>
      <c r="E6" s="68" t="s">
        <v>74</v>
      </c>
      <c r="F6" s="64" t="s">
        <v>12</v>
      </c>
      <c r="G6" s="50">
        <v>48</v>
      </c>
      <c r="H6" s="27">
        <f>IF(B$25=0,0,G6/B$25)</f>
        <v>0.2711864406779661</v>
      </c>
      <c r="J6" s="26">
        <v>4</v>
      </c>
      <c r="K6" s="28">
        <v>114.30000000000001</v>
      </c>
      <c r="M6" s="26" t="s">
        <v>193</v>
      </c>
      <c r="N6" s="45">
        <f t="shared" si="0"/>
        <v>209.7560975609756</v>
      </c>
      <c r="O6" s="42">
        <v>17200</v>
      </c>
      <c r="P6" s="37">
        <v>82</v>
      </c>
    </row>
    <row r="7" spans="1:16" x14ac:dyDescent="0.4">
      <c r="A7" s="58" t="s">
        <v>2</v>
      </c>
      <c r="B7" s="50">
        <v>54</v>
      </c>
      <c r="C7" s="27">
        <f>IF(B$2=0,0,B7/B$2)</f>
        <v>0.40909090909090912</v>
      </c>
      <c r="E7" s="68" t="s">
        <v>72</v>
      </c>
      <c r="F7" s="64" t="s">
        <v>26</v>
      </c>
      <c r="G7" s="50">
        <v>44</v>
      </c>
      <c r="H7" s="27">
        <f>IF(B$25=0,0,G7/B$25)</f>
        <v>0.24858757062146894</v>
      </c>
      <c r="J7" s="26">
        <v>5</v>
      </c>
      <c r="K7" s="28">
        <v>145.80000000000001</v>
      </c>
      <c r="M7" s="31" t="s">
        <v>194</v>
      </c>
      <c r="N7" s="46">
        <f t="shared" si="0"/>
        <v>262.29508196721309</v>
      </c>
      <c r="O7" s="43">
        <v>16000</v>
      </c>
      <c r="P7" s="38">
        <v>61</v>
      </c>
    </row>
    <row r="8" spans="1:16" x14ac:dyDescent="0.4">
      <c r="A8" s="58" t="s">
        <v>3</v>
      </c>
      <c r="B8" s="50">
        <v>45</v>
      </c>
      <c r="C8" s="27">
        <f t="shared" ref="C8:C9" si="1">IF(B$2=0,0,B8/B$2)</f>
        <v>0.34090909090909088</v>
      </c>
      <c r="E8" s="68" t="s">
        <v>75</v>
      </c>
      <c r="F8" s="64" t="s">
        <v>28</v>
      </c>
      <c r="G8" s="50">
        <v>30</v>
      </c>
      <c r="H8" s="27">
        <f>IF(B$25=0,0,G8/B$25)</f>
        <v>0.16949152542372881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33</v>
      </c>
      <c r="C9" s="29">
        <f t="shared" si="1"/>
        <v>0.25</v>
      </c>
      <c r="E9" s="68" t="s">
        <v>96</v>
      </c>
      <c r="F9" s="64" t="s">
        <v>49</v>
      </c>
      <c r="G9" s="50">
        <v>28</v>
      </c>
      <c r="H9" s="27">
        <f>IF(B$25=0,0,G9/B$25)</f>
        <v>0.15819209039548024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0.12878787878787878</v>
      </c>
      <c r="E10" s="68" t="s">
        <v>70</v>
      </c>
      <c r="F10" s="64" t="s">
        <v>24</v>
      </c>
      <c r="G10" s="50">
        <v>16</v>
      </c>
      <c r="H10" s="27">
        <f>IF(B$25=0,0,G10/B$25)</f>
        <v>9.03954802259887E-2</v>
      </c>
      <c r="J10" s="26">
        <v>8</v>
      </c>
      <c r="K10" s="28">
        <v>55.700000000000017</v>
      </c>
    </row>
    <row r="11" spans="1:16" x14ac:dyDescent="0.4">
      <c r="A11" s="60" t="s">
        <v>199</v>
      </c>
      <c r="B11" s="52">
        <v>30</v>
      </c>
      <c r="C11" s="32">
        <f>IF(B$2=0,0,B11/B$2)</f>
        <v>0.22727272727272727</v>
      </c>
      <c r="E11" s="68" t="s">
        <v>76</v>
      </c>
      <c r="F11" s="64" t="s">
        <v>29</v>
      </c>
      <c r="G11" s="50">
        <v>16</v>
      </c>
      <c r="H11" s="27">
        <f>IF(B$25=0,0,G11/B$25)</f>
        <v>9.03954802259887E-2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140</v>
      </c>
      <c r="C12" s="35">
        <f>IF(B$24=0,0,B12/B$24)</f>
        <v>0.28282828282828282</v>
      </c>
      <c r="E12" s="68" t="s">
        <v>77</v>
      </c>
      <c r="F12" s="64" t="s">
        <v>30</v>
      </c>
      <c r="G12" s="50">
        <v>12</v>
      </c>
      <c r="H12" s="27">
        <f>IF(B$25=0,0,G12/B$25)</f>
        <v>6.7796610169491525E-2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110</v>
      </c>
      <c r="C13" s="27">
        <f>IF(B$24=0,0,B13/B$24)</f>
        <v>0.22222222222222221</v>
      </c>
      <c r="E13" s="68" t="s">
        <v>93</v>
      </c>
      <c r="F13" s="64" t="s">
        <v>46</v>
      </c>
      <c r="G13" s="50">
        <v>10</v>
      </c>
      <c r="H13" s="27">
        <f>IF(B$25=0,0,G13/B$25)</f>
        <v>5.6497175141242938E-2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95</v>
      </c>
      <c r="C14" s="24">
        <f>IF(B$12=0,0,B14/B$12)</f>
        <v>0.6785714285714286</v>
      </c>
      <c r="E14" s="68" t="s">
        <v>90</v>
      </c>
      <c r="F14" s="64" t="s">
        <v>43</v>
      </c>
      <c r="G14" s="50">
        <v>7</v>
      </c>
      <c r="H14" s="27">
        <f>IF(B$25=0,0,G14/B$25)</f>
        <v>3.954802259887006E-2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52</v>
      </c>
      <c r="C15" s="24">
        <f>IF(B$13=0,0,B15/B$13)</f>
        <v>0.47272727272727272</v>
      </c>
      <c r="E15" s="68" t="s">
        <v>79</v>
      </c>
      <c r="F15" s="64" t="s">
        <v>32</v>
      </c>
      <c r="G15" s="50">
        <v>3</v>
      </c>
      <c r="H15" s="27">
        <f>IF(B$25=0,0,G15/B$25)</f>
        <v>1.6949152542372881E-2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336</v>
      </c>
      <c r="C16" s="24">
        <f>IF(B$3=0,0,B16/B$3)</f>
        <v>0.35073068893528186</v>
      </c>
      <c r="E16" s="68" t="s">
        <v>83</v>
      </c>
      <c r="F16" s="64" t="s">
        <v>36</v>
      </c>
      <c r="G16" s="50">
        <v>3</v>
      </c>
      <c r="H16" s="27">
        <f>IF(B$25=0,0,G16/B$25)</f>
        <v>1.6949152542372881E-2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210</v>
      </c>
      <c r="C17" s="27">
        <f>IF(B$3=0,0,B17/B$3)</f>
        <v>0.21920668058455114</v>
      </c>
      <c r="E17" s="68" t="s">
        <v>88</v>
      </c>
      <c r="F17" s="64" t="s">
        <v>41</v>
      </c>
      <c r="G17" s="50">
        <v>3</v>
      </c>
      <c r="H17" s="27">
        <f>IF(B$25=0,0,G17/B$25)</f>
        <v>1.6949152542372881E-2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126</v>
      </c>
      <c r="C18" s="27">
        <f>IF(B$3=0,0,B18/B$3)</f>
        <v>0.13152400835073069</v>
      </c>
      <c r="E18" s="68" t="s">
        <v>81</v>
      </c>
      <c r="F18" s="64" t="s">
        <v>34</v>
      </c>
      <c r="G18" s="50">
        <v>2</v>
      </c>
      <c r="H18" s="27">
        <f>IF(B$25=0,0,G18/B$25)</f>
        <v>1.1299435028248588E-2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150</v>
      </c>
      <c r="C19" s="27">
        <f>IF(B$3=0,0,B19/B$3)</f>
        <v>0.15657620041753653</v>
      </c>
      <c r="E19" s="68" t="s">
        <v>98</v>
      </c>
      <c r="F19" s="64" t="s">
        <v>51</v>
      </c>
      <c r="G19" s="50">
        <v>2</v>
      </c>
      <c r="H19" s="27">
        <f>IF(B$25=0,0,G19/B$25)</f>
        <v>1.1299435028248588E-2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10080.357142857143</v>
      </c>
      <c r="C20" s="30">
        <v>3387000</v>
      </c>
      <c r="E20" s="68" t="s">
        <v>99</v>
      </c>
      <c r="F20" s="64" t="s">
        <v>52</v>
      </c>
      <c r="G20" s="50">
        <v>2</v>
      </c>
      <c r="H20" s="27">
        <f>IF(B$25=0,0,G20/B$25)</f>
        <v>1.1299435028248588E-2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-9681.3333333333339</v>
      </c>
      <c r="C21" s="48">
        <v>-1452200</v>
      </c>
      <c r="E21" s="68" t="s">
        <v>84</v>
      </c>
      <c r="F21" s="64" t="s">
        <v>37</v>
      </c>
      <c r="G21" s="50">
        <v>1</v>
      </c>
      <c r="H21" s="27">
        <f>IF(B$25=0,0,G21/B$25)</f>
        <v>5.6497175141242938E-3</v>
      </c>
      <c r="J21" s="26">
        <v>19</v>
      </c>
      <c r="K21" s="28">
        <v>42.600000000000016</v>
      </c>
    </row>
    <row r="22" spans="1:11" x14ac:dyDescent="0.4">
      <c r="A22" s="57" t="s">
        <v>186</v>
      </c>
      <c r="B22" s="49">
        <v>333</v>
      </c>
      <c r="C22" s="24">
        <f>IF(B$3=0,0,B22/B$3)</f>
        <v>0.3475991649269311</v>
      </c>
      <c r="E22" s="68" t="s">
        <v>85</v>
      </c>
      <c r="F22" s="64" t="s">
        <v>38</v>
      </c>
      <c r="G22" s="50">
        <v>1</v>
      </c>
      <c r="H22" s="27">
        <f>IF(B$25=0,0,G22/B$25)</f>
        <v>5.6497175141242938E-3</v>
      </c>
      <c r="J22" s="26">
        <v>20</v>
      </c>
      <c r="K22" s="28">
        <v>68.800000000000011</v>
      </c>
    </row>
    <row r="23" spans="1:11" x14ac:dyDescent="0.4">
      <c r="A23" s="60" t="s">
        <v>187</v>
      </c>
      <c r="B23" s="52">
        <v>136</v>
      </c>
      <c r="C23" s="32">
        <f>IF(B$22=0,0,B23/B$22)</f>
        <v>0.40840840840840842</v>
      </c>
      <c r="E23" s="68" t="s">
        <v>92</v>
      </c>
      <c r="F23" s="64" t="s">
        <v>45</v>
      </c>
      <c r="G23" s="50">
        <v>1</v>
      </c>
      <c r="H23" s="27">
        <f>IF(B$25=0,0,G23/B$25)</f>
        <v>5.6497175141242938E-3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4">
        <v>495</v>
      </c>
      <c r="C24" s="85"/>
      <c r="E24" s="68" t="s">
        <v>94</v>
      </c>
      <c r="F24" s="64" t="s">
        <v>47</v>
      </c>
      <c r="G24" s="50">
        <v>1</v>
      </c>
      <c r="H24" s="27">
        <f>IF(B$25=0,0,G24/B$25)</f>
        <v>5.6497175141242938E-3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6">
        <v>177</v>
      </c>
      <c r="C25" s="87"/>
      <c r="E25" s="68" t="s">
        <v>97</v>
      </c>
      <c r="F25" s="64" t="s">
        <v>50</v>
      </c>
      <c r="G25" s="50">
        <v>1</v>
      </c>
      <c r="H25" s="27">
        <f>IF(B$25=0,0,G25/B$25)</f>
        <v>5.6497175141242938E-3</v>
      </c>
      <c r="J25" s="26">
        <v>23</v>
      </c>
      <c r="K25" s="28">
        <v>124.50000000000001</v>
      </c>
    </row>
    <row r="26" spans="1:11" x14ac:dyDescent="0.4">
      <c r="A26" s="78" t="s">
        <v>210</v>
      </c>
      <c r="B26" s="88">
        <v>10</v>
      </c>
      <c r="C26" s="89"/>
      <c r="E26" s="68" t="s">
        <v>113</v>
      </c>
      <c r="F26" s="64" t="s">
        <v>120</v>
      </c>
      <c r="G26" s="50">
        <v>1</v>
      </c>
      <c r="H26" s="27">
        <f>IF(B$25=0,0,G26/B$25)</f>
        <v>5.6497175141242938E-3</v>
      </c>
      <c r="J26" s="26">
        <v>24</v>
      </c>
      <c r="K26" s="28">
        <v>118.00000000000001</v>
      </c>
    </row>
    <row r="27" spans="1:11" x14ac:dyDescent="0.4">
      <c r="A27" s="60" t="s">
        <v>212</v>
      </c>
      <c r="B27" s="79">
        <v>1</v>
      </c>
      <c r="C27" s="32">
        <f>IF(B$3=0,0,B27/B$3)</f>
        <v>1.0438413361169101E-3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</sheetData>
  <sortState ref="E2:H13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A6177-9676-48A8-8CA4-63F3E0CC11A1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183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4</v>
      </c>
      <c r="C2" s="85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2">
        <v>25</v>
      </c>
      <c r="C3" s="93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190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4">
        <v>-132.1</v>
      </c>
      <c r="C4" s="95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191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4">
        <f>IF(B$2=0,0,B$4/B$2)</f>
        <v>-33.024999999999999</v>
      </c>
      <c r="C5" s="95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192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6">
        <f>IF(B$2=0,0,(B$7*1+B$8*2+B$9*3)/B$2)</f>
        <v>3</v>
      </c>
      <c r="C6" s="97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193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4">
        <v>0</v>
      </c>
      <c r="C24" s="85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6">
        <v>0</v>
      </c>
      <c r="C25" s="87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8">
        <v>0</v>
      </c>
      <c r="C26" s="89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8439D-372E-4CBE-AB6C-D5996022790F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225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2</v>
      </c>
      <c r="C2" s="85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92">
        <v>7</v>
      </c>
      <c r="C3" s="93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190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94">
        <v>-24.5</v>
      </c>
      <c r="C4" s="95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191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94">
        <f>IF(B$2=0,0,B$4/B$2)</f>
        <v>-12.25</v>
      </c>
      <c r="C5" s="95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192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6">
        <f>IF(B$2=0,0,(B$7*1+B$8*2+B$9*3)/B$2)</f>
        <v>2.5</v>
      </c>
      <c r="C6" s="97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4">
        <v>2</v>
      </c>
      <c r="C24" s="85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6">
        <v>0</v>
      </c>
      <c r="C25" s="87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8">
        <v>0</v>
      </c>
      <c r="C26" s="89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B8942-937C-4A9C-A136-956C9A068E0E}">
  <sheetPr codeName="Sheet7"/>
  <dimension ref="A1:P9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179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92</v>
      </c>
      <c r="C2" s="85"/>
      <c r="E2" s="67" t="s">
        <v>73</v>
      </c>
      <c r="F2" s="63" t="s">
        <v>27</v>
      </c>
      <c r="G2" s="49">
        <v>84</v>
      </c>
      <c r="H2" s="24">
        <f>IF(B$25=0,0,G2/B$25)</f>
        <v>0.73684210526315785</v>
      </c>
      <c r="J2" s="23">
        <v>0</v>
      </c>
      <c r="K2" s="25">
        <v>0</v>
      </c>
      <c r="M2" s="23" t="s">
        <v>189</v>
      </c>
      <c r="N2" s="44">
        <f t="shared" ref="N2:N7" si="0">IF(P2=0,0,O2/P2)</f>
        <v>-251.11111111111111</v>
      </c>
      <c r="O2" s="41">
        <v>-22600</v>
      </c>
      <c r="P2" s="39">
        <v>90</v>
      </c>
    </row>
    <row r="3" spans="1:16" x14ac:dyDescent="0.4">
      <c r="A3" s="58" t="s">
        <v>8</v>
      </c>
      <c r="B3" s="92">
        <v>690</v>
      </c>
      <c r="C3" s="93"/>
      <c r="E3" s="68" t="s">
        <v>71</v>
      </c>
      <c r="F3" s="64" t="s">
        <v>25</v>
      </c>
      <c r="G3" s="50">
        <v>79</v>
      </c>
      <c r="H3" s="27">
        <f>IF(B$25=0,0,G3/B$25)</f>
        <v>0.69298245614035092</v>
      </c>
      <c r="J3" s="26">
        <v>1</v>
      </c>
      <c r="K3" s="28">
        <v>40.9</v>
      </c>
      <c r="M3" s="26" t="s">
        <v>190</v>
      </c>
      <c r="N3" s="45">
        <f t="shared" si="0"/>
        <v>-1694.1860465116279</v>
      </c>
      <c r="O3" s="42">
        <v>-145700</v>
      </c>
      <c r="P3" s="37">
        <v>86</v>
      </c>
    </row>
    <row r="4" spans="1:16" x14ac:dyDescent="0.4">
      <c r="A4" s="58" t="s">
        <v>6</v>
      </c>
      <c r="B4" s="94">
        <v>-365.49999999999994</v>
      </c>
      <c r="C4" s="95"/>
      <c r="E4" s="68" t="s">
        <v>69</v>
      </c>
      <c r="F4" s="64" t="s">
        <v>23</v>
      </c>
      <c r="G4" s="50">
        <v>68</v>
      </c>
      <c r="H4" s="27">
        <f>IF(B$25=0,0,G4/B$25)</f>
        <v>0.59649122807017541</v>
      </c>
      <c r="J4" s="26">
        <v>2</v>
      </c>
      <c r="K4" s="28">
        <v>-0.89999999999999858</v>
      </c>
      <c r="M4" s="26" t="s">
        <v>191</v>
      </c>
      <c r="N4" s="45">
        <f t="shared" si="0"/>
        <v>2049.397590361446</v>
      </c>
      <c r="O4" s="42">
        <v>170100</v>
      </c>
      <c r="P4" s="37">
        <v>83</v>
      </c>
    </row>
    <row r="5" spans="1:16" x14ac:dyDescent="0.4">
      <c r="A5" s="58" t="s">
        <v>7</v>
      </c>
      <c r="B5" s="94">
        <f>IF(B$2=0,0,B$4/B$2)</f>
        <v>-3.9728260869565211</v>
      </c>
      <c r="C5" s="95"/>
      <c r="E5" s="68" t="s">
        <v>78</v>
      </c>
      <c r="F5" s="64" t="s">
        <v>31</v>
      </c>
      <c r="G5" s="50">
        <v>62</v>
      </c>
      <c r="H5" s="27">
        <f>IF(B$25=0,0,G5/B$25)</f>
        <v>0.54385964912280704</v>
      </c>
      <c r="J5" s="26">
        <v>3</v>
      </c>
      <c r="K5" s="28">
        <v>-36.4</v>
      </c>
      <c r="M5" s="26" t="s">
        <v>192</v>
      </c>
      <c r="N5" s="45">
        <f t="shared" si="0"/>
        <v>-2080.821917808219</v>
      </c>
      <c r="O5" s="42">
        <v>-151900</v>
      </c>
      <c r="P5" s="37">
        <v>73</v>
      </c>
    </row>
    <row r="6" spans="1:16" x14ac:dyDescent="0.4">
      <c r="A6" s="58" t="s">
        <v>1</v>
      </c>
      <c r="B6" s="96">
        <f>IF(B$2=0,0,(B$7*1+B$8*2+B$9*3)/B$2)</f>
        <v>2.1195652173913042</v>
      </c>
      <c r="C6" s="97"/>
      <c r="E6" s="68" t="s">
        <v>74</v>
      </c>
      <c r="F6" s="64" t="s">
        <v>12</v>
      </c>
      <c r="G6" s="50">
        <v>37</v>
      </c>
      <c r="H6" s="27">
        <f>IF(B$25=0,0,G6/B$25)</f>
        <v>0.32456140350877194</v>
      </c>
      <c r="J6" s="26">
        <v>4</v>
      </c>
      <c r="K6" s="28">
        <v>3.6000000000000014</v>
      </c>
      <c r="M6" s="26" t="s">
        <v>193</v>
      </c>
      <c r="N6" s="45">
        <f t="shared" si="0"/>
        <v>-2305</v>
      </c>
      <c r="O6" s="42">
        <v>-138300</v>
      </c>
      <c r="P6" s="37">
        <v>60</v>
      </c>
    </row>
    <row r="7" spans="1:16" x14ac:dyDescent="0.4">
      <c r="A7" s="58" t="s">
        <v>2</v>
      </c>
      <c r="B7" s="50">
        <v>27</v>
      </c>
      <c r="C7" s="27">
        <f>IF(B$2=0,0,B7/B$2)</f>
        <v>0.29347826086956524</v>
      </c>
      <c r="E7" s="68" t="s">
        <v>72</v>
      </c>
      <c r="F7" s="64" t="s">
        <v>26</v>
      </c>
      <c r="G7" s="50">
        <v>30</v>
      </c>
      <c r="H7" s="27">
        <f>IF(B$25=0,0,G7/B$25)</f>
        <v>0.26315789473684209</v>
      </c>
      <c r="J7" s="26">
        <v>5</v>
      </c>
      <c r="K7" s="28">
        <v>14.600000000000001</v>
      </c>
      <c r="M7" s="31" t="s">
        <v>194</v>
      </c>
      <c r="N7" s="46">
        <f t="shared" si="0"/>
        <v>-2502.1739130434785</v>
      </c>
      <c r="O7" s="43">
        <v>-115100</v>
      </c>
      <c r="P7" s="38">
        <v>46</v>
      </c>
    </row>
    <row r="8" spans="1:16" x14ac:dyDescent="0.4">
      <c r="A8" s="58" t="s">
        <v>3</v>
      </c>
      <c r="B8" s="50">
        <v>27</v>
      </c>
      <c r="C8" s="27">
        <f t="shared" ref="C8:C9" si="1">IF(B$2=0,0,B8/B$2)</f>
        <v>0.29347826086956524</v>
      </c>
      <c r="E8" s="68" t="s">
        <v>76</v>
      </c>
      <c r="F8" s="64" t="s">
        <v>29</v>
      </c>
      <c r="G8" s="50">
        <v>18</v>
      </c>
      <c r="H8" s="27">
        <f>IF(B$25=0,0,G8/B$25)</f>
        <v>0.15789473684210525</v>
      </c>
      <c r="J8" s="26">
        <v>6</v>
      </c>
      <c r="K8" s="28">
        <v>47.6</v>
      </c>
    </row>
    <row r="9" spans="1:16" x14ac:dyDescent="0.4">
      <c r="A9" s="59" t="s">
        <v>4</v>
      </c>
      <c r="B9" s="51">
        <v>38</v>
      </c>
      <c r="C9" s="29">
        <f t="shared" si="1"/>
        <v>0.41304347826086957</v>
      </c>
      <c r="E9" s="68" t="s">
        <v>96</v>
      </c>
      <c r="F9" s="64" t="s">
        <v>49</v>
      </c>
      <c r="G9" s="50">
        <v>18</v>
      </c>
      <c r="H9" s="27">
        <f>IF(B$25=0,0,G9/B$25)</f>
        <v>0.15789473684210525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0.22826086956521738</v>
      </c>
      <c r="E10" s="68" t="s">
        <v>75</v>
      </c>
      <c r="F10" s="64" t="s">
        <v>28</v>
      </c>
      <c r="G10" s="50">
        <v>17</v>
      </c>
      <c r="H10" s="27">
        <f>IF(B$25=0,0,G10/B$25)</f>
        <v>0.14912280701754385</v>
      </c>
      <c r="J10" s="26">
        <v>8</v>
      </c>
      <c r="K10" s="28">
        <v>60.199999999999996</v>
      </c>
    </row>
    <row r="11" spans="1:16" x14ac:dyDescent="0.4">
      <c r="A11" s="60" t="s">
        <v>199</v>
      </c>
      <c r="B11" s="52">
        <v>13</v>
      </c>
      <c r="C11" s="32">
        <f>IF(B$2=0,0,B11/B$2)</f>
        <v>0.14130434782608695</v>
      </c>
      <c r="E11" s="68" t="s">
        <v>70</v>
      </c>
      <c r="F11" s="64" t="s">
        <v>24</v>
      </c>
      <c r="G11" s="50">
        <v>14</v>
      </c>
      <c r="H11" s="27">
        <f>IF(B$25=0,0,G11/B$25)</f>
        <v>0.12280701754385964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121</v>
      </c>
      <c r="C12" s="35">
        <f>IF(B$24=0,0,B12/B$24)</f>
        <v>0.28205128205128205</v>
      </c>
      <c r="E12" s="68" t="s">
        <v>93</v>
      </c>
      <c r="F12" s="64" t="s">
        <v>46</v>
      </c>
      <c r="G12" s="50">
        <v>13</v>
      </c>
      <c r="H12" s="27">
        <f>IF(B$25=0,0,G12/B$25)</f>
        <v>0.11403508771929824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81</v>
      </c>
      <c r="C13" s="27">
        <f>IF(B$24=0,0,B13/B$24)</f>
        <v>0.1888111888111888</v>
      </c>
      <c r="E13" s="68" t="s">
        <v>90</v>
      </c>
      <c r="F13" s="64" t="s">
        <v>43</v>
      </c>
      <c r="G13" s="50">
        <v>11</v>
      </c>
      <c r="H13" s="27">
        <f>IF(B$25=0,0,G13/B$25)</f>
        <v>9.6491228070175433E-2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69</v>
      </c>
      <c r="C14" s="24">
        <f>IF(B$12=0,0,B14/B$12)</f>
        <v>0.57024793388429751</v>
      </c>
      <c r="E14" s="68" t="s">
        <v>98</v>
      </c>
      <c r="F14" s="64" t="s">
        <v>51</v>
      </c>
      <c r="G14" s="50">
        <v>6</v>
      </c>
      <c r="H14" s="27">
        <f>IF(B$25=0,0,G14/B$25)</f>
        <v>5.2631578947368418E-2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30</v>
      </c>
      <c r="C15" s="24">
        <f>IF(B$13=0,0,B15/B$13)</f>
        <v>0.37037037037037035</v>
      </c>
      <c r="E15" s="68" t="s">
        <v>88</v>
      </c>
      <c r="F15" s="64" t="s">
        <v>41</v>
      </c>
      <c r="G15" s="50">
        <v>5</v>
      </c>
      <c r="H15" s="27">
        <f>IF(B$25=0,0,G15/B$25)</f>
        <v>4.3859649122807015E-2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175</v>
      </c>
      <c r="C16" s="24">
        <f>IF(B$3=0,0,B16/B$3)</f>
        <v>0.25362318840579712</v>
      </c>
      <c r="E16" s="68" t="s">
        <v>77</v>
      </c>
      <c r="F16" s="64" t="s">
        <v>30</v>
      </c>
      <c r="G16" s="50">
        <v>4</v>
      </c>
      <c r="H16" s="27">
        <f>IF(B$25=0,0,G16/B$25)</f>
        <v>3.5087719298245612E-2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103</v>
      </c>
      <c r="C17" s="27">
        <f>IF(B$3=0,0,B17/B$3)</f>
        <v>0.14927536231884059</v>
      </c>
      <c r="E17" s="68" t="s">
        <v>84</v>
      </c>
      <c r="F17" s="64" t="s">
        <v>37</v>
      </c>
      <c r="G17" s="50">
        <v>2</v>
      </c>
      <c r="H17" s="27">
        <f>IF(B$25=0,0,G17/B$25)</f>
        <v>1.7543859649122806E-2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72</v>
      </c>
      <c r="C18" s="27">
        <f>IF(B$3=0,0,B18/B$3)</f>
        <v>0.10434782608695652</v>
      </c>
      <c r="E18" s="68" t="s">
        <v>85</v>
      </c>
      <c r="F18" s="64" t="s">
        <v>38</v>
      </c>
      <c r="G18" s="50">
        <v>2</v>
      </c>
      <c r="H18" s="27">
        <f>IF(B$25=0,0,G18/B$25)</f>
        <v>1.7543859649122806E-2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135</v>
      </c>
      <c r="C19" s="27">
        <f>IF(B$3=0,0,B19/B$3)</f>
        <v>0.19565217391304349</v>
      </c>
      <c r="E19" s="68" t="s">
        <v>92</v>
      </c>
      <c r="F19" s="64" t="s">
        <v>45</v>
      </c>
      <c r="G19" s="50">
        <v>2</v>
      </c>
      <c r="H19" s="27">
        <f>IF(B$25=0,0,G19/B$25)</f>
        <v>1.7543859649122806E-2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11418.285714285714</v>
      </c>
      <c r="C20" s="30">
        <v>1998200</v>
      </c>
      <c r="E20" s="68" t="s">
        <v>99</v>
      </c>
      <c r="F20" s="64" t="s">
        <v>52</v>
      </c>
      <c r="G20" s="50">
        <v>2</v>
      </c>
      <c r="H20" s="27">
        <f>IF(B$25=0,0,G20/B$25)</f>
        <v>1.7543859649122806E-2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-10125.185185185184</v>
      </c>
      <c r="C21" s="48">
        <v>-1366900</v>
      </c>
      <c r="E21" s="68" t="s">
        <v>87</v>
      </c>
      <c r="F21" s="64" t="s">
        <v>40</v>
      </c>
      <c r="G21" s="50">
        <v>1</v>
      </c>
      <c r="H21" s="27">
        <f>IF(B$25=0,0,G21/B$25)</f>
        <v>8.771929824561403E-3</v>
      </c>
      <c r="J21" s="26">
        <v>19</v>
      </c>
      <c r="K21" s="28">
        <v>-26.699999999999996</v>
      </c>
    </row>
    <row r="22" spans="1:11" x14ac:dyDescent="0.4">
      <c r="A22" s="57" t="s">
        <v>186</v>
      </c>
      <c r="B22" s="49">
        <v>218</v>
      </c>
      <c r="C22" s="24">
        <f>IF(B$3=0,0,B22/B$3)</f>
        <v>0.31594202898550727</v>
      </c>
      <c r="E22" s="68" t="s">
        <v>91</v>
      </c>
      <c r="F22" s="64" t="s">
        <v>44</v>
      </c>
      <c r="G22" s="50">
        <v>1</v>
      </c>
      <c r="H22" s="27">
        <f>IF(B$25=0,0,G22/B$25)</f>
        <v>8.771929824561403E-3</v>
      </c>
      <c r="J22" s="26">
        <v>20</v>
      </c>
      <c r="K22" s="28">
        <v>-57.899999999999991</v>
      </c>
    </row>
    <row r="23" spans="1:11" x14ac:dyDescent="0.4">
      <c r="A23" s="60" t="s">
        <v>187</v>
      </c>
      <c r="B23" s="52">
        <v>67</v>
      </c>
      <c r="C23" s="32">
        <f>IF(B$22=0,0,B23/B$22)</f>
        <v>0.30733944954128439</v>
      </c>
      <c r="E23" s="68" t="s">
        <v>94</v>
      </c>
      <c r="F23" s="64" t="s">
        <v>47</v>
      </c>
      <c r="G23" s="50">
        <v>1</v>
      </c>
      <c r="H23" s="27">
        <f>IF(B$25=0,0,G23/B$25)</f>
        <v>8.771929824561403E-3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4">
        <v>429</v>
      </c>
      <c r="C24" s="85"/>
      <c r="E24" s="68" t="s">
        <v>95</v>
      </c>
      <c r="F24" s="64" t="s">
        <v>48</v>
      </c>
      <c r="G24" s="50">
        <v>1</v>
      </c>
      <c r="H24" s="27">
        <f>IF(B$25=0,0,G24/B$25)</f>
        <v>8.771929824561403E-3</v>
      </c>
      <c r="J24" s="26">
        <v>22</v>
      </c>
      <c r="K24" s="28">
        <v>-94.6</v>
      </c>
    </row>
    <row r="25" spans="1:11" x14ac:dyDescent="0.4">
      <c r="A25" s="60" t="s">
        <v>129</v>
      </c>
      <c r="B25" s="86">
        <v>114</v>
      </c>
      <c r="C25" s="87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210</v>
      </c>
      <c r="B26" s="88">
        <v>10</v>
      </c>
      <c r="C26" s="89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212</v>
      </c>
      <c r="B27" s="79">
        <v>4</v>
      </c>
      <c r="C27" s="32">
        <f>IF(B$3=0,0,B27/B$3)</f>
        <v>5.7971014492753624E-3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</sheetData>
  <sortState ref="E2:H9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DD040-2C78-43A7-AC7C-982AA400D13C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180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48</v>
      </c>
      <c r="C2" s="85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2">
        <v>343</v>
      </c>
      <c r="C3" s="93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190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4">
        <v>213.70000000000005</v>
      </c>
      <c r="C4" s="95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191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4">
        <f>IF(B$2=0,0,B$4/B$2)</f>
        <v>4.4520833333333343</v>
      </c>
      <c r="C5" s="95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192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96">
        <f>IF(B$2=0,0,(B$7*1+B$8*2+B$9*3)/B$2)</f>
        <v>1.8958333333333333</v>
      </c>
      <c r="C6" s="97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193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194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76</v>
      </c>
      <c r="F10" s="64" t="s">
        <v>29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199</v>
      </c>
      <c r="B11" s="52">
        <v>9</v>
      </c>
      <c r="C11" s="32">
        <f>IF(B$2=0,0,B11/B$2)</f>
        <v>0.1875</v>
      </c>
      <c r="E11" s="68" t="s">
        <v>90</v>
      </c>
      <c r="F11" s="64" t="s">
        <v>43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96</v>
      </c>
      <c r="F14" s="64" t="s">
        <v>49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70</v>
      </c>
      <c r="C17" s="27">
        <f>IF(B$3=0,0,B17/B$3)</f>
        <v>0.20408163265306123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51</v>
      </c>
      <c r="C18" s="27">
        <f>IF(B$3=0,0,B18/B$3)</f>
        <v>0.14868804664723032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186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187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4">
        <v>105</v>
      </c>
      <c r="C24" s="85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6">
        <v>34</v>
      </c>
      <c r="C25" s="87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210</v>
      </c>
      <c r="B26" s="88">
        <v>6</v>
      </c>
      <c r="C26" s="89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212</v>
      </c>
      <c r="B27" s="79">
        <v>1</v>
      </c>
      <c r="C27" s="32">
        <f>IF(B$3=0,0,B27/B$3)</f>
        <v>2.9154518950437317E-3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D239-7016-4A1A-8AD8-ECE5FF6E88AF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228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5</v>
      </c>
      <c r="C2" s="85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2">
        <v>37</v>
      </c>
      <c r="C3" s="93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4">
        <v>-86.4</v>
      </c>
      <c r="C4" s="95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191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4">
        <f>IF(B$2=0,0,B$4/B$2)</f>
        <v>-17.28</v>
      </c>
      <c r="C5" s="95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192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6">
        <f>IF(B$2=0,0,(B$7*1+B$8*2+B$9*3)/B$2)</f>
        <v>2.2000000000000002</v>
      </c>
      <c r="C6" s="97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193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194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4">
        <v>31</v>
      </c>
      <c r="C24" s="85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6">
        <v>9</v>
      </c>
      <c r="C25" s="87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8">
        <v>3</v>
      </c>
      <c r="C26" s="89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65FD0-086F-4716-B7A1-1B6FAF914250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181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44</v>
      </c>
      <c r="C2" s="85"/>
      <c r="E2" s="67" t="s">
        <v>73</v>
      </c>
      <c r="F2" s="63" t="s">
        <v>27</v>
      </c>
      <c r="G2" s="49">
        <v>34</v>
      </c>
      <c r="H2" s="24">
        <f>IF(B$25=0,0,G2/B$25)</f>
        <v>0.97142857142857142</v>
      </c>
      <c r="J2" s="23">
        <v>0</v>
      </c>
      <c r="K2" s="25">
        <v>0</v>
      </c>
      <c r="M2" s="23" t="s">
        <v>189</v>
      </c>
      <c r="N2" s="44">
        <f t="shared" ref="N2:N7" si="0">IF(P2=0,0,O2/P2)</f>
        <v>-2529.5454545454545</v>
      </c>
      <c r="O2" s="41">
        <v>-111300</v>
      </c>
      <c r="P2" s="39">
        <v>44</v>
      </c>
    </row>
    <row r="3" spans="1:16" x14ac:dyDescent="0.4">
      <c r="A3" s="58" t="s">
        <v>8</v>
      </c>
      <c r="B3" s="92">
        <v>338</v>
      </c>
      <c r="C3" s="93"/>
      <c r="E3" s="68" t="s">
        <v>78</v>
      </c>
      <c r="F3" s="64" t="s">
        <v>31</v>
      </c>
      <c r="G3" s="50">
        <v>25</v>
      </c>
      <c r="H3" s="27">
        <f>IF(B$25=0,0,G3/B$25)</f>
        <v>0.7142857142857143</v>
      </c>
      <c r="J3" s="26">
        <v>1</v>
      </c>
      <c r="K3" s="28">
        <v>68.2</v>
      </c>
      <c r="M3" s="26" t="s">
        <v>190</v>
      </c>
      <c r="N3" s="45">
        <f t="shared" si="0"/>
        <v>-2953.6585365853657</v>
      </c>
      <c r="O3" s="42">
        <v>-121100</v>
      </c>
      <c r="P3" s="37">
        <v>41</v>
      </c>
    </row>
    <row r="4" spans="1:16" x14ac:dyDescent="0.4">
      <c r="A4" s="58" t="s">
        <v>6</v>
      </c>
      <c r="B4" s="94">
        <v>-214.1</v>
      </c>
      <c r="C4" s="95"/>
      <c r="E4" s="68" t="s">
        <v>71</v>
      </c>
      <c r="F4" s="64" t="s">
        <v>25</v>
      </c>
      <c r="G4" s="50">
        <v>24</v>
      </c>
      <c r="H4" s="27">
        <f>IF(B$25=0,0,G4/B$25)</f>
        <v>0.68571428571428572</v>
      </c>
      <c r="J4" s="26">
        <v>2</v>
      </c>
      <c r="K4" s="28">
        <v>58.5</v>
      </c>
      <c r="M4" s="26" t="s">
        <v>191</v>
      </c>
      <c r="N4" s="45">
        <f t="shared" si="0"/>
        <v>-902.85714285714289</v>
      </c>
      <c r="O4" s="42">
        <v>-31600</v>
      </c>
      <c r="P4" s="37">
        <v>35</v>
      </c>
    </row>
    <row r="5" spans="1:16" x14ac:dyDescent="0.4">
      <c r="A5" s="58" t="s">
        <v>7</v>
      </c>
      <c r="B5" s="94">
        <f>IF(B$2=0,0,B$4/B$2)</f>
        <v>-4.8659090909090912</v>
      </c>
      <c r="C5" s="95"/>
      <c r="E5" s="68" t="s">
        <v>69</v>
      </c>
      <c r="F5" s="64" t="s">
        <v>23</v>
      </c>
      <c r="G5" s="50">
        <v>13</v>
      </c>
      <c r="H5" s="27">
        <f>IF(B$25=0,0,G5/B$25)</f>
        <v>0.37142857142857144</v>
      </c>
      <c r="J5" s="26">
        <v>3</v>
      </c>
      <c r="K5" s="28">
        <v>82.1</v>
      </c>
      <c r="M5" s="26" t="s">
        <v>192</v>
      </c>
      <c r="N5" s="45">
        <f t="shared" si="0"/>
        <v>2966.6666666666665</v>
      </c>
      <c r="O5" s="42">
        <v>97900</v>
      </c>
      <c r="P5" s="37">
        <v>33</v>
      </c>
    </row>
    <row r="6" spans="1:16" x14ac:dyDescent="0.4">
      <c r="A6" s="58" t="s">
        <v>1</v>
      </c>
      <c r="B6" s="96">
        <f>IF(B$2=0,0,(B$7*1+B$8*2+B$9*3)/B$2)</f>
        <v>2.1363636363636362</v>
      </c>
      <c r="C6" s="97"/>
      <c r="E6" s="68" t="s">
        <v>70</v>
      </c>
      <c r="F6" s="64" t="s">
        <v>24</v>
      </c>
      <c r="G6" s="50">
        <v>6</v>
      </c>
      <c r="H6" s="27">
        <f>IF(B$25=0,0,G6/B$25)</f>
        <v>0.17142857142857143</v>
      </c>
      <c r="J6" s="26">
        <v>4</v>
      </c>
      <c r="K6" s="28">
        <v>58.199999999999996</v>
      </c>
      <c r="M6" s="26" t="s">
        <v>193</v>
      </c>
      <c r="N6" s="45">
        <f t="shared" si="0"/>
        <v>-2053.8461538461538</v>
      </c>
      <c r="O6" s="42">
        <v>-53400</v>
      </c>
      <c r="P6" s="37">
        <v>26</v>
      </c>
    </row>
    <row r="7" spans="1:16" x14ac:dyDescent="0.4">
      <c r="A7" s="58" t="s">
        <v>2</v>
      </c>
      <c r="B7" s="50">
        <v>10</v>
      </c>
      <c r="C7" s="27">
        <f>IF(B$2=0,0,B7/B$2)</f>
        <v>0.22727272727272727</v>
      </c>
      <c r="E7" s="68" t="s">
        <v>74</v>
      </c>
      <c r="F7" s="64" t="s">
        <v>12</v>
      </c>
      <c r="G7" s="50">
        <v>5</v>
      </c>
      <c r="H7" s="27">
        <f>IF(B$25=0,0,G7/B$25)</f>
        <v>0.14285714285714285</v>
      </c>
      <c r="J7" s="26">
        <v>5</v>
      </c>
      <c r="K7" s="28">
        <v>124.19999999999999</v>
      </c>
      <c r="M7" s="31" t="s">
        <v>194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18</v>
      </c>
      <c r="C8" s="27">
        <f t="shared" ref="C8:C9" si="1">IF(B$2=0,0,B8/B$2)</f>
        <v>0.40909090909090912</v>
      </c>
      <c r="E8" s="68" t="s">
        <v>72</v>
      </c>
      <c r="F8" s="64" t="s">
        <v>26</v>
      </c>
      <c r="G8" s="50">
        <v>4</v>
      </c>
      <c r="H8" s="27">
        <f>IF(B$25=0,0,G8/B$25)</f>
        <v>0.11428571428571428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16</v>
      </c>
      <c r="C9" s="29">
        <f t="shared" si="1"/>
        <v>0.36363636363636365</v>
      </c>
      <c r="E9" s="68" t="s">
        <v>75</v>
      </c>
      <c r="F9" s="64" t="s">
        <v>28</v>
      </c>
      <c r="G9" s="50">
        <v>3</v>
      </c>
      <c r="H9" s="27">
        <f>IF(B$25=0,0,G9/B$25)</f>
        <v>8.5714285714285715E-2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8</v>
      </c>
      <c r="C10" s="29">
        <f>IF(B$2=0,0,B10/B$2)</f>
        <v>0.18181818181818182</v>
      </c>
      <c r="E10" s="68" t="s">
        <v>96</v>
      </c>
      <c r="F10" s="64" t="s">
        <v>49</v>
      </c>
      <c r="G10" s="50">
        <v>3</v>
      </c>
      <c r="H10" s="27">
        <f>IF(B$25=0,0,G10/B$25)</f>
        <v>8.5714285714285715E-2</v>
      </c>
      <c r="J10" s="26">
        <v>8</v>
      </c>
      <c r="K10" s="28">
        <v>97</v>
      </c>
    </row>
    <row r="11" spans="1:16" x14ac:dyDescent="0.4">
      <c r="A11" s="60" t="s">
        <v>199</v>
      </c>
      <c r="B11" s="52">
        <v>7</v>
      </c>
      <c r="C11" s="32">
        <f>IF(B$2=0,0,B11/B$2)</f>
        <v>0.15909090909090909</v>
      </c>
      <c r="E11" s="68" t="s">
        <v>84</v>
      </c>
      <c r="F11" s="64" t="s">
        <v>37</v>
      </c>
      <c r="G11" s="50">
        <v>2</v>
      </c>
      <c r="H11" s="27">
        <f>IF(B$25=0,0,G11/B$25)</f>
        <v>5.7142857142857141E-2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34</v>
      </c>
      <c r="C12" s="35">
        <f>IF(B$24=0,0,B12/B$24)</f>
        <v>0.2251655629139073</v>
      </c>
      <c r="E12" s="68" t="s">
        <v>85</v>
      </c>
      <c r="F12" s="64" t="s">
        <v>38</v>
      </c>
      <c r="G12" s="50">
        <v>2</v>
      </c>
      <c r="H12" s="27">
        <f>IF(B$25=0,0,G12/B$25)</f>
        <v>5.7142857142857141E-2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44</v>
      </c>
      <c r="C13" s="27">
        <f>IF(B$24=0,0,B13/B$24)</f>
        <v>0.29139072847682118</v>
      </c>
      <c r="E13" s="68" t="s">
        <v>93</v>
      </c>
      <c r="F13" s="64" t="s">
        <v>46</v>
      </c>
      <c r="G13" s="50">
        <v>2</v>
      </c>
      <c r="H13" s="27">
        <f>IF(B$25=0,0,G13/B$25)</f>
        <v>5.7142857142857141E-2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12</v>
      </c>
      <c r="C14" s="24">
        <f>IF(B$12=0,0,B14/B$12)</f>
        <v>0.35294117647058826</v>
      </c>
      <c r="E14" s="68" t="s">
        <v>76</v>
      </c>
      <c r="F14" s="64" t="s">
        <v>29</v>
      </c>
      <c r="G14" s="50">
        <v>1</v>
      </c>
      <c r="H14" s="27">
        <f>IF(B$25=0,0,G14/B$25)</f>
        <v>2.8571428571428571E-2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17</v>
      </c>
      <c r="C15" s="24">
        <f>IF(B$13=0,0,B15/B$13)</f>
        <v>0.38636363636363635</v>
      </c>
      <c r="E15" s="68" t="s">
        <v>77</v>
      </c>
      <c r="F15" s="64" t="s">
        <v>30</v>
      </c>
      <c r="G15" s="50">
        <v>1</v>
      </c>
      <c r="H15" s="27">
        <f>IF(B$25=0,0,G15/B$25)</f>
        <v>2.8571428571428571E-2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89</v>
      </c>
      <c r="C16" s="24">
        <f>IF(B$3=0,0,B16/B$3)</f>
        <v>0.26331360946745563</v>
      </c>
      <c r="E16" s="68" t="s">
        <v>81</v>
      </c>
      <c r="F16" s="64" t="s">
        <v>34</v>
      </c>
      <c r="G16" s="50">
        <v>1</v>
      </c>
      <c r="H16" s="27">
        <f>IF(B$25=0,0,G16/B$25)</f>
        <v>2.8571428571428571E-2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53</v>
      </c>
      <c r="C17" s="27">
        <f>IF(B$3=0,0,B17/B$3)</f>
        <v>0.15680473372781065</v>
      </c>
      <c r="E17" s="68" t="s">
        <v>88</v>
      </c>
      <c r="F17" s="64" t="s">
        <v>41</v>
      </c>
      <c r="G17" s="50">
        <v>1</v>
      </c>
      <c r="H17" s="27">
        <f>IF(B$25=0,0,G17/B$25)</f>
        <v>2.8571428571428571E-2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36</v>
      </c>
      <c r="C18" s="27">
        <f>IF(B$3=0,0,B18/B$3)</f>
        <v>0.10650887573964497</v>
      </c>
      <c r="E18" s="68" t="s">
        <v>90</v>
      </c>
      <c r="F18" s="64" t="s">
        <v>43</v>
      </c>
      <c r="G18" s="50">
        <v>1</v>
      </c>
      <c r="H18" s="27">
        <f>IF(B$25=0,0,G18/B$25)</f>
        <v>2.8571428571428571E-2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68</v>
      </c>
      <c r="C19" s="27">
        <f>IF(B$3=0,0,B19/B$3)</f>
        <v>0.20118343195266272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9896.6292134831456</v>
      </c>
      <c r="C20" s="30">
        <v>880800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-8327.9411764705874</v>
      </c>
      <c r="C21" s="48">
        <v>-566300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186</v>
      </c>
      <c r="B22" s="49">
        <v>95</v>
      </c>
      <c r="C22" s="24">
        <f>IF(B$3=0,0,B22/B$3)</f>
        <v>0.28106508875739644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187</v>
      </c>
      <c r="B23" s="52">
        <v>35</v>
      </c>
      <c r="C23" s="32">
        <f>IF(B$22=0,0,B23/B$22)</f>
        <v>0.36842105263157893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4">
        <v>151</v>
      </c>
      <c r="C24" s="85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6">
        <v>35</v>
      </c>
      <c r="C25" s="87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210</v>
      </c>
      <c r="B26" s="88">
        <v>5</v>
      </c>
      <c r="C26" s="89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212</v>
      </c>
      <c r="B27" s="79">
        <v>1</v>
      </c>
      <c r="C27" s="32">
        <f>IF(B$3=0,0,B27/B$3)</f>
        <v>2.9585798816568047E-3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03EC3-1432-4659-9BA0-1FE0E178D805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182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51</v>
      </c>
      <c r="C2" s="85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189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2">
        <v>390</v>
      </c>
      <c r="C3" s="93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190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4">
        <v>166.69999999999996</v>
      </c>
      <c r="C4" s="95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191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4">
        <f>IF(B$2=0,0,B$4/B$2)</f>
        <v>3.2686274509803912</v>
      </c>
      <c r="C5" s="95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192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6">
        <f>IF(B$2=0,0,(B$7*1+B$8*2+B$9*3)/B$2)</f>
        <v>1.9215686274509804</v>
      </c>
      <c r="C6" s="97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193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194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199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186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187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4">
        <v>257</v>
      </c>
      <c r="C24" s="85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6">
        <v>84</v>
      </c>
      <c r="C25" s="87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210</v>
      </c>
      <c r="B26" s="88">
        <v>9</v>
      </c>
      <c r="C26" s="89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212</v>
      </c>
      <c r="B27" s="79">
        <v>3</v>
      </c>
      <c r="C27" s="32">
        <f>IF(B$3=0,0,B27/B$3)</f>
        <v>7.6923076923076927E-3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1BEEA-7A35-43C9-88AB-BAD8ED1AAD27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184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12</v>
      </c>
      <c r="C2" s="85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2">
        <v>82</v>
      </c>
      <c r="C3" s="93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190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4">
        <v>80.800000000000011</v>
      </c>
      <c r="C4" s="95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191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4">
        <f>IF(B$2=0,0,B$4/B$2)</f>
        <v>6.7333333333333343</v>
      </c>
      <c r="C5" s="95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192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6">
        <f>IF(B$2=0,0,(B$7*1+B$8*2+B$9*3)/B$2)</f>
        <v>1.75</v>
      </c>
      <c r="C6" s="97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193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194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4">
        <v>0</v>
      </c>
      <c r="C24" s="85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6">
        <v>0</v>
      </c>
      <c r="C25" s="87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8">
        <v>0</v>
      </c>
      <c r="C26" s="89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DEA2D-5842-4E6F-BE89-A195DBC5F8E0}">
  <sheetPr codeName="Sheet13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185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51</v>
      </c>
      <c r="C2" s="85"/>
      <c r="E2" s="67" t="s">
        <v>73</v>
      </c>
      <c r="F2" s="63" t="s">
        <v>27</v>
      </c>
      <c r="G2" s="49">
        <v>95</v>
      </c>
      <c r="H2" s="24">
        <f>IF(B$25=0,0,G2/B$25)</f>
        <v>0.94059405940594054</v>
      </c>
      <c r="J2" s="23">
        <v>0</v>
      </c>
      <c r="K2" s="25">
        <v>0</v>
      </c>
      <c r="M2" s="23" t="s">
        <v>189</v>
      </c>
      <c r="N2" s="44">
        <f t="shared" ref="N2:N7" si="0">IF(P2=0,0,O2/P2)</f>
        <v>-2968.0851063829787</v>
      </c>
      <c r="O2" s="41">
        <v>-139500</v>
      </c>
      <c r="P2" s="39">
        <v>47</v>
      </c>
    </row>
    <row r="3" spans="1:16" x14ac:dyDescent="0.4">
      <c r="A3" s="58" t="s">
        <v>8</v>
      </c>
      <c r="B3" s="92">
        <v>384</v>
      </c>
      <c r="C3" s="93"/>
      <c r="E3" s="68" t="s">
        <v>71</v>
      </c>
      <c r="F3" s="64" t="s">
        <v>25</v>
      </c>
      <c r="G3" s="50">
        <v>77</v>
      </c>
      <c r="H3" s="27">
        <f>IF(B$25=0,0,G3/B$25)</f>
        <v>0.76237623762376239</v>
      </c>
      <c r="J3" s="26">
        <v>1</v>
      </c>
      <c r="K3" s="28">
        <v>3.9</v>
      </c>
      <c r="M3" s="26" t="s">
        <v>190</v>
      </c>
      <c r="N3" s="45">
        <f t="shared" si="0"/>
        <v>-1748.936170212766</v>
      </c>
      <c r="O3" s="42">
        <v>-82200</v>
      </c>
      <c r="P3" s="37">
        <v>47</v>
      </c>
    </row>
    <row r="4" spans="1:16" x14ac:dyDescent="0.4">
      <c r="A4" s="58" t="s">
        <v>6</v>
      </c>
      <c r="B4" s="94">
        <v>-409.99999999999994</v>
      </c>
      <c r="C4" s="95"/>
      <c r="E4" s="68" t="s">
        <v>78</v>
      </c>
      <c r="F4" s="64" t="s">
        <v>31</v>
      </c>
      <c r="G4" s="50">
        <v>75</v>
      </c>
      <c r="H4" s="27">
        <f>IF(B$25=0,0,G4/B$25)</f>
        <v>0.74257425742574257</v>
      </c>
      <c r="J4" s="26">
        <v>2</v>
      </c>
      <c r="K4" s="28">
        <v>-33.9</v>
      </c>
      <c r="M4" s="26" t="s">
        <v>191</v>
      </c>
      <c r="N4" s="45">
        <f t="shared" si="0"/>
        <v>-3447.7272727272725</v>
      </c>
      <c r="O4" s="42">
        <v>-151700</v>
      </c>
      <c r="P4" s="37">
        <v>44</v>
      </c>
    </row>
    <row r="5" spans="1:16" x14ac:dyDescent="0.4">
      <c r="A5" s="58" t="s">
        <v>7</v>
      </c>
      <c r="B5" s="94">
        <f>IF(B$2=0,0,B$4/B$2)</f>
        <v>-8.0392156862745079</v>
      </c>
      <c r="C5" s="95"/>
      <c r="E5" s="68" t="s">
        <v>69</v>
      </c>
      <c r="F5" s="64" t="s">
        <v>23</v>
      </c>
      <c r="G5" s="50">
        <v>57</v>
      </c>
      <c r="H5" s="27">
        <f>IF(B$25=0,0,G5/B$25)</f>
        <v>0.5643564356435643</v>
      </c>
      <c r="J5" s="26">
        <v>3</v>
      </c>
      <c r="K5" s="28">
        <v>-70.099999999999994</v>
      </c>
      <c r="M5" s="26" t="s">
        <v>192</v>
      </c>
      <c r="N5" s="45">
        <f t="shared" si="0"/>
        <v>-305</v>
      </c>
      <c r="O5" s="42">
        <v>-12200</v>
      </c>
      <c r="P5" s="37">
        <v>40</v>
      </c>
    </row>
    <row r="6" spans="1:16" x14ac:dyDescent="0.4">
      <c r="A6" s="58" t="s">
        <v>1</v>
      </c>
      <c r="B6" s="96">
        <f>IF(B$2=0,0,(B$7*1+B$8*2+B$9*3)/B$2)</f>
        <v>2.215686274509804</v>
      </c>
      <c r="C6" s="97"/>
      <c r="E6" s="68" t="s">
        <v>72</v>
      </c>
      <c r="F6" s="64" t="s">
        <v>26</v>
      </c>
      <c r="G6" s="50">
        <v>41</v>
      </c>
      <c r="H6" s="27">
        <f>IF(B$25=0,0,G6/B$25)</f>
        <v>0.40594059405940597</v>
      </c>
      <c r="J6" s="26">
        <v>4</v>
      </c>
      <c r="K6" s="28">
        <v>-35.099999999999994</v>
      </c>
      <c r="M6" s="26" t="s">
        <v>193</v>
      </c>
      <c r="N6" s="45">
        <f t="shared" si="0"/>
        <v>-872.22222222222217</v>
      </c>
      <c r="O6" s="42">
        <v>-31400</v>
      </c>
      <c r="P6" s="37">
        <v>36</v>
      </c>
    </row>
    <row r="7" spans="1:16" x14ac:dyDescent="0.4">
      <c r="A7" s="58" t="s">
        <v>2</v>
      </c>
      <c r="B7" s="50">
        <v>12</v>
      </c>
      <c r="C7" s="27">
        <f>IF(B$2=0,0,B7/B$2)</f>
        <v>0.23529411764705882</v>
      </c>
      <c r="E7" s="68" t="s">
        <v>74</v>
      </c>
      <c r="F7" s="64" t="s">
        <v>12</v>
      </c>
      <c r="G7" s="50">
        <v>33</v>
      </c>
      <c r="H7" s="27">
        <f>IF(B$25=0,0,G7/B$25)</f>
        <v>0.32673267326732675</v>
      </c>
      <c r="J7" s="26">
        <v>5</v>
      </c>
      <c r="K7" s="28">
        <v>-80.099999999999994</v>
      </c>
      <c r="M7" s="31" t="s">
        <v>194</v>
      </c>
      <c r="N7" s="46">
        <f t="shared" si="0"/>
        <v>4588.4615384615381</v>
      </c>
      <c r="O7" s="43">
        <v>119300</v>
      </c>
      <c r="P7" s="38">
        <v>26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0.31372549019607843</v>
      </c>
      <c r="E8" s="68" t="s">
        <v>96</v>
      </c>
      <c r="F8" s="64" t="s">
        <v>49</v>
      </c>
      <c r="G8" s="50">
        <v>15</v>
      </c>
      <c r="H8" s="27">
        <f>IF(B$25=0,0,G8/B$25)</f>
        <v>0.14851485148514851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23</v>
      </c>
      <c r="C9" s="29">
        <f t="shared" si="1"/>
        <v>0.45098039215686275</v>
      </c>
      <c r="E9" s="68" t="s">
        <v>75</v>
      </c>
      <c r="F9" s="64" t="s">
        <v>28</v>
      </c>
      <c r="G9" s="50">
        <v>14</v>
      </c>
      <c r="H9" s="27">
        <f>IF(B$25=0,0,G9/B$25)</f>
        <v>0.13861386138613863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12</v>
      </c>
      <c r="C10" s="29">
        <f>IF(B$2=0,0,B10/B$2)</f>
        <v>0.23529411764705882</v>
      </c>
      <c r="E10" s="68" t="s">
        <v>70</v>
      </c>
      <c r="F10" s="64" t="s">
        <v>24</v>
      </c>
      <c r="G10" s="50">
        <v>10</v>
      </c>
      <c r="H10" s="27">
        <f>IF(B$25=0,0,G10/B$25)</f>
        <v>9.9009900990099015E-2</v>
      </c>
      <c r="J10" s="26">
        <v>8</v>
      </c>
      <c r="K10" s="28">
        <v>-146</v>
      </c>
    </row>
    <row r="11" spans="1:16" x14ac:dyDescent="0.4">
      <c r="A11" s="60" t="s">
        <v>199</v>
      </c>
      <c r="B11" s="52">
        <v>5</v>
      </c>
      <c r="C11" s="32">
        <f>IF(B$2=0,0,B11/B$2)</f>
        <v>9.8039215686274508E-2</v>
      </c>
      <c r="E11" s="68" t="s">
        <v>76</v>
      </c>
      <c r="F11" s="64" t="s">
        <v>29</v>
      </c>
      <c r="G11" s="50">
        <v>10</v>
      </c>
      <c r="H11" s="27">
        <f>IF(B$25=0,0,G11/B$25)</f>
        <v>9.9009900990099015E-2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103</v>
      </c>
      <c r="C12" s="35">
        <f>IF(B$24=0,0,B12/B$24)</f>
        <v>0.29682997118155618</v>
      </c>
      <c r="E12" s="68" t="s">
        <v>93</v>
      </c>
      <c r="F12" s="64" t="s">
        <v>46</v>
      </c>
      <c r="G12" s="50">
        <v>8</v>
      </c>
      <c r="H12" s="27">
        <f>IF(B$25=0,0,G12/B$25)</f>
        <v>7.9207920792079209E-2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76</v>
      </c>
      <c r="C13" s="27">
        <f>IF(B$24=0,0,B13/B$24)</f>
        <v>0.21902017291066284</v>
      </c>
      <c r="E13" s="68" t="s">
        <v>84</v>
      </c>
      <c r="F13" s="64" t="s">
        <v>37</v>
      </c>
      <c r="G13" s="50">
        <v>7</v>
      </c>
      <c r="H13" s="27">
        <f>IF(B$25=0,0,G13/B$25)</f>
        <v>6.9306930693069313E-2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60</v>
      </c>
      <c r="C14" s="24">
        <f>IF(B$12=0,0,B14/B$12)</f>
        <v>0.58252427184466016</v>
      </c>
      <c r="E14" s="68" t="s">
        <v>77</v>
      </c>
      <c r="F14" s="64" t="s">
        <v>30</v>
      </c>
      <c r="G14" s="50">
        <v>3</v>
      </c>
      <c r="H14" s="27">
        <f>IF(B$25=0,0,G14/B$25)</f>
        <v>2.9702970297029702E-2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30</v>
      </c>
      <c r="C15" s="24">
        <f>IF(B$13=0,0,B15/B$13)</f>
        <v>0.39473684210526316</v>
      </c>
      <c r="E15" s="68" t="s">
        <v>79</v>
      </c>
      <c r="F15" s="64" t="s">
        <v>32</v>
      </c>
      <c r="G15" s="50">
        <v>3</v>
      </c>
      <c r="H15" s="27">
        <f>IF(B$25=0,0,G15/B$25)</f>
        <v>2.9702970297029702E-2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0.2890625</v>
      </c>
      <c r="E16" s="68" t="s">
        <v>90</v>
      </c>
      <c r="F16" s="64" t="s">
        <v>43</v>
      </c>
      <c r="G16" s="50">
        <v>3</v>
      </c>
      <c r="H16" s="27">
        <f>IF(B$25=0,0,G16/B$25)</f>
        <v>2.9702970297029702E-2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60</v>
      </c>
      <c r="C17" s="27">
        <f>IF(B$3=0,0,B17/B$3)</f>
        <v>0.15625</v>
      </c>
      <c r="E17" s="68" t="s">
        <v>88</v>
      </c>
      <c r="F17" s="64" t="s">
        <v>41</v>
      </c>
      <c r="G17" s="50">
        <v>2</v>
      </c>
      <c r="H17" s="27">
        <f>IF(B$25=0,0,G17/B$25)</f>
        <v>1.9801980198019802E-2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51</v>
      </c>
      <c r="C18" s="27">
        <f>IF(B$3=0,0,B18/B$3)</f>
        <v>0.1328125</v>
      </c>
      <c r="E18" s="68" t="s">
        <v>81</v>
      </c>
      <c r="F18" s="64" t="s">
        <v>34</v>
      </c>
      <c r="G18" s="50">
        <v>1</v>
      </c>
      <c r="H18" s="27">
        <f>IF(B$25=0,0,G18/B$25)</f>
        <v>9.9009900990099011E-3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90</v>
      </c>
      <c r="C19" s="27">
        <f>IF(B$3=0,0,B19/B$3)</f>
        <v>0.234375</v>
      </c>
      <c r="E19" s="68" t="s">
        <v>85</v>
      </c>
      <c r="F19" s="64" t="s">
        <v>38</v>
      </c>
      <c r="G19" s="50">
        <v>1</v>
      </c>
      <c r="H19" s="27">
        <f>IF(B$25=0,0,G19/B$25)</f>
        <v>9.9009900990099011E-3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10654.954954954956</v>
      </c>
      <c r="C20" s="30">
        <v>1182700</v>
      </c>
      <c r="E20" s="68" t="s">
        <v>91</v>
      </c>
      <c r="F20" s="64" t="s">
        <v>44</v>
      </c>
      <c r="G20" s="50">
        <v>1</v>
      </c>
      <c r="H20" s="27">
        <f>IF(B$25=0,0,G20/B$25)</f>
        <v>9.9009900990099011E-3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-10040</v>
      </c>
      <c r="C21" s="48">
        <v>-903600</v>
      </c>
      <c r="E21" s="68" t="s">
        <v>98</v>
      </c>
      <c r="F21" s="64" t="s">
        <v>51</v>
      </c>
      <c r="G21" s="50">
        <v>1</v>
      </c>
      <c r="H21" s="27">
        <f>IF(B$25=0,0,G21/B$25)</f>
        <v>9.9009900990099011E-3</v>
      </c>
      <c r="J21" s="26">
        <v>19</v>
      </c>
      <c r="K21" s="28">
        <v>-273.2</v>
      </c>
    </row>
    <row r="22" spans="1:11" x14ac:dyDescent="0.4">
      <c r="A22" s="57" t="s">
        <v>186</v>
      </c>
      <c r="B22" s="49">
        <v>122</v>
      </c>
      <c r="C22" s="24">
        <f>IF(B$3=0,0,B22/B$3)</f>
        <v>0.31770833333333331</v>
      </c>
      <c r="E22" s="68" t="s">
        <v>100</v>
      </c>
      <c r="F22" s="64" t="s">
        <v>53</v>
      </c>
      <c r="G22" s="50">
        <v>1</v>
      </c>
      <c r="H22" s="27">
        <f>IF(B$25=0,0,G22/B$25)</f>
        <v>9.9009900990099011E-3</v>
      </c>
      <c r="J22" s="26">
        <v>20</v>
      </c>
      <c r="K22" s="28">
        <v>-270</v>
      </c>
    </row>
    <row r="23" spans="1:11" x14ac:dyDescent="0.4">
      <c r="A23" s="60" t="s">
        <v>187</v>
      </c>
      <c r="B23" s="52">
        <v>40</v>
      </c>
      <c r="C23" s="32">
        <f>IF(B$22=0,0,B23/B$22)</f>
        <v>0.32786885245901637</v>
      </c>
      <c r="E23" s="68" t="s">
        <v>80</v>
      </c>
      <c r="F23" s="64" t="s">
        <v>33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4">
        <v>347</v>
      </c>
      <c r="C24" s="85"/>
      <c r="E24" s="68" t="s">
        <v>82</v>
      </c>
      <c r="F24" s="64" t="s">
        <v>35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6">
        <v>101</v>
      </c>
      <c r="C25" s="87"/>
      <c r="E25" s="68" t="s">
        <v>83</v>
      </c>
      <c r="F25" s="64" t="s">
        <v>36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210</v>
      </c>
      <c r="B26" s="88">
        <v>7</v>
      </c>
      <c r="C26" s="89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212</v>
      </c>
      <c r="B27" s="79">
        <v>5</v>
      </c>
      <c r="C27" s="32">
        <f>IF(B$3=0,0,B27/B$3)</f>
        <v>1.3020833333333334E-2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AEED-BDA6-4287-946B-7E6B95C89E26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227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5</v>
      </c>
      <c r="C2" s="85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2">
        <v>46</v>
      </c>
      <c r="C3" s="93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190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4">
        <v>89</v>
      </c>
      <c r="C4" s="95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191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4">
        <f>IF(B$2=0,0,B$4/B$2)</f>
        <v>17.8</v>
      </c>
      <c r="C5" s="95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192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6">
        <f>IF(B$2=0,0,(B$7*1+B$8*2+B$9*3)/B$2)</f>
        <v>1.6</v>
      </c>
      <c r="C6" s="97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193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194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4">
        <v>46</v>
      </c>
      <c r="C24" s="85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6">
        <v>18</v>
      </c>
      <c r="C25" s="87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8">
        <v>5</v>
      </c>
      <c r="C26" s="89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ED07-13AF-4E01-A97D-0C115FAACC2A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0" t="s">
        <v>229</v>
      </c>
      <c r="C1" s="91"/>
      <c r="E1" s="66" t="s">
        <v>201</v>
      </c>
      <c r="F1" s="81" t="s">
        <v>122</v>
      </c>
      <c r="G1" s="80" t="s">
        <v>123</v>
      </c>
      <c r="H1" s="81" t="s">
        <v>124</v>
      </c>
      <c r="J1" s="21" t="s">
        <v>22</v>
      </c>
      <c r="K1" s="22" t="s">
        <v>127</v>
      </c>
      <c r="M1" s="21" t="s">
        <v>195</v>
      </c>
      <c r="N1" s="81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4">
        <v>7</v>
      </c>
      <c r="C2" s="85"/>
      <c r="E2" s="67" t="s">
        <v>73</v>
      </c>
      <c r="F2" s="63" t="s">
        <v>27</v>
      </c>
      <c r="G2" s="49">
        <v>18</v>
      </c>
      <c r="H2" s="24">
        <f>IF(B$25=0,0,G2/B$25)</f>
        <v>1.6363636363636365</v>
      </c>
      <c r="J2" s="23">
        <v>0</v>
      </c>
      <c r="K2" s="25">
        <v>0</v>
      </c>
      <c r="M2" s="23" t="s">
        <v>189</v>
      </c>
      <c r="N2" s="44">
        <f t="shared" ref="N2:N7" si="0">IF(P2=0,0,O2/P2)</f>
        <v>-685.71428571428567</v>
      </c>
      <c r="O2" s="41">
        <v>-4800</v>
      </c>
      <c r="P2" s="39">
        <v>7</v>
      </c>
    </row>
    <row r="3" spans="1:16" x14ac:dyDescent="0.4">
      <c r="A3" s="58" t="s">
        <v>8</v>
      </c>
      <c r="B3" s="92">
        <v>48</v>
      </c>
      <c r="C3" s="93"/>
      <c r="E3" s="68" t="s">
        <v>71</v>
      </c>
      <c r="F3" s="64" t="s">
        <v>25</v>
      </c>
      <c r="G3" s="50">
        <v>12</v>
      </c>
      <c r="H3" s="27">
        <f>IF(B$25=0,0,G3/B$25)</f>
        <v>1.0909090909090908</v>
      </c>
      <c r="J3" s="26">
        <v>1</v>
      </c>
      <c r="K3" s="28">
        <v>15</v>
      </c>
      <c r="M3" s="26" t="s">
        <v>190</v>
      </c>
      <c r="N3" s="45">
        <f t="shared" si="0"/>
        <v>6071.4285714285716</v>
      </c>
      <c r="O3" s="42">
        <v>42500</v>
      </c>
      <c r="P3" s="37">
        <v>7</v>
      </c>
    </row>
    <row r="4" spans="1:16" x14ac:dyDescent="0.4">
      <c r="A4" s="58" t="s">
        <v>6</v>
      </c>
      <c r="B4" s="94">
        <v>27.200000000000003</v>
      </c>
      <c r="C4" s="95"/>
      <c r="E4" s="68" t="s">
        <v>78</v>
      </c>
      <c r="F4" s="64" t="s">
        <v>31</v>
      </c>
      <c r="G4" s="50">
        <v>10</v>
      </c>
      <c r="H4" s="27">
        <f>IF(B$25=0,0,G4/B$25)</f>
        <v>0.90909090909090906</v>
      </c>
      <c r="J4" s="26">
        <v>2</v>
      </c>
      <c r="K4" s="28">
        <v>-24.299999999999997</v>
      </c>
      <c r="M4" s="26" t="s">
        <v>191</v>
      </c>
      <c r="N4" s="45">
        <f t="shared" si="0"/>
        <v>540</v>
      </c>
      <c r="O4" s="42">
        <v>2700</v>
      </c>
      <c r="P4" s="37">
        <v>5</v>
      </c>
    </row>
    <row r="5" spans="1:16" x14ac:dyDescent="0.4">
      <c r="A5" s="58" t="s">
        <v>7</v>
      </c>
      <c r="B5" s="94">
        <f>IF(B$2=0,0,B$4/B$2)</f>
        <v>3.8857142857142861</v>
      </c>
      <c r="C5" s="95"/>
      <c r="E5" s="68" t="s">
        <v>90</v>
      </c>
      <c r="F5" s="64" t="s">
        <v>43</v>
      </c>
      <c r="G5" s="50">
        <v>4</v>
      </c>
      <c r="H5" s="27">
        <f>IF(B$25=0,0,G5/B$25)</f>
        <v>0.36363636363636365</v>
      </c>
      <c r="J5" s="26">
        <v>3</v>
      </c>
      <c r="K5" s="28">
        <v>-15.599999999999998</v>
      </c>
      <c r="M5" s="26" t="s">
        <v>192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6">
        <f>IF(B$2=0,0,(B$7*1+B$8*2+B$9*3)/B$2)</f>
        <v>2.1428571428571428</v>
      </c>
      <c r="C6" s="97"/>
      <c r="E6" s="68" t="s">
        <v>96</v>
      </c>
      <c r="F6" s="64" t="s">
        <v>49</v>
      </c>
      <c r="G6" s="50">
        <v>3</v>
      </c>
      <c r="H6" s="27">
        <f>IF(B$25=0,0,G6/B$25)</f>
        <v>0.27272727272727271</v>
      </c>
      <c r="J6" s="26">
        <v>4</v>
      </c>
      <c r="K6" s="28">
        <v>5.1000000000000014</v>
      </c>
      <c r="M6" s="26" t="s">
        <v>193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1</v>
      </c>
      <c r="C7" s="27">
        <f>IF(B$2=0,0,B7/B$2)</f>
        <v>0.14285714285714285</v>
      </c>
      <c r="E7" s="68" t="s">
        <v>69</v>
      </c>
      <c r="F7" s="64" t="s">
        <v>23</v>
      </c>
      <c r="G7" s="50">
        <v>1</v>
      </c>
      <c r="H7" s="27">
        <f>IF(B$25=0,0,G7/B$25)</f>
        <v>9.0909090909090912E-2</v>
      </c>
      <c r="J7" s="26">
        <v>5</v>
      </c>
      <c r="K7" s="28">
        <v>9.6000000000000014</v>
      </c>
      <c r="M7" s="31" t="s">
        <v>194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0.5714285714285714</v>
      </c>
      <c r="E8" s="68" t="s">
        <v>76</v>
      </c>
      <c r="F8" s="64" t="s">
        <v>29</v>
      </c>
      <c r="G8" s="50">
        <v>1</v>
      </c>
      <c r="H8" s="27">
        <f>IF(B$25=0,0,G8/B$25)</f>
        <v>9.0909090909090912E-2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0.2857142857142857</v>
      </c>
      <c r="E9" s="68" t="s">
        <v>85</v>
      </c>
      <c r="F9" s="64" t="s">
        <v>38</v>
      </c>
      <c r="G9" s="50">
        <v>1</v>
      </c>
      <c r="H9" s="27">
        <f>IF(B$25=0,0,G9/B$25)</f>
        <v>9.0909090909090912E-2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1</v>
      </c>
      <c r="C10" s="29">
        <f>IF(B$2=0,0,B10/B$2)</f>
        <v>0.14285714285714285</v>
      </c>
      <c r="E10" s="68" t="s">
        <v>92</v>
      </c>
      <c r="F10" s="64" t="s">
        <v>45</v>
      </c>
      <c r="G10" s="50">
        <v>1</v>
      </c>
      <c r="H10" s="27">
        <f>IF(B$25=0,0,G10/B$25)</f>
        <v>9.0909090909090912E-2</v>
      </c>
    </row>
    <row r="11" spans="1:16" x14ac:dyDescent="0.4">
      <c r="A11" s="60" t="s">
        <v>199</v>
      </c>
      <c r="B11" s="52">
        <v>1</v>
      </c>
      <c r="C11" s="32">
        <f>IF(B$2=0,0,B11/B$2)</f>
        <v>0.14285714285714285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6.25E-2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23</v>
      </c>
      <c r="C13" s="27">
        <f>IF(B$24=0,0,B13/B$24)</f>
        <v>0.47916666666666669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10</v>
      </c>
      <c r="C15" s="24">
        <f>IF(B$13=0,0,B15/B$13)</f>
        <v>0.43478260869565216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11</v>
      </c>
      <c r="C16" s="24">
        <f>IF(B$3=0,0,B16/B$3)</f>
        <v>0.22916666666666666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10</v>
      </c>
      <c r="C17" s="27">
        <f>IF(B$3=0,0,B17/B$3)</f>
        <v>0.20833333333333334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2.0833333333333332E-2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0.14583333333333334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10354.545454545454</v>
      </c>
      <c r="C20" s="30">
        <v>113900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11</v>
      </c>
      <c r="C22" s="24">
        <f>IF(B$3=0,0,B22/B$3)</f>
        <v>0.22916666666666666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2</v>
      </c>
      <c r="C23" s="32">
        <f>IF(B$22=0,0,B23/B$22)</f>
        <v>0.18181818181818182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4">
        <v>48</v>
      </c>
      <c r="C24" s="85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6">
        <v>11</v>
      </c>
      <c r="C25" s="87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8">
        <v>5</v>
      </c>
      <c r="C26" s="89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9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223</v>
      </c>
      <c r="B32" s="75">
        <v>43475.056238425925</v>
      </c>
      <c r="C32" s="74" t="s">
        <v>166</v>
      </c>
    </row>
    <row r="33" spans="1:10" x14ac:dyDescent="0.4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Template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2019-01-19T11:23:50Z</dcterms:modified>
</cp:coreProperties>
</file>