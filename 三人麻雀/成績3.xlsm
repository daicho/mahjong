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3176706B-DF00-42E6-848F-D37C67E114C2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456" r:id="rId2"/>
    <sheet name="かこたろう" sheetId="1457" r:id="rId3"/>
    <sheet name="ともき" sheetId="1458" r:id="rId4"/>
    <sheet name="りくと" sheetId="1459" r:id="rId5"/>
    <sheet name="いっしー" sheetId="1460" r:id="rId6"/>
    <sheet name="がくと" sheetId="1461" r:id="rId7"/>
    <sheet name="たかの" sheetId="1462" r:id="rId8"/>
    <sheet name="ただ" sheetId="1463" r:id="rId9"/>
    <sheet name="やがさき" sheetId="1464" r:id="rId10"/>
    <sheet name="れんたろう" sheetId="1465" r:id="rId11"/>
    <sheet name="Template" sheetId="1" r:id="rId12"/>
  </sheets>
  <functionGroups builtInGroupCount="19"/>
  <calcPr calcId="17901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465" l="1"/>
  <c r="C14" i="1465"/>
  <c r="C13" i="1465"/>
  <c r="C12" i="1465"/>
  <c r="B11" i="1465"/>
  <c r="B15" i="1465" s="1"/>
  <c r="C10" i="1465"/>
  <c r="C9" i="1465"/>
  <c r="C8" i="1465"/>
  <c r="C7" i="1465"/>
  <c r="B6" i="1465"/>
  <c r="B5" i="1465"/>
  <c r="C11" i="1465" l="1"/>
  <c r="B16" i="1464" l="1"/>
  <c r="C14" i="1464"/>
  <c r="C13" i="1464"/>
  <c r="C12" i="1464"/>
  <c r="B11" i="1464"/>
  <c r="B15" i="1464" s="1"/>
  <c r="C10" i="1464"/>
  <c r="C9" i="1464"/>
  <c r="C8" i="1464"/>
  <c r="C7" i="1464"/>
  <c r="B6" i="1464"/>
  <c r="B5" i="1464"/>
  <c r="C11" i="1464" l="1"/>
  <c r="B16" i="1463" l="1"/>
  <c r="C14" i="1463"/>
  <c r="C13" i="1463"/>
  <c r="C12" i="1463"/>
  <c r="B11" i="1463"/>
  <c r="B15" i="1463" s="1"/>
  <c r="C10" i="1463"/>
  <c r="C9" i="1463"/>
  <c r="C8" i="1463"/>
  <c r="C7" i="1463"/>
  <c r="B6" i="1463"/>
  <c r="B5" i="1463"/>
  <c r="B16" i="1462"/>
  <c r="C14" i="1462"/>
  <c r="C13" i="1462"/>
  <c r="C12" i="1462"/>
  <c r="B11" i="1462"/>
  <c r="B15" i="1462" s="1"/>
  <c r="C10" i="1462"/>
  <c r="C9" i="1462"/>
  <c r="C8" i="1462"/>
  <c r="C7" i="1462"/>
  <c r="B6" i="1462"/>
  <c r="B5" i="1462"/>
  <c r="C11" i="1463" l="1"/>
  <c r="C11" i="1462"/>
  <c r="B16" i="1461" l="1"/>
  <c r="C14" i="1461"/>
  <c r="C13" i="1461"/>
  <c r="C12" i="1461"/>
  <c r="B11" i="1461"/>
  <c r="B15" i="1461" s="1"/>
  <c r="C10" i="1461"/>
  <c r="C9" i="1461"/>
  <c r="C8" i="1461"/>
  <c r="C7" i="1461"/>
  <c r="B6" i="1461"/>
  <c r="B5" i="1461"/>
  <c r="C11" i="1461" l="1"/>
  <c r="B16" i="1460" l="1"/>
  <c r="C14" i="1460"/>
  <c r="C13" i="1460"/>
  <c r="C12" i="1460"/>
  <c r="B11" i="1460"/>
  <c r="B15" i="1460" s="1"/>
  <c r="C10" i="1460"/>
  <c r="C9" i="1460"/>
  <c r="C8" i="1460"/>
  <c r="C7" i="1460"/>
  <c r="B6" i="1460"/>
  <c r="B5" i="1460"/>
  <c r="B16" i="1459"/>
  <c r="C14" i="1459"/>
  <c r="C13" i="1459"/>
  <c r="C12" i="1459"/>
  <c r="B11" i="1459"/>
  <c r="B15" i="1459" s="1"/>
  <c r="C10" i="1459"/>
  <c r="C9" i="1459"/>
  <c r="C8" i="1459"/>
  <c r="C7" i="1459"/>
  <c r="B6" i="1459"/>
  <c r="B5" i="1459"/>
  <c r="C11" i="1460" l="1"/>
  <c r="C11" i="1459"/>
  <c r="B16" i="1458" l="1"/>
  <c r="C14" i="1458"/>
  <c r="C13" i="1458"/>
  <c r="C12" i="1458"/>
  <c r="B11" i="1458"/>
  <c r="B15" i="1458" s="1"/>
  <c r="C10" i="1458"/>
  <c r="C9" i="1458"/>
  <c r="C8" i="1458"/>
  <c r="C7" i="1458"/>
  <c r="B6" i="1458"/>
  <c r="B5" i="1458"/>
  <c r="B16" i="1457"/>
  <c r="C14" i="1457"/>
  <c r="C13" i="1457"/>
  <c r="C12" i="1457"/>
  <c r="B11" i="1457"/>
  <c r="B15" i="1457" s="1"/>
  <c r="C10" i="1457"/>
  <c r="C9" i="1457"/>
  <c r="C8" i="1457"/>
  <c r="C7" i="1457"/>
  <c r="B6" i="1457"/>
  <c r="B5" i="1457"/>
  <c r="B16" i="1456"/>
  <c r="C14" i="1456"/>
  <c r="C13" i="1456"/>
  <c r="C12" i="1456"/>
  <c r="B11" i="1456"/>
  <c r="B15" i="1456" s="1"/>
  <c r="C10" i="1456"/>
  <c r="C9" i="1456"/>
  <c r="C8" i="1456"/>
  <c r="C7" i="1456"/>
  <c r="B6" i="1456"/>
  <c r="B5" i="1456"/>
  <c r="C11" i="1458" l="1"/>
  <c r="C11" i="1457"/>
  <c r="C11" i="1456"/>
  <c r="C12" i="1" l="1"/>
  <c r="C14" i="1"/>
  <c r="C13" i="1"/>
  <c r="C10" i="1" l="1"/>
  <c r="C7" i="1"/>
  <c r="C9" i="1" l="1"/>
  <c r="C8" i="1" l="1"/>
  <c r="B16" i="1" l="1"/>
  <c r="B11" i="1" l="1"/>
  <c r="C11" i="1" l="1"/>
  <c r="B15" i="1"/>
  <c r="B5" i="1"/>
  <c r="B6" i="1"/>
</calcChain>
</file>

<file path=xl/sharedStrings.xml><?xml version="1.0" encoding="utf-8"?>
<sst xmlns="http://schemas.openxmlformats.org/spreadsheetml/2006/main" count="307" uniqueCount="42">
  <si>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</si>
  <si>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</si>
  <si>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</si>
  <si>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</si>
  <si>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</si>
  <si>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</si>
  <si>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</si>
  <si>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</si>
  <si>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</si>
  <si>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</si>
  <si>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</si>
  <si>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</si>
  <si>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</si>
  <si>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</si>
  <si>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</si>
  <si>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</si>
  <si>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</si>
  <si>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</si>
  <si>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</si>
  <si>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</si>
  <si>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</si>
  <si>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</si>
  <si>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</si>
  <si>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</si>
  <si>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</si>
  <si>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</si>
  <si>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</si>
  <si>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</si>
  <si>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</si>
  <si>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</si>
  <si>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</si>
  <si>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</si>
  <si>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</si>
  <si>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</si>
  <si>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</si>
  <si>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</si>
  <si>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</si>
  <si>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</si>
  <si>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</si>
  <si>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</si>
  <si>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通算スコア</t>
    <rPh sb="0" eb="2">
      <t>ツウサン</t>
    </rPh>
    <phoneticPr fontId="1"/>
  </si>
  <si>
    <t>回</t>
    <rPh sb="0" eb="1">
      <t>カイ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</si>
</sst>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9" fontId="0" fillId="0" borderId="10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76" fontId="0" fillId="0" borderId="20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vertical="center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177" fontId="0" fillId="0" borderId="24" xfId="0" applyNumberForma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9" fontId="0" fillId="0" borderId="24" xfId="0" applyNumberFormat="1" applyBorder="1" applyAlignment="1">
      <alignment horizontal="center" vertical="center" shrinkToFit="1"/>
    </xf>
    <xf numFmtId="9" fontId="0" fillId="0" borderId="24" xfId="0" applyNumberFormat="1" applyBorder="1" applyAlignment="1">
      <alignment horizontal="center" vertical="center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NumberFormat="1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だいち!$F$1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だいち!$E$2:$E$89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だいち!$F$2:$F$89</c:f>
              <c:numCache>
                <c:formatCode>\+0;\-0;\±0</c:formatCode>
                <c:ptCount val="8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</c:v>
                </c:pt>
                <c:pt idx="4">
                  <c:v>114</c:v>
                </c:pt>
                <c:pt idx="5">
                  <c:v>146</c:v>
                </c:pt>
                <c:pt idx="6">
                  <c:v>98</c:v>
                </c:pt>
                <c:pt idx="7">
                  <c:v>92</c:v>
                </c:pt>
                <c:pt idx="8">
                  <c:v>56</c:v>
                </c:pt>
                <c:pt idx="9">
                  <c:v>15</c:v>
                </c:pt>
                <c:pt idx="10">
                  <c:v>-17</c:v>
                </c:pt>
                <c:pt idx="11">
                  <c:v>1</c:v>
                </c:pt>
                <c:pt idx="12">
                  <c:v>14</c:v>
                </c:pt>
                <c:pt idx="13">
                  <c:v>71</c:v>
                </c:pt>
                <c:pt idx="14">
                  <c:v>27</c:v>
                </c:pt>
                <c:pt idx="15">
                  <c:v>-10</c:v>
                </c:pt>
                <c:pt idx="16">
                  <c:v>-8</c:v>
                </c:pt>
                <c:pt idx="17">
                  <c:v>-29</c:v>
                </c:pt>
                <c:pt idx="18">
                  <c:v>-14</c:v>
                </c:pt>
                <c:pt idx="19">
                  <c:v>43</c:v>
                </c:pt>
                <c:pt idx="20">
                  <c:v>69</c:v>
                </c:pt>
                <c:pt idx="21">
                  <c:v>126</c:v>
                </c:pt>
                <c:pt idx="22">
                  <c:v>100</c:v>
                </c:pt>
                <c:pt idx="23">
                  <c:v>125</c:v>
                </c:pt>
                <c:pt idx="24">
                  <c:v>118</c:v>
                </c:pt>
                <c:pt idx="25">
                  <c:v>84</c:v>
                </c:pt>
                <c:pt idx="26">
                  <c:v>108</c:v>
                </c:pt>
                <c:pt idx="27">
                  <c:v>71</c:v>
                </c:pt>
                <c:pt idx="28">
                  <c:v>129</c:v>
                </c:pt>
                <c:pt idx="29">
                  <c:v>121</c:v>
                </c:pt>
                <c:pt idx="30">
                  <c:v>113</c:v>
                </c:pt>
                <c:pt idx="31">
                  <c:v>166</c:v>
                </c:pt>
                <c:pt idx="32">
                  <c:v>152</c:v>
                </c:pt>
                <c:pt idx="33">
                  <c:v>213</c:v>
                </c:pt>
                <c:pt idx="34">
                  <c:v>263</c:v>
                </c:pt>
                <c:pt idx="35">
                  <c:v>249</c:v>
                </c:pt>
                <c:pt idx="36">
                  <c:v>246</c:v>
                </c:pt>
                <c:pt idx="37">
                  <c:v>229</c:v>
                </c:pt>
                <c:pt idx="38">
                  <c:v>250</c:v>
                </c:pt>
                <c:pt idx="39">
                  <c:v>199</c:v>
                </c:pt>
                <c:pt idx="40">
                  <c:v>191</c:v>
                </c:pt>
                <c:pt idx="41">
                  <c:v>184</c:v>
                </c:pt>
                <c:pt idx="42">
                  <c:v>148</c:v>
                </c:pt>
                <c:pt idx="43">
                  <c:v>139</c:v>
                </c:pt>
                <c:pt idx="44">
                  <c:v>147</c:v>
                </c:pt>
                <c:pt idx="45">
                  <c:v>137</c:v>
                </c:pt>
                <c:pt idx="46">
                  <c:v>165</c:v>
                </c:pt>
                <c:pt idx="47">
                  <c:v>144</c:v>
                </c:pt>
                <c:pt idx="48">
                  <c:v>113</c:v>
                </c:pt>
                <c:pt idx="49">
                  <c:v>129</c:v>
                </c:pt>
                <c:pt idx="50">
                  <c:v>124</c:v>
                </c:pt>
                <c:pt idx="51">
                  <c:v>137</c:v>
                </c:pt>
                <c:pt idx="52">
                  <c:v>138</c:v>
                </c:pt>
                <c:pt idx="53">
                  <c:v>131</c:v>
                </c:pt>
                <c:pt idx="54">
                  <c:v>103</c:v>
                </c:pt>
                <c:pt idx="55">
                  <c:v>120</c:v>
                </c:pt>
                <c:pt idx="56">
                  <c:v>113</c:v>
                </c:pt>
                <c:pt idx="57">
                  <c:v>145</c:v>
                </c:pt>
                <c:pt idx="58">
                  <c:v>161</c:v>
                </c:pt>
                <c:pt idx="59">
                  <c:v>218</c:v>
                </c:pt>
                <c:pt idx="60">
                  <c:v>223</c:v>
                </c:pt>
                <c:pt idx="61">
                  <c:v>177</c:v>
                </c:pt>
                <c:pt idx="62">
                  <c:v>198</c:v>
                </c:pt>
                <c:pt idx="63">
                  <c:v>132</c:v>
                </c:pt>
                <c:pt idx="64">
                  <c:v>127</c:v>
                </c:pt>
                <c:pt idx="65">
                  <c:v>128</c:v>
                </c:pt>
                <c:pt idx="66">
                  <c:v>160</c:v>
                </c:pt>
                <c:pt idx="67">
                  <c:v>141</c:v>
                </c:pt>
                <c:pt idx="68">
                  <c:v>131</c:v>
                </c:pt>
                <c:pt idx="69">
                  <c:v>132</c:v>
                </c:pt>
                <c:pt idx="70">
                  <c:v>164</c:v>
                </c:pt>
                <c:pt idx="71">
                  <c:v>192</c:v>
                </c:pt>
                <c:pt idx="72">
                  <c:v>185</c:v>
                </c:pt>
                <c:pt idx="73">
                  <c:v>203</c:v>
                </c:pt>
                <c:pt idx="74">
                  <c:v>189</c:v>
                </c:pt>
                <c:pt idx="75">
                  <c:v>229</c:v>
                </c:pt>
                <c:pt idx="76">
                  <c:v>234</c:v>
                </c:pt>
                <c:pt idx="77">
                  <c:v>220</c:v>
                </c:pt>
                <c:pt idx="78">
                  <c:v>225</c:v>
                </c:pt>
                <c:pt idx="79">
                  <c:v>257</c:v>
                </c:pt>
                <c:pt idx="80">
                  <c:v>297</c:v>
                </c:pt>
                <c:pt idx="81">
                  <c:v>320</c:v>
                </c:pt>
                <c:pt idx="82">
                  <c:v>352</c:v>
                </c:pt>
                <c:pt idx="83">
                  <c:v>412</c:v>
                </c:pt>
                <c:pt idx="84">
                  <c:v>423</c:v>
                </c:pt>
                <c:pt idx="85">
                  <c:v>425</c:v>
                </c:pt>
                <c:pt idx="86">
                  <c:v>404</c:v>
                </c:pt>
                <c:pt idx="87">
                  <c:v>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A4-414C-9415-7174673FE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かこたろう!$E$2:$E$6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かこたろう!$F$2:$F$6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</c:v>
                </c:pt>
                <c:pt idx="3">
                  <c:v>-85</c:v>
                </c:pt>
                <c:pt idx="4">
                  <c:v>-132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5F-466F-8702-692B8E43B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ともき!$F$1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ともき!$E$2:$E$3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ともき!$F$2:$F$3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3B-4E20-B0EF-5CCC0A681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りくと!$F$1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りくと!$E$2:$E$52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りくと!$F$2:$F$52</c:f>
              <c:numCache>
                <c:formatCode>\+0;\-0;\±0</c:formatCode>
                <c:ptCount val="51"/>
                <c:pt idx="0">
                  <c:v>0</c:v>
                </c:pt>
                <c:pt idx="1">
                  <c:v>41</c:v>
                </c:pt>
                <c:pt idx="2">
                  <c:v>-1</c:v>
                </c:pt>
                <c:pt idx="3">
                  <c:v>-37</c:v>
                </c:pt>
                <c:pt idx="4">
                  <c:v>3</c:v>
                </c:pt>
                <c:pt idx="5">
                  <c:v>14</c:v>
                </c:pt>
                <c:pt idx="6">
                  <c:v>47</c:v>
                </c:pt>
                <c:pt idx="7">
                  <c:v>100</c:v>
                </c:pt>
                <c:pt idx="8">
                  <c:v>60</c:v>
                </c:pt>
                <c:pt idx="9">
                  <c:v>24</c:v>
                </c:pt>
                <c:pt idx="10">
                  <c:v>-21</c:v>
                </c:pt>
                <c:pt idx="11">
                  <c:v>-4</c:v>
                </c:pt>
                <c:pt idx="12">
                  <c:v>-12</c:v>
                </c:pt>
                <c:pt idx="13">
                  <c:v>50</c:v>
                </c:pt>
                <c:pt idx="14">
                  <c:v>33</c:v>
                </c:pt>
                <c:pt idx="15">
                  <c:v>39</c:v>
                </c:pt>
                <c:pt idx="16">
                  <c:v>15</c:v>
                </c:pt>
                <c:pt idx="17">
                  <c:v>14</c:v>
                </c:pt>
                <c:pt idx="18">
                  <c:v>-22</c:v>
                </c:pt>
                <c:pt idx="19">
                  <c:v>-27</c:v>
                </c:pt>
                <c:pt idx="20">
                  <c:v>-58</c:v>
                </c:pt>
                <c:pt idx="21">
                  <c:v>-83</c:v>
                </c:pt>
                <c:pt idx="22">
                  <c:v>-95</c:v>
                </c:pt>
                <c:pt idx="23">
                  <c:v>-112</c:v>
                </c:pt>
                <c:pt idx="24">
                  <c:v>-69</c:v>
                </c:pt>
                <c:pt idx="25">
                  <c:v>-72</c:v>
                </c:pt>
                <c:pt idx="26">
                  <c:v>-127</c:v>
                </c:pt>
                <c:pt idx="27">
                  <c:v>-165</c:v>
                </c:pt>
                <c:pt idx="28">
                  <c:v>-171</c:v>
                </c:pt>
                <c:pt idx="29">
                  <c:v>-165</c:v>
                </c:pt>
                <c:pt idx="30">
                  <c:v>-211</c:v>
                </c:pt>
                <c:pt idx="31">
                  <c:v>-262</c:v>
                </c:pt>
                <c:pt idx="32">
                  <c:v>-256</c:v>
                </c:pt>
                <c:pt idx="33">
                  <c:v>-237</c:v>
                </c:pt>
                <c:pt idx="34">
                  <c:v>-232</c:v>
                </c:pt>
                <c:pt idx="35">
                  <c:v>-257</c:v>
                </c:pt>
                <c:pt idx="36">
                  <c:v>-207</c:v>
                </c:pt>
                <c:pt idx="37">
                  <c:v>-252</c:v>
                </c:pt>
                <c:pt idx="38">
                  <c:v>-245</c:v>
                </c:pt>
                <c:pt idx="39">
                  <c:v>-247</c:v>
                </c:pt>
                <c:pt idx="40">
                  <c:v>-282</c:v>
                </c:pt>
                <c:pt idx="41">
                  <c:v>-322</c:v>
                </c:pt>
                <c:pt idx="42">
                  <c:v>-316</c:v>
                </c:pt>
                <c:pt idx="43">
                  <c:v>-286</c:v>
                </c:pt>
                <c:pt idx="44">
                  <c:v>-241</c:v>
                </c:pt>
                <c:pt idx="45">
                  <c:v>-257</c:v>
                </c:pt>
                <c:pt idx="46">
                  <c:v>-281</c:v>
                </c:pt>
                <c:pt idx="47">
                  <c:v>-265</c:v>
                </c:pt>
                <c:pt idx="48">
                  <c:v>-289</c:v>
                </c:pt>
                <c:pt idx="49">
                  <c:v>-283</c:v>
                </c:pt>
                <c:pt idx="50">
                  <c:v>-287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B8-4F49-8BE5-754F75B6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いっしー!$E$2:$E$41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いっしー!$F$2:$F$41</c:f>
              <c:numCache>
                <c:formatCode>\+0;\-0;\±0</c:formatCode>
                <c:ptCount val="40"/>
                <c:pt idx="0">
                  <c:v>0</c:v>
                </c:pt>
                <c:pt idx="1">
                  <c:v>-40</c:v>
                </c:pt>
                <c:pt idx="2">
                  <c:v>-13</c:v>
                </c:pt>
                <c:pt idx="3">
                  <c:v>-58</c:v>
                </c:pt>
                <c:pt idx="4">
                  <c:v>-54</c:v>
                </c:pt>
                <c:pt idx="5">
                  <c:v>-46</c:v>
                </c:pt>
                <c:pt idx="6">
                  <c:v>-51</c:v>
                </c:pt>
                <c:pt idx="7">
                  <c:v>-48</c:v>
                </c:pt>
                <c:pt idx="8">
                  <c:v>-60</c:v>
                </c:pt>
                <c:pt idx="9">
                  <c:v>-79</c:v>
                </c:pt>
                <c:pt idx="10">
                  <c:v>-80</c:v>
                </c:pt>
                <c:pt idx="11">
                  <c:v>-90</c:v>
                </c:pt>
                <c:pt idx="12">
                  <c:v>-25</c:v>
                </c:pt>
                <c:pt idx="13">
                  <c:v>-14</c:v>
                </c:pt>
                <c:pt idx="14">
                  <c:v>37</c:v>
                </c:pt>
                <c:pt idx="15">
                  <c:v>54</c:v>
                </c:pt>
                <c:pt idx="16">
                  <c:v>38</c:v>
                </c:pt>
                <c:pt idx="17">
                  <c:v>13</c:v>
                </c:pt>
                <c:pt idx="18">
                  <c:v>-29</c:v>
                </c:pt>
                <c:pt idx="19">
                  <c:v>-21</c:v>
                </c:pt>
                <c:pt idx="20">
                  <c:v>4</c:v>
                </c:pt>
                <c:pt idx="21">
                  <c:v>66</c:v>
                </c:pt>
                <c:pt idx="22">
                  <c:v>75</c:v>
                </c:pt>
                <c:pt idx="23">
                  <c:v>90</c:v>
                </c:pt>
                <c:pt idx="24">
                  <c:v>46</c:v>
                </c:pt>
                <c:pt idx="25">
                  <c:v>56</c:v>
                </c:pt>
                <c:pt idx="26">
                  <c:v>139</c:v>
                </c:pt>
                <c:pt idx="27">
                  <c:v>160</c:v>
                </c:pt>
                <c:pt idx="28">
                  <c:v>172</c:v>
                </c:pt>
                <c:pt idx="29">
                  <c:v>202</c:v>
                </c:pt>
                <c:pt idx="30">
                  <c:v>195</c:v>
                </c:pt>
                <c:pt idx="31">
                  <c:v>183</c:v>
                </c:pt>
                <c:pt idx="32">
                  <c:v>201</c:v>
                </c:pt>
                <c:pt idx="33">
                  <c:v>242</c:v>
                </c:pt>
                <c:pt idx="34">
                  <c:v>231</c:v>
                </c:pt>
                <c:pt idx="35">
                  <c:v>185</c:v>
                </c:pt>
                <c:pt idx="36">
                  <c:v>232</c:v>
                </c:pt>
                <c:pt idx="37">
                  <c:v>247</c:v>
                </c:pt>
                <c:pt idx="38">
                  <c:v>229</c:v>
                </c:pt>
                <c:pt idx="39">
                  <c:v>229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A2-46A0-A331-E0A8D1CBA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がくと!$F$1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がくと!$E$2:$E$3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がくと!$F$2:$F$3</c:f>
              <c:numCache>
                <c:formatCode>\+0;\-0;\±0</c:formatCode>
                <c:ptCount val="2"/>
                <c:pt idx="0">
                  <c:v>0</c:v>
                </c:pt>
                <c:pt idx="1">
                  <c:v>-41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62-4510-8C8A-D4DC41A01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たかの!$E$2:$E$32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たかの!$F$2:$F$32</c:f>
              <c:numCache>
                <c:formatCode>\+0;\-0;\±0</c:formatCode>
                <c:ptCount val="31"/>
                <c:pt idx="0">
                  <c:v>0</c:v>
                </c:pt>
                <c:pt idx="1">
                  <c:v>68</c:v>
                </c:pt>
                <c:pt idx="2">
                  <c:v>58</c:v>
                </c:pt>
                <c:pt idx="3">
                  <c:v>82</c:v>
                </c:pt>
                <c:pt idx="4">
                  <c:v>58</c:v>
                </c:pt>
                <c:pt idx="5">
                  <c:v>124</c:v>
                </c:pt>
                <c:pt idx="6">
                  <c:v>126</c:v>
                </c:pt>
                <c:pt idx="7">
                  <c:v>130</c:v>
                </c:pt>
                <c:pt idx="8">
                  <c:v>97</c:v>
                </c:pt>
                <c:pt idx="9">
                  <c:v>83</c:v>
                </c:pt>
                <c:pt idx="10">
                  <c:v>111</c:v>
                </c:pt>
                <c:pt idx="11">
                  <c:v>139</c:v>
                </c:pt>
                <c:pt idx="12">
                  <c:v>100</c:v>
                </c:pt>
                <c:pt idx="13">
                  <c:v>62</c:v>
                </c:pt>
                <c:pt idx="14">
                  <c:v>42</c:v>
                </c:pt>
                <c:pt idx="15">
                  <c:v>33</c:v>
                </c:pt>
                <c:pt idx="16">
                  <c:v>-6</c:v>
                </c:pt>
                <c:pt idx="17">
                  <c:v>-18</c:v>
                </c:pt>
                <c:pt idx="18">
                  <c:v>-18</c:v>
                </c:pt>
                <c:pt idx="19">
                  <c:v>-3</c:v>
                </c:pt>
                <c:pt idx="20">
                  <c:v>45</c:v>
                </c:pt>
                <c:pt idx="21">
                  <c:v>3</c:v>
                </c:pt>
                <c:pt idx="22">
                  <c:v>-3</c:v>
                </c:pt>
                <c:pt idx="23">
                  <c:v>22</c:v>
                </c:pt>
                <c:pt idx="24">
                  <c:v>8</c:v>
                </c:pt>
                <c:pt idx="25">
                  <c:v>0</c:v>
                </c:pt>
                <c:pt idx="26">
                  <c:v>-11</c:v>
                </c:pt>
                <c:pt idx="27">
                  <c:v>-33</c:v>
                </c:pt>
                <c:pt idx="28">
                  <c:v>-27</c:v>
                </c:pt>
                <c:pt idx="29">
                  <c:v>-26</c:v>
                </c:pt>
                <c:pt idx="30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2A-4FC9-A4BB-3DD553B4B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ただ!$E$2:$E$34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ただ!$F$2:$F$34</c:f>
              <c:numCache>
                <c:formatCode>\+0;\-0;\±0</c:formatCode>
                <c:ptCount val="33"/>
                <c:pt idx="0">
                  <c:v>0</c:v>
                </c:pt>
                <c:pt idx="1">
                  <c:v>-37</c:v>
                </c:pt>
                <c:pt idx="2">
                  <c:v>-46</c:v>
                </c:pt>
                <c:pt idx="3">
                  <c:v>-82</c:v>
                </c:pt>
                <c:pt idx="4">
                  <c:v>-114</c:v>
                </c:pt>
                <c:pt idx="5">
                  <c:v>-136</c:v>
                </c:pt>
                <c:pt idx="6">
                  <c:v>-100</c:v>
                </c:pt>
                <c:pt idx="7">
                  <c:v>-105</c:v>
                </c:pt>
                <c:pt idx="8">
                  <c:v>-51</c:v>
                </c:pt>
                <c:pt idx="9">
                  <c:v>-52</c:v>
                </c:pt>
                <c:pt idx="10">
                  <c:v>-71</c:v>
                </c:pt>
                <c:pt idx="11">
                  <c:v>-90</c:v>
                </c:pt>
                <c:pt idx="12">
                  <c:v>-87</c:v>
                </c:pt>
                <c:pt idx="13">
                  <c:v>-71</c:v>
                </c:pt>
                <c:pt idx="14">
                  <c:v>-60</c:v>
                </c:pt>
                <c:pt idx="15">
                  <c:v>-67</c:v>
                </c:pt>
                <c:pt idx="16">
                  <c:v>7</c:v>
                </c:pt>
                <c:pt idx="17">
                  <c:v>42</c:v>
                </c:pt>
                <c:pt idx="18">
                  <c:v>42</c:v>
                </c:pt>
                <c:pt idx="19">
                  <c:v>106</c:v>
                </c:pt>
                <c:pt idx="20">
                  <c:v>109</c:v>
                </c:pt>
                <c:pt idx="21">
                  <c:v>110</c:v>
                </c:pt>
                <c:pt idx="22">
                  <c:v>113</c:v>
                </c:pt>
                <c:pt idx="23">
                  <c:v>158</c:v>
                </c:pt>
                <c:pt idx="24">
                  <c:v>157</c:v>
                </c:pt>
                <c:pt idx="25">
                  <c:v>117</c:v>
                </c:pt>
                <c:pt idx="26">
                  <c:v>101</c:v>
                </c:pt>
                <c:pt idx="27">
                  <c:v>112</c:v>
                </c:pt>
                <c:pt idx="28">
                  <c:v>68</c:v>
                </c:pt>
                <c:pt idx="29">
                  <c:v>27</c:v>
                </c:pt>
                <c:pt idx="30">
                  <c:v>16</c:v>
                </c:pt>
                <c:pt idx="31">
                  <c:v>32</c:v>
                </c:pt>
                <c:pt idx="32">
                  <c:v>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DB-4AC7-9AD5-D6DDBDDCF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やがさき!$E$2:$E$14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やがさき!$F$2:$F$14</c:f>
              <c:numCache>
                <c:formatCode>\+0;\-0;\±0</c:formatCode>
                <c:ptCount val="13"/>
                <c:pt idx="0">
                  <c:v>0</c:v>
                </c:pt>
                <c:pt idx="1">
                  <c:v>-14</c:v>
                </c:pt>
                <c:pt idx="2">
                  <c:v>38</c:v>
                </c:pt>
                <c:pt idx="3">
                  <c:v>-2</c:v>
                </c:pt>
                <c:pt idx="4">
                  <c:v>-44</c:v>
                </c:pt>
                <c:pt idx="5">
                  <c:v>9</c:v>
                </c:pt>
                <c:pt idx="6">
                  <c:v>24</c:v>
                </c:pt>
                <c:pt idx="7">
                  <c:v>41</c:v>
                </c:pt>
                <c:pt idx="8">
                  <c:v>5</c:v>
                </c:pt>
                <c:pt idx="9">
                  <c:v>8</c:v>
                </c:pt>
                <c:pt idx="10">
                  <c:v>58</c:v>
                </c:pt>
                <c:pt idx="11">
                  <c:v>71</c:v>
                </c:pt>
                <c:pt idx="12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2E-45FB-B494-71E8BA21D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れんたろう!$E$2:$E$22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れんたろう!$F$2:$F$22</c:f>
              <c:numCache>
                <c:formatCode>\+0;\-0;\±0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-34</c:v>
                </c:pt>
                <c:pt idx="3">
                  <c:v>-70</c:v>
                </c:pt>
                <c:pt idx="4">
                  <c:v>-35</c:v>
                </c:pt>
                <c:pt idx="5">
                  <c:v>-80</c:v>
                </c:pt>
                <c:pt idx="6">
                  <c:v>-116</c:v>
                </c:pt>
                <c:pt idx="7">
                  <c:v>-147</c:v>
                </c:pt>
                <c:pt idx="8">
                  <c:v>-146</c:v>
                </c:pt>
                <c:pt idx="9">
                  <c:v>-173</c:v>
                </c:pt>
                <c:pt idx="10">
                  <c:v>-206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</c:v>
                </c:pt>
                <c:pt idx="16">
                  <c:v>-233</c:v>
                </c:pt>
                <c:pt idx="17">
                  <c:v>-269</c:v>
                </c:pt>
                <c:pt idx="18">
                  <c:v>-296</c:v>
                </c:pt>
                <c:pt idx="19">
                  <c:v>-273</c:v>
                </c:pt>
                <c:pt idx="20">
                  <c:v>-270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D-4EB5-BAA3-140EC0C3B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Template!$F$1</c:f>
              <c:strCache>
                <c:ptCount val="1"/>
                <c:pt idx="0">
                  <c:v>通算スコア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Template!$E$2:$E$9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Template!$F$2:$F$9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2AC13C1-102C-44E1-AF5E-54C14FE48B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6C39D0D-F05C-4EE0-A3A2-7D823F7BFD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C0388DF-69AD-460F-B175-474D43B4EE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CA3FAE-7471-4E75-A1CB-D6D65BB5CA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3351C41-69EB-4486-ABA8-8B6F0151F7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78EDF6E-95C1-47CB-B8A9-BEBFFE386B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F17B20-9FA5-48E7-B48A-7592539DD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166C6AC-B840-426D-8294-40B836C85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CC970AB-9DAC-4AA7-AFD6-EFC3C94C84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9DE8616-891C-4E46-BCF4-6060EC8120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323850</xdr:colOff>
      <xdr:row>1</xdr:row>
      <xdr:rowOff>27215</xdr:rowOff>
    </xdr:from>
    <xdr:to>
      <xdr:col>13</xdr:col>
      <xdr:colOff>95250</xdr:colOff>
      <xdr:row>12</xdr:row>
      <xdr:rowOff>103415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11"/>
  <sheetViews>
    <sheetView showGridLines="0" tabSelected="1" zoomScale="200" zoomScaleNormal="200" workbookViewId="0"/>
  </sheetViews>
  <sheetFormatPr defaultRowHeight="18.75" x14ac:dyDescent="0.4"/>
  <cols>
    <col min="1" max="1" width="6" style="33" customWidth="1"/>
    <col min="2" max="2" width="10.75" style="32" customWidth="1"/>
    <col min="3" max="3" width="10.75" style="25" customWidth="1"/>
    <col min="4" max="4" width="10.75" style="20" customWidth="1"/>
    <col min="5" max="5" width="10.75" style="24" customWidth="1"/>
    <col min="6" max="6" width="10.75" style="20" customWidth="1"/>
    <col min="7" max="7" width="10.75" style="31" customWidth="1"/>
    <col min="8" max="8" width="10.75" style="20" customWidth="1"/>
    <col min="9" max="9" width="10.75" style="23" customWidth="1"/>
    <col min="10" max="10" width="10.75" style="20" customWidth="1"/>
    <col min="11" max="11" width="10.75" style="23" customWidth="1"/>
    <col min="12" max="12" width="10.75" style="20" customWidth="1"/>
    <col min="13" max="13" width="10.75" style="22" customWidth="1"/>
    <col min="14" max="14" width="10.75" style="20" customWidth="1"/>
    <col min="15" max="15" width="10.75" style="22" customWidth="1"/>
    <col min="16" max="16" width="10.75" style="20" customWidth="1"/>
    <col min="17" max="17" width="10.75" style="21" customWidth="1"/>
    <col min="18" max="18" width="10.75" style="20" customWidth="1"/>
    <col min="19" max="19" width="10.75" style="21" customWidth="1"/>
    <col min="20" max="16384" width="9" style="26"/>
  </cols>
  <sheetData>
    <row r="1" spans="1:19" x14ac:dyDescent="0.4">
      <c r="A1" s="47"/>
      <c r="B1" s="51" t="s">
        <v>6</v>
      </c>
      <c r="C1" s="52"/>
      <c r="D1" s="51" t="s">
        <v>7</v>
      </c>
      <c r="E1" s="52"/>
      <c r="F1" s="51" t="s">
        <v>23</v>
      </c>
      <c r="G1" s="52"/>
      <c r="H1" s="51" t="s">
        <v>22</v>
      </c>
      <c r="I1" s="52"/>
      <c r="J1" s="51" t="s">
        <v>33</v>
      </c>
      <c r="K1" s="52"/>
      <c r="L1" s="51" t="s">
        <v>24</v>
      </c>
      <c r="M1" s="52"/>
      <c r="N1" s="51" t="s">
        <v>25</v>
      </c>
      <c r="O1" s="52"/>
      <c r="P1" s="51" t="s">
        <v>5</v>
      </c>
      <c r="Q1" s="52"/>
      <c r="R1" s="51" t="s">
        <v>32</v>
      </c>
      <c r="S1" s="52"/>
    </row>
    <row r="2" spans="1:19" x14ac:dyDescent="0.4">
      <c r="A2" s="38">
        <v>1</v>
      </c>
      <c r="B2" s="39" t="s">
        <v>26</v>
      </c>
      <c r="C2" s="40">
        <v>408</v>
      </c>
      <c r="D2" s="41" t="s">
        <v>18</v>
      </c>
      <c r="E2" s="42">
        <v>7</v>
      </c>
      <c r="F2" s="41" t="s">
        <v>35</v>
      </c>
      <c r="G2" s="43">
        <v>1.75</v>
      </c>
      <c r="H2" s="41" t="s">
        <v>35</v>
      </c>
      <c r="I2" s="44">
        <v>0.5</v>
      </c>
      <c r="J2" s="41" t="s">
        <v>18</v>
      </c>
      <c r="K2" s="44">
        <v>0</v>
      </c>
      <c r="L2" s="41" t="s">
        <v>18</v>
      </c>
      <c r="M2" s="45">
        <v>0.4</v>
      </c>
      <c r="N2" s="41" t="s">
        <v>28</v>
      </c>
      <c r="O2" s="45">
        <v>0.13235294117647059</v>
      </c>
      <c r="P2" s="41" t="s">
        <v>27</v>
      </c>
      <c r="Q2" s="46">
        <v>11400</v>
      </c>
      <c r="R2" s="41" t="s">
        <v>30</v>
      </c>
      <c r="S2" s="46">
        <v>-7400</v>
      </c>
    </row>
    <row r="3" spans="1:19" x14ac:dyDescent="0.4">
      <c r="A3" s="33">
        <v>2</v>
      </c>
      <c r="B3" s="32" t="s">
        <v>28</v>
      </c>
      <c r="C3" s="25">
        <v>229</v>
      </c>
      <c r="D3" s="20" t="s">
        <v>35</v>
      </c>
      <c r="E3" s="24">
        <v>6.916666666666667</v>
      </c>
      <c r="F3" s="20" t="s">
        <v>28</v>
      </c>
      <c r="G3" s="31">
        <v>1.8461538461538463</v>
      </c>
      <c r="H3" s="20" t="s">
        <v>26</v>
      </c>
      <c r="I3" s="23">
        <v>0.37931034482758619</v>
      </c>
      <c r="J3" s="20" t="s">
        <v>26</v>
      </c>
      <c r="K3" s="23">
        <v>0.11494252873563218</v>
      </c>
      <c r="L3" s="20" t="s">
        <v>28</v>
      </c>
      <c r="M3" s="22">
        <v>0.35661764705882354</v>
      </c>
      <c r="N3" s="20" t="s">
        <v>35</v>
      </c>
      <c r="O3" s="22">
        <v>0.13414634146341464</v>
      </c>
      <c r="P3" s="20" t="s">
        <v>35</v>
      </c>
      <c r="Q3" s="21">
        <v>10900</v>
      </c>
      <c r="R3" s="20" t="s">
        <v>37</v>
      </c>
      <c r="S3" s="21">
        <v>-8200</v>
      </c>
    </row>
    <row r="4" spans="1:19" x14ac:dyDescent="0.4">
      <c r="A4" s="33">
        <v>3</v>
      </c>
      <c r="B4" s="32" t="s">
        <v>35</v>
      </c>
      <c r="C4" s="25">
        <v>83</v>
      </c>
      <c r="D4" s="20" t="s">
        <v>28</v>
      </c>
      <c r="E4" s="24">
        <v>5.8717948717948714</v>
      </c>
      <c r="F4" s="20" t="s">
        <v>26</v>
      </c>
      <c r="G4" s="31">
        <v>1.8620689655172413</v>
      </c>
      <c r="H4" s="20" t="s">
        <v>28</v>
      </c>
      <c r="I4" s="23">
        <v>0.35897435897435898</v>
      </c>
      <c r="J4" s="20" t="s">
        <v>28</v>
      </c>
      <c r="K4" s="23">
        <v>0.12820512820512819</v>
      </c>
      <c r="L4" s="20" t="s">
        <v>26</v>
      </c>
      <c r="M4" s="22">
        <v>0.34984025559105431</v>
      </c>
      <c r="N4" s="20" t="s">
        <v>26</v>
      </c>
      <c r="O4" s="22">
        <v>0.15175718849840256</v>
      </c>
      <c r="P4" s="20" t="s">
        <v>31</v>
      </c>
      <c r="Q4" s="21">
        <v>10800</v>
      </c>
      <c r="R4" s="20" t="s">
        <v>21</v>
      </c>
      <c r="S4" s="21">
        <v>-8500</v>
      </c>
    </row>
    <row r="5" spans="1:19" x14ac:dyDescent="0.4">
      <c r="A5" s="33">
        <v>4</v>
      </c>
      <c r="B5" s="32" t="s">
        <v>30</v>
      </c>
      <c r="C5" s="25">
        <v>14</v>
      </c>
      <c r="D5" s="20" t="s">
        <v>26</v>
      </c>
      <c r="E5" s="24">
        <v>4.6896551724137927</v>
      </c>
      <c r="F5" s="20" t="s">
        <v>18</v>
      </c>
      <c r="G5" s="31">
        <v>2</v>
      </c>
      <c r="H5" s="20" t="s">
        <v>31</v>
      </c>
      <c r="I5" s="23">
        <v>0.34375</v>
      </c>
      <c r="J5" s="20" t="s">
        <v>30</v>
      </c>
      <c r="K5" s="23">
        <v>0.13333333333333333</v>
      </c>
      <c r="L5" s="20" t="s">
        <v>35</v>
      </c>
      <c r="M5" s="22">
        <v>0.34146341463414637</v>
      </c>
      <c r="N5" s="20" t="s">
        <v>31</v>
      </c>
      <c r="O5" s="22">
        <v>0.15481171548117154</v>
      </c>
      <c r="P5" s="20" t="s">
        <v>29</v>
      </c>
      <c r="Q5" s="21">
        <v>10700</v>
      </c>
      <c r="R5" s="20" t="s">
        <v>28</v>
      </c>
      <c r="S5" s="21">
        <v>-9600</v>
      </c>
    </row>
    <row r="6" spans="1:19" x14ac:dyDescent="0.4">
      <c r="A6" s="33">
        <v>5</v>
      </c>
      <c r="B6" s="32" t="s">
        <v>18</v>
      </c>
      <c r="C6" s="25">
        <v>7</v>
      </c>
      <c r="D6" s="20" t="s">
        <v>30</v>
      </c>
      <c r="E6" s="24">
        <v>0.46666666666666667</v>
      </c>
      <c r="F6" s="20" t="s">
        <v>21</v>
      </c>
      <c r="G6" s="31">
        <v>2</v>
      </c>
      <c r="H6" s="20" t="s">
        <v>27</v>
      </c>
      <c r="I6" s="23">
        <v>0.32</v>
      </c>
      <c r="J6" s="20" t="s">
        <v>31</v>
      </c>
      <c r="K6" s="23">
        <v>0.1875</v>
      </c>
      <c r="L6" s="20" t="s">
        <v>30</v>
      </c>
      <c r="M6" s="22">
        <v>0.29166666666666669</v>
      </c>
      <c r="N6" s="20" t="s">
        <v>29</v>
      </c>
      <c r="O6" s="22">
        <v>0.19871794871794871</v>
      </c>
      <c r="P6" s="20" t="s">
        <v>30</v>
      </c>
      <c r="Q6" s="21">
        <v>10600</v>
      </c>
      <c r="R6" s="20" t="s">
        <v>35</v>
      </c>
      <c r="S6" s="21">
        <v>-9900</v>
      </c>
    </row>
    <row r="7" spans="1:19" x14ac:dyDescent="0.4">
      <c r="A7" s="33">
        <v>6</v>
      </c>
      <c r="B7" s="32" t="s">
        <v>31</v>
      </c>
      <c r="C7" s="25">
        <v>-11</v>
      </c>
      <c r="D7" s="20" t="s">
        <v>31</v>
      </c>
      <c r="E7" s="24">
        <v>-0.34375</v>
      </c>
      <c r="F7" s="20" t="s">
        <v>31</v>
      </c>
      <c r="G7" s="31">
        <v>2</v>
      </c>
      <c r="H7" s="20" t="s">
        <v>30</v>
      </c>
      <c r="I7" s="23">
        <v>0.3</v>
      </c>
      <c r="J7" s="20" t="s">
        <v>35</v>
      </c>
      <c r="K7" s="23">
        <v>0.25</v>
      </c>
      <c r="L7" s="20" t="s">
        <v>31</v>
      </c>
      <c r="M7" s="22">
        <v>0.28451882845188287</v>
      </c>
      <c r="N7" s="20" t="s">
        <v>18</v>
      </c>
      <c r="O7" s="22">
        <v>0.2</v>
      </c>
      <c r="P7" s="20" t="s">
        <v>26</v>
      </c>
      <c r="Q7" s="21">
        <v>10100</v>
      </c>
      <c r="R7" s="20" t="s">
        <v>26</v>
      </c>
      <c r="S7" s="21">
        <v>-10100</v>
      </c>
    </row>
    <row r="8" spans="1:19" x14ac:dyDescent="0.4">
      <c r="A8" s="33">
        <v>7</v>
      </c>
      <c r="B8" s="32" t="s">
        <v>21</v>
      </c>
      <c r="C8" s="25">
        <v>-41</v>
      </c>
      <c r="D8" s="20" t="s">
        <v>27</v>
      </c>
      <c r="E8" s="24">
        <v>-5.74</v>
      </c>
      <c r="F8" s="20" t="s">
        <v>30</v>
      </c>
      <c r="G8" s="31">
        <v>2.0333333333333332</v>
      </c>
      <c r="H8" s="20" t="s">
        <v>29</v>
      </c>
      <c r="I8" s="23">
        <v>0.15</v>
      </c>
      <c r="J8" s="20" t="s">
        <v>27</v>
      </c>
      <c r="K8" s="23">
        <v>0.26</v>
      </c>
      <c r="L8" s="20" t="s">
        <v>27</v>
      </c>
      <c r="M8" s="22">
        <v>0.24184782608695651</v>
      </c>
      <c r="N8" s="20" t="s">
        <v>30</v>
      </c>
      <c r="O8" s="22">
        <v>0.2</v>
      </c>
      <c r="P8" s="20" t="s">
        <v>28</v>
      </c>
      <c r="Q8" s="21">
        <v>9600</v>
      </c>
      <c r="R8" s="20" t="s">
        <v>31</v>
      </c>
      <c r="S8" s="21">
        <v>-10200</v>
      </c>
    </row>
    <row r="9" spans="1:19" x14ac:dyDescent="0.4">
      <c r="A9" s="33">
        <v>8</v>
      </c>
      <c r="B9" s="32" t="s">
        <v>37</v>
      </c>
      <c r="C9" s="25">
        <v>-132</v>
      </c>
      <c r="D9" s="20" t="s">
        <v>29</v>
      </c>
      <c r="E9" s="24">
        <v>-13.5</v>
      </c>
      <c r="F9" s="20" t="s">
        <v>27</v>
      </c>
      <c r="G9" s="31">
        <v>2.14</v>
      </c>
      <c r="H9" s="20" t="s">
        <v>37</v>
      </c>
      <c r="I9" s="23">
        <v>0</v>
      </c>
      <c r="J9" s="20" t="s">
        <v>29</v>
      </c>
      <c r="K9" s="23">
        <v>0.3</v>
      </c>
      <c r="L9" s="20" t="s">
        <v>29</v>
      </c>
      <c r="M9" s="22">
        <v>0.23717948717948717</v>
      </c>
      <c r="N9" s="20" t="s">
        <v>27</v>
      </c>
      <c r="O9" s="22">
        <v>0.21739130434782608</v>
      </c>
      <c r="P9" s="20" t="s">
        <v>18</v>
      </c>
      <c r="Q9" s="21">
        <v>8000</v>
      </c>
      <c r="R9" s="20" t="s">
        <v>27</v>
      </c>
      <c r="S9" s="21">
        <v>-10400</v>
      </c>
    </row>
    <row r="10" spans="1:19" x14ac:dyDescent="0.4">
      <c r="A10" s="33">
        <v>9</v>
      </c>
      <c r="B10" s="32" t="s">
        <v>29</v>
      </c>
      <c r="C10" s="25">
        <v>-270</v>
      </c>
      <c r="D10" s="20" t="s">
        <v>37</v>
      </c>
      <c r="E10" s="24">
        <v>-33</v>
      </c>
      <c r="F10" s="20" t="s">
        <v>29</v>
      </c>
      <c r="G10" s="31">
        <v>2.4500000000000002</v>
      </c>
      <c r="H10" s="20" t="s">
        <v>18</v>
      </c>
      <c r="I10" s="23">
        <v>0</v>
      </c>
      <c r="J10" s="20" t="s">
        <v>37</v>
      </c>
      <c r="K10" s="23">
        <v>0.5</v>
      </c>
      <c r="L10" s="20" t="s">
        <v>21</v>
      </c>
      <c r="M10" s="22">
        <v>0.16666666666666666</v>
      </c>
      <c r="N10" s="20" t="s">
        <v>21</v>
      </c>
      <c r="O10" s="22">
        <v>0.33333333333333331</v>
      </c>
      <c r="P10" s="20" t="s">
        <v>37</v>
      </c>
      <c r="Q10" s="21">
        <v>7800</v>
      </c>
      <c r="R10" s="20" t="s">
        <v>29</v>
      </c>
      <c r="S10" s="21">
        <v>-10500</v>
      </c>
    </row>
    <row r="11" spans="1:19" x14ac:dyDescent="0.4">
      <c r="A11" s="33">
        <v>10</v>
      </c>
      <c r="B11" s="32" t="s">
        <v>27</v>
      </c>
      <c r="C11" s="25">
        <v>-287</v>
      </c>
      <c r="D11" s="20" t="s">
        <v>21</v>
      </c>
      <c r="E11" s="24">
        <v>-41</v>
      </c>
      <c r="F11" s="20" t="s">
        <v>37</v>
      </c>
      <c r="G11" s="31">
        <v>3</v>
      </c>
      <c r="H11" s="20" t="s">
        <v>21</v>
      </c>
      <c r="I11" s="23">
        <v>0</v>
      </c>
      <c r="J11" s="20" t="s">
        <v>21</v>
      </c>
      <c r="K11" s="23">
        <v>1</v>
      </c>
      <c r="L11" s="20" t="s">
        <v>37</v>
      </c>
      <c r="M11" s="22">
        <v>0.04</v>
      </c>
      <c r="N11" s="20" t="s">
        <v>37</v>
      </c>
      <c r="O11" s="22">
        <v>0.4</v>
      </c>
      <c r="P11" s="20" t="s">
        <v>21</v>
      </c>
      <c r="Q11" s="21">
        <v>1300</v>
      </c>
      <c r="R11" s="20" t="s">
        <v>18</v>
      </c>
      <c r="S11" s="21">
        <v>-12000</v>
      </c>
    </row>
  </sheetData>
  <sortState ref="R2:S19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E8749-1C8D-40AB-AB42-2D6A30D6F913}">
  <sheetPr codeName="Sheet2"/>
  <dimension ref="A1:F89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15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87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626</v>
      </c>
      <c r="C3" s="12"/>
      <c r="E3" s="5">
        <v>1</v>
      </c>
      <c r="F3" s="13">
        <v>15</v>
      </c>
    </row>
    <row r="4" spans="1:6" x14ac:dyDescent="0.4">
      <c r="A4" s="5" t="s">
        <v>6</v>
      </c>
      <c r="B4" s="2">
        <v>408</v>
      </c>
      <c r="C4" s="13"/>
      <c r="E4" s="5">
        <v>2</v>
      </c>
      <c r="F4" s="13">
        <v>14</v>
      </c>
    </row>
    <row r="5" spans="1:6" x14ac:dyDescent="0.4">
      <c r="A5" s="5" t="s">
        <v>7</v>
      </c>
      <c r="B5" s="10">
        <f>B4/B2</f>
        <v>4.6896551724137927</v>
      </c>
      <c r="C5" s="14"/>
      <c r="E5" s="5">
        <v>3</v>
      </c>
      <c r="F5" s="13">
        <v>29</v>
      </c>
    </row>
    <row r="6" spans="1:6" x14ac:dyDescent="0.4">
      <c r="A6" s="5" t="s">
        <v>1</v>
      </c>
      <c r="B6" s="30">
        <f>(B7*1+B8*2+B9*3)/B2</f>
        <v>1.8620689655172413</v>
      </c>
      <c r="C6" s="15"/>
      <c r="E6" s="5">
        <v>4</v>
      </c>
      <c r="F6" s="13">
        <v>114</v>
      </c>
    </row>
    <row r="7" spans="1:6" x14ac:dyDescent="0.4">
      <c r="A7" s="5" t="s">
        <v>2</v>
      </c>
      <c r="B7" s="1">
        <v>33</v>
      </c>
      <c r="C7" s="6">
        <f>B7/B2</f>
        <v>0.37931034482758619</v>
      </c>
      <c r="E7" s="5">
        <v>5</v>
      </c>
      <c r="F7" s="13">
        <v>146</v>
      </c>
    </row>
    <row r="8" spans="1:6" x14ac:dyDescent="0.4">
      <c r="A8" s="5" t="s">
        <v>3</v>
      </c>
      <c r="B8" s="1">
        <v>33</v>
      </c>
      <c r="C8" s="6">
        <f>B8/B2</f>
        <v>0.37931034482758619</v>
      </c>
      <c r="E8" s="5">
        <v>6</v>
      </c>
      <c r="F8" s="13">
        <v>98</v>
      </c>
    </row>
    <row r="9" spans="1:6" x14ac:dyDescent="0.4">
      <c r="A9" s="27" t="s">
        <v>4</v>
      </c>
      <c r="B9" s="28">
        <v>21</v>
      </c>
      <c r="C9" s="29">
        <f>B9/B2</f>
        <v>0.2413793103448276</v>
      </c>
      <c r="E9" s="5">
        <v>7</v>
      </c>
      <c r="F9" s="13">
        <v>92</v>
      </c>
    </row>
    <row r="10" spans="1:6" ht="19.5" thickBot="1" x14ac:dyDescent="0.45">
      <c r="A10" s="35" t="s">
        <v>34</v>
      </c>
      <c r="B10" s="36">
        <v>10</v>
      </c>
      <c r="C10" s="37">
        <f>B10/B2</f>
        <v>0.11494252873563218</v>
      </c>
      <c r="E10" s="5">
        <v>8</v>
      </c>
      <c r="F10" s="13">
        <v>56</v>
      </c>
    </row>
    <row r="11" spans="1:6" ht="19.5" thickTop="1" x14ac:dyDescent="0.4">
      <c r="A11" s="4" t="s">
        <v>10</v>
      </c>
      <c r="B11" s="9">
        <f>B12+B13</f>
        <v>219</v>
      </c>
      <c r="C11" s="16">
        <f>B11/B3</f>
        <v>0.34984025559105431</v>
      </c>
      <c r="E11" s="5">
        <v>9</v>
      </c>
      <c r="F11" s="13">
        <v>15</v>
      </c>
    </row>
    <row r="12" spans="1:6" x14ac:dyDescent="0.4">
      <c r="A12" s="5" t="s">
        <v>11</v>
      </c>
      <c r="B12" s="1">
        <v>142</v>
      </c>
      <c r="C12" s="6">
        <f>B12/B3</f>
        <v>0.2268370607028754</v>
      </c>
      <c r="E12" s="5">
        <v>10</v>
      </c>
      <c r="F12" s="13">
        <v>-17</v>
      </c>
    </row>
    <row r="13" spans="1:6" x14ac:dyDescent="0.4">
      <c r="A13" s="5" t="s">
        <v>12</v>
      </c>
      <c r="B13" s="1">
        <v>77</v>
      </c>
      <c r="C13" s="6">
        <f>B13/B3</f>
        <v>0.12300319488817892</v>
      </c>
      <c r="E13" s="5">
        <v>11</v>
      </c>
      <c r="F13" s="13">
        <v>1</v>
      </c>
    </row>
    <row r="14" spans="1:6" x14ac:dyDescent="0.4">
      <c r="A14" s="5" t="s">
        <v>13</v>
      </c>
      <c r="B14" s="1">
        <v>95</v>
      </c>
      <c r="C14" s="6">
        <f>B14/B3</f>
        <v>0.15175718849840256</v>
      </c>
      <c r="E14" s="5">
        <v>12</v>
      </c>
      <c r="F14" s="13">
        <v>14</v>
      </c>
    </row>
    <row r="15" spans="1:6" x14ac:dyDescent="0.4">
      <c r="A15" s="5" t="s">
        <v>5</v>
      </c>
      <c r="B15" s="8">
        <f>IF(B11=0,0,ROUND(C15/B11,-2))</f>
        <v>10100</v>
      </c>
      <c r="C15" s="17">
        <v>2219600</v>
      </c>
      <c r="E15" s="5">
        <v>13</v>
      </c>
      <c r="F15" s="13">
        <v>71</v>
      </c>
    </row>
    <row r="16" spans="1:6" x14ac:dyDescent="0.4">
      <c r="A16" s="7" t="s">
        <v>14</v>
      </c>
      <c r="B16" s="18">
        <f>IF(B14=0,0,ROUND(C16/B14,-2))</f>
        <v>-10100</v>
      </c>
      <c r="C16" s="19">
        <v>-956200</v>
      </c>
      <c r="E16" s="5">
        <v>14</v>
      </c>
      <c r="F16" s="13">
        <v>27</v>
      </c>
    </row>
    <row r="17" spans="5:6" x14ac:dyDescent="0.4">
      <c r="E17" s="5">
        <v>15</v>
      </c>
      <c r="F17" s="13">
        <v>-10</v>
      </c>
    </row>
    <row r="18" spans="5:6" x14ac:dyDescent="0.4">
      <c r="E18" s="5">
        <v>16</v>
      </c>
      <c r="F18" s="13">
        <v>-8</v>
      </c>
    </row>
    <row r="19" spans="5:6" x14ac:dyDescent="0.4">
      <c r="E19" s="5">
        <v>17</v>
      </c>
      <c r="F19" s="13">
        <v>-29</v>
      </c>
    </row>
    <row r="20" spans="5:6" x14ac:dyDescent="0.4">
      <c r="E20" s="5">
        <v>18</v>
      </c>
      <c r="F20" s="13">
        <v>-14</v>
      </c>
    </row>
    <row r="21" spans="5:6" x14ac:dyDescent="0.4">
      <c r="E21" s="5">
        <v>19</v>
      </c>
      <c r="F21" s="13">
        <v>43</v>
      </c>
    </row>
    <row r="22" spans="5:6" x14ac:dyDescent="0.4">
      <c r="E22" s="5">
        <v>20</v>
      </c>
      <c r="F22" s="13">
        <v>69</v>
      </c>
    </row>
    <row r="23" spans="5:6" x14ac:dyDescent="0.4">
      <c r="E23" s="5">
        <v>21</v>
      </c>
      <c r="F23" s="13">
        <v>126</v>
      </c>
    </row>
    <row r="24" spans="5:6" x14ac:dyDescent="0.4">
      <c r="E24" s="5">
        <v>22</v>
      </c>
      <c r="F24" s="13">
        <v>100</v>
      </c>
    </row>
    <row r="25" spans="5:6" x14ac:dyDescent="0.4">
      <c r="E25" s="5">
        <v>23</v>
      </c>
      <c r="F25" s="13">
        <v>125</v>
      </c>
    </row>
    <row r="26" spans="5:6" x14ac:dyDescent="0.4">
      <c r="E26" s="5">
        <v>24</v>
      </c>
      <c r="F26" s="13">
        <v>118</v>
      </c>
    </row>
    <row r="27" spans="5:6" x14ac:dyDescent="0.4">
      <c r="E27" s="5">
        <v>25</v>
      </c>
      <c r="F27" s="13">
        <v>84</v>
      </c>
    </row>
    <row r="28" spans="5:6" x14ac:dyDescent="0.4">
      <c r="E28" s="5">
        <v>26</v>
      </c>
      <c r="F28" s="13">
        <v>108</v>
      </c>
    </row>
    <row r="29" spans="5:6" x14ac:dyDescent="0.4">
      <c r="E29" s="5">
        <v>27</v>
      </c>
      <c r="F29" s="13">
        <v>71</v>
      </c>
    </row>
    <row r="30" spans="5:6" x14ac:dyDescent="0.4">
      <c r="E30" s="5">
        <v>28</v>
      </c>
      <c r="F30" s="13">
        <v>129</v>
      </c>
    </row>
    <row r="31" spans="5:6" x14ac:dyDescent="0.4">
      <c r="E31" s="5">
        <v>29</v>
      </c>
      <c r="F31" s="13">
        <v>121</v>
      </c>
    </row>
    <row r="32" spans="5:6" x14ac:dyDescent="0.4">
      <c r="E32" s="5">
        <v>30</v>
      </c>
      <c r="F32" s="13">
        <v>113</v>
      </c>
    </row>
    <row r="33" spans="5:6" x14ac:dyDescent="0.4">
      <c r="E33" s="5">
        <v>31</v>
      </c>
      <c r="F33" s="13">
        <v>166</v>
      </c>
    </row>
    <row r="34" spans="5:6" x14ac:dyDescent="0.4">
      <c r="E34" s="5">
        <v>32</v>
      </c>
      <c r="F34" s="13">
        <v>152</v>
      </c>
    </row>
    <row r="35" spans="5:6" x14ac:dyDescent="0.4">
      <c r="E35" s="5">
        <v>33</v>
      </c>
      <c r="F35" s="13">
        <v>213</v>
      </c>
    </row>
    <row r="36" spans="5:6" x14ac:dyDescent="0.4">
      <c r="E36" s="5">
        <v>34</v>
      </c>
      <c r="F36" s="13">
        <v>263</v>
      </c>
    </row>
    <row r="37" spans="5:6" x14ac:dyDescent="0.4">
      <c r="E37" s="5">
        <v>35</v>
      </c>
      <c r="F37" s="13">
        <v>249</v>
      </c>
    </row>
    <row r="38" spans="5:6" x14ac:dyDescent="0.4">
      <c r="E38" s="5">
        <v>36</v>
      </c>
      <c r="F38" s="13">
        <v>246</v>
      </c>
    </row>
    <row r="39" spans="5:6" x14ac:dyDescent="0.4">
      <c r="E39" s="5">
        <v>37</v>
      </c>
      <c r="F39" s="13">
        <v>229</v>
      </c>
    </row>
    <row r="40" spans="5:6" x14ac:dyDescent="0.4">
      <c r="E40" s="5">
        <v>38</v>
      </c>
      <c r="F40" s="13">
        <v>250</v>
      </c>
    </row>
    <row r="41" spans="5:6" x14ac:dyDescent="0.4">
      <c r="E41" s="5">
        <v>39</v>
      </c>
      <c r="F41" s="13">
        <v>199</v>
      </c>
    </row>
    <row r="42" spans="5:6" x14ac:dyDescent="0.4">
      <c r="E42" s="5">
        <v>40</v>
      </c>
      <c r="F42" s="13">
        <v>191</v>
      </c>
    </row>
    <row r="43" spans="5:6" x14ac:dyDescent="0.4">
      <c r="E43" s="5">
        <v>41</v>
      </c>
      <c r="F43" s="13">
        <v>184</v>
      </c>
    </row>
    <row r="44" spans="5:6" x14ac:dyDescent="0.4">
      <c r="E44" s="5">
        <v>42</v>
      </c>
      <c r="F44" s="13">
        <v>148</v>
      </c>
    </row>
    <row r="45" spans="5:6" x14ac:dyDescent="0.4">
      <c r="E45" s="5">
        <v>43</v>
      </c>
      <c r="F45" s="13">
        <v>139</v>
      </c>
    </row>
    <row r="46" spans="5:6" x14ac:dyDescent="0.4">
      <c r="E46" s="5">
        <v>44</v>
      </c>
      <c r="F46" s="13">
        <v>147</v>
      </c>
    </row>
    <row r="47" spans="5:6" x14ac:dyDescent="0.4">
      <c r="E47" s="5">
        <v>45</v>
      </c>
      <c r="F47" s="13">
        <v>137</v>
      </c>
    </row>
    <row r="48" spans="5:6" x14ac:dyDescent="0.4">
      <c r="E48" s="5">
        <v>46</v>
      </c>
      <c r="F48" s="13">
        <v>165</v>
      </c>
    </row>
    <row r="49" spans="5:6" x14ac:dyDescent="0.4">
      <c r="E49" s="5">
        <v>47</v>
      </c>
      <c r="F49" s="13">
        <v>144</v>
      </c>
    </row>
    <row r="50" spans="5:6" x14ac:dyDescent="0.4">
      <c r="E50" s="5">
        <v>48</v>
      </c>
      <c r="F50" s="13">
        <v>113</v>
      </c>
    </row>
    <row r="51" spans="5:6" x14ac:dyDescent="0.4">
      <c r="E51" s="5">
        <v>49</v>
      </c>
      <c r="F51" s="13">
        <v>129</v>
      </c>
    </row>
    <row r="52" spans="5:6" x14ac:dyDescent="0.4">
      <c r="E52" s="5">
        <v>50</v>
      </c>
      <c r="F52" s="13">
        <v>124</v>
      </c>
    </row>
    <row r="53" spans="5:6" x14ac:dyDescent="0.4">
      <c r="E53" s="5">
        <v>51</v>
      </c>
      <c r="F53" s="13">
        <v>137</v>
      </c>
    </row>
    <row r="54" spans="5:6" x14ac:dyDescent="0.4">
      <c r="E54" s="5">
        <v>52</v>
      </c>
      <c r="F54" s="13">
        <v>138</v>
      </c>
    </row>
    <row r="55" spans="5:6" x14ac:dyDescent="0.4">
      <c r="E55" s="5">
        <v>53</v>
      </c>
      <c r="F55" s="13">
        <v>131</v>
      </c>
    </row>
    <row r="56" spans="5:6" x14ac:dyDescent="0.4">
      <c r="E56" s="5">
        <v>54</v>
      </c>
      <c r="F56" s="13">
        <v>103</v>
      </c>
    </row>
    <row r="57" spans="5:6" x14ac:dyDescent="0.4">
      <c r="E57" s="5">
        <v>55</v>
      </c>
      <c r="F57" s="13">
        <v>120</v>
      </c>
    </row>
    <row r="58" spans="5:6" x14ac:dyDescent="0.4">
      <c r="E58" s="5">
        <v>56</v>
      </c>
      <c r="F58" s="13">
        <v>113</v>
      </c>
    </row>
    <row r="59" spans="5:6" x14ac:dyDescent="0.4">
      <c r="E59" s="5">
        <v>57</v>
      </c>
      <c r="F59" s="13">
        <v>145</v>
      </c>
    </row>
    <row r="60" spans="5:6" x14ac:dyDescent="0.4">
      <c r="E60" s="5">
        <v>58</v>
      </c>
      <c r="F60" s="13">
        <v>161</v>
      </c>
    </row>
    <row r="61" spans="5:6" x14ac:dyDescent="0.4">
      <c r="E61" s="5">
        <v>59</v>
      </c>
      <c r="F61" s="13">
        <v>218</v>
      </c>
    </row>
    <row r="62" spans="5:6" x14ac:dyDescent="0.4">
      <c r="E62" s="5">
        <v>60</v>
      </c>
      <c r="F62" s="13">
        <v>223</v>
      </c>
    </row>
    <row r="63" spans="5:6" x14ac:dyDescent="0.4">
      <c r="E63" s="5">
        <v>61</v>
      </c>
      <c r="F63" s="13">
        <v>177</v>
      </c>
    </row>
    <row r="64" spans="5:6" x14ac:dyDescent="0.4">
      <c r="E64" s="5">
        <v>62</v>
      </c>
      <c r="F64" s="13">
        <v>198</v>
      </c>
    </row>
    <row r="65" spans="5:6" x14ac:dyDescent="0.4">
      <c r="E65" s="5">
        <v>63</v>
      </c>
      <c r="F65" s="13">
        <v>132</v>
      </c>
    </row>
    <row r="66" spans="5:6" x14ac:dyDescent="0.4">
      <c r="E66" s="5">
        <v>64</v>
      </c>
      <c r="F66" s="13">
        <v>127</v>
      </c>
    </row>
    <row r="67" spans="5:6" x14ac:dyDescent="0.4">
      <c r="E67" s="5">
        <v>65</v>
      </c>
      <c r="F67" s="13">
        <v>128</v>
      </c>
    </row>
    <row r="68" spans="5:6" x14ac:dyDescent="0.4">
      <c r="E68" s="5">
        <v>66</v>
      </c>
      <c r="F68" s="13">
        <v>160</v>
      </c>
    </row>
    <row r="69" spans="5:6" x14ac:dyDescent="0.4">
      <c r="E69" s="5">
        <v>67</v>
      </c>
      <c r="F69" s="13">
        <v>141</v>
      </c>
    </row>
    <row r="70" spans="5:6" x14ac:dyDescent="0.4">
      <c r="E70" s="5">
        <v>68</v>
      </c>
      <c r="F70" s="13">
        <v>131</v>
      </c>
    </row>
    <row r="71" spans="5:6" x14ac:dyDescent="0.4">
      <c r="E71" s="5">
        <v>69</v>
      </c>
      <c r="F71" s="13">
        <v>132</v>
      </c>
    </row>
    <row r="72" spans="5:6" x14ac:dyDescent="0.4">
      <c r="E72" s="5">
        <v>70</v>
      </c>
      <c r="F72" s="13">
        <v>164</v>
      </c>
    </row>
    <row r="73" spans="5:6" x14ac:dyDescent="0.4">
      <c r="E73" s="5">
        <v>71</v>
      </c>
      <c r="F73" s="13">
        <v>192</v>
      </c>
    </row>
    <row r="74" spans="5:6" x14ac:dyDescent="0.4">
      <c r="E74" s="5">
        <v>72</v>
      </c>
      <c r="F74" s="13">
        <v>185</v>
      </c>
    </row>
    <row r="75" spans="5:6" x14ac:dyDescent="0.4">
      <c r="E75" s="5">
        <v>73</v>
      </c>
      <c r="F75" s="13">
        <v>203</v>
      </c>
    </row>
    <row r="76" spans="5:6" x14ac:dyDescent="0.4">
      <c r="E76" s="5">
        <v>74</v>
      </c>
      <c r="F76" s="13">
        <v>189</v>
      </c>
    </row>
    <row r="77" spans="5:6" x14ac:dyDescent="0.4">
      <c r="E77" s="5">
        <v>75</v>
      </c>
      <c r="F77" s="13">
        <v>229</v>
      </c>
    </row>
    <row r="78" spans="5:6" x14ac:dyDescent="0.4">
      <c r="E78" s="5">
        <v>76</v>
      </c>
      <c r="F78" s="13">
        <v>234</v>
      </c>
    </row>
    <row r="79" spans="5:6" x14ac:dyDescent="0.4">
      <c r="E79" s="5">
        <v>77</v>
      </c>
      <c r="F79" s="13">
        <v>220</v>
      </c>
    </row>
    <row r="80" spans="5:6" x14ac:dyDescent="0.4">
      <c r="E80" s="5">
        <v>78</v>
      </c>
      <c r="F80" s="13">
        <v>225</v>
      </c>
    </row>
    <row r="81" spans="5:6" x14ac:dyDescent="0.4">
      <c r="E81" s="5">
        <v>79</v>
      </c>
      <c r="F81" s="13">
        <v>257</v>
      </c>
    </row>
    <row r="82" spans="5:6" x14ac:dyDescent="0.4">
      <c r="E82" s="5">
        <v>80</v>
      </c>
      <c r="F82" s="13">
        <v>297</v>
      </c>
    </row>
    <row r="83" spans="5:6" x14ac:dyDescent="0.4">
      <c r="E83" s="5">
        <v>81</v>
      </c>
      <c r="F83" s="13">
        <v>320</v>
      </c>
    </row>
    <row r="84" spans="5:6" x14ac:dyDescent="0.4">
      <c r="E84" s="5">
        <v>82</v>
      </c>
      <c r="F84" s="13">
        <v>352</v>
      </c>
    </row>
    <row r="85" spans="5:6" x14ac:dyDescent="0.4">
      <c r="E85" s="5">
        <v>83</v>
      </c>
      <c r="F85" s="13">
        <v>412</v>
      </c>
    </row>
    <row r="86" spans="5:6" x14ac:dyDescent="0.4">
      <c r="E86" s="5">
        <v>84</v>
      </c>
      <c r="F86" s="13">
        <v>423</v>
      </c>
    </row>
    <row r="87" spans="5:6" x14ac:dyDescent="0.4">
      <c r="E87" s="5">
        <v>85</v>
      </c>
      <c r="F87" s="13">
        <v>425</v>
      </c>
    </row>
    <row r="88" spans="5:6" x14ac:dyDescent="0.4">
      <c r="E88" s="5">
        <v>86</v>
      </c>
      <c r="F88" s="13">
        <v>404</v>
      </c>
    </row>
    <row r="89" spans="5:6" x14ac:dyDescent="0.4">
      <c r="E89" s="5">
        <v>87</v>
      </c>
      <c r="F89" s="13">
        <v>408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89C8-A386-42F0-9B03-6141844D128C}">
  <sheetPr codeName="Sheet3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38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4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25</v>
      </c>
      <c r="C3" s="12"/>
      <c r="E3" s="5">
        <v>1</v>
      </c>
      <c r="F3" s="13">
        <v>-22</v>
      </c>
    </row>
    <row r="4" spans="1:6" x14ac:dyDescent="0.4">
      <c r="A4" s="5" t="s">
        <v>6</v>
      </c>
      <c r="B4" s="2">
        <v>-132</v>
      </c>
      <c r="C4" s="13"/>
      <c r="E4" s="5">
        <v>2</v>
      </c>
      <c r="F4" s="13">
        <v>-60</v>
      </c>
    </row>
    <row r="5" spans="1:6" x14ac:dyDescent="0.4">
      <c r="A5" s="5" t="s">
        <v>7</v>
      </c>
      <c r="B5" s="10">
        <f>B4/B2</f>
        <v>-33</v>
      </c>
      <c r="C5" s="14"/>
      <c r="E5" s="5">
        <v>3</v>
      </c>
      <c r="F5" s="13">
        <v>-85</v>
      </c>
    </row>
    <row r="6" spans="1:6" x14ac:dyDescent="0.4">
      <c r="A6" s="5" t="s">
        <v>1</v>
      </c>
      <c r="B6" s="30">
        <f>(B7*1+B8*2+B9*3)/B2</f>
        <v>3</v>
      </c>
      <c r="C6" s="15"/>
      <c r="E6" s="5">
        <v>4</v>
      </c>
      <c r="F6" s="13">
        <v>-132</v>
      </c>
    </row>
    <row r="7" spans="1:6" x14ac:dyDescent="0.4">
      <c r="A7" s="5" t="s">
        <v>2</v>
      </c>
      <c r="B7" s="1">
        <v>0</v>
      </c>
      <c r="C7" s="6">
        <f>B7/B2</f>
        <v>0</v>
      </c>
    </row>
    <row r="8" spans="1:6" x14ac:dyDescent="0.4">
      <c r="A8" s="5" t="s">
        <v>3</v>
      </c>
      <c r="B8" s="1">
        <v>0</v>
      </c>
      <c r="C8" s="6">
        <f>B8/B2</f>
        <v>0</v>
      </c>
    </row>
    <row r="9" spans="1:6" x14ac:dyDescent="0.4">
      <c r="A9" s="27" t="s">
        <v>4</v>
      </c>
      <c r="B9" s="28">
        <v>4</v>
      </c>
      <c r="C9" s="29">
        <f>B9/B2</f>
        <v>1</v>
      </c>
    </row>
    <row r="10" spans="1:6" ht="19.5" thickBot="1" x14ac:dyDescent="0.45">
      <c r="A10" s="35" t="s">
        <v>34</v>
      </c>
      <c r="B10" s="36">
        <v>2</v>
      </c>
      <c r="C10" s="37">
        <f>B10/B2</f>
        <v>0.5</v>
      </c>
    </row>
    <row r="11" spans="1:6" ht="19.5" thickTop="1" x14ac:dyDescent="0.4">
      <c r="A11" s="4" t="s">
        <v>10</v>
      </c>
      <c r="B11" s="9">
        <f>B12+B13</f>
        <v>1</v>
      </c>
      <c r="C11" s="16">
        <f>B11/B3</f>
        <v>0.04</v>
      </c>
    </row>
    <row r="12" spans="1:6" x14ac:dyDescent="0.4">
      <c r="A12" s="5" t="s">
        <v>11</v>
      </c>
      <c r="B12" s="1">
        <v>0</v>
      </c>
      <c r="C12" s="6">
        <f>B12/B3</f>
        <v>0</v>
      </c>
    </row>
    <row r="13" spans="1:6" x14ac:dyDescent="0.4">
      <c r="A13" s="5" t="s">
        <v>12</v>
      </c>
      <c r="B13" s="1">
        <v>1</v>
      </c>
      <c r="C13" s="6">
        <f>B13/B3</f>
        <v>0.04</v>
      </c>
    </row>
    <row r="14" spans="1:6" x14ac:dyDescent="0.4">
      <c r="A14" s="5" t="s">
        <v>13</v>
      </c>
      <c r="B14" s="1">
        <v>10</v>
      </c>
      <c r="C14" s="6">
        <f>B14/B3</f>
        <v>0.4</v>
      </c>
    </row>
    <row r="15" spans="1:6" x14ac:dyDescent="0.4">
      <c r="A15" s="5" t="s">
        <v>5</v>
      </c>
      <c r="B15" s="8">
        <f>IF(B11=0,0,ROUND(C15/B11,-2))</f>
        <v>7800</v>
      </c>
      <c r="C15" s="17">
        <v>7800</v>
      </c>
    </row>
    <row r="16" spans="1:6" x14ac:dyDescent="0.4">
      <c r="A16" s="7" t="s">
        <v>14</v>
      </c>
      <c r="B16" s="18">
        <f>IF(B14=0,0,ROUND(C16/B14,-2))</f>
        <v>-8200</v>
      </c>
      <c r="C16" s="19">
        <v>-82400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25F70-AF5C-43BF-8D42-5D2317496230}">
  <sheetPr codeName="Sheet4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18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1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5</v>
      </c>
      <c r="C3" s="12"/>
      <c r="E3" s="5">
        <v>1</v>
      </c>
      <c r="F3" s="13">
        <v>7</v>
      </c>
    </row>
    <row r="4" spans="1:6" x14ac:dyDescent="0.4">
      <c r="A4" s="5" t="s">
        <v>6</v>
      </c>
      <c r="B4" s="2">
        <v>7</v>
      </c>
      <c r="C4" s="13"/>
    </row>
    <row r="5" spans="1:6" x14ac:dyDescent="0.4">
      <c r="A5" s="5" t="s">
        <v>7</v>
      </c>
      <c r="B5" s="10">
        <f>B4/B2</f>
        <v>7</v>
      </c>
      <c r="C5" s="14"/>
    </row>
    <row r="6" spans="1:6" x14ac:dyDescent="0.4">
      <c r="A6" s="5" t="s">
        <v>1</v>
      </c>
      <c r="B6" s="30">
        <f>(B7*1+B8*2+B9*3)/B2</f>
        <v>2</v>
      </c>
      <c r="C6" s="15"/>
    </row>
    <row r="7" spans="1:6" x14ac:dyDescent="0.4">
      <c r="A7" s="5" t="s">
        <v>2</v>
      </c>
      <c r="B7" s="1">
        <v>0</v>
      </c>
      <c r="C7" s="6">
        <f>B7/B2</f>
        <v>0</v>
      </c>
    </row>
    <row r="8" spans="1:6" x14ac:dyDescent="0.4">
      <c r="A8" s="5" t="s">
        <v>3</v>
      </c>
      <c r="B8" s="1">
        <v>1</v>
      </c>
      <c r="C8" s="6">
        <f>B8/B2</f>
        <v>1</v>
      </c>
    </row>
    <row r="9" spans="1:6" x14ac:dyDescent="0.4">
      <c r="A9" s="27" t="s">
        <v>4</v>
      </c>
      <c r="B9" s="28">
        <v>0</v>
      </c>
      <c r="C9" s="29">
        <f>B9/B2</f>
        <v>0</v>
      </c>
    </row>
    <row r="10" spans="1:6" ht="19.5" thickBot="1" x14ac:dyDescent="0.45">
      <c r="A10" s="35" t="s">
        <v>34</v>
      </c>
      <c r="B10" s="36">
        <v>0</v>
      </c>
      <c r="C10" s="37">
        <f>B10/B2</f>
        <v>0</v>
      </c>
    </row>
    <row r="11" spans="1:6" ht="19.5" thickTop="1" x14ac:dyDescent="0.4">
      <c r="A11" s="4" t="s">
        <v>10</v>
      </c>
      <c r="B11" s="9">
        <f>B12+B13</f>
        <v>2</v>
      </c>
      <c r="C11" s="16">
        <f>B11/B3</f>
        <v>0.4</v>
      </c>
    </row>
    <row r="12" spans="1:6" x14ac:dyDescent="0.4">
      <c r="A12" s="5" t="s">
        <v>11</v>
      </c>
      <c r="B12" s="1">
        <v>2</v>
      </c>
      <c r="C12" s="6">
        <f>B12/B3</f>
        <v>0.4</v>
      </c>
    </row>
    <row r="13" spans="1:6" x14ac:dyDescent="0.4">
      <c r="A13" s="5" t="s">
        <v>12</v>
      </c>
      <c r="B13" s="1">
        <v>0</v>
      </c>
      <c r="C13" s="6">
        <f>B13/B3</f>
        <v>0</v>
      </c>
    </row>
    <row r="14" spans="1:6" x14ac:dyDescent="0.4">
      <c r="A14" s="5" t="s">
        <v>13</v>
      </c>
      <c r="B14" s="1">
        <v>1</v>
      </c>
      <c r="C14" s="6">
        <f>B14/B3</f>
        <v>0.2</v>
      </c>
    </row>
    <row r="15" spans="1:6" x14ac:dyDescent="0.4">
      <c r="A15" s="5" t="s">
        <v>5</v>
      </c>
      <c r="B15" s="8">
        <f>IF(B11=0,0,ROUND(C15/B11,-2))</f>
        <v>8000</v>
      </c>
      <c r="C15" s="17">
        <v>16000</v>
      </c>
    </row>
    <row r="16" spans="1:6" x14ac:dyDescent="0.4">
      <c r="A16" s="7" t="s">
        <v>14</v>
      </c>
      <c r="B16" s="18">
        <f>IF(B14=0,0,ROUND(C16/B14,-2))</f>
        <v>-12000</v>
      </c>
      <c r="C16" s="19">
        <v>-12000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609E8-048B-4221-9CDB-23FE76B4B398}">
  <sheetPr codeName="Sheet5"/>
  <dimension ref="A1:F52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19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50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368</v>
      </c>
      <c r="C3" s="12"/>
      <c r="E3" s="5">
        <v>1</v>
      </c>
      <c r="F3" s="13">
        <v>41</v>
      </c>
    </row>
    <row r="4" spans="1:6" x14ac:dyDescent="0.4">
      <c r="A4" s="5" t="s">
        <v>6</v>
      </c>
      <c r="B4" s="2">
        <v>-287</v>
      </c>
      <c r="C4" s="13"/>
      <c r="E4" s="5">
        <v>2</v>
      </c>
      <c r="F4" s="13">
        <v>-1</v>
      </c>
    </row>
    <row r="5" spans="1:6" x14ac:dyDescent="0.4">
      <c r="A5" s="5" t="s">
        <v>7</v>
      </c>
      <c r="B5" s="10">
        <f>B4/B2</f>
        <v>-5.74</v>
      </c>
      <c r="C5" s="14"/>
      <c r="E5" s="5">
        <v>3</v>
      </c>
      <c r="F5" s="13">
        <v>-37</v>
      </c>
    </row>
    <row r="6" spans="1:6" x14ac:dyDescent="0.4">
      <c r="A6" s="5" t="s">
        <v>1</v>
      </c>
      <c r="B6" s="30">
        <f>(B7*1+B8*2+B9*3)/B2</f>
        <v>2.14</v>
      </c>
      <c r="C6" s="15"/>
      <c r="E6" s="5">
        <v>4</v>
      </c>
      <c r="F6" s="13">
        <v>3</v>
      </c>
    </row>
    <row r="7" spans="1:6" x14ac:dyDescent="0.4">
      <c r="A7" s="5" t="s">
        <v>2</v>
      </c>
      <c r="B7" s="1">
        <v>16</v>
      </c>
      <c r="C7" s="6">
        <f>B7/B2</f>
        <v>0.32</v>
      </c>
      <c r="E7" s="5">
        <v>5</v>
      </c>
      <c r="F7" s="13">
        <v>14</v>
      </c>
    </row>
    <row r="8" spans="1:6" x14ac:dyDescent="0.4">
      <c r="A8" s="5" t="s">
        <v>3</v>
      </c>
      <c r="B8" s="1">
        <v>11</v>
      </c>
      <c r="C8" s="6">
        <f>B8/B2</f>
        <v>0.22</v>
      </c>
      <c r="E8" s="5">
        <v>6</v>
      </c>
      <c r="F8" s="13">
        <v>47</v>
      </c>
    </row>
    <row r="9" spans="1:6" x14ac:dyDescent="0.4">
      <c r="A9" s="27" t="s">
        <v>4</v>
      </c>
      <c r="B9" s="28">
        <v>23</v>
      </c>
      <c r="C9" s="29">
        <f>B9/B2</f>
        <v>0.46</v>
      </c>
      <c r="E9" s="5">
        <v>7</v>
      </c>
      <c r="F9" s="13">
        <v>100</v>
      </c>
    </row>
    <row r="10" spans="1:6" ht="19.5" thickBot="1" x14ac:dyDescent="0.45">
      <c r="A10" s="35" t="s">
        <v>34</v>
      </c>
      <c r="B10" s="36">
        <v>13</v>
      </c>
      <c r="C10" s="37">
        <f>B10/B2</f>
        <v>0.26</v>
      </c>
      <c r="E10" s="5">
        <v>8</v>
      </c>
      <c r="F10" s="13">
        <v>60</v>
      </c>
    </row>
    <row r="11" spans="1:6" ht="19.5" thickTop="1" x14ac:dyDescent="0.4">
      <c r="A11" s="4" t="s">
        <v>10</v>
      </c>
      <c r="B11" s="9">
        <f>B12+B13</f>
        <v>89</v>
      </c>
      <c r="C11" s="16">
        <f>B11/B3</f>
        <v>0.24184782608695651</v>
      </c>
      <c r="E11" s="5">
        <v>9</v>
      </c>
      <c r="F11" s="13">
        <v>24</v>
      </c>
    </row>
    <row r="12" spans="1:6" x14ac:dyDescent="0.4">
      <c r="A12" s="5" t="s">
        <v>11</v>
      </c>
      <c r="B12" s="1">
        <v>48</v>
      </c>
      <c r="C12" s="6">
        <f>B12/B3</f>
        <v>0.13043478260869565</v>
      </c>
      <c r="E12" s="5">
        <v>10</v>
      </c>
      <c r="F12" s="13">
        <v>-21</v>
      </c>
    </row>
    <row r="13" spans="1:6" x14ac:dyDescent="0.4">
      <c r="A13" s="5" t="s">
        <v>12</v>
      </c>
      <c r="B13" s="1">
        <v>41</v>
      </c>
      <c r="C13" s="6">
        <f>B13/B3</f>
        <v>0.11141304347826086</v>
      </c>
      <c r="E13" s="5">
        <v>11</v>
      </c>
      <c r="F13" s="13">
        <v>-4</v>
      </c>
    </row>
    <row r="14" spans="1:6" x14ac:dyDescent="0.4">
      <c r="A14" s="5" t="s">
        <v>13</v>
      </c>
      <c r="B14" s="1">
        <v>80</v>
      </c>
      <c r="C14" s="6">
        <f>B14/B3</f>
        <v>0.21739130434782608</v>
      </c>
      <c r="E14" s="5">
        <v>12</v>
      </c>
      <c r="F14" s="13">
        <v>-12</v>
      </c>
    </row>
    <row r="15" spans="1:6" x14ac:dyDescent="0.4">
      <c r="A15" s="5" t="s">
        <v>5</v>
      </c>
      <c r="B15" s="8">
        <f>IF(B11=0,0,ROUND(C15/B11,-2))</f>
        <v>11400</v>
      </c>
      <c r="C15" s="17">
        <v>1014400</v>
      </c>
      <c r="E15" s="5">
        <v>13</v>
      </c>
      <c r="F15" s="13">
        <v>50</v>
      </c>
    </row>
    <row r="16" spans="1:6" x14ac:dyDescent="0.4">
      <c r="A16" s="7" t="s">
        <v>14</v>
      </c>
      <c r="B16" s="18">
        <f>IF(B14=0,0,ROUND(C16/B14,-2))</f>
        <v>-10400</v>
      </c>
      <c r="C16" s="19">
        <v>-830200</v>
      </c>
      <c r="E16" s="5">
        <v>14</v>
      </c>
      <c r="F16" s="13">
        <v>33</v>
      </c>
    </row>
    <row r="17" spans="5:6" x14ac:dyDescent="0.4">
      <c r="E17" s="5">
        <v>15</v>
      </c>
      <c r="F17" s="13">
        <v>39</v>
      </c>
    </row>
    <row r="18" spans="5:6" x14ac:dyDescent="0.4">
      <c r="E18" s="5">
        <v>16</v>
      </c>
      <c r="F18" s="13">
        <v>15</v>
      </c>
    </row>
    <row r="19" spans="5:6" x14ac:dyDescent="0.4">
      <c r="E19" s="5">
        <v>17</v>
      </c>
      <c r="F19" s="13">
        <v>14</v>
      </c>
    </row>
    <row r="20" spans="5:6" x14ac:dyDescent="0.4">
      <c r="E20" s="5">
        <v>18</v>
      </c>
      <c r="F20" s="13">
        <v>-22</v>
      </c>
    </row>
    <row r="21" spans="5:6" x14ac:dyDescent="0.4">
      <c r="E21" s="5">
        <v>19</v>
      </c>
      <c r="F21" s="13">
        <v>-27</v>
      </c>
    </row>
    <row r="22" spans="5:6" x14ac:dyDescent="0.4">
      <c r="E22" s="5">
        <v>20</v>
      </c>
      <c r="F22" s="13">
        <v>-58</v>
      </c>
    </row>
    <row r="23" spans="5:6" x14ac:dyDescent="0.4">
      <c r="E23" s="5">
        <v>21</v>
      </c>
      <c r="F23" s="13">
        <v>-83</v>
      </c>
    </row>
    <row r="24" spans="5:6" x14ac:dyDescent="0.4">
      <c r="E24" s="5">
        <v>22</v>
      </c>
      <c r="F24" s="13">
        <v>-95</v>
      </c>
    </row>
    <row r="25" spans="5:6" x14ac:dyDescent="0.4">
      <c r="E25" s="5">
        <v>23</v>
      </c>
      <c r="F25" s="13">
        <v>-112</v>
      </c>
    </row>
    <row r="26" spans="5:6" x14ac:dyDescent="0.4">
      <c r="E26" s="5">
        <v>24</v>
      </c>
      <c r="F26" s="13">
        <v>-69</v>
      </c>
    </row>
    <row r="27" spans="5:6" x14ac:dyDescent="0.4">
      <c r="E27" s="5">
        <v>25</v>
      </c>
      <c r="F27" s="13">
        <v>-72</v>
      </c>
    </row>
    <row r="28" spans="5:6" x14ac:dyDescent="0.4">
      <c r="E28" s="5">
        <v>26</v>
      </c>
      <c r="F28" s="13">
        <v>-127</v>
      </c>
    </row>
    <row r="29" spans="5:6" x14ac:dyDescent="0.4">
      <c r="E29" s="5">
        <v>27</v>
      </c>
      <c r="F29" s="13">
        <v>-165</v>
      </c>
    </row>
    <row r="30" spans="5:6" x14ac:dyDescent="0.4">
      <c r="E30" s="5">
        <v>28</v>
      </c>
      <c r="F30" s="13">
        <v>-171</v>
      </c>
    </row>
    <row r="31" spans="5:6" x14ac:dyDescent="0.4">
      <c r="E31" s="5">
        <v>29</v>
      </c>
      <c r="F31" s="13">
        <v>-165</v>
      </c>
    </row>
    <row r="32" spans="5:6" x14ac:dyDescent="0.4">
      <c r="E32" s="5">
        <v>30</v>
      </c>
      <c r="F32" s="13">
        <v>-211</v>
      </c>
    </row>
    <row r="33" spans="5:6" x14ac:dyDescent="0.4">
      <c r="E33" s="5">
        <v>31</v>
      </c>
      <c r="F33" s="13">
        <v>-262</v>
      </c>
    </row>
    <row r="34" spans="5:6" x14ac:dyDescent="0.4">
      <c r="E34" s="5">
        <v>32</v>
      </c>
      <c r="F34" s="13">
        <v>-256</v>
      </c>
    </row>
    <row r="35" spans="5:6" x14ac:dyDescent="0.4">
      <c r="E35" s="5">
        <v>33</v>
      </c>
      <c r="F35" s="13">
        <v>-237</v>
      </c>
    </row>
    <row r="36" spans="5:6" x14ac:dyDescent="0.4">
      <c r="E36" s="5">
        <v>34</v>
      </c>
      <c r="F36" s="13">
        <v>-232</v>
      </c>
    </row>
    <row r="37" spans="5:6" x14ac:dyDescent="0.4">
      <c r="E37" s="5">
        <v>35</v>
      </c>
      <c r="F37" s="13">
        <v>-257</v>
      </c>
    </row>
    <row r="38" spans="5:6" x14ac:dyDescent="0.4">
      <c r="E38" s="5">
        <v>36</v>
      </c>
      <c r="F38" s="13">
        <v>-207</v>
      </c>
    </row>
    <row r="39" spans="5:6" x14ac:dyDescent="0.4">
      <c r="E39" s="5">
        <v>37</v>
      </c>
      <c r="F39" s="13">
        <v>-252</v>
      </c>
    </row>
    <row r="40" spans="5:6" x14ac:dyDescent="0.4">
      <c r="E40" s="5">
        <v>38</v>
      </c>
      <c r="F40" s="13">
        <v>-245</v>
      </c>
    </row>
    <row r="41" spans="5:6" x14ac:dyDescent="0.4">
      <c r="E41" s="5">
        <v>39</v>
      </c>
      <c r="F41" s="13">
        <v>-247</v>
      </c>
    </row>
    <row r="42" spans="5:6" x14ac:dyDescent="0.4">
      <c r="E42" s="5">
        <v>40</v>
      </c>
      <c r="F42" s="13">
        <v>-282</v>
      </c>
    </row>
    <row r="43" spans="5:6" x14ac:dyDescent="0.4">
      <c r="E43" s="5">
        <v>41</v>
      </c>
      <c r="F43" s="13">
        <v>-322</v>
      </c>
    </row>
    <row r="44" spans="5:6" x14ac:dyDescent="0.4">
      <c r="E44" s="5">
        <v>42</v>
      </c>
      <c r="F44" s="13">
        <v>-316</v>
      </c>
    </row>
    <row r="45" spans="5:6" x14ac:dyDescent="0.4">
      <c r="E45" s="5">
        <v>43</v>
      </c>
      <c r="F45" s="13">
        <v>-286</v>
      </c>
    </row>
    <row r="46" spans="5:6" x14ac:dyDescent="0.4">
      <c r="E46" s="5">
        <v>44</v>
      </c>
      <c r="F46" s="13">
        <v>-241</v>
      </c>
    </row>
    <row r="47" spans="5:6" x14ac:dyDescent="0.4">
      <c r="E47" s="5">
        <v>45</v>
      </c>
      <c r="F47" s="13">
        <v>-257</v>
      </c>
    </row>
    <row r="48" spans="5:6" x14ac:dyDescent="0.4">
      <c r="E48" s="5">
        <v>46</v>
      </c>
      <c r="F48" s="13">
        <v>-281</v>
      </c>
    </row>
    <row r="49" spans="5:6" x14ac:dyDescent="0.4">
      <c r="E49" s="5">
        <v>47</v>
      </c>
      <c r="F49" s="13">
        <v>-265</v>
      </c>
    </row>
    <row r="50" spans="5:6" x14ac:dyDescent="0.4">
      <c r="E50" s="5">
        <v>48</v>
      </c>
      <c r="F50" s="13">
        <v>-289</v>
      </c>
    </row>
    <row r="51" spans="5:6" x14ac:dyDescent="0.4">
      <c r="E51" s="5">
        <v>49</v>
      </c>
      <c r="F51" s="13">
        <v>-283</v>
      </c>
    </row>
    <row r="52" spans="5:6" x14ac:dyDescent="0.4">
      <c r="E52" s="5">
        <v>50</v>
      </c>
      <c r="F52" s="13">
        <v>-287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84EC0-7078-4628-BA43-5F4059A5DD8D}">
  <sheetPr codeName="Sheet6"/>
  <dimension ref="A1:F41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20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39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272</v>
      </c>
      <c r="C3" s="12"/>
      <c r="E3" s="5">
        <v>1</v>
      </c>
      <c r="F3" s="13">
        <v>-40</v>
      </c>
    </row>
    <row r="4" spans="1:6" x14ac:dyDescent="0.4">
      <c r="A4" s="5" t="s">
        <v>6</v>
      </c>
      <c r="B4" s="2">
        <v>229</v>
      </c>
      <c r="C4" s="13"/>
      <c r="E4" s="5">
        <v>2</v>
      </c>
      <c r="F4" s="13">
        <v>-13</v>
      </c>
    </row>
    <row r="5" spans="1:6" x14ac:dyDescent="0.4">
      <c r="A5" s="5" t="s">
        <v>7</v>
      </c>
      <c r="B5" s="10">
        <f>B4/B2</f>
        <v>5.8717948717948714</v>
      </c>
      <c r="C5" s="14"/>
      <c r="E5" s="5">
        <v>3</v>
      </c>
      <c r="F5" s="13">
        <v>-58</v>
      </c>
    </row>
    <row r="6" spans="1:6" x14ac:dyDescent="0.4">
      <c r="A6" s="5" t="s">
        <v>1</v>
      </c>
      <c r="B6" s="30">
        <f>(B7*1+B8*2+B9*3)/B2</f>
        <v>1.8461538461538463</v>
      </c>
      <c r="C6" s="15"/>
      <c r="E6" s="5">
        <v>4</v>
      </c>
      <c r="F6" s="13">
        <v>-54</v>
      </c>
    </row>
    <row r="7" spans="1:6" x14ac:dyDescent="0.4">
      <c r="A7" s="5" t="s">
        <v>2</v>
      </c>
      <c r="B7" s="1">
        <v>14</v>
      </c>
      <c r="C7" s="6">
        <f>B7/B2</f>
        <v>0.35897435897435898</v>
      </c>
      <c r="E7" s="5">
        <v>5</v>
      </c>
      <c r="F7" s="13">
        <v>-46</v>
      </c>
    </row>
    <row r="8" spans="1:6" x14ac:dyDescent="0.4">
      <c r="A8" s="5" t="s">
        <v>3</v>
      </c>
      <c r="B8" s="1">
        <v>17</v>
      </c>
      <c r="C8" s="6">
        <f>B8/B2</f>
        <v>0.4358974358974359</v>
      </c>
      <c r="E8" s="5">
        <v>6</v>
      </c>
      <c r="F8" s="13">
        <v>-51</v>
      </c>
    </row>
    <row r="9" spans="1:6" x14ac:dyDescent="0.4">
      <c r="A9" s="27" t="s">
        <v>4</v>
      </c>
      <c r="B9" s="28">
        <v>8</v>
      </c>
      <c r="C9" s="29">
        <f>B9/B2</f>
        <v>0.20512820512820512</v>
      </c>
      <c r="E9" s="5">
        <v>7</v>
      </c>
      <c r="F9" s="13">
        <v>-48</v>
      </c>
    </row>
    <row r="10" spans="1:6" ht="19.5" thickBot="1" x14ac:dyDescent="0.45">
      <c r="A10" s="35" t="s">
        <v>34</v>
      </c>
      <c r="B10" s="36">
        <v>5</v>
      </c>
      <c r="C10" s="37">
        <f>B10/B2</f>
        <v>0.12820512820512819</v>
      </c>
      <c r="E10" s="5">
        <v>8</v>
      </c>
      <c r="F10" s="13">
        <v>-60</v>
      </c>
    </row>
    <row r="11" spans="1:6" ht="19.5" thickTop="1" x14ac:dyDescent="0.4">
      <c r="A11" s="4" t="s">
        <v>10</v>
      </c>
      <c r="B11" s="9">
        <f>B12+B13</f>
        <v>97</v>
      </c>
      <c r="C11" s="16">
        <f>B11/B3</f>
        <v>0.35661764705882354</v>
      </c>
      <c r="E11" s="5">
        <v>9</v>
      </c>
      <c r="F11" s="13">
        <v>-79</v>
      </c>
    </row>
    <row r="12" spans="1:6" x14ac:dyDescent="0.4">
      <c r="A12" s="5" t="s">
        <v>11</v>
      </c>
      <c r="B12" s="1">
        <v>53</v>
      </c>
      <c r="C12" s="6">
        <f>B12/B3</f>
        <v>0.19485294117647059</v>
      </c>
      <c r="E12" s="5">
        <v>10</v>
      </c>
      <c r="F12" s="13">
        <v>-80</v>
      </c>
    </row>
    <row r="13" spans="1:6" x14ac:dyDescent="0.4">
      <c r="A13" s="5" t="s">
        <v>12</v>
      </c>
      <c r="B13" s="1">
        <v>44</v>
      </c>
      <c r="C13" s="6">
        <f>B13/B3</f>
        <v>0.16176470588235295</v>
      </c>
      <c r="E13" s="5">
        <v>11</v>
      </c>
      <c r="F13" s="13">
        <v>-90</v>
      </c>
    </row>
    <row r="14" spans="1:6" x14ac:dyDescent="0.4">
      <c r="A14" s="5" t="s">
        <v>13</v>
      </c>
      <c r="B14" s="1">
        <v>36</v>
      </c>
      <c r="C14" s="6">
        <f>B14/B3</f>
        <v>0.13235294117647059</v>
      </c>
      <c r="E14" s="5">
        <v>12</v>
      </c>
      <c r="F14" s="13">
        <v>-25</v>
      </c>
    </row>
    <row r="15" spans="1:6" x14ac:dyDescent="0.4">
      <c r="A15" s="5" t="s">
        <v>5</v>
      </c>
      <c r="B15" s="8">
        <f>IF(B11=0,0,ROUND(C15/B11,-2))</f>
        <v>9600</v>
      </c>
      <c r="C15" s="17">
        <v>934300</v>
      </c>
      <c r="E15" s="5">
        <v>13</v>
      </c>
      <c r="F15" s="13">
        <v>-14</v>
      </c>
    </row>
    <row r="16" spans="1:6" x14ac:dyDescent="0.4">
      <c r="A16" s="7" t="s">
        <v>14</v>
      </c>
      <c r="B16" s="18">
        <f>IF(B14=0,0,ROUND(C16/B14,-2))</f>
        <v>-9600</v>
      </c>
      <c r="C16" s="19">
        <v>-346100</v>
      </c>
      <c r="E16" s="5">
        <v>14</v>
      </c>
      <c r="F16" s="13">
        <v>37</v>
      </c>
    </row>
    <row r="17" spans="5:6" x14ac:dyDescent="0.4">
      <c r="E17" s="5">
        <v>15</v>
      </c>
      <c r="F17" s="13">
        <v>54</v>
      </c>
    </row>
    <row r="18" spans="5:6" x14ac:dyDescent="0.4">
      <c r="E18" s="5">
        <v>16</v>
      </c>
      <c r="F18" s="13">
        <v>38</v>
      </c>
    </row>
    <row r="19" spans="5:6" x14ac:dyDescent="0.4">
      <c r="E19" s="5">
        <v>17</v>
      </c>
      <c r="F19" s="13">
        <v>13</v>
      </c>
    </row>
    <row r="20" spans="5:6" x14ac:dyDescent="0.4">
      <c r="E20" s="5">
        <v>18</v>
      </c>
      <c r="F20" s="13">
        <v>-29</v>
      </c>
    </row>
    <row r="21" spans="5:6" x14ac:dyDescent="0.4">
      <c r="E21" s="5">
        <v>19</v>
      </c>
      <c r="F21" s="13">
        <v>-21</v>
      </c>
    </row>
    <row r="22" spans="5:6" x14ac:dyDescent="0.4">
      <c r="E22" s="5">
        <v>20</v>
      </c>
      <c r="F22" s="13">
        <v>4</v>
      </c>
    </row>
    <row r="23" spans="5:6" x14ac:dyDescent="0.4">
      <c r="E23" s="5">
        <v>21</v>
      </c>
      <c r="F23" s="13">
        <v>66</v>
      </c>
    </row>
    <row r="24" spans="5:6" x14ac:dyDescent="0.4">
      <c r="E24" s="5">
        <v>22</v>
      </c>
      <c r="F24" s="13">
        <v>75</v>
      </c>
    </row>
    <row r="25" spans="5:6" x14ac:dyDescent="0.4">
      <c r="E25" s="5">
        <v>23</v>
      </c>
      <c r="F25" s="13">
        <v>90</v>
      </c>
    </row>
    <row r="26" spans="5:6" x14ac:dyDescent="0.4">
      <c r="E26" s="5">
        <v>24</v>
      </c>
      <c r="F26" s="13">
        <v>46</v>
      </c>
    </row>
    <row r="27" spans="5:6" x14ac:dyDescent="0.4">
      <c r="E27" s="5">
        <v>25</v>
      </c>
      <c r="F27" s="13">
        <v>56</v>
      </c>
    </row>
    <row r="28" spans="5:6" x14ac:dyDescent="0.4">
      <c r="E28" s="5">
        <v>26</v>
      </c>
      <c r="F28" s="13">
        <v>139</v>
      </c>
    </row>
    <row r="29" spans="5:6" x14ac:dyDescent="0.4">
      <c r="E29" s="5">
        <v>27</v>
      </c>
      <c r="F29" s="13">
        <v>160</v>
      </c>
    </row>
    <row r="30" spans="5:6" x14ac:dyDescent="0.4">
      <c r="E30" s="5">
        <v>28</v>
      </c>
      <c r="F30" s="13">
        <v>172</v>
      </c>
    </row>
    <row r="31" spans="5:6" x14ac:dyDescent="0.4">
      <c r="E31" s="5">
        <v>29</v>
      </c>
      <c r="F31" s="13">
        <v>202</v>
      </c>
    </row>
    <row r="32" spans="5:6" x14ac:dyDescent="0.4">
      <c r="E32" s="5">
        <v>30</v>
      </c>
      <c r="F32" s="13">
        <v>195</v>
      </c>
    </row>
    <row r="33" spans="5:6" x14ac:dyDescent="0.4">
      <c r="E33" s="5">
        <v>31</v>
      </c>
      <c r="F33" s="13">
        <v>183</v>
      </c>
    </row>
    <row r="34" spans="5:6" x14ac:dyDescent="0.4">
      <c r="E34" s="5">
        <v>32</v>
      </c>
      <c r="F34" s="13">
        <v>201</v>
      </c>
    </row>
    <row r="35" spans="5:6" x14ac:dyDescent="0.4">
      <c r="E35" s="5">
        <v>33</v>
      </c>
      <c r="F35" s="13">
        <v>242</v>
      </c>
    </row>
    <row r="36" spans="5:6" x14ac:dyDescent="0.4">
      <c r="E36" s="5">
        <v>34</v>
      </c>
      <c r="F36" s="13">
        <v>231</v>
      </c>
    </row>
    <row r="37" spans="5:6" x14ac:dyDescent="0.4">
      <c r="E37" s="5">
        <v>35</v>
      </c>
      <c r="F37" s="13">
        <v>185</v>
      </c>
    </row>
    <row r="38" spans="5:6" x14ac:dyDescent="0.4">
      <c r="E38" s="5">
        <v>36</v>
      </c>
      <c r="F38" s="13">
        <v>232</v>
      </c>
    </row>
    <row r="39" spans="5:6" x14ac:dyDescent="0.4">
      <c r="E39" s="5">
        <v>37</v>
      </c>
      <c r="F39" s="13">
        <v>247</v>
      </c>
    </row>
    <row r="40" spans="5:6" x14ac:dyDescent="0.4">
      <c r="E40" s="5">
        <v>38</v>
      </c>
      <c r="F40" s="13">
        <v>229</v>
      </c>
    </row>
    <row r="41" spans="5:6" x14ac:dyDescent="0.4">
      <c r="E41" s="5">
        <v>39</v>
      </c>
      <c r="F41" s="13">
        <v>229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68AF7-F886-4527-9360-451E2E0529F3}">
  <sheetPr codeName="Sheet7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21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1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6</v>
      </c>
      <c r="C3" s="12"/>
      <c r="E3" s="5">
        <v>1</v>
      </c>
      <c r="F3" s="13">
        <v>-41</v>
      </c>
    </row>
    <row r="4" spans="1:6" x14ac:dyDescent="0.4">
      <c r="A4" s="5" t="s">
        <v>6</v>
      </c>
      <c r="B4" s="2">
        <v>-41</v>
      </c>
      <c r="C4" s="13"/>
    </row>
    <row r="5" spans="1:6" x14ac:dyDescent="0.4">
      <c r="A5" s="5" t="s">
        <v>7</v>
      </c>
      <c r="B5" s="10">
        <f>B4/B2</f>
        <v>-41</v>
      </c>
      <c r="C5" s="14"/>
    </row>
    <row r="6" spans="1:6" x14ac:dyDescent="0.4">
      <c r="A6" s="5" t="s">
        <v>1</v>
      </c>
      <c r="B6" s="30">
        <f>(B7*1+B8*2+B9*3)/B2</f>
        <v>2</v>
      </c>
      <c r="C6" s="15"/>
    </row>
    <row r="7" spans="1:6" x14ac:dyDescent="0.4">
      <c r="A7" s="5" t="s">
        <v>2</v>
      </c>
      <c r="B7" s="1">
        <v>0</v>
      </c>
      <c r="C7" s="6">
        <f>B7/B2</f>
        <v>0</v>
      </c>
    </row>
    <row r="8" spans="1:6" x14ac:dyDescent="0.4">
      <c r="A8" s="5" t="s">
        <v>3</v>
      </c>
      <c r="B8" s="1">
        <v>1</v>
      </c>
      <c r="C8" s="6">
        <f>B8/B2</f>
        <v>1</v>
      </c>
    </row>
    <row r="9" spans="1:6" x14ac:dyDescent="0.4">
      <c r="A9" s="27" t="s">
        <v>4</v>
      </c>
      <c r="B9" s="28">
        <v>0</v>
      </c>
      <c r="C9" s="29">
        <f>B9/B2</f>
        <v>0</v>
      </c>
    </row>
    <row r="10" spans="1:6" ht="19.5" thickBot="1" x14ac:dyDescent="0.45">
      <c r="A10" s="35" t="s">
        <v>34</v>
      </c>
      <c r="B10" s="36">
        <v>1</v>
      </c>
      <c r="C10" s="37">
        <f>B10/B2</f>
        <v>1</v>
      </c>
    </row>
    <row r="11" spans="1:6" ht="19.5" thickTop="1" x14ac:dyDescent="0.4">
      <c r="A11" s="4" t="s">
        <v>10</v>
      </c>
      <c r="B11" s="9">
        <f>B12+B13</f>
        <v>1</v>
      </c>
      <c r="C11" s="16">
        <f>B11/B3</f>
        <v>0.16666666666666666</v>
      </c>
    </row>
    <row r="12" spans="1:6" x14ac:dyDescent="0.4">
      <c r="A12" s="5" t="s">
        <v>11</v>
      </c>
      <c r="B12" s="1">
        <v>1</v>
      </c>
      <c r="C12" s="6">
        <f>B12/B3</f>
        <v>0.16666666666666666</v>
      </c>
    </row>
    <row r="13" spans="1:6" x14ac:dyDescent="0.4">
      <c r="A13" s="5" t="s">
        <v>12</v>
      </c>
      <c r="B13" s="1">
        <v>0</v>
      </c>
      <c r="C13" s="6">
        <f>B13/B3</f>
        <v>0</v>
      </c>
    </row>
    <row r="14" spans="1:6" x14ac:dyDescent="0.4">
      <c r="A14" s="5" t="s">
        <v>13</v>
      </c>
      <c r="B14" s="1">
        <v>2</v>
      </c>
      <c r="C14" s="6">
        <f>B14/B3</f>
        <v>0.33333333333333331</v>
      </c>
    </row>
    <row r="15" spans="1:6" x14ac:dyDescent="0.4">
      <c r="A15" s="5" t="s">
        <v>5</v>
      </c>
      <c r="B15" s="8">
        <f>IF(B11=0,0,ROUND(C15/B11,-2))</f>
        <v>1300</v>
      </c>
      <c r="C15" s="17">
        <v>1300</v>
      </c>
    </row>
    <row r="16" spans="1:6" x14ac:dyDescent="0.4">
      <c r="A16" s="7" t="s">
        <v>14</v>
      </c>
      <c r="B16" s="18">
        <f>IF(B14=0,0,ROUND(C16/B14,-2))</f>
        <v>-8500</v>
      </c>
      <c r="C16" s="19">
        <v>-17000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F3275-0EC4-41B5-9B72-B0EFBDF51B9E}">
  <sheetPr codeName="Sheet8"/>
  <dimension ref="A1:F32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16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30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240</v>
      </c>
      <c r="C3" s="12"/>
      <c r="E3" s="5">
        <v>1</v>
      </c>
      <c r="F3" s="13">
        <v>68</v>
      </c>
    </row>
    <row r="4" spans="1:6" x14ac:dyDescent="0.4">
      <c r="A4" s="5" t="s">
        <v>6</v>
      </c>
      <c r="B4" s="2">
        <v>14</v>
      </c>
      <c r="C4" s="13"/>
      <c r="E4" s="5">
        <v>2</v>
      </c>
      <c r="F4" s="13">
        <v>58</v>
      </c>
    </row>
    <row r="5" spans="1:6" x14ac:dyDescent="0.4">
      <c r="A5" s="5" t="s">
        <v>7</v>
      </c>
      <c r="B5" s="10">
        <f>B4/B2</f>
        <v>0.46666666666666667</v>
      </c>
      <c r="C5" s="14"/>
      <c r="E5" s="5">
        <v>3</v>
      </c>
      <c r="F5" s="13">
        <v>82</v>
      </c>
    </row>
    <row r="6" spans="1:6" x14ac:dyDescent="0.4">
      <c r="A6" s="5" t="s">
        <v>1</v>
      </c>
      <c r="B6" s="30">
        <f>(B7*1+B8*2+B9*3)/B2</f>
        <v>2.0333333333333332</v>
      </c>
      <c r="C6" s="15"/>
      <c r="E6" s="5">
        <v>4</v>
      </c>
      <c r="F6" s="13">
        <v>58</v>
      </c>
    </row>
    <row r="7" spans="1:6" x14ac:dyDescent="0.4">
      <c r="A7" s="5" t="s">
        <v>2</v>
      </c>
      <c r="B7" s="1">
        <v>9</v>
      </c>
      <c r="C7" s="6">
        <f>B7/B2</f>
        <v>0.3</v>
      </c>
      <c r="E7" s="5">
        <v>5</v>
      </c>
      <c r="F7" s="13">
        <v>124</v>
      </c>
    </row>
    <row r="8" spans="1:6" x14ac:dyDescent="0.4">
      <c r="A8" s="5" t="s">
        <v>3</v>
      </c>
      <c r="B8" s="1">
        <v>11</v>
      </c>
      <c r="C8" s="6">
        <f>B8/B2</f>
        <v>0.36666666666666664</v>
      </c>
      <c r="E8" s="5">
        <v>6</v>
      </c>
      <c r="F8" s="13">
        <v>126</v>
      </c>
    </row>
    <row r="9" spans="1:6" x14ac:dyDescent="0.4">
      <c r="A9" s="27" t="s">
        <v>4</v>
      </c>
      <c r="B9" s="28">
        <v>10</v>
      </c>
      <c r="C9" s="29">
        <f>B9/B2</f>
        <v>0.33333333333333331</v>
      </c>
      <c r="E9" s="5">
        <v>7</v>
      </c>
      <c r="F9" s="13">
        <v>130</v>
      </c>
    </row>
    <row r="10" spans="1:6" ht="19.5" thickBot="1" x14ac:dyDescent="0.45">
      <c r="A10" s="35" t="s">
        <v>34</v>
      </c>
      <c r="B10" s="36">
        <v>4</v>
      </c>
      <c r="C10" s="37">
        <f>B10/B2</f>
        <v>0.13333333333333333</v>
      </c>
      <c r="E10" s="5">
        <v>8</v>
      </c>
      <c r="F10" s="13">
        <v>97</v>
      </c>
    </row>
    <row r="11" spans="1:6" ht="19.5" thickTop="1" x14ac:dyDescent="0.4">
      <c r="A11" s="4" t="s">
        <v>10</v>
      </c>
      <c r="B11" s="9">
        <f>B12+B13</f>
        <v>70</v>
      </c>
      <c r="C11" s="16">
        <f>B11/B3</f>
        <v>0.29166666666666669</v>
      </c>
      <c r="E11" s="5">
        <v>9</v>
      </c>
      <c r="F11" s="13">
        <v>83</v>
      </c>
    </row>
    <row r="12" spans="1:6" x14ac:dyDescent="0.4">
      <c r="A12" s="5" t="s">
        <v>11</v>
      </c>
      <c r="B12" s="1">
        <v>40</v>
      </c>
      <c r="C12" s="6">
        <f>B12/B3</f>
        <v>0.16666666666666666</v>
      </c>
      <c r="E12" s="5">
        <v>10</v>
      </c>
      <c r="F12" s="13">
        <v>111</v>
      </c>
    </row>
    <row r="13" spans="1:6" x14ac:dyDescent="0.4">
      <c r="A13" s="5" t="s">
        <v>12</v>
      </c>
      <c r="B13" s="1">
        <v>30</v>
      </c>
      <c r="C13" s="6">
        <f>B13/B3</f>
        <v>0.125</v>
      </c>
      <c r="E13" s="5">
        <v>11</v>
      </c>
      <c r="F13" s="13">
        <v>139</v>
      </c>
    </row>
    <row r="14" spans="1:6" x14ac:dyDescent="0.4">
      <c r="A14" s="5" t="s">
        <v>13</v>
      </c>
      <c r="B14" s="1">
        <v>48</v>
      </c>
      <c r="C14" s="6">
        <f>B14/B3</f>
        <v>0.2</v>
      </c>
      <c r="E14" s="5">
        <v>12</v>
      </c>
      <c r="F14" s="13">
        <v>100</v>
      </c>
    </row>
    <row r="15" spans="1:6" x14ac:dyDescent="0.4">
      <c r="A15" s="5" t="s">
        <v>5</v>
      </c>
      <c r="B15" s="8">
        <f>IF(B11=0,0,ROUND(C15/B11,-2))</f>
        <v>10600</v>
      </c>
      <c r="C15" s="17">
        <v>739900</v>
      </c>
      <c r="E15" s="5">
        <v>13</v>
      </c>
      <c r="F15" s="13">
        <v>62</v>
      </c>
    </row>
    <row r="16" spans="1:6" x14ac:dyDescent="0.4">
      <c r="A16" s="7" t="s">
        <v>14</v>
      </c>
      <c r="B16" s="18">
        <f>IF(B14=0,0,ROUND(C16/B14,-2))</f>
        <v>-7400</v>
      </c>
      <c r="C16" s="19">
        <v>-356700</v>
      </c>
      <c r="E16" s="5">
        <v>14</v>
      </c>
      <c r="F16" s="13">
        <v>42</v>
      </c>
    </row>
    <row r="17" spans="5:6" x14ac:dyDescent="0.4">
      <c r="E17" s="5">
        <v>15</v>
      </c>
      <c r="F17" s="13">
        <v>33</v>
      </c>
    </row>
    <row r="18" spans="5:6" x14ac:dyDescent="0.4">
      <c r="E18" s="5">
        <v>16</v>
      </c>
      <c r="F18" s="13">
        <v>-6</v>
      </c>
    </row>
    <row r="19" spans="5:6" x14ac:dyDescent="0.4">
      <c r="E19" s="5">
        <v>17</v>
      </c>
      <c r="F19" s="13">
        <v>-18</v>
      </c>
    </row>
    <row r="20" spans="5:6" x14ac:dyDescent="0.4">
      <c r="E20" s="5">
        <v>18</v>
      </c>
      <c r="F20" s="13">
        <v>-18</v>
      </c>
    </row>
    <row r="21" spans="5:6" x14ac:dyDescent="0.4">
      <c r="E21" s="5">
        <v>19</v>
      </c>
      <c r="F21" s="13">
        <v>-3</v>
      </c>
    </row>
    <row r="22" spans="5:6" x14ac:dyDescent="0.4">
      <c r="E22" s="5">
        <v>20</v>
      </c>
      <c r="F22" s="13">
        <v>45</v>
      </c>
    </row>
    <row r="23" spans="5:6" x14ac:dyDescent="0.4">
      <c r="E23" s="5">
        <v>21</v>
      </c>
      <c r="F23" s="13">
        <v>3</v>
      </c>
    </row>
    <row r="24" spans="5:6" x14ac:dyDescent="0.4">
      <c r="E24" s="5">
        <v>22</v>
      </c>
      <c r="F24" s="13">
        <v>-3</v>
      </c>
    </row>
    <row r="25" spans="5:6" x14ac:dyDescent="0.4">
      <c r="E25" s="5">
        <v>23</v>
      </c>
      <c r="F25" s="13">
        <v>22</v>
      </c>
    </row>
    <row r="26" spans="5:6" x14ac:dyDescent="0.4">
      <c r="E26" s="5">
        <v>24</v>
      </c>
      <c r="F26" s="13">
        <v>8</v>
      </c>
    </row>
    <row r="27" spans="5:6" x14ac:dyDescent="0.4">
      <c r="E27" s="5">
        <v>25</v>
      </c>
      <c r="F27" s="13">
        <v>0</v>
      </c>
    </row>
    <row r="28" spans="5:6" x14ac:dyDescent="0.4">
      <c r="E28" s="5">
        <v>26</v>
      </c>
      <c r="F28" s="13">
        <v>-11</v>
      </c>
    </row>
    <row r="29" spans="5:6" x14ac:dyDescent="0.4">
      <c r="E29" s="5">
        <v>27</v>
      </c>
      <c r="F29" s="13">
        <v>-33</v>
      </c>
    </row>
    <row r="30" spans="5:6" x14ac:dyDescent="0.4">
      <c r="E30" s="5">
        <v>28</v>
      </c>
      <c r="F30" s="13">
        <v>-27</v>
      </c>
    </row>
    <row r="31" spans="5:6" x14ac:dyDescent="0.4">
      <c r="E31" s="5">
        <v>29</v>
      </c>
      <c r="F31" s="13">
        <v>-26</v>
      </c>
    </row>
    <row r="32" spans="5:6" x14ac:dyDescent="0.4">
      <c r="E32" s="5">
        <v>30</v>
      </c>
      <c r="F32" s="13">
        <v>14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F19B9-731A-46E8-B689-390BD3C37115}">
  <sheetPr codeName="Sheet9"/>
  <dimension ref="A1:F34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17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32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239</v>
      </c>
      <c r="C3" s="12"/>
      <c r="E3" s="5">
        <v>1</v>
      </c>
      <c r="F3" s="13">
        <v>-37</v>
      </c>
    </row>
    <row r="4" spans="1:6" x14ac:dyDescent="0.4">
      <c r="A4" s="5" t="s">
        <v>6</v>
      </c>
      <c r="B4" s="2">
        <v>-11</v>
      </c>
      <c r="C4" s="13"/>
      <c r="E4" s="5">
        <v>2</v>
      </c>
      <c r="F4" s="13">
        <v>-46</v>
      </c>
    </row>
    <row r="5" spans="1:6" x14ac:dyDescent="0.4">
      <c r="A5" s="5" t="s">
        <v>7</v>
      </c>
      <c r="B5" s="10">
        <f>B4/B2</f>
        <v>-0.34375</v>
      </c>
      <c r="C5" s="14"/>
      <c r="E5" s="5">
        <v>3</v>
      </c>
      <c r="F5" s="13">
        <v>-82</v>
      </c>
    </row>
    <row r="6" spans="1:6" x14ac:dyDescent="0.4">
      <c r="A6" s="5" t="s">
        <v>1</v>
      </c>
      <c r="B6" s="30">
        <f>(B7*1+B8*2+B9*3)/B2</f>
        <v>2</v>
      </c>
      <c r="C6" s="15"/>
      <c r="E6" s="5">
        <v>4</v>
      </c>
      <c r="F6" s="13">
        <v>-114</v>
      </c>
    </row>
    <row r="7" spans="1:6" x14ac:dyDescent="0.4">
      <c r="A7" s="5" t="s">
        <v>2</v>
      </c>
      <c r="B7" s="1">
        <v>11</v>
      </c>
      <c r="C7" s="6">
        <f>B7/B2</f>
        <v>0.34375</v>
      </c>
      <c r="E7" s="5">
        <v>5</v>
      </c>
      <c r="F7" s="13">
        <v>-136</v>
      </c>
    </row>
    <row r="8" spans="1:6" x14ac:dyDescent="0.4">
      <c r="A8" s="5" t="s">
        <v>3</v>
      </c>
      <c r="B8" s="1">
        <v>10</v>
      </c>
      <c r="C8" s="6">
        <f>B8/B2</f>
        <v>0.3125</v>
      </c>
      <c r="E8" s="5">
        <v>6</v>
      </c>
      <c r="F8" s="13">
        <v>-100</v>
      </c>
    </row>
    <row r="9" spans="1:6" x14ac:dyDescent="0.4">
      <c r="A9" s="27" t="s">
        <v>4</v>
      </c>
      <c r="B9" s="28">
        <v>11</v>
      </c>
      <c r="C9" s="29">
        <f>B9/B2</f>
        <v>0.34375</v>
      </c>
      <c r="E9" s="5">
        <v>7</v>
      </c>
      <c r="F9" s="13">
        <v>-105</v>
      </c>
    </row>
    <row r="10" spans="1:6" ht="19.5" thickBot="1" x14ac:dyDescent="0.45">
      <c r="A10" s="35" t="s">
        <v>34</v>
      </c>
      <c r="B10" s="36">
        <v>6</v>
      </c>
      <c r="C10" s="37">
        <f>B10/B2</f>
        <v>0.1875</v>
      </c>
      <c r="E10" s="5">
        <v>8</v>
      </c>
      <c r="F10" s="13">
        <v>-51</v>
      </c>
    </row>
    <row r="11" spans="1:6" ht="19.5" thickTop="1" x14ac:dyDescent="0.4">
      <c r="A11" s="4" t="s">
        <v>10</v>
      </c>
      <c r="B11" s="9">
        <f>B12+B13</f>
        <v>68</v>
      </c>
      <c r="C11" s="16">
        <f>B11/B3</f>
        <v>0.28451882845188287</v>
      </c>
      <c r="E11" s="5">
        <v>9</v>
      </c>
      <c r="F11" s="13">
        <v>-52</v>
      </c>
    </row>
    <row r="12" spans="1:6" x14ac:dyDescent="0.4">
      <c r="A12" s="5" t="s">
        <v>11</v>
      </c>
      <c r="B12" s="1">
        <v>44</v>
      </c>
      <c r="C12" s="6">
        <f>B12/B3</f>
        <v>0.18410041841004185</v>
      </c>
      <c r="E12" s="5">
        <v>10</v>
      </c>
      <c r="F12" s="13">
        <v>-71</v>
      </c>
    </row>
    <row r="13" spans="1:6" x14ac:dyDescent="0.4">
      <c r="A13" s="5" t="s">
        <v>12</v>
      </c>
      <c r="B13" s="1">
        <v>24</v>
      </c>
      <c r="C13" s="6">
        <f>B13/B3</f>
        <v>0.100418410041841</v>
      </c>
      <c r="E13" s="5">
        <v>11</v>
      </c>
      <c r="F13" s="13">
        <v>-90</v>
      </c>
    </row>
    <row r="14" spans="1:6" x14ac:dyDescent="0.4">
      <c r="A14" s="5" t="s">
        <v>13</v>
      </c>
      <c r="B14" s="1">
        <v>37</v>
      </c>
      <c r="C14" s="6">
        <f>B14/B3</f>
        <v>0.15481171548117154</v>
      </c>
      <c r="E14" s="5">
        <v>12</v>
      </c>
      <c r="F14" s="13">
        <v>-87</v>
      </c>
    </row>
    <row r="15" spans="1:6" x14ac:dyDescent="0.4">
      <c r="A15" s="5" t="s">
        <v>5</v>
      </c>
      <c r="B15" s="8">
        <f>IF(B11=0,0,ROUND(C15/B11,-2))</f>
        <v>10800</v>
      </c>
      <c r="C15" s="17">
        <v>732800</v>
      </c>
      <c r="E15" s="5">
        <v>13</v>
      </c>
      <c r="F15" s="13">
        <v>-71</v>
      </c>
    </row>
    <row r="16" spans="1:6" x14ac:dyDescent="0.4">
      <c r="A16" s="7" t="s">
        <v>14</v>
      </c>
      <c r="B16" s="18">
        <f>IF(B14=0,0,ROUND(C16/B14,-2))</f>
        <v>-10200</v>
      </c>
      <c r="C16" s="19">
        <v>-376200</v>
      </c>
      <c r="E16" s="5">
        <v>14</v>
      </c>
      <c r="F16" s="13">
        <v>-60</v>
      </c>
    </row>
    <row r="17" spans="5:6" x14ac:dyDescent="0.4">
      <c r="E17" s="5">
        <v>15</v>
      </c>
      <c r="F17" s="13">
        <v>-67</v>
      </c>
    </row>
    <row r="18" spans="5:6" x14ac:dyDescent="0.4">
      <c r="E18" s="5">
        <v>16</v>
      </c>
      <c r="F18" s="13">
        <v>7</v>
      </c>
    </row>
    <row r="19" spans="5:6" x14ac:dyDescent="0.4">
      <c r="E19" s="5">
        <v>17</v>
      </c>
      <c r="F19" s="13">
        <v>42</v>
      </c>
    </row>
    <row r="20" spans="5:6" x14ac:dyDescent="0.4">
      <c r="E20" s="5">
        <v>18</v>
      </c>
      <c r="F20" s="13">
        <v>42</v>
      </c>
    </row>
    <row r="21" spans="5:6" x14ac:dyDescent="0.4">
      <c r="E21" s="5">
        <v>19</v>
      </c>
      <c r="F21" s="13">
        <v>106</v>
      </c>
    </row>
    <row r="22" spans="5:6" x14ac:dyDescent="0.4">
      <c r="E22" s="5">
        <v>20</v>
      </c>
      <c r="F22" s="13">
        <v>109</v>
      </c>
    </row>
    <row r="23" spans="5:6" x14ac:dyDescent="0.4">
      <c r="E23" s="5">
        <v>21</v>
      </c>
      <c r="F23" s="13">
        <v>110</v>
      </c>
    </row>
    <row r="24" spans="5:6" x14ac:dyDescent="0.4">
      <c r="E24" s="5">
        <v>22</v>
      </c>
      <c r="F24" s="13">
        <v>113</v>
      </c>
    </row>
    <row r="25" spans="5:6" x14ac:dyDescent="0.4">
      <c r="E25" s="5">
        <v>23</v>
      </c>
      <c r="F25" s="13">
        <v>158</v>
      </c>
    </row>
    <row r="26" spans="5:6" x14ac:dyDescent="0.4">
      <c r="E26" s="5">
        <v>24</v>
      </c>
      <c r="F26" s="13">
        <v>157</v>
      </c>
    </row>
    <row r="27" spans="5:6" x14ac:dyDescent="0.4">
      <c r="E27" s="5">
        <v>25</v>
      </c>
      <c r="F27" s="13">
        <v>117</v>
      </c>
    </row>
    <row r="28" spans="5:6" x14ac:dyDescent="0.4">
      <c r="E28" s="5">
        <v>26</v>
      </c>
      <c r="F28" s="13">
        <v>101</v>
      </c>
    </row>
    <row r="29" spans="5:6" x14ac:dyDescent="0.4">
      <c r="E29" s="5">
        <v>27</v>
      </c>
      <c r="F29" s="13">
        <v>112</v>
      </c>
    </row>
    <row r="30" spans="5:6" x14ac:dyDescent="0.4">
      <c r="E30" s="5">
        <v>28</v>
      </c>
      <c r="F30" s="13">
        <v>68</v>
      </c>
    </row>
    <row r="31" spans="5:6" x14ac:dyDescent="0.4">
      <c r="E31" s="5">
        <v>29</v>
      </c>
      <c r="F31" s="13">
        <v>27</v>
      </c>
    </row>
    <row r="32" spans="5:6" x14ac:dyDescent="0.4">
      <c r="E32" s="5">
        <v>30</v>
      </c>
      <c r="F32" s="13">
        <v>16</v>
      </c>
    </row>
    <row r="33" spans="5:6" x14ac:dyDescent="0.4">
      <c r="E33" s="5">
        <v>31</v>
      </c>
      <c r="F33" s="13">
        <v>32</v>
      </c>
    </row>
    <row r="34" spans="5:6" x14ac:dyDescent="0.4">
      <c r="E34" s="5">
        <v>32</v>
      </c>
      <c r="F34" s="13">
        <v>-11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A29C7-A4CC-4635-B657-A8E6708A6C26}">
  <sheetPr codeName="Sheet11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36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12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82</v>
      </c>
      <c r="C3" s="12"/>
      <c r="E3" s="5">
        <v>1</v>
      </c>
      <c r="F3" s="13">
        <v>-14</v>
      </c>
    </row>
    <row r="4" spans="1:6" x14ac:dyDescent="0.4">
      <c r="A4" s="5" t="s">
        <v>6</v>
      </c>
      <c r="B4" s="2">
        <v>83</v>
      </c>
      <c r="C4" s="13"/>
      <c r="E4" s="5">
        <v>2</v>
      </c>
      <c r="F4" s="13">
        <v>38</v>
      </c>
    </row>
    <row r="5" spans="1:6" x14ac:dyDescent="0.4">
      <c r="A5" s="5" t="s">
        <v>7</v>
      </c>
      <c r="B5" s="10">
        <f>B4/B2</f>
        <v>6.916666666666667</v>
      </c>
      <c r="C5" s="14"/>
      <c r="E5" s="5">
        <v>3</v>
      </c>
      <c r="F5" s="13">
        <v>-2</v>
      </c>
    </row>
    <row r="6" spans="1:6" x14ac:dyDescent="0.4">
      <c r="A6" s="5" t="s">
        <v>1</v>
      </c>
      <c r="B6" s="30">
        <f>(B7*1+B8*2+B9*3)/B2</f>
        <v>1.75</v>
      </c>
      <c r="C6" s="15"/>
      <c r="E6" s="5">
        <v>4</v>
      </c>
      <c r="F6" s="13">
        <v>-44</v>
      </c>
    </row>
    <row r="7" spans="1:6" x14ac:dyDescent="0.4">
      <c r="A7" s="5" t="s">
        <v>2</v>
      </c>
      <c r="B7" s="1">
        <v>6</v>
      </c>
      <c r="C7" s="6">
        <f>B7/B2</f>
        <v>0.5</v>
      </c>
      <c r="E7" s="5">
        <v>5</v>
      </c>
      <c r="F7" s="13">
        <v>9</v>
      </c>
    </row>
    <row r="8" spans="1:6" x14ac:dyDescent="0.4">
      <c r="A8" s="5" t="s">
        <v>3</v>
      </c>
      <c r="B8" s="1">
        <v>3</v>
      </c>
      <c r="C8" s="6">
        <f>B8/B2</f>
        <v>0.25</v>
      </c>
      <c r="E8" s="5">
        <v>6</v>
      </c>
      <c r="F8" s="13">
        <v>24</v>
      </c>
    </row>
    <row r="9" spans="1:6" x14ac:dyDescent="0.4">
      <c r="A9" s="27" t="s">
        <v>4</v>
      </c>
      <c r="B9" s="28">
        <v>3</v>
      </c>
      <c r="C9" s="29">
        <f>B9/B2</f>
        <v>0.25</v>
      </c>
      <c r="E9" s="5">
        <v>7</v>
      </c>
      <c r="F9" s="13">
        <v>41</v>
      </c>
    </row>
    <row r="10" spans="1:6" ht="19.5" thickBot="1" x14ac:dyDescent="0.45">
      <c r="A10" s="35" t="s">
        <v>34</v>
      </c>
      <c r="B10" s="36">
        <v>3</v>
      </c>
      <c r="C10" s="37">
        <f>B10/B2</f>
        <v>0.25</v>
      </c>
      <c r="E10" s="5">
        <v>8</v>
      </c>
      <c r="F10" s="13">
        <v>5</v>
      </c>
    </row>
    <row r="11" spans="1:6" ht="19.5" thickTop="1" x14ac:dyDescent="0.4">
      <c r="A11" s="4" t="s">
        <v>10</v>
      </c>
      <c r="B11" s="9">
        <f>B12+B13</f>
        <v>28</v>
      </c>
      <c r="C11" s="16">
        <f>B11/B3</f>
        <v>0.34146341463414637</v>
      </c>
      <c r="E11" s="5">
        <v>9</v>
      </c>
      <c r="F11" s="13">
        <v>8</v>
      </c>
    </row>
    <row r="12" spans="1:6" x14ac:dyDescent="0.4">
      <c r="A12" s="5" t="s">
        <v>11</v>
      </c>
      <c r="B12" s="1">
        <v>15</v>
      </c>
      <c r="C12" s="6">
        <f>B12/B3</f>
        <v>0.18292682926829268</v>
      </c>
      <c r="E12" s="5">
        <v>10</v>
      </c>
      <c r="F12" s="13">
        <v>58</v>
      </c>
    </row>
    <row r="13" spans="1:6" x14ac:dyDescent="0.4">
      <c r="A13" s="5" t="s">
        <v>12</v>
      </c>
      <c r="B13" s="1">
        <v>13</v>
      </c>
      <c r="C13" s="6">
        <f>B13/B3</f>
        <v>0.15853658536585366</v>
      </c>
      <c r="E13" s="5">
        <v>11</v>
      </c>
      <c r="F13" s="13">
        <v>71</v>
      </c>
    </row>
    <row r="14" spans="1:6" x14ac:dyDescent="0.4">
      <c r="A14" s="5" t="s">
        <v>13</v>
      </c>
      <c r="B14" s="1">
        <v>11</v>
      </c>
      <c r="C14" s="6">
        <f>B14/B3</f>
        <v>0.13414634146341464</v>
      </c>
      <c r="E14" s="5">
        <v>12</v>
      </c>
      <c r="F14" s="13">
        <v>83</v>
      </c>
    </row>
    <row r="15" spans="1:6" x14ac:dyDescent="0.4">
      <c r="A15" s="5" t="s">
        <v>5</v>
      </c>
      <c r="B15" s="8">
        <f>IF(B11=0,0,ROUND(C15/B11,-2))</f>
        <v>10900</v>
      </c>
      <c r="C15" s="17">
        <v>304000</v>
      </c>
    </row>
    <row r="16" spans="1:6" x14ac:dyDescent="0.4">
      <c r="A16" s="7" t="s">
        <v>14</v>
      </c>
      <c r="B16" s="18">
        <f>IF(B14=0,0,ROUND(C16/B14,-2))</f>
        <v>-9900</v>
      </c>
      <c r="C16" s="19">
        <v>-109200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509C8-EFBE-42BB-B0C3-62239EB49D3F}">
  <sheetPr codeName="Sheet12"/>
  <dimension ref="A1:F22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 t="s">
        <v>39</v>
      </c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20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156</v>
      </c>
      <c r="C3" s="12"/>
      <c r="E3" s="5">
        <v>1</v>
      </c>
      <c r="F3" s="13">
        <v>4</v>
      </c>
    </row>
    <row r="4" spans="1:6" x14ac:dyDescent="0.4">
      <c r="A4" s="5" t="s">
        <v>6</v>
      </c>
      <c r="B4" s="2">
        <v>-270</v>
      </c>
      <c r="C4" s="13"/>
      <c r="E4" s="5">
        <v>2</v>
      </c>
      <c r="F4" s="13">
        <v>-34</v>
      </c>
    </row>
    <row r="5" spans="1:6" x14ac:dyDescent="0.4">
      <c r="A5" s="5" t="s">
        <v>7</v>
      </c>
      <c r="B5" s="10">
        <f>B4/B2</f>
        <v>-13.5</v>
      </c>
      <c r="C5" s="14"/>
      <c r="E5" s="5">
        <v>3</v>
      </c>
      <c r="F5" s="13">
        <v>-70</v>
      </c>
    </row>
    <row r="6" spans="1:6" x14ac:dyDescent="0.4">
      <c r="A6" s="5" t="s">
        <v>1</v>
      </c>
      <c r="B6" s="30">
        <f>(B7*1+B8*2+B9*3)/B2</f>
        <v>2.4500000000000002</v>
      </c>
      <c r="C6" s="15"/>
      <c r="E6" s="5">
        <v>4</v>
      </c>
      <c r="F6" s="13">
        <v>-35</v>
      </c>
    </row>
    <row r="7" spans="1:6" x14ac:dyDescent="0.4">
      <c r="A7" s="5" t="s">
        <v>2</v>
      </c>
      <c r="B7" s="1">
        <v>3</v>
      </c>
      <c r="C7" s="6">
        <f>B7/B2</f>
        <v>0.15</v>
      </c>
      <c r="E7" s="5">
        <v>5</v>
      </c>
      <c r="F7" s="13">
        <v>-80</v>
      </c>
    </row>
    <row r="8" spans="1:6" x14ac:dyDescent="0.4">
      <c r="A8" s="5" t="s">
        <v>3</v>
      </c>
      <c r="B8" s="1">
        <v>5</v>
      </c>
      <c r="C8" s="6">
        <f>B8/B2</f>
        <v>0.25</v>
      </c>
      <c r="E8" s="5">
        <v>6</v>
      </c>
      <c r="F8" s="13">
        <v>-116</v>
      </c>
    </row>
    <row r="9" spans="1:6" x14ac:dyDescent="0.4">
      <c r="A9" s="27" t="s">
        <v>4</v>
      </c>
      <c r="B9" s="28">
        <v>12</v>
      </c>
      <c r="C9" s="29">
        <f>B9/B2</f>
        <v>0.6</v>
      </c>
      <c r="E9" s="5">
        <v>7</v>
      </c>
      <c r="F9" s="13">
        <v>-147</v>
      </c>
    </row>
    <row r="10" spans="1:6" ht="19.5" thickBot="1" x14ac:dyDescent="0.45">
      <c r="A10" s="35" t="s">
        <v>34</v>
      </c>
      <c r="B10" s="36">
        <v>6</v>
      </c>
      <c r="C10" s="37">
        <f>B10/B2</f>
        <v>0.3</v>
      </c>
      <c r="E10" s="5">
        <v>8</v>
      </c>
      <c r="F10" s="13">
        <v>-146</v>
      </c>
    </row>
    <row r="11" spans="1:6" ht="19.5" thickTop="1" x14ac:dyDescent="0.4">
      <c r="A11" s="4" t="s">
        <v>10</v>
      </c>
      <c r="B11" s="9">
        <f>B12+B13</f>
        <v>37</v>
      </c>
      <c r="C11" s="16">
        <f>B11/B3</f>
        <v>0.23717948717948717</v>
      </c>
      <c r="E11" s="5">
        <v>9</v>
      </c>
      <c r="F11" s="13">
        <v>-173</v>
      </c>
    </row>
    <row r="12" spans="1:6" x14ac:dyDescent="0.4">
      <c r="A12" s="5" t="s">
        <v>11</v>
      </c>
      <c r="B12" s="1">
        <v>16</v>
      </c>
      <c r="C12" s="6">
        <f>B12/B3</f>
        <v>0.10256410256410256</v>
      </c>
      <c r="E12" s="5">
        <v>10</v>
      </c>
      <c r="F12" s="13">
        <v>-206</v>
      </c>
    </row>
    <row r="13" spans="1:6" x14ac:dyDescent="0.4">
      <c r="A13" s="5" t="s">
        <v>12</v>
      </c>
      <c r="B13" s="1">
        <v>21</v>
      </c>
      <c r="C13" s="6">
        <f>B13/B3</f>
        <v>0.13461538461538461</v>
      </c>
      <c r="E13" s="5">
        <v>11</v>
      </c>
      <c r="F13" s="13">
        <v>-174</v>
      </c>
    </row>
    <row r="14" spans="1:6" x14ac:dyDescent="0.4">
      <c r="A14" s="5" t="s">
        <v>13</v>
      </c>
      <c r="B14" s="1">
        <v>31</v>
      </c>
      <c r="C14" s="6">
        <f>B14/B3</f>
        <v>0.19871794871794871</v>
      </c>
      <c r="E14" s="5">
        <v>12</v>
      </c>
      <c r="F14" s="13">
        <v>-197</v>
      </c>
    </row>
    <row r="15" spans="1:6" x14ac:dyDescent="0.4">
      <c r="A15" s="5" t="s">
        <v>5</v>
      </c>
      <c r="B15" s="8">
        <f>IF(B11=0,0,ROUND(C15/B11,-2))</f>
        <v>10700</v>
      </c>
      <c r="C15" s="17">
        <v>397400</v>
      </c>
      <c r="E15" s="5">
        <v>13</v>
      </c>
      <c r="F15" s="13">
        <v>-235</v>
      </c>
    </row>
    <row r="16" spans="1:6" x14ac:dyDescent="0.4">
      <c r="A16" s="7" t="s">
        <v>14</v>
      </c>
      <c r="B16" s="18">
        <f>IF(B14=0,0,ROUND(C16/B14,-2))</f>
        <v>-10500</v>
      </c>
      <c r="C16" s="19">
        <v>-325700</v>
      </c>
      <c r="E16" s="5">
        <v>14</v>
      </c>
      <c r="F16" s="13">
        <v>-231</v>
      </c>
    </row>
    <row r="17" spans="5:6" x14ac:dyDescent="0.4">
      <c r="E17" s="5">
        <v>15</v>
      </c>
      <c r="F17" s="13">
        <v>-212</v>
      </c>
    </row>
    <row r="18" spans="5:6" x14ac:dyDescent="0.4">
      <c r="E18" s="5">
        <v>16</v>
      </c>
      <c r="F18" s="13">
        <v>-233</v>
      </c>
    </row>
    <row r="19" spans="5:6" x14ac:dyDescent="0.4">
      <c r="E19" s="5">
        <v>17</v>
      </c>
      <c r="F19" s="13">
        <v>-269</v>
      </c>
    </row>
    <row r="20" spans="5:6" x14ac:dyDescent="0.4">
      <c r="E20" s="5">
        <v>18</v>
      </c>
      <c r="F20" s="13">
        <v>-296</v>
      </c>
    </row>
    <row r="21" spans="5:6" x14ac:dyDescent="0.4">
      <c r="E21" s="5">
        <v>19</v>
      </c>
      <c r="F21" s="13">
        <v>-273</v>
      </c>
    </row>
    <row r="22" spans="5:6" x14ac:dyDescent="0.4">
      <c r="E22" s="5">
        <v>20</v>
      </c>
      <c r="F22" s="13">
        <v>-270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F16"/>
  <sheetViews>
    <sheetView showGridLines="0" zoomScale="175" zoomScaleNormal="175" workbookViewId="0"/>
  </sheetViews>
  <sheetFormatPr defaultRowHeight="18.75" x14ac:dyDescent="0.4"/>
  <cols>
    <col min="1" max="1" width="13" style="3" customWidth="1"/>
    <col min="2" max="3" width="10.75" style="3" customWidth="1"/>
    <col min="4" max="4" width="3.375" style="3" customWidth="1"/>
    <col min="5" max="5" width="3.375" style="5" bestFit="1" customWidth="1"/>
    <col min="6" max="6" width="11" style="13" bestFit="1" customWidth="1"/>
    <col min="7" max="16384" width="9" style="3"/>
  </cols>
  <sheetData>
    <row r="1" spans="1:6" ht="19.5" thickBot="1" x14ac:dyDescent="0.45">
      <c r="A1" s="34" t="s">
        <v>0</v>
      </c>
      <c r="B1" s="53"/>
      <c r="C1" s="54"/>
      <c r="E1" s="49" t="s">
        <v>41</v>
      </c>
      <c r="F1" s="50" t="s">
        <v>40</v>
      </c>
    </row>
    <row r="2" spans="1:6" ht="19.5" thickTop="1" x14ac:dyDescent="0.4">
      <c r="A2" s="4" t="s">
        <v>9</v>
      </c>
      <c r="B2" s="9">
        <v>0</v>
      </c>
      <c r="C2" s="11"/>
      <c r="E2" s="4">
        <v>0</v>
      </c>
      <c r="F2" s="48">
        <v>0</v>
      </c>
    </row>
    <row r="3" spans="1:6" x14ac:dyDescent="0.4">
      <c r="A3" s="5" t="s">
        <v>8</v>
      </c>
      <c r="B3" s="1">
        <v>0</v>
      </c>
      <c r="C3" s="12"/>
    </row>
    <row r="4" spans="1:6" x14ac:dyDescent="0.4">
      <c r="A4" s="5" t="s">
        <v>6</v>
      </c>
      <c r="B4" s="2">
        <v>0</v>
      </c>
      <c r="C4" s="13"/>
    </row>
    <row r="5" spans="1:6" x14ac:dyDescent="0.4">
      <c r="A5" s="5" t="s">
        <v>7</v>
      </c>
      <c r="B5" s="10" t="e">
        <f>B4/B2</f>
        <v>#DIV/0!</v>
      </c>
      <c r="C5" s="14"/>
    </row>
    <row r="6" spans="1:6" x14ac:dyDescent="0.4">
      <c r="A6" s="5" t="s">
        <v>1</v>
      </c>
      <c r="B6" s="30" t="e">
        <f>(B7*1+B8*2+B9*3)/B2</f>
        <v>#DIV/0!</v>
      </c>
      <c r="C6" s="15"/>
    </row>
    <row r="7" spans="1:6" x14ac:dyDescent="0.4">
      <c r="A7" s="5" t="s">
        <v>2</v>
      </c>
      <c r="B7" s="1">
        <v>0</v>
      </c>
      <c r="C7" s="6" t="e">
        <f>B7/B2</f>
        <v>#DIV/0!</v>
      </c>
    </row>
    <row r="8" spans="1:6" x14ac:dyDescent="0.4">
      <c r="A8" s="5" t="s">
        <v>3</v>
      </c>
      <c r="B8" s="1">
        <v>0</v>
      </c>
      <c r="C8" s="6" t="e">
        <f>B8/B2</f>
        <v>#DIV/0!</v>
      </c>
    </row>
    <row r="9" spans="1:6" x14ac:dyDescent="0.4">
      <c r="A9" s="27" t="s">
        <v>4</v>
      </c>
      <c r="B9" s="28">
        <v>0</v>
      </c>
      <c r="C9" s="29" t="e">
        <f>B9/B2</f>
        <v>#DIV/0!</v>
      </c>
    </row>
    <row r="10" spans="1:6" ht="19.5" thickBot="1" x14ac:dyDescent="0.45">
      <c r="A10" s="35" t="s">
        <v>34</v>
      </c>
      <c r="B10" s="36">
        <v>0</v>
      </c>
      <c r="C10" s="37" t="e">
        <f>B10/B2</f>
        <v>#DIV/0!</v>
      </c>
    </row>
    <row r="11" spans="1:6" ht="19.5" thickTop="1" x14ac:dyDescent="0.4">
      <c r="A11" s="4" t="s">
        <v>10</v>
      </c>
      <c r="B11" s="9">
        <f>B12+B13</f>
        <v>0</v>
      </c>
      <c r="C11" s="16" t="e">
        <f>B11/B3</f>
        <v>#DIV/0!</v>
      </c>
    </row>
    <row r="12" spans="1:6" x14ac:dyDescent="0.4">
      <c r="A12" s="5" t="s">
        <v>11</v>
      </c>
      <c r="B12" s="1">
        <v>0</v>
      </c>
      <c r="C12" s="6" t="e">
        <f>B12/B3</f>
        <v>#DIV/0!</v>
      </c>
    </row>
    <row r="13" spans="1:6" x14ac:dyDescent="0.4">
      <c r="A13" s="5" t="s">
        <v>12</v>
      </c>
      <c r="B13" s="1">
        <v>0</v>
      </c>
      <c r="C13" s="6" t="e">
        <f>B13/B3</f>
        <v>#DIV/0!</v>
      </c>
    </row>
    <row r="14" spans="1:6" x14ac:dyDescent="0.4">
      <c r="A14" s="5" t="s">
        <v>13</v>
      </c>
      <c r="B14" s="1">
        <v>0</v>
      </c>
      <c r="C14" s="6" t="e">
        <f>B14/B3</f>
        <v>#DIV/0!</v>
      </c>
    </row>
    <row r="15" spans="1:6" x14ac:dyDescent="0.4">
      <c r="A15" s="5" t="s">
        <v>5</v>
      </c>
      <c r="B15" s="8">
        <f>IF(B11=0,0,ROUND(C15/B11,-2))</f>
        <v>0</v>
      </c>
      <c r="C15" s="17">
        <v>0</v>
      </c>
    </row>
    <row r="16" spans="1:6" x14ac:dyDescent="0.4">
      <c r="A16" s="7" t="s">
        <v>14</v>
      </c>
      <c r="B16" s="18">
        <f>IF(B14=0,0,ROUND(C16/B14,-2))</f>
        <v>0</v>
      </c>
      <c r="C16" s="19">
        <v>0</v>
      </c>
    </row>
  </sheetData>
  <mergeCells count="1">
    <mergeCell ref="B1:C1"/>
  </mergeCells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2018-12-16T17:21:18Z</dcterms:modified>
</cp:coreProperties>
</file>