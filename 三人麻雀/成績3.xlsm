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6D8BF138-D151-444C-820E-1BAED448EB1F}" xr6:coauthVersionLast="31" xr6:coauthVersionMax="31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1706" r:id="rId2"/>
    <sheet name="かこたろう" sheetId="1707" r:id="rId3"/>
    <sheet name="ともき" sheetId="1708" r:id="rId4"/>
    <sheet name="りくと" sheetId="1709" r:id="rId5"/>
    <sheet name="いっしー" sheetId="1710" r:id="rId6"/>
    <sheet name="がくと" sheetId="1711" r:id="rId7"/>
    <sheet name="たかの" sheetId="1712" r:id="rId8"/>
    <sheet name="ただ" sheetId="1713" r:id="rId9"/>
    <sheet name="やがさき" sheetId="1714" r:id="rId10"/>
    <sheet name="れんたろう" sheetId="1715" r:id="rId11"/>
    <sheet name="Template" sheetId="1" r:id="rId1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1" i="1715" l="1"/>
  <c r="H50" i="1715"/>
  <c r="H49" i="1715"/>
  <c r="H48" i="1715"/>
  <c r="H47" i="1715"/>
  <c r="H46" i="1715"/>
  <c r="H45" i="1715"/>
  <c r="H44" i="1715"/>
  <c r="H43" i="1715"/>
  <c r="H42" i="1715"/>
  <c r="H41" i="1715"/>
  <c r="H40" i="1715"/>
  <c r="H39" i="1715"/>
  <c r="H38" i="1715"/>
  <c r="H37" i="1715"/>
  <c r="H36" i="1715"/>
  <c r="H35" i="1715"/>
  <c r="H34" i="1715"/>
  <c r="H18" i="1715"/>
  <c r="H33" i="1715"/>
  <c r="H32" i="1715"/>
  <c r="H31" i="1715"/>
  <c r="H8" i="1715"/>
  <c r="H30" i="1715"/>
  <c r="H29" i="1715"/>
  <c r="H17" i="1715"/>
  <c r="H28" i="1715"/>
  <c r="H27" i="1715"/>
  <c r="H14" i="1715"/>
  <c r="H26" i="1715"/>
  <c r="H16" i="1715"/>
  <c r="H25" i="1715"/>
  <c r="H24" i="1715"/>
  <c r="H23" i="1715"/>
  <c r="H11" i="1715"/>
  <c r="B17" i="1715"/>
  <c r="H22" i="1715"/>
  <c r="H21" i="1715"/>
  <c r="C15" i="1715"/>
  <c r="H15" i="1715"/>
  <c r="C14" i="1715"/>
  <c r="H20" i="1715"/>
  <c r="C13" i="1715"/>
  <c r="H13" i="1715"/>
  <c r="B12" i="1715"/>
  <c r="B16" i="1715" s="1"/>
  <c r="H3" i="1715"/>
  <c r="C11" i="1715"/>
  <c r="H19" i="1715"/>
  <c r="C10" i="1715"/>
  <c r="H10" i="1715"/>
  <c r="C9" i="1715"/>
  <c r="H9" i="1715"/>
  <c r="C8" i="1715"/>
  <c r="H6" i="1715"/>
  <c r="C7" i="1715"/>
  <c r="H2" i="1715"/>
  <c r="B6" i="1715"/>
  <c r="H7" i="1715"/>
  <c r="B5" i="1715"/>
  <c r="H4" i="1715"/>
  <c r="H12" i="1715"/>
  <c r="H5" i="1715"/>
  <c r="C12" i="1715" l="1"/>
  <c r="H51" i="1714" l="1"/>
  <c r="H50" i="1714"/>
  <c r="H49" i="1714"/>
  <c r="H48" i="1714"/>
  <c r="H47" i="1714"/>
  <c r="H46" i="1714"/>
  <c r="H45" i="1714"/>
  <c r="H44" i="1714"/>
  <c r="H43" i="1714"/>
  <c r="H42" i="1714"/>
  <c r="H41" i="1714"/>
  <c r="H40" i="1714"/>
  <c r="H39" i="1714"/>
  <c r="H38" i="1714"/>
  <c r="H37" i="1714"/>
  <c r="H36" i="1714"/>
  <c r="H35" i="1714"/>
  <c r="H34" i="1714"/>
  <c r="H33" i="1714"/>
  <c r="H32" i="1714"/>
  <c r="H31" i="1714"/>
  <c r="H30" i="1714"/>
  <c r="H29" i="1714"/>
  <c r="H28" i="1714"/>
  <c r="H27" i="1714"/>
  <c r="H26" i="1714"/>
  <c r="H25" i="1714"/>
  <c r="H24" i="1714"/>
  <c r="H23" i="1714"/>
  <c r="H22" i="1714"/>
  <c r="H21" i="1714"/>
  <c r="H20" i="1714"/>
  <c r="H19" i="1714"/>
  <c r="H18" i="1714"/>
  <c r="H17" i="1714"/>
  <c r="B17" i="1714"/>
  <c r="H16" i="1714"/>
  <c r="H15" i="1714"/>
  <c r="C15" i="1714"/>
  <c r="H14" i="1714"/>
  <c r="C14" i="1714"/>
  <c r="H13" i="1714"/>
  <c r="C13" i="1714"/>
  <c r="H12" i="1714"/>
  <c r="B12" i="1714"/>
  <c r="B16" i="1714" s="1"/>
  <c r="H11" i="1714"/>
  <c r="C11" i="1714"/>
  <c r="H10" i="1714"/>
  <c r="C10" i="1714"/>
  <c r="H9" i="1714"/>
  <c r="C9" i="1714"/>
  <c r="H8" i="1714"/>
  <c r="C8" i="1714"/>
  <c r="H7" i="1714"/>
  <c r="C7" i="1714"/>
  <c r="H6" i="1714"/>
  <c r="B6" i="1714"/>
  <c r="H5" i="1714"/>
  <c r="B5" i="1714"/>
  <c r="H4" i="1714"/>
  <c r="H3" i="1714"/>
  <c r="H2" i="1714"/>
  <c r="C12" i="1714" l="1"/>
  <c r="H51" i="1713" l="1"/>
  <c r="H50" i="1713"/>
  <c r="H49" i="1713"/>
  <c r="H48" i="1713"/>
  <c r="H47" i="1713"/>
  <c r="H46" i="1713"/>
  <c r="H45" i="1713"/>
  <c r="H44" i="1713"/>
  <c r="H43" i="1713"/>
  <c r="H42" i="1713"/>
  <c r="H41" i="1713"/>
  <c r="H40" i="1713"/>
  <c r="H39" i="1713"/>
  <c r="H38" i="1713"/>
  <c r="H37" i="1713"/>
  <c r="H36" i="1713"/>
  <c r="H35" i="1713"/>
  <c r="H34" i="1713"/>
  <c r="H33" i="1713"/>
  <c r="H32" i="1713"/>
  <c r="H31" i="1713"/>
  <c r="H30" i="1713"/>
  <c r="H11" i="1713"/>
  <c r="H29" i="1713"/>
  <c r="H28" i="1713"/>
  <c r="H10" i="1713"/>
  <c r="H27" i="1713"/>
  <c r="H26" i="1713"/>
  <c r="H25" i="1713"/>
  <c r="H24" i="1713"/>
  <c r="H23" i="1713"/>
  <c r="H22" i="1713"/>
  <c r="H21" i="1713"/>
  <c r="H20" i="1713"/>
  <c r="H15" i="1713"/>
  <c r="B17" i="1713"/>
  <c r="H19" i="1713"/>
  <c r="H18" i="1713"/>
  <c r="C15" i="1713"/>
  <c r="H17" i="1713"/>
  <c r="C14" i="1713"/>
  <c r="H14" i="1713"/>
  <c r="C13" i="1713"/>
  <c r="H16" i="1713"/>
  <c r="B12" i="1713"/>
  <c r="B16" i="1713" s="1"/>
  <c r="H5" i="1713"/>
  <c r="C11" i="1713"/>
  <c r="H13" i="1713"/>
  <c r="C10" i="1713"/>
  <c r="H9" i="1713"/>
  <c r="C9" i="1713"/>
  <c r="H8" i="1713"/>
  <c r="C8" i="1713"/>
  <c r="H7" i="1713"/>
  <c r="C7" i="1713"/>
  <c r="H3" i="1713"/>
  <c r="B6" i="1713"/>
  <c r="H6" i="1713"/>
  <c r="B5" i="1713"/>
  <c r="H2" i="1713"/>
  <c r="H12" i="1713"/>
  <c r="H4" i="1713"/>
  <c r="H51" i="1712"/>
  <c r="H50" i="1712"/>
  <c r="H49" i="1712"/>
  <c r="H48" i="1712"/>
  <c r="H47" i="1712"/>
  <c r="H46" i="1712"/>
  <c r="H45" i="1712"/>
  <c r="H44" i="1712"/>
  <c r="H43" i="1712"/>
  <c r="H42" i="1712"/>
  <c r="H41" i="1712"/>
  <c r="H40" i="1712"/>
  <c r="H39" i="1712"/>
  <c r="H38" i="1712"/>
  <c r="H37" i="1712"/>
  <c r="H36" i="1712"/>
  <c r="H35" i="1712"/>
  <c r="H34" i="1712"/>
  <c r="H33" i="1712"/>
  <c r="H32" i="1712"/>
  <c r="H31" i="1712"/>
  <c r="H30" i="1712"/>
  <c r="H8" i="1712"/>
  <c r="H29" i="1712"/>
  <c r="H28" i="1712"/>
  <c r="H10" i="1712"/>
  <c r="H27" i="1712"/>
  <c r="H26" i="1712"/>
  <c r="H15" i="1712"/>
  <c r="H25" i="1712"/>
  <c r="H24" i="1712"/>
  <c r="H23" i="1712"/>
  <c r="H22" i="1712"/>
  <c r="H9" i="1712"/>
  <c r="H14" i="1712"/>
  <c r="B17" i="1712"/>
  <c r="H21" i="1712"/>
  <c r="H20" i="1712"/>
  <c r="C15" i="1712"/>
  <c r="H13" i="1712"/>
  <c r="C14" i="1712"/>
  <c r="H19" i="1712"/>
  <c r="C13" i="1712"/>
  <c r="H18" i="1712"/>
  <c r="B12" i="1712"/>
  <c r="B16" i="1712" s="1"/>
  <c r="H3" i="1712"/>
  <c r="C11" i="1712"/>
  <c r="H17" i="1712"/>
  <c r="C10" i="1712"/>
  <c r="H12" i="1712"/>
  <c r="C9" i="1712"/>
  <c r="H11" i="1712"/>
  <c r="C8" i="1712"/>
  <c r="H7" i="1712"/>
  <c r="C7" i="1712"/>
  <c r="H2" i="1712"/>
  <c r="B6" i="1712"/>
  <c r="H16" i="1712"/>
  <c r="B5" i="1712"/>
  <c r="H4" i="1712"/>
  <c r="H6" i="1712"/>
  <c r="H5" i="1712"/>
  <c r="C12" i="1713" l="1"/>
  <c r="C12" i="1712"/>
  <c r="H51" i="1711" l="1"/>
  <c r="H50" i="1711"/>
  <c r="H49" i="1711"/>
  <c r="H48" i="1711"/>
  <c r="H47" i="1711"/>
  <c r="H46" i="1711"/>
  <c r="H45" i="1711"/>
  <c r="H44" i="1711"/>
  <c r="H43" i="1711"/>
  <c r="H42" i="1711"/>
  <c r="H41" i="1711"/>
  <c r="H40" i="1711"/>
  <c r="H39" i="1711"/>
  <c r="H38" i="1711"/>
  <c r="H37" i="1711"/>
  <c r="H36" i="1711"/>
  <c r="H35" i="1711"/>
  <c r="H34" i="1711"/>
  <c r="H33" i="1711"/>
  <c r="H32" i="1711"/>
  <c r="H31" i="1711"/>
  <c r="H30" i="1711"/>
  <c r="H29" i="1711"/>
  <c r="H28" i="1711"/>
  <c r="H27" i="1711"/>
  <c r="H26" i="1711"/>
  <c r="H25" i="1711"/>
  <c r="H24" i="1711"/>
  <c r="H23" i="1711"/>
  <c r="H22" i="1711"/>
  <c r="H21" i="1711"/>
  <c r="H20" i="1711"/>
  <c r="H19" i="1711"/>
  <c r="H18" i="1711"/>
  <c r="H17" i="1711"/>
  <c r="B17" i="1711"/>
  <c r="H16" i="1711"/>
  <c r="H15" i="1711"/>
  <c r="C15" i="1711"/>
  <c r="H14" i="1711"/>
  <c r="C14" i="1711"/>
  <c r="H13" i="1711"/>
  <c r="C13" i="1711"/>
  <c r="H12" i="1711"/>
  <c r="B12" i="1711"/>
  <c r="B16" i="1711" s="1"/>
  <c r="H11" i="1711"/>
  <c r="C11" i="1711"/>
  <c r="H10" i="1711"/>
  <c r="C10" i="1711"/>
  <c r="H9" i="1711"/>
  <c r="C9" i="1711"/>
  <c r="H8" i="1711"/>
  <c r="C8" i="1711"/>
  <c r="H7" i="1711"/>
  <c r="C7" i="1711"/>
  <c r="H6" i="1711"/>
  <c r="B6" i="1711"/>
  <c r="H5" i="1711"/>
  <c r="B5" i="1711"/>
  <c r="H4" i="1711"/>
  <c r="H3" i="1711"/>
  <c r="H2" i="1711"/>
  <c r="C12" i="1711" l="1"/>
  <c r="H51" i="1710" l="1"/>
  <c r="H50" i="1710"/>
  <c r="H49" i="1710"/>
  <c r="H48" i="1710"/>
  <c r="H47" i="1710"/>
  <c r="H46" i="1710"/>
  <c r="H45" i="1710"/>
  <c r="H44" i="1710"/>
  <c r="H43" i="1710"/>
  <c r="H42" i="1710"/>
  <c r="H41" i="1710"/>
  <c r="H40" i="1710"/>
  <c r="H39" i="1710"/>
  <c r="H38" i="1710"/>
  <c r="H37" i="1710"/>
  <c r="H36" i="1710"/>
  <c r="H35" i="1710"/>
  <c r="H34" i="1710"/>
  <c r="H33" i="1710"/>
  <c r="H32" i="1710"/>
  <c r="H31" i="1710"/>
  <c r="H30" i="1710"/>
  <c r="H29" i="1710"/>
  <c r="H28" i="1710"/>
  <c r="H27" i="1710"/>
  <c r="H26" i="1710"/>
  <c r="H25" i="1710"/>
  <c r="H24" i="1710"/>
  <c r="H11" i="1710"/>
  <c r="H23" i="1710"/>
  <c r="H10" i="1710"/>
  <c r="H22" i="1710"/>
  <c r="H21" i="1710"/>
  <c r="H20" i="1710"/>
  <c r="H19" i="1710"/>
  <c r="B17" i="1710"/>
  <c r="H18" i="1710"/>
  <c r="H17" i="1710"/>
  <c r="C15" i="1710"/>
  <c r="H16" i="1710"/>
  <c r="C14" i="1710"/>
  <c r="H15" i="1710"/>
  <c r="C13" i="1710"/>
  <c r="H14" i="1710"/>
  <c r="B12" i="1710"/>
  <c r="B16" i="1710" s="1"/>
  <c r="H4" i="1710"/>
  <c r="C11" i="1710"/>
  <c r="H13" i="1710"/>
  <c r="C10" i="1710"/>
  <c r="H12" i="1710"/>
  <c r="C9" i="1710"/>
  <c r="H9" i="1710"/>
  <c r="C8" i="1710"/>
  <c r="H7" i="1710"/>
  <c r="C7" i="1710"/>
  <c r="H3" i="1710"/>
  <c r="B6" i="1710"/>
  <c r="H6" i="1710"/>
  <c r="B5" i="1710"/>
  <c r="H2" i="1710"/>
  <c r="H8" i="1710"/>
  <c r="H5" i="1710"/>
  <c r="H51" i="1709"/>
  <c r="H50" i="1709"/>
  <c r="H49" i="1709"/>
  <c r="H48" i="1709"/>
  <c r="H47" i="1709"/>
  <c r="H46" i="1709"/>
  <c r="H45" i="1709"/>
  <c r="H44" i="1709"/>
  <c r="H43" i="1709"/>
  <c r="H42" i="1709"/>
  <c r="H41" i="1709"/>
  <c r="H40" i="1709"/>
  <c r="H39" i="1709"/>
  <c r="H38" i="1709"/>
  <c r="H37" i="1709"/>
  <c r="H36" i="1709"/>
  <c r="H35" i="1709"/>
  <c r="H34" i="1709"/>
  <c r="H33" i="1709"/>
  <c r="H16" i="1709"/>
  <c r="H20" i="1709"/>
  <c r="H32" i="1709"/>
  <c r="H9" i="1709"/>
  <c r="H19" i="1709"/>
  <c r="H18" i="1709"/>
  <c r="H11" i="1709"/>
  <c r="H17" i="1709"/>
  <c r="H31" i="1709"/>
  <c r="H13" i="1709"/>
  <c r="H30" i="1709"/>
  <c r="H15" i="1709"/>
  <c r="H29" i="1709"/>
  <c r="H28" i="1709"/>
  <c r="H27" i="1709"/>
  <c r="H26" i="1709"/>
  <c r="B17" i="1709"/>
  <c r="H25" i="1709"/>
  <c r="H24" i="1709"/>
  <c r="C15" i="1709"/>
  <c r="H23" i="1709"/>
  <c r="C14" i="1709"/>
  <c r="H22" i="1709"/>
  <c r="C13" i="1709"/>
  <c r="H21" i="1709"/>
  <c r="B12" i="1709"/>
  <c r="B16" i="1709" s="1"/>
  <c r="H4" i="1709"/>
  <c r="C11" i="1709"/>
  <c r="H14" i="1709"/>
  <c r="C10" i="1709"/>
  <c r="H8" i="1709"/>
  <c r="C9" i="1709"/>
  <c r="H10" i="1709"/>
  <c r="C8" i="1709"/>
  <c r="H5" i="1709"/>
  <c r="C7" i="1709"/>
  <c r="H2" i="1709"/>
  <c r="B6" i="1709"/>
  <c r="H7" i="1709"/>
  <c r="B5" i="1709"/>
  <c r="H6" i="1709"/>
  <c r="H12" i="1709"/>
  <c r="H3" i="1709"/>
  <c r="C12" i="1710" l="1"/>
  <c r="C12" i="1709"/>
  <c r="H51" i="1708" l="1"/>
  <c r="H50" i="1708"/>
  <c r="H49" i="1708"/>
  <c r="H48" i="1708"/>
  <c r="H47" i="1708"/>
  <c r="H46" i="1708"/>
  <c r="H45" i="1708"/>
  <c r="H44" i="1708"/>
  <c r="H43" i="1708"/>
  <c r="H42" i="1708"/>
  <c r="H41" i="1708"/>
  <c r="H40" i="1708"/>
  <c r="H39" i="1708"/>
  <c r="H38" i="1708"/>
  <c r="H37" i="1708"/>
  <c r="H36" i="1708"/>
  <c r="H35" i="1708"/>
  <c r="H34" i="1708"/>
  <c r="H33" i="1708"/>
  <c r="H32" i="1708"/>
  <c r="H31" i="1708"/>
  <c r="H30" i="1708"/>
  <c r="H29" i="1708"/>
  <c r="H28" i="1708"/>
  <c r="H27" i="1708"/>
  <c r="H26" i="1708"/>
  <c r="H25" i="1708"/>
  <c r="H24" i="1708"/>
  <c r="H23" i="1708"/>
  <c r="H22" i="1708"/>
  <c r="H21" i="1708"/>
  <c r="H20" i="1708"/>
  <c r="H19" i="1708"/>
  <c r="H18" i="1708"/>
  <c r="H17" i="1708"/>
  <c r="B17" i="1708"/>
  <c r="H16" i="1708"/>
  <c r="H15" i="1708"/>
  <c r="C15" i="1708"/>
  <c r="H14" i="1708"/>
  <c r="C14" i="1708"/>
  <c r="H13" i="1708"/>
  <c r="C13" i="1708"/>
  <c r="H12" i="1708"/>
  <c r="B12" i="1708"/>
  <c r="B16" i="1708" s="1"/>
  <c r="H11" i="1708"/>
  <c r="C11" i="1708"/>
  <c r="H10" i="1708"/>
  <c r="C10" i="1708"/>
  <c r="H9" i="1708"/>
  <c r="C9" i="1708"/>
  <c r="H8" i="1708"/>
  <c r="C8" i="1708"/>
  <c r="H7" i="1708"/>
  <c r="C7" i="1708"/>
  <c r="H6" i="1708"/>
  <c r="B6" i="1708"/>
  <c r="H5" i="1708"/>
  <c r="B5" i="1708"/>
  <c r="H4" i="1708"/>
  <c r="H3" i="1708"/>
  <c r="H2" i="1708"/>
  <c r="H51" i="1707"/>
  <c r="H50" i="1707"/>
  <c r="H49" i="1707"/>
  <c r="H48" i="1707"/>
  <c r="H47" i="1707"/>
  <c r="H46" i="1707"/>
  <c r="H45" i="1707"/>
  <c r="H44" i="1707"/>
  <c r="H43" i="1707"/>
  <c r="H42" i="1707"/>
  <c r="H41" i="1707"/>
  <c r="H40" i="1707"/>
  <c r="H39" i="1707"/>
  <c r="H38" i="1707"/>
  <c r="H37" i="1707"/>
  <c r="H36" i="1707"/>
  <c r="H35" i="1707"/>
  <c r="H34" i="1707"/>
  <c r="H33" i="1707"/>
  <c r="H32" i="1707"/>
  <c r="H31" i="1707"/>
  <c r="H30" i="1707"/>
  <c r="H29" i="1707"/>
  <c r="H28" i="1707"/>
  <c r="H27" i="1707"/>
  <c r="H26" i="1707"/>
  <c r="H25" i="1707"/>
  <c r="H24" i="1707"/>
  <c r="H23" i="1707"/>
  <c r="H22" i="1707"/>
  <c r="H21" i="1707"/>
  <c r="H20" i="1707"/>
  <c r="H19" i="1707"/>
  <c r="H18" i="1707"/>
  <c r="H17" i="1707"/>
  <c r="B17" i="1707"/>
  <c r="H16" i="1707"/>
  <c r="H15" i="1707"/>
  <c r="C15" i="1707"/>
  <c r="H14" i="1707"/>
  <c r="C14" i="1707"/>
  <c r="H13" i="1707"/>
  <c r="C13" i="1707"/>
  <c r="H12" i="1707"/>
  <c r="B12" i="1707"/>
  <c r="B16" i="1707" s="1"/>
  <c r="H11" i="1707"/>
  <c r="C11" i="1707"/>
  <c r="H10" i="1707"/>
  <c r="C10" i="1707"/>
  <c r="H9" i="1707"/>
  <c r="C9" i="1707"/>
  <c r="H8" i="1707"/>
  <c r="C8" i="1707"/>
  <c r="H7" i="1707"/>
  <c r="C7" i="1707"/>
  <c r="H6" i="1707"/>
  <c r="B6" i="1707"/>
  <c r="H5" i="1707"/>
  <c r="B5" i="1707"/>
  <c r="H4" i="1707"/>
  <c r="H3" i="1707"/>
  <c r="H2" i="1707"/>
  <c r="H51" i="1706"/>
  <c r="H50" i="1706"/>
  <c r="H49" i="1706"/>
  <c r="H48" i="1706"/>
  <c r="H47" i="1706"/>
  <c r="H20" i="1706"/>
  <c r="H46" i="1706"/>
  <c r="H45" i="1706"/>
  <c r="H44" i="1706"/>
  <c r="H43" i="1706"/>
  <c r="H42" i="1706"/>
  <c r="H41" i="1706"/>
  <c r="H40" i="1706"/>
  <c r="H39" i="1706"/>
  <c r="H38" i="1706"/>
  <c r="H37" i="1706"/>
  <c r="H36" i="1706"/>
  <c r="H35" i="1706"/>
  <c r="H34" i="1706"/>
  <c r="H16" i="1706"/>
  <c r="H19" i="1706"/>
  <c r="H33" i="1706"/>
  <c r="H9" i="1706"/>
  <c r="H32" i="1706"/>
  <c r="H31" i="1706"/>
  <c r="H11" i="1706"/>
  <c r="H30" i="1706"/>
  <c r="H29" i="1706"/>
  <c r="H13" i="1706"/>
  <c r="H28" i="1706"/>
  <c r="H18" i="1706"/>
  <c r="H27" i="1706"/>
  <c r="H26" i="1706"/>
  <c r="H17" i="1706"/>
  <c r="H25" i="1706"/>
  <c r="B17" i="1706"/>
  <c r="H15" i="1706"/>
  <c r="H24" i="1706"/>
  <c r="C15" i="1706"/>
  <c r="H23" i="1706"/>
  <c r="C14" i="1706"/>
  <c r="H22" i="1706"/>
  <c r="C13" i="1706"/>
  <c r="H21" i="1706"/>
  <c r="B12" i="1706"/>
  <c r="B16" i="1706" s="1"/>
  <c r="H3" i="1706"/>
  <c r="C11" i="1706"/>
  <c r="H10" i="1706"/>
  <c r="C10" i="1706"/>
  <c r="H12" i="1706"/>
  <c r="C9" i="1706"/>
  <c r="H8" i="1706"/>
  <c r="C8" i="1706"/>
  <c r="H7" i="1706"/>
  <c r="C7" i="1706"/>
  <c r="H2" i="1706"/>
  <c r="B6" i="1706"/>
  <c r="H6" i="1706"/>
  <c r="B5" i="1706"/>
  <c r="H4" i="1706"/>
  <c r="H14" i="1706"/>
  <c r="H5" i="1706"/>
  <c r="C12" i="1707" l="1"/>
  <c r="C12" i="1708"/>
  <c r="C12" i="1706"/>
  <c r="C15" i="1" l="1"/>
  <c r="C14" i="1"/>
  <c r="C13" i="1"/>
  <c r="C12" i="1"/>
  <c r="C10" i="1"/>
  <c r="C11" i="1"/>
  <c r="C9" i="1"/>
  <c r="C8" i="1"/>
  <c r="C7" i="1"/>
  <c r="B6" i="1"/>
  <c r="B5" i="1"/>
  <c r="H51" i="1" l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B17" i="1" l="1"/>
  <c r="B12" i="1" l="1"/>
  <c r="B16" i="1" l="1"/>
</calcChain>
</file>

<file path=xl/sharedStrings.xml><?xml version="1.0" encoding="utf-8"?>
<sst xmlns="http://schemas.openxmlformats.org/spreadsheetml/2006/main" count="1484" uniqueCount="149">
  <si>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</si>
  <si>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</si>
  <si>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</si>
  <si>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</si>
  <si>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</si>
  <si>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</si>
  <si>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</si>
  <si>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</si>
  <si>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</si>
  <si>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</si>
  <si>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</si>
  <si>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</si>
  <si>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</si>
  <si>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</si>
  <si>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</si>
  <si>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だいち</t>
    <phoneticPr fontId="1"/>
  </si>
  <si>
    <t>たかの</t>
    <phoneticPr fontId="1"/>
  </si>
  <si>
    <t>ただ</t>
    <phoneticPr fontId="1"/>
  </si>
  <si>
    <t>ともき</t>
  </si>
  <si>
    <t>りくと</t>
    <phoneticPr fontId="1"/>
  </si>
  <si>
    <t>いっしー</t>
    <phoneticPr fontId="1"/>
  </si>
  <si>
    <t>がくと</t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</si>
  <si>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</si>
  <si>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</si>
  <si>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</si>
  <si>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</si>
  <si>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だいち</t>
  </si>
  <si>
    <t>りくと</t>
  </si>
  <si>
    <t>いっしー</t>
  </si>
  <si>
    <t>れんたろう</t>
  </si>
  <si>
    <t>たかの</t>
  </si>
  <si>
    <t>ただ</t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</si>
  <si>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</si>
  <si>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</si>
  <si>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</si>
  <si>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やがさき</t>
  </si>
  <si>
    <t>やがさき</t>
    <phoneticPr fontId="1"/>
  </si>
  <si>
    <t>かこたろう</t>
  </si>
  <si>
    <t>かこたろう</t>
    <phoneticPr fontId="1"/>
  </si>
  <si>
    <t>れんたろう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</si>
  <si>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</si>
  <si>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</si>
  <si>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</si>
  <si>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</si>
  <si>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</si>
  <si>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</si>
  <si>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</si>
  <si>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</si>
  <si>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</si>
  <si>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</si>
  <si>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</si>
  <si>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</si>
  <si>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</si>
  <si>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</si>
  <si>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</si>
  <si>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</si>
  <si>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</si>
  <si>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</si>
  <si>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</si>
  <si>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</si>
  <si>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</si>
  <si>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</si>
  <si>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</si>
  <si>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</si>
  <si>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</si>
  <si>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</si>
  <si>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</si>
  <si>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</si>
  <si>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</si>
  <si>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</si>
  <si>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</si>
  <si>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</si>
  <si>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</si>
  <si>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</si>
  <si>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</si>
  <si>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</si>
  <si>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</si>
  <si>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</si>
  <si>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</si>
  <si>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</si>
  <si>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</si>
  <si>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</si>
  <si>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</si>
  <si>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</si>
  <si>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</si>
  <si>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</si>
  <si>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</si>
  <si>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ツモ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</si>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</sst>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  <numFmt numFmtId="182" formatCode="0.0%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64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180" fontId="0" fillId="0" borderId="14" xfId="0" applyNumberFormat="1" applyBorder="1" applyAlignment="1">
      <alignment horizontal="center" vertical="center" shrinkToFit="1"/>
    </xf>
    <xf numFmtId="180" fontId="0" fillId="0" borderId="22" xfId="0" applyNumberFormat="1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9" fontId="0" fillId="0" borderId="24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4" xfId="0" applyNumberFormat="1" applyBorder="1" applyAlignment="1">
      <alignment horizontal="center" vertical="center" shrinkToFit="1"/>
    </xf>
    <xf numFmtId="180" fontId="0" fillId="0" borderId="25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/>
    </xf>
    <xf numFmtId="182" fontId="0" fillId="0" borderId="24" xfId="0" applyNumberFormat="1" applyBorder="1" applyAlignment="1">
      <alignment horizontal="center" vertical="center" shrinkToFit="1"/>
    </xf>
    <xf numFmtId="182" fontId="0" fillId="0" borderId="10" xfId="0" applyNumberFormat="1" applyBorder="1" applyAlignment="1">
      <alignment horizontal="center"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6" fontId="0" fillId="0" borderId="7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182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1" xfId="0" applyNumberForma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182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79" fontId="0" fillId="0" borderId="1" xfId="0" applyNumberFormat="1" applyBorder="1" applyAlignment="1">
      <alignment horizontal="center" vertical="center" shrinkToFit="1"/>
    </xf>
    <xf numFmtId="179" fontId="0" fillId="0" borderId="4" xfId="0" applyNumberFormat="1" applyBorder="1" applyAlignment="1">
      <alignment horizontal="center" vertical="center" shrinkToFit="1"/>
    </xf>
    <xf numFmtId="181" fontId="0" fillId="0" borderId="1" xfId="0" applyNumberFormat="1" applyBorder="1" applyAlignment="1">
      <alignment horizontal="center" vertical="center" shrinkToFit="1"/>
    </xf>
    <xf numFmtId="178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82" fontId="0" fillId="0" borderId="13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176" fontId="0" fillId="0" borderId="20" xfId="0" applyNumberFormat="1" applyBorder="1" applyAlignment="1">
      <alignment horizontal="center" vertical="center" shrinkToFit="1"/>
    </xf>
    <xf numFmtId="182" fontId="0" fillId="0" borderId="21" xfId="0" applyNumberFormat="1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" fontId="0" fillId="0" borderId="1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82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2" fillId="0" borderId="21" xfId="0" applyFont="1" applyBorder="1" applyAlignment="1">
      <alignment horizontal="center" vertical="center" shrinkToFit="1"/>
    </xf>
    <xf numFmtId="0" fontId="3" fillId="0" borderId="28" xfId="0" applyNumberFormat="1" applyFont="1" applyBorder="1" applyAlignment="1">
      <alignment horizontal="center" vertical="center" shrinkToFit="1"/>
    </xf>
    <xf numFmtId="0" fontId="0" fillId="0" borderId="26" xfId="0" applyNumberFormat="1" applyBorder="1" applyAlignment="1">
      <alignment horizontal="center" vertical="center" shrinkToFit="1"/>
    </xf>
    <xf numFmtId="0" fontId="0" fillId="0" borderId="27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だいち!$J$2:$J$95</c:f>
              <c:numCache>
                <c:formatCode>General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だいち!$K$2:$K$95</c:f>
              <c:numCache>
                <c:formatCode>\+0;\-0;\±0</c:formatCode>
                <c:ptCount val="94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D2-47FF-B74A-9E2AE7C5C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BE-4CF0-9555-DF87D2A8B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ともき!$K$2:$K$3</c:f>
              <c:numCache>
                <c:formatCode>\+0;\-0;\±0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A5-426B-AF00-DC4B0182D8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りくと!$K$2:$K$59</c:f>
              <c:numCache>
                <c:formatCode>\+0;\-0;\±0</c:formatCode>
                <c:ptCount val="58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D5-4578-B8A4-DAA6E74AF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いっしー!$K$2:$K$41</c:f>
              <c:numCache>
                <c:formatCode>\+0;\-0;\±0</c:formatCode>
                <c:ptCount val="40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85-4BF7-A2C3-BAA02B90A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がくと!$K$2:$K$3</c:f>
              <c:numCache>
                <c:formatCode>\+0;\-0;\±0</c:formatCode>
                <c:ptCount val="2"/>
                <c:pt idx="0">
                  <c:v>0</c:v>
                </c:pt>
                <c:pt idx="1">
                  <c:v>-40.700000000000003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99-4A84-9975-F8FC7A2AF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たかの!$K$2:$K$35</c:f>
              <c:numCache>
                <c:formatCode>\+0;\-0;\±0</c:formatCode>
                <c:ptCount val="34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00-46B7-9117-A7A0D6233D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ただ!$K$2:$K$37</c:f>
              <c:numCache>
                <c:formatCode>\+0;\-0;\±0</c:formatCode>
                <c:ptCount val="36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51-4457-8BA7-799E81A98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33-4C46-A9C2-D3AB0F7AB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れんたろう!$K$2:$K$27</c:f>
              <c:numCache>
                <c:formatCode>\+0;\-0;\±0</c:formatCode>
                <c:ptCount val="26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E9-4701-A242-82352FDEB4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59-4BAF-A48F-FDFDEEA93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6F412E-0D07-449A-985A-E6CD3E28CD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A7B62F1-2F64-40CF-9776-A60EE1A54D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52A0C20-3BE3-462C-8798-C9A7E705B0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F8DFBE9-2652-4794-9275-A9DC0E45EF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7F48523-8F53-486B-AEF8-A856A464EB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315F73F-3A03-4FCE-811A-BC76AAEE3C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BEA167A-DFC2-4ADF-82CE-BE2D54A02F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9F88A74-3B1A-458C-BD62-ABB99407E0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8AC88EA-8429-4A07-8BE3-D142CDF01B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171719-3C37-44E2-81CB-B6DDC380B3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7" name="Score">
          <a:extLst>
            <a:ext uri="{FF2B5EF4-FFF2-40B4-BE49-F238E27FC236}">
              <a16:creationId xmlns:a16="http://schemas.microsoft.com/office/drawing/2014/main" id="{FAA27D5A-14F4-46F8-9EB9-342458CC4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0"/>
  <dimension ref="A1:U11"/>
  <sheetViews>
    <sheetView showGridLines="0" tabSelected="1" zoomScale="200" zoomScaleNormal="200" workbookViewId="0"/>
  </sheetViews>
  <sheetFormatPr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8" customWidth="1"/>
    <col min="12" max="12" width="10.75" style="1" customWidth="1"/>
    <col min="13" max="13" width="10.75" style="16" customWidth="1"/>
    <col min="14" max="14" width="10.75" style="1" customWidth="1"/>
    <col min="15" max="15" width="10.75" style="16" customWidth="1"/>
    <col min="16" max="16" width="10.75" style="1" customWidth="1"/>
    <col min="17" max="17" width="10.75" style="2" customWidth="1"/>
    <col min="18" max="18" width="10.75" style="1" customWidth="1"/>
    <col min="19" max="19" width="10.75" style="2" customWidth="1"/>
    <col min="20" max="20" width="10.75" style="1" customWidth="1"/>
    <col min="21" max="21" width="10.75" style="16" customWidth="1"/>
    <col min="22" max="16384" width="9" style="4"/>
  </cols>
  <sheetData>
    <row r="1" spans="1:21" x14ac:dyDescent="0.4">
      <c r="A1" s="14"/>
      <c r="B1" s="60" t="s">
        <v>6</v>
      </c>
      <c r="C1" s="61"/>
      <c r="D1" s="60" t="s">
        <v>7</v>
      </c>
      <c r="E1" s="61"/>
      <c r="F1" s="60" t="s">
        <v>23</v>
      </c>
      <c r="G1" s="61"/>
      <c r="H1" s="60" t="s">
        <v>22</v>
      </c>
      <c r="I1" s="61"/>
      <c r="J1" s="60" t="s">
        <v>33</v>
      </c>
      <c r="K1" s="61"/>
      <c r="L1" s="60" t="s">
        <v>24</v>
      </c>
      <c r="M1" s="61"/>
      <c r="N1" s="60" t="s">
        <v>25</v>
      </c>
      <c r="O1" s="61"/>
      <c r="P1" s="60" t="s">
        <v>5</v>
      </c>
      <c r="Q1" s="61"/>
      <c r="R1" s="60" t="s">
        <v>32</v>
      </c>
      <c r="S1" s="61"/>
      <c r="T1" s="60" t="s">
        <v>145</v>
      </c>
      <c r="U1" s="61"/>
    </row>
    <row r="2" spans="1:21" x14ac:dyDescent="0.4">
      <c r="A2" s="8">
        <v>1</v>
      </c>
      <c r="B2" s="9" t="s">
        <v>26</v>
      </c>
      <c r="C2" s="11">
        <v>459.70000000000005</v>
      </c>
      <c r="D2" s="10" t="s">
        <v>18</v>
      </c>
      <c r="E2" s="11">
        <v>7</v>
      </c>
      <c r="F2" s="10" t="s">
        <v>35</v>
      </c>
      <c r="G2" s="12">
        <v>1.75</v>
      </c>
      <c r="H2" s="10" t="s">
        <v>35</v>
      </c>
      <c r="I2" s="17">
        <v>0.5</v>
      </c>
      <c r="J2" s="10" t="s">
        <v>18</v>
      </c>
      <c r="K2" s="17">
        <v>0</v>
      </c>
      <c r="L2" s="10" t="s">
        <v>18</v>
      </c>
      <c r="M2" s="15">
        <v>0.4</v>
      </c>
      <c r="N2" s="10" t="s">
        <v>28</v>
      </c>
      <c r="O2" s="15">
        <v>0.13284132841328414</v>
      </c>
      <c r="P2" s="10" t="s">
        <v>27</v>
      </c>
      <c r="Q2" s="13">
        <v>11500</v>
      </c>
      <c r="R2" s="10" t="s">
        <v>30</v>
      </c>
      <c r="S2" s="13">
        <v>-7700</v>
      </c>
      <c r="T2" s="10" t="s">
        <v>28</v>
      </c>
      <c r="U2" s="15">
        <v>0.33333333333333331</v>
      </c>
    </row>
    <row r="3" spans="1:21" x14ac:dyDescent="0.4">
      <c r="A3" s="7">
        <v>2</v>
      </c>
      <c r="B3" s="6" t="s">
        <v>28</v>
      </c>
      <c r="C3" s="3">
        <v>233.00000000000003</v>
      </c>
      <c r="D3" s="1" t="s">
        <v>35</v>
      </c>
      <c r="E3" s="3">
        <v>6.7333333333333343</v>
      </c>
      <c r="F3" s="1" t="s">
        <v>28</v>
      </c>
      <c r="G3" s="5">
        <v>1.8461538461538463</v>
      </c>
      <c r="H3" s="1" t="s">
        <v>26</v>
      </c>
      <c r="I3" s="18">
        <v>0.38709677419354838</v>
      </c>
      <c r="J3" s="1" t="s">
        <v>26</v>
      </c>
      <c r="K3" s="18">
        <v>0.11827956989247312</v>
      </c>
      <c r="L3" s="1" t="s">
        <v>26</v>
      </c>
      <c r="M3" s="16">
        <v>0.35885885885885888</v>
      </c>
      <c r="N3" s="1" t="s">
        <v>35</v>
      </c>
      <c r="O3" s="16">
        <v>0.13414634146341464</v>
      </c>
      <c r="P3" s="1" t="s">
        <v>35</v>
      </c>
      <c r="Q3" s="2">
        <v>10900</v>
      </c>
      <c r="R3" s="1" t="s">
        <v>37</v>
      </c>
      <c r="S3" s="2">
        <v>-8200</v>
      </c>
      <c r="T3" s="1" t="s">
        <v>30</v>
      </c>
      <c r="U3" s="16">
        <v>0.28767123287671231</v>
      </c>
    </row>
    <row r="4" spans="1:21" x14ac:dyDescent="0.4">
      <c r="A4" s="7">
        <v>3</v>
      </c>
      <c r="B4" s="6" t="s">
        <v>35</v>
      </c>
      <c r="C4" s="3">
        <v>80.800000000000011</v>
      </c>
      <c r="D4" s="1" t="s">
        <v>28</v>
      </c>
      <c r="E4" s="3">
        <v>5.9743589743589753</v>
      </c>
      <c r="F4" s="1" t="s">
        <v>26</v>
      </c>
      <c r="G4" s="5">
        <v>1.8494623655913978</v>
      </c>
      <c r="H4" s="1" t="s">
        <v>28</v>
      </c>
      <c r="I4" s="18">
        <v>0.35897435897435898</v>
      </c>
      <c r="J4" s="1" t="s">
        <v>28</v>
      </c>
      <c r="K4" s="18">
        <v>0.12820512820512819</v>
      </c>
      <c r="L4" s="1" t="s">
        <v>28</v>
      </c>
      <c r="M4" s="16">
        <v>0.35793357933579334</v>
      </c>
      <c r="N4" s="1" t="s">
        <v>26</v>
      </c>
      <c r="O4" s="16">
        <v>0.15615615615615616</v>
      </c>
      <c r="P4" s="1" t="s">
        <v>29</v>
      </c>
      <c r="Q4" s="2">
        <v>10700</v>
      </c>
      <c r="R4" s="1" t="s">
        <v>21</v>
      </c>
      <c r="S4" s="2">
        <v>-8500</v>
      </c>
      <c r="T4" s="1" t="s">
        <v>31</v>
      </c>
      <c r="U4" s="16">
        <v>0.26190476190476192</v>
      </c>
    </row>
    <row r="5" spans="1:21" x14ac:dyDescent="0.4">
      <c r="A5" s="7">
        <v>4</v>
      </c>
      <c r="B5" s="6" t="s">
        <v>18</v>
      </c>
      <c r="C5" s="3">
        <v>7</v>
      </c>
      <c r="D5" s="1" t="s">
        <v>26</v>
      </c>
      <c r="E5" s="3">
        <v>4.9430107526881724</v>
      </c>
      <c r="F5" s="1" t="s">
        <v>18</v>
      </c>
      <c r="G5" s="5">
        <v>2</v>
      </c>
      <c r="H5" s="1" t="s">
        <v>31</v>
      </c>
      <c r="I5" s="18">
        <v>0.34285714285714286</v>
      </c>
      <c r="J5" s="1" t="s">
        <v>30</v>
      </c>
      <c r="K5" s="18">
        <v>0.15151515151515152</v>
      </c>
      <c r="L5" s="1" t="s">
        <v>35</v>
      </c>
      <c r="M5" s="16">
        <v>0.34146341463414637</v>
      </c>
      <c r="N5" s="1" t="s">
        <v>31</v>
      </c>
      <c r="O5" s="16">
        <v>0.16602316602316602</v>
      </c>
      <c r="P5" s="1" t="s">
        <v>31</v>
      </c>
      <c r="Q5" s="2">
        <v>10400</v>
      </c>
      <c r="R5" s="1" t="s">
        <v>28</v>
      </c>
      <c r="S5" s="2">
        <v>-9600</v>
      </c>
      <c r="T5" s="1" t="s">
        <v>26</v>
      </c>
      <c r="U5" s="16">
        <v>0.23645320197044334</v>
      </c>
    </row>
    <row r="6" spans="1:21" x14ac:dyDescent="0.4">
      <c r="A6" s="7">
        <v>5</v>
      </c>
      <c r="B6" s="6" t="s">
        <v>31</v>
      </c>
      <c r="C6" s="3">
        <v>-38.100000000000037</v>
      </c>
      <c r="D6" s="1" t="s">
        <v>31</v>
      </c>
      <c r="E6" s="3">
        <v>-1.0885714285714296</v>
      </c>
      <c r="F6" s="1" t="s">
        <v>21</v>
      </c>
      <c r="G6" s="5">
        <v>2</v>
      </c>
      <c r="H6" s="1" t="s">
        <v>27</v>
      </c>
      <c r="I6" s="18">
        <v>0.2982456140350877</v>
      </c>
      <c r="J6" s="1" t="s">
        <v>31</v>
      </c>
      <c r="K6" s="18">
        <v>0.2</v>
      </c>
      <c r="L6" s="1" t="s">
        <v>31</v>
      </c>
      <c r="M6" s="16">
        <v>0.29343629343629346</v>
      </c>
      <c r="N6" s="1" t="s">
        <v>18</v>
      </c>
      <c r="O6" s="16">
        <v>0.2</v>
      </c>
      <c r="P6" s="1" t="s">
        <v>30</v>
      </c>
      <c r="Q6" s="2">
        <v>10300</v>
      </c>
      <c r="R6" s="1" t="s">
        <v>29</v>
      </c>
      <c r="S6" s="2">
        <v>-9700</v>
      </c>
      <c r="T6" s="1" t="s">
        <v>29</v>
      </c>
      <c r="U6" s="16">
        <v>0.22981366459627328</v>
      </c>
    </row>
    <row r="7" spans="1:21" x14ac:dyDescent="0.4">
      <c r="A7" s="7">
        <v>6</v>
      </c>
      <c r="B7" s="6" t="s">
        <v>21</v>
      </c>
      <c r="C7" s="3">
        <v>-40.700000000000003</v>
      </c>
      <c r="D7" s="1" t="s">
        <v>30</v>
      </c>
      <c r="E7" s="3">
        <v>-1.278787878787879</v>
      </c>
      <c r="F7" s="1" t="s">
        <v>31</v>
      </c>
      <c r="G7" s="5">
        <v>2</v>
      </c>
      <c r="H7" s="1" t="s">
        <v>30</v>
      </c>
      <c r="I7" s="18">
        <v>0.27272727272727271</v>
      </c>
      <c r="J7" s="1" t="s">
        <v>35</v>
      </c>
      <c r="K7" s="18">
        <v>0.25</v>
      </c>
      <c r="L7" s="1" t="s">
        <v>30</v>
      </c>
      <c r="M7" s="16">
        <v>0.2846153846153846</v>
      </c>
      <c r="N7" s="1" t="s">
        <v>30</v>
      </c>
      <c r="O7" s="16">
        <v>0.2</v>
      </c>
      <c r="P7" s="1" t="s">
        <v>26</v>
      </c>
      <c r="Q7" s="2">
        <v>10000</v>
      </c>
      <c r="R7" s="1" t="s">
        <v>31</v>
      </c>
      <c r="S7" s="2">
        <v>-9900</v>
      </c>
      <c r="T7" s="1" t="s">
        <v>27</v>
      </c>
      <c r="U7" s="16">
        <v>0.19018404907975461</v>
      </c>
    </row>
    <row r="8" spans="1:21" x14ac:dyDescent="0.4">
      <c r="A8" s="7">
        <v>7</v>
      </c>
      <c r="B8" s="6" t="s">
        <v>30</v>
      </c>
      <c r="C8" s="3">
        <v>-42.20000000000001</v>
      </c>
      <c r="D8" s="1" t="s">
        <v>27</v>
      </c>
      <c r="E8" s="3">
        <v>-5.4824561403508749</v>
      </c>
      <c r="F8" s="1" t="s">
        <v>30</v>
      </c>
      <c r="G8" s="5">
        <v>2.0909090909090908</v>
      </c>
      <c r="H8" s="1" t="s">
        <v>29</v>
      </c>
      <c r="I8" s="18">
        <v>0.24</v>
      </c>
      <c r="J8" s="1" t="s">
        <v>27</v>
      </c>
      <c r="K8" s="18">
        <v>0.26315789473684209</v>
      </c>
      <c r="L8" s="1" t="s">
        <v>29</v>
      </c>
      <c r="M8" s="16">
        <v>0.27272727272727271</v>
      </c>
      <c r="N8" s="1" t="s">
        <v>29</v>
      </c>
      <c r="O8" s="16">
        <v>0.20707070707070707</v>
      </c>
      <c r="P8" s="1" t="s">
        <v>28</v>
      </c>
      <c r="Q8" s="2">
        <v>9600</v>
      </c>
      <c r="R8" s="1" t="s">
        <v>35</v>
      </c>
      <c r="S8" s="2">
        <v>-9900</v>
      </c>
      <c r="T8" s="1" t="s">
        <v>37</v>
      </c>
      <c r="U8" s="16">
        <v>0</v>
      </c>
    </row>
    <row r="9" spans="1:21" x14ac:dyDescent="0.4">
      <c r="A9" s="7">
        <v>8</v>
      </c>
      <c r="B9" s="6" t="s">
        <v>37</v>
      </c>
      <c r="C9" s="3">
        <v>-132.1</v>
      </c>
      <c r="D9" s="1" t="s">
        <v>29</v>
      </c>
      <c r="E9" s="3">
        <v>-8.6759999999999984</v>
      </c>
      <c r="F9" s="1" t="s">
        <v>27</v>
      </c>
      <c r="G9" s="5">
        <v>2.1578947368421053</v>
      </c>
      <c r="H9" s="1" t="s">
        <v>37</v>
      </c>
      <c r="I9" s="18">
        <v>0</v>
      </c>
      <c r="J9" s="1" t="s">
        <v>29</v>
      </c>
      <c r="K9" s="18">
        <v>0.28000000000000003</v>
      </c>
      <c r="L9" s="1" t="s">
        <v>27</v>
      </c>
      <c r="M9" s="16">
        <v>0.23584905660377359</v>
      </c>
      <c r="N9" s="1" t="s">
        <v>27</v>
      </c>
      <c r="O9" s="16">
        <v>0.2099056603773585</v>
      </c>
      <c r="P9" s="1" t="s">
        <v>18</v>
      </c>
      <c r="Q9" s="2">
        <v>8000</v>
      </c>
      <c r="R9" s="1" t="s">
        <v>26</v>
      </c>
      <c r="S9" s="2">
        <v>-10000</v>
      </c>
      <c r="T9" s="1" t="s">
        <v>18</v>
      </c>
      <c r="U9" s="16">
        <v>0</v>
      </c>
    </row>
    <row r="10" spans="1:21" x14ac:dyDescent="0.4">
      <c r="A10" s="7">
        <v>9</v>
      </c>
      <c r="B10" s="6" t="s">
        <v>29</v>
      </c>
      <c r="C10" s="3">
        <v>-216.89999999999998</v>
      </c>
      <c r="D10" s="1" t="s">
        <v>37</v>
      </c>
      <c r="E10" s="3">
        <v>-33.024999999999999</v>
      </c>
      <c r="F10" s="1" t="s">
        <v>29</v>
      </c>
      <c r="G10" s="5">
        <v>2.2799999999999998</v>
      </c>
      <c r="H10" s="1" t="s">
        <v>18</v>
      </c>
      <c r="I10" s="18">
        <v>0</v>
      </c>
      <c r="J10" s="1" t="s">
        <v>37</v>
      </c>
      <c r="K10" s="18">
        <v>0.5</v>
      </c>
      <c r="L10" s="1" t="s">
        <v>21</v>
      </c>
      <c r="M10" s="16">
        <v>0.16666666666666666</v>
      </c>
      <c r="N10" s="1" t="s">
        <v>21</v>
      </c>
      <c r="O10" s="16">
        <v>0.33333333333333331</v>
      </c>
      <c r="P10" s="1" t="s">
        <v>37</v>
      </c>
      <c r="Q10" s="2">
        <v>7800</v>
      </c>
      <c r="R10" s="1" t="s">
        <v>27</v>
      </c>
      <c r="S10" s="2">
        <v>-10100</v>
      </c>
      <c r="T10" s="1" t="s">
        <v>21</v>
      </c>
      <c r="U10" s="16">
        <v>0</v>
      </c>
    </row>
    <row r="11" spans="1:21" x14ac:dyDescent="0.4">
      <c r="A11" s="7">
        <v>10</v>
      </c>
      <c r="B11" s="6" t="s">
        <v>27</v>
      </c>
      <c r="C11" s="3">
        <v>-312.49999999999989</v>
      </c>
      <c r="D11" s="1" t="s">
        <v>21</v>
      </c>
      <c r="E11" s="3">
        <v>-40.700000000000003</v>
      </c>
      <c r="F11" s="1" t="s">
        <v>37</v>
      </c>
      <c r="G11" s="5">
        <v>3</v>
      </c>
      <c r="H11" s="1" t="s">
        <v>21</v>
      </c>
      <c r="I11" s="18">
        <v>0</v>
      </c>
      <c r="J11" s="1" t="s">
        <v>21</v>
      </c>
      <c r="K11" s="18">
        <v>1</v>
      </c>
      <c r="L11" s="1" t="s">
        <v>37</v>
      </c>
      <c r="M11" s="16">
        <v>0.04</v>
      </c>
      <c r="N11" s="1" t="s">
        <v>37</v>
      </c>
      <c r="O11" s="16">
        <v>0.4</v>
      </c>
      <c r="P11" s="1" t="s">
        <v>21</v>
      </c>
      <c r="Q11" s="2">
        <v>1300</v>
      </c>
      <c r="R11" s="1" t="s">
        <v>18</v>
      </c>
      <c r="S11" s="2">
        <v>-12000</v>
      </c>
      <c r="T11" s="1" t="s">
        <v>35</v>
      </c>
      <c r="U11" s="16">
        <v>0</v>
      </c>
    </row>
  </sheetData>
  <sortState ref="T2:U20">
    <sortCondition descending="1" ref="U1"/>
  </sortState>
  <mergeCells count="10">
    <mergeCell ref="T1:U1"/>
    <mergeCell ref="D1:E1"/>
    <mergeCell ref="B1:C1"/>
    <mergeCell ref="R1:S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0AEA-7E4C-47D7-9521-AEA6BD8C36BB}">
  <sheetPr codeName="Sheet2"/>
  <dimension ref="A1:K95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15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93</v>
      </c>
      <c r="C2" s="27"/>
      <c r="E2" s="28" t="s">
        <v>92</v>
      </c>
      <c r="F2" s="10" t="s">
        <v>45</v>
      </c>
      <c r="G2" s="26">
        <v>73</v>
      </c>
      <c r="H2" s="29">
        <f>G2/B$19</f>
        <v>0.91249999999999998</v>
      </c>
      <c r="J2" s="25">
        <v>0</v>
      </c>
      <c r="K2" s="30">
        <v>0</v>
      </c>
    </row>
    <row r="3" spans="1:11" x14ac:dyDescent="0.4">
      <c r="A3" s="31" t="s">
        <v>8</v>
      </c>
      <c r="B3" s="32">
        <v>666</v>
      </c>
      <c r="C3" s="33"/>
      <c r="E3" s="34" t="s">
        <v>97</v>
      </c>
      <c r="F3" s="1" t="s">
        <v>49</v>
      </c>
      <c r="G3" s="32">
        <v>47</v>
      </c>
      <c r="H3" s="35">
        <f>G3/B$19</f>
        <v>0.58750000000000002</v>
      </c>
      <c r="J3" s="31">
        <v>1</v>
      </c>
      <c r="K3" s="36">
        <v>15</v>
      </c>
    </row>
    <row r="4" spans="1:11" x14ac:dyDescent="0.4">
      <c r="A4" s="31" t="s">
        <v>6</v>
      </c>
      <c r="B4" s="37">
        <v>459.70000000000005</v>
      </c>
      <c r="C4" s="36"/>
      <c r="E4" s="34" t="s">
        <v>90</v>
      </c>
      <c r="F4" s="1" t="s">
        <v>43</v>
      </c>
      <c r="G4" s="32">
        <v>43</v>
      </c>
      <c r="H4" s="35">
        <f>G4/B$19</f>
        <v>0.53749999999999998</v>
      </c>
      <c r="J4" s="31">
        <v>2</v>
      </c>
      <c r="K4" s="36">
        <v>14</v>
      </c>
    </row>
    <row r="5" spans="1:11" x14ac:dyDescent="0.4">
      <c r="A5" s="31" t="s">
        <v>7</v>
      </c>
      <c r="B5" s="37">
        <f>IF(B$2=0,0,B$4/B$2)</f>
        <v>4.9430107526881724</v>
      </c>
      <c r="C5" s="38"/>
      <c r="E5" s="34" t="s">
        <v>88</v>
      </c>
      <c r="F5" s="1" t="s">
        <v>41</v>
      </c>
      <c r="G5" s="32">
        <v>42</v>
      </c>
      <c r="H5" s="35">
        <f>G5/B$19</f>
        <v>0.52500000000000002</v>
      </c>
      <c r="J5" s="31">
        <v>3</v>
      </c>
      <c r="K5" s="36">
        <v>29.1</v>
      </c>
    </row>
    <row r="6" spans="1:11" x14ac:dyDescent="0.4">
      <c r="A6" s="31" t="s">
        <v>1</v>
      </c>
      <c r="B6" s="39">
        <f>IF(B$2=0,0,(B$7*1+B$8*2+B$9*3)/B$2)</f>
        <v>1.8494623655913978</v>
      </c>
      <c r="C6" s="40"/>
      <c r="E6" s="34" t="s">
        <v>91</v>
      </c>
      <c r="F6" s="1" t="s">
        <v>44</v>
      </c>
      <c r="G6" s="32">
        <v>25</v>
      </c>
      <c r="H6" s="35">
        <f>G6/B$19</f>
        <v>0.3125</v>
      </c>
      <c r="J6" s="31">
        <v>4</v>
      </c>
      <c r="K6" s="36">
        <v>114.30000000000001</v>
      </c>
    </row>
    <row r="7" spans="1:11" x14ac:dyDescent="0.4">
      <c r="A7" s="31" t="s">
        <v>2</v>
      </c>
      <c r="B7" s="32">
        <v>36</v>
      </c>
      <c r="C7" s="35">
        <f>IF(B$2=0,0,B7/B$2)</f>
        <v>0.38709677419354838</v>
      </c>
      <c r="E7" s="34" t="s">
        <v>93</v>
      </c>
      <c r="F7" s="1" t="s">
        <v>12</v>
      </c>
      <c r="G7" s="32">
        <v>18</v>
      </c>
      <c r="H7" s="35">
        <f>G7/B$19</f>
        <v>0.22500000000000001</v>
      </c>
      <c r="J7" s="31">
        <v>5</v>
      </c>
      <c r="K7" s="36">
        <v>145.80000000000001</v>
      </c>
    </row>
    <row r="8" spans="1:11" x14ac:dyDescent="0.4">
      <c r="A8" s="31" t="s">
        <v>3</v>
      </c>
      <c r="B8" s="32">
        <v>35</v>
      </c>
      <c r="C8" s="35">
        <f t="shared" ref="C8:C9" si="0">IF(B$2=0,0,B8/B$2)</f>
        <v>0.37634408602150538</v>
      </c>
      <c r="E8" s="34" t="s">
        <v>94</v>
      </c>
      <c r="F8" s="1" t="s">
        <v>46</v>
      </c>
      <c r="G8" s="32">
        <v>12</v>
      </c>
      <c r="H8" s="35">
        <f>G8/B$19</f>
        <v>0.15</v>
      </c>
      <c r="J8" s="31">
        <v>6</v>
      </c>
      <c r="K8" s="36">
        <v>97.800000000000011</v>
      </c>
    </row>
    <row r="9" spans="1:11" x14ac:dyDescent="0.4">
      <c r="A9" s="41" t="s">
        <v>4</v>
      </c>
      <c r="B9" s="42">
        <v>22</v>
      </c>
      <c r="C9" s="43">
        <f t="shared" si="0"/>
        <v>0.23655913978494625</v>
      </c>
      <c r="E9" s="34" t="s">
        <v>115</v>
      </c>
      <c r="F9" s="1" t="s">
        <v>67</v>
      </c>
      <c r="G9" s="32">
        <v>9</v>
      </c>
      <c r="H9" s="35">
        <f>G9/B$19</f>
        <v>0.1125</v>
      </c>
      <c r="J9" s="31">
        <v>7</v>
      </c>
      <c r="K9" s="36">
        <v>91.700000000000017</v>
      </c>
    </row>
    <row r="10" spans="1:11" ht="19.5" thickBot="1" x14ac:dyDescent="0.45">
      <c r="A10" s="44" t="s">
        <v>34</v>
      </c>
      <c r="B10" s="45">
        <v>11</v>
      </c>
      <c r="C10" s="46">
        <f>IF(B$2=0,0,B10/B$2)</f>
        <v>0.11827956989247312</v>
      </c>
      <c r="E10" s="34" t="s">
        <v>96</v>
      </c>
      <c r="F10" s="1" t="s">
        <v>48</v>
      </c>
      <c r="G10" s="32">
        <v>5</v>
      </c>
      <c r="H10" s="35">
        <f>G10/B$19</f>
        <v>6.25E-2</v>
      </c>
      <c r="J10" s="31">
        <v>8</v>
      </c>
      <c r="K10" s="36">
        <v>55.700000000000017</v>
      </c>
    </row>
    <row r="11" spans="1:11" ht="19.5" thickTop="1" x14ac:dyDescent="0.4">
      <c r="A11" s="47" t="s">
        <v>144</v>
      </c>
      <c r="B11" s="48">
        <v>48</v>
      </c>
      <c r="C11" s="29">
        <f>IF(B$18=0,0,B11/B$18)</f>
        <v>0.23645320197044334</v>
      </c>
      <c r="E11" s="34" t="s">
        <v>112</v>
      </c>
      <c r="F11" s="1" t="s">
        <v>64</v>
      </c>
      <c r="G11" s="32">
        <v>4</v>
      </c>
      <c r="H11" s="35">
        <f>G11/B$19</f>
        <v>0.05</v>
      </c>
      <c r="J11" s="31">
        <v>9</v>
      </c>
      <c r="K11" s="36">
        <v>14.700000000000017</v>
      </c>
    </row>
    <row r="12" spans="1:11" x14ac:dyDescent="0.4">
      <c r="A12" s="25" t="s">
        <v>10</v>
      </c>
      <c r="B12" s="26">
        <f>B13+B14</f>
        <v>239</v>
      </c>
      <c r="C12" s="29">
        <f>IF(B$3=0,0,B12/B$3)</f>
        <v>0.35885885885885888</v>
      </c>
      <c r="E12" s="34" t="s">
        <v>95</v>
      </c>
      <c r="F12" s="1" t="s">
        <v>47</v>
      </c>
      <c r="G12" s="32">
        <v>3</v>
      </c>
      <c r="H12" s="35">
        <f>G12/B$19</f>
        <v>3.7499999999999999E-2</v>
      </c>
      <c r="J12" s="31">
        <v>10</v>
      </c>
      <c r="K12" s="36">
        <v>-16.799999999999983</v>
      </c>
    </row>
    <row r="13" spans="1:11" x14ac:dyDescent="0.4">
      <c r="A13" s="31" t="s">
        <v>11</v>
      </c>
      <c r="B13" s="32">
        <v>154</v>
      </c>
      <c r="C13" s="35">
        <f>IF(B$3=0,0,B13/B$3)</f>
        <v>0.23123123123123124</v>
      </c>
      <c r="E13" s="34" t="s">
        <v>109</v>
      </c>
      <c r="F13" s="1" t="s">
        <v>61</v>
      </c>
      <c r="G13" s="32">
        <v>3</v>
      </c>
      <c r="H13" s="35">
        <f>G13/B$19</f>
        <v>3.7499999999999999E-2</v>
      </c>
      <c r="J13" s="31">
        <v>11</v>
      </c>
      <c r="K13" s="36">
        <v>1.5000000000000178</v>
      </c>
    </row>
    <row r="14" spans="1:11" x14ac:dyDescent="0.4">
      <c r="A14" s="31" t="s">
        <v>12</v>
      </c>
      <c r="B14" s="32">
        <v>85</v>
      </c>
      <c r="C14" s="35">
        <f>IF(B$3=0,0,B14/B$3)</f>
        <v>0.12762762762762764</v>
      </c>
      <c r="E14" s="34" t="s">
        <v>89</v>
      </c>
      <c r="F14" s="1" t="s">
        <v>42</v>
      </c>
      <c r="G14" s="32">
        <v>2</v>
      </c>
      <c r="H14" s="35">
        <f>G14/B$19</f>
        <v>2.5000000000000001E-2</v>
      </c>
      <c r="J14" s="31">
        <v>12</v>
      </c>
      <c r="K14" s="36">
        <v>14.300000000000018</v>
      </c>
    </row>
    <row r="15" spans="1:11" x14ac:dyDescent="0.4">
      <c r="A15" s="31" t="s">
        <v>13</v>
      </c>
      <c r="B15" s="32">
        <v>104</v>
      </c>
      <c r="C15" s="35">
        <f>IF(B$3=0,0,B15/B$3)</f>
        <v>0.15615615615615616</v>
      </c>
      <c r="E15" s="34" t="s">
        <v>102</v>
      </c>
      <c r="F15" s="1" t="s">
        <v>54</v>
      </c>
      <c r="G15" s="32">
        <v>2</v>
      </c>
      <c r="H15" s="35">
        <f>G15/B$19</f>
        <v>2.5000000000000001E-2</v>
      </c>
      <c r="J15" s="31">
        <v>13</v>
      </c>
      <c r="K15" s="36">
        <v>71.300000000000011</v>
      </c>
    </row>
    <row r="16" spans="1:11" x14ac:dyDescent="0.4">
      <c r="A16" s="31" t="s">
        <v>5</v>
      </c>
      <c r="B16" s="49">
        <f>IF(B$12=0,0,ROUND(C16/B$12,-2))</f>
        <v>10000</v>
      </c>
      <c r="C16" s="50">
        <v>2399200</v>
      </c>
      <c r="E16" s="34" t="s">
        <v>118</v>
      </c>
      <c r="F16" s="1" t="s">
        <v>70</v>
      </c>
      <c r="G16" s="32">
        <v>2</v>
      </c>
      <c r="H16" s="35">
        <f>G16/B$19</f>
        <v>2.5000000000000001E-2</v>
      </c>
      <c r="J16" s="31">
        <v>14</v>
      </c>
      <c r="K16" s="36">
        <v>27.300000000000011</v>
      </c>
    </row>
    <row r="17" spans="1:11" ht="19.5" thickBot="1" x14ac:dyDescent="0.45">
      <c r="A17" s="51" t="s">
        <v>14</v>
      </c>
      <c r="B17" s="52">
        <f>IF(B$15=0,0,ROUND(C17/B$15,-2))</f>
        <v>-10000</v>
      </c>
      <c r="C17" s="58">
        <v>-1039300</v>
      </c>
      <c r="E17" s="34" t="s">
        <v>104</v>
      </c>
      <c r="F17" s="1" t="s">
        <v>56</v>
      </c>
      <c r="G17" s="32">
        <v>1</v>
      </c>
      <c r="H17" s="35">
        <f>G17/B$19</f>
        <v>1.2500000000000001E-2</v>
      </c>
      <c r="J17" s="31">
        <v>15</v>
      </c>
      <c r="K17" s="36">
        <v>-9.6999999999999886</v>
      </c>
    </row>
    <row r="18" spans="1:11" ht="19.5" thickTop="1" x14ac:dyDescent="0.4">
      <c r="A18" s="47" t="s">
        <v>147</v>
      </c>
      <c r="B18" s="48">
        <v>203</v>
      </c>
      <c r="C18" s="29"/>
      <c r="E18" s="34" t="s">
        <v>107</v>
      </c>
      <c r="F18" s="1" t="s">
        <v>59</v>
      </c>
      <c r="G18" s="32">
        <v>1</v>
      </c>
      <c r="H18" s="35">
        <f>G18/B$19</f>
        <v>1.2500000000000001E-2</v>
      </c>
      <c r="J18" s="31">
        <v>16</v>
      </c>
      <c r="K18" s="36">
        <v>-8.099999999999989</v>
      </c>
    </row>
    <row r="19" spans="1:11" x14ac:dyDescent="0.4">
      <c r="A19" s="51" t="s">
        <v>148</v>
      </c>
      <c r="B19" s="54">
        <v>80</v>
      </c>
      <c r="C19" s="55"/>
      <c r="E19" s="34" t="s">
        <v>117</v>
      </c>
      <c r="F19" s="1" t="s">
        <v>69</v>
      </c>
      <c r="G19" s="32">
        <v>1</v>
      </c>
      <c r="H19" s="35">
        <f>G19/B$19</f>
        <v>1.2500000000000001E-2</v>
      </c>
      <c r="J19" s="31">
        <v>17</v>
      </c>
      <c r="K19" s="36">
        <v>-29.499999999999986</v>
      </c>
    </row>
    <row r="20" spans="1:11" x14ac:dyDescent="0.4">
      <c r="E20" s="34" t="s">
        <v>132</v>
      </c>
      <c r="F20" s="1" t="s">
        <v>139</v>
      </c>
      <c r="G20" s="32">
        <v>1</v>
      </c>
      <c r="H20" s="35">
        <f>G20/B$19</f>
        <v>1.2500000000000001E-2</v>
      </c>
      <c r="J20" s="31">
        <v>18</v>
      </c>
      <c r="K20" s="36">
        <v>-14.599999999999985</v>
      </c>
    </row>
    <row r="21" spans="1:11" x14ac:dyDescent="0.4">
      <c r="E21" s="34" t="s">
        <v>98</v>
      </c>
      <c r="F21" s="1" t="s">
        <v>50</v>
      </c>
      <c r="G21" s="32">
        <v>0</v>
      </c>
      <c r="H21" s="35">
        <f>G21/B$19</f>
        <v>0</v>
      </c>
      <c r="J21" s="31">
        <v>19</v>
      </c>
      <c r="K21" s="36">
        <v>42.600000000000016</v>
      </c>
    </row>
    <row r="22" spans="1:11" x14ac:dyDescent="0.4">
      <c r="E22" s="34" t="s">
        <v>99</v>
      </c>
      <c r="F22" s="1" t="s">
        <v>51</v>
      </c>
      <c r="G22" s="32">
        <v>0</v>
      </c>
      <c r="H22" s="35">
        <f>G22/B$19</f>
        <v>0</v>
      </c>
      <c r="J22" s="31">
        <v>20</v>
      </c>
      <c r="K22" s="36">
        <v>68.800000000000011</v>
      </c>
    </row>
    <row r="23" spans="1:11" x14ac:dyDescent="0.4">
      <c r="E23" s="34" t="s">
        <v>100</v>
      </c>
      <c r="F23" s="1" t="s">
        <v>52</v>
      </c>
      <c r="G23" s="32">
        <v>0</v>
      </c>
      <c r="H23" s="35">
        <f>G23/B$19</f>
        <v>0</v>
      </c>
      <c r="J23" s="31">
        <v>21</v>
      </c>
      <c r="K23" s="36">
        <v>125.30000000000001</v>
      </c>
    </row>
    <row r="24" spans="1:11" x14ac:dyDescent="0.4">
      <c r="E24" s="34" t="s">
        <v>101</v>
      </c>
      <c r="F24" s="1" t="s">
        <v>53</v>
      </c>
      <c r="G24" s="32">
        <v>0</v>
      </c>
      <c r="H24" s="35">
        <f>G24/B$19</f>
        <v>0</v>
      </c>
      <c r="J24" s="31">
        <v>22</v>
      </c>
      <c r="K24" s="36">
        <v>99.800000000000011</v>
      </c>
    </row>
    <row r="25" spans="1:11" x14ac:dyDescent="0.4">
      <c r="E25" s="34" t="s">
        <v>103</v>
      </c>
      <c r="F25" s="1" t="s">
        <v>55</v>
      </c>
      <c r="G25" s="32">
        <v>0</v>
      </c>
      <c r="H25" s="35">
        <f>G25/B$19</f>
        <v>0</v>
      </c>
      <c r="J25" s="31">
        <v>23</v>
      </c>
      <c r="K25" s="36">
        <v>124.50000000000001</v>
      </c>
    </row>
    <row r="26" spans="1:11" x14ac:dyDescent="0.4">
      <c r="E26" s="34" t="s">
        <v>105</v>
      </c>
      <c r="F26" s="1" t="s">
        <v>57</v>
      </c>
      <c r="G26" s="32">
        <v>0</v>
      </c>
      <c r="H26" s="35">
        <f>G26/B$19</f>
        <v>0</v>
      </c>
      <c r="J26" s="31">
        <v>24</v>
      </c>
      <c r="K26" s="36">
        <v>118.00000000000001</v>
      </c>
    </row>
    <row r="27" spans="1:11" x14ac:dyDescent="0.4">
      <c r="E27" s="34" t="s">
        <v>106</v>
      </c>
      <c r="F27" s="1" t="s">
        <v>58</v>
      </c>
      <c r="G27" s="32">
        <v>0</v>
      </c>
      <c r="H27" s="35">
        <f>G27/B$19</f>
        <v>0</v>
      </c>
      <c r="J27" s="31">
        <v>25</v>
      </c>
      <c r="K27" s="36">
        <v>84.300000000000011</v>
      </c>
    </row>
    <row r="28" spans="1:11" x14ac:dyDescent="0.4">
      <c r="E28" s="34" t="s">
        <v>108</v>
      </c>
      <c r="F28" s="1" t="s">
        <v>60</v>
      </c>
      <c r="G28" s="32">
        <v>0</v>
      </c>
      <c r="H28" s="35">
        <f>G28/B$19</f>
        <v>0</v>
      </c>
      <c r="J28" s="31">
        <v>26</v>
      </c>
      <c r="K28" s="36">
        <v>108.20000000000002</v>
      </c>
    </row>
    <row r="29" spans="1:11" x14ac:dyDescent="0.4">
      <c r="E29" s="34" t="s">
        <v>110</v>
      </c>
      <c r="F29" s="1" t="s">
        <v>62</v>
      </c>
      <c r="G29" s="32">
        <v>0</v>
      </c>
      <c r="H29" s="35">
        <f>G29/B$19</f>
        <v>0</v>
      </c>
      <c r="J29" s="31">
        <v>27</v>
      </c>
      <c r="K29" s="36">
        <v>71.200000000000017</v>
      </c>
    </row>
    <row r="30" spans="1:11" x14ac:dyDescent="0.4">
      <c r="E30" s="34" t="s">
        <v>111</v>
      </c>
      <c r="F30" s="1" t="s">
        <v>63</v>
      </c>
      <c r="G30" s="32">
        <v>0</v>
      </c>
      <c r="H30" s="35">
        <f>G30/B$19</f>
        <v>0</v>
      </c>
      <c r="J30" s="31">
        <v>28</v>
      </c>
      <c r="K30" s="36">
        <v>129.20000000000002</v>
      </c>
    </row>
    <row r="31" spans="1:11" x14ac:dyDescent="0.4">
      <c r="E31" s="34" t="s">
        <v>113</v>
      </c>
      <c r="F31" s="1" t="s">
        <v>65</v>
      </c>
      <c r="G31" s="32">
        <v>0</v>
      </c>
      <c r="H31" s="35">
        <f>G31/B$19</f>
        <v>0</v>
      </c>
      <c r="J31" s="31">
        <v>29</v>
      </c>
      <c r="K31" s="36">
        <v>120.80000000000001</v>
      </c>
    </row>
    <row r="32" spans="1:11" x14ac:dyDescent="0.4">
      <c r="E32" s="34" t="s">
        <v>114</v>
      </c>
      <c r="F32" s="1" t="s">
        <v>66</v>
      </c>
      <c r="G32" s="32">
        <v>0</v>
      </c>
      <c r="H32" s="35">
        <f>G32/B$19</f>
        <v>0</v>
      </c>
      <c r="J32" s="31">
        <v>30</v>
      </c>
      <c r="K32" s="36">
        <v>112.4</v>
      </c>
    </row>
    <row r="33" spans="5:11" x14ac:dyDescent="0.4">
      <c r="E33" s="34" t="s">
        <v>116</v>
      </c>
      <c r="F33" s="1" t="s">
        <v>68</v>
      </c>
      <c r="G33" s="32">
        <v>0</v>
      </c>
      <c r="H33" s="35">
        <f>G33/B$19</f>
        <v>0</v>
      </c>
      <c r="J33" s="31">
        <v>31</v>
      </c>
      <c r="K33" s="36">
        <v>165.7</v>
      </c>
    </row>
    <row r="34" spans="5:11" x14ac:dyDescent="0.4">
      <c r="E34" s="34" t="s">
        <v>119</v>
      </c>
      <c r="F34" s="1" t="s">
        <v>71</v>
      </c>
      <c r="G34" s="32">
        <v>0</v>
      </c>
      <c r="H34" s="35">
        <f>G34/B$19</f>
        <v>0</v>
      </c>
      <c r="J34" s="31">
        <v>32</v>
      </c>
      <c r="K34" s="36">
        <v>151.69999999999999</v>
      </c>
    </row>
    <row r="35" spans="5:11" x14ac:dyDescent="0.4">
      <c r="E35" s="34" t="s">
        <v>120</v>
      </c>
      <c r="F35" s="1" t="s">
        <v>72</v>
      </c>
      <c r="G35" s="32">
        <v>0</v>
      </c>
      <c r="H35" s="35">
        <f>G35/B$19</f>
        <v>0</v>
      </c>
      <c r="J35" s="31">
        <v>33</v>
      </c>
      <c r="K35" s="36">
        <v>212.39999999999998</v>
      </c>
    </row>
    <row r="36" spans="5:11" x14ac:dyDescent="0.4">
      <c r="E36" s="34" t="s">
        <v>121</v>
      </c>
      <c r="F36" s="1" t="s">
        <v>73</v>
      </c>
      <c r="G36" s="32">
        <v>0</v>
      </c>
      <c r="H36" s="35">
        <f>G36/B$19</f>
        <v>0</v>
      </c>
      <c r="J36" s="31">
        <v>34</v>
      </c>
      <c r="K36" s="36">
        <v>262.39999999999998</v>
      </c>
    </row>
    <row r="37" spans="5:11" x14ac:dyDescent="0.4">
      <c r="E37" s="34" t="s">
        <v>122</v>
      </c>
      <c r="F37" s="1" t="s">
        <v>74</v>
      </c>
      <c r="G37" s="32">
        <v>0</v>
      </c>
      <c r="H37" s="35">
        <f>G37/B$19</f>
        <v>0</v>
      </c>
      <c r="J37" s="31">
        <v>35</v>
      </c>
      <c r="K37" s="36">
        <v>248.39999999999998</v>
      </c>
    </row>
    <row r="38" spans="5:11" x14ac:dyDescent="0.4">
      <c r="E38" s="34" t="s">
        <v>123</v>
      </c>
      <c r="F38" s="1" t="s">
        <v>75</v>
      </c>
      <c r="G38" s="32">
        <v>0</v>
      </c>
      <c r="H38" s="35">
        <f>G38/B$19</f>
        <v>0</v>
      </c>
      <c r="J38" s="31">
        <v>36</v>
      </c>
      <c r="K38" s="36">
        <v>244.99999999999997</v>
      </c>
    </row>
    <row r="39" spans="5:11" x14ac:dyDescent="0.4">
      <c r="E39" s="34" t="s">
        <v>124</v>
      </c>
      <c r="F39" s="1" t="s">
        <v>76</v>
      </c>
      <c r="G39" s="32">
        <v>0</v>
      </c>
      <c r="H39" s="35">
        <f>G39/B$19</f>
        <v>0</v>
      </c>
      <c r="J39" s="31">
        <v>37</v>
      </c>
      <c r="K39" s="36">
        <v>227.89999999999998</v>
      </c>
    </row>
    <row r="40" spans="5:11" x14ac:dyDescent="0.4">
      <c r="E40" s="34" t="s">
        <v>125</v>
      </c>
      <c r="F40" s="1" t="s">
        <v>77</v>
      </c>
      <c r="G40" s="32">
        <v>0</v>
      </c>
      <c r="H40" s="35">
        <f>G40/B$19</f>
        <v>0</v>
      </c>
      <c r="J40" s="31">
        <v>38</v>
      </c>
      <c r="K40" s="36">
        <v>248.99999999999997</v>
      </c>
    </row>
    <row r="41" spans="5:11" x14ac:dyDescent="0.4">
      <c r="E41" s="34" t="s">
        <v>126</v>
      </c>
      <c r="F41" s="1" t="s">
        <v>78</v>
      </c>
      <c r="G41" s="32">
        <v>0</v>
      </c>
      <c r="H41" s="35">
        <f>G41/B$19</f>
        <v>0</v>
      </c>
      <c r="J41" s="31">
        <v>39</v>
      </c>
      <c r="K41" s="36">
        <v>198.39999999999998</v>
      </c>
    </row>
    <row r="42" spans="5:11" x14ac:dyDescent="0.4">
      <c r="E42" s="34" t="s">
        <v>127</v>
      </c>
      <c r="F42" s="1" t="s">
        <v>79</v>
      </c>
      <c r="G42" s="32">
        <v>0</v>
      </c>
      <c r="H42" s="35">
        <f>G42/B$19</f>
        <v>0</v>
      </c>
      <c r="J42" s="31">
        <v>40</v>
      </c>
      <c r="K42" s="36">
        <v>190.2</v>
      </c>
    </row>
    <row r="43" spans="5:11" x14ac:dyDescent="0.4">
      <c r="E43" s="34" t="s">
        <v>128</v>
      </c>
      <c r="F43" s="1" t="s">
        <v>80</v>
      </c>
      <c r="G43" s="32">
        <v>0</v>
      </c>
      <c r="H43" s="35">
        <f>G43/B$19</f>
        <v>0</v>
      </c>
      <c r="J43" s="31">
        <v>41</v>
      </c>
      <c r="K43" s="36">
        <v>183.2</v>
      </c>
    </row>
    <row r="44" spans="5:11" x14ac:dyDescent="0.4">
      <c r="E44" s="34" t="s">
        <v>129</v>
      </c>
      <c r="F44" s="1" t="s">
        <v>81</v>
      </c>
      <c r="G44" s="32">
        <v>0</v>
      </c>
      <c r="H44" s="35">
        <f>G44/B$19</f>
        <v>0</v>
      </c>
      <c r="J44" s="31">
        <v>42</v>
      </c>
      <c r="K44" s="36">
        <v>146.79999999999998</v>
      </c>
    </row>
    <row r="45" spans="5:11" x14ac:dyDescent="0.4">
      <c r="E45" s="34" t="s">
        <v>130</v>
      </c>
      <c r="F45" s="1" t="s">
        <v>82</v>
      </c>
      <c r="G45" s="32">
        <v>0</v>
      </c>
      <c r="H45" s="35">
        <f>G45/B$19</f>
        <v>0</v>
      </c>
      <c r="J45" s="31">
        <v>43</v>
      </c>
      <c r="K45" s="36">
        <v>138.29999999999998</v>
      </c>
    </row>
    <row r="46" spans="5:11" x14ac:dyDescent="0.4">
      <c r="E46" s="34" t="s">
        <v>131</v>
      </c>
      <c r="F46" s="1" t="s">
        <v>138</v>
      </c>
      <c r="G46" s="32">
        <v>0</v>
      </c>
      <c r="H46" s="35">
        <f>G46/B$19</f>
        <v>0</v>
      </c>
      <c r="J46" s="31">
        <v>44</v>
      </c>
      <c r="K46" s="36">
        <v>146.69999999999999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G47/B$19</f>
        <v>0</v>
      </c>
      <c r="J47" s="31">
        <v>45</v>
      </c>
      <c r="K47" s="36">
        <v>136.29999999999998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G48/B$19</f>
        <v>0</v>
      </c>
      <c r="J48" s="31">
        <v>46</v>
      </c>
      <c r="K48" s="36">
        <v>164.2</v>
      </c>
    </row>
    <row r="49" spans="5:11" x14ac:dyDescent="0.4">
      <c r="E49" s="34" t="s">
        <v>135</v>
      </c>
      <c r="F49" s="1" t="s">
        <v>84</v>
      </c>
      <c r="G49" s="32">
        <v>0</v>
      </c>
      <c r="H49" s="35">
        <f>G49/B$19</f>
        <v>0</v>
      </c>
      <c r="J49" s="31">
        <v>47</v>
      </c>
      <c r="K49" s="36">
        <v>143.69999999999999</v>
      </c>
    </row>
    <row r="50" spans="5:11" x14ac:dyDescent="0.4">
      <c r="E50" s="34" t="s">
        <v>136</v>
      </c>
      <c r="F50" s="1" t="s">
        <v>85</v>
      </c>
      <c r="G50" s="32">
        <v>0</v>
      </c>
      <c r="H50" s="35">
        <f>G50/B$19</f>
        <v>0</v>
      </c>
      <c r="J50" s="31">
        <v>48</v>
      </c>
      <c r="K50" s="36">
        <v>112.6</v>
      </c>
    </row>
    <row r="51" spans="5:11" x14ac:dyDescent="0.4">
      <c r="E51" s="53" t="s">
        <v>137</v>
      </c>
      <c r="F51" s="52" t="s">
        <v>86</v>
      </c>
      <c r="G51" s="54">
        <v>0</v>
      </c>
      <c r="H51" s="55">
        <f>G51/B$19</f>
        <v>0</v>
      </c>
      <c r="J51" s="31">
        <v>49</v>
      </c>
      <c r="K51" s="36">
        <v>128.79999999999998</v>
      </c>
    </row>
    <row r="52" spans="5:11" x14ac:dyDescent="0.4">
      <c r="J52" s="31">
        <v>50</v>
      </c>
      <c r="K52" s="36">
        <v>123.89999999999998</v>
      </c>
    </row>
    <row r="53" spans="5:11" x14ac:dyDescent="0.4">
      <c r="J53" s="31">
        <v>51</v>
      </c>
      <c r="K53" s="36">
        <v>136.69999999999999</v>
      </c>
    </row>
    <row r="54" spans="5:11" x14ac:dyDescent="0.4">
      <c r="J54" s="31">
        <v>52</v>
      </c>
      <c r="K54" s="36">
        <v>137.39999999999998</v>
      </c>
    </row>
    <row r="55" spans="5:11" x14ac:dyDescent="0.4">
      <c r="J55" s="31">
        <v>53</v>
      </c>
      <c r="K55" s="36">
        <v>130.69999999999999</v>
      </c>
    </row>
    <row r="56" spans="5:11" x14ac:dyDescent="0.4">
      <c r="J56" s="31">
        <v>54</v>
      </c>
      <c r="K56" s="36">
        <v>102.69999999999999</v>
      </c>
    </row>
    <row r="57" spans="5:11" x14ac:dyDescent="0.4">
      <c r="J57" s="31">
        <v>55</v>
      </c>
      <c r="K57" s="36">
        <v>119.39999999999999</v>
      </c>
    </row>
    <row r="58" spans="5:11" x14ac:dyDescent="0.4">
      <c r="J58" s="31">
        <v>56</v>
      </c>
      <c r="K58" s="36">
        <v>112.39999999999999</v>
      </c>
    </row>
    <row r="59" spans="5:11" x14ac:dyDescent="0.4">
      <c r="J59" s="31">
        <v>57</v>
      </c>
      <c r="K59" s="36">
        <v>144</v>
      </c>
    </row>
    <row r="60" spans="5:11" x14ac:dyDescent="0.4">
      <c r="J60" s="31">
        <v>58</v>
      </c>
      <c r="K60" s="36">
        <v>159.80000000000001</v>
      </c>
    </row>
    <row r="61" spans="5:11" x14ac:dyDescent="0.4">
      <c r="J61" s="31">
        <v>59</v>
      </c>
      <c r="K61" s="36">
        <v>216.8</v>
      </c>
    </row>
    <row r="62" spans="5:11" x14ac:dyDescent="0.4">
      <c r="J62" s="31">
        <v>60</v>
      </c>
      <c r="K62" s="36">
        <v>222.10000000000002</v>
      </c>
    </row>
    <row r="63" spans="5:11" x14ac:dyDescent="0.4">
      <c r="J63" s="31">
        <v>61</v>
      </c>
      <c r="K63" s="36">
        <v>176.00000000000003</v>
      </c>
    </row>
    <row r="64" spans="5:11" x14ac:dyDescent="0.4">
      <c r="J64" s="31">
        <v>62</v>
      </c>
      <c r="K64" s="36">
        <v>197.10000000000002</v>
      </c>
    </row>
    <row r="65" spans="10:11" x14ac:dyDescent="0.4">
      <c r="J65" s="31">
        <v>63</v>
      </c>
      <c r="K65" s="36">
        <v>131.10000000000002</v>
      </c>
    </row>
    <row r="66" spans="10:11" x14ac:dyDescent="0.4">
      <c r="J66" s="31">
        <v>64</v>
      </c>
      <c r="K66" s="36">
        <v>126.10000000000002</v>
      </c>
    </row>
    <row r="67" spans="10:11" x14ac:dyDescent="0.4">
      <c r="J67" s="31">
        <v>65</v>
      </c>
      <c r="K67" s="36">
        <v>127.10000000000002</v>
      </c>
    </row>
    <row r="68" spans="10:11" x14ac:dyDescent="0.4">
      <c r="J68" s="31">
        <v>66</v>
      </c>
      <c r="K68" s="36">
        <v>158.70000000000002</v>
      </c>
    </row>
    <row r="69" spans="10:11" x14ac:dyDescent="0.4">
      <c r="J69" s="31">
        <v>67</v>
      </c>
      <c r="K69" s="36">
        <v>139.70000000000002</v>
      </c>
    </row>
    <row r="70" spans="10:11" x14ac:dyDescent="0.4">
      <c r="J70" s="31">
        <v>68</v>
      </c>
      <c r="K70" s="36">
        <v>129.80000000000001</v>
      </c>
    </row>
    <row r="71" spans="10:11" x14ac:dyDescent="0.4">
      <c r="J71" s="31">
        <v>69</v>
      </c>
      <c r="K71" s="36">
        <v>130.70000000000002</v>
      </c>
    </row>
    <row r="72" spans="10:11" x14ac:dyDescent="0.4">
      <c r="J72" s="31">
        <v>70</v>
      </c>
      <c r="K72" s="36">
        <v>163</v>
      </c>
    </row>
    <row r="73" spans="10:11" x14ac:dyDescent="0.4">
      <c r="J73" s="31">
        <v>71</v>
      </c>
      <c r="K73" s="36">
        <v>191.4</v>
      </c>
    </row>
    <row r="74" spans="10:11" x14ac:dyDescent="0.4">
      <c r="J74" s="31">
        <v>72</v>
      </c>
      <c r="K74" s="36">
        <v>184</v>
      </c>
    </row>
    <row r="75" spans="10:11" x14ac:dyDescent="0.4">
      <c r="J75" s="31">
        <v>73</v>
      </c>
      <c r="K75" s="36">
        <v>202.3</v>
      </c>
    </row>
    <row r="76" spans="10:11" x14ac:dyDescent="0.4">
      <c r="J76" s="31">
        <v>74</v>
      </c>
      <c r="K76" s="36">
        <v>188.4</v>
      </c>
    </row>
    <row r="77" spans="10:11" x14ac:dyDescent="0.4">
      <c r="J77" s="31">
        <v>75</v>
      </c>
      <c r="K77" s="36">
        <v>228.4</v>
      </c>
    </row>
    <row r="78" spans="10:11" x14ac:dyDescent="0.4">
      <c r="J78" s="31">
        <v>76</v>
      </c>
      <c r="K78" s="36">
        <v>233.6</v>
      </c>
    </row>
    <row r="79" spans="10:11" x14ac:dyDescent="0.4">
      <c r="J79" s="31">
        <v>77</v>
      </c>
      <c r="K79" s="36">
        <v>219.9</v>
      </c>
    </row>
    <row r="80" spans="10:11" x14ac:dyDescent="0.4">
      <c r="J80" s="31">
        <v>78</v>
      </c>
      <c r="K80" s="36">
        <v>225</v>
      </c>
    </row>
    <row r="81" spans="10:11" x14ac:dyDescent="0.4">
      <c r="J81" s="31">
        <v>79</v>
      </c>
      <c r="K81" s="36">
        <v>256.89999999999998</v>
      </c>
    </row>
    <row r="82" spans="10:11" x14ac:dyDescent="0.4">
      <c r="J82" s="31">
        <v>80</v>
      </c>
      <c r="K82" s="36">
        <v>296.89999999999998</v>
      </c>
    </row>
    <row r="83" spans="10:11" x14ac:dyDescent="0.4">
      <c r="J83" s="31">
        <v>81</v>
      </c>
      <c r="K83" s="36">
        <v>319.39999999999998</v>
      </c>
    </row>
    <row r="84" spans="10:11" x14ac:dyDescent="0.4">
      <c r="J84" s="31">
        <v>82</v>
      </c>
      <c r="K84" s="36">
        <v>350.9</v>
      </c>
    </row>
    <row r="85" spans="10:11" x14ac:dyDescent="0.4">
      <c r="J85" s="31">
        <v>83</v>
      </c>
      <c r="K85" s="36">
        <v>410.7</v>
      </c>
    </row>
    <row r="86" spans="10:11" x14ac:dyDescent="0.4">
      <c r="J86" s="31">
        <v>84</v>
      </c>
      <c r="K86" s="36">
        <v>421.8</v>
      </c>
    </row>
    <row r="87" spans="10:11" x14ac:dyDescent="0.4">
      <c r="J87" s="31">
        <v>85</v>
      </c>
      <c r="K87" s="36">
        <v>423.40000000000003</v>
      </c>
    </row>
    <row r="88" spans="10:11" x14ac:dyDescent="0.4">
      <c r="J88" s="31">
        <v>86</v>
      </c>
      <c r="K88" s="36">
        <v>402.00000000000006</v>
      </c>
    </row>
    <row r="89" spans="10:11" x14ac:dyDescent="0.4">
      <c r="J89" s="31">
        <v>87</v>
      </c>
      <c r="K89" s="36">
        <v>405.50000000000006</v>
      </c>
    </row>
    <row r="90" spans="10:11" x14ac:dyDescent="0.4">
      <c r="J90" s="31">
        <v>88</v>
      </c>
      <c r="K90" s="36">
        <v>360.00000000000006</v>
      </c>
    </row>
    <row r="91" spans="10:11" x14ac:dyDescent="0.4">
      <c r="J91" s="31">
        <v>89</v>
      </c>
      <c r="K91" s="36">
        <v>359.40000000000003</v>
      </c>
    </row>
    <row r="92" spans="10:11" x14ac:dyDescent="0.4">
      <c r="J92" s="31">
        <v>90</v>
      </c>
      <c r="K92" s="36">
        <v>385.8</v>
      </c>
    </row>
    <row r="93" spans="10:11" x14ac:dyDescent="0.4">
      <c r="J93" s="31">
        <v>91</v>
      </c>
      <c r="K93" s="36">
        <v>395.5</v>
      </c>
    </row>
    <row r="94" spans="10:11" x14ac:dyDescent="0.4">
      <c r="J94" s="31">
        <v>92</v>
      </c>
      <c r="K94" s="36">
        <v>416.6</v>
      </c>
    </row>
    <row r="95" spans="10:11" x14ac:dyDescent="0.4">
      <c r="J95" s="31">
        <v>93</v>
      </c>
      <c r="K95" s="36">
        <v>459.70000000000005</v>
      </c>
    </row>
  </sheetData>
  <sortState ref="E2:H95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CDD3A-D74A-4D8B-AD4F-F24F103FD086}">
  <sheetPr codeName="Sheet3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38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4</v>
      </c>
      <c r="C2" s="27"/>
      <c r="E2" s="28" t="s">
        <v>88</v>
      </c>
      <c r="F2" s="10" t="s">
        <v>41</v>
      </c>
      <c r="G2" s="26">
        <v>0</v>
      </c>
      <c r="H2" s="29" t="e">
        <f>G2/B$19</f>
        <v>#DIV/0!</v>
      </c>
      <c r="J2" s="25">
        <v>0</v>
      </c>
      <c r="K2" s="30">
        <v>0</v>
      </c>
    </row>
    <row r="3" spans="1:11" x14ac:dyDescent="0.4">
      <c r="A3" s="31" t="s">
        <v>8</v>
      </c>
      <c r="B3" s="32">
        <v>25</v>
      </c>
      <c r="C3" s="33"/>
      <c r="E3" s="34" t="s">
        <v>89</v>
      </c>
      <c r="F3" s="1" t="s">
        <v>42</v>
      </c>
      <c r="G3" s="32">
        <v>0</v>
      </c>
      <c r="H3" s="35" t="e">
        <f>G3/B$19</f>
        <v>#DIV/0!</v>
      </c>
      <c r="J3" s="31">
        <v>1</v>
      </c>
      <c r="K3" s="36">
        <v>-22</v>
      </c>
    </row>
    <row r="4" spans="1:11" x14ac:dyDescent="0.4">
      <c r="A4" s="31" t="s">
        <v>6</v>
      </c>
      <c r="B4" s="37">
        <v>-132.1</v>
      </c>
      <c r="C4" s="36"/>
      <c r="E4" s="34" t="s">
        <v>90</v>
      </c>
      <c r="F4" s="1" t="s">
        <v>43</v>
      </c>
      <c r="G4" s="32">
        <v>0</v>
      </c>
      <c r="H4" s="35" t="e">
        <f>G4/B$19</f>
        <v>#DIV/0!</v>
      </c>
      <c r="J4" s="31">
        <v>2</v>
      </c>
      <c r="K4" s="36">
        <v>-60.4</v>
      </c>
    </row>
    <row r="5" spans="1:11" x14ac:dyDescent="0.4">
      <c r="A5" s="31" t="s">
        <v>7</v>
      </c>
      <c r="B5" s="37">
        <f>IF(B$2=0,0,B$4/B$2)</f>
        <v>-33.024999999999999</v>
      </c>
      <c r="C5" s="38"/>
      <c r="E5" s="34" t="s">
        <v>91</v>
      </c>
      <c r="F5" s="1" t="s">
        <v>44</v>
      </c>
      <c r="G5" s="32">
        <v>0</v>
      </c>
      <c r="H5" s="35" t="e">
        <f>G5/B$19</f>
        <v>#DIV/0!</v>
      </c>
      <c r="J5" s="31">
        <v>3</v>
      </c>
      <c r="K5" s="36">
        <v>-85.6</v>
      </c>
    </row>
    <row r="6" spans="1:11" x14ac:dyDescent="0.4">
      <c r="A6" s="31" t="s">
        <v>1</v>
      </c>
      <c r="B6" s="39">
        <f>IF(B$2=0,0,(B$7*1+B$8*2+B$9*3)/B$2)</f>
        <v>3</v>
      </c>
      <c r="C6" s="40"/>
      <c r="E6" s="34" t="s">
        <v>92</v>
      </c>
      <c r="F6" s="1" t="s">
        <v>45</v>
      </c>
      <c r="G6" s="32">
        <v>0</v>
      </c>
      <c r="H6" s="35" t="e">
        <f>G6/B$19</f>
        <v>#DIV/0!</v>
      </c>
      <c r="J6" s="31">
        <v>4</v>
      </c>
      <c r="K6" s="36">
        <v>-132.1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12</v>
      </c>
      <c r="G7" s="32">
        <v>0</v>
      </c>
      <c r="H7" s="35" t="e">
        <f>G7/B$19</f>
        <v>#DIV/0!</v>
      </c>
    </row>
    <row r="8" spans="1:11" x14ac:dyDescent="0.4">
      <c r="A8" s="31" t="s">
        <v>3</v>
      </c>
      <c r="B8" s="32">
        <v>0</v>
      </c>
      <c r="C8" s="35">
        <f t="shared" ref="C8:C9" si="0">IF(B$2=0,0,B8/B$2)</f>
        <v>0</v>
      </c>
      <c r="E8" s="34" t="s">
        <v>94</v>
      </c>
      <c r="F8" s="1" t="s">
        <v>46</v>
      </c>
      <c r="G8" s="32">
        <v>0</v>
      </c>
      <c r="H8" s="35" t="e">
        <f>G8/B$19</f>
        <v>#DIV/0!</v>
      </c>
    </row>
    <row r="9" spans="1:11" x14ac:dyDescent="0.4">
      <c r="A9" s="41" t="s">
        <v>4</v>
      </c>
      <c r="B9" s="42">
        <v>4</v>
      </c>
      <c r="C9" s="43">
        <f t="shared" si="0"/>
        <v>1</v>
      </c>
      <c r="E9" s="34" t="s">
        <v>95</v>
      </c>
      <c r="F9" s="1" t="s">
        <v>47</v>
      </c>
      <c r="G9" s="32">
        <v>0</v>
      </c>
      <c r="H9" s="35" t="e">
        <f>G9/B$19</f>
        <v>#DIV/0!</v>
      </c>
    </row>
    <row r="10" spans="1:11" ht="19.5" thickBot="1" x14ac:dyDescent="0.45">
      <c r="A10" s="44" t="s">
        <v>34</v>
      </c>
      <c r="B10" s="45">
        <v>2</v>
      </c>
      <c r="C10" s="46">
        <f>IF(B$2=0,0,B10/B$2)</f>
        <v>0.5</v>
      </c>
      <c r="E10" s="34" t="s">
        <v>96</v>
      </c>
      <c r="F10" s="1" t="s">
        <v>48</v>
      </c>
      <c r="G10" s="32">
        <v>0</v>
      </c>
      <c r="H10" s="35" t="e">
        <f>G10/B$19</f>
        <v>#DIV/0!</v>
      </c>
    </row>
    <row r="11" spans="1:11" ht="19.5" thickTop="1" x14ac:dyDescent="0.4">
      <c r="A11" s="47" t="s">
        <v>144</v>
      </c>
      <c r="B11" s="48">
        <v>0</v>
      </c>
      <c r="C11" s="29">
        <f>IF(B$18=0,0,B11/B$18)</f>
        <v>0</v>
      </c>
      <c r="E11" s="34" t="s">
        <v>97</v>
      </c>
      <c r="F11" s="1" t="s">
        <v>49</v>
      </c>
      <c r="G11" s="32">
        <v>0</v>
      </c>
      <c r="H11" s="35" t="e">
        <f>G11/B$19</f>
        <v>#DIV/0!</v>
      </c>
    </row>
    <row r="12" spans="1:11" x14ac:dyDescent="0.4">
      <c r="A12" s="25" t="s">
        <v>10</v>
      </c>
      <c r="B12" s="26">
        <f>B13+B14</f>
        <v>1</v>
      </c>
      <c r="C12" s="29">
        <f>IF(B$3=0,0,B12/B$3)</f>
        <v>0.04</v>
      </c>
      <c r="E12" s="34" t="s">
        <v>98</v>
      </c>
      <c r="F12" s="1" t="s">
        <v>50</v>
      </c>
      <c r="G12" s="32">
        <v>0</v>
      </c>
      <c r="H12" s="35" t="e">
        <f>G12/B$19</f>
        <v>#DIV/0!</v>
      </c>
    </row>
    <row r="13" spans="1:11" x14ac:dyDescent="0.4">
      <c r="A13" s="31" t="s">
        <v>11</v>
      </c>
      <c r="B13" s="32">
        <v>0</v>
      </c>
      <c r="C13" s="35">
        <f>IF(B$3=0,0,B13/B$3)</f>
        <v>0</v>
      </c>
      <c r="E13" s="34" t="s">
        <v>99</v>
      </c>
      <c r="F13" s="1" t="s">
        <v>51</v>
      </c>
      <c r="G13" s="32">
        <v>0</v>
      </c>
      <c r="H13" s="35" t="e">
        <f>G13/B$19</f>
        <v>#DIV/0!</v>
      </c>
    </row>
    <row r="14" spans="1:11" x14ac:dyDescent="0.4">
      <c r="A14" s="31" t="s">
        <v>12</v>
      </c>
      <c r="B14" s="32">
        <v>1</v>
      </c>
      <c r="C14" s="35">
        <f>IF(B$3=0,0,B14/B$3)</f>
        <v>0.04</v>
      </c>
      <c r="E14" s="34" t="s">
        <v>100</v>
      </c>
      <c r="F14" s="1" t="s">
        <v>52</v>
      </c>
      <c r="G14" s="32">
        <v>0</v>
      </c>
      <c r="H14" s="35" t="e">
        <f>G14/B$19</f>
        <v>#DIV/0!</v>
      </c>
    </row>
    <row r="15" spans="1:11" x14ac:dyDescent="0.4">
      <c r="A15" s="31" t="s">
        <v>13</v>
      </c>
      <c r="B15" s="32">
        <v>10</v>
      </c>
      <c r="C15" s="35">
        <f>IF(B$3=0,0,B15/B$3)</f>
        <v>0.4</v>
      </c>
      <c r="E15" s="34" t="s">
        <v>101</v>
      </c>
      <c r="F15" s="1" t="s">
        <v>53</v>
      </c>
      <c r="G15" s="32">
        <v>0</v>
      </c>
      <c r="H15" s="35" t="e">
        <f>G15/B$19</f>
        <v>#DIV/0!</v>
      </c>
    </row>
    <row r="16" spans="1:11" x14ac:dyDescent="0.4">
      <c r="A16" s="31" t="s">
        <v>5</v>
      </c>
      <c r="B16" s="49">
        <f>IF(B$12=0,0,ROUND(C16/B$12,-2))</f>
        <v>7800</v>
      </c>
      <c r="C16" s="50">
        <v>7800</v>
      </c>
      <c r="E16" s="34" t="s">
        <v>102</v>
      </c>
      <c r="F16" s="1" t="s">
        <v>54</v>
      </c>
      <c r="G16" s="32">
        <v>0</v>
      </c>
      <c r="H16" s="35" t="e">
        <f>G16/B$19</f>
        <v>#DIV/0!</v>
      </c>
    </row>
    <row r="17" spans="1:8" ht="19.5" thickBot="1" x14ac:dyDescent="0.45">
      <c r="A17" s="51" t="s">
        <v>14</v>
      </c>
      <c r="B17" s="52">
        <f>IF(B$15=0,0,ROUND(C17/B$15,-2))</f>
        <v>-8200</v>
      </c>
      <c r="C17" s="58">
        <v>-82400</v>
      </c>
      <c r="E17" s="34" t="s">
        <v>103</v>
      </c>
      <c r="F17" s="1" t="s">
        <v>55</v>
      </c>
      <c r="G17" s="32">
        <v>0</v>
      </c>
      <c r="H17" s="35" t="e">
        <f>G17/B$19</f>
        <v>#DIV/0!</v>
      </c>
    </row>
    <row r="18" spans="1:8" ht="19.5" thickTop="1" x14ac:dyDescent="0.4">
      <c r="A18" s="47" t="s">
        <v>147</v>
      </c>
      <c r="B18" s="48">
        <v>0</v>
      </c>
      <c r="C18" s="29"/>
      <c r="E18" s="34" t="s">
        <v>104</v>
      </c>
      <c r="F18" s="1" t="s">
        <v>56</v>
      </c>
      <c r="G18" s="32">
        <v>0</v>
      </c>
      <c r="H18" s="35" t="e">
        <f>G18/B$19</f>
        <v>#DIV/0!</v>
      </c>
    </row>
    <row r="19" spans="1:8" x14ac:dyDescent="0.4">
      <c r="A19" s="51" t="s">
        <v>148</v>
      </c>
      <c r="B19" s="54">
        <v>0</v>
      </c>
      <c r="C19" s="55"/>
      <c r="E19" s="34" t="s">
        <v>105</v>
      </c>
      <c r="F19" s="1" t="s">
        <v>57</v>
      </c>
      <c r="G19" s="32">
        <v>0</v>
      </c>
      <c r="H19" s="35" t="e">
        <f>G19/B$19</f>
        <v>#DIV/0!</v>
      </c>
    </row>
    <row r="20" spans="1:8" x14ac:dyDescent="0.4">
      <c r="E20" s="34" t="s">
        <v>106</v>
      </c>
      <c r="F20" s="1" t="s">
        <v>58</v>
      </c>
      <c r="G20" s="32">
        <v>0</v>
      </c>
      <c r="H20" s="35" t="e">
        <f>G20/B$19</f>
        <v>#DIV/0!</v>
      </c>
    </row>
    <row r="21" spans="1:8" x14ac:dyDescent="0.4">
      <c r="E21" s="34" t="s">
        <v>107</v>
      </c>
      <c r="F21" s="1" t="s">
        <v>59</v>
      </c>
      <c r="G21" s="32">
        <v>0</v>
      </c>
      <c r="H21" s="35" t="e">
        <f>G21/B$19</f>
        <v>#DIV/0!</v>
      </c>
    </row>
    <row r="22" spans="1:8" x14ac:dyDescent="0.4">
      <c r="E22" s="34" t="s">
        <v>108</v>
      </c>
      <c r="F22" s="1" t="s">
        <v>60</v>
      </c>
      <c r="G22" s="32">
        <v>0</v>
      </c>
      <c r="H22" s="35" t="e">
        <f>G22/B$19</f>
        <v>#DIV/0!</v>
      </c>
    </row>
    <row r="23" spans="1:8" x14ac:dyDescent="0.4">
      <c r="E23" s="34" t="s">
        <v>109</v>
      </c>
      <c r="F23" s="1" t="s">
        <v>61</v>
      </c>
      <c r="G23" s="32">
        <v>0</v>
      </c>
      <c r="H23" s="35" t="e">
        <f>G23/B$19</f>
        <v>#DIV/0!</v>
      </c>
    </row>
    <row r="24" spans="1:8" x14ac:dyDescent="0.4">
      <c r="E24" s="34" t="s">
        <v>110</v>
      </c>
      <c r="F24" s="1" t="s">
        <v>62</v>
      </c>
      <c r="G24" s="32">
        <v>0</v>
      </c>
      <c r="H24" s="35" t="e">
        <f>G24/B$19</f>
        <v>#DIV/0!</v>
      </c>
    </row>
    <row r="25" spans="1:8" x14ac:dyDescent="0.4">
      <c r="E25" s="34" t="s">
        <v>111</v>
      </c>
      <c r="F25" s="1" t="s">
        <v>63</v>
      </c>
      <c r="G25" s="32">
        <v>0</v>
      </c>
      <c r="H25" s="35" t="e">
        <f>G25/B$19</f>
        <v>#DIV/0!</v>
      </c>
    </row>
    <row r="26" spans="1:8" x14ac:dyDescent="0.4">
      <c r="E26" s="34" t="s">
        <v>112</v>
      </c>
      <c r="F26" s="1" t="s">
        <v>64</v>
      </c>
      <c r="G26" s="32">
        <v>0</v>
      </c>
      <c r="H26" s="35" t="e">
        <f>G26/B$19</f>
        <v>#DIV/0!</v>
      </c>
    </row>
    <row r="27" spans="1:8" x14ac:dyDescent="0.4">
      <c r="E27" s="34" t="s">
        <v>113</v>
      </c>
      <c r="F27" s="1" t="s">
        <v>65</v>
      </c>
      <c r="G27" s="32">
        <v>0</v>
      </c>
      <c r="H27" s="35" t="e">
        <f>G27/B$19</f>
        <v>#DIV/0!</v>
      </c>
    </row>
    <row r="28" spans="1:8" x14ac:dyDescent="0.4">
      <c r="E28" s="34" t="s">
        <v>114</v>
      </c>
      <c r="F28" s="1" t="s">
        <v>66</v>
      </c>
      <c r="G28" s="32">
        <v>0</v>
      </c>
      <c r="H28" s="35" t="e">
        <f>G28/B$19</f>
        <v>#DIV/0!</v>
      </c>
    </row>
    <row r="29" spans="1:8" x14ac:dyDescent="0.4">
      <c r="E29" s="34" t="s">
        <v>115</v>
      </c>
      <c r="F29" s="1" t="s">
        <v>67</v>
      </c>
      <c r="G29" s="32">
        <v>0</v>
      </c>
      <c r="H29" s="35" t="e">
        <f>G29/B$19</f>
        <v>#DIV/0!</v>
      </c>
    </row>
    <row r="30" spans="1:8" x14ac:dyDescent="0.4">
      <c r="E30" s="34" t="s">
        <v>116</v>
      </c>
      <c r="F30" s="1" t="s">
        <v>68</v>
      </c>
      <c r="G30" s="32">
        <v>0</v>
      </c>
      <c r="H30" s="35" t="e">
        <f>G30/B$19</f>
        <v>#DIV/0!</v>
      </c>
    </row>
    <row r="31" spans="1:8" x14ac:dyDescent="0.4">
      <c r="E31" s="34" t="s">
        <v>117</v>
      </c>
      <c r="F31" s="1" t="s">
        <v>69</v>
      </c>
      <c r="G31" s="32">
        <v>0</v>
      </c>
      <c r="H31" s="35" t="e">
        <f>G31/B$19</f>
        <v>#DIV/0!</v>
      </c>
    </row>
    <row r="32" spans="1:8" x14ac:dyDescent="0.4">
      <c r="E32" s="34" t="s">
        <v>118</v>
      </c>
      <c r="F32" s="1" t="s">
        <v>70</v>
      </c>
      <c r="G32" s="32">
        <v>0</v>
      </c>
      <c r="H32" s="35" t="e">
        <f>G32/B$19</f>
        <v>#DIV/0!</v>
      </c>
    </row>
    <row r="33" spans="5:8" x14ac:dyDescent="0.4">
      <c r="E33" s="34" t="s">
        <v>119</v>
      </c>
      <c r="F33" s="1" t="s">
        <v>71</v>
      </c>
      <c r="G33" s="32">
        <v>0</v>
      </c>
      <c r="H33" s="35" t="e">
        <f>G33/B$19</f>
        <v>#DIV/0!</v>
      </c>
    </row>
    <row r="34" spans="5:8" x14ac:dyDescent="0.4">
      <c r="E34" s="34" t="s">
        <v>120</v>
      </c>
      <c r="F34" s="1" t="s">
        <v>72</v>
      </c>
      <c r="G34" s="32">
        <v>0</v>
      </c>
      <c r="H34" s="35" t="e">
        <f>G34/B$19</f>
        <v>#DIV/0!</v>
      </c>
    </row>
    <row r="35" spans="5:8" x14ac:dyDescent="0.4">
      <c r="E35" s="34" t="s">
        <v>121</v>
      </c>
      <c r="F35" s="1" t="s">
        <v>73</v>
      </c>
      <c r="G35" s="32">
        <v>0</v>
      </c>
      <c r="H35" s="35" t="e">
        <f>G35/B$19</f>
        <v>#DIV/0!</v>
      </c>
    </row>
    <row r="36" spans="5:8" x14ac:dyDescent="0.4">
      <c r="E36" s="34" t="s">
        <v>122</v>
      </c>
      <c r="F36" s="1" t="s">
        <v>74</v>
      </c>
      <c r="G36" s="32">
        <v>0</v>
      </c>
      <c r="H36" s="35" t="e">
        <f>G36/B$19</f>
        <v>#DIV/0!</v>
      </c>
    </row>
    <row r="37" spans="5:8" x14ac:dyDescent="0.4">
      <c r="E37" s="34" t="s">
        <v>123</v>
      </c>
      <c r="F37" s="1" t="s">
        <v>75</v>
      </c>
      <c r="G37" s="32">
        <v>0</v>
      </c>
      <c r="H37" s="35" t="e">
        <f>G37/B$19</f>
        <v>#DIV/0!</v>
      </c>
    </row>
    <row r="38" spans="5:8" x14ac:dyDescent="0.4">
      <c r="E38" s="34" t="s">
        <v>124</v>
      </c>
      <c r="F38" s="1" t="s">
        <v>76</v>
      </c>
      <c r="G38" s="32">
        <v>0</v>
      </c>
      <c r="H38" s="35" t="e">
        <f>G38/B$19</f>
        <v>#DIV/0!</v>
      </c>
    </row>
    <row r="39" spans="5:8" x14ac:dyDescent="0.4">
      <c r="E39" s="34" t="s">
        <v>125</v>
      </c>
      <c r="F39" s="1" t="s">
        <v>77</v>
      </c>
      <c r="G39" s="32">
        <v>0</v>
      </c>
      <c r="H39" s="35" t="e">
        <f>G39/B$19</f>
        <v>#DIV/0!</v>
      </c>
    </row>
    <row r="40" spans="5:8" x14ac:dyDescent="0.4">
      <c r="E40" s="34" t="s">
        <v>126</v>
      </c>
      <c r="F40" s="1" t="s">
        <v>78</v>
      </c>
      <c r="G40" s="32">
        <v>0</v>
      </c>
      <c r="H40" s="35" t="e">
        <f>G40/B$19</f>
        <v>#DIV/0!</v>
      </c>
    </row>
    <row r="41" spans="5:8" x14ac:dyDescent="0.4">
      <c r="E41" s="34" t="s">
        <v>127</v>
      </c>
      <c r="F41" s="1" t="s">
        <v>79</v>
      </c>
      <c r="G41" s="32">
        <v>0</v>
      </c>
      <c r="H41" s="35" t="e">
        <f>G41/B$19</f>
        <v>#DIV/0!</v>
      </c>
    </row>
    <row r="42" spans="5:8" x14ac:dyDescent="0.4">
      <c r="E42" s="34" t="s">
        <v>128</v>
      </c>
      <c r="F42" s="1" t="s">
        <v>80</v>
      </c>
      <c r="G42" s="32">
        <v>0</v>
      </c>
      <c r="H42" s="35" t="e">
        <f>G42/B$19</f>
        <v>#DIV/0!</v>
      </c>
    </row>
    <row r="43" spans="5:8" x14ac:dyDescent="0.4">
      <c r="E43" s="34" t="s">
        <v>129</v>
      </c>
      <c r="F43" s="1" t="s">
        <v>81</v>
      </c>
      <c r="G43" s="32">
        <v>0</v>
      </c>
      <c r="H43" s="35" t="e">
        <f>G43/B$19</f>
        <v>#DIV/0!</v>
      </c>
    </row>
    <row r="44" spans="5:8" x14ac:dyDescent="0.4">
      <c r="E44" s="34" t="s">
        <v>130</v>
      </c>
      <c r="F44" s="1" t="s">
        <v>82</v>
      </c>
      <c r="G44" s="32">
        <v>0</v>
      </c>
      <c r="H44" s="35" t="e">
        <f>G44/B$19</f>
        <v>#DIV/0!</v>
      </c>
    </row>
    <row r="45" spans="5:8" x14ac:dyDescent="0.4">
      <c r="E45" s="34" t="s">
        <v>131</v>
      </c>
      <c r="F45" s="1" t="s">
        <v>138</v>
      </c>
      <c r="G45" s="32">
        <v>0</v>
      </c>
      <c r="H45" s="35" t="e">
        <f>G45/B$19</f>
        <v>#DIV/0!</v>
      </c>
    </row>
    <row r="46" spans="5:8" x14ac:dyDescent="0.4">
      <c r="E46" s="34" t="s">
        <v>132</v>
      </c>
      <c r="F46" s="1" t="s">
        <v>139</v>
      </c>
      <c r="G46" s="32">
        <v>0</v>
      </c>
      <c r="H46" s="35" t="e">
        <f>G46/B$19</f>
        <v>#DIV/0!</v>
      </c>
    </row>
    <row r="47" spans="5:8" x14ac:dyDescent="0.4">
      <c r="E47" s="34" t="s">
        <v>133</v>
      </c>
      <c r="F47" s="1" t="s">
        <v>140</v>
      </c>
      <c r="G47" s="32">
        <v>0</v>
      </c>
      <c r="H47" s="35" t="e">
        <f>G47/B$19</f>
        <v>#DIV/0!</v>
      </c>
    </row>
    <row r="48" spans="5:8" x14ac:dyDescent="0.4">
      <c r="E48" s="34" t="s">
        <v>134</v>
      </c>
      <c r="F48" s="1" t="s">
        <v>83</v>
      </c>
      <c r="G48" s="32">
        <v>0</v>
      </c>
      <c r="H48" s="35" t="e">
        <f>G48/B$19</f>
        <v>#DIV/0!</v>
      </c>
    </row>
    <row r="49" spans="5:8" x14ac:dyDescent="0.4">
      <c r="E49" s="34" t="s">
        <v>135</v>
      </c>
      <c r="F49" s="1" t="s">
        <v>84</v>
      </c>
      <c r="G49" s="32">
        <v>0</v>
      </c>
      <c r="H49" s="35" t="e">
        <f>G49/B$19</f>
        <v>#DIV/0!</v>
      </c>
    </row>
    <row r="50" spans="5:8" x14ac:dyDescent="0.4">
      <c r="E50" s="34" t="s">
        <v>136</v>
      </c>
      <c r="F50" s="1" t="s">
        <v>85</v>
      </c>
      <c r="G50" s="32">
        <v>0</v>
      </c>
      <c r="H50" s="35" t="e">
        <f>G50/B$19</f>
        <v>#DIV/0!</v>
      </c>
    </row>
    <row r="51" spans="5:8" x14ac:dyDescent="0.4">
      <c r="E51" s="53" t="s">
        <v>137</v>
      </c>
      <c r="F51" s="52" t="s">
        <v>86</v>
      </c>
      <c r="G51" s="54">
        <v>0</v>
      </c>
      <c r="H51" s="55" t="e">
        <f>G51/B$19</f>
        <v>#DIV/0!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C2C7E-C86C-4655-A7A1-1A157DE20407}">
  <sheetPr codeName="Sheet4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18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1</v>
      </c>
      <c r="C2" s="27"/>
      <c r="E2" s="28" t="s">
        <v>88</v>
      </c>
      <c r="F2" s="10" t="s">
        <v>41</v>
      </c>
      <c r="G2" s="26">
        <v>0</v>
      </c>
      <c r="H2" s="29" t="e">
        <f>G2/B$19</f>
        <v>#DIV/0!</v>
      </c>
      <c r="J2" s="25">
        <v>0</v>
      </c>
      <c r="K2" s="30">
        <v>0</v>
      </c>
    </row>
    <row r="3" spans="1:11" x14ac:dyDescent="0.4">
      <c r="A3" s="31" t="s">
        <v>8</v>
      </c>
      <c r="B3" s="32">
        <v>5</v>
      </c>
      <c r="C3" s="33"/>
      <c r="E3" s="34" t="s">
        <v>89</v>
      </c>
      <c r="F3" s="1" t="s">
        <v>42</v>
      </c>
      <c r="G3" s="32">
        <v>0</v>
      </c>
      <c r="H3" s="35" t="e">
        <f>G3/B$19</f>
        <v>#DIV/0!</v>
      </c>
      <c r="J3" s="31">
        <v>1</v>
      </c>
      <c r="K3" s="36">
        <v>7</v>
      </c>
    </row>
    <row r="4" spans="1:11" x14ac:dyDescent="0.4">
      <c r="A4" s="31" t="s">
        <v>6</v>
      </c>
      <c r="B4" s="37">
        <v>7</v>
      </c>
      <c r="C4" s="36"/>
      <c r="E4" s="34" t="s">
        <v>90</v>
      </c>
      <c r="F4" s="1" t="s">
        <v>43</v>
      </c>
      <c r="G4" s="32">
        <v>0</v>
      </c>
      <c r="H4" s="35" t="e">
        <f>G4/B$19</f>
        <v>#DIV/0!</v>
      </c>
    </row>
    <row r="5" spans="1:11" x14ac:dyDescent="0.4">
      <c r="A5" s="31" t="s">
        <v>7</v>
      </c>
      <c r="B5" s="37">
        <f>IF(B$2=0,0,B$4/B$2)</f>
        <v>7</v>
      </c>
      <c r="C5" s="38"/>
      <c r="E5" s="34" t="s">
        <v>91</v>
      </c>
      <c r="F5" s="1" t="s">
        <v>44</v>
      </c>
      <c r="G5" s="32">
        <v>0</v>
      </c>
      <c r="H5" s="35" t="e">
        <f>G5/B$19</f>
        <v>#DIV/0!</v>
      </c>
    </row>
    <row r="6" spans="1:11" x14ac:dyDescent="0.4">
      <c r="A6" s="31" t="s">
        <v>1</v>
      </c>
      <c r="B6" s="39">
        <f>IF(B$2=0,0,(B$7*1+B$8*2+B$9*3)/B$2)</f>
        <v>2</v>
      </c>
      <c r="C6" s="40"/>
      <c r="E6" s="34" t="s">
        <v>92</v>
      </c>
      <c r="F6" s="1" t="s">
        <v>45</v>
      </c>
      <c r="G6" s="32">
        <v>0</v>
      </c>
      <c r="H6" s="35" t="e">
        <f>G6/B$19</f>
        <v>#DIV/0!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12</v>
      </c>
      <c r="G7" s="32">
        <v>0</v>
      </c>
      <c r="H7" s="35" t="e">
        <f>G7/B$19</f>
        <v>#DIV/0!</v>
      </c>
    </row>
    <row r="8" spans="1:11" x14ac:dyDescent="0.4">
      <c r="A8" s="31" t="s">
        <v>3</v>
      </c>
      <c r="B8" s="32">
        <v>1</v>
      </c>
      <c r="C8" s="35">
        <f t="shared" ref="C8:C9" si="0">IF(B$2=0,0,B8/B$2)</f>
        <v>1</v>
      </c>
      <c r="E8" s="34" t="s">
        <v>94</v>
      </c>
      <c r="F8" s="1" t="s">
        <v>46</v>
      </c>
      <c r="G8" s="32">
        <v>0</v>
      </c>
      <c r="H8" s="35" t="e">
        <f>G8/B$19</f>
        <v>#DIV/0!</v>
      </c>
    </row>
    <row r="9" spans="1:11" x14ac:dyDescent="0.4">
      <c r="A9" s="41" t="s">
        <v>4</v>
      </c>
      <c r="B9" s="42">
        <v>0</v>
      </c>
      <c r="C9" s="43">
        <f t="shared" si="0"/>
        <v>0</v>
      </c>
      <c r="E9" s="34" t="s">
        <v>95</v>
      </c>
      <c r="F9" s="1" t="s">
        <v>47</v>
      </c>
      <c r="G9" s="32">
        <v>0</v>
      </c>
      <c r="H9" s="35" t="e">
        <f>G9/B$19</f>
        <v>#DIV/0!</v>
      </c>
    </row>
    <row r="10" spans="1:11" ht="19.5" thickBot="1" x14ac:dyDescent="0.45">
      <c r="A10" s="44" t="s">
        <v>34</v>
      </c>
      <c r="B10" s="45">
        <v>0</v>
      </c>
      <c r="C10" s="46">
        <f>IF(B$2=0,0,B10/B$2)</f>
        <v>0</v>
      </c>
      <c r="E10" s="34" t="s">
        <v>96</v>
      </c>
      <c r="F10" s="1" t="s">
        <v>48</v>
      </c>
      <c r="G10" s="32">
        <v>0</v>
      </c>
      <c r="H10" s="35" t="e">
        <f>G10/B$19</f>
        <v>#DIV/0!</v>
      </c>
    </row>
    <row r="11" spans="1:11" ht="19.5" thickTop="1" x14ac:dyDescent="0.4">
      <c r="A11" s="47" t="s">
        <v>144</v>
      </c>
      <c r="B11" s="48">
        <v>0</v>
      </c>
      <c r="C11" s="29">
        <f>IF(B$18=0,0,B11/B$18)</f>
        <v>0</v>
      </c>
      <c r="E11" s="34" t="s">
        <v>97</v>
      </c>
      <c r="F11" s="1" t="s">
        <v>49</v>
      </c>
      <c r="G11" s="32">
        <v>0</v>
      </c>
      <c r="H11" s="35" t="e">
        <f>G11/B$19</f>
        <v>#DIV/0!</v>
      </c>
    </row>
    <row r="12" spans="1:11" x14ac:dyDescent="0.4">
      <c r="A12" s="25" t="s">
        <v>10</v>
      </c>
      <c r="B12" s="26">
        <f>B13+B14</f>
        <v>2</v>
      </c>
      <c r="C12" s="29">
        <f>IF(B$3=0,0,B12/B$3)</f>
        <v>0.4</v>
      </c>
      <c r="E12" s="34" t="s">
        <v>98</v>
      </c>
      <c r="F12" s="1" t="s">
        <v>50</v>
      </c>
      <c r="G12" s="32">
        <v>0</v>
      </c>
      <c r="H12" s="35" t="e">
        <f>G12/B$19</f>
        <v>#DIV/0!</v>
      </c>
    </row>
    <row r="13" spans="1:11" x14ac:dyDescent="0.4">
      <c r="A13" s="31" t="s">
        <v>11</v>
      </c>
      <c r="B13" s="32">
        <v>2</v>
      </c>
      <c r="C13" s="35">
        <f>IF(B$3=0,0,B13/B$3)</f>
        <v>0.4</v>
      </c>
      <c r="E13" s="34" t="s">
        <v>99</v>
      </c>
      <c r="F13" s="1" t="s">
        <v>51</v>
      </c>
      <c r="G13" s="32">
        <v>0</v>
      </c>
      <c r="H13" s="35" t="e">
        <f>G13/B$19</f>
        <v>#DIV/0!</v>
      </c>
    </row>
    <row r="14" spans="1:11" x14ac:dyDescent="0.4">
      <c r="A14" s="31" t="s">
        <v>12</v>
      </c>
      <c r="B14" s="32">
        <v>0</v>
      </c>
      <c r="C14" s="35">
        <f>IF(B$3=0,0,B14/B$3)</f>
        <v>0</v>
      </c>
      <c r="E14" s="34" t="s">
        <v>100</v>
      </c>
      <c r="F14" s="1" t="s">
        <v>52</v>
      </c>
      <c r="G14" s="32">
        <v>0</v>
      </c>
      <c r="H14" s="35" t="e">
        <f>G14/B$19</f>
        <v>#DIV/0!</v>
      </c>
    </row>
    <row r="15" spans="1:11" x14ac:dyDescent="0.4">
      <c r="A15" s="31" t="s">
        <v>13</v>
      </c>
      <c r="B15" s="32">
        <v>1</v>
      </c>
      <c r="C15" s="35">
        <f>IF(B$3=0,0,B15/B$3)</f>
        <v>0.2</v>
      </c>
      <c r="E15" s="34" t="s">
        <v>101</v>
      </c>
      <c r="F15" s="1" t="s">
        <v>53</v>
      </c>
      <c r="G15" s="32">
        <v>0</v>
      </c>
      <c r="H15" s="35" t="e">
        <f>G15/B$19</f>
        <v>#DIV/0!</v>
      </c>
    </row>
    <row r="16" spans="1:11" x14ac:dyDescent="0.4">
      <c r="A16" s="31" t="s">
        <v>5</v>
      </c>
      <c r="B16" s="49">
        <f>IF(B$12=0,0,ROUND(C16/B$12,-2))</f>
        <v>8000</v>
      </c>
      <c r="C16" s="50">
        <v>16000</v>
      </c>
      <c r="E16" s="34" t="s">
        <v>102</v>
      </c>
      <c r="F16" s="1" t="s">
        <v>54</v>
      </c>
      <c r="G16" s="32">
        <v>0</v>
      </c>
      <c r="H16" s="35" t="e">
        <f>G16/B$19</f>
        <v>#DIV/0!</v>
      </c>
    </row>
    <row r="17" spans="1:8" ht="19.5" thickBot="1" x14ac:dyDescent="0.45">
      <c r="A17" s="51" t="s">
        <v>14</v>
      </c>
      <c r="B17" s="52">
        <f>IF(B$15=0,0,ROUND(C17/B$15,-2))</f>
        <v>-12000</v>
      </c>
      <c r="C17" s="58">
        <v>-12000</v>
      </c>
      <c r="E17" s="34" t="s">
        <v>103</v>
      </c>
      <c r="F17" s="1" t="s">
        <v>55</v>
      </c>
      <c r="G17" s="32">
        <v>0</v>
      </c>
      <c r="H17" s="35" t="e">
        <f>G17/B$19</f>
        <v>#DIV/0!</v>
      </c>
    </row>
    <row r="18" spans="1:8" ht="19.5" thickTop="1" x14ac:dyDescent="0.4">
      <c r="A18" s="47" t="s">
        <v>147</v>
      </c>
      <c r="B18" s="48">
        <v>0</v>
      </c>
      <c r="C18" s="29"/>
      <c r="E18" s="34" t="s">
        <v>104</v>
      </c>
      <c r="F18" s="1" t="s">
        <v>56</v>
      </c>
      <c r="G18" s="32">
        <v>0</v>
      </c>
      <c r="H18" s="35" t="e">
        <f>G18/B$19</f>
        <v>#DIV/0!</v>
      </c>
    </row>
    <row r="19" spans="1:8" x14ac:dyDescent="0.4">
      <c r="A19" s="51" t="s">
        <v>148</v>
      </c>
      <c r="B19" s="54">
        <v>0</v>
      </c>
      <c r="C19" s="55"/>
      <c r="E19" s="34" t="s">
        <v>105</v>
      </c>
      <c r="F19" s="1" t="s">
        <v>57</v>
      </c>
      <c r="G19" s="32">
        <v>0</v>
      </c>
      <c r="H19" s="35" t="e">
        <f>G19/B$19</f>
        <v>#DIV/0!</v>
      </c>
    </row>
    <row r="20" spans="1:8" x14ac:dyDescent="0.4">
      <c r="E20" s="34" t="s">
        <v>106</v>
      </c>
      <c r="F20" s="1" t="s">
        <v>58</v>
      </c>
      <c r="G20" s="32">
        <v>0</v>
      </c>
      <c r="H20" s="35" t="e">
        <f>G20/B$19</f>
        <v>#DIV/0!</v>
      </c>
    </row>
    <row r="21" spans="1:8" x14ac:dyDescent="0.4">
      <c r="E21" s="34" t="s">
        <v>107</v>
      </c>
      <c r="F21" s="1" t="s">
        <v>59</v>
      </c>
      <c r="G21" s="32">
        <v>0</v>
      </c>
      <c r="H21" s="35" t="e">
        <f>G21/B$19</f>
        <v>#DIV/0!</v>
      </c>
    </row>
    <row r="22" spans="1:8" x14ac:dyDescent="0.4">
      <c r="E22" s="34" t="s">
        <v>108</v>
      </c>
      <c r="F22" s="1" t="s">
        <v>60</v>
      </c>
      <c r="G22" s="32">
        <v>0</v>
      </c>
      <c r="H22" s="35" t="e">
        <f>G22/B$19</f>
        <v>#DIV/0!</v>
      </c>
    </row>
    <row r="23" spans="1:8" x14ac:dyDescent="0.4">
      <c r="E23" s="34" t="s">
        <v>109</v>
      </c>
      <c r="F23" s="1" t="s">
        <v>61</v>
      </c>
      <c r="G23" s="32">
        <v>0</v>
      </c>
      <c r="H23" s="35" t="e">
        <f>G23/B$19</f>
        <v>#DIV/0!</v>
      </c>
    </row>
    <row r="24" spans="1:8" x14ac:dyDescent="0.4">
      <c r="E24" s="34" t="s">
        <v>110</v>
      </c>
      <c r="F24" s="1" t="s">
        <v>62</v>
      </c>
      <c r="G24" s="32">
        <v>0</v>
      </c>
      <c r="H24" s="35" t="e">
        <f>G24/B$19</f>
        <v>#DIV/0!</v>
      </c>
    </row>
    <row r="25" spans="1:8" x14ac:dyDescent="0.4">
      <c r="E25" s="34" t="s">
        <v>111</v>
      </c>
      <c r="F25" s="1" t="s">
        <v>63</v>
      </c>
      <c r="G25" s="32">
        <v>0</v>
      </c>
      <c r="H25" s="35" t="e">
        <f>G25/B$19</f>
        <v>#DIV/0!</v>
      </c>
    </row>
    <row r="26" spans="1:8" x14ac:dyDescent="0.4">
      <c r="E26" s="34" t="s">
        <v>112</v>
      </c>
      <c r="F26" s="1" t="s">
        <v>64</v>
      </c>
      <c r="G26" s="32">
        <v>0</v>
      </c>
      <c r="H26" s="35" t="e">
        <f>G26/B$19</f>
        <v>#DIV/0!</v>
      </c>
    </row>
    <row r="27" spans="1:8" x14ac:dyDescent="0.4">
      <c r="E27" s="34" t="s">
        <v>113</v>
      </c>
      <c r="F27" s="1" t="s">
        <v>65</v>
      </c>
      <c r="G27" s="32">
        <v>0</v>
      </c>
      <c r="H27" s="35" t="e">
        <f>G27/B$19</f>
        <v>#DIV/0!</v>
      </c>
    </row>
    <row r="28" spans="1:8" x14ac:dyDescent="0.4">
      <c r="E28" s="34" t="s">
        <v>114</v>
      </c>
      <c r="F28" s="1" t="s">
        <v>66</v>
      </c>
      <c r="G28" s="32">
        <v>0</v>
      </c>
      <c r="H28" s="35" t="e">
        <f>G28/B$19</f>
        <v>#DIV/0!</v>
      </c>
    </row>
    <row r="29" spans="1:8" x14ac:dyDescent="0.4">
      <c r="E29" s="34" t="s">
        <v>115</v>
      </c>
      <c r="F29" s="1" t="s">
        <v>67</v>
      </c>
      <c r="G29" s="32">
        <v>0</v>
      </c>
      <c r="H29" s="35" t="e">
        <f>G29/B$19</f>
        <v>#DIV/0!</v>
      </c>
    </row>
    <row r="30" spans="1:8" x14ac:dyDescent="0.4">
      <c r="E30" s="34" t="s">
        <v>116</v>
      </c>
      <c r="F30" s="1" t="s">
        <v>68</v>
      </c>
      <c r="G30" s="32">
        <v>0</v>
      </c>
      <c r="H30" s="35" t="e">
        <f>G30/B$19</f>
        <v>#DIV/0!</v>
      </c>
    </row>
    <row r="31" spans="1:8" x14ac:dyDescent="0.4">
      <c r="E31" s="34" t="s">
        <v>117</v>
      </c>
      <c r="F31" s="1" t="s">
        <v>69</v>
      </c>
      <c r="G31" s="32">
        <v>0</v>
      </c>
      <c r="H31" s="35" t="e">
        <f>G31/B$19</f>
        <v>#DIV/0!</v>
      </c>
    </row>
    <row r="32" spans="1:8" x14ac:dyDescent="0.4">
      <c r="E32" s="34" t="s">
        <v>118</v>
      </c>
      <c r="F32" s="1" t="s">
        <v>70</v>
      </c>
      <c r="G32" s="32">
        <v>0</v>
      </c>
      <c r="H32" s="35" t="e">
        <f>G32/B$19</f>
        <v>#DIV/0!</v>
      </c>
    </row>
    <row r="33" spans="5:8" x14ac:dyDescent="0.4">
      <c r="E33" s="34" t="s">
        <v>119</v>
      </c>
      <c r="F33" s="1" t="s">
        <v>71</v>
      </c>
      <c r="G33" s="32">
        <v>0</v>
      </c>
      <c r="H33" s="35" t="e">
        <f>G33/B$19</f>
        <v>#DIV/0!</v>
      </c>
    </row>
    <row r="34" spans="5:8" x14ac:dyDescent="0.4">
      <c r="E34" s="34" t="s">
        <v>120</v>
      </c>
      <c r="F34" s="1" t="s">
        <v>72</v>
      </c>
      <c r="G34" s="32">
        <v>0</v>
      </c>
      <c r="H34" s="35" t="e">
        <f>G34/B$19</f>
        <v>#DIV/0!</v>
      </c>
    </row>
    <row r="35" spans="5:8" x14ac:dyDescent="0.4">
      <c r="E35" s="34" t="s">
        <v>121</v>
      </c>
      <c r="F35" s="1" t="s">
        <v>73</v>
      </c>
      <c r="G35" s="32">
        <v>0</v>
      </c>
      <c r="H35" s="35" t="e">
        <f>G35/B$19</f>
        <v>#DIV/0!</v>
      </c>
    </row>
    <row r="36" spans="5:8" x14ac:dyDescent="0.4">
      <c r="E36" s="34" t="s">
        <v>122</v>
      </c>
      <c r="F36" s="1" t="s">
        <v>74</v>
      </c>
      <c r="G36" s="32">
        <v>0</v>
      </c>
      <c r="H36" s="35" t="e">
        <f>G36/B$19</f>
        <v>#DIV/0!</v>
      </c>
    </row>
    <row r="37" spans="5:8" x14ac:dyDescent="0.4">
      <c r="E37" s="34" t="s">
        <v>123</v>
      </c>
      <c r="F37" s="1" t="s">
        <v>75</v>
      </c>
      <c r="G37" s="32">
        <v>0</v>
      </c>
      <c r="H37" s="35" t="e">
        <f>G37/B$19</f>
        <v>#DIV/0!</v>
      </c>
    </row>
    <row r="38" spans="5:8" x14ac:dyDescent="0.4">
      <c r="E38" s="34" t="s">
        <v>124</v>
      </c>
      <c r="F38" s="1" t="s">
        <v>76</v>
      </c>
      <c r="G38" s="32">
        <v>0</v>
      </c>
      <c r="H38" s="35" t="e">
        <f>G38/B$19</f>
        <v>#DIV/0!</v>
      </c>
    </row>
    <row r="39" spans="5:8" x14ac:dyDescent="0.4">
      <c r="E39" s="34" t="s">
        <v>125</v>
      </c>
      <c r="F39" s="1" t="s">
        <v>77</v>
      </c>
      <c r="G39" s="32">
        <v>0</v>
      </c>
      <c r="H39" s="35" t="e">
        <f>G39/B$19</f>
        <v>#DIV/0!</v>
      </c>
    </row>
    <row r="40" spans="5:8" x14ac:dyDescent="0.4">
      <c r="E40" s="34" t="s">
        <v>126</v>
      </c>
      <c r="F40" s="1" t="s">
        <v>78</v>
      </c>
      <c r="G40" s="32">
        <v>0</v>
      </c>
      <c r="H40" s="35" t="e">
        <f>G40/B$19</f>
        <v>#DIV/0!</v>
      </c>
    </row>
    <row r="41" spans="5:8" x14ac:dyDescent="0.4">
      <c r="E41" s="34" t="s">
        <v>127</v>
      </c>
      <c r="F41" s="1" t="s">
        <v>79</v>
      </c>
      <c r="G41" s="32">
        <v>0</v>
      </c>
      <c r="H41" s="35" t="e">
        <f>G41/B$19</f>
        <v>#DIV/0!</v>
      </c>
    </row>
    <row r="42" spans="5:8" x14ac:dyDescent="0.4">
      <c r="E42" s="34" t="s">
        <v>128</v>
      </c>
      <c r="F42" s="1" t="s">
        <v>80</v>
      </c>
      <c r="G42" s="32">
        <v>0</v>
      </c>
      <c r="H42" s="35" t="e">
        <f>G42/B$19</f>
        <v>#DIV/0!</v>
      </c>
    </row>
    <row r="43" spans="5:8" x14ac:dyDescent="0.4">
      <c r="E43" s="34" t="s">
        <v>129</v>
      </c>
      <c r="F43" s="1" t="s">
        <v>81</v>
      </c>
      <c r="G43" s="32">
        <v>0</v>
      </c>
      <c r="H43" s="35" t="e">
        <f>G43/B$19</f>
        <v>#DIV/0!</v>
      </c>
    </row>
    <row r="44" spans="5:8" x14ac:dyDescent="0.4">
      <c r="E44" s="34" t="s">
        <v>130</v>
      </c>
      <c r="F44" s="1" t="s">
        <v>82</v>
      </c>
      <c r="G44" s="32">
        <v>0</v>
      </c>
      <c r="H44" s="35" t="e">
        <f>G44/B$19</f>
        <v>#DIV/0!</v>
      </c>
    </row>
    <row r="45" spans="5:8" x14ac:dyDescent="0.4">
      <c r="E45" s="34" t="s">
        <v>131</v>
      </c>
      <c r="F45" s="1" t="s">
        <v>138</v>
      </c>
      <c r="G45" s="32">
        <v>0</v>
      </c>
      <c r="H45" s="35" t="e">
        <f>G45/B$19</f>
        <v>#DIV/0!</v>
      </c>
    </row>
    <row r="46" spans="5:8" x14ac:dyDescent="0.4">
      <c r="E46" s="34" t="s">
        <v>132</v>
      </c>
      <c r="F46" s="1" t="s">
        <v>139</v>
      </c>
      <c r="G46" s="32">
        <v>0</v>
      </c>
      <c r="H46" s="35" t="e">
        <f>G46/B$19</f>
        <v>#DIV/0!</v>
      </c>
    </row>
    <row r="47" spans="5:8" x14ac:dyDescent="0.4">
      <c r="E47" s="34" t="s">
        <v>133</v>
      </c>
      <c r="F47" s="1" t="s">
        <v>140</v>
      </c>
      <c r="G47" s="32">
        <v>0</v>
      </c>
      <c r="H47" s="35" t="e">
        <f>G47/B$19</f>
        <v>#DIV/0!</v>
      </c>
    </row>
    <row r="48" spans="5:8" x14ac:dyDescent="0.4">
      <c r="E48" s="34" t="s">
        <v>134</v>
      </c>
      <c r="F48" s="1" t="s">
        <v>83</v>
      </c>
      <c r="G48" s="32">
        <v>0</v>
      </c>
      <c r="H48" s="35" t="e">
        <f>G48/B$19</f>
        <v>#DIV/0!</v>
      </c>
    </row>
    <row r="49" spans="5:8" x14ac:dyDescent="0.4">
      <c r="E49" s="34" t="s">
        <v>135</v>
      </c>
      <c r="F49" s="1" t="s">
        <v>84</v>
      </c>
      <c r="G49" s="32">
        <v>0</v>
      </c>
      <c r="H49" s="35" t="e">
        <f>G49/B$19</f>
        <v>#DIV/0!</v>
      </c>
    </row>
    <row r="50" spans="5:8" x14ac:dyDescent="0.4">
      <c r="E50" s="34" t="s">
        <v>136</v>
      </c>
      <c r="F50" s="1" t="s">
        <v>85</v>
      </c>
      <c r="G50" s="32">
        <v>0</v>
      </c>
      <c r="H50" s="35" t="e">
        <f>G50/B$19</f>
        <v>#DIV/0!</v>
      </c>
    </row>
    <row r="51" spans="5:8" x14ac:dyDescent="0.4">
      <c r="E51" s="53" t="s">
        <v>137</v>
      </c>
      <c r="F51" s="52" t="s">
        <v>86</v>
      </c>
      <c r="G51" s="54">
        <v>0</v>
      </c>
      <c r="H51" s="55" t="e">
        <f>G51/B$19</f>
        <v>#DIV/0!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37E8B-054D-4450-9C2A-57EF4362C5F7}">
  <sheetPr codeName="Sheet5"/>
  <dimension ref="A1:K59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19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57</v>
      </c>
      <c r="C2" s="27"/>
      <c r="E2" s="28" t="s">
        <v>92</v>
      </c>
      <c r="F2" s="10" t="s">
        <v>45</v>
      </c>
      <c r="G2" s="26">
        <v>25</v>
      </c>
      <c r="H2" s="29">
        <f>G2/B$19</f>
        <v>0.64102564102564108</v>
      </c>
      <c r="J2" s="25">
        <v>0</v>
      </c>
      <c r="K2" s="30">
        <v>0</v>
      </c>
    </row>
    <row r="3" spans="1:11" x14ac:dyDescent="0.4">
      <c r="A3" s="31" t="s">
        <v>8</v>
      </c>
      <c r="B3" s="32">
        <v>424</v>
      </c>
      <c r="C3" s="33"/>
      <c r="E3" s="34" t="s">
        <v>88</v>
      </c>
      <c r="F3" s="1" t="s">
        <v>41</v>
      </c>
      <c r="G3" s="32">
        <v>24</v>
      </c>
      <c r="H3" s="35">
        <f>G3/B$19</f>
        <v>0.61538461538461542</v>
      </c>
      <c r="J3" s="31">
        <v>1</v>
      </c>
      <c r="K3" s="36">
        <v>40.9</v>
      </c>
    </row>
    <row r="4" spans="1:11" x14ac:dyDescent="0.4">
      <c r="A4" s="31" t="s">
        <v>6</v>
      </c>
      <c r="B4" s="37">
        <v>-312.49999999999989</v>
      </c>
      <c r="C4" s="36"/>
      <c r="E4" s="34" t="s">
        <v>97</v>
      </c>
      <c r="F4" s="1" t="s">
        <v>49</v>
      </c>
      <c r="G4" s="32">
        <v>19</v>
      </c>
      <c r="H4" s="35">
        <f>G4/B$19</f>
        <v>0.48717948717948717</v>
      </c>
      <c r="J4" s="31">
        <v>2</v>
      </c>
      <c r="K4" s="36">
        <v>-0.89999999999999858</v>
      </c>
    </row>
    <row r="5" spans="1:11" x14ac:dyDescent="0.4">
      <c r="A5" s="31" t="s">
        <v>7</v>
      </c>
      <c r="B5" s="37">
        <f>IF(B$2=0,0,B$4/B$2)</f>
        <v>-5.4824561403508749</v>
      </c>
      <c r="C5" s="38"/>
      <c r="E5" s="34" t="s">
        <v>93</v>
      </c>
      <c r="F5" s="1" t="s">
        <v>12</v>
      </c>
      <c r="G5" s="32">
        <v>18</v>
      </c>
      <c r="H5" s="35">
        <f>G5/B$19</f>
        <v>0.46153846153846156</v>
      </c>
      <c r="J5" s="31">
        <v>3</v>
      </c>
      <c r="K5" s="36">
        <v>-36.4</v>
      </c>
    </row>
    <row r="6" spans="1:11" x14ac:dyDescent="0.4">
      <c r="A6" s="31" t="s">
        <v>1</v>
      </c>
      <c r="B6" s="39">
        <f>IF(B$2=0,0,(B$7*1+B$8*2+B$9*3)/B$2)</f>
        <v>2.1578947368421053</v>
      </c>
      <c r="C6" s="40"/>
      <c r="E6" s="34" t="s">
        <v>90</v>
      </c>
      <c r="F6" s="1" t="s">
        <v>43</v>
      </c>
      <c r="G6" s="32">
        <v>17</v>
      </c>
      <c r="H6" s="35">
        <f>G6/B$19</f>
        <v>0.4358974358974359</v>
      </c>
      <c r="J6" s="31">
        <v>4</v>
      </c>
      <c r="K6" s="36">
        <v>3.6000000000000014</v>
      </c>
    </row>
    <row r="7" spans="1:11" x14ac:dyDescent="0.4">
      <c r="A7" s="31" t="s">
        <v>2</v>
      </c>
      <c r="B7" s="32">
        <v>17</v>
      </c>
      <c r="C7" s="35">
        <f>IF(B$2=0,0,B7/B$2)</f>
        <v>0.2982456140350877</v>
      </c>
      <c r="E7" s="34" t="s">
        <v>91</v>
      </c>
      <c r="F7" s="1" t="s">
        <v>44</v>
      </c>
      <c r="G7" s="32">
        <v>10</v>
      </c>
      <c r="H7" s="35">
        <f>G7/B$19</f>
        <v>0.25641025641025639</v>
      </c>
      <c r="J7" s="31">
        <v>5</v>
      </c>
      <c r="K7" s="36">
        <v>14.600000000000001</v>
      </c>
    </row>
    <row r="8" spans="1:11" x14ac:dyDescent="0.4">
      <c r="A8" s="31" t="s">
        <v>3</v>
      </c>
      <c r="B8" s="32">
        <v>14</v>
      </c>
      <c r="C8" s="35">
        <f t="shared" ref="C8:C9" si="0">IF(B$2=0,0,B8/B$2)</f>
        <v>0.24561403508771928</v>
      </c>
      <c r="E8" s="34" t="s">
        <v>95</v>
      </c>
      <c r="F8" s="1" t="s">
        <v>47</v>
      </c>
      <c r="G8" s="32">
        <v>6</v>
      </c>
      <c r="H8" s="35">
        <f>G8/B$19</f>
        <v>0.15384615384615385</v>
      </c>
      <c r="J8" s="31">
        <v>6</v>
      </c>
      <c r="K8" s="36">
        <v>47.6</v>
      </c>
    </row>
    <row r="9" spans="1:11" x14ac:dyDescent="0.4">
      <c r="A9" s="41" t="s">
        <v>4</v>
      </c>
      <c r="B9" s="42">
        <v>26</v>
      </c>
      <c r="C9" s="43">
        <f t="shared" si="0"/>
        <v>0.45614035087719296</v>
      </c>
      <c r="E9" s="34" t="s">
        <v>115</v>
      </c>
      <c r="F9" s="1" t="s">
        <v>67</v>
      </c>
      <c r="G9" s="32">
        <v>6</v>
      </c>
      <c r="H9" s="35">
        <f>G9/B$19</f>
        <v>0.15384615384615385</v>
      </c>
      <c r="J9" s="31">
        <v>7</v>
      </c>
      <c r="K9" s="36">
        <v>100.1</v>
      </c>
    </row>
    <row r="10" spans="1:11" ht="19.5" thickBot="1" x14ac:dyDescent="0.45">
      <c r="A10" s="44" t="s">
        <v>34</v>
      </c>
      <c r="B10" s="45">
        <v>15</v>
      </c>
      <c r="C10" s="46">
        <f>IF(B$2=0,0,B10/B$2)</f>
        <v>0.26315789473684209</v>
      </c>
      <c r="E10" s="34" t="s">
        <v>94</v>
      </c>
      <c r="F10" s="1" t="s">
        <v>46</v>
      </c>
      <c r="G10" s="32">
        <v>5</v>
      </c>
      <c r="H10" s="35">
        <f>G10/B$19</f>
        <v>0.12820512820512819</v>
      </c>
      <c r="J10" s="31">
        <v>8</v>
      </c>
      <c r="K10" s="36">
        <v>60.199999999999996</v>
      </c>
    </row>
    <row r="11" spans="1:11" ht="19.5" thickTop="1" x14ac:dyDescent="0.4">
      <c r="A11" s="47" t="s">
        <v>144</v>
      </c>
      <c r="B11" s="48">
        <v>31</v>
      </c>
      <c r="C11" s="29">
        <f>IF(B$18=0,0,B11/B$18)</f>
        <v>0.19018404907975461</v>
      </c>
      <c r="E11" s="34" t="s">
        <v>112</v>
      </c>
      <c r="F11" s="1" t="s">
        <v>64</v>
      </c>
      <c r="G11" s="32">
        <v>5</v>
      </c>
      <c r="H11" s="35">
        <f>G11/B$19</f>
        <v>0.12820512820512819</v>
      </c>
      <c r="J11" s="31">
        <v>9</v>
      </c>
      <c r="K11" s="36">
        <v>24.4</v>
      </c>
    </row>
    <row r="12" spans="1:11" x14ac:dyDescent="0.4">
      <c r="A12" s="25" t="s">
        <v>10</v>
      </c>
      <c r="B12" s="26">
        <f>B13+B14</f>
        <v>100</v>
      </c>
      <c r="C12" s="29">
        <f>IF(B$3=0,0,B12/B$3)</f>
        <v>0.23584905660377359</v>
      </c>
      <c r="E12" s="34" t="s">
        <v>89</v>
      </c>
      <c r="F12" s="1" t="s">
        <v>42</v>
      </c>
      <c r="G12" s="32">
        <v>4</v>
      </c>
      <c r="H12" s="35">
        <f>G12/B$19</f>
        <v>0.10256410256410256</v>
      </c>
      <c r="J12" s="31">
        <v>10</v>
      </c>
      <c r="K12" s="36">
        <v>-20.100000000000001</v>
      </c>
    </row>
    <row r="13" spans="1:11" x14ac:dyDescent="0.4">
      <c r="A13" s="31" t="s">
        <v>11</v>
      </c>
      <c r="B13" s="32">
        <v>56</v>
      </c>
      <c r="C13" s="35">
        <f>IF(B$3=0,0,B13/B$3)</f>
        <v>0.13207547169811321</v>
      </c>
      <c r="E13" s="34" t="s">
        <v>109</v>
      </c>
      <c r="F13" s="1" t="s">
        <v>61</v>
      </c>
      <c r="G13" s="32">
        <v>4</v>
      </c>
      <c r="H13" s="35">
        <f>G13/B$19</f>
        <v>0.10256410256410256</v>
      </c>
      <c r="J13" s="31">
        <v>11</v>
      </c>
      <c r="K13" s="36">
        <v>-3.6000000000000014</v>
      </c>
    </row>
    <row r="14" spans="1:11" x14ac:dyDescent="0.4">
      <c r="A14" s="31" t="s">
        <v>12</v>
      </c>
      <c r="B14" s="32">
        <v>44</v>
      </c>
      <c r="C14" s="35">
        <f>IF(B$3=0,0,B14/B$3)</f>
        <v>0.10377358490566038</v>
      </c>
      <c r="E14" s="34" t="s">
        <v>96</v>
      </c>
      <c r="F14" s="1" t="s">
        <v>48</v>
      </c>
      <c r="G14" s="32">
        <v>2</v>
      </c>
      <c r="H14" s="35">
        <f>G14/B$19</f>
        <v>5.128205128205128E-2</v>
      </c>
      <c r="J14" s="31">
        <v>12</v>
      </c>
      <c r="K14" s="36">
        <v>-12.000000000000002</v>
      </c>
    </row>
    <row r="15" spans="1:11" x14ac:dyDescent="0.4">
      <c r="A15" s="31" t="s">
        <v>13</v>
      </c>
      <c r="B15" s="32">
        <v>89</v>
      </c>
      <c r="C15" s="35">
        <f>IF(B$3=0,0,B15/B$3)</f>
        <v>0.2099056603773585</v>
      </c>
      <c r="E15" s="34" t="s">
        <v>107</v>
      </c>
      <c r="F15" s="1" t="s">
        <v>59</v>
      </c>
      <c r="G15" s="32">
        <v>2</v>
      </c>
      <c r="H15" s="35">
        <f>G15/B$19</f>
        <v>5.128205128205128E-2</v>
      </c>
      <c r="J15" s="31">
        <v>13</v>
      </c>
      <c r="K15" s="36">
        <v>49.5</v>
      </c>
    </row>
    <row r="16" spans="1:11" x14ac:dyDescent="0.4">
      <c r="A16" s="31" t="s">
        <v>5</v>
      </c>
      <c r="B16" s="49">
        <f>IF(B$12=0,0,ROUND(C16/B$12,-2))</f>
        <v>11500</v>
      </c>
      <c r="C16" s="50">
        <v>1148900</v>
      </c>
      <c r="E16" s="34" t="s">
        <v>118</v>
      </c>
      <c r="F16" s="1" t="s">
        <v>70</v>
      </c>
      <c r="G16" s="32">
        <v>2</v>
      </c>
      <c r="H16" s="35">
        <f>G16/B$19</f>
        <v>5.128205128205128E-2</v>
      </c>
      <c r="J16" s="31">
        <v>14</v>
      </c>
      <c r="K16" s="36">
        <v>33</v>
      </c>
    </row>
    <row r="17" spans="1:11" ht="19.5" thickBot="1" x14ac:dyDescent="0.45">
      <c r="A17" s="51" t="s">
        <v>14</v>
      </c>
      <c r="B17" s="52">
        <f>IF(B$15=0,0,ROUND(C17/B$15,-2))</f>
        <v>-10100</v>
      </c>
      <c r="C17" s="58">
        <v>-900800</v>
      </c>
      <c r="E17" s="34" t="s">
        <v>111</v>
      </c>
      <c r="F17" s="1" t="s">
        <v>63</v>
      </c>
      <c r="G17" s="32">
        <v>1</v>
      </c>
      <c r="H17" s="35">
        <f>G17/B$19</f>
        <v>2.564102564102564E-2</v>
      </c>
      <c r="J17" s="31">
        <v>15</v>
      </c>
      <c r="K17" s="36">
        <v>38.5</v>
      </c>
    </row>
    <row r="18" spans="1:11" ht="19.5" thickTop="1" x14ac:dyDescent="0.4">
      <c r="A18" s="47" t="s">
        <v>147</v>
      </c>
      <c r="B18" s="48">
        <v>163</v>
      </c>
      <c r="C18" s="29"/>
      <c r="E18" s="34" t="s">
        <v>113</v>
      </c>
      <c r="F18" s="1" t="s">
        <v>65</v>
      </c>
      <c r="G18" s="32">
        <v>1</v>
      </c>
      <c r="H18" s="35">
        <f>G18/B$19</f>
        <v>2.564102564102564E-2</v>
      </c>
      <c r="J18" s="31">
        <v>16</v>
      </c>
      <c r="K18" s="36">
        <v>14.600000000000001</v>
      </c>
    </row>
    <row r="19" spans="1:11" x14ac:dyDescent="0.4">
      <c r="A19" s="51" t="s">
        <v>148</v>
      </c>
      <c r="B19" s="54">
        <v>39</v>
      </c>
      <c r="C19" s="55"/>
      <c r="E19" s="34" t="s">
        <v>114</v>
      </c>
      <c r="F19" s="1" t="s">
        <v>66</v>
      </c>
      <c r="G19" s="32">
        <v>1</v>
      </c>
      <c r="H19" s="35">
        <f>G19/B$19</f>
        <v>2.564102564102564E-2</v>
      </c>
      <c r="J19" s="31">
        <v>17</v>
      </c>
      <c r="K19" s="36">
        <v>13.900000000000002</v>
      </c>
    </row>
    <row r="20" spans="1:11" x14ac:dyDescent="0.4">
      <c r="E20" s="34" t="s">
        <v>117</v>
      </c>
      <c r="F20" s="1" t="s">
        <v>69</v>
      </c>
      <c r="G20" s="32">
        <v>1</v>
      </c>
      <c r="H20" s="35">
        <f>G20/B$19</f>
        <v>2.564102564102564E-2</v>
      </c>
      <c r="J20" s="31">
        <v>18</v>
      </c>
      <c r="K20" s="36">
        <v>-21.999999999999996</v>
      </c>
    </row>
    <row r="21" spans="1:11" x14ac:dyDescent="0.4">
      <c r="E21" s="34" t="s">
        <v>98</v>
      </c>
      <c r="F21" s="1" t="s">
        <v>50</v>
      </c>
      <c r="G21" s="32">
        <v>0</v>
      </c>
      <c r="H21" s="35">
        <f>G21/B$19</f>
        <v>0</v>
      </c>
      <c r="J21" s="31">
        <v>19</v>
      </c>
      <c r="K21" s="36">
        <v>-26.699999999999996</v>
      </c>
    </row>
    <row r="22" spans="1:11" x14ac:dyDescent="0.4">
      <c r="E22" s="34" t="s">
        <v>99</v>
      </c>
      <c r="F22" s="1" t="s">
        <v>51</v>
      </c>
      <c r="G22" s="32">
        <v>0</v>
      </c>
      <c r="H22" s="35">
        <f>G22/B$19</f>
        <v>0</v>
      </c>
      <c r="J22" s="31">
        <v>20</v>
      </c>
      <c r="K22" s="36">
        <v>-57.899999999999991</v>
      </c>
    </row>
    <row r="23" spans="1:11" x14ac:dyDescent="0.4">
      <c r="E23" s="34" t="s">
        <v>100</v>
      </c>
      <c r="F23" s="1" t="s">
        <v>52</v>
      </c>
      <c r="G23" s="32">
        <v>0</v>
      </c>
      <c r="H23" s="35">
        <f>G23/B$19</f>
        <v>0</v>
      </c>
      <c r="J23" s="31">
        <v>21</v>
      </c>
      <c r="K23" s="36">
        <v>-82.699999999999989</v>
      </c>
    </row>
    <row r="24" spans="1:11" x14ac:dyDescent="0.4">
      <c r="E24" s="34" t="s">
        <v>101</v>
      </c>
      <c r="F24" s="1" t="s">
        <v>53</v>
      </c>
      <c r="G24" s="32">
        <v>0</v>
      </c>
      <c r="H24" s="35">
        <f>G24/B$19</f>
        <v>0</v>
      </c>
      <c r="J24" s="31">
        <v>22</v>
      </c>
      <c r="K24" s="36">
        <v>-94.6</v>
      </c>
    </row>
    <row r="25" spans="1:11" x14ac:dyDescent="0.4">
      <c r="E25" s="34" t="s">
        <v>102</v>
      </c>
      <c r="F25" s="1" t="s">
        <v>54</v>
      </c>
      <c r="G25" s="32">
        <v>0</v>
      </c>
      <c r="H25" s="35">
        <f>G25/B$19</f>
        <v>0</v>
      </c>
      <c r="J25" s="31">
        <v>23</v>
      </c>
      <c r="K25" s="36">
        <v>-111.3</v>
      </c>
    </row>
    <row r="26" spans="1:11" x14ac:dyDescent="0.4">
      <c r="E26" s="34" t="s">
        <v>103</v>
      </c>
      <c r="F26" s="1" t="s">
        <v>55</v>
      </c>
      <c r="G26" s="32">
        <v>0</v>
      </c>
      <c r="H26" s="35">
        <f>G26/B$19</f>
        <v>0</v>
      </c>
      <c r="J26" s="31">
        <v>24</v>
      </c>
      <c r="K26" s="36">
        <v>-68.099999999999994</v>
      </c>
    </row>
    <row r="27" spans="1:11" x14ac:dyDescent="0.4">
      <c r="E27" s="34" t="s">
        <v>104</v>
      </c>
      <c r="F27" s="1" t="s">
        <v>56</v>
      </c>
      <c r="G27" s="32">
        <v>0</v>
      </c>
      <c r="H27" s="35">
        <f>G27/B$19</f>
        <v>0</v>
      </c>
      <c r="J27" s="31">
        <v>25</v>
      </c>
      <c r="K27" s="36">
        <v>-70.899999999999991</v>
      </c>
    </row>
    <row r="28" spans="1:11" x14ac:dyDescent="0.4">
      <c r="E28" s="34" t="s">
        <v>105</v>
      </c>
      <c r="F28" s="1" t="s">
        <v>57</v>
      </c>
      <c r="G28" s="32">
        <v>0</v>
      </c>
      <c r="H28" s="35">
        <f>G28/B$19</f>
        <v>0</v>
      </c>
      <c r="J28" s="31">
        <v>26</v>
      </c>
      <c r="K28" s="36">
        <v>-125.89999999999999</v>
      </c>
    </row>
    <row r="29" spans="1:11" x14ac:dyDescent="0.4">
      <c r="E29" s="34" t="s">
        <v>106</v>
      </c>
      <c r="F29" s="1" t="s">
        <v>58</v>
      </c>
      <c r="G29" s="32">
        <v>0</v>
      </c>
      <c r="H29" s="35">
        <f>G29/B$19</f>
        <v>0</v>
      </c>
      <c r="J29" s="31">
        <v>27</v>
      </c>
      <c r="K29" s="36">
        <v>-163.6</v>
      </c>
    </row>
    <row r="30" spans="1:11" x14ac:dyDescent="0.4">
      <c r="E30" s="34" t="s">
        <v>108</v>
      </c>
      <c r="F30" s="1" t="s">
        <v>60</v>
      </c>
      <c r="G30" s="32">
        <v>0</v>
      </c>
      <c r="H30" s="35">
        <f>G30/B$19</f>
        <v>0</v>
      </c>
      <c r="J30" s="31">
        <v>28</v>
      </c>
      <c r="K30" s="36">
        <v>-169.5</v>
      </c>
    </row>
    <row r="31" spans="1:11" x14ac:dyDescent="0.4">
      <c r="E31" s="34" t="s">
        <v>110</v>
      </c>
      <c r="F31" s="1" t="s">
        <v>62</v>
      </c>
      <c r="G31" s="32">
        <v>0</v>
      </c>
      <c r="H31" s="35">
        <f>G31/B$19</f>
        <v>0</v>
      </c>
      <c r="J31" s="31">
        <v>29</v>
      </c>
      <c r="K31" s="36">
        <v>-163.30000000000001</v>
      </c>
    </row>
    <row r="32" spans="1:11" x14ac:dyDescent="0.4">
      <c r="E32" s="34" t="s">
        <v>116</v>
      </c>
      <c r="F32" s="1" t="s">
        <v>68</v>
      </c>
      <c r="G32" s="32">
        <v>0</v>
      </c>
      <c r="H32" s="35">
        <f>G32/B$19</f>
        <v>0</v>
      </c>
      <c r="J32" s="31">
        <v>30</v>
      </c>
      <c r="K32" s="36">
        <v>-209.4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>G33/B$19</f>
        <v>0</v>
      </c>
      <c r="J33" s="31">
        <v>31</v>
      </c>
      <c r="K33" s="36">
        <v>-259.89999999999998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>G34/B$19</f>
        <v>0</v>
      </c>
      <c r="J34" s="31">
        <v>32</v>
      </c>
      <c r="K34" s="36">
        <v>-253.59999999999997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>G35/B$19</f>
        <v>0</v>
      </c>
      <c r="J35" s="31">
        <v>33</v>
      </c>
      <c r="K35" s="36">
        <v>-234.89999999999998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>G36/B$19</f>
        <v>0</v>
      </c>
      <c r="J36" s="31">
        <v>34</v>
      </c>
      <c r="K36" s="36">
        <v>-229.79999999999998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>G37/B$19</f>
        <v>0</v>
      </c>
      <c r="J37" s="31">
        <v>35</v>
      </c>
      <c r="K37" s="36">
        <v>-254.29999999999998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>G38/B$19</f>
        <v>0</v>
      </c>
      <c r="J38" s="31">
        <v>36</v>
      </c>
      <c r="K38" s="36">
        <v>-204.29999999999998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>G39/B$19</f>
        <v>0</v>
      </c>
      <c r="J39" s="31">
        <v>37</v>
      </c>
      <c r="K39" s="36">
        <v>-249.29999999999998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>G40/B$19</f>
        <v>0</v>
      </c>
      <c r="J40" s="31">
        <v>38</v>
      </c>
      <c r="K40" s="36">
        <v>-242.49999999999997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>G41/B$19</f>
        <v>0</v>
      </c>
      <c r="J41" s="31">
        <v>39</v>
      </c>
      <c r="K41" s="36">
        <v>-244.59999999999997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>G42/B$19</f>
        <v>0</v>
      </c>
      <c r="J42" s="31">
        <v>40</v>
      </c>
      <c r="K42" s="36">
        <v>-279.7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>G43/B$19</f>
        <v>0</v>
      </c>
      <c r="J43" s="31">
        <v>41</v>
      </c>
      <c r="K43" s="36">
        <v>-320.09999999999997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>G44/B$19</f>
        <v>0</v>
      </c>
      <c r="J44" s="31">
        <v>42</v>
      </c>
      <c r="K44" s="36">
        <v>-314.29999999999995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>G45/B$19</f>
        <v>0</v>
      </c>
      <c r="J45" s="31">
        <v>43</v>
      </c>
      <c r="K45" s="36">
        <v>-284.79999999999995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>G46/B$19</f>
        <v>0</v>
      </c>
      <c r="J46" s="31">
        <v>44</v>
      </c>
      <c r="K46" s="36">
        <v>-239.89999999999995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G47/B$19</f>
        <v>0</v>
      </c>
      <c r="J47" s="31">
        <v>45</v>
      </c>
      <c r="K47" s="36">
        <v>-256.29999999999995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G48/B$19</f>
        <v>0</v>
      </c>
      <c r="J48" s="31">
        <v>46</v>
      </c>
      <c r="K48" s="36">
        <v>-280.59999999999997</v>
      </c>
    </row>
    <row r="49" spans="5:11" x14ac:dyDescent="0.4">
      <c r="E49" s="34" t="s">
        <v>135</v>
      </c>
      <c r="F49" s="1" t="s">
        <v>84</v>
      </c>
      <c r="G49" s="32">
        <v>0</v>
      </c>
      <c r="H49" s="35">
        <f>G49/B$19</f>
        <v>0</v>
      </c>
      <c r="J49" s="31">
        <v>47</v>
      </c>
      <c r="K49" s="36">
        <v>-264.59999999999997</v>
      </c>
    </row>
    <row r="50" spans="5:11" x14ac:dyDescent="0.4">
      <c r="E50" s="34" t="s">
        <v>136</v>
      </c>
      <c r="F50" s="1" t="s">
        <v>85</v>
      </c>
      <c r="G50" s="32">
        <v>0</v>
      </c>
      <c r="H50" s="35">
        <f>G50/B$19</f>
        <v>0</v>
      </c>
      <c r="J50" s="31">
        <v>48</v>
      </c>
      <c r="K50" s="36">
        <v>-288.79999999999995</v>
      </c>
    </row>
    <row r="51" spans="5:11" x14ac:dyDescent="0.4">
      <c r="E51" s="53" t="s">
        <v>137</v>
      </c>
      <c r="F51" s="52" t="s">
        <v>86</v>
      </c>
      <c r="G51" s="54">
        <v>0</v>
      </c>
      <c r="H51" s="55">
        <f>G51/B$19</f>
        <v>0</v>
      </c>
      <c r="J51" s="31">
        <v>49</v>
      </c>
      <c r="K51" s="36">
        <v>-282.99999999999994</v>
      </c>
    </row>
    <row r="52" spans="5:11" x14ac:dyDescent="0.4">
      <c r="J52" s="31">
        <v>50</v>
      </c>
      <c r="K52" s="36">
        <v>-287.09999999999997</v>
      </c>
    </row>
    <row r="53" spans="5:11" x14ac:dyDescent="0.4">
      <c r="J53" s="31">
        <v>51</v>
      </c>
      <c r="K53" s="36">
        <v>-269.59999999999997</v>
      </c>
    </row>
    <row r="54" spans="5:11" x14ac:dyDescent="0.4">
      <c r="J54" s="31">
        <v>52</v>
      </c>
      <c r="K54" s="36">
        <v>-308.09999999999997</v>
      </c>
    </row>
    <row r="55" spans="5:11" x14ac:dyDescent="0.4">
      <c r="J55" s="31">
        <v>53</v>
      </c>
      <c r="K55" s="36">
        <v>-336.49999999999994</v>
      </c>
    </row>
    <row r="56" spans="5:11" x14ac:dyDescent="0.4">
      <c r="J56" s="31">
        <v>54</v>
      </c>
      <c r="K56" s="36">
        <v>-378.89999999999992</v>
      </c>
    </row>
    <row r="57" spans="5:11" x14ac:dyDescent="0.4">
      <c r="J57" s="31">
        <v>55</v>
      </c>
      <c r="K57" s="36">
        <v>-364.2999999999999</v>
      </c>
    </row>
    <row r="58" spans="5:11" x14ac:dyDescent="0.4">
      <c r="J58" s="31">
        <v>56</v>
      </c>
      <c r="K58" s="36">
        <v>-316.2999999999999</v>
      </c>
    </row>
    <row r="59" spans="5:11" x14ac:dyDescent="0.4">
      <c r="J59" s="31">
        <v>57</v>
      </c>
      <c r="K59" s="36">
        <v>-312.49999999999989</v>
      </c>
    </row>
  </sheetData>
  <sortState ref="E2:H59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85EA7-B6FC-4C87-B044-DE375FACC437}">
  <sheetPr codeName="Sheet6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20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39</v>
      </c>
      <c r="C2" s="27"/>
      <c r="E2" s="28" t="s">
        <v>90</v>
      </c>
      <c r="F2" s="10" t="s">
        <v>43</v>
      </c>
      <c r="G2" s="26">
        <v>8</v>
      </c>
      <c r="H2" s="29">
        <f>G2/B$19</f>
        <v>0.8</v>
      </c>
      <c r="J2" s="25">
        <v>0</v>
      </c>
      <c r="K2" s="30">
        <v>0</v>
      </c>
    </row>
    <row r="3" spans="1:11" x14ac:dyDescent="0.4">
      <c r="A3" s="31" t="s">
        <v>8</v>
      </c>
      <c r="B3" s="32">
        <v>271</v>
      </c>
      <c r="C3" s="33"/>
      <c r="E3" s="34" t="s">
        <v>92</v>
      </c>
      <c r="F3" s="1" t="s">
        <v>45</v>
      </c>
      <c r="G3" s="32">
        <v>8</v>
      </c>
      <c r="H3" s="35">
        <f>G3/B$19</f>
        <v>0.8</v>
      </c>
      <c r="J3" s="31">
        <v>1</v>
      </c>
      <c r="K3" s="36">
        <v>-39.9</v>
      </c>
    </row>
    <row r="4" spans="1:11" x14ac:dyDescent="0.4">
      <c r="A4" s="31" t="s">
        <v>6</v>
      </c>
      <c r="B4" s="37">
        <v>233.00000000000003</v>
      </c>
      <c r="C4" s="36"/>
      <c r="E4" s="34" t="s">
        <v>97</v>
      </c>
      <c r="F4" s="1" t="s">
        <v>49</v>
      </c>
      <c r="G4" s="32">
        <v>8</v>
      </c>
      <c r="H4" s="35">
        <f>G4/B$19</f>
        <v>0.8</v>
      </c>
      <c r="J4" s="31">
        <v>2</v>
      </c>
      <c r="K4" s="36">
        <v>-13.2</v>
      </c>
    </row>
    <row r="5" spans="1:11" x14ac:dyDescent="0.4">
      <c r="A5" s="31" t="s">
        <v>7</v>
      </c>
      <c r="B5" s="37">
        <f>IF(B$2=0,0,B$4/B$2)</f>
        <v>5.9743589743589753</v>
      </c>
      <c r="C5" s="38"/>
      <c r="E5" s="34" t="s">
        <v>88</v>
      </c>
      <c r="F5" s="1" t="s">
        <v>41</v>
      </c>
      <c r="G5" s="32">
        <v>3</v>
      </c>
      <c r="H5" s="35">
        <f>G5/B$19</f>
        <v>0.3</v>
      </c>
      <c r="J5" s="31">
        <v>3</v>
      </c>
      <c r="K5" s="36">
        <v>-57.7</v>
      </c>
    </row>
    <row r="6" spans="1:11" x14ac:dyDescent="0.4">
      <c r="A6" s="31" t="s">
        <v>1</v>
      </c>
      <c r="B6" s="39">
        <f>IF(B$2=0,0,(B$7*1+B$8*2+B$9*3)/B$2)</f>
        <v>1.8461538461538463</v>
      </c>
      <c r="C6" s="40"/>
      <c r="E6" s="34" t="s">
        <v>91</v>
      </c>
      <c r="F6" s="1" t="s">
        <v>44</v>
      </c>
      <c r="G6" s="32">
        <v>3</v>
      </c>
      <c r="H6" s="35">
        <f>G6/B$19</f>
        <v>0.3</v>
      </c>
      <c r="J6" s="31">
        <v>4</v>
      </c>
      <c r="K6" s="36">
        <v>-53.7</v>
      </c>
    </row>
    <row r="7" spans="1:11" x14ac:dyDescent="0.4">
      <c r="A7" s="31" t="s">
        <v>2</v>
      </c>
      <c r="B7" s="32">
        <v>14</v>
      </c>
      <c r="C7" s="35">
        <f>IF(B$2=0,0,B7/B$2)</f>
        <v>0.35897435897435898</v>
      </c>
      <c r="E7" s="34" t="s">
        <v>93</v>
      </c>
      <c r="F7" s="1" t="s">
        <v>12</v>
      </c>
      <c r="G7" s="32">
        <v>2</v>
      </c>
      <c r="H7" s="35">
        <f>G7/B$19</f>
        <v>0.2</v>
      </c>
      <c r="J7" s="31">
        <v>5</v>
      </c>
      <c r="K7" s="36">
        <v>-45.7</v>
      </c>
    </row>
    <row r="8" spans="1:11" x14ac:dyDescent="0.4">
      <c r="A8" s="31" t="s">
        <v>3</v>
      </c>
      <c r="B8" s="32">
        <v>17</v>
      </c>
      <c r="C8" s="35">
        <f t="shared" ref="C8:C9" si="0">IF(B$2=0,0,B8/B$2)</f>
        <v>0.4358974358974359</v>
      </c>
      <c r="E8" s="34" t="s">
        <v>89</v>
      </c>
      <c r="F8" s="1" t="s">
        <v>42</v>
      </c>
      <c r="G8" s="32">
        <v>1</v>
      </c>
      <c r="H8" s="35">
        <f>G8/B$19</f>
        <v>0.1</v>
      </c>
      <c r="J8" s="31">
        <v>6</v>
      </c>
      <c r="K8" s="36">
        <v>-50.6</v>
      </c>
    </row>
    <row r="9" spans="1:11" x14ac:dyDescent="0.4">
      <c r="A9" s="41" t="s">
        <v>4</v>
      </c>
      <c r="B9" s="42">
        <v>8</v>
      </c>
      <c r="C9" s="43">
        <f t="shared" si="0"/>
        <v>0.20512820512820512</v>
      </c>
      <c r="E9" s="34" t="s">
        <v>94</v>
      </c>
      <c r="F9" s="1" t="s">
        <v>46</v>
      </c>
      <c r="G9" s="32">
        <v>1</v>
      </c>
      <c r="H9" s="35">
        <f>G9/B$19</f>
        <v>0.1</v>
      </c>
      <c r="J9" s="31">
        <v>7</v>
      </c>
      <c r="K9" s="36">
        <v>-47.6</v>
      </c>
    </row>
    <row r="10" spans="1:11" ht="19.5" thickBot="1" x14ac:dyDescent="0.45">
      <c r="A10" s="44" t="s">
        <v>34</v>
      </c>
      <c r="B10" s="45">
        <v>5</v>
      </c>
      <c r="C10" s="46">
        <f>IF(B$2=0,0,B10/B$2)</f>
        <v>0.12820512820512819</v>
      </c>
      <c r="E10" s="34" t="s">
        <v>107</v>
      </c>
      <c r="F10" s="1" t="s">
        <v>59</v>
      </c>
      <c r="G10" s="32">
        <v>1</v>
      </c>
      <c r="H10" s="35">
        <f>G10/B$19</f>
        <v>0.1</v>
      </c>
      <c r="J10" s="31">
        <v>8</v>
      </c>
      <c r="K10" s="36">
        <v>-59.1</v>
      </c>
    </row>
    <row r="11" spans="1:11" ht="19.5" thickTop="1" x14ac:dyDescent="0.4">
      <c r="A11" s="47" t="s">
        <v>144</v>
      </c>
      <c r="B11" s="48">
        <v>11</v>
      </c>
      <c r="C11" s="29">
        <f>IF(B$18=0,0,B11/B$18)</f>
        <v>0.33333333333333331</v>
      </c>
      <c r="E11" s="34" t="s">
        <v>109</v>
      </c>
      <c r="F11" s="1" t="s">
        <v>61</v>
      </c>
      <c r="G11" s="32">
        <v>1</v>
      </c>
      <c r="H11" s="35">
        <f>G11/B$19</f>
        <v>0.1</v>
      </c>
      <c r="J11" s="31">
        <v>9</v>
      </c>
      <c r="K11" s="36">
        <v>-77.900000000000006</v>
      </c>
    </row>
    <row r="12" spans="1:11" x14ac:dyDescent="0.4">
      <c r="A12" s="25" t="s">
        <v>10</v>
      </c>
      <c r="B12" s="26">
        <f>B13+B14</f>
        <v>97</v>
      </c>
      <c r="C12" s="29">
        <f>IF(B$3=0,0,B12/B$3)</f>
        <v>0.35793357933579334</v>
      </c>
      <c r="E12" s="34" t="s">
        <v>95</v>
      </c>
      <c r="F12" s="1" t="s">
        <v>47</v>
      </c>
      <c r="G12" s="32">
        <v>0</v>
      </c>
      <c r="H12" s="35">
        <f>G12/B$19</f>
        <v>0</v>
      </c>
      <c r="J12" s="31">
        <v>10</v>
      </c>
      <c r="K12" s="36">
        <v>-78.900000000000006</v>
      </c>
    </row>
    <row r="13" spans="1:11" x14ac:dyDescent="0.4">
      <c r="A13" s="31" t="s">
        <v>11</v>
      </c>
      <c r="B13" s="32">
        <v>53</v>
      </c>
      <c r="C13" s="35">
        <f>IF(B$3=0,0,B13/B$3)</f>
        <v>0.19557195571955718</v>
      </c>
      <c r="E13" s="34" t="s">
        <v>96</v>
      </c>
      <c r="F13" s="1" t="s">
        <v>48</v>
      </c>
      <c r="G13" s="32">
        <v>0</v>
      </c>
      <c r="H13" s="35">
        <f>G13/B$19</f>
        <v>0</v>
      </c>
      <c r="J13" s="31">
        <v>11</v>
      </c>
      <c r="K13" s="36">
        <v>-88.9</v>
      </c>
    </row>
    <row r="14" spans="1:11" x14ac:dyDescent="0.4">
      <c r="A14" s="31" t="s">
        <v>12</v>
      </c>
      <c r="B14" s="32">
        <v>44</v>
      </c>
      <c r="C14" s="35">
        <f>IF(B$3=0,0,B14/B$3)</f>
        <v>0.16236162361623616</v>
      </c>
      <c r="E14" s="34" t="s">
        <v>98</v>
      </c>
      <c r="F14" s="1" t="s">
        <v>50</v>
      </c>
      <c r="G14" s="32">
        <v>0</v>
      </c>
      <c r="H14" s="35">
        <f>G14/B$19</f>
        <v>0</v>
      </c>
      <c r="J14" s="31">
        <v>12</v>
      </c>
      <c r="K14" s="36">
        <v>-23.5</v>
      </c>
    </row>
    <row r="15" spans="1:11" x14ac:dyDescent="0.4">
      <c r="A15" s="31" t="s">
        <v>13</v>
      </c>
      <c r="B15" s="32">
        <v>36</v>
      </c>
      <c r="C15" s="35">
        <f>IF(B$3=0,0,B15/B$3)</f>
        <v>0.13284132841328414</v>
      </c>
      <c r="E15" s="34" t="s">
        <v>99</v>
      </c>
      <c r="F15" s="1" t="s">
        <v>51</v>
      </c>
      <c r="G15" s="32">
        <v>0</v>
      </c>
      <c r="H15" s="35">
        <f>G15/B$19</f>
        <v>0</v>
      </c>
      <c r="J15" s="31">
        <v>13</v>
      </c>
      <c r="K15" s="36">
        <v>-12.4</v>
      </c>
    </row>
    <row r="16" spans="1:11" x14ac:dyDescent="0.4">
      <c r="A16" s="31" t="s">
        <v>5</v>
      </c>
      <c r="B16" s="49">
        <f>IF(B$12=0,0,ROUND(C16/B$12,-2))</f>
        <v>9600</v>
      </c>
      <c r="C16" s="50">
        <v>934300</v>
      </c>
      <c r="E16" s="34" t="s">
        <v>100</v>
      </c>
      <c r="F16" s="1" t="s">
        <v>52</v>
      </c>
      <c r="G16" s="32">
        <v>0</v>
      </c>
      <c r="H16" s="35">
        <f>G16/B$19</f>
        <v>0</v>
      </c>
      <c r="J16" s="31">
        <v>14</v>
      </c>
      <c r="K16" s="36">
        <v>38.6</v>
      </c>
    </row>
    <row r="17" spans="1:11" ht="19.5" thickBot="1" x14ac:dyDescent="0.45">
      <c r="A17" s="51" t="s">
        <v>14</v>
      </c>
      <c r="B17" s="52">
        <f>IF(B$15=0,0,ROUND(C17/B$15,-2))</f>
        <v>-9600</v>
      </c>
      <c r="C17" s="58">
        <v>-346100</v>
      </c>
      <c r="E17" s="34" t="s">
        <v>101</v>
      </c>
      <c r="F17" s="1" t="s">
        <v>53</v>
      </c>
      <c r="G17" s="32">
        <v>0</v>
      </c>
      <c r="H17" s="35">
        <f>G17/B$19</f>
        <v>0</v>
      </c>
      <c r="J17" s="31">
        <v>15</v>
      </c>
      <c r="K17" s="36">
        <v>55.8</v>
      </c>
    </row>
    <row r="18" spans="1:11" ht="19.5" thickTop="1" x14ac:dyDescent="0.4">
      <c r="A18" s="47" t="s">
        <v>147</v>
      </c>
      <c r="B18" s="48">
        <v>33</v>
      </c>
      <c r="C18" s="29"/>
      <c r="E18" s="34" t="s">
        <v>102</v>
      </c>
      <c r="F18" s="1" t="s">
        <v>54</v>
      </c>
      <c r="G18" s="32">
        <v>0</v>
      </c>
      <c r="H18" s="35">
        <f>G18/B$19</f>
        <v>0</v>
      </c>
      <c r="J18" s="31">
        <v>16</v>
      </c>
      <c r="K18" s="36">
        <v>40.299999999999997</v>
      </c>
    </row>
    <row r="19" spans="1:11" x14ac:dyDescent="0.4">
      <c r="A19" s="51" t="s">
        <v>148</v>
      </c>
      <c r="B19" s="54">
        <v>10</v>
      </c>
      <c r="C19" s="55"/>
      <c r="E19" s="34" t="s">
        <v>103</v>
      </c>
      <c r="F19" s="1" t="s">
        <v>55</v>
      </c>
      <c r="G19" s="32">
        <v>0</v>
      </c>
      <c r="H19" s="35">
        <f>G19/B$19</f>
        <v>0</v>
      </c>
      <c r="J19" s="31">
        <v>17</v>
      </c>
      <c r="K19" s="36">
        <v>15.799999999999997</v>
      </c>
    </row>
    <row r="20" spans="1:11" x14ac:dyDescent="0.4">
      <c r="E20" s="34" t="s">
        <v>104</v>
      </c>
      <c r="F20" s="1" t="s">
        <v>56</v>
      </c>
      <c r="G20" s="32">
        <v>0</v>
      </c>
      <c r="H20" s="35">
        <f>G20/B$19</f>
        <v>0</v>
      </c>
      <c r="J20" s="31">
        <v>18</v>
      </c>
      <c r="K20" s="36">
        <v>-25.700000000000003</v>
      </c>
    </row>
    <row r="21" spans="1:11" x14ac:dyDescent="0.4">
      <c r="E21" s="34" t="s">
        <v>105</v>
      </c>
      <c r="F21" s="1" t="s">
        <v>57</v>
      </c>
      <c r="G21" s="32">
        <v>0</v>
      </c>
      <c r="H21" s="35">
        <f>G21/B$19</f>
        <v>0</v>
      </c>
      <c r="J21" s="31">
        <v>19</v>
      </c>
      <c r="K21" s="36">
        <v>-17.700000000000003</v>
      </c>
    </row>
    <row r="22" spans="1:11" x14ac:dyDescent="0.4">
      <c r="E22" s="34" t="s">
        <v>106</v>
      </c>
      <c r="F22" s="1" t="s">
        <v>58</v>
      </c>
      <c r="G22" s="32">
        <v>0</v>
      </c>
      <c r="H22" s="35">
        <f>G22/B$19</f>
        <v>0</v>
      </c>
      <c r="J22" s="31">
        <v>20</v>
      </c>
      <c r="K22" s="36">
        <v>7.4999999999999964</v>
      </c>
    </row>
    <row r="23" spans="1:11" x14ac:dyDescent="0.4">
      <c r="E23" s="34" t="s">
        <v>108</v>
      </c>
      <c r="F23" s="1" t="s">
        <v>60</v>
      </c>
      <c r="G23" s="32">
        <v>0</v>
      </c>
      <c r="H23" s="35">
        <f>G23/B$19</f>
        <v>0</v>
      </c>
      <c r="J23" s="31">
        <v>21</v>
      </c>
      <c r="K23" s="36">
        <v>69.8</v>
      </c>
    </row>
    <row r="24" spans="1:11" x14ac:dyDescent="0.4">
      <c r="E24" s="34" t="s">
        <v>110</v>
      </c>
      <c r="F24" s="1" t="s">
        <v>62</v>
      </c>
      <c r="G24" s="32">
        <v>0</v>
      </c>
      <c r="H24" s="35">
        <f>G24/B$19</f>
        <v>0</v>
      </c>
      <c r="J24" s="31">
        <v>22</v>
      </c>
      <c r="K24" s="36">
        <v>78.399999999999991</v>
      </c>
    </row>
    <row r="25" spans="1:11" x14ac:dyDescent="0.4">
      <c r="E25" s="34" t="s">
        <v>111</v>
      </c>
      <c r="F25" s="1" t="s">
        <v>63</v>
      </c>
      <c r="G25" s="32">
        <v>0</v>
      </c>
      <c r="H25" s="35">
        <f>G25/B$19</f>
        <v>0</v>
      </c>
      <c r="J25" s="31">
        <v>23</v>
      </c>
      <c r="K25" s="36">
        <v>93.199999999999989</v>
      </c>
    </row>
    <row r="26" spans="1:11" x14ac:dyDescent="0.4">
      <c r="E26" s="34" t="s">
        <v>112</v>
      </c>
      <c r="F26" s="1" t="s">
        <v>64</v>
      </c>
      <c r="G26" s="32">
        <v>0</v>
      </c>
      <c r="H26" s="35">
        <f>G26/B$19</f>
        <v>0</v>
      </c>
      <c r="J26" s="31">
        <v>24</v>
      </c>
      <c r="K26" s="36">
        <v>49.29999999999999</v>
      </c>
    </row>
    <row r="27" spans="1:11" x14ac:dyDescent="0.4">
      <c r="E27" s="34" t="s">
        <v>113</v>
      </c>
      <c r="F27" s="1" t="s">
        <v>65</v>
      </c>
      <c r="G27" s="32">
        <v>0</v>
      </c>
      <c r="H27" s="35">
        <f>G27/B$19</f>
        <v>0</v>
      </c>
      <c r="J27" s="31">
        <v>25</v>
      </c>
      <c r="K27" s="36">
        <v>58.79999999999999</v>
      </c>
    </row>
    <row r="28" spans="1:11" x14ac:dyDescent="0.4">
      <c r="E28" s="34" t="s">
        <v>114</v>
      </c>
      <c r="F28" s="1" t="s">
        <v>66</v>
      </c>
      <c r="G28" s="32">
        <v>0</v>
      </c>
      <c r="H28" s="35">
        <f>G28/B$19</f>
        <v>0</v>
      </c>
      <c r="J28" s="31">
        <v>26</v>
      </c>
      <c r="K28" s="36">
        <v>141.79999999999998</v>
      </c>
    </row>
    <row r="29" spans="1:11" x14ac:dyDescent="0.4">
      <c r="E29" s="34" t="s">
        <v>115</v>
      </c>
      <c r="F29" s="1" t="s">
        <v>67</v>
      </c>
      <c r="G29" s="32">
        <v>0</v>
      </c>
      <c r="H29" s="35">
        <f>G29/B$19</f>
        <v>0</v>
      </c>
      <c r="J29" s="31">
        <v>27</v>
      </c>
      <c r="K29" s="36">
        <v>162.79999999999998</v>
      </c>
    </row>
    <row r="30" spans="1:11" x14ac:dyDescent="0.4">
      <c r="E30" s="34" t="s">
        <v>116</v>
      </c>
      <c r="F30" s="1" t="s">
        <v>68</v>
      </c>
      <c r="G30" s="32">
        <v>0</v>
      </c>
      <c r="H30" s="35">
        <f>G30/B$19</f>
        <v>0</v>
      </c>
      <c r="J30" s="31">
        <v>28</v>
      </c>
      <c r="K30" s="36">
        <v>174.7</v>
      </c>
    </row>
    <row r="31" spans="1:11" x14ac:dyDescent="0.4">
      <c r="E31" s="34" t="s">
        <v>117</v>
      </c>
      <c r="F31" s="1" t="s">
        <v>69</v>
      </c>
      <c r="G31" s="32">
        <v>0</v>
      </c>
      <c r="H31" s="35">
        <f>G31/B$19</f>
        <v>0</v>
      </c>
      <c r="J31" s="31">
        <v>29</v>
      </c>
      <c r="K31" s="36">
        <v>205</v>
      </c>
    </row>
    <row r="32" spans="1:11" x14ac:dyDescent="0.4">
      <c r="E32" s="34" t="s">
        <v>118</v>
      </c>
      <c r="F32" s="1" t="s">
        <v>70</v>
      </c>
      <c r="G32" s="32">
        <v>0</v>
      </c>
      <c r="H32" s="35">
        <f>G32/B$19</f>
        <v>0</v>
      </c>
      <c r="J32" s="31">
        <v>30</v>
      </c>
      <c r="K32" s="36">
        <v>198.5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>G33/B$19</f>
        <v>0</v>
      </c>
      <c r="J33" s="31">
        <v>31</v>
      </c>
      <c r="K33" s="36">
        <v>186.9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>G34/B$19</f>
        <v>0</v>
      </c>
      <c r="J34" s="31">
        <v>32</v>
      </c>
      <c r="K34" s="36">
        <v>204.4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>G35/B$19</f>
        <v>0</v>
      </c>
      <c r="J35" s="31">
        <v>33</v>
      </c>
      <c r="K35" s="36">
        <v>245.4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>G36/B$19</f>
        <v>0</v>
      </c>
      <c r="J36" s="31">
        <v>34</v>
      </c>
      <c r="K36" s="36">
        <v>234.9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>G37/B$19</f>
        <v>0</v>
      </c>
      <c r="J37" s="31">
        <v>35</v>
      </c>
      <c r="K37" s="36">
        <v>188.9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>G38/B$19</f>
        <v>0</v>
      </c>
      <c r="J38" s="31">
        <v>36</v>
      </c>
      <c r="K38" s="36">
        <v>236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>G39/B$19</f>
        <v>0</v>
      </c>
      <c r="J39" s="31">
        <v>37</v>
      </c>
      <c r="K39" s="36">
        <v>250.8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>G40/B$19</f>
        <v>0</v>
      </c>
      <c r="J40" s="31">
        <v>38</v>
      </c>
      <c r="K40" s="36">
        <v>232.60000000000002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>G41/B$19</f>
        <v>0</v>
      </c>
      <c r="J41" s="31">
        <v>39</v>
      </c>
      <c r="K41" s="36">
        <v>233.00000000000003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>G42/B$19</f>
        <v>0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>G43/B$19</f>
        <v>0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>G44/B$19</f>
        <v>0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>G45/B$19</f>
        <v>0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>G46/B$19</f>
        <v>0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G47/B$19</f>
        <v>0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G48/B$19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G49/B$19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G50/B$19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G51/B$19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61BA1-3F44-4664-8C64-6722C4B8C52D}">
  <sheetPr codeName="Sheet7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21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1</v>
      </c>
      <c r="C2" s="27"/>
      <c r="E2" s="28" t="s">
        <v>88</v>
      </c>
      <c r="F2" s="10" t="s">
        <v>41</v>
      </c>
      <c r="G2" s="26">
        <v>0</v>
      </c>
      <c r="H2" s="29" t="e">
        <f>G2/B$19</f>
        <v>#DIV/0!</v>
      </c>
      <c r="J2" s="25">
        <v>0</v>
      </c>
      <c r="K2" s="30">
        <v>0</v>
      </c>
    </row>
    <row r="3" spans="1:11" x14ac:dyDescent="0.4">
      <c r="A3" s="31" t="s">
        <v>8</v>
      </c>
      <c r="B3" s="32">
        <v>6</v>
      </c>
      <c r="C3" s="33"/>
      <c r="E3" s="34" t="s">
        <v>89</v>
      </c>
      <c r="F3" s="1" t="s">
        <v>42</v>
      </c>
      <c r="G3" s="32">
        <v>0</v>
      </c>
      <c r="H3" s="35" t="e">
        <f>G3/B$19</f>
        <v>#DIV/0!</v>
      </c>
      <c r="J3" s="31">
        <v>1</v>
      </c>
      <c r="K3" s="36">
        <v>-40.700000000000003</v>
      </c>
    </row>
    <row r="4" spans="1:11" x14ac:dyDescent="0.4">
      <c r="A4" s="31" t="s">
        <v>6</v>
      </c>
      <c r="B4" s="37">
        <v>-40.700000000000003</v>
      </c>
      <c r="C4" s="36"/>
      <c r="E4" s="34" t="s">
        <v>90</v>
      </c>
      <c r="F4" s="1" t="s">
        <v>43</v>
      </c>
      <c r="G4" s="32">
        <v>0</v>
      </c>
      <c r="H4" s="35" t="e">
        <f>G4/B$19</f>
        <v>#DIV/0!</v>
      </c>
    </row>
    <row r="5" spans="1:11" x14ac:dyDescent="0.4">
      <c r="A5" s="31" t="s">
        <v>7</v>
      </c>
      <c r="B5" s="37">
        <f>IF(B$2=0,0,B$4/B$2)</f>
        <v>-40.700000000000003</v>
      </c>
      <c r="C5" s="38"/>
      <c r="E5" s="34" t="s">
        <v>91</v>
      </c>
      <c r="F5" s="1" t="s">
        <v>44</v>
      </c>
      <c r="G5" s="32">
        <v>0</v>
      </c>
      <c r="H5" s="35" t="e">
        <f>G5/B$19</f>
        <v>#DIV/0!</v>
      </c>
    </row>
    <row r="6" spans="1:11" x14ac:dyDescent="0.4">
      <c r="A6" s="31" t="s">
        <v>1</v>
      </c>
      <c r="B6" s="39">
        <f>IF(B$2=0,0,(B$7*1+B$8*2+B$9*3)/B$2)</f>
        <v>2</v>
      </c>
      <c r="C6" s="40"/>
      <c r="E6" s="34" t="s">
        <v>92</v>
      </c>
      <c r="F6" s="1" t="s">
        <v>45</v>
      </c>
      <c r="G6" s="32">
        <v>0</v>
      </c>
      <c r="H6" s="35" t="e">
        <f>G6/B$19</f>
        <v>#DIV/0!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12</v>
      </c>
      <c r="G7" s="32">
        <v>0</v>
      </c>
      <c r="H7" s="35" t="e">
        <f>G7/B$19</f>
        <v>#DIV/0!</v>
      </c>
    </row>
    <row r="8" spans="1:11" x14ac:dyDescent="0.4">
      <c r="A8" s="31" t="s">
        <v>3</v>
      </c>
      <c r="B8" s="32">
        <v>1</v>
      </c>
      <c r="C8" s="35">
        <f t="shared" ref="C8:C9" si="0">IF(B$2=0,0,B8/B$2)</f>
        <v>1</v>
      </c>
      <c r="E8" s="34" t="s">
        <v>94</v>
      </c>
      <c r="F8" s="1" t="s">
        <v>46</v>
      </c>
      <c r="G8" s="32">
        <v>0</v>
      </c>
      <c r="H8" s="35" t="e">
        <f>G8/B$19</f>
        <v>#DIV/0!</v>
      </c>
    </row>
    <row r="9" spans="1:11" x14ac:dyDescent="0.4">
      <c r="A9" s="41" t="s">
        <v>4</v>
      </c>
      <c r="B9" s="42">
        <v>0</v>
      </c>
      <c r="C9" s="43">
        <f t="shared" si="0"/>
        <v>0</v>
      </c>
      <c r="E9" s="34" t="s">
        <v>95</v>
      </c>
      <c r="F9" s="1" t="s">
        <v>47</v>
      </c>
      <c r="G9" s="32">
        <v>0</v>
      </c>
      <c r="H9" s="35" t="e">
        <f>G9/B$19</f>
        <v>#DIV/0!</v>
      </c>
    </row>
    <row r="10" spans="1:11" ht="19.5" thickBot="1" x14ac:dyDescent="0.45">
      <c r="A10" s="44" t="s">
        <v>34</v>
      </c>
      <c r="B10" s="45">
        <v>1</v>
      </c>
      <c r="C10" s="46">
        <f>IF(B$2=0,0,B10/B$2)</f>
        <v>1</v>
      </c>
      <c r="E10" s="34" t="s">
        <v>96</v>
      </c>
      <c r="F10" s="1" t="s">
        <v>48</v>
      </c>
      <c r="G10" s="32">
        <v>0</v>
      </c>
      <c r="H10" s="35" t="e">
        <f>G10/B$19</f>
        <v>#DIV/0!</v>
      </c>
    </row>
    <row r="11" spans="1:11" ht="19.5" thickTop="1" x14ac:dyDescent="0.4">
      <c r="A11" s="47" t="s">
        <v>144</v>
      </c>
      <c r="B11" s="48">
        <v>0</v>
      </c>
      <c r="C11" s="29">
        <f>IF(B$18=0,0,B11/B$18)</f>
        <v>0</v>
      </c>
      <c r="E11" s="34" t="s">
        <v>97</v>
      </c>
      <c r="F11" s="1" t="s">
        <v>49</v>
      </c>
      <c r="G11" s="32">
        <v>0</v>
      </c>
      <c r="H11" s="35" t="e">
        <f>G11/B$19</f>
        <v>#DIV/0!</v>
      </c>
    </row>
    <row r="12" spans="1:11" x14ac:dyDescent="0.4">
      <c r="A12" s="25" t="s">
        <v>10</v>
      </c>
      <c r="B12" s="26">
        <f>B13+B14</f>
        <v>1</v>
      </c>
      <c r="C12" s="29">
        <f>IF(B$3=0,0,B12/B$3)</f>
        <v>0.16666666666666666</v>
      </c>
      <c r="E12" s="34" t="s">
        <v>98</v>
      </c>
      <c r="F12" s="1" t="s">
        <v>50</v>
      </c>
      <c r="G12" s="32">
        <v>0</v>
      </c>
      <c r="H12" s="35" t="e">
        <f>G12/B$19</f>
        <v>#DIV/0!</v>
      </c>
    </row>
    <row r="13" spans="1:11" x14ac:dyDescent="0.4">
      <c r="A13" s="31" t="s">
        <v>11</v>
      </c>
      <c r="B13" s="32">
        <v>1</v>
      </c>
      <c r="C13" s="35">
        <f>IF(B$3=0,0,B13/B$3)</f>
        <v>0.16666666666666666</v>
      </c>
      <c r="E13" s="34" t="s">
        <v>99</v>
      </c>
      <c r="F13" s="1" t="s">
        <v>51</v>
      </c>
      <c r="G13" s="32">
        <v>0</v>
      </c>
      <c r="H13" s="35" t="e">
        <f>G13/B$19</f>
        <v>#DIV/0!</v>
      </c>
    </row>
    <row r="14" spans="1:11" x14ac:dyDescent="0.4">
      <c r="A14" s="31" t="s">
        <v>12</v>
      </c>
      <c r="B14" s="32">
        <v>0</v>
      </c>
      <c r="C14" s="35">
        <f>IF(B$3=0,0,B14/B$3)</f>
        <v>0</v>
      </c>
      <c r="E14" s="34" t="s">
        <v>100</v>
      </c>
      <c r="F14" s="1" t="s">
        <v>52</v>
      </c>
      <c r="G14" s="32">
        <v>0</v>
      </c>
      <c r="H14" s="35" t="e">
        <f>G14/B$19</f>
        <v>#DIV/0!</v>
      </c>
    </row>
    <row r="15" spans="1:11" x14ac:dyDescent="0.4">
      <c r="A15" s="31" t="s">
        <v>13</v>
      </c>
      <c r="B15" s="32">
        <v>2</v>
      </c>
      <c r="C15" s="35">
        <f>IF(B$3=0,0,B15/B$3)</f>
        <v>0.33333333333333331</v>
      </c>
      <c r="E15" s="34" t="s">
        <v>101</v>
      </c>
      <c r="F15" s="1" t="s">
        <v>53</v>
      </c>
      <c r="G15" s="32">
        <v>0</v>
      </c>
      <c r="H15" s="35" t="e">
        <f>G15/B$19</f>
        <v>#DIV/0!</v>
      </c>
    </row>
    <row r="16" spans="1:11" x14ac:dyDescent="0.4">
      <c r="A16" s="31" t="s">
        <v>5</v>
      </c>
      <c r="B16" s="49">
        <f>IF(B$12=0,0,ROUND(C16/B$12,-2))</f>
        <v>1300</v>
      </c>
      <c r="C16" s="50">
        <v>1300</v>
      </c>
      <c r="E16" s="34" t="s">
        <v>102</v>
      </c>
      <c r="F16" s="1" t="s">
        <v>54</v>
      </c>
      <c r="G16" s="32">
        <v>0</v>
      </c>
      <c r="H16" s="35" t="e">
        <f>G16/B$19</f>
        <v>#DIV/0!</v>
      </c>
    </row>
    <row r="17" spans="1:8" ht="19.5" thickBot="1" x14ac:dyDescent="0.45">
      <c r="A17" s="51" t="s">
        <v>14</v>
      </c>
      <c r="B17" s="52">
        <f>IF(B$15=0,0,ROUND(C17/B$15,-2))</f>
        <v>-8500</v>
      </c>
      <c r="C17" s="58">
        <v>-17000</v>
      </c>
      <c r="E17" s="34" t="s">
        <v>103</v>
      </c>
      <c r="F17" s="1" t="s">
        <v>55</v>
      </c>
      <c r="G17" s="32">
        <v>0</v>
      </c>
      <c r="H17" s="35" t="e">
        <f>G17/B$19</f>
        <v>#DIV/0!</v>
      </c>
    </row>
    <row r="18" spans="1:8" ht="19.5" thickTop="1" x14ac:dyDescent="0.4">
      <c r="A18" s="47" t="s">
        <v>147</v>
      </c>
      <c r="B18" s="48">
        <v>0</v>
      </c>
      <c r="C18" s="29"/>
      <c r="E18" s="34" t="s">
        <v>104</v>
      </c>
      <c r="F18" s="1" t="s">
        <v>56</v>
      </c>
      <c r="G18" s="32">
        <v>0</v>
      </c>
      <c r="H18" s="35" t="e">
        <f>G18/B$19</f>
        <v>#DIV/0!</v>
      </c>
    </row>
    <row r="19" spans="1:8" x14ac:dyDescent="0.4">
      <c r="A19" s="51" t="s">
        <v>148</v>
      </c>
      <c r="B19" s="54">
        <v>0</v>
      </c>
      <c r="C19" s="55"/>
      <c r="E19" s="34" t="s">
        <v>105</v>
      </c>
      <c r="F19" s="1" t="s">
        <v>57</v>
      </c>
      <c r="G19" s="32">
        <v>0</v>
      </c>
      <c r="H19" s="35" t="e">
        <f>G19/B$19</f>
        <v>#DIV/0!</v>
      </c>
    </row>
    <row r="20" spans="1:8" x14ac:dyDescent="0.4">
      <c r="E20" s="34" t="s">
        <v>106</v>
      </c>
      <c r="F20" s="1" t="s">
        <v>58</v>
      </c>
      <c r="G20" s="32">
        <v>0</v>
      </c>
      <c r="H20" s="35" t="e">
        <f>G20/B$19</f>
        <v>#DIV/0!</v>
      </c>
    </row>
    <row r="21" spans="1:8" x14ac:dyDescent="0.4">
      <c r="E21" s="34" t="s">
        <v>107</v>
      </c>
      <c r="F21" s="1" t="s">
        <v>59</v>
      </c>
      <c r="G21" s="32">
        <v>0</v>
      </c>
      <c r="H21" s="35" t="e">
        <f>G21/B$19</f>
        <v>#DIV/0!</v>
      </c>
    </row>
    <row r="22" spans="1:8" x14ac:dyDescent="0.4">
      <c r="E22" s="34" t="s">
        <v>108</v>
      </c>
      <c r="F22" s="1" t="s">
        <v>60</v>
      </c>
      <c r="G22" s="32">
        <v>0</v>
      </c>
      <c r="H22" s="35" t="e">
        <f>G22/B$19</f>
        <v>#DIV/0!</v>
      </c>
    </row>
    <row r="23" spans="1:8" x14ac:dyDescent="0.4">
      <c r="E23" s="34" t="s">
        <v>109</v>
      </c>
      <c r="F23" s="1" t="s">
        <v>61</v>
      </c>
      <c r="G23" s="32">
        <v>0</v>
      </c>
      <c r="H23" s="35" t="e">
        <f>G23/B$19</f>
        <v>#DIV/0!</v>
      </c>
    </row>
    <row r="24" spans="1:8" x14ac:dyDescent="0.4">
      <c r="E24" s="34" t="s">
        <v>110</v>
      </c>
      <c r="F24" s="1" t="s">
        <v>62</v>
      </c>
      <c r="G24" s="32">
        <v>0</v>
      </c>
      <c r="H24" s="35" t="e">
        <f>G24/B$19</f>
        <v>#DIV/0!</v>
      </c>
    </row>
    <row r="25" spans="1:8" x14ac:dyDescent="0.4">
      <c r="E25" s="34" t="s">
        <v>111</v>
      </c>
      <c r="F25" s="1" t="s">
        <v>63</v>
      </c>
      <c r="G25" s="32">
        <v>0</v>
      </c>
      <c r="H25" s="35" t="e">
        <f>G25/B$19</f>
        <v>#DIV/0!</v>
      </c>
    </row>
    <row r="26" spans="1:8" x14ac:dyDescent="0.4">
      <c r="E26" s="34" t="s">
        <v>112</v>
      </c>
      <c r="F26" s="1" t="s">
        <v>64</v>
      </c>
      <c r="G26" s="32">
        <v>0</v>
      </c>
      <c r="H26" s="35" t="e">
        <f>G26/B$19</f>
        <v>#DIV/0!</v>
      </c>
    </row>
    <row r="27" spans="1:8" x14ac:dyDescent="0.4">
      <c r="E27" s="34" t="s">
        <v>113</v>
      </c>
      <c r="F27" s="1" t="s">
        <v>65</v>
      </c>
      <c r="G27" s="32">
        <v>0</v>
      </c>
      <c r="H27" s="35" t="e">
        <f>G27/B$19</f>
        <v>#DIV/0!</v>
      </c>
    </row>
    <row r="28" spans="1:8" x14ac:dyDescent="0.4">
      <c r="E28" s="34" t="s">
        <v>114</v>
      </c>
      <c r="F28" s="1" t="s">
        <v>66</v>
      </c>
      <c r="G28" s="32">
        <v>0</v>
      </c>
      <c r="H28" s="35" t="e">
        <f>G28/B$19</f>
        <v>#DIV/0!</v>
      </c>
    </row>
    <row r="29" spans="1:8" x14ac:dyDescent="0.4">
      <c r="E29" s="34" t="s">
        <v>115</v>
      </c>
      <c r="F29" s="1" t="s">
        <v>67</v>
      </c>
      <c r="G29" s="32">
        <v>0</v>
      </c>
      <c r="H29" s="35" t="e">
        <f>G29/B$19</f>
        <v>#DIV/0!</v>
      </c>
    </row>
    <row r="30" spans="1:8" x14ac:dyDescent="0.4">
      <c r="E30" s="34" t="s">
        <v>116</v>
      </c>
      <c r="F30" s="1" t="s">
        <v>68</v>
      </c>
      <c r="G30" s="32">
        <v>0</v>
      </c>
      <c r="H30" s="35" t="e">
        <f>G30/B$19</f>
        <v>#DIV/0!</v>
      </c>
    </row>
    <row r="31" spans="1:8" x14ac:dyDescent="0.4">
      <c r="E31" s="34" t="s">
        <v>117</v>
      </c>
      <c r="F31" s="1" t="s">
        <v>69</v>
      </c>
      <c r="G31" s="32">
        <v>0</v>
      </c>
      <c r="H31" s="35" t="e">
        <f>G31/B$19</f>
        <v>#DIV/0!</v>
      </c>
    </row>
    <row r="32" spans="1:8" x14ac:dyDescent="0.4">
      <c r="E32" s="34" t="s">
        <v>118</v>
      </c>
      <c r="F32" s="1" t="s">
        <v>70</v>
      </c>
      <c r="G32" s="32">
        <v>0</v>
      </c>
      <c r="H32" s="35" t="e">
        <f>G32/B$19</f>
        <v>#DIV/0!</v>
      </c>
    </row>
    <row r="33" spans="5:8" x14ac:dyDescent="0.4">
      <c r="E33" s="34" t="s">
        <v>119</v>
      </c>
      <c r="F33" s="1" t="s">
        <v>71</v>
      </c>
      <c r="G33" s="32">
        <v>0</v>
      </c>
      <c r="H33" s="35" t="e">
        <f>G33/B$19</f>
        <v>#DIV/0!</v>
      </c>
    </row>
    <row r="34" spans="5:8" x14ac:dyDescent="0.4">
      <c r="E34" s="34" t="s">
        <v>120</v>
      </c>
      <c r="F34" s="1" t="s">
        <v>72</v>
      </c>
      <c r="G34" s="32">
        <v>0</v>
      </c>
      <c r="H34" s="35" t="e">
        <f>G34/B$19</f>
        <v>#DIV/0!</v>
      </c>
    </row>
    <row r="35" spans="5:8" x14ac:dyDescent="0.4">
      <c r="E35" s="34" t="s">
        <v>121</v>
      </c>
      <c r="F35" s="1" t="s">
        <v>73</v>
      </c>
      <c r="G35" s="32">
        <v>0</v>
      </c>
      <c r="H35" s="35" t="e">
        <f>G35/B$19</f>
        <v>#DIV/0!</v>
      </c>
    </row>
    <row r="36" spans="5:8" x14ac:dyDescent="0.4">
      <c r="E36" s="34" t="s">
        <v>122</v>
      </c>
      <c r="F36" s="1" t="s">
        <v>74</v>
      </c>
      <c r="G36" s="32">
        <v>0</v>
      </c>
      <c r="H36" s="35" t="e">
        <f>G36/B$19</f>
        <v>#DIV/0!</v>
      </c>
    </row>
    <row r="37" spans="5:8" x14ac:dyDescent="0.4">
      <c r="E37" s="34" t="s">
        <v>123</v>
      </c>
      <c r="F37" s="1" t="s">
        <v>75</v>
      </c>
      <c r="G37" s="32">
        <v>0</v>
      </c>
      <c r="H37" s="35" t="e">
        <f>G37/B$19</f>
        <v>#DIV/0!</v>
      </c>
    </row>
    <row r="38" spans="5:8" x14ac:dyDescent="0.4">
      <c r="E38" s="34" t="s">
        <v>124</v>
      </c>
      <c r="F38" s="1" t="s">
        <v>76</v>
      </c>
      <c r="G38" s="32">
        <v>0</v>
      </c>
      <c r="H38" s="35" t="e">
        <f>G38/B$19</f>
        <v>#DIV/0!</v>
      </c>
    </row>
    <row r="39" spans="5:8" x14ac:dyDescent="0.4">
      <c r="E39" s="34" t="s">
        <v>125</v>
      </c>
      <c r="F39" s="1" t="s">
        <v>77</v>
      </c>
      <c r="G39" s="32">
        <v>0</v>
      </c>
      <c r="H39" s="35" t="e">
        <f>G39/B$19</f>
        <v>#DIV/0!</v>
      </c>
    </row>
    <row r="40" spans="5:8" x14ac:dyDescent="0.4">
      <c r="E40" s="34" t="s">
        <v>126</v>
      </c>
      <c r="F40" s="1" t="s">
        <v>78</v>
      </c>
      <c r="G40" s="32">
        <v>0</v>
      </c>
      <c r="H40" s="35" t="e">
        <f>G40/B$19</f>
        <v>#DIV/0!</v>
      </c>
    </row>
    <row r="41" spans="5:8" x14ac:dyDescent="0.4">
      <c r="E41" s="34" t="s">
        <v>127</v>
      </c>
      <c r="F41" s="1" t="s">
        <v>79</v>
      </c>
      <c r="G41" s="32">
        <v>0</v>
      </c>
      <c r="H41" s="35" t="e">
        <f>G41/B$19</f>
        <v>#DIV/0!</v>
      </c>
    </row>
    <row r="42" spans="5:8" x14ac:dyDescent="0.4">
      <c r="E42" s="34" t="s">
        <v>128</v>
      </c>
      <c r="F42" s="1" t="s">
        <v>80</v>
      </c>
      <c r="G42" s="32">
        <v>0</v>
      </c>
      <c r="H42" s="35" t="e">
        <f>G42/B$19</f>
        <v>#DIV/0!</v>
      </c>
    </row>
    <row r="43" spans="5:8" x14ac:dyDescent="0.4">
      <c r="E43" s="34" t="s">
        <v>129</v>
      </c>
      <c r="F43" s="1" t="s">
        <v>81</v>
      </c>
      <c r="G43" s="32">
        <v>0</v>
      </c>
      <c r="H43" s="35" t="e">
        <f>G43/B$19</f>
        <v>#DIV/0!</v>
      </c>
    </row>
    <row r="44" spans="5:8" x14ac:dyDescent="0.4">
      <c r="E44" s="34" t="s">
        <v>130</v>
      </c>
      <c r="F44" s="1" t="s">
        <v>82</v>
      </c>
      <c r="G44" s="32">
        <v>0</v>
      </c>
      <c r="H44" s="35" t="e">
        <f>G44/B$19</f>
        <v>#DIV/0!</v>
      </c>
    </row>
    <row r="45" spans="5:8" x14ac:dyDescent="0.4">
      <c r="E45" s="34" t="s">
        <v>131</v>
      </c>
      <c r="F45" s="1" t="s">
        <v>138</v>
      </c>
      <c r="G45" s="32">
        <v>0</v>
      </c>
      <c r="H45" s="35" t="e">
        <f>G45/B$19</f>
        <v>#DIV/0!</v>
      </c>
    </row>
    <row r="46" spans="5:8" x14ac:dyDescent="0.4">
      <c r="E46" s="34" t="s">
        <v>132</v>
      </c>
      <c r="F46" s="1" t="s">
        <v>139</v>
      </c>
      <c r="G46" s="32">
        <v>0</v>
      </c>
      <c r="H46" s="35" t="e">
        <f>G46/B$19</f>
        <v>#DIV/0!</v>
      </c>
    </row>
    <row r="47" spans="5:8" x14ac:dyDescent="0.4">
      <c r="E47" s="34" t="s">
        <v>133</v>
      </c>
      <c r="F47" s="1" t="s">
        <v>140</v>
      </c>
      <c r="G47" s="32">
        <v>0</v>
      </c>
      <c r="H47" s="35" t="e">
        <f>G47/B$19</f>
        <v>#DIV/0!</v>
      </c>
    </row>
    <row r="48" spans="5:8" x14ac:dyDescent="0.4">
      <c r="E48" s="34" t="s">
        <v>134</v>
      </c>
      <c r="F48" s="1" t="s">
        <v>83</v>
      </c>
      <c r="G48" s="32">
        <v>0</v>
      </c>
      <c r="H48" s="35" t="e">
        <f>G48/B$19</f>
        <v>#DIV/0!</v>
      </c>
    </row>
    <row r="49" spans="5:8" x14ac:dyDescent="0.4">
      <c r="E49" s="34" t="s">
        <v>135</v>
      </c>
      <c r="F49" s="1" t="s">
        <v>84</v>
      </c>
      <c r="G49" s="32">
        <v>0</v>
      </c>
      <c r="H49" s="35" t="e">
        <f>G49/B$19</f>
        <v>#DIV/0!</v>
      </c>
    </row>
    <row r="50" spans="5:8" x14ac:dyDescent="0.4">
      <c r="E50" s="34" t="s">
        <v>136</v>
      </c>
      <c r="F50" s="1" t="s">
        <v>85</v>
      </c>
      <c r="G50" s="32">
        <v>0</v>
      </c>
      <c r="H50" s="35" t="e">
        <f>G50/B$19</f>
        <v>#DIV/0!</v>
      </c>
    </row>
    <row r="51" spans="5:8" x14ac:dyDescent="0.4">
      <c r="E51" s="53" t="s">
        <v>137</v>
      </c>
      <c r="F51" s="52" t="s">
        <v>86</v>
      </c>
      <c r="G51" s="54">
        <v>0</v>
      </c>
      <c r="H51" s="55" t="e">
        <f>G51/B$19</f>
        <v>#DIV/0!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5EA71-0B03-49BD-AE25-D99AF8F21C7A}">
  <sheetPr codeName="Sheet8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16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33</v>
      </c>
      <c r="C2" s="27"/>
      <c r="E2" s="28" t="s">
        <v>92</v>
      </c>
      <c r="F2" s="10" t="s">
        <v>45</v>
      </c>
      <c r="G2" s="26">
        <v>17</v>
      </c>
      <c r="H2" s="29">
        <f>G2/B$19</f>
        <v>0.85</v>
      </c>
      <c r="J2" s="25">
        <v>0</v>
      </c>
      <c r="K2" s="30">
        <v>0</v>
      </c>
    </row>
    <row r="3" spans="1:11" x14ac:dyDescent="0.4">
      <c r="A3" s="31" t="s">
        <v>8</v>
      </c>
      <c r="B3" s="32">
        <v>260</v>
      </c>
      <c r="C3" s="33"/>
      <c r="E3" s="34" t="s">
        <v>97</v>
      </c>
      <c r="F3" s="1" t="s">
        <v>49</v>
      </c>
      <c r="G3" s="32">
        <v>14</v>
      </c>
      <c r="H3" s="35">
        <f>G3/B$19</f>
        <v>0.7</v>
      </c>
      <c r="J3" s="31">
        <v>1</v>
      </c>
      <c r="K3" s="36">
        <v>68.2</v>
      </c>
    </row>
    <row r="4" spans="1:11" x14ac:dyDescent="0.4">
      <c r="A4" s="31" t="s">
        <v>6</v>
      </c>
      <c r="B4" s="37">
        <v>-42.20000000000001</v>
      </c>
      <c r="C4" s="36"/>
      <c r="E4" s="34" t="s">
        <v>90</v>
      </c>
      <c r="F4" s="1" t="s">
        <v>43</v>
      </c>
      <c r="G4" s="32">
        <v>13</v>
      </c>
      <c r="H4" s="35">
        <f>G4/B$19</f>
        <v>0.65</v>
      </c>
      <c r="J4" s="31">
        <v>2</v>
      </c>
      <c r="K4" s="36">
        <v>58.5</v>
      </c>
    </row>
    <row r="5" spans="1:11" x14ac:dyDescent="0.4">
      <c r="A5" s="31" t="s">
        <v>7</v>
      </c>
      <c r="B5" s="37">
        <f>IF(B$2=0,0,B$4/B$2)</f>
        <v>-1.278787878787879</v>
      </c>
      <c r="C5" s="38"/>
      <c r="E5" s="34" t="s">
        <v>88</v>
      </c>
      <c r="F5" s="1" t="s">
        <v>41</v>
      </c>
      <c r="G5" s="32">
        <v>6</v>
      </c>
      <c r="H5" s="35">
        <f>G5/B$19</f>
        <v>0.3</v>
      </c>
      <c r="J5" s="31">
        <v>3</v>
      </c>
      <c r="K5" s="36">
        <v>82.1</v>
      </c>
    </row>
    <row r="6" spans="1:11" x14ac:dyDescent="0.4">
      <c r="A6" s="31" t="s">
        <v>1</v>
      </c>
      <c r="B6" s="39">
        <f>IF(B$2=0,0,(B$7*1+B$8*2+B$9*3)/B$2)</f>
        <v>2.0909090909090908</v>
      </c>
      <c r="C6" s="40"/>
      <c r="E6" s="34" t="s">
        <v>89</v>
      </c>
      <c r="F6" s="1" t="s">
        <v>42</v>
      </c>
      <c r="G6" s="32">
        <v>3</v>
      </c>
      <c r="H6" s="35">
        <f>G6/B$19</f>
        <v>0.15</v>
      </c>
      <c r="J6" s="31">
        <v>4</v>
      </c>
      <c r="K6" s="36">
        <v>58.199999999999996</v>
      </c>
    </row>
    <row r="7" spans="1:11" x14ac:dyDescent="0.4">
      <c r="A7" s="31" t="s">
        <v>2</v>
      </c>
      <c r="B7" s="32">
        <v>9</v>
      </c>
      <c r="C7" s="35">
        <f>IF(B$2=0,0,B7/B$2)</f>
        <v>0.27272727272727271</v>
      </c>
      <c r="E7" s="34" t="s">
        <v>93</v>
      </c>
      <c r="F7" s="1" t="s">
        <v>12</v>
      </c>
      <c r="G7" s="32">
        <v>3</v>
      </c>
      <c r="H7" s="35">
        <f>G7/B$19</f>
        <v>0.15</v>
      </c>
      <c r="J7" s="31">
        <v>5</v>
      </c>
      <c r="K7" s="36">
        <v>124.19999999999999</v>
      </c>
    </row>
    <row r="8" spans="1:11" x14ac:dyDescent="0.4">
      <c r="A8" s="31" t="s">
        <v>3</v>
      </c>
      <c r="B8" s="32">
        <v>12</v>
      </c>
      <c r="C8" s="35">
        <f t="shared" ref="C8:C9" si="0">IF(B$2=0,0,B8/B$2)</f>
        <v>0.36363636363636365</v>
      </c>
      <c r="E8" s="34" t="s">
        <v>115</v>
      </c>
      <c r="F8" s="1" t="s">
        <v>67</v>
      </c>
      <c r="G8" s="32">
        <v>3</v>
      </c>
      <c r="H8" s="35">
        <f>G8/B$19</f>
        <v>0.15</v>
      </c>
      <c r="J8" s="31">
        <v>6</v>
      </c>
      <c r="K8" s="36">
        <v>125.69999999999999</v>
      </c>
    </row>
    <row r="9" spans="1:11" x14ac:dyDescent="0.4">
      <c r="A9" s="41" t="s">
        <v>4</v>
      </c>
      <c r="B9" s="42">
        <v>12</v>
      </c>
      <c r="C9" s="43">
        <f t="shared" si="0"/>
        <v>0.36363636363636365</v>
      </c>
      <c r="E9" s="34" t="s">
        <v>104</v>
      </c>
      <c r="F9" s="1" t="s">
        <v>56</v>
      </c>
      <c r="G9" s="32">
        <v>2</v>
      </c>
      <c r="H9" s="35">
        <f>G9/B$19</f>
        <v>0.1</v>
      </c>
      <c r="J9" s="31">
        <v>7</v>
      </c>
      <c r="K9" s="36">
        <v>129.5</v>
      </c>
    </row>
    <row r="10" spans="1:11" ht="19.5" thickBot="1" x14ac:dyDescent="0.45">
      <c r="A10" s="44" t="s">
        <v>34</v>
      </c>
      <c r="B10" s="45">
        <v>5</v>
      </c>
      <c r="C10" s="46">
        <f>IF(B$2=0,0,B10/B$2)</f>
        <v>0.15151515151515152</v>
      </c>
      <c r="E10" s="34" t="s">
        <v>112</v>
      </c>
      <c r="F10" s="1" t="s">
        <v>64</v>
      </c>
      <c r="G10" s="32">
        <v>2</v>
      </c>
      <c r="H10" s="35">
        <f>G10/B$19</f>
        <v>0.1</v>
      </c>
      <c r="J10" s="31">
        <v>8</v>
      </c>
      <c r="K10" s="36">
        <v>97</v>
      </c>
    </row>
    <row r="11" spans="1:11" ht="19.5" thickTop="1" x14ac:dyDescent="0.4">
      <c r="A11" s="47" t="s">
        <v>144</v>
      </c>
      <c r="B11" s="48">
        <v>21</v>
      </c>
      <c r="C11" s="29">
        <f>IF(B$18=0,0,B11/B$18)</f>
        <v>0.28767123287671231</v>
      </c>
      <c r="E11" s="34" t="s">
        <v>94</v>
      </c>
      <c r="F11" s="1" t="s">
        <v>46</v>
      </c>
      <c r="G11" s="32">
        <v>1</v>
      </c>
      <c r="H11" s="35">
        <f>G11/B$19</f>
        <v>0.05</v>
      </c>
      <c r="J11" s="31">
        <v>9</v>
      </c>
      <c r="K11" s="36">
        <v>83.3</v>
      </c>
    </row>
    <row r="12" spans="1:11" x14ac:dyDescent="0.4">
      <c r="A12" s="25" t="s">
        <v>10</v>
      </c>
      <c r="B12" s="26">
        <f>B13+B14</f>
        <v>74</v>
      </c>
      <c r="C12" s="29">
        <f>IF(B$3=0,0,B12/B$3)</f>
        <v>0.2846153846153846</v>
      </c>
      <c r="E12" s="34" t="s">
        <v>95</v>
      </c>
      <c r="F12" s="1" t="s">
        <v>47</v>
      </c>
      <c r="G12" s="32">
        <v>1</v>
      </c>
      <c r="H12" s="35">
        <f>G12/B$19</f>
        <v>0.05</v>
      </c>
      <c r="J12" s="31">
        <v>10</v>
      </c>
      <c r="K12" s="36">
        <v>111</v>
      </c>
    </row>
    <row r="13" spans="1:11" x14ac:dyDescent="0.4">
      <c r="A13" s="31" t="s">
        <v>11</v>
      </c>
      <c r="B13" s="32">
        <v>43</v>
      </c>
      <c r="C13" s="35">
        <f>IF(B$3=0,0,B13/B$3)</f>
        <v>0.16538461538461538</v>
      </c>
      <c r="E13" s="34" t="s">
        <v>100</v>
      </c>
      <c r="F13" s="1" t="s">
        <v>52</v>
      </c>
      <c r="G13" s="32">
        <v>1</v>
      </c>
      <c r="H13" s="35">
        <f>G13/B$19</f>
        <v>0.05</v>
      </c>
      <c r="J13" s="31">
        <v>11</v>
      </c>
      <c r="K13" s="36">
        <v>138.69999999999999</v>
      </c>
    </row>
    <row r="14" spans="1:11" x14ac:dyDescent="0.4">
      <c r="A14" s="31" t="s">
        <v>12</v>
      </c>
      <c r="B14" s="32">
        <v>31</v>
      </c>
      <c r="C14" s="35">
        <f>IF(B$3=0,0,B14/B$3)</f>
        <v>0.11923076923076924</v>
      </c>
      <c r="E14" s="34" t="s">
        <v>103</v>
      </c>
      <c r="F14" s="1" t="s">
        <v>55</v>
      </c>
      <c r="G14" s="32">
        <v>1</v>
      </c>
      <c r="H14" s="35">
        <f>G14/B$19</f>
        <v>0.05</v>
      </c>
      <c r="J14" s="31">
        <v>12</v>
      </c>
      <c r="K14" s="36">
        <v>99.799999999999983</v>
      </c>
    </row>
    <row r="15" spans="1:11" x14ac:dyDescent="0.4">
      <c r="A15" s="31" t="s">
        <v>13</v>
      </c>
      <c r="B15" s="32">
        <v>52</v>
      </c>
      <c r="C15" s="35">
        <f>IF(B$3=0,0,B15/B$3)</f>
        <v>0.2</v>
      </c>
      <c r="E15" s="34" t="s">
        <v>109</v>
      </c>
      <c r="F15" s="1" t="s">
        <v>61</v>
      </c>
      <c r="G15" s="32">
        <v>1</v>
      </c>
      <c r="H15" s="35">
        <f>G15/B$19</f>
        <v>0.05</v>
      </c>
      <c r="J15" s="31">
        <v>13</v>
      </c>
      <c r="K15" s="36">
        <v>61.799999999999983</v>
      </c>
    </row>
    <row r="16" spans="1:11" x14ac:dyDescent="0.4">
      <c r="A16" s="31" t="s">
        <v>5</v>
      </c>
      <c r="B16" s="49">
        <f>IF(B$12=0,0,ROUND(C16/B$12,-2))</f>
        <v>10300</v>
      </c>
      <c r="C16" s="50">
        <v>764500</v>
      </c>
      <c r="E16" s="34" t="s">
        <v>91</v>
      </c>
      <c r="F16" s="1" t="s">
        <v>44</v>
      </c>
      <c r="G16" s="32">
        <v>0</v>
      </c>
      <c r="H16" s="35">
        <f>G16/B$19</f>
        <v>0</v>
      </c>
      <c r="J16" s="31">
        <v>14</v>
      </c>
      <c r="K16" s="36">
        <v>41.499999999999986</v>
      </c>
    </row>
    <row r="17" spans="1:11" ht="19.5" thickBot="1" x14ac:dyDescent="0.45">
      <c r="A17" s="51" t="s">
        <v>14</v>
      </c>
      <c r="B17" s="52">
        <f>IF(B$15=0,0,ROUND(C17/B$15,-2))</f>
        <v>-7700</v>
      </c>
      <c r="C17" s="58">
        <v>-397800</v>
      </c>
      <c r="E17" s="34" t="s">
        <v>96</v>
      </c>
      <c r="F17" s="1" t="s">
        <v>48</v>
      </c>
      <c r="G17" s="32">
        <v>0</v>
      </c>
      <c r="H17" s="35">
        <f>G17/B$19</f>
        <v>0</v>
      </c>
      <c r="J17" s="31">
        <v>15</v>
      </c>
      <c r="K17" s="36">
        <v>32.999999999999986</v>
      </c>
    </row>
    <row r="18" spans="1:11" ht="19.5" thickTop="1" x14ac:dyDescent="0.4">
      <c r="A18" s="47" t="s">
        <v>147</v>
      </c>
      <c r="B18" s="48">
        <v>73</v>
      </c>
      <c r="C18" s="29"/>
      <c r="E18" s="34" t="s">
        <v>98</v>
      </c>
      <c r="F18" s="1" t="s">
        <v>50</v>
      </c>
      <c r="G18" s="32">
        <v>0</v>
      </c>
      <c r="H18" s="35">
        <f>G18/B$19</f>
        <v>0</v>
      </c>
      <c r="J18" s="31">
        <v>16</v>
      </c>
      <c r="K18" s="36">
        <v>-5.5000000000000142</v>
      </c>
    </row>
    <row r="19" spans="1:11" x14ac:dyDescent="0.4">
      <c r="A19" s="51" t="s">
        <v>148</v>
      </c>
      <c r="B19" s="54">
        <v>20</v>
      </c>
      <c r="C19" s="55"/>
      <c r="E19" s="34" t="s">
        <v>99</v>
      </c>
      <c r="F19" s="1" t="s">
        <v>51</v>
      </c>
      <c r="G19" s="32">
        <v>0</v>
      </c>
      <c r="H19" s="35">
        <f>G19/B$19</f>
        <v>0</v>
      </c>
      <c r="J19" s="31">
        <v>17</v>
      </c>
      <c r="K19" s="36">
        <v>-17.100000000000016</v>
      </c>
    </row>
    <row r="20" spans="1:11" x14ac:dyDescent="0.4">
      <c r="E20" s="34" t="s">
        <v>101</v>
      </c>
      <c r="F20" s="1" t="s">
        <v>53</v>
      </c>
      <c r="G20" s="32">
        <v>0</v>
      </c>
      <c r="H20" s="35">
        <f>G20/B$19</f>
        <v>0</v>
      </c>
      <c r="J20" s="31">
        <v>18</v>
      </c>
      <c r="K20" s="36">
        <v>-16.800000000000015</v>
      </c>
    </row>
    <row r="21" spans="1:11" x14ac:dyDescent="0.4">
      <c r="E21" s="34" t="s">
        <v>102</v>
      </c>
      <c r="F21" s="1" t="s">
        <v>54</v>
      </c>
      <c r="G21" s="32">
        <v>0</v>
      </c>
      <c r="H21" s="35">
        <f>G21/B$19</f>
        <v>0</v>
      </c>
      <c r="J21" s="31">
        <v>19</v>
      </c>
      <c r="K21" s="36">
        <v>-2.1000000000000156</v>
      </c>
    </row>
    <row r="22" spans="1:11" x14ac:dyDescent="0.4">
      <c r="E22" s="34" t="s">
        <v>105</v>
      </c>
      <c r="F22" s="1" t="s">
        <v>57</v>
      </c>
      <c r="G22" s="32">
        <v>0</v>
      </c>
      <c r="H22" s="35">
        <f>G22/B$19</f>
        <v>0</v>
      </c>
      <c r="J22" s="31">
        <v>20</v>
      </c>
      <c r="K22" s="36">
        <v>45.899999999999984</v>
      </c>
    </row>
    <row r="23" spans="1:11" x14ac:dyDescent="0.4">
      <c r="E23" s="34" t="s">
        <v>106</v>
      </c>
      <c r="F23" s="1" t="s">
        <v>58</v>
      </c>
      <c r="G23" s="32">
        <v>0</v>
      </c>
      <c r="H23" s="35">
        <f>G23/B$19</f>
        <v>0</v>
      </c>
      <c r="J23" s="31">
        <v>21</v>
      </c>
      <c r="K23" s="36">
        <v>4.0999999999999872</v>
      </c>
    </row>
    <row r="24" spans="1:11" x14ac:dyDescent="0.4">
      <c r="E24" s="34" t="s">
        <v>107</v>
      </c>
      <c r="F24" s="1" t="s">
        <v>59</v>
      </c>
      <c r="G24" s="32">
        <v>0</v>
      </c>
      <c r="H24" s="35">
        <f>G24/B$19</f>
        <v>0</v>
      </c>
      <c r="J24" s="31">
        <v>22</v>
      </c>
      <c r="K24" s="36">
        <v>-1.4000000000000128</v>
      </c>
    </row>
    <row r="25" spans="1:11" x14ac:dyDescent="0.4">
      <c r="E25" s="34" t="s">
        <v>108</v>
      </c>
      <c r="F25" s="1" t="s">
        <v>60</v>
      </c>
      <c r="G25" s="32">
        <v>0</v>
      </c>
      <c r="H25" s="35">
        <f>G25/B$19</f>
        <v>0</v>
      </c>
      <c r="J25" s="31">
        <v>23</v>
      </c>
      <c r="K25" s="36">
        <v>23.499999999999986</v>
      </c>
    </row>
    <row r="26" spans="1:11" x14ac:dyDescent="0.4">
      <c r="E26" s="34" t="s">
        <v>110</v>
      </c>
      <c r="F26" s="1" t="s">
        <v>62</v>
      </c>
      <c r="G26" s="32">
        <v>0</v>
      </c>
      <c r="H26" s="35">
        <f>G26/B$19</f>
        <v>0</v>
      </c>
      <c r="J26" s="31">
        <v>24</v>
      </c>
      <c r="K26" s="36">
        <v>9.5999999999999854</v>
      </c>
    </row>
    <row r="27" spans="1:11" x14ac:dyDescent="0.4">
      <c r="E27" s="34" t="s">
        <v>111</v>
      </c>
      <c r="F27" s="1" t="s">
        <v>63</v>
      </c>
      <c r="G27" s="32">
        <v>0</v>
      </c>
      <c r="H27" s="35">
        <f>G27/B$19</f>
        <v>0</v>
      </c>
      <c r="J27" s="31">
        <v>25</v>
      </c>
      <c r="K27" s="36">
        <v>1.2999999999999847</v>
      </c>
    </row>
    <row r="28" spans="1:11" x14ac:dyDescent="0.4">
      <c r="E28" s="34" t="s">
        <v>113</v>
      </c>
      <c r="F28" s="1" t="s">
        <v>65</v>
      </c>
      <c r="G28" s="32">
        <v>0</v>
      </c>
      <c r="H28" s="35">
        <f>G28/B$19</f>
        <v>0</v>
      </c>
      <c r="J28" s="31">
        <v>26</v>
      </c>
      <c r="K28" s="36">
        <v>-9.7000000000000153</v>
      </c>
    </row>
    <row r="29" spans="1:11" x14ac:dyDescent="0.4">
      <c r="E29" s="34" t="s">
        <v>114</v>
      </c>
      <c r="F29" s="1" t="s">
        <v>66</v>
      </c>
      <c r="G29" s="32">
        <v>0</v>
      </c>
      <c r="H29" s="35">
        <f>G29/B$19</f>
        <v>0</v>
      </c>
      <c r="J29" s="31">
        <v>27</v>
      </c>
      <c r="K29" s="36">
        <v>-31.600000000000016</v>
      </c>
    </row>
    <row r="30" spans="1:11" x14ac:dyDescent="0.4">
      <c r="E30" s="34" t="s">
        <v>116</v>
      </c>
      <c r="F30" s="1" t="s">
        <v>68</v>
      </c>
      <c r="G30" s="32">
        <v>0</v>
      </c>
      <c r="H30" s="35">
        <f>G30/B$19</f>
        <v>0</v>
      </c>
      <c r="J30" s="31">
        <v>28</v>
      </c>
      <c r="K30" s="36">
        <v>-25.500000000000014</v>
      </c>
    </row>
    <row r="31" spans="1:11" x14ac:dyDescent="0.4">
      <c r="E31" s="34" t="s">
        <v>117</v>
      </c>
      <c r="F31" s="1" t="s">
        <v>69</v>
      </c>
      <c r="G31" s="32">
        <v>0</v>
      </c>
      <c r="H31" s="35">
        <f>G31/B$19</f>
        <v>0</v>
      </c>
      <c r="J31" s="31">
        <v>29</v>
      </c>
      <c r="K31" s="36">
        <v>-24.900000000000013</v>
      </c>
    </row>
    <row r="32" spans="1:11" x14ac:dyDescent="0.4">
      <c r="E32" s="34" t="s">
        <v>118</v>
      </c>
      <c r="F32" s="1" t="s">
        <v>70</v>
      </c>
      <c r="G32" s="32">
        <v>0</v>
      </c>
      <c r="H32" s="35">
        <f>G32/B$19</f>
        <v>0</v>
      </c>
      <c r="J32" s="31">
        <v>30</v>
      </c>
      <c r="K32" s="36">
        <v>15.29999999999999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>G33/B$19</f>
        <v>0</v>
      </c>
      <c r="J33" s="31">
        <v>31</v>
      </c>
      <c r="K33" s="36">
        <v>-20.400000000000013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>G34/B$19</f>
        <v>0</v>
      </c>
      <c r="J34" s="31">
        <v>32</v>
      </c>
      <c r="K34" s="36">
        <v>-36.400000000000013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>G35/B$19</f>
        <v>0</v>
      </c>
      <c r="J35" s="31">
        <v>33</v>
      </c>
      <c r="K35" s="36">
        <v>-42.20000000000001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>G36/B$19</f>
        <v>0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>G37/B$19</f>
        <v>0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>G38/B$19</f>
        <v>0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>G39/B$19</f>
        <v>0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>G40/B$19</f>
        <v>0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>G41/B$19</f>
        <v>0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>G42/B$19</f>
        <v>0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>G43/B$19</f>
        <v>0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>G44/B$19</f>
        <v>0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>G45/B$19</f>
        <v>0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>G46/B$19</f>
        <v>0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G47/B$19</f>
        <v>0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G48/B$19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G49/B$19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G50/B$19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G51/B$19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0FD59-4CCB-43A7-8B5F-BF335F6F315E}">
  <sheetPr codeName="Sheet9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17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35</v>
      </c>
      <c r="C2" s="27"/>
      <c r="E2" s="28" t="s">
        <v>90</v>
      </c>
      <c r="F2" s="10" t="s">
        <v>43</v>
      </c>
      <c r="G2" s="26">
        <v>42</v>
      </c>
      <c r="H2" s="29">
        <f>G2/B$19</f>
        <v>1.1052631578947369</v>
      </c>
      <c r="J2" s="25">
        <v>0</v>
      </c>
      <c r="K2" s="30">
        <v>0</v>
      </c>
    </row>
    <row r="3" spans="1:11" x14ac:dyDescent="0.4">
      <c r="A3" s="31" t="s">
        <v>8</v>
      </c>
      <c r="B3" s="32">
        <v>259</v>
      </c>
      <c r="C3" s="33"/>
      <c r="E3" s="34" t="s">
        <v>92</v>
      </c>
      <c r="F3" s="1" t="s">
        <v>45</v>
      </c>
      <c r="G3" s="32">
        <v>30</v>
      </c>
      <c r="H3" s="35">
        <f>G3/B$19</f>
        <v>0.78947368421052633</v>
      </c>
      <c r="J3" s="31">
        <v>1</v>
      </c>
      <c r="K3" s="36">
        <v>-36.700000000000003</v>
      </c>
    </row>
    <row r="4" spans="1:11" x14ac:dyDescent="0.4">
      <c r="A4" s="31" t="s">
        <v>6</v>
      </c>
      <c r="B4" s="37">
        <v>-38.100000000000037</v>
      </c>
      <c r="C4" s="36"/>
      <c r="E4" s="34" t="s">
        <v>88</v>
      </c>
      <c r="F4" s="1" t="s">
        <v>41</v>
      </c>
      <c r="G4" s="32">
        <v>24</v>
      </c>
      <c r="H4" s="35">
        <f>G4/B$19</f>
        <v>0.63157894736842102</v>
      </c>
      <c r="J4" s="31">
        <v>2</v>
      </c>
      <c r="K4" s="36">
        <v>-45.300000000000004</v>
      </c>
    </row>
    <row r="5" spans="1:11" x14ac:dyDescent="0.4">
      <c r="A5" s="31" t="s">
        <v>7</v>
      </c>
      <c r="B5" s="37">
        <f>IF(B$2=0,0,B$4/B$2)</f>
        <v>-1.0885714285714296</v>
      </c>
      <c r="C5" s="38"/>
      <c r="E5" s="34" t="s">
        <v>97</v>
      </c>
      <c r="F5" s="1" t="s">
        <v>49</v>
      </c>
      <c r="G5" s="32">
        <v>21</v>
      </c>
      <c r="H5" s="35">
        <f>G5/B$19</f>
        <v>0.55263157894736847</v>
      </c>
      <c r="J5" s="31">
        <v>3</v>
      </c>
      <c r="K5" s="36">
        <v>-81.7</v>
      </c>
    </row>
    <row r="6" spans="1:11" x14ac:dyDescent="0.4">
      <c r="A6" s="31" t="s">
        <v>1</v>
      </c>
      <c r="B6" s="39">
        <f>IF(B$2=0,0,(B$7*1+B$8*2+B$9*3)/B$2)</f>
        <v>2</v>
      </c>
      <c r="C6" s="40"/>
      <c r="E6" s="34" t="s">
        <v>91</v>
      </c>
      <c r="F6" s="1" t="s">
        <v>44</v>
      </c>
      <c r="G6" s="32">
        <v>16</v>
      </c>
      <c r="H6" s="35">
        <f>G6/B$19</f>
        <v>0.42105263157894735</v>
      </c>
      <c r="J6" s="31">
        <v>4</v>
      </c>
      <c r="K6" s="36">
        <v>-113.80000000000001</v>
      </c>
    </row>
    <row r="7" spans="1:11" x14ac:dyDescent="0.4">
      <c r="A7" s="31" t="s">
        <v>2</v>
      </c>
      <c r="B7" s="32">
        <v>12</v>
      </c>
      <c r="C7" s="35">
        <f>IF(B$2=0,0,B7/B$2)</f>
        <v>0.34285714285714286</v>
      </c>
      <c r="E7" s="34" t="s">
        <v>93</v>
      </c>
      <c r="F7" s="1" t="s">
        <v>12</v>
      </c>
      <c r="G7" s="32">
        <v>9</v>
      </c>
      <c r="H7" s="35">
        <f>G7/B$19</f>
        <v>0.23684210526315788</v>
      </c>
      <c r="J7" s="31">
        <v>5</v>
      </c>
      <c r="K7" s="36">
        <v>-135.80000000000001</v>
      </c>
    </row>
    <row r="8" spans="1:11" x14ac:dyDescent="0.4">
      <c r="A8" s="31" t="s">
        <v>3</v>
      </c>
      <c r="B8" s="32">
        <v>11</v>
      </c>
      <c r="C8" s="35">
        <f t="shared" ref="C8:C9" si="0">IF(B$2=0,0,B8/B$2)</f>
        <v>0.31428571428571428</v>
      </c>
      <c r="E8" s="34" t="s">
        <v>94</v>
      </c>
      <c r="F8" s="1" t="s">
        <v>46</v>
      </c>
      <c r="G8" s="32">
        <v>6</v>
      </c>
      <c r="H8" s="35">
        <f>G8/B$19</f>
        <v>0.15789473684210525</v>
      </c>
      <c r="J8" s="31">
        <v>6</v>
      </c>
      <c r="K8" s="36">
        <v>-100.30000000000001</v>
      </c>
    </row>
    <row r="9" spans="1:11" x14ac:dyDescent="0.4">
      <c r="A9" s="41" t="s">
        <v>4</v>
      </c>
      <c r="B9" s="42">
        <v>12</v>
      </c>
      <c r="C9" s="43">
        <f t="shared" si="0"/>
        <v>0.34285714285714286</v>
      </c>
      <c r="E9" s="34" t="s">
        <v>95</v>
      </c>
      <c r="F9" s="1" t="s">
        <v>47</v>
      </c>
      <c r="G9" s="32">
        <v>5</v>
      </c>
      <c r="H9" s="35">
        <f>G9/B$19</f>
        <v>0.13157894736842105</v>
      </c>
      <c r="J9" s="31">
        <v>7</v>
      </c>
      <c r="K9" s="36">
        <v>-105.70000000000002</v>
      </c>
    </row>
    <row r="10" spans="1:11" ht="19.5" thickBot="1" x14ac:dyDescent="0.45">
      <c r="A10" s="44" t="s">
        <v>34</v>
      </c>
      <c r="B10" s="45">
        <v>7</v>
      </c>
      <c r="C10" s="46">
        <f>IF(B$2=0,0,B10/B$2)</f>
        <v>0.2</v>
      </c>
      <c r="E10" s="34" t="s">
        <v>112</v>
      </c>
      <c r="F10" s="1" t="s">
        <v>64</v>
      </c>
      <c r="G10" s="32">
        <v>4</v>
      </c>
      <c r="H10" s="35">
        <f>G10/B$19</f>
        <v>0.10526315789473684</v>
      </c>
      <c r="J10" s="31">
        <v>8</v>
      </c>
      <c r="K10" s="36">
        <v>-51.800000000000018</v>
      </c>
    </row>
    <row r="11" spans="1:11" ht="19.5" thickTop="1" x14ac:dyDescent="0.4">
      <c r="A11" s="47" t="s">
        <v>144</v>
      </c>
      <c r="B11" s="48">
        <v>33</v>
      </c>
      <c r="C11" s="29">
        <f>IF(B$18=0,0,B11/B$18)</f>
        <v>0.26190476190476192</v>
      </c>
      <c r="E11" s="34" t="s">
        <v>115</v>
      </c>
      <c r="F11" s="1" t="s">
        <v>67</v>
      </c>
      <c r="G11" s="32">
        <v>4</v>
      </c>
      <c r="H11" s="35">
        <f>G11/B$19</f>
        <v>0.10526315789473684</v>
      </c>
      <c r="J11" s="31">
        <v>9</v>
      </c>
      <c r="K11" s="36">
        <v>-53.000000000000021</v>
      </c>
    </row>
    <row r="12" spans="1:11" x14ac:dyDescent="0.4">
      <c r="A12" s="25" t="s">
        <v>10</v>
      </c>
      <c r="B12" s="26">
        <f>B13+B14</f>
        <v>76</v>
      </c>
      <c r="C12" s="29">
        <f>IF(B$3=0,0,B12/B$3)</f>
        <v>0.29343629343629346</v>
      </c>
      <c r="E12" s="34" t="s">
        <v>89</v>
      </c>
      <c r="F12" s="1" t="s">
        <v>42</v>
      </c>
      <c r="G12" s="32">
        <v>3</v>
      </c>
      <c r="H12" s="35">
        <f>G12/B$19</f>
        <v>7.8947368421052627E-2</v>
      </c>
      <c r="J12" s="31">
        <v>10</v>
      </c>
      <c r="K12" s="36">
        <v>-72.300000000000026</v>
      </c>
    </row>
    <row r="13" spans="1:11" x14ac:dyDescent="0.4">
      <c r="A13" s="31" t="s">
        <v>11</v>
      </c>
      <c r="B13" s="32">
        <v>49</v>
      </c>
      <c r="C13" s="35">
        <f>IF(B$3=0,0,B13/B$3)</f>
        <v>0.1891891891891892</v>
      </c>
      <c r="E13" s="34" t="s">
        <v>96</v>
      </c>
      <c r="F13" s="1" t="s">
        <v>48</v>
      </c>
      <c r="G13" s="32">
        <v>3</v>
      </c>
      <c r="H13" s="35">
        <f>G13/B$19</f>
        <v>7.8947368421052627E-2</v>
      </c>
      <c r="J13" s="31">
        <v>11</v>
      </c>
      <c r="K13" s="36">
        <v>-91.600000000000023</v>
      </c>
    </row>
    <row r="14" spans="1:11" x14ac:dyDescent="0.4">
      <c r="A14" s="31" t="s">
        <v>12</v>
      </c>
      <c r="B14" s="32">
        <v>27</v>
      </c>
      <c r="C14" s="35">
        <f>IF(B$3=0,0,B14/B$3)</f>
        <v>0.10424710424710425</v>
      </c>
      <c r="E14" s="34" t="s">
        <v>99</v>
      </c>
      <c r="F14" s="1" t="s">
        <v>51</v>
      </c>
      <c r="G14" s="32">
        <v>1</v>
      </c>
      <c r="H14" s="35">
        <f>G14/B$19</f>
        <v>2.6315789473684209E-2</v>
      </c>
      <c r="J14" s="31">
        <v>12</v>
      </c>
      <c r="K14" s="36">
        <v>-88.600000000000023</v>
      </c>
    </row>
    <row r="15" spans="1:11" x14ac:dyDescent="0.4">
      <c r="A15" s="31" t="s">
        <v>13</v>
      </c>
      <c r="B15" s="32">
        <v>43</v>
      </c>
      <c r="C15" s="35">
        <f>IF(B$3=0,0,B15/B$3)</f>
        <v>0.16602316602316602</v>
      </c>
      <c r="E15" s="34" t="s">
        <v>103</v>
      </c>
      <c r="F15" s="1" t="s">
        <v>55</v>
      </c>
      <c r="G15" s="32">
        <v>1</v>
      </c>
      <c r="H15" s="35">
        <f>G15/B$19</f>
        <v>2.6315789473684209E-2</v>
      </c>
      <c r="J15" s="31">
        <v>13</v>
      </c>
      <c r="K15" s="36">
        <v>-73.100000000000023</v>
      </c>
    </row>
    <row r="16" spans="1:11" x14ac:dyDescent="0.4">
      <c r="A16" s="31" t="s">
        <v>5</v>
      </c>
      <c r="B16" s="49">
        <f>IF(B$12=0,0,ROUND(C16/B$12,-2))</f>
        <v>10400</v>
      </c>
      <c r="C16" s="50">
        <v>793600</v>
      </c>
      <c r="E16" s="34" t="s">
        <v>98</v>
      </c>
      <c r="F16" s="1" t="s">
        <v>50</v>
      </c>
      <c r="G16" s="32">
        <v>0</v>
      </c>
      <c r="H16" s="35">
        <f>G16/B$19</f>
        <v>0</v>
      </c>
      <c r="J16" s="31">
        <v>14</v>
      </c>
      <c r="K16" s="36">
        <v>-62.000000000000021</v>
      </c>
    </row>
    <row r="17" spans="1:11" ht="19.5" thickBot="1" x14ac:dyDescent="0.45">
      <c r="A17" s="51" t="s">
        <v>14</v>
      </c>
      <c r="B17" s="52">
        <f>IF(B$15=0,0,ROUND(C17/B$15,-2))</f>
        <v>-9900</v>
      </c>
      <c r="C17" s="58">
        <v>-425900</v>
      </c>
      <c r="E17" s="34" t="s">
        <v>100</v>
      </c>
      <c r="F17" s="1" t="s">
        <v>52</v>
      </c>
      <c r="G17" s="32">
        <v>0</v>
      </c>
      <c r="H17" s="35">
        <f>G17/B$19</f>
        <v>0</v>
      </c>
      <c r="J17" s="31">
        <v>15</v>
      </c>
      <c r="K17" s="36">
        <v>-69.200000000000017</v>
      </c>
    </row>
    <row r="18" spans="1:11" ht="19.5" thickTop="1" x14ac:dyDescent="0.4">
      <c r="A18" s="47" t="s">
        <v>147</v>
      </c>
      <c r="B18" s="48">
        <v>126</v>
      </c>
      <c r="C18" s="29"/>
      <c r="E18" s="34" t="s">
        <v>101</v>
      </c>
      <c r="F18" s="1" t="s">
        <v>53</v>
      </c>
      <c r="G18" s="32">
        <v>0</v>
      </c>
      <c r="H18" s="35">
        <f>G18/B$19</f>
        <v>0</v>
      </c>
      <c r="J18" s="31">
        <v>16</v>
      </c>
      <c r="K18" s="36">
        <v>5.0999999999999801</v>
      </c>
    </row>
    <row r="19" spans="1:11" x14ac:dyDescent="0.4">
      <c r="A19" s="51" t="s">
        <v>148</v>
      </c>
      <c r="B19" s="54">
        <v>38</v>
      </c>
      <c r="C19" s="55"/>
      <c r="E19" s="34" t="s">
        <v>102</v>
      </c>
      <c r="F19" s="1" t="s">
        <v>54</v>
      </c>
      <c r="G19" s="32">
        <v>0</v>
      </c>
      <c r="H19" s="35">
        <f>G19/B$19</f>
        <v>0</v>
      </c>
      <c r="J19" s="31">
        <v>17</v>
      </c>
      <c r="K19" s="36">
        <v>40.09999999999998</v>
      </c>
    </row>
    <row r="20" spans="1:11" x14ac:dyDescent="0.4">
      <c r="E20" s="34" t="s">
        <v>104</v>
      </c>
      <c r="F20" s="1" t="s">
        <v>56</v>
      </c>
      <c r="G20" s="32">
        <v>0</v>
      </c>
      <c r="H20" s="35">
        <f>G20/B$19</f>
        <v>0</v>
      </c>
      <c r="J20" s="31">
        <v>18</v>
      </c>
      <c r="K20" s="36">
        <v>39.799999999999983</v>
      </c>
    </row>
    <row r="21" spans="1:11" x14ac:dyDescent="0.4">
      <c r="E21" s="34" t="s">
        <v>105</v>
      </c>
      <c r="F21" s="1" t="s">
        <v>57</v>
      </c>
      <c r="G21" s="32">
        <v>0</v>
      </c>
      <c r="H21" s="35">
        <f>G21/B$19</f>
        <v>0</v>
      </c>
      <c r="J21" s="31">
        <v>19</v>
      </c>
      <c r="K21" s="36">
        <v>103.79999999999998</v>
      </c>
    </row>
    <row r="22" spans="1:11" x14ac:dyDescent="0.4">
      <c r="E22" s="34" t="s">
        <v>106</v>
      </c>
      <c r="F22" s="1" t="s">
        <v>58</v>
      </c>
      <c r="G22" s="32">
        <v>0</v>
      </c>
      <c r="H22" s="35">
        <f>G22/B$19</f>
        <v>0</v>
      </c>
      <c r="J22" s="31">
        <v>20</v>
      </c>
      <c r="K22" s="36">
        <v>106.89999999999998</v>
      </c>
    </row>
    <row r="23" spans="1:11" x14ac:dyDescent="0.4">
      <c r="E23" s="34" t="s">
        <v>107</v>
      </c>
      <c r="F23" s="1" t="s">
        <v>59</v>
      </c>
      <c r="G23" s="32">
        <v>0</v>
      </c>
      <c r="H23" s="35">
        <f>G23/B$19</f>
        <v>0</v>
      </c>
      <c r="J23" s="31">
        <v>21</v>
      </c>
      <c r="K23" s="36">
        <v>108.09999999999998</v>
      </c>
    </row>
    <row r="24" spans="1:11" x14ac:dyDescent="0.4">
      <c r="E24" s="34" t="s">
        <v>108</v>
      </c>
      <c r="F24" s="1" t="s">
        <v>60</v>
      </c>
      <c r="G24" s="32">
        <v>0</v>
      </c>
      <c r="H24" s="35">
        <f>G24/B$19</f>
        <v>0</v>
      </c>
      <c r="J24" s="31">
        <v>22</v>
      </c>
      <c r="K24" s="36">
        <v>110.89999999999998</v>
      </c>
    </row>
    <row r="25" spans="1:11" x14ac:dyDescent="0.4">
      <c r="E25" s="34" t="s">
        <v>109</v>
      </c>
      <c r="F25" s="1" t="s">
        <v>61</v>
      </c>
      <c r="G25" s="32">
        <v>0</v>
      </c>
      <c r="H25" s="35">
        <f>G25/B$19</f>
        <v>0</v>
      </c>
      <c r="J25" s="31">
        <v>23</v>
      </c>
      <c r="K25" s="36">
        <v>155.49999999999997</v>
      </c>
    </row>
    <row r="26" spans="1:11" x14ac:dyDescent="0.4">
      <c r="E26" s="34" t="s">
        <v>110</v>
      </c>
      <c r="F26" s="1" t="s">
        <v>62</v>
      </c>
      <c r="G26" s="32">
        <v>0</v>
      </c>
      <c r="H26" s="35">
        <f>G26/B$19</f>
        <v>0</v>
      </c>
      <c r="J26" s="31">
        <v>24</v>
      </c>
      <c r="K26" s="36">
        <v>154.09999999999997</v>
      </c>
    </row>
    <row r="27" spans="1:11" x14ac:dyDescent="0.4">
      <c r="E27" s="34" t="s">
        <v>111</v>
      </c>
      <c r="F27" s="1" t="s">
        <v>63</v>
      </c>
      <c r="G27" s="32">
        <v>0</v>
      </c>
      <c r="H27" s="35">
        <f>G27/B$19</f>
        <v>0</v>
      </c>
      <c r="J27" s="31">
        <v>25</v>
      </c>
      <c r="K27" s="36">
        <v>114.39999999999996</v>
      </c>
    </row>
    <row r="28" spans="1:11" x14ac:dyDescent="0.4">
      <c r="E28" s="34" t="s">
        <v>113</v>
      </c>
      <c r="F28" s="1" t="s">
        <v>65</v>
      </c>
      <c r="G28" s="32">
        <v>0</v>
      </c>
      <c r="H28" s="35">
        <f>G28/B$19</f>
        <v>0</v>
      </c>
      <c r="J28" s="31">
        <v>26</v>
      </c>
      <c r="K28" s="36">
        <v>98.599999999999966</v>
      </c>
    </row>
    <row r="29" spans="1:11" x14ac:dyDescent="0.4">
      <c r="E29" s="34" t="s">
        <v>114</v>
      </c>
      <c r="F29" s="1" t="s">
        <v>66</v>
      </c>
      <c r="G29" s="32">
        <v>0</v>
      </c>
      <c r="H29" s="35">
        <f>G29/B$19</f>
        <v>0</v>
      </c>
      <c r="J29" s="31">
        <v>27</v>
      </c>
      <c r="K29" s="36">
        <v>109.89999999999996</v>
      </c>
    </row>
    <row r="30" spans="1:11" x14ac:dyDescent="0.4">
      <c r="E30" s="34" t="s">
        <v>116</v>
      </c>
      <c r="F30" s="1" t="s">
        <v>68</v>
      </c>
      <c r="G30" s="32">
        <v>0</v>
      </c>
      <c r="H30" s="35">
        <f>G30/B$19</f>
        <v>0</v>
      </c>
      <c r="J30" s="31">
        <v>28</v>
      </c>
      <c r="K30" s="36">
        <v>65.899999999999963</v>
      </c>
    </row>
    <row r="31" spans="1:11" x14ac:dyDescent="0.4">
      <c r="E31" s="34" t="s">
        <v>117</v>
      </c>
      <c r="F31" s="1" t="s">
        <v>69</v>
      </c>
      <c r="G31" s="32">
        <v>0</v>
      </c>
      <c r="H31" s="35">
        <f>G31/B$19</f>
        <v>0</v>
      </c>
      <c r="J31" s="31">
        <v>29</v>
      </c>
      <c r="K31" s="36">
        <v>24.899999999999963</v>
      </c>
    </row>
    <row r="32" spans="1:11" x14ac:dyDescent="0.4">
      <c r="E32" s="34" t="s">
        <v>118</v>
      </c>
      <c r="F32" s="1" t="s">
        <v>70</v>
      </c>
      <c r="G32" s="32">
        <v>0</v>
      </c>
      <c r="H32" s="35">
        <f>G32/B$19</f>
        <v>0</v>
      </c>
      <c r="J32" s="31">
        <v>30</v>
      </c>
      <c r="K32" s="36">
        <v>14.099999999999962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>G33/B$19</f>
        <v>0</v>
      </c>
      <c r="J33" s="31">
        <v>31</v>
      </c>
      <c r="K33" s="36">
        <v>29.69999999999996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>G34/B$19</f>
        <v>0</v>
      </c>
      <c r="J34" s="31">
        <v>32</v>
      </c>
      <c r="K34" s="36">
        <v>-13.700000000000038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>G35/B$19</f>
        <v>0</v>
      </c>
      <c r="J35" s="31">
        <v>33</v>
      </c>
      <c r="K35" s="36">
        <v>-13.000000000000039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>G36/B$19</f>
        <v>0</v>
      </c>
      <c r="J36" s="31">
        <v>34</v>
      </c>
      <c r="K36" s="36">
        <v>-0.80000000000003979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>G37/B$19</f>
        <v>0</v>
      </c>
      <c r="J37" s="31">
        <v>35</v>
      </c>
      <c r="K37" s="36">
        <v>-38.100000000000037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>G38/B$19</f>
        <v>0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>G39/B$19</f>
        <v>0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>G40/B$19</f>
        <v>0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>G41/B$19</f>
        <v>0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>G42/B$19</f>
        <v>0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>G43/B$19</f>
        <v>0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>G44/B$19</f>
        <v>0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>G45/B$19</f>
        <v>0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>G46/B$19</f>
        <v>0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G47/B$19</f>
        <v>0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G48/B$19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G49/B$19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G50/B$19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G51/B$19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4D368-7E36-43BE-B473-3D456314898B}">
  <sheetPr codeName="Sheet11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36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12</v>
      </c>
      <c r="C2" s="27"/>
      <c r="E2" s="28" t="s">
        <v>88</v>
      </c>
      <c r="F2" s="10" t="s">
        <v>41</v>
      </c>
      <c r="G2" s="26">
        <v>0</v>
      </c>
      <c r="H2" s="29" t="e">
        <f>G2/B$19</f>
        <v>#DIV/0!</v>
      </c>
      <c r="J2" s="25">
        <v>0</v>
      </c>
      <c r="K2" s="30">
        <v>0</v>
      </c>
    </row>
    <row r="3" spans="1:11" x14ac:dyDescent="0.4">
      <c r="A3" s="31" t="s">
        <v>8</v>
      </c>
      <c r="B3" s="32">
        <v>82</v>
      </c>
      <c r="C3" s="33"/>
      <c r="E3" s="34" t="s">
        <v>89</v>
      </c>
      <c r="F3" s="1" t="s">
        <v>42</v>
      </c>
      <c r="G3" s="32">
        <v>0</v>
      </c>
      <c r="H3" s="35" t="e">
        <f>G3/B$19</f>
        <v>#DIV/0!</v>
      </c>
      <c r="J3" s="31">
        <v>1</v>
      </c>
      <c r="K3" s="36">
        <v>-14.4</v>
      </c>
    </row>
    <row r="4" spans="1:11" x14ac:dyDescent="0.4">
      <c r="A4" s="31" t="s">
        <v>6</v>
      </c>
      <c r="B4" s="37">
        <v>80.800000000000011</v>
      </c>
      <c r="C4" s="36"/>
      <c r="E4" s="34" t="s">
        <v>90</v>
      </c>
      <c r="F4" s="1" t="s">
        <v>43</v>
      </c>
      <c r="G4" s="32">
        <v>0</v>
      </c>
      <c r="H4" s="35" t="e">
        <f>G4/B$19</f>
        <v>#DIV/0!</v>
      </c>
      <c r="J4" s="31">
        <v>2</v>
      </c>
      <c r="K4" s="36">
        <v>37.6</v>
      </c>
    </row>
    <row r="5" spans="1:11" x14ac:dyDescent="0.4">
      <c r="A5" s="31" t="s">
        <v>7</v>
      </c>
      <c r="B5" s="37">
        <f>IF(B$2=0,0,B$4/B$2)</f>
        <v>6.7333333333333343</v>
      </c>
      <c r="C5" s="38"/>
      <c r="E5" s="34" t="s">
        <v>91</v>
      </c>
      <c r="F5" s="1" t="s">
        <v>44</v>
      </c>
      <c r="G5" s="32">
        <v>0</v>
      </c>
      <c r="H5" s="35" t="e">
        <f>G5/B$19</f>
        <v>#DIV/0!</v>
      </c>
      <c r="J5" s="31">
        <v>3</v>
      </c>
      <c r="K5" s="36">
        <v>-2.7999999999999972</v>
      </c>
    </row>
    <row r="6" spans="1:11" x14ac:dyDescent="0.4">
      <c r="A6" s="31" t="s">
        <v>1</v>
      </c>
      <c r="B6" s="39">
        <f>IF(B$2=0,0,(B$7*1+B$8*2+B$9*3)/B$2)</f>
        <v>1.75</v>
      </c>
      <c r="C6" s="40"/>
      <c r="E6" s="34" t="s">
        <v>92</v>
      </c>
      <c r="F6" s="1" t="s">
        <v>45</v>
      </c>
      <c r="G6" s="32">
        <v>0</v>
      </c>
      <c r="H6" s="35" t="e">
        <f>G6/B$19</f>
        <v>#DIV/0!</v>
      </c>
      <c r="J6" s="31">
        <v>4</v>
      </c>
      <c r="K6" s="36">
        <v>-44.3</v>
      </c>
    </row>
    <row r="7" spans="1:11" x14ac:dyDescent="0.4">
      <c r="A7" s="31" t="s">
        <v>2</v>
      </c>
      <c r="B7" s="32">
        <v>6</v>
      </c>
      <c r="C7" s="35">
        <f>IF(B$2=0,0,B7/B$2)</f>
        <v>0.5</v>
      </c>
      <c r="E7" s="34" t="s">
        <v>93</v>
      </c>
      <c r="F7" s="1" t="s">
        <v>12</v>
      </c>
      <c r="G7" s="32">
        <v>0</v>
      </c>
      <c r="H7" s="35" t="e">
        <f>G7/B$19</f>
        <v>#DIV/0!</v>
      </c>
      <c r="J7" s="31">
        <v>5</v>
      </c>
      <c r="K7" s="36">
        <v>8.2000000000000028</v>
      </c>
    </row>
    <row r="8" spans="1:11" x14ac:dyDescent="0.4">
      <c r="A8" s="31" t="s">
        <v>3</v>
      </c>
      <c r="B8" s="32">
        <v>3</v>
      </c>
      <c r="C8" s="35">
        <f t="shared" ref="C8:C9" si="0">IF(B$2=0,0,B8/B$2)</f>
        <v>0.25</v>
      </c>
      <c r="E8" s="34" t="s">
        <v>94</v>
      </c>
      <c r="F8" s="1" t="s">
        <v>46</v>
      </c>
      <c r="G8" s="32">
        <v>0</v>
      </c>
      <c r="H8" s="35" t="e">
        <f>G8/B$19</f>
        <v>#DIV/0!</v>
      </c>
      <c r="J8" s="31">
        <v>6</v>
      </c>
      <c r="K8" s="36">
        <v>23.200000000000003</v>
      </c>
    </row>
    <row r="9" spans="1:11" x14ac:dyDescent="0.4">
      <c r="A9" s="41" t="s">
        <v>4</v>
      </c>
      <c r="B9" s="42">
        <v>3</v>
      </c>
      <c r="C9" s="43">
        <f t="shared" si="0"/>
        <v>0.25</v>
      </c>
      <c r="E9" s="34" t="s">
        <v>95</v>
      </c>
      <c r="F9" s="1" t="s">
        <v>47</v>
      </c>
      <c r="G9" s="32">
        <v>0</v>
      </c>
      <c r="H9" s="35" t="e">
        <f>G9/B$19</f>
        <v>#DIV/0!</v>
      </c>
      <c r="J9" s="31">
        <v>7</v>
      </c>
      <c r="K9" s="36">
        <v>40</v>
      </c>
    </row>
    <row r="10" spans="1:11" ht="19.5" thickBot="1" x14ac:dyDescent="0.45">
      <c r="A10" s="44" t="s">
        <v>34</v>
      </c>
      <c r="B10" s="45">
        <v>3</v>
      </c>
      <c r="C10" s="46">
        <f>IF(B$2=0,0,B10/B$2)</f>
        <v>0.25</v>
      </c>
      <c r="E10" s="34" t="s">
        <v>96</v>
      </c>
      <c r="F10" s="1" t="s">
        <v>48</v>
      </c>
      <c r="G10" s="32">
        <v>0</v>
      </c>
      <c r="H10" s="35" t="e">
        <f>G10/B$19</f>
        <v>#DIV/0!</v>
      </c>
      <c r="J10" s="31">
        <v>8</v>
      </c>
      <c r="K10" s="36">
        <v>4.2000000000000028</v>
      </c>
    </row>
    <row r="11" spans="1:11" ht="19.5" thickTop="1" x14ac:dyDescent="0.4">
      <c r="A11" s="47" t="s">
        <v>144</v>
      </c>
      <c r="B11" s="48">
        <v>0</v>
      </c>
      <c r="C11" s="29">
        <f>IF(B$18=0,0,B11/B$18)</f>
        <v>0</v>
      </c>
      <c r="E11" s="34" t="s">
        <v>97</v>
      </c>
      <c r="F11" s="1" t="s">
        <v>49</v>
      </c>
      <c r="G11" s="32">
        <v>0</v>
      </c>
      <c r="H11" s="35" t="e">
        <f>G11/B$19</f>
        <v>#DIV/0!</v>
      </c>
      <c r="J11" s="31">
        <v>9</v>
      </c>
      <c r="K11" s="36">
        <v>6.8000000000000025</v>
      </c>
    </row>
    <row r="12" spans="1:11" x14ac:dyDescent="0.4">
      <c r="A12" s="25" t="s">
        <v>10</v>
      </c>
      <c r="B12" s="26">
        <f>B13+B14</f>
        <v>28</v>
      </c>
      <c r="C12" s="29">
        <f>IF(B$3=0,0,B12/B$3)</f>
        <v>0.34146341463414637</v>
      </c>
      <c r="E12" s="34" t="s">
        <v>98</v>
      </c>
      <c r="F12" s="1" t="s">
        <v>50</v>
      </c>
      <c r="G12" s="32">
        <v>0</v>
      </c>
      <c r="H12" s="35" t="e">
        <f>G12/B$19</f>
        <v>#DIV/0!</v>
      </c>
      <c r="J12" s="31">
        <v>10</v>
      </c>
      <c r="K12" s="36">
        <v>56.800000000000004</v>
      </c>
    </row>
    <row r="13" spans="1:11" x14ac:dyDescent="0.4">
      <c r="A13" s="31" t="s">
        <v>11</v>
      </c>
      <c r="B13" s="32">
        <v>15</v>
      </c>
      <c r="C13" s="35">
        <f>IF(B$3=0,0,B13/B$3)</f>
        <v>0.18292682926829268</v>
      </c>
      <c r="E13" s="34" t="s">
        <v>99</v>
      </c>
      <c r="F13" s="1" t="s">
        <v>51</v>
      </c>
      <c r="G13" s="32">
        <v>0</v>
      </c>
      <c r="H13" s="35" t="e">
        <f>G13/B$19</f>
        <v>#DIV/0!</v>
      </c>
      <c r="J13" s="31">
        <v>11</v>
      </c>
      <c r="K13" s="36">
        <v>69.300000000000011</v>
      </c>
    </row>
    <row r="14" spans="1:11" x14ac:dyDescent="0.4">
      <c r="A14" s="31" t="s">
        <v>12</v>
      </c>
      <c r="B14" s="32">
        <v>13</v>
      </c>
      <c r="C14" s="35">
        <f>IF(B$3=0,0,B14/B$3)</f>
        <v>0.15853658536585366</v>
      </c>
      <c r="E14" s="34" t="s">
        <v>100</v>
      </c>
      <c r="F14" s="1" t="s">
        <v>52</v>
      </c>
      <c r="G14" s="32">
        <v>0</v>
      </c>
      <c r="H14" s="35" t="e">
        <f>G14/B$19</f>
        <v>#DIV/0!</v>
      </c>
      <c r="J14" s="31">
        <v>12</v>
      </c>
      <c r="K14" s="36">
        <v>80.800000000000011</v>
      </c>
    </row>
    <row r="15" spans="1:11" x14ac:dyDescent="0.4">
      <c r="A15" s="31" t="s">
        <v>13</v>
      </c>
      <c r="B15" s="32">
        <v>11</v>
      </c>
      <c r="C15" s="35">
        <f>IF(B$3=0,0,B15/B$3)</f>
        <v>0.13414634146341464</v>
      </c>
      <c r="E15" s="34" t="s">
        <v>101</v>
      </c>
      <c r="F15" s="1" t="s">
        <v>53</v>
      </c>
      <c r="G15" s="32">
        <v>0</v>
      </c>
      <c r="H15" s="35" t="e">
        <f>G15/B$19</f>
        <v>#DIV/0!</v>
      </c>
    </row>
    <row r="16" spans="1:11" x14ac:dyDescent="0.4">
      <c r="A16" s="31" t="s">
        <v>5</v>
      </c>
      <c r="B16" s="49">
        <f>IF(B$12=0,0,ROUND(C16/B$12,-2))</f>
        <v>10900</v>
      </c>
      <c r="C16" s="50">
        <v>304000</v>
      </c>
      <c r="E16" s="34" t="s">
        <v>102</v>
      </c>
      <c r="F16" s="1" t="s">
        <v>54</v>
      </c>
      <c r="G16" s="32">
        <v>0</v>
      </c>
      <c r="H16" s="35" t="e">
        <f>G16/B$19</f>
        <v>#DIV/0!</v>
      </c>
    </row>
    <row r="17" spans="1:8" ht="19.5" thickBot="1" x14ac:dyDescent="0.45">
      <c r="A17" s="51" t="s">
        <v>14</v>
      </c>
      <c r="B17" s="52">
        <f>IF(B$15=0,0,ROUND(C17/B$15,-2))</f>
        <v>-9900</v>
      </c>
      <c r="C17" s="58">
        <v>-109200</v>
      </c>
      <c r="E17" s="34" t="s">
        <v>103</v>
      </c>
      <c r="F17" s="1" t="s">
        <v>55</v>
      </c>
      <c r="G17" s="32">
        <v>0</v>
      </c>
      <c r="H17" s="35" t="e">
        <f>G17/B$19</f>
        <v>#DIV/0!</v>
      </c>
    </row>
    <row r="18" spans="1:8" ht="19.5" thickTop="1" x14ac:dyDescent="0.4">
      <c r="A18" s="47" t="s">
        <v>147</v>
      </c>
      <c r="B18" s="48">
        <v>0</v>
      </c>
      <c r="C18" s="29"/>
      <c r="E18" s="34" t="s">
        <v>104</v>
      </c>
      <c r="F18" s="1" t="s">
        <v>56</v>
      </c>
      <c r="G18" s="32">
        <v>0</v>
      </c>
      <c r="H18" s="35" t="e">
        <f>G18/B$19</f>
        <v>#DIV/0!</v>
      </c>
    </row>
    <row r="19" spans="1:8" x14ac:dyDescent="0.4">
      <c r="A19" s="51" t="s">
        <v>148</v>
      </c>
      <c r="B19" s="54">
        <v>0</v>
      </c>
      <c r="C19" s="55"/>
      <c r="E19" s="34" t="s">
        <v>105</v>
      </c>
      <c r="F19" s="1" t="s">
        <v>57</v>
      </c>
      <c r="G19" s="32">
        <v>0</v>
      </c>
      <c r="H19" s="35" t="e">
        <f>G19/B$19</f>
        <v>#DIV/0!</v>
      </c>
    </row>
    <row r="20" spans="1:8" x14ac:dyDescent="0.4">
      <c r="E20" s="34" t="s">
        <v>106</v>
      </c>
      <c r="F20" s="1" t="s">
        <v>58</v>
      </c>
      <c r="G20" s="32">
        <v>0</v>
      </c>
      <c r="H20" s="35" t="e">
        <f>G20/B$19</f>
        <v>#DIV/0!</v>
      </c>
    </row>
    <row r="21" spans="1:8" x14ac:dyDescent="0.4">
      <c r="E21" s="34" t="s">
        <v>107</v>
      </c>
      <c r="F21" s="1" t="s">
        <v>59</v>
      </c>
      <c r="G21" s="32">
        <v>0</v>
      </c>
      <c r="H21" s="35" t="e">
        <f>G21/B$19</f>
        <v>#DIV/0!</v>
      </c>
    </row>
    <row r="22" spans="1:8" x14ac:dyDescent="0.4">
      <c r="E22" s="34" t="s">
        <v>108</v>
      </c>
      <c r="F22" s="1" t="s">
        <v>60</v>
      </c>
      <c r="G22" s="32">
        <v>0</v>
      </c>
      <c r="H22" s="35" t="e">
        <f>G22/B$19</f>
        <v>#DIV/0!</v>
      </c>
    </row>
    <row r="23" spans="1:8" x14ac:dyDescent="0.4">
      <c r="E23" s="34" t="s">
        <v>109</v>
      </c>
      <c r="F23" s="1" t="s">
        <v>61</v>
      </c>
      <c r="G23" s="32">
        <v>0</v>
      </c>
      <c r="H23" s="35" t="e">
        <f>G23/B$19</f>
        <v>#DIV/0!</v>
      </c>
    </row>
    <row r="24" spans="1:8" x14ac:dyDescent="0.4">
      <c r="E24" s="34" t="s">
        <v>110</v>
      </c>
      <c r="F24" s="1" t="s">
        <v>62</v>
      </c>
      <c r="G24" s="32">
        <v>0</v>
      </c>
      <c r="H24" s="35" t="e">
        <f>G24/B$19</f>
        <v>#DIV/0!</v>
      </c>
    </row>
    <row r="25" spans="1:8" x14ac:dyDescent="0.4">
      <c r="E25" s="34" t="s">
        <v>111</v>
      </c>
      <c r="F25" s="1" t="s">
        <v>63</v>
      </c>
      <c r="G25" s="32">
        <v>0</v>
      </c>
      <c r="H25" s="35" t="e">
        <f>G25/B$19</f>
        <v>#DIV/0!</v>
      </c>
    </row>
    <row r="26" spans="1:8" x14ac:dyDescent="0.4">
      <c r="E26" s="34" t="s">
        <v>112</v>
      </c>
      <c r="F26" s="1" t="s">
        <v>64</v>
      </c>
      <c r="G26" s="32">
        <v>0</v>
      </c>
      <c r="H26" s="35" t="e">
        <f>G26/B$19</f>
        <v>#DIV/0!</v>
      </c>
    </row>
    <row r="27" spans="1:8" x14ac:dyDescent="0.4">
      <c r="E27" s="34" t="s">
        <v>113</v>
      </c>
      <c r="F27" s="1" t="s">
        <v>65</v>
      </c>
      <c r="G27" s="32">
        <v>0</v>
      </c>
      <c r="H27" s="35" t="e">
        <f>G27/B$19</f>
        <v>#DIV/0!</v>
      </c>
    </row>
    <row r="28" spans="1:8" x14ac:dyDescent="0.4">
      <c r="E28" s="34" t="s">
        <v>114</v>
      </c>
      <c r="F28" s="1" t="s">
        <v>66</v>
      </c>
      <c r="G28" s="32">
        <v>0</v>
      </c>
      <c r="H28" s="35" t="e">
        <f>G28/B$19</f>
        <v>#DIV/0!</v>
      </c>
    </row>
    <row r="29" spans="1:8" x14ac:dyDescent="0.4">
      <c r="E29" s="34" t="s">
        <v>115</v>
      </c>
      <c r="F29" s="1" t="s">
        <v>67</v>
      </c>
      <c r="G29" s="32">
        <v>0</v>
      </c>
      <c r="H29" s="35" t="e">
        <f>G29/B$19</f>
        <v>#DIV/0!</v>
      </c>
    </row>
    <row r="30" spans="1:8" x14ac:dyDescent="0.4">
      <c r="E30" s="34" t="s">
        <v>116</v>
      </c>
      <c r="F30" s="1" t="s">
        <v>68</v>
      </c>
      <c r="G30" s="32">
        <v>0</v>
      </c>
      <c r="H30" s="35" t="e">
        <f>G30/B$19</f>
        <v>#DIV/0!</v>
      </c>
    </row>
    <row r="31" spans="1:8" x14ac:dyDescent="0.4">
      <c r="E31" s="34" t="s">
        <v>117</v>
      </c>
      <c r="F31" s="1" t="s">
        <v>69</v>
      </c>
      <c r="G31" s="32">
        <v>0</v>
      </c>
      <c r="H31" s="35" t="e">
        <f>G31/B$19</f>
        <v>#DIV/0!</v>
      </c>
    </row>
    <row r="32" spans="1:8" x14ac:dyDescent="0.4">
      <c r="E32" s="34" t="s">
        <v>118</v>
      </c>
      <c r="F32" s="1" t="s">
        <v>70</v>
      </c>
      <c r="G32" s="32">
        <v>0</v>
      </c>
      <c r="H32" s="35" t="e">
        <f>G32/B$19</f>
        <v>#DIV/0!</v>
      </c>
    </row>
    <row r="33" spans="5:8" x14ac:dyDescent="0.4">
      <c r="E33" s="34" t="s">
        <v>119</v>
      </c>
      <c r="F33" s="1" t="s">
        <v>71</v>
      </c>
      <c r="G33" s="32">
        <v>0</v>
      </c>
      <c r="H33" s="35" t="e">
        <f>G33/B$19</f>
        <v>#DIV/0!</v>
      </c>
    </row>
    <row r="34" spans="5:8" x14ac:dyDescent="0.4">
      <c r="E34" s="34" t="s">
        <v>120</v>
      </c>
      <c r="F34" s="1" t="s">
        <v>72</v>
      </c>
      <c r="G34" s="32">
        <v>0</v>
      </c>
      <c r="H34" s="35" t="e">
        <f>G34/B$19</f>
        <v>#DIV/0!</v>
      </c>
    </row>
    <row r="35" spans="5:8" x14ac:dyDescent="0.4">
      <c r="E35" s="34" t="s">
        <v>121</v>
      </c>
      <c r="F35" s="1" t="s">
        <v>73</v>
      </c>
      <c r="G35" s="32">
        <v>0</v>
      </c>
      <c r="H35" s="35" t="e">
        <f>G35/B$19</f>
        <v>#DIV/0!</v>
      </c>
    </row>
    <row r="36" spans="5:8" x14ac:dyDescent="0.4">
      <c r="E36" s="34" t="s">
        <v>122</v>
      </c>
      <c r="F36" s="1" t="s">
        <v>74</v>
      </c>
      <c r="G36" s="32">
        <v>0</v>
      </c>
      <c r="H36" s="35" t="e">
        <f>G36/B$19</f>
        <v>#DIV/0!</v>
      </c>
    </row>
    <row r="37" spans="5:8" x14ac:dyDescent="0.4">
      <c r="E37" s="34" t="s">
        <v>123</v>
      </c>
      <c r="F37" s="1" t="s">
        <v>75</v>
      </c>
      <c r="G37" s="32">
        <v>0</v>
      </c>
      <c r="H37" s="35" t="e">
        <f>G37/B$19</f>
        <v>#DIV/0!</v>
      </c>
    </row>
    <row r="38" spans="5:8" x14ac:dyDescent="0.4">
      <c r="E38" s="34" t="s">
        <v>124</v>
      </c>
      <c r="F38" s="1" t="s">
        <v>76</v>
      </c>
      <c r="G38" s="32">
        <v>0</v>
      </c>
      <c r="H38" s="35" t="e">
        <f>G38/B$19</f>
        <v>#DIV/0!</v>
      </c>
    </row>
    <row r="39" spans="5:8" x14ac:dyDescent="0.4">
      <c r="E39" s="34" t="s">
        <v>125</v>
      </c>
      <c r="F39" s="1" t="s">
        <v>77</v>
      </c>
      <c r="G39" s="32">
        <v>0</v>
      </c>
      <c r="H39" s="35" t="e">
        <f>G39/B$19</f>
        <v>#DIV/0!</v>
      </c>
    </row>
    <row r="40" spans="5:8" x14ac:dyDescent="0.4">
      <c r="E40" s="34" t="s">
        <v>126</v>
      </c>
      <c r="F40" s="1" t="s">
        <v>78</v>
      </c>
      <c r="G40" s="32">
        <v>0</v>
      </c>
      <c r="H40" s="35" t="e">
        <f>G40/B$19</f>
        <v>#DIV/0!</v>
      </c>
    </row>
    <row r="41" spans="5:8" x14ac:dyDescent="0.4">
      <c r="E41" s="34" t="s">
        <v>127</v>
      </c>
      <c r="F41" s="1" t="s">
        <v>79</v>
      </c>
      <c r="G41" s="32">
        <v>0</v>
      </c>
      <c r="H41" s="35" t="e">
        <f>G41/B$19</f>
        <v>#DIV/0!</v>
      </c>
    </row>
    <row r="42" spans="5:8" x14ac:dyDescent="0.4">
      <c r="E42" s="34" t="s">
        <v>128</v>
      </c>
      <c r="F42" s="1" t="s">
        <v>80</v>
      </c>
      <c r="G42" s="32">
        <v>0</v>
      </c>
      <c r="H42" s="35" t="e">
        <f>G42/B$19</f>
        <v>#DIV/0!</v>
      </c>
    </row>
    <row r="43" spans="5:8" x14ac:dyDescent="0.4">
      <c r="E43" s="34" t="s">
        <v>129</v>
      </c>
      <c r="F43" s="1" t="s">
        <v>81</v>
      </c>
      <c r="G43" s="32">
        <v>0</v>
      </c>
      <c r="H43" s="35" t="e">
        <f>G43/B$19</f>
        <v>#DIV/0!</v>
      </c>
    </row>
    <row r="44" spans="5:8" x14ac:dyDescent="0.4">
      <c r="E44" s="34" t="s">
        <v>130</v>
      </c>
      <c r="F44" s="1" t="s">
        <v>82</v>
      </c>
      <c r="G44" s="32">
        <v>0</v>
      </c>
      <c r="H44" s="35" t="e">
        <f>G44/B$19</f>
        <v>#DIV/0!</v>
      </c>
    </row>
    <row r="45" spans="5:8" x14ac:dyDescent="0.4">
      <c r="E45" s="34" t="s">
        <v>131</v>
      </c>
      <c r="F45" s="1" t="s">
        <v>138</v>
      </c>
      <c r="G45" s="32">
        <v>0</v>
      </c>
      <c r="H45" s="35" t="e">
        <f>G45/B$19</f>
        <v>#DIV/0!</v>
      </c>
    </row>
    <row r="46" spans="5:8" x14ac:dyDescent="0.4">
      <c r="E46" s="34" t="s">
        <v>132</v>
      </c>
      <c r="F46" s="1" t="s">
        <v>139</v>
      </c>
      <c r="G46" s="32">
        <v>0</v>
      </c>
      <c r="H46" s="35" t="e">
        <f>G46/B$19</f>
        <v>#DIV/0!</v>
      </c>
    </row>
    <row r="47" spans="5:8" x14ac:dyDescent="0.4">
      <c r="E47" s="34" t="s">
        <v>133</v>
      </c>
      <c r="F47" s="1" t="s">
        <v>140</v>
      </c>
      <c r="G47" s="32">
        <v>0</v>
      </c>
      <c r="H47" s="35" t="e">
        <f>G47/B$19</f>
        <v>#DIV/0!</v>
      </c>
    </row>
    <row r="48" spans="5:8" x14ac:dyDescent="0.4">
      <c r="E48" s="34" t="s">
        <v>134</v>
      </c>
      <c r="F48" s="1" t="s">
        <v>83</v>
      </c>
      <c r="G48" s="32">
        <v>0</v>
      </c>
      <c r="H48" s="35" t="e">
        <f>G48/B$19</f>
        <v>#DIV/0!</v>
      </c>
    </row>
    <row r="49" spans="5:8" x14ac:dyDescent="0.4">
      <c r="E49" s="34" t="s">
        <v>135</v>
      </c>
      <c r="F49" s="1" t="s">
        <v>84</v>
      </c>
      <c r="G49" s="32">
        <v>0</v>
      </c>
      <c r="H49" s="35" t="e">
        <f>G49/B$19</f>
        <v>#DIV/0!</v>
      </c>
    </row>
    <row r="50" spans="5:8" x14ac:dyDescent="0.4">
      <c r="E50" s="34" t="s">
        <v>136</v>
      </c>
      <c r="F50" s="1" t="s">
        <v>85</v>
      </c>
      <c r="G50" s="32">
        <v>0</v>
      </c>
      <c r="H50" s="35" t="e">
        <f>G50/B$19</f>
        <v>#DIV/0!</v>
      </c>
    </row>
    <row r="51" spans="5:8" x14ac:dyDescent="0.4">
      <c r="E51" s="53" t="s">
        <v>137</v>
      </c>
      <c r="F51" s="52" t="s">
        <v>86</v>
      </c>
      <c r="G51" s="54">
        <v>0</v>
      </c>
      <c r="H51" s="55" t="e">
        <f>G51/B$19</f>
        <v>#DIV/0!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8A158-021C-4EF7-A2A9-898449E6D38F}">
  <sheetPr codeName="Sheet12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39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25</v>
      </c>
      <c r="C2" s="27"/>
      <c r="E2" s="28" t="s">
        <v>92</v>
      </c>
      <c r="F2" s="10" t="s">
        <v>45</v>
      </c>
      <c r="G2" s="26">
        <v>41</v>
      </c>
      <c r="H2" s="29">
        <f>G2/B$19</f>
        <v>0.93181818181818177</v>
      </c>
      <c r="J2" s="25">
        <v>0</v>
      </c>
      <c r="K2" s="30">
        <v>0</v>
      </c>
    </row>
    <row r="3" spans="1:11" x14ac:dyDescent="0.4">
      <c r="A3" s="31" t="s">
        <v>8</v>
      </c>
      <c r="B3" s="32">
        <v>198</v>
      </c>
      <c r="C3" s="33"/>
      <c r="E3" s="34" t="s">
        <v>97</v>
      </c>
      <c r="F3" s="1" t="s">
        <v>49</v>
      </c>
      <c r="G3" s="32">
        <v>38</v>
      </c>
      <c r="H3" s="35">
        <f>G3/B$19</f>
        <v>0.86363636363636365</v>
      </c>
      <c r="J3" s="31">
        <v>1</v>
      </c>
      <c r="K3" s="36">
        <v>3.9</v>
      </c>
    </row>
    <row r="4" spans="1:11" x14ac:dyDescent="0.4">
      <c r="A4" s="31" t="s">
        <v>6</v>
      </c>
      <c r="B4" s="37">
        <v>-216.89999999999998</v>
      </c>
      <c r="C4" s="36"/>
      <c r="E4" s="34" t="s">
        <v>90</v>
      </c>
      <c r="F4" s="1" t="s">
        <v>43</v>
      </c>
      <c r="G4" s="32">
        <v>27</v>
      </c>
      <c r="H4" s="35">
        <f>G4/B$19</f>
        <v>0.61363636363636365</v>
      </c>
      <c r="J4" s="31">
        <v>2</v>
      </c>
      <c r="K4" s="36">
        <v>-33.9</v>
      </c>
    </row>
    <row r="5" spans="1:11" x14ac:dyDescent="0.4">
      <c r="A5" s="31" t="s">
        <v>7</v>
      </c>
      <c r="B5" s="37">
        <f>IF(B$2=0,0,B$4/B$2)</f>
        <v>-8.6759999999999984</v>
      </c>
      <c r="C5" s="38"/>
      <c r="E5" s="34" t="s">
        <v>88</v>
      </c>
      <c r="F5" s="1" t="s">
        <v>41</v>
      </c>
      <c r="G5" s="32">
        <v>23</v>
      </c>
      <c r="H5" s="35">
        <f>G5/B$19</f>
        <v>0.52272727272727271</v>
      </c>
      <c r="J5" s="31">
        <v>3</v>
      </c>
      <c r="K5" s="36">
        <v>-70.099999999999994</v>
      </c>
    </row>
    <row r="6" spans="1:11" x14ac:dyDescent="0.4">
      <c r="A6" s="31" t="s">
        <v>1</v>
      </c>
      <c r="B6" s="39">
        <f>IF(B$2=0,0,(B$7*1+B$8*2+B$9*3)/B$2)</f>
        <v>2.2799999999999998</v>
      </c>
      <c r="C6" s="40"/>
      <c r="E6" s="34" t="s">
        <v>93</v>
      </c>
      <c r="F6" s="1" t="s">
        <v>12</v>
      </c>
      <c r="G6" s="32">
        <v>17</v>
      </c>
      <c r="H6" s="35">
        <f>G6/B$19</f>
        <v>0.38636363636363635</v>
      </c>
      <c r="J6" s="31">
        <v>4</v>
      </c>
      <c r="K6" s="36">
        <v>-35.099999999999994</v>
      </c>
    </row>
    <row r="7" spans="1:11" x14ac:dyDescent="0.4">
      <c r="A7" s="31" t="s">
        <v>2</v>
      </c>
      <c r="B7" s="32">
        <v>6</v>
      </c>
      <c r="C7" s="35">
        <f>IF(B$2=0,0,B7/B$2)</f>
        <v>0.24</v>
      </c>
      <c r="E7" s="34" t="s">
        <v>91</v>
      </c>
      <c r="F7" s="1" t="s">
        <v>44</v>
      </c>
      <c r="G7" s="32">
        <v>14</v>
      </c>
      <c r="H7" s="35">
        <f>G7/B$19</f>
        <v>0.31818181818181818</v>
      </c>
      <c r="J7" s="31">
        <v>5</v>
      </c>
      <c r="K7" s="36">
        <v>-80.099999999999994</v>
      </c>
    </row>
    <row r="8" spans="1:11" x14ac:dyDescent="0.4">
      <c r="A8" s="31" t="s">
        <v>3</v>
      </c>
      <c r="B8" s="32">
        <v>6</v>
      </c>
      <c r="C8" s="35">
        <f t="shared" ref="C8:C9" si="0">IF(B$2=0,0,B8/B$2)</f>
        <v>0.24</v>
      </c>
      <c r="E8" s="34" t="s">
        <v>115</v>
      </c>
      <c r="F8" s="1" t="s">
        <v>67</v>
      </c>
      <c r="G8" s="32">
        <v>8</v>
      </c>
      <c r="H8" s="35">
        <f>G8/B$19</f>
        <v>0.18181818181818182</v>
      </c>
      <c r="J8" s="31">
        <v>6</v>
      </c>
      <c r="K8" s="36">
        <v>-116.1</v>
      </c>
    </row>
    <row r="9" spans="1:11" x14ac:dyDescent="0.4">
      <c r="A9" s="41" t="s">
        <v>4</v>
      </c>
      <c r="B9" s="42">
        <v>13</v>
      </c>
      <c r="C9" s="43">
        <f t="shared" si="0"/>
        <v>0.52</v>
      </c>
      <c r="E9" s="34" t="s">
        <v>94</v>
      </c>
      <c r="F9" s="1" t="s">
        <v>46</v>
      </c>
      <c r="G9" s="32">
        <v>7</v>
      </c>
      <c r="H9" s="35">
        <f>G9/B$19</f>
        <v>0.15909090909090909</v>
      </c>
      <c r="J9" s="31">
        <v>7</v>
      </c>
      <c r="K9" s="36">
        <v>-147.4</v>
      </c>
    </row>
    <row r="10" spans="1:11" ht="19.5" thickBot="1" x14ac:dyDescent="0.45">
      <c r="A10" s="44" t="s">
        <v>34</v>
      </c>
      <c r="B10" s="45">
        <v>7</v>
      </c>
      <c r="C10" s="46">
        <f>IF(B$2=0,0,B10/B$2)</f>
        <v>0.28000000000000003</v>
      </c>
      <c r="E10" s="34" t="s">
        <v>95</v>
      </c>
      <c r="F10" s="1" t="s">
        <v>47</v>
      </c>
      <c r="G10" s="32">
        <v>4</v>
      </c>
      <c r="H10" s="35">
        <f>G10/B$19</f>
        <v>9.0909090909090912E-2</v>
      </c>
      <c r="J10" s="31">
        <v>8</v>
      </c>
      <c r="K10" s="36">
        <v>-146</v>
      </c>
    </row>
    <row r="11" spans="1:11" ht="19.5" thickTop="1" x14ac:dyDescent="0.4">
      <c r="A11" s="47" t="s">
        <v>144</v>
      </c>
      <c r="B11" s="48">
        <v>37</v>
      </c>
      <c r="C11" s="29">
        <f>IF(B$18=0,0,B11/B$18)</f>
        <v>0.22981366459627328</v>
      </c>
      <c r="E11" s="34" t="s">
        <v>103</v>
      </c>
      <c r="F11" s="1" t="s">
        <v>55</v>
      </c>
      <c r="G11" s="32">
        <v>4</v>
      </c>
      <c r="H11" s="35">
        <f>G11/B$19</f>
        <v>9.0909090909090912E-2</v>
      </c>
      <c r="J11" s="31">
        <v>9</v>
      </c>
      <c r="K11" s="36">
        <v>-173</v>
      </c>
    </row>
    <row r="12" spans="1:11" x14ac:dyDescent="0.4">
      <c r="A12" s="25" t="s">
        <v>10</v>
      </c>
      <c r="B12" s="26">
        <f>B13+B14</f>
        <v>54</v>
      </c>
      <c r="C12" s="29">
        <f>IF(B$3=0,0,B12/B$3)</f>
        <v>0.27272727272727271</v>
      </c>
      <c r="E12" s="34" t="s">
        <v>89</v>
      </c>
      <c r="F12" s="1" t="s">
        <v>42</v>
      </c>
      <c r="G12" s="32">
        <v>3</v>
      </c>
      <c r="H12" s="35">
        <f>G12/B$19</f>
        <v>6.8181818181818177E-2</v>
      </c>
      <c r="J12" s="31">
        <v>10</v>
      </c>
      <c r="K12" s="36">
        <v>-206.1</v>
      </c>
    </row>
    <row r="13" spans="1:11" x14ac:dyDescent="0.4">
      <c r="A13" s="31" t="s">
        <v>11</v>
      </c>
      <c r="B13" s="32">
        <v>27</v>
      </c>
      <c r="C13" s="35">
        <f>IF(B$3=0,0,B13/B$3)</f>
        <v>0.13636363636363635</v>
      </c>
      <c r="E13" s="34" t="s">
        <v>98</v>
      </c>
      <c r="F13" s="1" t="s">
        <v>50</v>
      </c>
      <c r="G13" s="32">
        <v>2</v>
      </c>
      <c r="H13" s="35">
        <f>G13/B$19</f>
        <v>4.5454545454545456E-2</v>
      </c>
      <c r="J13" s="31">
        <v>11</v>
      </c>
      <c r="K13" s="36">
        <v>-174</v>
      </c>
    </row>
    <row r="14" spans="1:11" x14ac:dyDescent="0.4">
      <c r="A14" s="31" t="s">
        <v>12</v>
      </c>
      <c r="B14" s="32">
        <v>27</v>
      </c>
      <c r="C14" s="35">
        <f>IF(B$3=0,0,B14/B$3)</f>
        <v>0.13636363636363635</v>
      </c>
      <c r="E14" s="34" t="s">
        <v>109</v>
      </c>
      <c r="F14" s="1" t="s">
        <v>61</v>
      </c>
      <c r="G14" s="32">
        <v>2</v>
      </c>
      <c r="H14" s="35">
        <f>G14/B$19</f>
        <v>4.5454545454545456E-2</v>
      </c>
      <c r="J14" s="31">
        <v>12</v>
      </c>
      <c r="K14" s="36">
        <v>-197</v>
      </c>
    </row>
    <row r="15" spans="1:11" x14ac:dyDescent="0.4">
      <c r="A15" s="31" t="s">
        <v>13</v>
      </c>
      <c r="B15" s="32">
        <v>41</v>
      </c>
      <c r="C15" s="35">
        <f>IF(B$3=0,0,B15/B$3)</f>
        <v>0.20707070707070707</v>
      </c>
      <c r="E15" s="34" t="s">
        <v>100</v>
      </c>
      <c r="F15" s="1" t="s">
        <v>52</v>
      </c>
      <c r="G15" s="32">
        <v>1</v>
      </c>
      <c r="H15" s="35">
        <f>G15/B$19</f>
        <v>2.2727272727272728E-2</v>
      </c>
      <c r="J15" s="31">
        <v>13</v>
      </c>
      <c r="K15" s="36">
        <v>-235</v>
      </c>
    </row>
    <row r="16" spans="1:11" x14ac:dyDescent="0.4">
      <c r="A16" s="31" t="s">
        <v>5</v>
      </c>
      <c r="B16" s="49">
        <f>IF(B$12=0,0,ROUND(C16/B$12,-2))</f>
        <v>10700</v>
      </c>
      <c r="C16" s="50">
        <v>579400</v>
      </c>
      <c r="E16" s="34" t="s">
        <v>107</v>
      </c>
      <c r="F16" s="1" t="s">
        <v>59</v>
      </c>
      <c r="G16" s="32">
        <v>1</v>
      </c>
      <c r="H16" s="35">
        <f>G16/B$19</f>
        <v>2.2727272727272728E-2</v>
      </c>
      <c r="J16" s="31">
        <v>14</v>
      </c>
      <c r="K16" s="36">
        <v>-231</v>
      </c>
    </row>
    <row r="17" spans="1:11" ht="19.5" thickBot="1" x14ac:dyDescent="0.45">
      <c r="A17" s="51" t="s">
        <v>14</v>
      </c>
      <c r="B17" s="52">
        <f>IF(B$15=0,0,ROUND(C17/B$15,-2))</f>
        <v>-9700</v>
      </c>
      <c r="C17" s="58">
        <v>-397600</v>
      </c>
      <c r="E17" s="34" t="s">
        <v>112</v>
      </c>
      <c r="F17" s="1" t="s">
        <v>64</v>
      </c>
      <c r="G17" s="32">
        <v>1</v>
      </c>
      <c r="H17" s="35">
        <f>G17/B$19</f>
        <v>2.2727272727272728E-2</v>
      </c>
      <c r="J17" s="31">
        <v>15</v>
      </c>
      <c r="K17" s="36">
        <v>-212.5</v>
      </c>
    </row>
    <row r="18" spans="1:11" ht="19.5" thickTop="1" x14ac:dyDescent="0.4">
      <c r="A18" s="47" t="s">
        <v>147</v>
      </c>
      <c r="B18" s="48">
        <v>161</v>
      </c>
      <c r="C18" s="29"/>
      <c r="E18" s="34" t="s">
        <v>119</v>
      </c>
      <c r="F18" s="1" t="s">
        <v>71</v>
      </c>
      <c r="G18" s="32">
        <v>1</v>
      </c>
      <c r="H18" s="35">
        <f>G18/B$19</f>
        <v>2.2727272727272728E-2</v>
      </c>
      <c r="J18" s="31">
        <v>16</v>
      </c>
      <c r="K18" s="36">
        <v>-233.2</v>
      </c>
    </row>
    <row r="19" spans="1:11" x14ac:dyDescent="0.4">
      <c r="A19" s="51" t="s">
        <v>148</v>
      </c>
      <c r="B19" s="54">
        <v>44</v>
      </c>
      <c r="C19" s="55"/>
      <c r="E19" s="34" t="s">
        <v>96</v>
      </c>
      <c r="F19" s="1" t="s">
        <v>48</v>
      </c>
      <c r="G19" s="32">
        <v>0</v>
      </c>
      <c r="H19" s="35">
        <f>G19/B$19</f>
        <v>0</v>
      </c>
      <c r="J19" s="31">
        <v>17</v>
      </c>
      <c r="K19" s="36">
        <v>-268.7</v>
      </c>
    </row>
    <row r="20" spans="1:11" x14ac:dyDescent="0.4">
      <c r="E20" s="34" t="s">
        <v>99</v>
      </c>
      <c r="F20" s="1" t="s">
        <v>51</v>
      </c>
      <c r="G20" s="32">
        <v>0</v>
      </c>
      <c r="H20" s="35">
        <f>G20/B$19</f>
        <v>0</v>
      </c>
      <c r="J20" s="31">
        <v>18</v>
      </c>
      <c r="K20" s="36">
        <v>-295.8</v>
      </c>
    </row>
    <row r="21" spans="1:11" x14ac:dyDescent="0.4">
      <c r="E21" s="34" t="s">
        <v>101</v>
      </c>
      <c r="F21" s="1" t="s">
        <v>53</v>
      </c>
      <c r="G21" s="32">
        <v>0</v>
      </c>
      <c r="H21" s="35">
        <f>G21/B$19</f>
        <v>0</v>
      </c>
      <c r="J21" s="31">
        <v>19</v>
      </c>
      <c r="K21" s="36">
        <v>-273.2</v>
      </c>
    </row>
    <row r="22" spans="1:11" x14ac:dyDescent="0.4">
      <c r="E22" s="34" t="s">
        <v>102</v>
      </c>
      <c r="F22" s="1" t="s">
        <v>54</v>
      </c>
      <c r="G22" s="32">
        <v>0</v>
      </c>
      <c r="H22" s="35">
        <f>G22/B$19</f>
        <v>0</v>
      </c>
      <c r="J22" s="31">
        <v>20</v>
      </c>
      <c r="K22" s="36">
        <v>-270</v>
      </c>
    </row>
    <row r="23" spans="1:11" x14ac:dyDescent="0.4">
      <c r="E23" s="34" t="s">
        <v>104</v>
      </c>
      <c r="F23" s="1" t="s">
        <v>56</v>
      </c>
      <c r="G23" s="32">
        <v>0</v>
      </c>
      <c r="H23" s="35">
        <f>G23/B$19</f>
        <v>0</v>
      </c>
      <c r="J23" s="31">
        <v>21</v>
      </c>
      <c r="K23" s="36">
        <v>-242</v>
      </c>
    </row>
    <row r="24" spans="1:11" x14ac:dyDescent="0.4">
      <c r="E24" s="34" t="s">
        <v>105</v>
      </c>
      <c r="F24" s="1" t="s">
        <v>57</v>
      </c>
      <c r="G24" s="32">
        <v>0</v>
      </c>
      <c r="H24" s="35">
        <f>G24/B$19</f>
        <v>0</v>
      </c>
      <c r="J24" s="31">
        <v>22</v>
      </c>
      <c r="K24" s="36">
        <v>-202.9</v>
      </c>
    </row>
    <row r="25" spans="1:11" x14ac:dyDescent="0.4">
      <c r="E25" s="34" t="s">
        <v>106</v>
      </c>
      <c r="F25" s="1" t="s">
        <v>58</v>
      </c>
      <c r="G25" s="32">
        <v>0</v>
      </c>
      <c r="H25" s="35">
        <f>G25/B$19</f>
        <v>0</v>
      </c>
      <c r="J25" s="31">
        <v>23</v>
      </c>
      <c r="K25" s="36">
        <v>-200.9</v>
      </c>
    </row>
    <row r="26" spans="1:11" x14ac:dyDescent="0.4">
      <c r="E26" s="34" t="s">
        <v>108</v>
      </c>
      <c r="F26" s="1" t="s">
        <v>60</v>
      </c>
      <c r="G26" s="32">
        <v>0</v>
      </c>
      <c r="H26" s="35">
        <f>G26/B$19</f>
        <v>0</v>
      </c>
      <c r="J26" s="31">
        <v>24</v>
      </c>
      <c r="K26" s="36">
        <v>-168.2</v>
      </c>
    </row>
    <row r="27" spans="1:11" x14ac:dyDescent="0.4">
      <c r="E27" s="34" t="s">
        <v>110</v>
      </c>
      <c r="F27" s="1" t="s">
        <v>62</v>
      </c>
      <c r="G27" s="32">
        <v>0</v>
      </c>
      <c r="H27" s="35">
        <f>G27/B$19</f>
        <v>0</v>
      </c>
      <c r="J27" s="31">
        <v>25</v>
      </c>
      <c r="K27" s="36">
        <v>-216.89999999999998</v>
      </c>
    </row>
    <row r="28" spans="1:11" x14ac:dyDescent="0.4">
      <c r="E28" s="34" t="s">
        <v>111</v>
      </c>
      <c r="F28" s="1" t="s">
        <v>63</v>
      </c>
      <c r="G28" s="32">
        <v>0</v>
      </c>
      <c r="H28" s="35">
        <f>G28/B$19</f>
        <v>0</v>
      </c>
    </row>
    <row r="29" spans="1:11" x14ac:dyDescent="0.4">
      <c r="E29" s="34" t="s">
        <v>113</v>
      </c>
      <c r="F29" s="1" t="s">
        <v>65</v>
      </c>
      <c r="G29" s="32">
        <v>0</v>
      </c>
      <c r="H29" s="35">
        <f>G29/B$19</f>
        <v>0</v>
      </c>
    </row>
    <row r="30" spans="1:11" x14ac:dyDescent="0.4">
      <c r="E30" s="34" t="s">
        <v>114</v>
      </c>
      <c r="F30" s="1" t="s">
        <v>66</v>
      </c>
      <c r="G30" s="32">
        <v>0</v>
      </c>
      <c r="H30" s="35">
        <f>G30/B$19</f>
        <v>0</v>
      </c>
    </row>
    <row r="31" spans="1:11" x14ac:dyDescent="0.4">
      <c r="E31" s="34" t="s">
        <v>116</v>
      </c>
      <c r="F31" s="1" t="s">
        <v>68</v>
      </c>
      <c r="G31" s="32">
        <v>0</v>
      </c>
      <c r="H31" s="35">
        <f>G31/B$19</f>
        <v>0</v>
      </c>
    </row>
    <row r="32" spans="1:11" x14ac:dyDescent="0.4">
      <c r="E32" s="34" t="s">
        <v>117</v>
      </c>
      <c r="F32" s="1" t="s">
        <v>69</v>
      </c>
      <c r="G32" s="32">
        <v>0</v>
      </c>
      <c r="H32" s="35">
        <f>G32/B$19</f>
        <v>0</v>
      </c>
    </row>
    <row r="33" spans="5:8" x14ac:dyDescent="0.4">
      <c r="E33" s="34" t="s">
        <v>118</v>
      </c>
      <c r="F33" s="1" t="s">
        <v>70</v>
      </c>
      <c r="G33" s="32">
        <v>0</v>
      </c>
      <c r="H33" s="35">
        <f>G33/B$19</f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>G34/B$19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>G35/B$19</f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>G36/B$19</f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>G37/B$19</f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>G38/B$19</f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>G39/B$19</f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>G40/B$19</f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>G41/B$19</f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>G42/B$19</f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>G43/B$19</f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>G44/B$19</f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>G45/B$19</f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>G46/B$19</f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>G47/B$19</f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>G48/B$19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G49/B$19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G50/B$19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G51/B$19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3439-9763-4113-9AE9-E742F0F8C28E}">
  <sheetPr codeName="Sheet1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/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0</v>
      </c>
      <c r="C2" s="27"/>
      <c r="E2" s="28" t="s">
        <v>88</v>
      </c>
      <c r="F2" s="10" t="s">
        <v>41</v>
      </c>
      <c r="G2" s="26">
        <v>0</v>
      </c>
      <c r="H2" s="29" t="e">
        <f>G2/B$19</f>
        <v>#DIV/0!</v>
      </c>
      <c r="J2" s="25">
        <v>0</v>
      </c>
      <c r="K2" s="30">
        <v>0</v>
      </c>
    </row>
    <row r="3" spans="1:11" x14ac:dyDescent="0.4">
      <c r="A3" s="31" t="s">
        <v>8</v>
      </c>
      <c r="B3" s="32">
        <v>0</v>
      </c>
      <c r="C3" s="33"/>
      <c r="E3" s="34" t="s">
        <v>89</v>
      </c>
      <c r="F3" s="1" t="s">
        <v>42</v>
      </c>
      <c r="G3" s="32">
        <v>0</v>
      </c>
      <c r="H3" s="35" t="e">
        <f t="shared" ref="H3:H51" si="0">G3/B$19</f>
        <v>#DIV/0!</v>
      </c>
    </row>
    <row r="4" spans="1:11" x14ac:dyDescent="0.4">
      <c r="A4" s="31" t="s">
        <v>6</v>
      </c>
      <c r="B4" s="37">
        <v>0</v>
      </c>
      <c r="C4" s="36"/>
      <c r="E4" s="34" t="s">
        <v>90</v>
      </c>
      <c r="F4" s="1" t="s">
        <v>43</v>
      </c>
      <c r="G4" s="32">
        <v>0</v>
      </c>
      <c r="H4" s="35" t="e">
        <f t="shared" si="0"/>
        <v>#DIV/0!</v>
      </c>
    </row>
    <row r="5" spans="1:11" x14ac:dyDescent="0.4">
      <c r="A5" s="31" t="s">
        <v>7</v>
      </c>
      <c r="B5" s="37">
        <f>IF(B$2=0,0,B$4/B$2)</f>
        <v>0</v>
      </c>
      <c r="C5" s="38"/>
      <c r="E5" s="34" t="s">
        <v>91</v>
      </c>
      <c r="F5" s="1" t="s">
        <v>44</v>
      </c>
      <c r="G5" s="32">
        <v>0</v>
      </c>
      <c r="H5" s="35" t="e">
        <f t="shared" si="0"/>
        <v>#DIV/0!</v>
      </c>
    </row>
    <row r="6" spans="1:11" x14ac:dyDescent="0.4">
      <c r="A6" s="31" t="s">
        <v>1</v>
      </c>
      <c r="B6" s="39">
        <f>IF(B$2=0,0,(B$7*1+B$8*2+B$9*3)/B$2)</f>
        <v>0</v>
      </c>
      <c r="C6" s="40"/>
      <c r="E6" s="34" t="s">
        <v>92</v>
      </c>
      <c r="F6" s="1" t="s">
        <v>45</v>
      </c>
      <c r="G6" s="32">
        <v>0</v>
      </c>
      <c r="H6" s="35" t="e">
        <f t="shared" si="0"/>
        <v>#DIV/0!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87</v>
      </c>
      <c r="G7" s="32">
        <v>0</v>
      </c>
      <c r="H7" s="35" t="e">
        <f t="shared" si="0"/>
        <v>#DIV/0!</v>
      </c>
    </row>
    <row r="8" spans="1:11" x14ac:dyDescent="0.4">
      <c r="A8" s="31" t="s">
        <v>3</v>
      </c>
      <c r="B8" s="32">
        <v>0</v>
      </c>
      <c r="C8" s="35">
        <f t="shared" ref="C8:C9" si="1">IF(B$2=0,0,B8/B$2)</f>
        <v>0</v>
      </c>
      <c r="E8" s="34" t="s">
        <v>94</v>
      </c>
      <c r="F8" s="1" t="s">
        <v>46</v>
      </c>
      <c r="G8" s="32">
        <v>0</v>
      </c>
      <c r="H8" s="35" t="e">
        <f t="shared" si="0"/>
        <v>#DIV/0!</v>
      </c>
    </row>
    <row r="9" spans="1:11" x14ac:dyDescent="0.4">
      <c r="A9" s="41" t="s">
        <v>4</v>
      </c>
      <c r="B9" s="42">
        <v>0</v>
      </c>
      <c r="C9" s="43">
        <f t="shared" si="1"/>
        <v>0</v>
      </c>
      <c r="E9" s="34" t="s">
        <v>95</v>
      </c>
      <c r="F9" s="1" t="s">
        <v>47</v>
      </c>
      <c r="G9" s="32">
        <v>0</v>
      </c>
      <c r="H9" s="35" t="e">
        <f t="shared" si="0"/>
        <v>#DIV/0!</v>
      </c>
    </row>
    <row r="10" spans="1:11" ht="19.5" thickBot="1" x14ac:dyDescent="0.45">
      <c r="A10" s="44" t="s">
        <v>34</v>
      </c>
      <c r="B10" s="45">
        <v>0</v>
      </c>
      <c r="C10" s="46">
        <f>IF(B$2=0,0,B10/B$2)</f>
        <v>0</v>
      </c>
      <c r="E10" s="34" t="s">
        <v>96</v>
      </c>
      <c r="F10" s="1" t="s">
        <v>48</v>
      </c>
      <c r="G10" s="32">
        <v>0</v>
      </c>
      <c r="H10" s="35" t="e">
        <f t="shared" si="0"/>
        <v>#DIV/0!</v>
      </c>
    </row>
    <row r="11" spans="1:11" ht="19.5" thickTop="1" x14ac:dyDescent="0.4">
      <c r="A11" s="47" t="s">
        <v>144</v>
      </c>
      <c r="B11" s="48">
        <v>0</v>
      </c>
      <c r="C11" s="29">
        <f>IF(B$18=0,0,B11/B$18)</f>
        <v>0</v>
      </c>
      <c r="E11" s="34" t="s">
        <v>97</v>
      </c>
      <c r="F11" s="1" t="s">
        <v>49</v>
      </c>
      <c r="G11" s="32">
        <v>0</v>
      </c>
      <c r="H11" s="35" t="e">
        <f t="shared" si="0"/>
        <v>#DIV/0!</v>
      </c>
    </row>
    <row r="12" spans="1:11" x14ac:dyDescent="0.4">
      <c r="A12" s="25" t="s">
        <v>10</v>
      </c>
      <c r="B12" s="26">
        <f>B13+B14</f>
        <v>0</v>
      </c>
      <c r="C12" s="29">
        <f>IF(B$3=0,0,B12/B$3)</f>
        <v>0</v>
      </c>
      <c r="E12" s="34" t="s">
        <v>98</v>
      </c>
      <c r="F12" s="1" t="s">
        <v>50</v>
      </c>
      <c r="G12" s="32">
        <v>0</v>
      </c>
      <c r="H12" s="35" t="e">
        <f t="shared" si="0"/>
        <v>#DIV/0!</v>
      </c>
    </row>
    <row r="13" spans="1:11" x14ac:dyDescent="0.4">
      <c r="A13" s="31" t="s">
        <v>11</v>
      </c>
      <c r="B13" s="32">
        <v>0</v>
      </c>
      <c r="C13" s="35">
        <f>IF(B$3=0,0,B13/B$3)</f>
        <v>0</v>
      </c>
      <c r="E13" s="34" t="s">
        <v>99</v>
      </c>
      <c r="F13" s="1" t="s">
        <v>51</v>
      </c>
      <c r="G13" s="32">
        <v>0</v>
      </c>
      <c r="H13" s="35" t="e">
        <f t="shared" si="0"/>
        <v>#DIV/0!</v>
      </c>
    </row>
    <row r="14" spans="1:11" x14ac:dyDescent="0.4">
      <c r="A14" s="31" t="s">
        <v>12</v>
      </c>
      <c r="B14" s="32">
        <v>0</v>
      </c>
      <c r="C14" s="35">
        <f>IF(B$3=0,0,B14/B$3)</f>
        <v>0</v>
      </c>
      <c r="E14" s="34" t="s">
        <v>100</v>
      </c>
      <c r="F14" s="1" t="s">
        <v>52</v>
      </c>
      <c r="G14" s="32">
        <v>0</v>
      </c>
      <c r="H14" s="35" t="e">
        <f t="shared" si="0"/>
        <v>#DIV/0!</v>
      </c>
    </row>
    <row r="15" spans="1:11" x14ac:dyDescent="0.4">
      <c r="A15" s="31" t="s">
        <v>13</v>
      </c>
      <c r="B15" s="32">
        <v>0</v>
      </c>
      <c r="C15" s="35">
        <f>IF(B$3=0,0,B15/B$3)</f>
        <v>0</v>
      </c>
      <c r="E15" s="34" t="s">
        <v>101</v>
      </c>
      <c r="F15" s="1" t="s">
        <v>53</v>
      </c>
      <c r="G15" s="32">
        <v>0</v>
      </c>
      <c r="H15" s="35" t="e">
        <f t="shared" si="0"/>
        <v>#DIV/0!</v>
      </c>
    </row>
    <row r="16" spans="1:11" x14ac:dyDescent="0.4">
      <c r="A16" s="31" t="s">
        <v>5</v>
      </c>
      <c r="B16" s="49">
        <f>IF(B$12=0,0,ROUND(C16/B$12,-2))</f>
        <v>0</v>
      </c>
      <c r="C16" s="50">
        <v>0</v>
      </c>
      <c r="E16" s="34" t="s">
        <v>102</v>
      </c>
      <c r="F16" s="1" t="s">
        <v>54</v>
      </c>
      <c r="G16" s="32">
        <v>0</v>
      </c>
      <c r="H16" s="35" t="e">
        <f t="shared" si="0"/>
        <v>#DIV/0!</v>
      </c>
    </row>
    <row r="17" spans="1:8" ht="19.5" thickBot="1" x14ac:dyDescent="0.45">
      <c r="A17" s="51" t="s">
        <v>14</v>
      </c>
      <c r="B17" s="52">
        <f>IF(B$15=0,0,ROUND(C17/B$15,-2))</f>
        <v>0</v>
      </c>
      <c r="C17" s="58">
        <v>0</v>
      </c>
      <c r="E17" s="34" t="s">
        <v>103</v>
      </c>
      <c r="F17" s="1" t="s">
        <v>55</v>
      </c>
      <c r="G17" s="32">
        <v>0</v>
      </c>
      <c r="H17" s="35" t="e">
        <f t="shared" si="0"/>
        <v>#DIV/0!</v>
      </c>
    </row>
    <row r="18" spans="1:8" ht="19.5" thickTop="1" x14ac:dyDescent="0.4">
      <c r="A18" s="47" t="s">
        <v>147</v>
      </c>
      <c r="B18" s="48">
        <v>0</v>
      </c>
      <c r="C18" s="29"/>
      <c r="E18" s="34" t="s">
        <v>104</v>
      </c>
      <c r="F18" s="1" t="s">
        <v>56</v>
      </c>
      <c r="G18" s="32">
        <v>0</v>
      </c>
      <c r="H18" s="35" t="e">
        <f t="shared" si="0"/>
        <v>#DIV/0!</v>
      </c>
    </row>
    <row r="19" spans="1:8" x14ac:dyDescent="0.4">
      <c r="A19" s="51" t="s">
        <v>148</v>
      </c>
      <c r="B19" s="54">
        <v>0</v>
      </c>
      <c r="C19" s="55"/>
      <c r="E19" s="34" t="s">
        <v>105</v>
      </c>
      <c r="F19" s="1" t="s">
        <v>57</v>
      </c>
      <c r="G19" s="32">
        <v>0</v>
      </c>
      <c r="H19" s="35" t="e">
        <f t="shared" si="0"/>
        <v>#DIV/0!</v>
      </c>
    </row>
    <row r="20" spans="1:8" x14ac:dyDescent="0.4">
      <c r="E20" s="34" t="s">
        <v>106</v>
      </c>
      <c r="F20" s="1" t="s">
        <v>58</v>
      </c>
      <c r="G20" s="32">
        <v>0</v>
      </c>
      <c r="H20" s="35" t="e">
        <f t="shared" si="0"/>
        <v>#DIV/0!</v>
      </c>
    </row>
    <row r="21" spans="1:8" x14ac:dyDescent="0.4">
      <c r="E21" s="34" t="s">
        <v>107</v>
      </c>
      <c r="F21" s="1" t="s">
        <v>59</v>
      </c>
      <c r="G21" s="32">
        <v>0</v>
      </c>
      <c r="H21" s="35" t="e">
        <f t="shared" si="0"/>
        <v>#DIV/0!</v>
      </c>
    </row>
    <row r="22" spans="1:8" x14ac:dyDescent="0.4">
      <c r="E22" s="34" t="s">
        <v>108</v>
      </c>
      <c r="F22" s="1" t="s">
        <v>60</v>
      </c>
      <c r="G22" s="32">
        <v>0</v>
      </c>
      <c r="H22" s="35" t="e">
        <f t="shared" si="0"/>
        <v>#DIV/0!</v>
      </c>
    </row>
    <row r="23" spans="1:8" x14ac:dyDescent="0.4">
      <c r="E23" s="34" t="s">
        <v>109</v>
      </c>
      <c r="F23" s="1" t="s">
        <v>61</v>
      </c>
      <c r="G23" s="32">
        <v>0</v>
      </c>
      <c r="H23" s="35" t="e">
        <f t="shared" si="0"/>
        <v>#DIV/0!</v>
      </c>
    </row>
    <row r="24" spans="1:8" x14ac:dyDescent="0.4">
      <c r="E24" s="34" t="s">
        <v>110</v>
      </c>
      <c r="F24" s="1" t="s">
        <v>62</v>
      </c>
      <c r="G24" s="32">
        <v>0</v>
      </c>
      <c r="H24" s="35" t="e">
        <f t="shared" si="0"/>
        <v>#DIV/0!</v>
      </c>
    </row>
    <row r="25" spans="1:8" x14ac:dyDescent="0.4">
      <c r="E25" s="34" t="s">
        <v>111</v>
      </c>
      <c r="F25" s="1" t="s">
        <v>63</v>
      </c>
      <c r="G25" s="32">
        <v>0</v>
      </c>
      <c r="H25" s="35" t="e">
        <f t="shared" si="0"/>
        <v>#DIV/0!</v>
      </c>
    </row>
    <row r="26" spans="1:8" x14ac:dyDescent="0.4">
      <c r="E26" s="34" t="s">
        <v>112</v>
      </c>
      <c r="F26" s="1" t="s">
        <v>64</v>
      </c>
      <c r="G26" s="32">
        <v>0</v>
      </c>
      <c r="H26" s="35" t="e">
        <f t="shared" si="0"/>
        <v>#DIV/0!</v>
      </c>
    </row>
    <row r="27" spans="1:8" x14ac:dyDescent="0.4">
      <c r="E27" s="34" t="s">
        <v>113</v>
      </c>
      <c r="F27" s="1" t="s">
        <v>65</v>
      </c>
      <c r="G27" s="32">
        <v>0</v>
      </c>
      <c r="H27" s="35" t="e">
        <f t="shared" si="0"/>
        <v>#DIV/0!</v>
      </c>
    </row>
    <row r="28" spans="1:8" x14ac:dyDescent="0.4">
      <c r="E28" s="34" t="s">
        <v>114</v>
      </c>
      <c r="F28" s="1" t="s">
        <v>66</v>
      </c>
      <c r="G28" s="32">
        <v>0</v>
      </c>
      <c r="H28" s="35" t="e">
        <f t="shared" si="0"/>
        <v>#DIV/0!</v>
      </c>
    </row>
    <row r="29" spans="1:8" x14ac:dyDescent="0.4">
      <c r="E29" s="34" t="s">
        <v>115</v>
      </c>
      <c r="F29" s="1" t="s">
        <v>67</v>
      </c>
      <c r="G29" s="32">
        <v>0</v>
      </c>
      <c r="H29" s="35" t="e">
        <f t="shared" si="0"/>
        <v>#DIV/0!</v>
      </c>
    </row>
    <row r="30" spans="1:8" x14ac:dyDescent="0.4">
      <c r="E30" s="34" t="s">
        <v>116</v>
      </c>
      <c r="F30" s="1" t="s">
        <v>68</v>
      </c>
      <c r="G30" s="32">
        <v>0</v>
      </c>
      <c r="H30" s="35" t="e">
        <f t="shared" si="0"/>
        <v>#DIV/0!</v>
      </c>
    </row>
    <row r="31" spans="1:8" x14ac:dyDescent="0.4">
      <c r="E31" s="34" t="s">
        <v>117</v>
      </c>
      <c r="F31" s="1" t="s">
        <v>69</v>
      </c>
      <c r="G31" s="32">
        <v>0</v>
      </c>
      <c r="H31" s="35" t="e">
        <f t="shared" si="0"/>
        <v>#DIV/0!</v>
      </c>
    </row>
    <row r="32" spans="1:8" x14ac:dyDescent="0.4">
      <c r="E32" s="34" t="s">
        <v>118</v>
      </c>
      <c r="F32" s="1" t="s">
        <v>70</v>
      </c>
      <c r="G32" s="32">
        <v>0</v>
      </c>
      <c r="H32" s="35" t="e">
        <f t="shared" si="0"/>
        <v>#DIV/0!</v>
      </c>
    </row>
    <row r="33" spans="5:8" x14ac:dyDescent="0.4">
      <c r="E33" s="34" t="s">
        <v>119</v>
      </c>
      <c r="F33" s="1" t="s">
        <v>71</v>
      </c>
      <c r="G33" s="32">
        <v>0</v>
      </c>
      <c r="H33" s="35" t="e">
        <f t="shared" si="0"/>
        <v>#DIV/0!</v>
      </c>
    </row>
    <row r="34" spans="5:8" x14ac:dyDescent="0.4">
      <c r="E34" s="34" t="s">
        <v>120</v>
      </c>
      <c r="F34" s="1" t="s">
        <v>72</v>
      </c>
      <c r="G34" s="32">
        <v>0</v>
      </c>
      <c r="H34" s="35" t="e">
        <f t="shared" si="0"/>
        <v>#DIV/0!</v>
      </c>
    </row>
    <row r="35" spans="5:8" x14ac:dyDescent="0.4">
      <c r="E35" s="34" t="s">
        <v>121</v>
      </c>
      <c r="F35" s="1" t="s">
        <v>73</v>
      </c>
      <c r="G35" s="32">
        <v>0</v>
      </c>
      <c r="H35" s="35" t="e">
        <f t="shared" si="0"/>
        <v>#DIV/0!</v>
      </c>
    </row>
    <row r="36" spans="5:8" x14ac:dyDescent="0.4">
      <c r="E36" s="34" t="s">
        <v>122</v>
      </c>
      <c r="F36" s="1" t="s">
        <v>74</v>
      </c>
      <c r="G36" s="32">
        <v>0</v>
      </c>
      <c r="H36" s="35" t="e">
        <f t="shared" si="0"/>
        <v>#DIV/0!</v>
      </c>
    </row>
    <row r="37" spans="5:8" x14ac:dyDescent="0.4">
      <c r="E37" s="34" t="s">
        <v>123</v>
      </c>
      <c r="F37" s="1" t="s">
        <v>75</v>
      </c>
      <c r="G37" s="32">
        <v>0</v>
      </c>
      <c r="H37" s="35" t="e">
        <f t="shared" si="0"/>
        <v>#DIV/0!</v>
      </c>
    </row>
    <row r="38" spans="5:8" x14ac:dyDescent="0.4">
      <c r="E38" s="34" t="s">
        <v>124</v>
      </c>
      <c r="F38" s="1" t="s">
        <v>76</v>
      </c>
      <c r="G38" s="32">
        <v>0</v>
      </c>
      <c r="H38" s="35" t="e">
        <f t="shared" si="0"/>
        <v>#DIV/0!</v>
      </c>
    </row>
    <row r="39" spans="5:8" x14ac:dyDescent="0.4">
      <c r="E39" s="34" t="s">
        <v>125</v>
      </c>
      <c r="F39" s="1" t="s">
        <v>77</v>
      </c>
      <c r="G39" s="32">
        <v>0</v>
      </c>
      <c r="H39" s="35" t="e">
        <f t="shared" si="0"/>
        <v>#DIV/0!</v>
      </c>
    </row>
    <row r="40" spans="5:8" x14ac:dyDescent="0.4">
      <c r="E40" s="34" t="s">
        <v>126</v>
      </c>
      <c r="F40" s="1" t="s">
        <v>78</v>
      </c>
      <c r="G40" s="32">
        <v>0</v>
      </c>
      <c r="H40" s="35" t="e">
        <f t="shared" si="0"/>
        <v>#DIV/0!</v>
      </c>
    </row>
    <row r="41" spans="5:8" x14ac:dyDescent="0.4">
      <c r="E41" s="34" t="s">
        <v>127</v>
      </c>
      <c r="F41" s="1" t="s">
        <v>79</v>
      </c>
      <c r="G41" s="32">
        <v>0</v>
      </c>
      <c r="H41" s="35" t="e">
        <f t="shared" si="0"/>
        <v>#DIV/0!</v>
      </c>
    </row>
    <row r="42" spans="5:8" x14ac:dyDescent="0.4">
      <c r="E42" s="34" t="s">
        <v>128</v>
      </c>
      <c r="F42" s="1" t="s">
        <v>80</v>
      </c>
      <c r="G42" s="32">
        <v>0</v>
      </c>
      <c r="H42" s="35" t="e">
        <f t="shared" si="0"/>
        <v>#DIV/0!</v>
      </c>
    </row>
    <row r="43" spans="5:8" x14ac:dyDescent="0.4">
      <c r="E43" s="34" t="s">
        <v>129</v>
      </c>
      <c r="F43" s="1" t="s">
        <v>81</v>
      </c>
      <c r="G43" s="32">
        <v>0</v>
      </c>
      <c r="H43" s="35" t="e">
        <f t="shared" si="0"/>
        <v>#DIV/0!</v>
      </c>
    </row>
    <row r="44" spans="5:8" x14ac:dyDescent="0.4">
      <c r="E44" s="34" t="s">
        <v>130</v>
      </c>
      <c r="F44" s="1" t="s">
        <v>82</v>
      </c>
      <c r="G44" s="32">
        <v>0</v>
      </c>
      <c r="H44" s="35" t="e">
        <f t="shared" si="0"/>
        <v>#DIV/0!</v>
      </c>
    </row>
    <row r="45" spans="5:8" x14ac:dyDescent="0.4">
      <c r="E45" s="34" t="s">
        <v>131</v>
      </c>
      <c r="F45" s="1" t="s">
        <v>138</v>
      </c>
      <c r="G45" s="32">
        <v>0</v>
      </c>
      <c r="H45" s="35" t="e">
        <f t="shared" si="0"/>
        <v>#DIV/0!</v>
      </c>
    </row>
    <row r="46" spans="5:8" x14ac:dyDescent="0.4">
      <c r="E46" s="34" t="s">
        <v>132</v>
      </c>
      <c r="F46" s="1" t="s">
        <v>139</v>
      </c>
      <c r="G46" s="32">
        <v>0</v>
      </c>
      <c r="H46" s="35" t="e">
        <f t="shared" si="0"/>
        <v>#DIV/0!</v>
      </c>
    </row>
    <row r="47" spans="5:8" x14ac:dyDescent="0.4">
      <c r="E47" s="34" t="s">
        <v>133</v>
      </c>
      <c r="F47" s="1" t="s">
        <v>140</v>
      </c>
      <c r="G47" s="32">
        <v>0</v>
      </c>
      <c r="H47" s="35" t="e">
        <f t="shared" si="0"/>
        <v>#DIV/0!</v>
      </c>
    </row>
    <row r="48" spans="5:8" x14ac:dyDescent="0.4">
      <c r="E48" s="34" t="s">
        <v>134</v>
      </c>
      <c r="F48" s="1" t="s">
        <v>83</v>
      </c>
      <c r="G48" s="32">
        <v>0</v>
      </c>
      <c r="H48" s="35" t="e">
        <f t="shared" si="0"/>
        <v>#DIV/0!</v>
      </c>
    </row>
    <row r="49" spans="5:8" x14ac:dyDescent="0.4">
      <c r="E49" s="34" t="s">
        <v>135</v>
      </c>
      <c r="F49" s="1" t="s">
        <v>84</v>
      </c>
      <c r="G49" s="32">
        <v>0</v>
      </c>
      <c r="H49" s="35" t="e">
        <f t="shared" si="0"/>
        <v>#DIV/0!</v>
      </c>
    </row>
    <row r="50" spans="5:8" x14ac:dyDescent="0.4">
      <c r="E50" s="34" t="s">
        <v>136</v>
      </c>
      <c r="F50" s="1" t="s">
        <v>85</v>
      </c>
      <c r="G50" s="32">
        <v>0</v>
      </c>
      <c r="H50" s="35" t="e">
        <f t="shared" si="0"/>
        <v>#DIV/0!</v>
      </c>
    </row>
    <row r="51" spans="5:8" x14ac:dyDescent="0.4">
      <c r="E51" s="53" t="s">
        <v>137</v>
      </c>
      <c r="F51" s="52" t="s">
        <v>86</v>
      </c>
      <c r="G51" s="54">
        <v>0</v>
      </c>
      <c r="H51" s="55" t="e">
        <f t="shared" si="0"/>
        <v>#DIV/0!</v>
      </c>
    </row>
  </sheetData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ランキング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2018-12-20T06:07:01Z</dcterms:modified>
</cp:coreProperties>
</file>