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E2674077-0BEE-41FB-A056-946112F14B3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104" r:id="rId2"/>
    <sheet name="りくと" sheetId="1105" r:id="rId3"/>
    <sheet name="いっしー" sheetId="1106" r:id="rId4"/>
    <sheet name="かこたろう" sheetId="1107" r:id="rId5"/>
    <sheet name="ともき" sheetId="1108" r:id="rId6"/>
    <sheet name="がくと" sheetId="1109" r:id="rId7"/>
    <sheet name="たかの" sheetId="1110" r:id="rId8"/>
    <sheet name="ただ" sheetId="1111" r:id="rId9"/>
    <sheet name="やがさき" sheetId="1112" r:id="rId10"/>
    <sheet name="れんたろう" sheetId="1113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113" l="1"/>
  <c r="C14" i="1113"/>
  <c r="C13" i="1113"/>
  <c r="C12" i="1113"/>
  <c r="B11" i="1113"/>
  <c r="B15" i="1113" s="1"/>
  <c r="C10" i="1113"/>
  <c r="C9" i="1113"/>
  <c r="C8" i="1113"/>
  <c r="C7" i="1113"/>
  <c r="B6" i="1113"/>
  <c r="B5" i="1113"/>
  <c r="C11" i="1113" l="1"/>
  <c r="B16" i="1112" l="1"/>
  <c r="C14" i="1112"/>
  <c r="C13" i="1112"/>
  <c r="C12" i="1112"/>
  <c r="B11" i="1112"/>
  <c r="B15" i="1112" s="1"/>
  <c r="C10" i="1112"/>
  <c r="C9" i="1112"/>
  <c r="C8" i="1112"/>
  <c r="C7" i="1112"/>
  <c r="B6" i="1112"/>
  <c r="B5" i="1112"/>
  <c r="C11" i="1112" l="1"/>
  <c r="B16" i="1111" l="1"/>
  <c r="C14" i="1111"/>
  <c r="C13" i="1111"/>
  <c r="C12" i="1111"/>
  <c r="B11" i="1111"/>
  <c r="B15" i="1111" s="1"/>
  <c r="C10" i="1111"/>
  <c r="C9" i="1111"/>
  <c r="C8" i="1111"/>
  <c r="C7" i="1111"/>
  <c r="B6" i="1111"/>
  <c r="B5" i="1111"/>
  <c r="B16" i="1110"/>
  <c r="C14" i="1110"/>
  <c r="C13" i="1110"/>
  <c r="C12" i="1110"/>
  <c r="B11" i="1110"/>
  <c r="B15" i="1110" s="1"/>
  <c r="C10" i="1110"/>
  <c r="C9" i="1110"/>
  <c r="C8" i="1110"/>
  <c r="C7" i="1110"/>
  <c r="B6" i="1110"/>
  <c r="B5" i="1110"/>
  <c r="C11" i="1111" l="1"/>
  <c r="C11" i="1110"/>
  <c r="B16" i="1109" l="1"/>
  <c r="C14" i="1109"/>
  <c r="C13" i="1109"/>
  <c r="C12" i="1109"/>
  <c r="B11" i="1109"/>
  <c r="B15" i="1109" s="1"/>
  <c r="C10" i="1109"/>
  <c r="C9" i="1109"/>
  <c r="C8" i="1109"/>
  <c r="C7" i="1109"/>
  <c r="B6" i="1109"/>
  <c r="B5" i="1109"/>
  <c r="C11" i="1109" l="1"/>
  <c r="B16" i="1108" l="1"/>
  <c r="C14" i="1108"/>
  <c r="C13" i="1108"/>
  <c r="C12" i="1108"/>
  <c r="B11" i="1108"/>
  <c r="B15" i="1108" s="1"/>
  <c r="C10" i="1108"/>
  <c r="C9" i="1108"/>
  <c r="C8" i="1108"/>
  <c r="C7" i="1108"/>
  <c r="B6" i="1108"/>
  <c r="B5" i="1108"/>
  <c r="B16" i="1107"/>
  <c r="C14" i="1107"/>
  <c r="C13" i="1107"/>
  <c r="C12" i="1107"/>
  <c r="B11" i="1107"/>
  <c r="B15" i="1107" s="1"/>
  <c r="C10" i="1107"/>
  <c r="C9" i="1107"/>
  <c r="C8" i="1107"/>
  <c r="C7" i="1107"/>
  <c r="B6" i="1107"/>
  <c r="B5" i="1107"/>
  <c r="C11" i="1108" l="1"/>
  <c r="C11" i="1107"/>
  <c r="B16" i="1106" l="1"/>
  <c r="C14" i="1106"/>
  <c r="C13" i="1106"/>
  <c r="C12" i="1106"/>
  <c r="B11" i="1106"/>
  <c r="B15" i="1106" s="1"/>
  <c r="C10" i="1106"/>
  <c r="C9" i="1106"/>
  <c r="C8" i="1106"/>
  <c r="C7" i="1106"/>
  <c r="B6" i="1106"/>
  <c r="B5" i="1106"/>
  <c r="B16" i="1105"/>
  <c r="C14" i="1105"/>
  <c r="C13" i="1105"/>
  <c r="C12" i="1105"/>
  <c r="B11" i="1105"/>
  <c r="B15" i="1105" s="1"/>
  <c r="C10" i="1105"/>
  <c r="C9" i="1105"/>
  <c r="C8" i="1105"/>
  <c r="C7" i="1105"/>
  <c r="B6" i="1105"/>
  <c r="B5" i="1105"/>
  <c r="B16" i="1104"/>
  <c r="C14" i="1104"/>
  <c r="C13" i="1104"/>
  <c r="C12" i="1104"/>
  <c r="B11" i="1104"/>
  <c r="B15" i="1104" s="1"/>
  <c r="C10" i="1104"/>
  <c r="C9" i="1104"/>
  <c r="C8" i="1104"/>
  <c r="C7" i="1104"/>
  <c r="B6" i="1104"/>
  <c r="B5" i="1104"/>
  <c r="C11" i="1106" l="1"/>
  <c r="C11" i="1105"/>
  <c r="C11" i="1104"/>
  <c r="C11" i="1" l="1"/>
  <c r="C12" i="1"/>
  <c r="C14" i="1"/>
  <c r="C13" i="1"/>
  <c r="C10" i="1" l="1"/>
  <c r="C7" i="1"/>
  <c r="C9" i="1" l="1"/>
  <c r="C8" i="1" l="1"/>
  <c r="B16" i="1" l="1"/>
  <c r="B15" i="1"/>
  <c r="B11" i="1" l="1"/>
  <c r="B5" i="1" l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<sst xmlns="http://schemas.openxmlformats.org/spreadsheetml/2006/main" count="285" uniqueCount="40">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</sst>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26</v>
      </c>
      <c r="C2" s="25">
        <v>352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28</v>
      </c>
      <c r="O2" s="22">
        <v>0.13235294117647059</v>
      </c>
      <c r="P2" s="20" t="s">
        <v>27</v>
      </c>
      <c r="Q2" s="21">
        <v>11700</v>
      </c>
      <c r="R2" s="20" t="s">
        <v>30</v>
      </c>
      <c r="S2" s="21">
        <v>-7500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0.37804878048780488</v>
      </c>
      <c r="J3" s="20" t="s">
        <v>26</v>
      </c>
      <c r="K3" s="23">
        <v>0.12195121951219512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29</v>
      </c>
      <c r="Q3" s="21">
        <v>11200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35</v>
      </c>
      <c r="C4" s="25">
        <v>83</v>
      </c>
      <c r="D4" s="20" t="s">
        <v>28</v>
      </c>
      <c r="E4" s="24">
        <v>5.8717948717948714</v>
      </c>
      <c r="F4" s="20" t="s">
        <v>26</v>
      </c>
      <c r="G4" s="31">
        <v>1.8658536585365855</v>
      </c>
      <c r="H4" s="20" t="s">
        <v>28</v>
      </c>
      <c r="I4" s="23">
        <v>0.35897435897435898</v>
      </c>
      <c r="J4" s="20" t="s">
        <v>28</v>
      </c>
      <c r="K4" s="23">
        <v>0.12820512820512819</v>
      </c>
      <c r="L4" s="20" t="s">
        <v>26</v>
      </c>
      <c r="M4" s="22">
        <v>0.34991423670668953</v>
      </c>
      <c r="N4" s="20" t="s">
        <v>26</v>
      </c>
      <c r="O4" s="22">
        <v>0.14922813036020582</v>
      </c>
      <c r="P4" s="20" t="s">
        <v>31</v>
      </c>
      <c r="Q4" s="21">
        <v>11000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31</v>
      </c>
      <c r="C5" s="25">
        <v>16</v>
      </c>
      <c r="D5" s="20" t="s">
        <v>26</v>
      </c>
      <c r="E5" s="24">
        <v>4.2926829268292686</v>
      </c>
      <c r="F5" s="20" t="s">
        <v>18</v>
      </c>
      <c r="G5" s="31">
        <v>2</v>
      </c>
      <c r="H5" s="20" t="s">
        <v>27</v>
      </c>
      <c r="I5" s="23">
        <v>0.33333333333333331</v>
      </c>
      <c r="J5" s="20" t="s">
        <v>30</v>
      </c>
      <c r="K5" s="23">
        <v>0.14285714285714285</v>
      </c>
      <c r="L5" s="20" t="s">
        <v>35</v>
      </c>
      <c r="M5" s="22">
        <v>0.34146341463414637</v>
      </c>
      <c r="N5" s="20" t="s">
        <v>31</v>
      </c>
      <c r="O5" s="22">
        <v>0.15068493150684931</v>
      </c>
      <c r="P5" s="20" t="s">
        <v>35</v>
      </c>
      <c r="Q5" s="21">
        <v>10900</v>
      </c>
      <c r="R5" s="20" t="s">
        <v>28</v>
      </c>
      <c r="S5" s="21">
        <v>-9600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31</v>
      </c>
      <c r="E6" s="24">
        <v>0.53333333333333333</v>
      </c>
      <c r="F6" s="20" t="s">
        <v>21</v>
      </c>
      <c r="G6" s="31">
        <v>2</v>
      </c>
      <c r="H6" s="20" t="s">
        <v>31</v>
      </c>
      <c r="I6" s="23">
        <v>0.33333333333333331</v>
      </c>
      <c r="J6" s="20" t="s">
        <v>31</v>
      </c>
      <c r="K6" s="23">
        <v>0.16666666666666666</v>
      </c>
      <c r="L6" s="20" t="s">
        <v>30</v>
      </c>
      <c r="M6" s="22">
        <v>0.2818181818181818</v>
      </c>
      <c r="N6" s="20" t="s">
        <v>18</v>
      </c>
      <c r="O6" s="22">
        <v>0.2</v>
      </c>
      <c r="P6" s="20" t="s">
        <v>30</v>
      </c>
      <c r="Q6" s="21">
        <v>10700</v>
      </c>
      <c r="R6" s="20" t="s">
        <v>31</v>
      </c>
      <c r="S6" s="21">
        <v>-9800</v>
      </c>
    </row>
    <row r="7" spans="1:19" x14ac:dyDescent="0.4">
      <c r="A7" s="33">
        <v>6</v>
      </c>
      <c r="B7" s="32" t="s">
        <v>30</v>
      </c>
      <c r="C7" s="25">
        <v>-27</v>
      </c>
      <c r="D7" s="20" t="s">
        <v>30</v>
      </c>
      <c r="E7" s="24">
        <v>-0.9642857142857143</v>
      </c>
      <c r="F7" s="20" t="s">
        <v>31</v>
      </c>
      <c r="G7" s="31">
        <v>2</v>
      </c>
      <c r="H7" s="20" t="s">
        <v>30</v>
      </c>
      <c r="I7" s="23">
        <v>0.2857142857142857</v>
      </c>
      <c r="J7" s="20" t="s">
        <v>35</v>
      </c>
      <c r="K7" s="23">
        <v>0.25</v>
      </c>
      <c r="L7" s="20" t="s">
        <v>31</v>
      </c>
      <c r="M7" s="22">
        <v>0.27853881278538811</v>
      </c>
      <c r="N7" s="20" t="s">
        <v>30</v>
      </c>
      <c r="O7" s="22">
        <v>0.20454545454545456</v>
      </c>
      <c r="P7" s="20" t="s">
        <v>26</v>
      </c>
      <c r="Q7" s="21">
        <v>10000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-5.7111111111111112</v>
      </c>
      <c r="F8" s="20" t="s">
        <v>30</v>
      </c>
      <c r="G8" s="31">
        <v>2.0714285714285716</v>
      </c>
      <c r="H8" s="20" t="s">
        <v>29</v>
      </c>
      <c r="I8" s="23">
        <v>0.125</v>
      </c>
      <c r="J8" s="20" t="s">
        <v>27</v>
      </c>
      <c r="K8" s="23">
        <v>0.28888888888888886</v>
      </c>
      <c r="L8" s="20" t="s">
        <v>27</v>
      </c>
      <c r="M8" s="22">
        <v>0.23692307692307693</v>
      </c>
      <c r="N8" s="20" t="s">
        <v>29</v>
      </c>
      <c r="O8" s="22">
        <v>0.21367521367521367</v>
      </c>
      <c r="P8" s="20" t="s">
        <v>28</v>
      </c>
      <c r="Q8" s="21">
        <v>9600</v>
      </c>
      <c r="R8" s="20" t="s">
        <v>29</v>
      </c>
      <c r="S8" s="21">
        <v>-10300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-14.5625</v>
      </c>
      <c r="F9" s="20" t="s">
        <v>27</v>
      </c>
      <c r="G9" s="31">
        <v>2.1333333333333333</v>
      </c>
      <c r="H9" s="20" t="s">
        <v>37</v>
      </c>
      <c r="I9" s="23">
        <v>0</v>
      </c>
      <c r="J9" s="20" t="s">
        <v>29</v>
      </c>
      <c r="K9" s="23">
        <v>0.3125</v>
      </c>
      <c r="L9" s="20" t="s">
        <v>29</v>
      </c>
      <c r="M9" s="22">
        <v>0.22222222222222221</v>
      </c>
      <c r="N9" s="20" t="s">
        <v>27</v>
      </c>
      <c r="O9" s="22">
        <v>0.21846153846153846</v>
      </c>
      <c r="P9" s="20" t="s">
        <v>18</v>
      </c>
      <c r="Q9" s="21">
        <v>8000</v>
      </c>
      <c r="R9" s="20" t="s">
        <v>26</v>
      </c>
      <c r="S9" s="21">
        <v>-10400</v>
      </c>
    </row>
    <row r="10" spans="1:19" x14ac:dyDescent="0.4">
      <c r="A10" s="33">
        <v>9</v>
      </c>
      <c r="B10" s="32" t="s">
        <v>29</v>
      </c>
      <c r="C10" s="25">
        <v>-233</v>
      </c>
      <c r="D10" s="20" t="s">
        <v>37</v>
      </c>
      <c r="E10" s="24">
        <v>-33</v>
      </c>
      <c r="F10" s="20" t="s">
        <v>29</v>
      </c>
      <c r="G10" s="31">
        <v>2.5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27</v>
      </c>
      <c r="S10" s="21">
        <v>-10600</v>
      </c>
    </row>
    <row r="11" spans="1:19" x14ac:dyDescent="0.4">
      <c r="A11" s="33">
        <v>10</v>
      </c>
      <c r="B11" s="32" t="s">
        <v>27</v>
      </c>
      <c r="C11" s="25">
        <v>-257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28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D3B24-00F7-4A8C-B033-CF2ACCA732F3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82</v>
      </c>
      <c r="C2" s="11"/>
    </row>
    <row r="3" spans="1:3" x14ac:dyDescent="0.4">
      <c r="A3" s="5" t="s">
        <v>8</v>
      </c>
      <c r="B3" s="1">
        <v>583</v>
      </c>
      <c r="C3" s="12"/>
    </row>
    <row r="4" spans="1:3" x14ac:dyDescent="0.4">
      <c r="A4" s="5" t="s">
        <v>6</v>
      </c>
      <c r="B4" s="2">
        <v>352</v>
      </c>
      <c r="C4" s="13"/>
    </row>
    <row r="5" spans="1:3" x14ac:dyDescent="0.4">
      <c r="A5" s="5" t="s">
        <v>7</v>
      </c>
      <c r="B5" s="10">
        <f>B4/B2</f>
        <v>4.2926829268292686</v>
      </c>
      <c r="C5" s="14"/>
    </row>
    <row r="6" spans="1:3" x14ac:dyDescent="0.4">
      <c r="A6" s="5" t="s">
        <v>1</v>
      </c>
      <c r="B6" s="30">
        <f>(B7*1+B8*2+B9*3)/B2</f>
        <v>1.8658536585365855</v>
      </c>
      <c r="C6" s="15"/>
    </row>
    <row r="7" spans="1:3" x14ac:dyDescent="0.4">
      <c r="A7" s="5" t="s">
        <v>2</v>
      </c>
      <c r="B7" s="1">
        <v>31</v>
      </c>
      <c r="C7" s="6">
        <f>B7/B2</f>
        <v>0.37804878048780488</v>
      </c>
    </row>
    <row r="8" spans="1:3" x14ac:dyDescent="0.4">
      <c r="A8" s="5" t="s">
        <v>3</v>
      </c>
      <c r="B8" s="1">
        <v>31</v>
      </c>
      <c r="C8" s="6">
        <f>B8/B2</f>
        <v>0.37804878048780488</v>
      </c>
    </row>
    <row r="9" spans="1:3" x14ac:dyDescent="0.4">
      <c r="A9" s="27" t="s">
        <v>4</v>
      </c>
      <c r="B9" s="28">
        <v>20</v>
      </c>
      <c r="C9" s="29">
        <f>B9/B2</f>
        <v>0.24390243902439024</v>
      </c>
    </row>
    <row r="10" spans="1:3" ht="19.5" thickBot="1" x14ac:dyDescent="0.45">
      <c r="A10" s="35" t="s">
        <v>34</v>
      </c>
      <c r="B10" s="36">
        <v>10</v>
      </c>
      <c r="C10" s="37">
        <f>B10/B2</f>
        <v>0.12195121951219512</v>
      </c>
    </row>
    <row r="11" spans="1:3" ht="19.5" thickTop="1" x14ac:dyDescent="0.4">
      <c r="A11" s="4" t="s">
        <v>10</v>
      </c>
      <c r="B11" s="9">
        <f>B12+B13</f>
        <v>204</v>
      </c>
      <c r="C11" s="16">
        <f>B11/B3</f>
        <v>0.34991423670668953</v>
      </c>
    </row>
    <row r="12" spans="1:3" x14ac:dyDescent="0.4">
      <c r="A12" s="5" t="s">
        <v>11</v>
      </c>
      <c r="B12" s="1">
        <v>131</v>
      </c>
      <c r="C12" s="6">
        <f>B12/B3</f>
        <v>0.22469982847341338</v>
      </c>
    </row>
    <row r="13" spans="1:3" x14ac:dyDescent="0.4">
      <c r="A13" s="5" t="s">
        <v>12</v>
      </c>
      <c r="B13" s="1">
        <v>73</v>
      </c>
      <c r="C13" s="6">
        <f>B13/B3</f>
        <v>0.12521440823327615</v>
      </c>
    </row>
    <row r="14" spans="1:3" x14ac:dyDescent="0.4">
      <c r="A14" s="5" t="s">
        <v>13</v>
      </c>
      <c r="B14" s="1">
        <v>87</v>
      </c>
      <c r="C14" s="6">
        <f>B14/B3</f>
        <v>0.14922813036020582</v>
      </c>
    </row>
    <row r="15" spans="1:3" x14ac:dyDescent="0.4">
      <c r="A15" s="5" t="s">
        <v>5</v>
      </c>
      <c r="B15" s="8">
        <f>IF(B11=0,0,ROUND(C15/B11,-2))</f>
        <v>10000</v>
      </c>
      <c r="C15" s="17">
        <v>2035100</v>
      </c>
    </row>
    <row r="16" spans="1:3" x14ac:dyDescent="0.4">
      <c r="A16" s="7" t="s">
        <v>14</v>
      </c>
      <c r="B16" s="18">
        <f>IF(B14=0,0,ROUND(C16/B14,-2))</f>
        <v>-10400</v>
      </c>
      <c r="C16" s="19">
        <v>-904400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9C03-D668-4871-A02A-2A0198973044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45</v>
      </c>
      <c r="C2" s="11"/>
    </row>
    <row r="3" spans="1:3" x14ac:dyDescent="0.4">
      <c r="A3" s="5" t="s">
        <v>8</v>
      </c>
      <c r="B3" s="1">
        <v>325</v>
      </c>
      <c r="C3" s="12"/>
    </row>
    <row r="4" spans="1:3" x14ac:dyDescent="0.4">
      <c r="A4" s="5" t="s">
        <v>6</v>
      </c>
      <c r="B4" s="2">
        <v>-257</v>
      </c>
      <c r="C4" s="13"/>
    </row>
    <row r="5" spans="1:3" x14ac:dyDescent="0.4">
      <c r="A5" s="5" t="s">
        <v>7</v>
      </c>
      <c r="B5" s="10">
        <f>B4/B2</f>
        <v>-5.7111111111111112</v>
      </c>
      <c r="C5" s="14"/>
    </row>
    <row r="6" spans="1:3" x14ac:dyDescent="0.4">
      <c r="A6" s="5" t="s">
        <v>1</v>
      </c>
      <c r="B6" s="30">
        <f>(B7*1+B8*2+B9*3)/B2</f>
        <v>2.1333333333333333</v>
      </c>
      <c r="C6" s="15"/>
    </row>
    <row r="7" spans="1:3" x14ac:dyDescent="0.4">
      <c r="A7" s="5" t="s">
        <v>2</v>
      </c>
      <c r="B7" s="1">
        <v>15</v>
      </c>
      <c r="C7" s="6">
        <f>B7/B2</f>
        <v>0.33333333333333331</v>
      </c>
    </row>
    <row r="8" spans="1:3" x14ac:dyDescent="0.4">
      <c r="A8" s="5" t="s">
        <v>3</v>
      </c>
      <c r="B8" s="1">
        <v>9</v>
      </c>
      <c r="C8" s="6">
        <f>B8/B2</f>
        <v>0.2</v>
      </c>
    </row>
    <row r="9" spans="1:3" x14ac:dyDescent="0.4">
      <c r="A9" s="27" t="s">
        <v>4</v>
      </c>
      <c r="B9" s="28">
        <v>21</v>
      </c>
      <c r="C9" s="29">
        <f>B9/B2</f>
        <v>0.46666666666666667</v>
      </c>
    </row>
    <row r="10" spans="1:3" ht="19.5" thickBot="1" x14ac:dyDescent="0.45">
      <c r="A10" s="35" t="s">
        <v>34</v>
      </c>
      <c r="B10" s="36">
        <v>13</v>
      </c>
      <c r="C10" s="37">
        <f>B10/B2</f>
        <v>0.28888888888888886</v>
      </c>
    </row>
    <row r="11" spans="1:3" ht="19.5" thickTop="1" x14ac:dyDescent="0.4">
      <c r="A11" s="4" t="s">
        <v>10</v>
      </c>
      <c r="B11" s="9">
        <f>B12+B13</f>
        <v>77</v>
      </c>
      <c r="C11" s="16">
        <f>B11/B3</f>
        <v>0.23692307692307693</v>
      </c>
    </row>
    <row r="12" spans="1:3" x14ac:dyDescent="0.4">
      <c r="A12" s="5" t="s">
        <v>11</v>
      </c>
      <c r="B12" s="1">
        <v>42</v>
      </c>
      <c r="C12" s="6">
        <f>B12/B3</f>
        <v>0.12923076923076923</v>
      </c>
    </row>
    <row r="13" spans="1:3" x14ac:dyDescent="0.4">
      <c r="A13" s="5" t="s">
        <v>12</v>
      </c>
      <c r="B13" s="1">
        <v>35</v>
      </c>
      <c r="C13" s="6">
        <f>B13/B3</f>
        <v>0.1076923076923077</v>
      </c>
    </row>
    <row r="14" spans="1:3" x14ac:dyDescent="0.4">
      <c r="A14" s="5" t="s">
        <v>13</v>
      </c>
      <c r="B14" s="1">
        <v>71</v>
      </c>
      <c r="C14" s="6">
        <f>B14/B3</f>
        <v>0.21846153846153846</v>
      </c>
    </row>
    <row r="15" spans="1:3" x14ac:dyDescent="0.4">
      <c r="A15" s="5" t="s">
        <v>5</v>
      </c>
      <c r="B15" s="8">
        <f>IF(B11=0,0,ROUND(C15/B11,-2))</f>
        <v>11700</v>
      </c>
      <c r="C15" s="17">
        <v>902400</v>
      </c>
    </row>
    <row r="16" spans="1:3" x14ac:dyDescent="0.4">
      <c r="A16" s="7" t="s">
        <v>14</v>
      </c>
      <c r="B16" s="18">
        <f>IF(B14=0,0,ROUND(C16/B14,-2))</f>
        <v>-10600</v>
      </c>
      <c r="C16" s="19">
        <v>-751700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8DFC5-FBD4-403B-B935-409F97AA3D0E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39</v>
      </c>
      <c r="C2" s="11"/>
    </row>
    <row r="3" spans="1:3" x14ac:dyDescent="0.4">
      <c r="A3" s="5" t="s">
        <v>8</v>
      </c>
      <c r="B3" s="1">
        <v>272</v>
      </c>
      <c r="C3" s="12"/>
    </row>
    <row r="4" spans="1:3" x14ac:dyDescent="0.4">
      <c r="A4" s="5" t="s">
        <v>6</v>
      </c>
      <c r="B4" s="2">
        <v>229</v>
      </c>
      <c r="C4" s="13"/>
    </row>
    <row r="5" spans="1:3" x14ac:dyDescent="0.4">
      <c r="A5" s="5" t="s">
        <v>7</v>
      </c>
      <c r="B5" s="10">
        <f>B4/B2</f>
        <v>5.8717948717948714</v>
      </c>
      <c r="C5" s="14"/>
    </row>
    <row r="6" spans="1:3" x14ac:dyDescent="0.4">
      <c r="A6" s="5" t="s">
        <v>1</v>
      </c>
      <c r="B6" s="30">
        <f>(B7*1+B8*2+B9*3)/B2</f>
        <v>1.8461538461538463</v>
      </c>
      <c r="C6" s="15"/>
    </row>
    <row r="7" spans="1:3" x14ac:dyDescent="0.4">
      <c r="A7" s="5" t="s">
        <v>2</v>
      </c>
      <c r="B7" s="1">
        <v>14</v>
      </c>
      <c r="C7" s="6">
        <f>B7/B2</f>
        <v>0.35897435897435898</v>
      </c>
    </row>
    <row r="8" spans="1:3" x14ac:dyDescent="0.4">
      <c r="A8" s="5" t="s">
        <v>3</v>
      </c>
      <c r="B8" s="1">
        <v>17</v>
      </c>
      <c r="C8" s="6">
        <f>B8/B2</f>
        <v>0.4358974358974359</v>
      </c>
    </row>
    <row r="9" spans="1:3" x14ac:dyDescent="0.4">
      <c r="A9" s="27" t="s">
        <v>4</v>
      </c>
      <c r="B9" s="28">
        <v>8</v>
      </c>
      <c r="C9" s="29">
        <f>B9/B2</f>
        <v>0.20512820512820512</v>
      </c>
    </row>
    <row r="10" spans="1:3" ht="19.5" thickBot="1" x14ac:dyDescent="0.45">
      <c r="A10" s="35" t="s">
        <v>34</v>
      </c>
      <c r="B10" s="36">
        <v>5</v>
      </c>
      <c r="C10" s="37">
        <f>B10/B2</f>
        <v>0.12820512820512819</v>
      </c>
    </row>
    <row r="11" spans="1:3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</row>
    <row r="12" spans="1:3" x14ac:dyDescent="0.4">
      <c r="A12" s="5" t="s">
        <v>11</v>
      </c>
      <c r="B12" s="1">
        <v>53</v>
      </c>
      <c r="C12" s="6">
        <f>B12/B3</f>
        <v>0.19485294117647059</v>
      </c>
    </row>
    <row r="13" spans="1:3" x14ac:dyDescent="0.4">
      <c r="A13" s="5" t="s">
        <v>12</v>
      </c>
      <c r="B13" s="1">
        <v>44</v>
      </c>
      <c r="C13" s="6">
        <f>B13/B3</f>
        <v>0.16176470588235295</v>
      </c>
    </row>
    <row r="14" spans="1:3" x14ac:dyDescent="0.4">
      <c r="A14" s="5" t="s">
        <v>13</v>
      </c>
      <c r="B14" s="1">
        <v>36</v>
      </c>
      <c r="C14" s="6">
        <f>B14/B3</f>
        <v>0.13235294117647059</v>
      </c>
    </row>
    <row r="15" spans="1:3" x14ac:dyDescent="0.4">
      <c r="A15" s="5" t="s">
        <v>5</v>
      </c>
      <c r="B15" s="8">
        <f>IF(B11=0,0,ROUND(C15/B11,-2))</f>
        <v>9600</v>
      </c>
      <c r="C15" s="17">
        <v>934300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5EBF3-550D-435C-81BE-352D5E97AA17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B14/B3</f>
        <v>0.4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B023D-3309-4FF0-8074-883955C003BF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B14/B3</f>
        <v>0.2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DFA6-4F73-4EA2-A5AF-92E67B957FC5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B14/B3</f>
        <v>0.33333333333333331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693B-EE19-4BDE-90D4-FF1C8B4464E5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28</v>
      </c>
      <c r="C2" s="11"/>
    </row>
    <row r="3" spans="1:3" x14ac:dyDescent="0.4">
      <c r="A3" s="5" t="s">
        <v>8</v>
      </c>
      <c r="B3" s="1">
        <v>220</v>
      </c>
      <c r="C3" s="12"/>
    </row>
    <row r="4" spans="1:3" x14ac:dyDescent="0.4">
      <c r="A4" s="5" t="s">
        <v>6</v>
      </c>
      <c r="B4" s="2">
        <v>-27</v>
      </c>
      <c r="C4" s="13"/>
    </row>
    <row r="5" spans="1:3" x14ac:dyDescent="0.4">
      <c r="A5" s="5" t="s">
        <v>7</v>
      </c>
      <c r="B5" s="10">
        <f>B4/B2</f>
        <v>-0.9642857142857143</v>
      </c>
      <c r="C5" s="14"/>
    </row>
    <row r="6" spans="1:3" x14ac:dyDescent="0.4">
      <c r="A6" s="5" t="s">
        <v>1</v>
      </c>
      <c r="B6" s="30">
        <f>(B7*1+B8*2+B9*3)/B2</f>
        <v>2.0714285714285716</v>
      </c>
      <c r="C6" s="15"/>
    </row>
    <row r="7" spans="1:3" x14ac:dyDescent="0.4">
      <c r="A7" s="5" t="s">
        <v>2</v>
      </c>
      <c r="B7" s="1">
        <v>8</v>
      </c>
      <c r="C7" s="6">
        <f>B7/B2</f>
        <v>0.2857142857142857</v>
      </c>
    </row>
    <row r="8" spans="1:3" x14ac:dyDescent="0.4">
      <c r="A8" s="5" t="s">
        <v>3</v>
      </c>
      <c r="B8" s="1">
        <v>10</v>
      </c>
      <c r="C8" s="6">
        <f>B8/B2</f>
        <v>0.35714285714285715</v>
      </c>
    </row>
    <row r="9" spans="1:3" x14ac:dyDescent="0.4">
      <c r="A9" s="27" t="s">
        <v>4</v>
      </c>
      <c r="B9" s="28">
        <v>10</v>
      </c>
      <c r="C9" s="29">
        <f>B9/B2</f>
        <v>0.35714285714285715</v>
      </c>
    </row>
    <row r="10" spans="1:3" ht="19.5" thickBot="1" x14ac:dyDescent="0.45">
      <c r="A10" s="35" t="s">
        <v>34</v>
      </c>
      <c r="B10" s="36">
        <v>4</v>
      </c>
      <c r="C10" s="37">
        <f>B10/B2</f>
        <v>0.14285714285714285</v>
      </c>
    </row>
    <row r="11" spans="1:3" ht="19.5" thickTop="1" x14ac:dyDescent="0.4">
      <c r="A11" s="4" t="s">
        <v>10</v>
      </c>
      <c r="B11" s="9">
        <f>B12+B13</f>
        <v>62</v>
      </c>
      <c r="C11" s="16">
        <f>B11/B3</f>
        <v>0.2818181818181818</v>
      </c>
    </row>
    <row r="12" spans="1:3" x14ac:dyDescent="0.4">
      <c r="A12" s="5" t="s">
        <v>11</v>
      </c>
      <c r="B12" s="1">
        <v>34</v>
      </c>
      <c r="C12" s="6">
        <f>B12/B3</f>
        <v>0.15454545454545454</v>
      </c>
    </row>
    <row r="13" spans="1:3" x14ac:dyDescent="0.4">
      <c r="A13" s="5" t="s">
        <v>12</v>
      </c>
      <c r="B13" s="1">
        <v>28</v>
      </c>
      <c r="C13" s="6">
        <f>B13/B3</f>
        <v>0.12727272727272726</v>
      </c>
    </row>
    <row r="14" spans="1:3" x14ac:dyDescent="0.4">
      <c r="A14" s="5" t="s">
        <v>13</v>
      </c>
      <c r="B14" s="1">
        <v>45</v>
      </c>
      <c r="C14" s="6">
        <f>B14/B3</f>
        <v>0.20454545454545456</v>
      </c>
    </row>
    <row r="15" spans="1:3" x14ac:dyDescent="0.4">
      <c r="A15" s="5" t="s">
        <v>5</v>
      </c>
      <c r="B15" s="8">
        <f>IF(B11=0,0,ROUND(C15/B11,-2))</f>
        <v>10700</v>
      </c>
      <c r="C15" s="17">
        <v>665400</v>
      </c>
    </row>
    <row r="16" spans="1:3" x14ac:dyDescent="0.4">
      <c r="A16" s="7" t="s">
        <v>14</v>
      </c>
      <c r="B16" s="18">
        <f>IF(B14=0,0,ROUND(C16/B14,-2))</f>
        <v>-7500</v>
      </c>
      <c r="C16" s="19">
        <v>-339600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CA784-2C4C-4E1B-B0CE-C1ECAE4B8EB1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30</v>
      </c>
      <c r="C2" s="11"/>
    </row>
    <row r="3" spans="1:3" x14ac:dyDescent="0.4">
      <c r="A3" s="5" t="s">
        <v>8</v>
      </c>
      <c r="B3" s="1">
        <v>219</v>
      </c>
      <c r="C3" s="12"/>
    </row>
    <row r="4" spans="1:3" x14ac:dyDescent="0.4">
      <c r="A4" s="5" t="s">
        <v>6</v>
      </c>
      <c r="B4" s="2">
        <v>16</v>
      </c>
      <c r="C4" s="13"/>
    </row>
    <row r="5" spans="1:3" x14ac:dyDescent="0.4">
      <c r="A5" s="5" t="s">
        <v>7</v>
      </c>
      <c r="B5" s="10">
        <f>B4/B2</f>
        <v>0.53333333333333333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10</v>
      </c>
      <c r="C7" s="6">
        <f>B7/B2</f>
        <v>0.33333333333333331</v>
      </c>
    </row>
    <row r="8" spans="1:3" x14ac:dyDescent="0.4">
      <c r="A8" s="5" t="s">
        <v>3</v>
      </c>
      <c r="B8" s="1">
        <v>10</v>
      </c>
      <c r="C8" s="6">
        <f>B8/B2</f>
        <v>0.33333333333333331</v>
      </c>
    </row>
    <row r="9" spans="1:3" x14ac:dyDescent="0.4">
      <c r="A9" s="27" t="s">
        <v>4</v>
      </c>
      <c r="B9" s="28">
        <v>10</v>
      </c>
      <c r="C9" s="29">
        <f>B9/B2</f>
        <v>0.33333333333333331</v>
      </c>
    </row>
    <row r="10" spans="1:3" ht="19.5" thickBot="1" x14ac:dyDescent="0.45">
      <c r="A10" s="35" t="s">
        <v>34</v>
      </c>
      <c r="B10" s="36">
        <v>5</v>
      </c>
      <c r="C10" s="37">
        <f>B10/B2</f>
        <v>0.16666666666666666</v>
      </c>
    </row>
    <row r="11" spans="1:3" ht="19.5" thickTop="1" x14ac:dyDescent="0.4">
      <c r="A11" s="4" t="s">
        <v>10</v>
      </c>
      <c r="B11" s="9">
        <f>B12+B13</f>
        <v>61</v>
      </c>
      <c r="C11" s="16">
        <f>B11/B3</f>
        <v>0.27853881278538811</v>
      </c>
    </row>
    <row r="12" spans="1:3" x14ac:dyDescent="0.4">
      <c r="A12" s="5" t="s">
        <v>11</v>
      </c>
      <c r="B12" s="1">
        <v>40</v>
      </c>
      <c r="C12" s="6">
        <f>B12/B3</f>
        <v>0.18264840182648401</v>
      </c>
    </row>
    <row r="13" spans="1:3" x14ac:dyDescent="0.4">
      <c r="A13" s="5" t="s">
        <v>12</v>
      </c>
      <c r="B13" s="1">
        <v>21</v>
      </c>
      <c r="C13" s="6">
        <f>B13/B3</f>
        <v>9.5890410958904104E-2</v>
      </c>
    </row>
    <row r="14" spans="1:3" x14ac:dyDescent="0.4">
      <c r="A14" s="5" t="s">
        <v>13</v>
      </c>
      <c r="B14" s="1">
        <v>33</v>
      </c>
      <c r="C14" s="6">
        <f>B14/B3</f>
        <v>0.15068493150684931</v>
      </c>
    </row>
    <row r="15" spans="1:3" x14ac:dyDescent="0.4">
      <c r="A15" s="5" t="s">
        <v>5</v>
      </c>
      <c r="B15" s="8">
        <f>IF(B11=0,0,ROUND(C15/B11,-2))</f>
        <v>11000</v>
      </c>
      <c r="C15" s="17">
        <v>670700</v>
      </c>
    </row>
    <row r="16" spans="1:3" x14ac:dyDescent="0.4">
      <c r="A16" s="7" t="s">
        <v>14</v>
      </c>
      <c r="B16" s="18">
        <f>IF(B14=0,0,ROUND(C16/B14,-2))</f>
        <v>-9800</v>
      </c>
      <c r="C16" s="19">
        <v>-324200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024F-1790-421D-BD72-90E4F4777078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B14/B3</f>
        <v>0.13414634146341464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A5241-674D-4D93-B2B7-550825C9207B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16</v>
      </c>
      <c r="C2" s="11"/>
    </row>
    <row r="3" spans="1:3" x14ac:dyDescent="0.4">
      <c r="A3" s="5" t="s">
        <v>8</v>
      </c>
      <c r="B3" s="1">
        <v>117</v>
      </c>
      <c r="C3" s="12"/>
    </row>
    <row r="4" spans="1:3" x14ac:dyDescent="0.4">
      <c r="A4" s="5" t="s">
        <v>6</v>
      </c>
      <c r="B4" s="2">
        <v>-233</v>
      </c>
      <c r="C4" s="13"/>
    </row>
    <row r="5" spans="1:3" x14ac:dyDescent="0.4">
      <c r="A5" s="5" t="s">
        <v>7</v>
      </c>
      <c r="B5" s="10">
        <f>B4/B2</f>
        <v>-14.5625</v>
      </c>
      <c r="C5" s="14"/>
    </row>
    <row r="6" spans="1:3" x14ac:dyDescent="0.4">
      <c r="A6" s="5" t="s">
        <v>1</v>
      </c>
      <c r="B6" s="30">
        <f>(B7*1+B8*2+B9*3)/B2</f>
        <v>2.5</v>
      </c>
      <c r="C6" s="15"/>
    </row>
    <row r="7" spans="1:3" x14ac:dyDescent="0.4">
      <c r="A7" s="5" t="s">
        <v>2</v>
      </c>
      <c r="B7" s="1">
        <v>2</v>
      </c>
      <c r="C7" s="6">
        <f>B7/B2</f>
        <v>0.125</v>
      </c>
    </row>
    <row r="8" spans="1:3" x14ac:dyDescent="0.4">
      <c r="A8" s="5" t="s">
        <v>3</v>
      </c>
      <c r="B8" s="1">
        <v>4</v>
      </c>
      <c r="C8" s="6">
        <f>B8/B2</f>
        <v>0.25</v>
      </c>
    </row>
    <row r="9" spans="1:3" x14ac:dyDescent="0.4">
      <c r="A9" s="27" t="s">
        <v>4</v>
      </c>
      <c r="B9" s="28">
        <v>10</v>
      </c>
      <c r="C9" s="29">
        <f>B9/B2</f>
        <v>0.625</v>
      </c>
    </row>
    <row r="10" spans="1:3" ht="19.5" thickBot="1" x14ac:dyDescent="0.45">
      <c r="A10" s="35" t="s">
        <v>34</v>
      </c>
      <c r="B10" s="36">
        <v>5</v>
      </c>
      <c r="C10" s="37">
        <f>B10/B2</f>
        <v>0.3125</v>
      </c>
    </row>
    <row r="11" spans="1:3" ht="19.5" thickTop="1" x14ac:dyDescent="0.4">
      <c r="A11" s="4" t="s">
        <v>10</v>
      </c>
      <c r="B11" s="9">
        <f>B12+B13</f>
        <v>26</v>
      </c>
      <c r="C11" s="16">
        <f>B11/B3</f>
        <v>0.22222222222222221</v>
      </c>
    </row>
    <row r="12" spans="1:3" x14ac:dyDescent="0.4">
      <c r="A12" s="5" t="s">
        <v>11</v>
      </c>
      <c r="B12" s="1">
        <v>11</v>
      </c>
      <c r="C12" s="6">
        <f>B12/B3</f>
        <v>9.4017094017094016E-2</v>
      </c>
    </row>
    <row r="13" spans="1:3" x14ac:dyDescent="0.4">
      <c r="A13" s="5" t="s">
        <v>12</v>
      </c>
      <c r="B13" s="1">
        <v>15</v>
      </c>
      <c r="C13" s="6">
        <f>B13/B3</f>
        <v>0.12820512820512819</v>
      </c>
    </row>
    <row r="14" spans="1:3" x14ac:dyDescent="0.4">
      <c r="A14" s="5" t="s">
        <v>13</v>
      </c>
      <c r="B14" s="1">
        <v>25</v>
      </c>
      <c r="C14" s="6">
        <f>B14/B3</f>
        <v>0.21367521367521367</v>
      </c>
    </row>
    <row r="15" spans="1:3" x14ac:dyDescent="0.4">
      <c r="A15" s="5" t="s">
        <v>5</v>
      </c>
      <c r="B15" s="8">
        <f>IF(B11=0,0,ROUND(C15/B11,-2))</f>
        <v>11200</v>
      </c>
      <c r="C15" s="17">
        <v>290100</v>
      </c>
    </row>
    <row r="16" spans="1:3" x14ac:dyDescent="0.4">
      <c r="A16" s="7" t="s">
        <v>14</v>
      </c>
      <c r="B16" s="18">
        <f>IF(B14=0,0,ROUND(C16/B14,-2))</f>
        <v>-10300</v>
      </c>
      <c r="C16" s="19">
        <v>-256400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B14/B3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2018-12-15T18:04:12Z</dcterms:modified>
</cp:coreProperties>
</file>