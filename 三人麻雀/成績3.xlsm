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A41FD7A8-97CD-4DCF-9341-549EC0DFE2B9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86" r:id="rId2"/>
    <sheet name="かこたろう" sheetId="1687" r:id="rId3"/>
    <sheet name="ともき" sheetId="1688" r:id="rId4"/>
    <sheet name="りくと" sheetId="1689" r:id="rId5"/>
    <sheet name="いっしー" sheetId="1690" r:id="rId6"/>
    <sheet name="がくと" sheetId="1691" r:id="rId7"/>
    <sheet name="たかの" sheetId="1692" r:id="rId8"/>
    <sheet name="ただ" sheetId="1693" r:id="rId9"/>
    <sheet name="やがさき" sheetId="1694" r:id="rId10"/>
    <sheet name="れんたろう" sheetId="169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695" l="1"/>
  <c r="H50" i="1695"/>
  <c r="H49" i="1695"/>
  <c r="H48" i="1695"/>
  <c r="H47" i="1695"/>
  <c r="H46" i="1695"/>
  <c r="H45" i="1695"/>
  <c r="H44" i="1695"/>
  <c r="H43" i="1695"/>
  <c r="H42" i="1695"/>
  <c r="H41" i="1695"/>
  <c r="H40" i="1695"/>
  <c r="H39" i="1695"/>
  <c r="H38" i="1695"/>
  <c r="H37" i="1695"/>
  <c r="H36" i="1695"/>
  <c r="H35" i="1695"/>
  <c r="H34" i="1695"/>
  <c r="H18" i="1695"/>
  <c r="H33" i="1695"/>
  <c r="H32" i="1695"/>
  <c r="H31" i="1695"/>
  <c r="H8" i="1695"/>
  <c r="H30" i="1695"/>
  <c r="H29" i="1695"/>
  <c r="H17" i="1695"/>
  <c r="H28" i="1695"/>
  <c r="H27" i="1695"/>
  <c r="H14" i="1695"/>
  <c r="H26" i="1695"/>
  <c r="H16" i="1695"/>
  <c r="H25" i="1695"/>
  <c r="H24" i="1695"/>
  <c r="H23" i="1695"/>
  <c r="H11" i="1695"/>
  <c r="B17" i="1695"/>
  <c r="H22" i="1695"/>
  <c r="H21" i="1695"/>
  <c r="C15" i="1695"/>
  <c r="H15" i="1695"/>
  <c r="C14" i="1695"/>
  <c r="H20" i="1695"/>
  <c r="C13" i="1695"/>
  <c r="H13" i="1695"/>
  <c r="B12" i="1695"/>
  <c r="B16" i="1695" s="1"/>
  <c r="H3" i="1695"/>
  <c r="C11" i="1695"/>
  <c r="H19" i="1695"/>
  <c r="C10" i="1695"/>
  <c r="H10" i="1695"/>
  <c r="C9" i="1695"/>
  <c r="H9" i="1695"/>
  <c r="C8" i="1695"/>
  <c r="H6" i="1695"/>
  <c r="C7" i="1695"/>
  <c r="H2" i="1695"/>
  <c r="B6" i="1695"/>
  <c r="H7" i="1695"/>
  <c r="B5" i="1695"/>
  <c r="H4" i="1695"/>
  <c r="H12" i="1695"/>
  <c r="H5" i="1695"/>
  <c r="C12" i="1695" l="1"/>
  <c r="H51" i="1694" l="1"/>
  <c r="H50" i="1694"/>
  <c r="H49" i="1694"/>
  <c r="H48" i="1694"/>
  <c r="H47" i="1694"/>
  <c r="H46" i="1694"/>
  <c r="H45" i="1694"/>
  <c r="H44" i="1694"/>
  <c r="H43" i="1694"/>
  <c r="H42" i="1694"/>
  <c r="H41" i="1694"/>
  <c r="H40" i="1694"/>
  <c r="H39" i="1694"/>
  <c r="H38" i="1694"/>
  <c r="H37" i="1694"/>
  <c r="H36" i="1694"/>
  <c r="H35" i="1694"/>
  <c r="H34" i="1694"/>
  <c r="H33" i="1694"/>
  <c r="H32" i="1694"/>
  <c r="H31" i="1694"/>
  <c r="H30" i="1694"/>
  <c r="H29" i="1694"/>
  <c r="H28" i="1694"/>
  <c r="H27" i="1694"/>
  <c r="H26" i="1694"/>
  <c r="H25" i="1694"/>
  <c r="H24" i="1694"/>
  <c r="H23" i="1694"/>
  <c r="H22" i="1694"/>
  <c r="H21" i="1694"/>
  <c r="H20" i="1694"/>
  <c r="H19" i="1694"/>
  <c r="H18" i="1694"/>
  <c r="H17" i="1694"/>
  <c r="B17" i="1694"/>
  <c r="H16" i="1694"/>
  <c r="H15" i="1694"/>
  <c r="C15" i="1694"/>
  <c r="H14" i="1694"/>
  <c r="C14" i="1694"/>
  <c r="H13" i="1694"/>
  <c r="C13" i="1694"/>
  <c r="H12" i="1694"/>
  <c r="B12" i="1694"/>
  <c r="B16" i="1694" s="1"/>
  <c r="H11" i="1694"/>
  <c r="C11" i="1694"/>
  <c r="H10" i="1694"/>
  <c r="C10" i="1694"/>
  <c r="H9" i="1694"/>
  <c r="C9" i="1694"/>
  <c r="H8" i="1694"/>
  <c r="C8" i="1694"/>
  <c r="H7" i="1694"/>
  <c r="C7" i="1694"/>
  <c r="H6" i="1694"/>
  <c r="B6" i="1694"/>
  <c r="H5" i="1694"/>
  <c r="B5" i="1694"/>
  <c r="H4" i="1694"/>
  <c r="H3" i="1694"/>
  <c r="H2" i="1694"/>
  <c r="C12" i="1694" l="1"/>
  <c r="H51" i="1693" l="1"/>
  <c r="H50" i="1693"/>
  <c r="H49" i="1693"/>
  <c r="H48" i="1693"/>
  <c r="H47" i="1693"/>
  <c r="H46" i="1693"/>
  <c r="H45" i="1693"/>
  <c r="H44" i="1693"/>
  <c r="H43" i="1693"/>
  <c r="H42" i="1693"/>
  <c r="H41" i="1693"/>
  <c r="H40" i="1693"/>
  <c r="H39" i="1693"/>
  <c r="H38" i="1693"/>
  <c r="H37" i="1693"/>
  <c r="H36" i="1693"/>
  <c r="H35" i="1693"/>
  <c r="H34" i="1693"/>
  <c r="H33" i="1693"/>
  <c r="H32" i="1693"/>
  <c r="H31" i="1693"/>
  <c r="H30" i="1693"/>
  <c r="H11" i="1693"/>
  <c r="H29" i="1693"/>
  <c r="H28" i="1693"/>
  <c r="H10" i="1693"/>
  <c r="H27" i="1693"/>
  <c r="H26" i="1693"/>
  <c r="H25" i="1693"/>
  <c r="H24" i="1693"/>
  <c r="H23" i="1693"/>
  <c r="H22" i="1693"/>
  <c r="H21" i="1693"/>
  <c r="H20" i="1693"/>
  <c r="H15" i="1693"/>
  <c r="B17" i="1693"/>
  <c r="H19" i="1693"/>
  <c r="H18" i="1693"/>
  <c r="C15" i="1693"/>
  <c r="H17" i="1693"/>
  <c r="C14" i="1693"/>
  <c r="H14" i="1693"/>
  <c r="C13" i="1693"/>
  <c r="H16" i="1693"/>
  <c r="B12" i="1693"/>
  <c r="B16" i="1693" s="1"/>
  <c r="H5" i="1693"/>
  <c r="C11" i="1693"/>
  <c r="H13" i="1693"/>
  <c r="C10" i="1693"/>
  <c r="H9" i="1693"/>
  <c r="C9" i="1693"/>
  <c r="H8" i="1693"/>
  <c r="C8" i="1693"/>
  <c r="H7" i="1693"/>
  <c r="C7" i="1693"/>
  <c r="H3" i="1693"/>
  <c r="B6" i="1693"/>
  <c r="H6" i="1693"/>
  <c r="B5" i="1693"/>
  <c r="H2" i="1693"/>
  <c r="H12" i="1693"/>
  <c r="H4" i="1693"/>
  <c r="H51" i="1692"/>
  <c r="H50" i="1692"/>
  <c r="H49" i="1692"/>
  <c r="H48" i="1692"/>
  <c r="H47" i="1692"/>
  <c r="H46" i="1692"/>
  <c r="H45" i="1692"/>
  <c r="H44" i="1692"/>
  <c r="H43" i="1692"/>
  <c r="H42" i="1692"/>
  <c r="H41" i="1692"/>
  <c r="H40" i="1692"/>
  <c r="H39" i="1692"/>
  <c r="H38" i="1692"/>
  <c r="H37" i="1692"/>
  <c r="H36" i="1692"/>
  <c r="H35" i="1692"/>
  <c r="H34" i="1692"/>
  <c r="H33" i="1692"/>
  <c r="H32" i="1692"/>
  <c r="H31" i="1692"/>
  <c r="H30" i="1692"/>
  <c r="H8" i="1692"/>
  <c r="H29" i="1692"/>
  <c r="H28" i="1692"/>
  <c r="H10" i="1692"/>
  <c r="H27" i="1692"/>
  <c r="H26" i="1692"/>
  <c r="H15" i="1692"/>
  <c r="H25" i="1692"/>
  <c r="H24" i="1692"/>
  <c r="H23" i="1692"/>
  <c r="H22" i="1692"/>
  <c r="H9" i="1692"/>
  <c r="H14" i="1692"/>
  <c r="B17" i="1692"/>
  <c r="H21" i="1692"/>
  <c r="H20" i="1692"/>
  <c r="C15" i="1692"/>
  <c r="H13" i="1692"/>
  <c r="C14" i="1692"/>
  <c r="H19" i="1692"/>
  <c r="C13" i="1692"/>
  <c r="H18" i="1692"/>
  <c r="B12" i="1692"/>
  <c r="B16" i="1692" s="1"/>
  <c r="H3" i="1692"/>
  <c r="C11" i="1692"/>
  <c r="H17" i="1692"/>
  <c r="C10" i="1692"/>
  <c r="H12" i="1692"/>
  <c r="C9" i="1692"/>
  <c r="H11" i="1692"/>
  <c r="C8" i="1692"/>
  <c r="H7" i="1692"/>
  <c r="C7" i="1692"/>
  <c r="H2" i="1692"/>
  <c r="B6" i="1692"/>
  <c r="H16" i="1692"/>
  <c r="B5" i="1692"/>
  <c r="H4" i="1692"/>
  <c r="H6" i="1692"/>
  <c r="H5" i="1692"/>
  <c r="C12" i="1692" l="1"/>
  <c r="C12" i="1693"/>
  <c r="H51" i="1691" l="1"/>
  <c r="H50" i="1691"/>
  <c r="H49" i="1691"/>
  <c r="H48" i="1691"/>
  <c r="H47" i="1691"/>
  <c r="H46" i="1691"/>
  <c r="H45" i="1691"/>
  <c r="H44" i="1691"/>
  <c r="H43" i="1691"/>
  <c r="H42" i="1691"/>
  <c r="H41" i="1691"/>
  <c r="H40" i="1691"/>
  <c r="H39" i="1691"/>
  <c r="H38" i="1691"/>
  <c r="H37" i="1691"/>
  <c r="H36" i="1691"/>
  <c r="H35" i="1691"/>
  <c r="H34" i="1691"/>
  <c r="H33" i="1691"/>
  <c r="H32" i="1691"/>
  <c r="H31" i="1691"/>
  <c r="H30" i="1691"/>
  <c r="H29" i="1691"/>
  <c r="H28" i="1691"/>
  <c r="H27" i="1691"/>
  <c r="H26" i="1691"/>
  <c r="H25" i="1691"/>
  <c r="H24" i="1691"/>
  <c r="H23" i="1691"/>
  <c r="H22" i="1691"/>
  <c r="H21" i="1691"/>
  <c r="H20" i="1691"/>
  <c r="H19" i="1691"/>
  <c r="H18" i="1691"/>
  <c r="H17" i="1691"/>
  <c r="B17" i="1691"/>
  <c r="H16" i="1691"/>
  <c r="H15" i="1691"/>
  <c r="C15" i="1691"/>
  <c r="H14" i="1691"/>
  <c r="C14" i="1691"/>
  <c r="H13" i="1691"/>
  <c r="C13" i="1691"/>
  <c r="H12" i="1691"/>
  <c r="B12" i="1691"/>
  <c r="B16" i="1691" s="1"/>
  <c r="H11" i="1691"/>
  <c r="C11" i="1691"/>
  <c r="H10" i="1691"/>
  <c r="C10" i="1691"/>
  <c r="H9" i="1691"/>
  <c r="C9" i="1691"/>
  <c r="H8" i="1691"/>
  <c r="C8" i="1691"/>
  <c r="H7" i="1691"/>
  <c r="C7" i="1691"/>
  <c r="H6" i="1691"/>
  <c r="B6" i="1691"/>
  <c r="H5" i="1691"/>
  <c r="B5" i="1691"/>
  <c r="H4" i="1691"/>
  <c r="H3" i="1691"/>
  <c r="H2" i="1691"/>
  <c r="C12" i="1691" l="1"/>
  <c r="H51" i="1690" l="1"/>
  <c r="H50" i="1690"/>
  <c r="H49" i="1690"/>
  <c r="H48" i="1690"/>
  <c r="H47" i="1690"/>
  <c r="H46" i="1690"/>
  <c r="H45" i="1690"/>
  <c r="H44" i="1690"/>
  <c r="H43" i="1690"/>
  <c r="H42" i="1690"/>
  <c r="H41" i="1690"/>
  <c r="H40" i="1690"/>
  <c r="H39" i="1690"/>
  <c r="H38" i="1690"/>
  <c r="H37" i="1690"/>
  <c r="H36" i="1690"/>
  <c r="H35" i="1690"/>
  <c r="H34" i="1690"/>
  <c r="H33" i="1690"/>
  <c r="H32" i="1690"/>
  <c r="H31" i="1690"/>
  <c r="H30" i="1690"/>
  <c r="H29" i="1690"/>
  <c r="H28" i="1690"/>
  <c r="H27" i="1690"/>
  <c r="H26" i="1690"/>
  <c r="H25" i="1690"/>
  <c r="H24" i="1690"/>
  <c r="H11" i="1690"/>
  <c r="H23" i="1690"/>
  <c r="H10" i="1690"/>
  <c r="H22" i="1690"/>
  <c r="H21" i="1690"/>
  <c r="H20" i="1690"/>
  <c r="H19" i="1690"/>
  <c r="B17" i="1690"/>
  <c r="H18" i="1690"/>
  <c r="H17" i="1690"/>
  <c r="C15" i="1690"/>
  <c r="H16" i="1690"/>
  <c r="C14" i="1690"/>
  <c r="H15" i="1690"/>
  <c r="C13" i="1690"/>
  <c r="H14" i="1690"/>
  <c r="B12" i="1690"/>
  <c r="B16" i="1690" s="1"/>
  <c r="H4" i="1690"/>
  <c r="C11" i="1690"/>
  <c r="H13" i="1690"/>
  <c r="C10" i="1690"/>
  <c r="H12" i="1690"/>
  <c r="C9" i="1690"/>
  <c r="H9" i="1690"/>
  <c r="C8" i="1690"/>
  <c r="H7" i="1690"/>
  <c r="C7" i="1690"/>
  <c r="H3" i="1690"/>
  <c r="B6" i="1690"/>
  <c r="H6" i="1690"/>
  <c r="B5" i="1690"/>
  <c r="H2" i="1690"/>
  <c r="H8" i="1690"/>
  <c r="H5" i="1690"/>
  <c r="H51" i="1689"/>
  <c r="H50" i="1689"/>
  <c r="H49" i="1689"/>
  <c r="H48" i="1689"/>
  <c r="H47" i="1689"/>
  <c r="H46" i="1689"/>
  <c r="H45" i="1689"/>
  <c r="H44" i="1689"/>
  <c r="H43" i="1689"/>
  <c r="H42" i="1689"/>
  <c r="H41" i="1689"/>
  <c r="H40" i="1689"/>
  <c r="H39" i="1689"/>
  <c r="H38" i="1689"/>
  <c r="H37" i="1689"/>
  <c r="H36" i="1689"/>
  <c r="H35" i="1689"/>
  <c r="H34" i="1689"/>
  <c r="H33" i="1689"/>
  <c r="H16" i="1689"/>
  <c r="H20" i="1689"/>
  <c r="H32" i="1689"/>
  <c r="H9" i="1689"/>
  <c r="H19" i="1689"/>
  <c r="H18" i="1689"/>
  <c r="H11" i="1689"/>
  <c r="H17" i="1689"/>
  <c r="H31" i="1689"/>
  <c r="H13" i="1689"/>
  <c r="H30" i="1689"/>
  <c r="H15" i="1689"/>
  <c r="H29" i="1689"/>
  <c r="H28" i="1689"/>
  <c r="H27" i="1689"/>
  <c r="H26" i="1689"/>
  <c r="B17" i="1689"/>
  <c r="H25" i="1689"/>
  <c r="H24" i="1689"/>
  <c r="C15" i="1689"/>
  <c r="H23" i="1689"/>
  <c r="C14" i="1689"/>
  <c r="H22" i="1689"/>
  <c r="C13" i="1689"/>
  <c r="H21" i="1689"/>
  <c r="B12" i="1689"/>
  <c r="B16" i="1689" s="1"/>
  <c r="H4" i="1689"/>
  <c r="C11" i="1689"/>
  <c r="H14" i="1689"/>
  <c r="C10" i="1689"/>
  <c r="H8" i="1689"/>
  <c r="C9" i="1689"/>
  <c r="H10" i="1689"/>
  <c r="C8" i="1689"/>
  <c r="H5" i="1689"/>
  <c r="C7" i="1689"/>
  <c r="H2" i="1689"/>
  <c r="B6" i="1689"/>
  <c r="H7" i="1689"/>
  <c r="B5" i="1689"/>
  <c r="H6" i="1689"/>
  <c r="H12" i="1689"/>
  <c r="H3" i="1689"/>
  <c r="C12" i="1690" l="1"/>
  <c r="C12" i="1689"/>
  <c r="H51" i="1688" l="1"/>
  <c r="H50" i="1688"/>
  <c r="H49" i="1688"/>
  <c r="H48" i="1688"/>
  <c r="H47" i="1688"/>
  <c r="H46" i="1688"/>
  <c r="H45" i="1688"/>
  <c r="H44" i="1688"/>
  <c r="H43" i="1688"/>
  <c r="H42" i="1688"/>
  <c r="H41" i="1688"/>
  <c r="H40" i="1688"/>
  <c r="H39" i="1688"/>
  <c r="H38" i="1688"/>
  <c r="H37" i="1688"/>
  <c r="H36" i="1688"/>
  <c r="H35" i="1688"/>
  <c r="H34" i="1688"/>
  <c r="H33" i="1688"/>
  <c r="H32" i="1688"/>
  <c r="H31" i="1688"/>
  <c r="H30" i="1688"/>
  <c r="H29" i="1688"/>
  <c r="H28" i="1688"/>
  <c r="H27" i="1688"/>
  <c r="H26" i="1688"/>
  <c r="H25" i="1688"/>
  <c r="H24" i="1688"/>
  <c r="H23" i="1688"/>
  <c r="H22" i="1688"/>
  <c r="H21" i="1688"/>
  <c r="H20" i="1688"/>
  <c r="H19" i="1688"/>
  <c r="H18" i="1688"/>
  <c r="H17" i="1688"/>
  <c r="B17" i="1688"/>
  <c r="H16" i="1688"/>
  <c r="H15" i="1688"/>
  <c r="C15" i="1688"/>
  <c r="H14" i="1688"/>
  <c r="C14" i="1688"/>
  <c r="H13" i="1688"/>
  <c r="C13" i="1688"/>
  <c r="H12" i="1688"/>
  <c r="B12" i="1688"/>
  <c r="B16" i="1688" s="1"/>
  <c r="H11" i="1688"/>
  <c r="C11" i="1688"/>
  <c r="H10" i="1688"/>
  <c r="C10" i="1688"/>
  <c r="H9" i="1688"/>
  <c r="C9" i="1688"/>
  <c r="H8" i="1688"/>
  <c r="C8" i="1688"/>
  <c r="H7" i="1688"/>
  <c r="C7" i="1688"/>
  <c r="H6" i="1688"/>
  <c r="B6" i="1688"/>
  <c r="H5" i="1688"/>
  <c r="B5" i="1688"/>
  <c r="H4" i="1688"/>
  <c r="H3" i="1688"/>
  <c r="H2" i="1688"/>
  <c r="H51" i="1687"/>
  <c r="H50" i="1687"/>
  <c r="H49" i="1687"/>
  <c r="H48" i="1687"/>
  <c r="H47" i="1687"/>
  <c r="H46" i="1687"/>
  <c r="H45" i="1687"/>
  <c r="H44" i="1687"/>
  <c r="H43" i="1687"/>
  <c r="H42" i="1687"/>
  <c r="H41" i="1687"/>
  <c r="H40" i="1687"/>
  <c r="H39" i="1687"/>
  <c r="H38" i="1687"/>
  <c r="H37" i="1687"/>
  <c r="H36" i="1687"/>
  <c r="H35" i="1687"/>
  <c r="H34" i="1687"/>
  <c r="H33" i="1687"/>
  <c r="H32" i="1687"/>
  <c r="H31" i="1687"/>
  <c r="H30" i="1687"/>
  <c r="H29" i="1687"/>
  <c r="H28" i="1687"/>
  <c r="H27" i="1687"/>
  <c r="H26" i="1687"/>
  <c r="H25" i="1687"/>
  <c r="H24" i="1687"/>
  <c r="H23" i="1687"/>
  <c r="H22" i="1687"/>
  <c r="H21" i="1687"/>
  <c r="H20" i="1687"/>
  <c r="H19" i="1687"/>
  <c r="H18" i="1687"/>
  <c r="H17" i="1687"/>
  <c r="B17" i="1687"/>
  <c r="H16" i="1687"/>
  <c r="H15" i="1687"/>
  <c r="C15" i="1687"/>
  <c r="H14" i="1687"/>
  <c r="C14" i="1687"/>
  <c r="H13" i="1687"/>
  <c r="C13" i="1687"/>
  <c r="H12" i="1687"/>
  <c r="C12" i="1687"/>
  <c r="B12" i="1687"/>
  <c r="B16" i="1687" s="1"/>
  <c r="H11" i="1687"/>
  <c r="C11" i="1687"/>
  <c r="H10" i="1687"/>
  <c r="C10" i="1687"/>
  <c r="H9" i="1687"/>
  <c r="C9" i="1687"/>
  <c r="H8" i="1687"/>
  <c r="C8" i="1687"/>
  <c r="H7" i="1687"/>
  <c r="C7" i="1687"/>
  <c r="H6" i="1687"/>
  <c r="B6" i="1687"/>
  <c r="H5" i="1687"/>
  <c r="B5" i="1687"/>
  <c r="H4" i="1687"/>
  <c r="H3" i="1687"/>
  <c r="H2" i="1687"/>
  <c r="H51" i="1686"/>
  <c r="H50" i="1686"/>
  <c r="H49" i="1686"/>
  <c r="H48" i="1686"/>
  <c r="H47" i="1686"/>
  <c r="H20" i="1686"/>
  <c r="H46" i="1686"/>
  <c r="H45" i="1686"/>
  <c r="H44" i="1686"/>
  <c r="H43" i="1686"/>
  <c r="H42" i="1686"/>
  <c r="H41" i="1686"/>
  <c r="H40" i="1686"/>
  <c r="H39" i="1686"/>
  <c r="H38" i="1686"/>
  <c r="H37" i="1686"/>
  <c r="H36" i="1686"/>
  <c r="H35" i="1686"/>
  <c r="H34" i="1686"/>
  <c r="H16" i="1686"/>
  <c r="H19" i="1686"/>
  <c r="H33" i="1686"/>
  <c r="H9" i="1686"/>
  <c r="H32" i="1686"/>
  <c r="H31" i="1686"/>
  <c r="H11" i="1686"/>
  <c r="H30" i="1686"/>
  <c r="H29" i="1686"/>
  <c r="H13" i="1686"/>
  <c r="H28" i="1686"/>
  <c r="H18" i="1686"/>
  <c r="H27" i="1686"/>
  <c r="H26" i="1686"/>
  <c r="H17" i="1686"/>
  <c r="H25" i="1686"/>
  <c r="B17" i="1686"/>
  <c r="H15" i="1686"/>
  <c r="H24" i="1686"/>
  <c r="C15" i="1686"/>
  <c r="H23" i="1686"/>
  <c r="C14" i="1686"/>
  <c r="H22" i="1686"/>
  <c r="C13" i="1686"/>
  <c r="H21" i="1686"/>
  <c r="B12" i="1686"/>
  <c r="B16" i="1686" s="1"/>
  <c r="H3" i="1686"/>
  <c r="C11" i="1686"/>
  <c r="H10" i="1686"/>
  <c r="C10" i="1686"/>
  <c r="H12" i="1686"/>
  <c r="C9" i="1686"/>
  <c r="H8" i="1686"/>
  <c r="C8" i="1686"/>
  <c r="H7" i="1686"/>
  <c r="C7" i="1686"/>
  <c r="H2" i="1686"/>
  <c r="B6" i="1686"/>
  <c r="H6" i="1686"/>
  <c r="B5" i="1686"/>
  <c r="H4" i="1686"/>
  <c r="H14" i="1686"/>
  <c r="H5" i="1686"/>
  <c r="C12" i="1688" l="1"/>
  <c r="C12" i="1686"/>
  <c r="C15" i="1" l="1"/>
  <c r="C14" i="1"/>
  <c r="C13" i="1"/>
  <c r="C12" i="1"/>
  <c r="C10" i="1"/>
  <c r="C11" i="1"/>
  <c r="C9" i="1"/>
  <c r="C8" i="1"/>
  <c r="C7" i="1"/>
  <c r="B6" i="1"/>
  <c r="B5" i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17" i="1" l="1"/>
  <c r="B12" i="1" l="1"/>
  <c r="B16" i="1" l="1"/>
</calcChain>
</file>

<file path=xl/sharedStrings.xml><?xml version="1.0" encoding="utf-8"?>
<sst xmlns="http://schemas.openxmlformats.org/spreadsheetml/2006/main" count="1484" uniqueCount="149">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</sst>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  <c:pt idx="92">
                  <c:v>418</c:v>
                </c:pt>
                <c:pt idx="93">
                  <c:v>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14-4C33-80FB-8A0BDC409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2-4375-A363-AEE27D7C1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5-417E-A3CB-407177726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  <c:pt idx="55">
                  <c:v>-363</c:v>
                </c:pt>
                <c:pt idx="56">
                  <c:v>-315</c:v>
                </c:pt>
                <c:pt idx="57">
                  <c:v>-311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E9-4FEC-9C22-C72197C61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6-4E89-84A4-7062DB3D2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E2-409D-B104-39BFB662E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  <c:pt idx="31">
                  <c:v>-22</c:v>
                </c:pt>
                <c:pt idx="32">
                  <c:v>-38</c:v>
                </c:pt>
                <c:pt idx="33">
                  <c:v>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C5-4BD5-9D45-CF00C2D18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  <c:pt idx="33">
                  <c:v>-10</c:v>
                </c:pt>
                <c:pt idx="34">
                  <c:v>2</c:v>
                </c:pt>
                <c:pt idx="35">
                  <c:v>-35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1-41B8-B45E-7692A2995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8-4AB2-858C-C29E295AC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  <c:pt idx="25">
                  <c:v>-217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DC-4AAC-AF31-140E9A45A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C88099-2CB3-4F84-8102-A6557C727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69357C-690C-406F-A6E0-0CD5F8CBF4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0B016C-3884-408A-BD01-940068B876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3799C1-894B-4713-9E0A-0888BA2F4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0268E5-4432-45A7-8C80-931E48EAFC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10ECC0-2386-4D1D-9A77-D04045361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F49B30-6A2F-4FFB-8CF5-FD0E6E4ED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9FEF75A-6C3F-4015-9460-005605498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736269-2EB4-4BE0-8F19-AE57E96A66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DE722F-971C-470C-A9B1-9736F6D7B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8" customWidth="1"/>
    <col min="2" max="2" width="10.75" style="7" customWidth="1"/>
    <col min="3" max="3" width="10.75" style="4" customWidth="1"/>
    <col min="4" max="4" width="10.75" style="1" customWidth="1"/>
    <col min="5" max="5" width="10.75" style="3" customWidth="1"/>
    <col min="6" max="6" width="10.75" style="1" customWidth="1"/>
    <col min="7" max="7" width="10.75" style="6" customWidth="1"/>
    <col min="8" max="8" width="10.75" style="1" customWidth="1"/>
    <col min="9" max="9" width="10.75" style="20" customWidth="1"/>
    <col min="10" max="10" width="10.75" style="1" customWidth="1"/>
    <col min="11" max="11" width="10.75" style="20" customWidth="1"/>
    <col min="12" max="12" width="10.75" style="1" customWidth="1"/>
    <col min="13" max="13" width="10.75" style="18" customWidth="1"/>
    <col min="14" max="14" width="10.75" style="1" customWidth="1"/>
    <col min="15" max="15" width="10.75" style="18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8" customWidth="1"/>
    <col min="22" max="16384" width="9" style="5"/>
  </cols>
  <sheetData>
    <row r="1" spans="1:21" x14ac:dyDescent="0.4">
      <c r="A1" s="16"/>
      <c r="B1" s="61" t="s">
        <v>6</v>
      </c>
      <c r="C1" s="62"/>
      <c r="D1" s="61" t="s">
        <v>7</v>
      </c>
      <c r="E1" s="62"/>
      <c r="F1" s="61" t="s">
        <v>23</v>
      </c>
      <c r="G1" s="62"/>
      <c r="H1" s="61" t="s">
        <v>22</v>
      </c>
      <c r="I1" s="62"/>
      <c r="J1" s="61" t="s">
        <v>33</v>
      </c>
      <c r="K1" s="62"/>
      <c r="L1" s="61" t="s">
        <v>24</v>
      </c>
      <c r="M1" s="62"/>
      <c r="N1" s="61" t="s">
        <v>25</v>
      </c>
      <c r="O1" s="62"/>
      <c r="P1" s="61" t="s">
        <v>5</v>
      </c>
      <c r="Q1" s="62"/>
      <c r="R1" s="61" t="s">
        <v>32</v>
      </c>
      <c r="S1" s="62"/>
      <c r="T1" s="61" t="s">
        <v>145</v>
      </c>
      <c r="U1" s="62"/>
    </row>
    <row r="2" spans="1:21" x14ac:dyDescent="0.4">
      <c r="A2" s="9">
        <v>1</v>
      </c>
      <c r="B2" s="10" t="s">
        <v>26</v>
      </c>
      <c r="C2" s="11">
        <v>461</v>
      </c>
      <c r="D2" s="12" t="s">
        <v>18</v>
      </c>
      <c r="E2" s="13">
        <v>7</v>
      </c>
      <c r="F2" s="12" t="s">
        <v>35</v>
      </c>
      <c r="G2" s="14">
        <v>1.75</v>
      </c>
      <c r="H2" s="12" t="s">
        <v>35</v>
      </c>
      <c r="I2" s="19">
        <v>0.5</v>
      </c>
      <c r="J2" s="12" t="s">
        <v>18</v>
      </c>
      <c r="K2" s="19">
        <v>0</v>
      </c>
      <c r="L2" s="12" t="s">
        <v>18</v>
      </c>
      <c r="M2" s="17">
        <v>0.4</v>
      </c>
      <c r="N2" s="12" t="s">
        <v>28</v>
      </c>
      <c r="O2" s="17">
        <v>0.13284132841328414</v>
      </c>
      <c r="P2" s="12" t="s">
        <v>27</v>
      </c>
      <c r="Q2" s="15">
        <v>11500</v>
      </c>
      <c r="R2" s="12" t="s">
        <v>30</v>
      </c>
      <c r="S2" s="15">
        <v>-7700</v>
      </c>
      <c r="T2" s="12" t="s">
        <v>28</v>
      </c>
      <c r="U2" s="17">
        <v>0.33333333333333331</v>
      </c>
    </row>
    <row r="3" spans="1:21" x14ac:dyDescent="0.4">
      <c r="A3" s="8">
        <v>2</v>
      </c>
      <c r="B3" s="7" t="s">
        <v>28</v>
      </c>
      <c r="C3" s="4">
        <v>229</v>
      </c>
      <c r="D3" s="1" t="s">
        <v>35</v>
      </c>
      <c r="E3" s="3">
        <v>6.916666666666667</v>
      </c>
      <c r="F3" s="1" t="s">
        <v>28</v>
      </c>
      <c r="G3" s="6">
        <v>1.8461538461538463</v>
      </c>
      <c r="H3" s="1" t="s">
        <v>26</v>
      </c>
      <c r="I3" s="20">
        <v>0.38709677419354838</v>
      </c>
      <c r="J3" s="1" t="s">
        <v>26</v>
      </c>
      <c r="K3" s="20">
        <v>0.11827956989247312</v>
      </c>
      <c r="L3" s="1" t="s">
        <v>26</v>
      </c>
      <c r="M3" s="18">
        <v>0.35885885885885888</v>
      </c>
      <c r="N3" s="1" t="s">
        <v>35</v>
      </c>
      <c r="O3" s="18">
        <v>0.13414634146341464</v>
      </c>
      <c r="P3" s="1" t="s">
        <v>35</v>
      </c>
      <c r="Q3" s="2">
        <v>10900</v>
      </c>
      <c r="R3" s="1" t="s">
        <v>37</v>
      </c>
      <c r="S3" s="2">
        <v>-8200</v>
      </c>
      <c r="T3" s="1" t="s">
        <v>30</v>
      </c>
      <c r="U3" s="18">
        <v>0.28767123287671231</v>
      </c>
    </row>
    <row r="4" spans="1:21" x14ac:dyDescent="0.4">
      <c r="A4" s="8">
        <v>3</v>
      </c>
      <c r="B4" s="7" t="s">
        <v>35</v>
      </c>
      <c r="C4" s="4">
        <v>83</v>
      </c>
      <c r="D4" s="1" t="s">
        <v>28</v>
      </c>
      <c r="E4" s="3">
        <v>5.8717948717948714</v>
      </c>
      <c r="F4" s="1" t="s">
        <v>26</v>
      </c>
      <c r="G4" s="6">
        <v>1.8494623655913978</v>
      </c>
      <c r="H4" s="1" t="s">
        <v>28</v>
      </c>
      <c r="I4" s="20">
        <v>0.35897435897435898</v>
      </c>
      <c r="J4" s="1" t="s">
        <v>28</v>
      </c>
      <c r="K4" s="20">
        <v>0.12820512820512819</v>
      </c>
      <c r="L4" s="1" t="s">
        <v>28</v>
      </c>
      <c r="M4" s="18">
        <v>0.35793357933579334</v>
      </c>
      <c r="N4" s="1" t="s">
        <v>26</v>
      </c>
      <c r="O4" s="18">
        <v>0.15615615615615616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31</v>
      </c>
      <c r="U4" s="18">
        <v>0.26190476190476192</v>
      </c>
    </row>
    <row r="5" spans="1:21" x14ac:dyDescent="0.4">
      <c r="A5" s="8">
        <v>4</v>
      </c>
      <c r="B5" s="7" t="s">
        <v>18</v>
      </c>
      <c r="C5" s="4">
        <v>7</v>
      </c>
      <c r="D5" s="1" t="s">
        <v>26</v>
      </c>
      <c r="E5" s="3">
        <v>4.956989247311828</v>
      </c>
      <c r="F5" s="1" t="s">
        <v>18</v>
      </c>
      <c r="G5" s="6">
        <v>2</v>
      </c>
      <c r="H5" s="1" t="s">
        <v>31</v>
      </c>
      <c r="I5" s="20">
        <v>0.34285714285714286</v>
      </c>
      <c r="J5" s="1" t="s">
        <v>30</v>
      </c>
      <c r="K5" s="20">
        <v>0.15151515151515152</v>
      </c>
      <c r="L5" s="1" t="s">
        <v>35</v>
      </c>
      <c r="M5" s="18">
        <v>0.34146341463414637</v>
      </c>
      <c r="N5" s="1" t="s">
        <v>31</v>
      </c>
      <c r="O5" s="18">
        <v>0.16602316602316602</v>
      </c>
      <c r="P5" s="1" t="s">
        <v>31</v>
      </c>
      <c r="Q5" s="2">
        <v>10400</v>
      </c>
      <c r="R5" s="1" t="s">
        <v>28</v>
      </c>
      <c r="S5" s="2">
        <v>-9600</v>
      </c>
      <c r="T5" s="1" t="s">
        <v>26</v>
      </c>
      <c r="U5" s="18">
        <v>0.23645320197044334</v>
      </c>
    </row>
    <row r="6" spans="1:21" x14ac:dyDescent="0.4">
      <c r="A6" s="8">
        <v>5</v>
      </c>
      <c r="B6" s="7" t="s">
        <v>31</v>
      </c>
      <c r="C6" s="4">
        <v>-35</v>
      </c>
      <c r="D6" s="1" t="s">
        <v>31</v>
      </c>
      <c r="E6" s="3">
        <v>-1</v>
      </c>
      <c r="F6" s="1" t="s">
        <v>21</v>
      </c>
      <c r="G6" s="6">
        <v>2</v>
      </c>
      <c r="H6" s="1" t="s">
        <v>27</v>
      </c>
      <c r="I6" s="20">
        <v>0.2982456140350877</v>
      </c>
      <c r="J6" s="1" t="s">
        <v>31</v>
      </c>
      <c r="K6" s="20">
        <v>0.2</v>
      </c>
      <c r="L6" s="1" t="s">
        <v>31</v>
      </c>
      <c r="M6" s="18">
        <v>0.29343629343629346</v>
      </c>
      <c r="N6" s="1" t="s">
        <v>18</v>
      </c>
      <c r="O6" s="18">
        <v>0.2</v>
      </c>
      <c r="P6" s="1" t="s">
        <v>30</v>
      </c>
      <c r="Q6" s="2">
        <v>10300</v>
      </c>
      <c r="R6" s="1" t="s">
        <v>29</v>
      </c>
      <c r="S6" s="2">
        <v>-9700</v>
      </c>
      <c r="T6" s="1" t="s">
        <v>29</v>
      </c>
      <c r="U6" s="18">
        <v>0.22981366459627328</v>
      </c>
    </row>
    <row r="7" spans="1:21" x14ac:dyDescent="0.4">
      <c r="A7" s="8">
        <v>6</v>
      </c>
      <c r="B7" s="7" t="s">
        <v>21</v>
      </c>
      <c r="C7" s="4">
        <v>-41</v>
      </c>
      <c r="D7" s="1" t="s">
        <v>30</v>
      </c>
      <c r="E7" s="3">
        <v>-1.3333333333333333</v>
      </c>
      <c r="F7" s="1" t="s">
        <v>31</v>
      </c>
      <c r="G7" s="6">
        <v>2</v>
      </c>
      <c r="H7" s="1" t="s">
        <v>30</v>
      </c>
      <c r="I7" s="20">
        <v>0.27272727272727271</v>
      </c>
      <c r="J7" s="1" t="s">
        <v>35</v>
      </c>
      <c r="K7" s="20">
        <v>0.25</v>
      </c>
      <c r="L7" s="1" t="s">
        <v>30</v>
      </c>
      <c r="M7" s="18">
        <v>0.2846153846153846</v>
      </c>
      <c r="N7" s="1" t="s">
        <v>30</v>
      </c>
      <c r="O7" s="18">
        <v>0.2</v>
      </c>
      <c r="P7" s="1" t="s">
        <v>26</v>
      </c>
      <c r="Q7" s="2">
        <v>10000</v>
      </c>
      <c r="R7" s="1" t="s">
        <v>31</v>
      </c>
      <c r="S7" s="2">
        <v>-9900</v>
      </c>
      <c r="T7" s="1" t="s">
        <v>27</v>
      </c>
      <c r="U7" s="18">
        <v>0.19018404907975461</v>
      </c>
    </row>
    <row r="8" spans="1:21" x14ac:dyDescent="0.4">
      <c r="A8" s="8">
        <v>7</v>
      </c>
      <c r="B8" s="7" t="s">
        <v>30</v>
      </c>
      <c r="C8" s="4">
        <v>-44</v>
      </c>
      <c r="D8" s="1" t="s">
        <v>27</v>
      </c>
      <c r="E8" s="3">
        <v>-5.4561403508771926</v>
      </c>
      <c r="F8" s="1" t="s">
        <v>30</v>
      </c>
      <c r="G8" s="6">
        <v>2.0909090909090908</v>
      </c>
      <c r="H8" s="1" t="s">
        <v>29</v>
      </c>
      <c r="I8" s="20">
        <v>0.24</v>
      </c>
      <c r="J8" s="1" t="s">
        <v>27</v>
      </c>
      <c r="K8" s="20">
        <v>0.26315789473684209</v>
      </c>
      <c r="L8" s="1" t="s">
        <v>29</v>
      </c>
      <c r="M8" s="18">
        <v>0.27272727272727271</v>
      </c>
      <c r="N8" s="1" t="s">
        <v>29</v>
      </c>
      <c r="O8" s="18">
        <v>0.20707070707070707</v>
      </c>
      <c r="P8" s="1" t="s">
        <v>28</v>
      </c>
      <c r="Q8" s="2">
        <v>9600</v>
      </c>
      <c r="R8" s="1" t="s">
        <v>35</v>
      </c>
      <c r="S8" s="2">
        <v>-9900</v>
      </c>
      <c r="T8" s="1" t="s">
        <v>37</v>
      </c>
      <c r="U8" s="18">
        <v>0</v>
      </c>
    </row>
    <row r="9" spans="1:21" x14ac:dyDescent="0.4">
      <c r="A9" s="8">
        <v>8</v>
      </c>
      <c r="B9" s="7" t="s">
        <v>37</v>
      </c>
      <c r="C9" s="4">
        <v>-132</v>
      </c>
      <c r="D9" s="1" t="s">
        <v>29</v>
      </c>
      <c r="E9" s="3">
        <v>-8.68</v>
      </c>
      <c r="F9" s="1" t="s">
        <v>27</v>
      </c>
      <c r="G9" s="6">
        <v>2.1578947368421053</v>
      </c>
      <c r="H9" s="1" t="s">
        <v>37</v>
      </c>
      <c r="I9" s="20">
        <v>0</v>
      </c>
      <c r="J9" s="1" t="s">
        <v>29</v>
      </c>
      <c r="K9" s="20">
        <v>0.28000000000000003</v>
      </c>
      <c r="L9" s="1" t="s">
        <v>27</v>
      </c>
      <c r="M9" s="18">
        <v>0.23584905660377359</v>
      </c>
      <c r="N9" s="1" t="s">
        <v>27</v>
      </c>
      <c r="O9" s="18">
        <v>0.2099056603773585</v>
      </c>
      <c r="P9" s="1" t="s">
        <v>18</v>
      </c>
      <c r="Q9" s="2">
        <v>8000</v>
      </c>
      <c r="R9" s="1" t="s">
        <v>26</v>
      </c>
      <c r="S9" s="2">
        <v>-10000</v>
      </c>
      <c r="T9" s="1" t="s">
        <v>18</v>
      </c>
      <c r="U9" s="18">
        <v>0</v>
      </c>
    </row>
    <row r="10" spans="1:21" x14ac:dyDescent="0.4">
      <c r="A10" s="8">
        <v>9</v>
      </c>
      <c r="B10" s="7" t="s">
        <v>29</v>
      </c>
      <c r="C10" s="4">
        <v>-217</v>
      </c>
      <c r="D10" s="1" t="s">
        <v>37</v>
      </c>
      <c r="E10" s="3">
        <v>-33</v>
      </c>
      <c r="F10" s="1" t="s">
        <v>29</v>
      </c>
      <c r="G10" s="6">
        <v>2.2799999999999998</v>
      </c>
      <c r="H10" s="1" t="s">
        <v>18</v>
      </c>
      <c r="I10" s="20">
        <v>0</v>
      </c>
      <c r="J10" s="1" t="s">
        <v>37</v>
      </c>
      <c r="K10" s="20">
        <v>0.5</v>
      </c>
      <c r="L10" s="1" t="s">
        <v>21</v>
      </c>
      <c r="M10" s="18">
        <v>0.16666666666666666</v>
      </c>
      <c r="N10" s="1" t="s">
        <v>21</v>
      </c>
      <c r="O10" s="18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8">
        <v>0</v>
      </c>
    </row>
    <row r="11" spans="1:21" x14ac:dyDescent="0.4">
      <c r="A11" s="8">
        <v>10</v>
      </c>
      <c r="B11" s="7" t="s">
        <v>27</v>
      </c>
      <c r="C11" s="4">
        <v>-311</v>
      </c>
      <c r="D11" s="1" t="s">
        <v>21</v>
      </c>
      <c r="E11" s="3">
        <v>-41</v>
      </c>
      <c r="F11" s="1" t="s">
        <v>37</v>
      </c>
      <c r="G11" s="6">
        <v>3</v>
      </c>
      <c r="H11" s="1" t="s">
        <v>21</v>
      </c>
      <c r="I11" s="20">
        <v>0</v>
      </c>
      <c r="J11" s="1" t="s">
        <v>21</v>
      </c>
      <c r="K11" s="20">
        <v>1</v>
      </c>
      <c r="L11" s="1" t="s">
        <v>37</v>
      </c>
      <c r="M11" s="18">
        <v>0.04</v>
      </c>
      <c r="N11" s="1" t="s">
        <v>37</v>
      </c>
      <c r="O11" s="18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62435-43AB-47C8-9173-6F019CAB53FF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15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93</v>
      </c>
      <c r="C2" s="29"/>
      <c r="E2" s="30" t="s">
        <v>92</v>
      </c>
      <c r="F2" s="12" t="s">
        <v>45</v>
      </c>
      <c r="G2" s="28">
        <v>73</v>
      </c>
      <c r="H2" s="31">
        <f>G2/B$19</f>
        <v>0.91249999999999998</v>
      </c>
      <c r="J2" s="27">
        <v>0</v>
      </c>
      <c r="K2" s="32">
        <v>0</v>
      </c>
    </row>
    <row r="3" spans="1:11" x14ac:dyDescent="0.4">
      <c r="A3" s="33" t="s">
        <v>8</v>
      </c>
      <c r="B3" s="34">
        <v>666</v>
      </c>
      <c r="C3" s="35"/>
      <c r="E3" s="36" t="s">
        <v>97</v>
      </c>
      <c r="F3" s="1" t="s">
        <v>49</v>
      </c>
      <c r="G3" s="34">
        <v>47</v>
      </c>
      <c r="H3" s="37">
        <f>G3/B$19</f>
        <v>0.58750000000000002</v>
      </c>
      <c r="J3" s="33">
        <v>1</v>
      </c>
      <c r="K3" s="38">
        <v>15</v>
      </c>
    </row>
    <row r="4" spans="1:11" x14ac:dyDescent="0.4">
      <c r="A4" s="33" t="s">
        <v>6</v>
      </c>
      <c r="B4" s="39">
        <v>461</v>
      </c>
      <c r="C4" s="38"/>
      <c r="E4" s="36" t="s">
        <v>90</v>
      </c>
      <c r="F4" s="1" t="s">
        <v>43</v>
      </c>
      <c r="G4" s="34">
        <v>43</v>
      </c>
      <c r="H4" s="37">
        <f>G4/B$19</f>
        <v>0.53749999999999998</v>
      </c>
      <c r="J4" s="33">
        <v>2</v>
      </c>
      <c r="K4" s="38">
        <v>14</v>
      </c>
    </row>
    <row r="5" spans="1:11" x14ac:dyDescent="0.4">
      <c r="A5" s="33" t="s">
        <v>7</v>
      </c>
      <c r="B5" s="40">
        <f>IF(B$2=0,0,B$4/B$2)</f>
        <v>4.956989247311828</v>
      </c>
      <c r="C5" s="41"/>
      <c r="E5" s="36" t="s">
        <v>88</v>
      </c>
      <c r="F5" s="1" t="s">
        <v>41</v>
      </c>
      <c r="G5" s="34">
        <v>42</v>
      </c>
      <c r="H5" s="37">
        <f>G5/B$19</f>
        <v>0.52500000000000002</v>
      </c>
      <c r="J5" s="33">
        <v>3</v>
      </c>
      <c r="K5" s="38">
        <v>29</v>
      </c>
    </row>
    <row r="6" spans="1:11" x14ac:dyDescent="0.4">
      <c r="A6" s="33" t="s">
        <v>1</v>
      </c>
      <c r="B6" s="42">
        <f>IF(B$2=0,0,(B$7*1+B$8*2+B$9*3)/B$2)</f>
        <v>1.8494623655913978</v>
      </c>
      <c r="C6" s="43"/>
      <c r="E6" s="36" t="s">
        <v>91</v>
      </c>
      <c r="F6" s="1" t="s">
        <v>44</v>
      </c>
      <c r="G6" s="34">
        <v>25</v>
      </c>
      <c r="H6" s="37">
        <f>G6/B$19</f>
        <v>0.3125</v>
      </c>
      <c r="J6" s="33">
        <v>4</v>
      </c>
      <c r="K6" s="38">
        <v>114</v>
      </c>
    </row>
    <row r="7" spans="1:11" x14ac:dyDescent="0.4">
      <c r="A7" s="33" t="s">
        <v>2</v>
      </c>
      <c r="B7" s="34">
        <v>36</v>
      </c>
      <c r="C7" s="37">
        <f>IF(B$2=0,0,B7/B$2)</f>
        <v>0.38709677419354838</v>
      </c>
      <c r="E7" s="36" t="s">
        <v>93</v>
      </c>
      <c r="F7" s="1" t="s">
        <v>12</v>
      </c>
      <c r="G7" s="34">
        <v>18</v>
      </c>
      <c r="H7" s="37">
        <f>G7/B$19</f>
        <v>0.22500000000000001</v>
      </c>
      <c r="J7" s="33">
        <v>5</v>
      </c>
      <c r="K7" s="38">
        <v>146</v>
      </c>
    </row>
    <row r="8" spans="1:11" x14ac:dyDescent="0.4">
      <c r="A8" s="33" t="s">
        <v>3</v>
      </c>
      <c r="B8" s="34">
        <v>35</v>
      </c>
      <c r="C8" s="37">
        <f t="shared" ref="C8:C9" si="0">IF(B$2=0,0,B8/B$2)</f>
        <v>0.37634408602150538</v>
      </c>
      <c r="E8" s="36" t="s">
        <v>94</v>
      </c>
      <c r="F8" s="1" t="s">
        <v>46</v>
      </c>
      <c r="G8" s="34">
        <v>12</v>
      </c>
      <c r="H8" s="37">
        <f>G8/B$19</f>
        <v>0.15</v>
      </c>
      <c r="J8" s="33">
        <v>6</v>
      </c>
      <c r="K8" s="38">
        <v>98</v>
      </c>
    </row>
    <row r="9" spans="1:11" x14ac:dyDescent="0.4">
      <c r="A9" s="44" t="s">
        <v>4</v>
      </c>
      <c r="B9" s="45">
        <v>22</v>
      </c>
      <c r="C9" s="46">
        <f t="shared" si="0"/>
        <v>0.23655913978494625</v>
      </c>
      <c r="E9" s="36" t="s">
        <v>115</v>
      </c>
      <c r="F9" s="1" t="s">
        <v>67</v>
      </c>
      <c r="G9" s="34">
        <v>9</v>
      </c>
      <c r="H9" s="37">
        <f>G9/B$19</f>
        <v>0.1125</v>
      </c>
      <c r="J9" s="33">
        <v>7</v>
      </c>
      <c r="K9" s="38">
        <v>92</v>
      </c>
    </row>
    <row r="10" spans="1:11" ht="19.5" thickBot="1" x14ac:dyDescent="0.45">
      <c r="A10" s="47" t="s">
        <v>34</v>
      </c>
      <c r="B10" s="48">
        <v>11</v>
      </c>
      <c r="C10" s="49">
        <f>IF(B$2=0,0,B10/B$2)</f>
        <v>0.11827956989247312</v>
      </c>
      <c r="E10" s="36" t="s">
        <v>96</v>
      </c>
      <c r="F10" s="1" t="s">
        <v>48</v>
      </c>
      <c r="G10" s="34">
        <v>5</v>
      </c>
      <c r="H10" s="37">
        <f>G10/B$19</f>
        <v>6.25E-2</v>
      </c>
      <c r="J10" s="33">
        <v>8</v>
      </c>
      <c r="K10" s="38">
        <v>56</v>
      </c>
    </row>
    <row r="11" spans="1:11" ht="19.5" thickTop="1" x14ac:dyDescent="0.4">
      <c r="A11" s="50" t="s">
        <v>144</v>
      </c>
      <c r="B11" s="51">
        <v>48</v>
      </c>
      <c r="C11" s="31">
        <f>IF(B$18=0,0,B11/B$18)</f>
        <v>0.23645320197044334</v>
      </c>
      <c r="E11" s="36" t="s">
        <v>112</v>
      </c>
      <c r="F11" s="1" t="s">
        <v>64</v>
      </c>
      <c r="G11" s="34">
        <v>4</v>
      </c>
      <c r="H11" s="37">
        <f>G11/B$19</f>
        <v>0.05</v>
      </c>
      <c r="J11" s="33">
        <v>9</v>
      </c>
      <c r="K11" s="38">
        <v>15</v>
      </c>
    </row>
    <row r="12" spans="1:11" x14ac:dyDescent="0.4">
      <c r="A12" s="27" t="s">
        <v>10</v>
      </c>
      <c r="B12" s="28">
        <f>B13+B14</f>
        <v>239</v>
      </c>
      <c r="C12" s="31">
        <f>IF(B$3=0,0,B12/B$3)</f>
        <v>0.35885885885885888</v>
      </c>
      <c r="E12" s="36" t="s">
        <v>95</v>
      </c>
      <c r="F12" s="1" t="s">
        <v>47</v>
      </c>
      <c r="G12" s="34">
        <v>3</v>
      </c>
      <c r="H12" s="37">
        <f>G12/B$19</f>
        <v>3.7499999999999999E-2</v>
      </c>
      <c r="J12" s="33">
        <v>10</v>
      </c>
      <c r="K12" s="38">
        <v>-17</v>
      </c>
    </row>
    <row r="13" spans="1:11" x14ac:dyDescent="0.4">
      <c r="A13" s="33" t="s">
        <v>11</v>
      </c>
      <c r="B13" s="34">
        <v>154</v>
      </c>
      <c r="C13" s="37">
        <f>IF(B$3=0,0,B13/B$3)</f>
        <v>0.23123123123123124</v>
      </c>
      <c r="E13" s="36" t="s">
        <v>109</v>
      </c>
      <c r="F13" s="1" t="s">
        <v>61</v>
      </c>
      <c r="G13" s="34">
        <v>3</v>
      </c>
      <c r="H13" s="37">
        <f>G13/B$19</f>
        <v>3.7499999999999999E-2</v>
      </c>
      <c r="J13" s="33">
        <v>11</v>
      </c>
      <c r="K13" s="38">
        <v>1</v>
      </c>
    </row>
    <row r="14" spans="1:11" x14ac:dyDescent="0.4">
      <c r="A14" s="33" t="s">
        <v>12</v>
      </c>
      <c r="B14" s="34">
        <v>85</v>
      </c>
      <c r="C14" s="37">
        <f>IF(B$3=0,0,B14/B$3)</f>
        <v>0.12762762762762764</v>
      </c>
      <c r="E14" s="36" t="s">
        <v>89</v>
      </c>
      <c r="F14" s="1" t="s">
        <v>42</v>
      </c>
      <c r="G14" s="34">
        <v>2</v>
      </c>
      <c r="H14" s="37">
        <f>G14/B$19</f>
        <v>2.5000000000000001E-2</v>
      </c>
      <c r="J14" s="33">
        <v>12</v>
      </c>
      <c r="K14" s="38">
        <v>14</v>
      </c>
    </row>
    <row r="15" spans="1:11" x14ac:dyDescent="0.4">
      <c r="A15" s="33" t="s">
        <v>13</v>
      </c>
      <c r="B15" s="34">
        <v>104</v>
      </c>
      <c r="C15" s="37">
        <f>IF(B$3=0,0,B15/B$3)</f>
        <v>0.15615615615615616</v>
      </c>
      <c r="E15" s="36" t="s">
        <v>102</v>
      </c>
      <c r="F15" s="1" t="s">
        <v>54</v>
      </c>
      <c r="G15" s="34">
        <v>2</v>
      </c>
      <c r="H15" s="37">
        <f>G15/B$19</f>
        <v>2.5000000000000001E-2</v>
      </c>
      <c r="J15" s="33">
        <v>13</v>
      </c>
      <c r="K15" s="38">
        <v>71</v>
      </c>
    </row>
    <row r="16" spans="1:11" x14ac:dyDescent="0.4">
      <c r="A16" s="33" t="s">
        <v>5</v>
      </c>
      <c r="B16" s="52">
        <f>IF(B$12=0,0,ROUND(C16/B$12,-2))</f>
        <v>10000</v>
      </c>
      <c r="C16" s="53">
        <v>2399200</v>
      </c>
      <c r="E16" s="36" t="s">
        <v>118</v>
      </c>
      <c r="F16" s="1" t="s">
        <v>70</v>
      </c>
      <c r="G16" s="34">
        <v>2</v>
      </c>
      <c r="H16" s="37">
        <f>G16/B$19</f>
        <v>2.5000000000000001E-2</v>
      </c>
      <c r="J16" s="33">
        <v>14</v>
      </c>
      <c r="K16" s="38">
        <v>27</v>
      </c>
    </row>
    <row r="17" spans="1:11" ht="19.5" thickBot="1" x14ac:dyDescent="0.45">
      <c r="A17" s="54" t="s">
        <v>14</v>
      </c>
      <c r="B17" s="55">
        <f>IF(B$15=0,0,ROUND(C17/B$15,-2))</f>
        <v>-10000</v>
      </c>
      <c r="C17" s="65">
        <v>-1039300</v>
      </c>
      <c r="E17" s="36" t="s">
        <v>104</v>
      </c>
      <c r="F17" s="1" t="s">
        <v>56</v>
      </c>
      <c r="G17" s="34">
        <v>1</v>
      </c>
      <c r="H17" s="37">
        <f>G17/B$19</f>
        <v>1.2500000000000001E-2</v>
      </c>
      <c r="J17" s="33">
        <v>15</v>
      </c>
      <c r="K17" s="38">
        <v>-10</v>
      </c>
    </row>
    <row r="18" spans="1:11" ht="19.5" thickTop="1" x14ac:dyDescent="0.4">
      <c r="A18" s="50" t="s">
        <v>147</v>
      </c>
      <c r="B18" s="51">
        <v>203</v>
      </c>
      <c r="C18" s="31"/>
      <c r="E18" s="36" t="s">
        <v>107</v>
      </c>
      <c r="F18" s="1" t="s">
        <v>59</v>
      </c>
      <c r="G18" s="34">
        <v>1</v>
      </c>
      <c r="H18" s="37">
        <f>G18/B$19</f>
        <v>1.2500000000000001E-2</v>
      </c>
      <c r="J18" s="33">
        <v>16</v>
      </c>
      <c r="K18" s="38">
        <v>-8</v>
      </c>
    </row>
    <row r="19" spans="1:11" x14ac:dyDescent="0.4">
      <c r="A19" s="54" t="s">
        <v>148</v>
      </c>
      <c r="B19" s="57">
        <v>80</v>
      </c>
      <c r="C19" s="58"/>
      <c r="E19" s="36" t="s">
        <v>117</v>
      </c>
      <c r="F19" s="1" t="s">
        <v>69</v>
      </c>
      <c r="G19" s="34">
        <v>1</v>
      </c>
      <c r="H19" s="37">
        <f>G19/B$19</f>
        <v>1.2500000000000001E-2</v>
      </c>
      <c r="J19" s="33">
        <v>17</v>
      </c>
      <c r="K19" s="38">
        <v>-29</v>
      </c>
    </row>
    <row r="20" spans="1:11" x14ac:dyDescent="0.4">
      <c r="E20" s="36" t="s">
        <v>132</v>
      </c>
      <c r="F20" s="1" t="s">
        <v>139</v>
      </c>
      <c r="G20" s="34">
        <v>1</v>
      </c>
      <c r="H20" s="37">
        <f>G20/B$19</f>
        <v>1.2500000000000001E-2</v>
      </c>
      <c r="J20" s="33">
        <v>18</v>
      </c>
      <c r="K20" s="38">
        <v>-14</v>
      </c>
    </row>
    <row r="21" spans="1:11" x14ac:dyDescent="0.4">
      <c r="E21" s="36" t="s">
        <v>98</v>
      </c>
      <c r="F21" s="1" t="s">
        <v>50</v>
      </c>
      <c r="G21" s="34">
        <v>0</v>
      </c>
      <c r="H21" s="37">
        <f>G21/B$19</f>
        <v>0</v>
      </c>
      <c r="J21" s="33">
        <v>19</v>
      </c>
      <c r="K21" s="38">
        <v>43</v>
      </c>
    </row>
    <row r="22" spans="1:11" x14ac:dyDescent="0.4">
      <c r="E22" s="36" t="s">
        <v>99</v>
      </c>
      <c r="F22" s="1" t="s">
        <v>51</v>
      </c>
      <c r="G22" s="34">
        <v>0</v>
      </c>
      <c r="H22" s="37">
        <f>G22/B$19</f>
        <v>0</v>
      </c>
      <c r="J22" s="33">
        <v>20</v>
      </c>
      <c r="K22" s="38">
        <v>69</v>
      </c>
    </row>
    <row r="23" spans="1:11" x14ac:dyDescent="0.4">
      <c r="E23" s="36" t="s">
        <v>100</v>
      </c>
      <c r="F23" s="1" t="s">
        <v>52</v>
      </c>
      <c r="G23" s="34">
        <v>0</v>
      </c>
      <c r="H23" s="37">
        <f>G23/B$19</f>
        <v>0</v>
      </c>
      <c r="J23" s="33">
        <v>21</v>
      </c>
      <c r="K23" s="38">
        <v>126</v>
      </c>
    </row>
    <row r="24" spans="1:11" x14ac:dyDescent="0.4">
      <c r="E24" s="36" t="s">
        <v>101</v>
      </c>
      <c r="F24" s="1" t="s">
        <v>53</v>
      </c>
      <c r="G24" s="34">
        <v>0</v>
      </c>
      <c r="H24" s="37">
        <f>G24/B$19</f>
        <v>0</v>
      </c>
      <c r="J24" s="33">
        <v>22</v>
      </c>
      <c r="K24" s="38">
        <v>100</v>
      </c>
    </row>
    <row r="25" spans="1:11" x14ac:dyDescent="0.4">
      <c r="E25" s="36" t="s">
        <v>103</v>
      </c>
      <c r="F25" s="1" t="s">
        <v>55</v>
      </c>
      <c r="G25" s="34">
        <v>0</v>
      </c>
      <c r="H25" s="37">
        <f>G25/B$19</f>
        <v>0</v>
      </c>
      <c r="J25" s="33">
        <v>23</v>
      </c>
      <c r="K25" s="38">
        <v>125</v>
      </c>
    </row>
    <row r="26" spans="1:11" x14ac:dyDescent="0.4">
      <c r="E26" s="36" t="s">
        <v>105</v>
      </c>
      <c r="F26" s="1" t="s">
        <v>57</v>
      </c>
      <c r="G26" s="34">
        <v>0</v>
      </c>
      <c r="H26" s="37">
        <f>G26/B$19</f>
        <v>0</v>
      </c>
      <c r="J26" s="33">
        <v>24</v>
      </c>
      <c r="K26" s="38">
        <v>118</v>
      </c>
    </row>
    <row r="27" spans="1:11" x14ac:dyDescent="0.4">
      <c r="E27" s="36" t="s">
        <v>106</v>
      </c>
      <c r="F27" s="1" t="s">
        <v>58</v>
      </c>
      <c r="G27" s="34">
        <v>0</v>
      </c>
      <c r="H27" s="37">
        <f>G27/B$19</f>
        <v>0</v>
      </c>
      <c r="J27" s="33">
        <v>25</v>
      </c>
      <c r="K27" s="38">
        <v>84</v>
      </c>
    </row>
    <row r="28" spans="1:11" x14ac:dyDescent="0.4">
      <c r="E28" s="36" t="s">
        <v>108</v>
      </c>
      <c r="F28" s="1" t="s">
        <v>60</v>
      </c>
      <c r="G28" s="34">
        <v>0</v>
      </c>
      <c r="H28" s="37">
        <f>G28/B$19</f>
        <v>0</v>
      </c>
      <c r="J28" s="33">
        <v>26</v>
      </c>
      <c r="K28" s="38">
        <v>108</v>
      </c>
    </row>
    <row r="29" spans="1:11" x14ac:dyDescent="0.4">
      <c r="E29" s="36" t="s">
        <v>110</v>
      </c>
      <c r="F29" s="1" t="s">
        <v>62</v>
      </c>
      <c r="G29" s="34">
        <v>0</v>
      </c>
      <c r="H29" s="37">
        <f>G29/B$19</f>
        <v>0</v>
      </c>
      <c r="J29" s="33">
        <v>27</v>
      </c>
      <c r="K29" s="38">
        <v>71</v>
      </c>
    </row>
    <row r="30" spans="1:11" x14ac:dyDescent="0.4">
      <c r="E30" s="36" t="s">
        <v>111</v>
      </c>
      <c r="F30" s="1" t="s">
        <v>63</v>
      </c>
      <c r="G30" s="34">
        <v>0</v>
      </c>
      <c r="H30" s="37">
        <f>G30/B$19</f>
        <v>0</v>
      </c>
      <c r="J30" s="33">
        <v>28</v>
      </c>
      <c r="K30" s="38">
        <v>129</v>
      </c>
    </row>
    <row r="31" spans="1:11" x14ac:dyDescent="0.4">
      <c r="E31" s="36" t="s">
        <v>113</v>
      </c>
      <c r="F31" s="1" t="s">
        <v>65</v>
      </c>
      <c r="G31" s="34">
        <v>0</v>
      </c>
      <c r="H31" s="37">
        <f>G31/B$19</f>
        <v>0</v>
      </c>
      <c r="J31" s="33">
        <v>29</v>
      </c>
      <c r="K31" s="38">
        <v>121</v>
      </c>
    </row>
    <row r="32" spans="1:11" x14ac:dyDescent="0.4">
      <c r="E32" s="36" t="s">
        <v>114</v>
      </c>
      <c r="F32" s="1" t="s">
        <v>66</v>
      </c>
      <c r="G32" s="34">
        <v>0</v>
      </c>
      <c r="H32" s="37">
        <f>G32/B$19</f>
        <v>0</v>
      </c>
      <c r="J32" s="33">
        <v>30</v>
      </c>
      <c r="K32" s="38">
        <v>113</v>
      </c>
    </row>
    <row r="33" spans="5:11" x14ac:dyDescent="0.4">
      <c r="E33" s="36" t="s">
        <v>116</v>
      </c>
      <c r="F33" s="1" t="s">
        <v>68</v>
      </c>
      <c r="G33" s="34">
        <v>0</v>
      </c>
      <c r="H33" s="37">
        <f>G33/B$19</f>
        <v>0</v>
      </c>
      <c r="J33" s="33">
        <v>31</v>
      </c>
      <c r="K33" s="38">
        <v>166</v>
      </c>
    </row>
    <row r="34" spans="5:11" x14ac:dyDescent="0.4">
      <c r="E34" s="36" t="s">
        <v>119</v>
      </c>
      <c r="F34" s="1" t="s">
        <v>71</v>
      </c>
      <c r="G34" s="34">
        <v>0</v>
      </c>
      <c r="H34" s="37">
        <f>G34/B$19</f>
        <v>0</v>
      </c>
      <c r="J34" s="33">
        <v>32</v>
      </c>
      <c r="K34" s="38">
        <v>152</v>
      </c>
    </row>
    <row r="35" spans="5:11" x14ac:dyDescent="0.4">
      <c r="E35" s="36" t="s">
        <v>120</v>
      </c>
      <c r="F35" s="1" t="s">
        <v>72</v>
      </c>
      <c r="G35" s="34">
        <v>0</v>
      </c>
      <c r="H35" s="37">
        <f>G35/B$19</f>
        <v>0</v>
      </c>
      <c r="J35" s="33">
        <v>33</v>
      </c>
      <c r="K35" s="38">
        <v>213</v>
      </c>
    </row>
    <row r="36" spans="5:11" x14ac:dyDescent="0.4">
      <c r="E36" s="36" t="s">
        <v>121</v>
      </c>
      <c r="F36" s="1" t="s">
        <v>73</v>
      </c>
      <c r="G36" s="34">
        <v>0</v>
      </c>
      <c r="H36" s="37">
        <f>G36/B$19</f>
        <v>0</v>
      </c>
      <c r="J36" s="33">
        <v>34</v>
      </c>
      <c r="K36" s="38">
        <v>263</v>
      </c>
    </row>
    <row r="37" spans="5:11" x14ac:dyDescent="0.4">
      <c r="E37" s="36" t="s">
        <v>122</v>
      </c>
      <c r="F37" s="1" t="s">
        <v>74</v>
      </c>
      <c r="G37" s="34">
        <v>0</v>
      </c>
      <c r="H37" s="37">
        <f>G37/B$19</f>
        <v>0</v>
      </c>
      <c r="J37" s="33">
        <v>35</v>
      </c>
      <c r="K37" s="38">
        <v>249</v>
      </c>
    </row>
    <row r="38" spans="5:11" x14ac:dyDescent="0.4">
      <c r="E38" s="36" t="s">
        <v>123</v>
      </c>
      <c r="F38" s="1" t="s">
        <v>75</v>
      </c>
      <c r="G38" s="34">
        <v>0</v>
      </c>
      <c r="H38" s="37">
        <f>G38/B$19</f>
        <v>0</v>
      </c>
      <c r="J38" s="33">
        <v>36</v>
      </c>
      <c r="K38" s="38">
        <v>246</v>
      </c>
    </row>
    <row r="39" spans="5:11" x14ac:dyDescent="0.4">
      <c r="E39" s="36" t="s">
        <v>124</v>
      </c>
      <c r="F39" s="1" t="s">
        <v>76</v>
      </c>
      <c r="G39" s="34">
        <v>0</v>
      </c>
      <c r="H39" s="37">
        <f>G39/B$19</f>
        <v>0</v>
      </c>
      <c r="J39" s="33">
        <v>37</v>
      </c>
      <c r="K39" s="38">
        <v>229</v>
      </c>
    </row>
    <row r="40" spans="5:11" x14ac:dyDescent="0.4">
      <c r="E40" s="36" t="s">
        <v>125</v>
      </c>
      <c r="F40" s="1" t="s">
        <v>77</v>
      </c>
      <c r="G40" s="34">
        <v>0</v>
      </c>
      <c r="H40" s="37">
        <f>G40/B$19</f>
        <v>0</v>
      </c>
      <c r="J40" s="33">
        <v>38</v>
      </c>
      <c r="K40" s="38">
        <v>250</v>
      </c>
    </row>
    <row r="41" spans="5:11" x14ac:dyDescent="0.4">
      <c r="E41" s="36" t="s">
        <v>126</v>
      </c>
      <c r="F41" s="1" t="s">
        <v>78</v>
      </c>
      <c r="G41" s="34">
        <v>0</v>
      </c>
      <c r="H41" s="37">
        <f>G41/B$19</f>
        <v>0</v>
      </c>
      <c r="J41" s="33">
        <v>39</v>
      </c>
      <c r="K41" s="38">
        <v>199</v>
      </c>
    </row>
    <row r="42" spans="5:11" x14ac:dyDescent="0.4">
      <c r="E42" s="36" t="s">
        <v>127</v>
      </c>
      <c r="F42" s="1" t="s">
        <v>79</v>
      </c>
      <c r="G42" s="34">
        <v>0</v>
      </c>
      <c r="H42" s="37">
        <f>G42/B$19</f>
        <v>0</v>
      </c>
      <c r="J42" s="33">
        <v>40</v>
      </c>
      <c r="K42" s="38">
        <v>191</v>
      </c>
    </row>
    <row r="43" spans="5:11" x14ac:dyDescent="0.4">
      <c r="E43" s="36" t="s">
        <v>128</v>
      </c>
      <c r="F43" s="1" t="s">
        <v>80</v>
      </c>
      <c r="G43" s="34">
        <v>0</v>
      </c>
      <c r="H43" s="37">
        <f>G43/B$19</f>
        <v>0</v>
      </c>
      <c r="J43" s="33">
        <v>41</v>
      </c>
      <c r="K43" s="38">
        <v>184</v>
      </c>
    </row>
    <row r="44" spans="5:11" x14ac:dyDescent="0.4">
      <c r="E44" s="36" t="s">
        <v>129</v>
      </c>
      <c r="F44" s="1" t="s">
        <v>81</v>
      </c>
      <c r="G44" s="34">
        <v>0</v>
      </c>
      <c r="H44" s="37">
        <f>G44/B$19</f>
        <v>0</v>
      </c>
      <c r="J44" s="33">
        <v>42</v>
      </c>
      <c r="K44" s="38">
        <v>148</v>
      </c>
    </row>
    <row r="45" spans="5:11" x14ac:dyDescent="0.4">
      <c r="E45" s="36" t="s">
        <v>130</v>
      </c>
      <c r="F45" s="1" t="s">
        <v>82</v>
      </c>
      <c r="G45" s="34">
        <v>0</v>
      </c>
      <c r="H45" s="37">
        <f>G45/B$19</f>
        <v>0</v>
      </c>
      <c r="J45" s="33">
        <v>43</v>
      </c>
      <c r="K45" s="38">
        <v>139</v>
      </c>
    </row>
    <row r="46" spans="5:11" x14ac:dyDescent="0.4">
      <c r="E46" s="36" t="s">
        <v>131</v>
      </c>
      <c r="F46" s="1" t="s">
        <v>138</v>
      </c>
      <c r="G46" s="34">
        <v>0</v>
      </c>
      <c r="H46" s="37">
        <f>G46/B$19</f>
        <v>0</v>
      </c>
      <c r="J46" s="33">
        <v>44</v>
      </c>
      <c r="K46" s="38">
        <v>147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  <c r="J47" s="33">
        <v>45</v>
      </c>
      <c r="K47" s="38">
        <v>137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  <c r="J48" s="33">
        <v>46</v>
      </c>
      <c r="K48" s="38">
        <v>165</v>
      </c>
    </row>
    <row r="49" spans="5:11" x14ac:dyDescent="0.4">
      <c r="E49" s="36" t="s">
        <v>135</v>
      </c>
      <c r="F49" s="1" t="s">
        <v>84</v>
      </c>
      <c r="G49" s="34">
        <v>0</v>
      </c>
      <c r="H49" s="37">
        <f>G49/B$19</f>
        <v>0</v>
      </c>
      <c r="J49" s="33">
        <v>47</v>
      </c>
      <c r="K49" s="38">
        <v>144</v>
      </c>
    </row>
    <row r="50" spans="5:11" x14ac:dyDescent="0.4">
      <c r="E50" s="36" t="s">
        <v>136</v>
      </c>
      <c r="F50" s="1" t="s">
        <v>85</v>
      </c>
      <c r="G50" s="34">
        <v>0</v>
      </c>
      <c r="H50" s="37">
        <f>G50/B$19</f>
        <v>0</v>
      </c>
      <c r="J50" s="33">
        <v>48</v>
      </c>
      <c r="K50" s="38">
        <v>113</v>
      </c>
    </row>
    <row r="51" spans="5:11" x14ac:dyDescent="0.4">
      <c r="E51" s="56" t="s">
        <v>137</v>
      </c>
      <c r="F51" s="55" t="s">
        <v>86</v>
      </c>
      <c r="G51" s="57">
        <v>0</v>
      </c>
      <c r="H51" s="58">
        <f>G51/B$19</f>
        <v>0</v>
      </c>
      <c r="J51" s="33">
        <v>49</v>
      </c>
      <c r="K51" s="38">
        <v>129</v>
      </c>
    </row>
    <row r="52" spans="5:11" x14ac:dyDescent="0.4">
      <c r="J52" s="33">
        <v>50</v>
      </c>
      <c r="K52" s="38">
        <v>124</v>
      </c>
    </row>
    <row r="53" spans="5:11" x14ac:dyDescent="0.4">
      <c r="J53" s="33">
        <v>51</v>
      </c>
      <c r="K53" s="38">
        <v>137</v>
      </c>
    </row>
    <row r="54" spans="5:11" x14ac:dyDescent="0.4">
      <c r="J54" s="33">
        <v>52</v>
      </c>
      <c r="K54" s="38">
        <v>138</v>
      </c>
    </row>
    <row r="55" spans="5:11" x14ac:dyDescent="0.4">
      <c r="J55" s="33">
        <v>53</v>
      </c>
      <c r="K55" s="38">
        <v>131</v>
      </c>
    </row>
    <row r="56" spans="5:11" x14ac:dyDescent="0.4">
      <c r="J56" s="33">
        <v>54</v>
      </c>
      <c r="K56" s="38">
        <v>103</v>
      </c>
    </row>
    <row r="57" spans="5:11" x14ac:dyDescent="0.4">
      <c r="J57" s="33">
        <v>55</v>
      </c>
      <c r="K57" s="38">
        <v>120</v>
      </c>
    </row>
    <row r="58" spans="5:11" x14ac:dyDescent="0.4">
      <c r="J58" s="33">
        <v>56</v>
      </c>
      <c r="K58" s="38">
        <v>113</v>
      </c>
    </row>
    <row r="59" spans="5:11" x14ac:dyDescent="0.4">
      <c r="J59" s="33">
        <v>57</v>
      </c>
      <c r="K59" s="38">
        <v>145</v>
      </c>
    </row>
    <row r="60" spans="5:11" x14ac:dyDescent="0.4">
      <c r="J60" s="33">
        <v>58</v>
      </c>
      <c r="K60" s="38">
        <v>161</v>
      </c>
    </row>
    <row r="61" spans="5:11" x14ac:dyDescent="0.4">
      <c r="J61" s="33">
        <v>59</v>
      </c>
      <c r="K61" s="38">
        <v>218</v>
      </c>
    </row>
    <row r="62" spans="5:11" x14ac:dyDescent="0.4">
      <c r="J62" s="33">
        <v>60</v>
      </c>
      <c r="K62" s="38">
        <v>223</v>
      </c>
    </row>
    <row r="63" spans="5:11" x14ac:dyDescent="0.4">
      <c r="J63" s="33">
        <v>61</v>
      </c>
      <c r="K63" s="38">
        <v>177</v>
      </c>
    </row>
    <row r="64" spans="5:11" x14ac:dyDescent="0.4">
      <c r="J64" s="33">
        <v>62</v>
      </c>
      <c r="K64" s="38">
        <v>198</v>
      </c>
    </row>
    <row r="65" spans="10:11" x14ac:dyDescent="0.4">
      <c r="J65" s="33">
        <v>63</v>
      </c>
      <c r="K65" s="38">
        <v>132</v>
      </c>
    </row>
    <row r="66" spans="10:11" x14ac:dyDescent="0.4">
      <c r="J66" s="33">
        <v>64</v>
      </c>
      <c r="K66" s="38">
        <v>127</v>
      </c>
    </row>
    <row r="67" spans="10:11" x14ac:dyDescent="0.4">
      <c r="J67" s="33">
        <v>65</v>
      </c>
      <c r="K67" s="38">
        <v>128</v>
      </c>
    </row>
    <row r="68" spans="10:11" x14ac:dyDescent="0.4">
      <c r="J68" s="33">
        <v>66</v>
      </c>
      <c r="K68" s="38">
        <v>160</v>
      </c>
    </row>
    <row r="69" spans="10:11" x14ac:dyDescent="0.4">
      <c r="J69" s="33">
        <v>67</v>
      </c>
      <c r="K69" s="38">
        <v>141</v>
      </c>
    </row>
    <row r="70" spans="10:11" x14ac:dyDescent="0.4">
      <c r="J70" s="33">
        <v>68</v>
      </c>
      <c r="K70" s="38">
        <v>131</v>
      </c>
    </row>
    <row r="71" spans="10:11" x14ac:dyDescent="0.4">
      <c r="J71" s="33">
        <v>69</v>
      </c>
      <c r="K71" s="38">
        <v>132</v>
      </c>
    </row>
    <row r="72" spans="10:11" x14ac:dyDescent="0.4">
      <c r="J72" s="33">
        <v>70</v>
      </c>
      <c r="K72" s="38">
        <v>164</v>
      </c>
    </row>
    <row r="73" spans="10:11" x14ac:dyDescent="0.4">
      <c r="J73" s="33">
        <v>71</v>
      </c>
      <c r="K73" s="38">
        <v>192</v>
      </c>
    </row>
    <row r="74" spans="10:11" x14ac:dyDescent="0.4">
      <c r="J74" s="33">
        <v>72</v>
      </c>
      <c r="K74" s="38">
        <v>185</v>
      </c>
    </row>
    <row r="75" spans="10:11" x14ac:dyDescent="0.4">
      <c r="J75" s="33">
        <v>73</v>
      </c>
      <c r="K75" s="38">
        <v>203</v>
      </c>
    </row>
    <row r="76" spans="10:11" x14ac:dyDescent="0.4">
      <c r="J76" s="33">
        <v>74</v>
      </c>
      <c r="K76" s="38">
        <v>189</v>
      </c>
    </row>
    <row r="77" spans="10:11" x14ac:dyDescent="0.4">
      <c r="J77" s="33">
        <v>75</v>
      </c>
      <c r="K77" s="38">
        <v>229</v>
      </c>
    </row>
    <row r="78" spans="10:11" x14ac:dyDescent="0.4">
      <c r="J78" s="33">
        <v>76</v>
      </c>
      <c r="K78" s="38">
        <v>234</v>
      </c>
    </row>
    <row r="79" spans="10:11" x14ac:dyDescent="0.4">
      <c r="J79" s="33">
        <v>77</v>
      </c>
      <c r="K79" s="38">
        <v>220</v>
      </c>
    </row>
    <row r="80" spans="10:11" x14ac:dyDescent="0.4">
      <c r="J80" s="33">
        <v>78</v>
      </c>
      <c r="K80" s="38">
        <v>225</v>
      </c>
    </row>
    <row r="81" spans="10:11" x14ac:dyDescent="0.4">
      <c r="J81" s="33">
        <v>79</v>
      </c>
      <c r="K81" s="38">
        <v>257</v>
      </c>
    </row>
    <row r="82" spans="10:11" x14ac:dyDescent="0.4">
      <c r="J82" s="33">
        <v>80</v>
      </c>
      <c r="K82" s="38">
        <v>297</v>
      </c>
    </row>
    <row r="83" spans="10:11" x14ac:dyDescent="0.4">
      <c r="J83" s="33">
        <v>81</v>
      </c>
      <c r="K83" s="38">
        <v>320</v>
      </c>
    </row>
    <row r="84" spans="10:11" x14ac:dyDescent="0.4">
      <c r="J84" s="33">
        <v>82</v>
      </c>
      <c r="K84" s="38">
        <v>352</v>
      </c>
    </row>
    <row r="85" spans="10:11" x14ac:dyDescent="0.4">
      <c r="J85" s="33">
        <v>83</v>
      </c>
      <c r="K85" s="38">
        <v>412</v>
      </c>
    </row>
    <row r="86" spans="10:11" x14ac:dyDescent="0.4">
      <c r="J86" s="33">
        <v>84</v>
      </c>
      <c r="K86" s="38">
        <v>423</v>
      </c>
    </row>
    <row r="87" spans="10:11" x14ac:dyDescent="0.4">
      <c r="J87" s="33">
        <v>85</v>
      </c>
      <c r="K87" s="38">
        <v>425</v>
      </c>
    </row>
    <row r="88" spans="10:11" x14ac:dyDescent="0.4">
      <c r="J88" s="33">
        <v>86</v>
      </c>
      <c r="K88" s="38">
        <v>404</v>
      </c>
    </row>
    <row r="89" spans="10:11" x14ac:dyDescent="0.4">
      <c r="J89" s="33">
        <v>87</v>
      </c>
      <c r="K89" s="38">
        <v>408</v>
      </c>
    </row>
    <row r="90" spans="10:11" x14ac:dyDescent="0.4">
      <c r="J90" s="33">
        <v>88</v>
      </c>
      <c r="K90" s="38">
        <v>362</v>
      </c>
    </row>
    <row r="91" spans="10:11" x14ac:dyDescent="0.4">
      <c r="J91" s="33">
        <v>89</v>
      </c>
      <c r="K91" s="38">
        <v>361</v>
      </c>
    </row>
    <row r="92" spans="10:11" x14ac:dyDescent="0.4">
      <c r="J92" s="33">
        <v>90</v>
      </c>
      <c r="K92" s="38">
        <v>387</v>
      </c>
    </row>
    <row r="93" spans="10:11" x14ac:dyDescent="0.4">
      <c r="J93" s="33">
        <v>91</v>
      </c>
      <c r="K93" s="38">
        <v>397</v>
      </c>
    </row>
    <row r="94" spans="10:11" x14ac:dyDescent="0.4">
      <c r="J94" s="33">
        <v>92</v>
      </c>
      <c r="K94" s="38">
        <v>418</v>
      </c>
    </row>
    <row r="95" spans="10:11" x14ac:dyDescent="0.4">
      <c r="J95" s="33">
        <v>93</v>
      </c>
      <c r="K95" s="38">
        <v>461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C6830-750E-4545-A10C-78FDB97D4D00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38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4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25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-22</v>
      </c>
    </row>
    <row r="4" spans="1:11" x14ac:dyDescent="0.4">
      <c r="A4" s="33" t="s">
        <v>6</v>
      </c>
      <c r="B4" s="39">
        <v>-132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  <c r="J4" s="33">
        <v>2</v>
      </c>
      <c r="K4" s="38">
        <v>-60</v>
      </c>
    </row>
    <row r="5" spans="1:11" x14ac:dyDescent="0.4">
      <c r="A5" s="33" t="s">
        <v>7</v>
      </c>
      <c r="B5" s="40">
        <f>IF(B$2=0,0,B$4/B$2)</f>
        <v>-33</v>
      </c>
      <c r="C5" s="41"/>
      <c r="E5" s="36" t="s">
        <v>91</v>
      </c>
      <c r="F5" s="1" t="s">
        <v>44</v>
      </c>
      <c r="G5" s="34">
        <v>0</v>
      </c>
      <c r="H5" s="37" t="e">
        <f>G5/B$19</f>
        <v>#DIV/0!</v>
      </c>
      <c r="J5" s="33">
        <v>3</v>
      </c>
      <c r="K5" s="38">
        <v>-85</v>
      </c>
    </row>
    <row r="6" spans="1:11" x14ac:dyDescent="0.4">
      <c r="A6" s="33" t="s">
        <v>1</v>
      </c>
      <c r="B6" s="42">
        <f>IF(B$2=0,0,(B$7*1+B$8*2+B$9*3)/B$2)</f>
        <v>3</v>
      </c>
      <c r="C6" s="43"/>
      <c r="E6" s="36" t="s">
        <v>92</v>
      </c>
      <c r="F6" s="1" t="s">
        <v>45</v>
      </c>
      <c r="G6" s="34">
        <v>0</v>
      </c>
      <c r="H6" s="37" t="e">
        <f>G6/B$19</f>
        <v>#DIV/0!</v>
      </c>
      <c r="J6" s="33">
        <v>4</v>
      </c>
      <c r="K6" s="38">
        <v>-132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12</v>
      </c>
      <c r="G7" s="34">
        <v>0</v>
      </c>
      <c r="H7" s="37" t="e">
        <f>G7/B$19</f>
        <v>#DIV/0!</v>
      </c>
    </row>
    <row r="8" spans="1:11" x14ac:dyDescent="0.4">
      <c r="A8" s="33" t="s">
        <v>3</v>
      </c>
      <c r="B8" s="34">
        <v>0</v>
      </c>
      <c r="C8" s="37">
        <f t="shared" ref="C8:C9" si="0">IF(B$2=0,0,B8/B$2)</f>
        <v>0</v>
      </c>
      <c r="E8" s="36" t="s">
        <v>94</v>
      </c>
      <c r="F8" s="1" t="s">
        <v>46</v>
      </c>
      <c r="G8" s="34">
        <v>0</v>
      </c>
      <c r="H8" s="37" t="e">
        <f>G8/B$19</f>
        <v>#DIV/0!</v>
      </c>
    </row>
    <row r="9" spans="1:11" x14ac:dyDescent="0.4">
      <c r="A9" s="44" t="s">
        <v>4</v>
      </c>
      <c r="B9" s="45">
        <v>4</v>
      </c>
      <c r="C9" s="46">
        <f t="shared" si="0"/>
        <v>1</v>
      </c>
      <c r="E9" s="36" t="s">
        <v>95</v>
      </c>
      <c r="F9" s="1" t="s">
        <v>47</v>
      </c>
      <c r="G9" s="34">
        <v>0</v>
      </c>
      <c r="H9" s="37" t="e">
        <f>G9/B$19</f>
        <v>#DIV/0!</v>
      </c>
    </row>
    <row r="10" spans="1:11" ht="19.5" thickBot="1" x14ac:dyDescent="0.45">
      <c r="A10" s="47" t="s">
        <v>34</v>
      </c>
      <c r="B10" s="48">
        <v>2</v>
      </c>
      <c r="C10" s="49">
        <f>IF(B$2=0,0,B10/B$2)</f>
        <v>0.5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</row>
    <row r="11" spans="1:11" ht="19.5" thickTop="1" x14ac:dyDescent="0.4">
      <c r="A11" s="50" t="s">
        <v>144</v>
      </c>
      <c r="B11" s="51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</row>
    <row r="12" spans="1:11" x14ac:dyDescent="0.4">
      <c r="A12" s="27" t="s">
        <v>10</v>
      </c>
      <c r="B12" s="28">
        <f>B13+B14</f>
        <v>1</v>
      </c>
      <c r="C12" s="31">
        <f>IF(B$3=0,0,B12/B$3)</f>
        <v>0.04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</row>
    <row r="13" spans="1:11" x14ac:dyDescent="0.4">
      <c r="A13" s="33" t="s">
        <v>11</v>
      </c>
      <c r="B13" s="34">
        <v>0</v>
      </c>
      <c r="C13" s="37">
        <f>IF(B$3=0,0,B13/B$3)</f>
        <v>0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</row>
    <row r="14" spans="1:11" x14ac:dyDescent="0.4">
      <c r="A14" s="33" t="s">
        <v>12</v>
      </c>
      <c r="B14" s="34">
        <v>1</v>
      </c>
      <c r="C14" s="37">
        <f>IF(B$3=0,0,B14/B$3)</f>
        <v>0.04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</row>
    <row r="15" spans="1:11" x14ac:dyDescent="0.4">
      <c r="A15" s="33" t="s">
        <v>13</v>
      </c>
      <c r="B15" s="34">
        <v>10</v>
      </c>
      <c r="C15" s="37">
        <f>IF(B$3=0,0,B15/B$3)</f>
        <v>0.4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2">
        <f>IF(B$12=0,0,ROUND(C16/B$12,-2))</f>
        <v>7800</v>
      </c>
      <c r="C16" s="53">
        <v>7800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4" t="s">
        <v>14</v>
      </c>
      <c r="B17" s="55">
        <f>IF(B$15=0,0,ROUND(C17/B$15,-2))</f>
        <v>-8200</v>
      </c>
      <c r="C17" s="65">
        <v>-82400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50" t="s">
        <v>147</v>
      </c>
      <c r="B18" s="51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4" t="s">
        <v>148</v>
      </c>
      <c r="B19" s="57">
        <v>0</v>
      </c>
      <c r="C19" s="58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6" t="s">
        <v>137</v>
      </c>
      <c r="F51" s="55" t="s">
        <v>86</v>
      </c>
      <c r="G51" s="57">
        <v>0</v>
      </c>
      <c r="H51" s="58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62D13-4782-4558-B7FD-7EF3E7EED537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18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1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5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7</v>
      </c>
    </row>
    <row r="4" spans="1:11" x14ac:dyDescent="0.4">
      <c r="A4" s="33" t="s">
        <v>6</v>
      </c>
      <c r="B4" s="39">
        <v>7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</row>
    <row r="5" spans="1:11" x14ac:dyDescent="0.4">
      <c r="A5" s="33" t="s">
        <v>7</v>
      </c>
      <c r="B5" s="40">
        <f>IF(B$2=0,0,B$4/B$2)</f>
        <v>7</v>
      </c>
      <c r="C5" s="41"/>
      <c r="E5" s="36" t="s">
        <v>91</v>
      </c>
      <c r="F5" s="1" t="s">
        <v>44</v>
      </c>
      <c r="G5" s="34">
        <v>0</v>
      </c>
      <c r="H5" s="37" t="e">
        <f>G5/B$19</f>
        <v>#DIV/0!</v>
      </c>
    </row>
    <row r="6" spans="1:11" x14ac:dyDescent="0.4">
      <c r="A6" s="33" t="s">
        <v>1</v>
      </c>
      <c r="B6" s="42">
        <f>IF(B$2=0,0,(B$7*1+B$8*2+B$9*3)/B$2)</f>
        <v>2</v>
      </c>
      <c r="C6" s="43"/>
      <c r="E6" s="36" t="s">
        <v>92</v>
      </c>
      <c r="F6" s="1" t="s">
        <v>45</v>
      </c>
      <c r="G6" s="34">
        <v>0</v>
      </c>
      <c r="H6" s="37" t="e">
        <f>G6/B$19</f>
        <v>#DIV/0!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12</v>
      </c>
      <c r="G7" s="34">
        <v>0</v>
      </c>
      <c r="H7" s="37" t="e">
        <f>G7/B$19</f>
        <v>#DIV/0!</v>
      </c>
    </row>
    <row r="8" spans="1:11" x14ac:dyDescent="0.4">
      <c r="A8" s="33" t="s">
        <v>3</v>
      </c>
      <c r="B8" s="34">
        <v>1</v>
      </c>
      <c r="C8" s="37">
        <f t="shared" ref="C8:C9" si="0">IF(B$2=0,0,B8/B$2)</f>
        <v>1</v>
      </c>
      <c r="E8" s="36" t="s">
        <v>94</v>
      </c>
      <c r="F8" s="1" t="s">
        <v>46</v>
      </c>
      <c r="G8" s="34">
        <v>0</v>
      </c>
      <c r="H8" s="37" t="e">
        <f>G8/B$19</f>
        <v>#DIV/0!</v>
      </c>
    </row>
    <row r="9" spans="1:11" x14ac:dyDescent="0.4">
      <c r="A9" s="44" t="s">
        <v>4</v>
      </c>
      <c r="B9" s="45">
        <v>0</v>
      </c>
      <c r="C9" s="46">
        <f t="shared" si="0"/>
        <v>0</v>
      </c>
      <c r="E9" s="36" t="s">
        <v>95</v>
      </c>
      <c r="F9" s="1" t="s">
        <v>47</v>
      </c>
      <c r="G9" s="34">
        <v>0</v>
      </c>
      <c r="H9" s="37" t="e">
        <f>G9/B$19</f>
        <v>#DIV/0!</v>
      </c>
    </row>
    <row r="10" spans="1:11" ht="19.5" thickBot="1" x14ac:dyDescent="0.45">
      <c r="A10" s="47" t="s">
        <v>34</v>
      </c>
      <c r="B10" s="48">
        <v>0</v>
      </c>
      <c r="C10" s="49">
        <f>IF(B$2=0,0,B10/B$2)</f>
        <v>0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</row>
    <row r="11" spans="1:11" ht="19.5" thickTop="1" x14ac:dyDescent="0.4">
      <c r="A11" s="50" t="s">
        <v>144</v>
      </c>
      <c r="B11" s="51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</row>
    <row r="12" spans="1:11" x14ac:dyDescent="0.4">
      <c r="A12" s="27" t="s">
        <v>10</v>
      </c>
      <c r="B12" s="28">
        <f>B13+B14</f>
        <v>2</v>
      </c>
      <c r="C12" s="31">
        <f>IF(B$3=0,0,B12/B$3)</f>
        <v>0.4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</row>
    <row r="13" spans="1:11" x14ac:dyDescent="0.4">
      <c r="A13" s="33" t="s">
        <v>11</v>
      </c>
      <c r="B13" s="34">
        <v>2</v>
      </c>
      <c r="C13" s="37">
        <f>IF(B$3=0,0,B13/B$3)</f>
        <v>0.4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</row>
    <row r="14" spans="1:11" x14ac:dyDescent="0.4">
      <c r="A14" s="33" t="s">
        <v>12</v>
      </c>
      <c r="B14" s="34">
        <v>0</v>
      </c>
      <c r="C14" s="37">
        <f>IF(B$3=0,0,B14/B$3)</f>
        <v>0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</row>
    <row r="15" spans="1:11" x14ac:dyDescent="0.4">
      <c r="A15" s="33" t="s">
        <v>13</v>
      </c>
      <c r="B15" s="34">
        <v>1</v>
      </c>
      <c r="C15" s="37">
        <f>IF(B$3=0,0,B15/B$3)</f>
        <v>0.2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2">
        <f>IF(B$12=0,0,ROUND(C16/B$12,-2))</f>
        <v>8000</v>
      </c>
      <c r="C16" s="53">
        <v>16000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4" t="s">
        <v>14</v>
      </c>
      <c r="B17" s="55">
        <f>IF(B$15=0,0,ROUND(C17/B$15,-2))</f>
        <v>-12000</v>
      </c>
      <c r="C17" s="65">
        <v>-12000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50" t="s">
        <v>147</v>
      </c>
      <c r="B18" s="51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4" t="s">
        <v>148</v>
      </c>
      <c r="B19" s="57">
        <v>0</v>
      </c>
      <c r="C19" s="58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6" t="s">
        <v>137</v>
      </c>
      <c r="F51" s="55" t="s">
        <v>86</v>
      </c>
      <c r="G51" s="57">
        <v>0</v>
      </c>
      <c r="H51" s="58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7169-1A0E-46FE-8757-FC9A270E279A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19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57</v>
      </c>
      <c r="C2" s="29"/>
      <c r="E2" s="30" t="s">
        <v>92</v>
      </c>
      <c r="F2" s="12" t="s">
        <v>45</v>
      </c>
      <c r="G2" s="28">
        <v>25</v>
      </c>
      <c r="H2" s="31">
        <f>G2/B$19</f>
        <v>0.64102564102564108</v>
      </c>
      <c r="J2" s="27">
        <v>0</v>
      </c>
      <c r="K2" s="32">
        <v>0</v>
      </c>
    </row>
    <row r="3" spans="1:11" x14ac:dyDescent="0.4">
      <c r="A3" s="33" t="s">
        <v>8</v>
      </c>
      <c r="B3" s="34">
        <v>424</v>
      </c>
      <c r="C3" s="35"/>
      <c r="E3" s="36" t="s">
        <v>88</v>
      </c>
      <c r="F3" s="1" t="s">
        <v>41</v>
      </c>
      <c r="G3" s="34">
        <v>24</v>
      </c>
      <c r="H3" s="37">
        <f>G3/B$19</f>
        <v>0.61538461538461542</v>
      </c>
      <c r="J3" s="33">
        <v>1</v>
      </c>
      <c r="K3" s="38">
        <v>41</v>
      </c>
    </row>
    <row r="4" spans="1:11" x14ac:dyDescent="0.4">
      <c r="A4" s="33" t="s">
        <v>6</v>
      </c>
      <c r="B4" s="39">
        <v>-311</v>
      </c>
      <c r="C4" s="38"/>
      <c r="E4" s="36" t="s">
        <v>97</v>
      </c>
      <c r="F4" s="1" t="s">
        <v>49</v>
      </c>
      <c r="G4" s="34">
        <v>19</v>
      </c>
      <c r="H4" s="37">
        <f>G4/B$19</f>
        <v>0.48717948717948717</v>
      </c>
      <c r="J4" s="33">
        <v>2</v>
      </c>
      <c r="K4" s="38">
        <v>-1</v>
      </c>
    </row>
    <row r="5" spans="1:11" x14ac:dyDescent="0.4">
      <c r="A5" s="33" t="s">
        <v>7</v>
      </c>
      <c r="B5" s="40">
        <f>IF(B$2=0,0,B$4/B$2)</f>
        <v>-5.4561403508771926</v>
      </c>
      <c r="C5" s="41"/>
      <c r="E5" s="36" t="s">
        <v>93</v>
      </c>
      <c r="F5" s="1" t="s">
        <v>12</v>
      </c>
      <c r="G5" s="34">
        <v>18</v>
      </c>
      <c r="H5" s="37">
        <f>G5/B$19</f>
        <v>0.46153846153846156</v>
      </c>
      <c r="J5" s="33">
        <v>3</v>
      </c>
      <c r="K5" s="38">
        <v>-37</v>
      </c>
    </row>
    <row r="6" spans="1:11" x14ac:dyDescent="0.4">
      <c r="A6" s="33" t="s">
        <v>1</v>
      </c>
      <c r="B6" s="42">
        <f>IF(B$2=0,0,(B$7*1+B$8*2+B$9*3)/B$2)</f>
        <v>2.1578947368421053</v>
      </c>
      <c r="C6" s="43"/>
      <c r="E6" s="36" t="s">
        <v>90</v>
      </c>
      <c r="F6" s="1" t="s">
        <v>43</v>
      </c>
      <c r="G6" s="34">
        <v>17</v>
      </c>
      <c r="H6" s="37">
        <f>G6/B$19</f>
        <v>0.4358974358974359</v>
      </c>
      <c r="J6" s="33">
        <v>4</v>
      </c>
      <c r="K6" s="38">
        <v>3</v>
      </c>
    </row>
    <row r="7" spans="1:11" x14ac:dyDescent="0.4">
      <c r="A7" s="33" t="s">
        <v>2</v>
      </c>
      <c r="B7" s="34">
        <v>17</v>
      </c>
      <c r="C7" s="37">
        <f>IF(B$2=0,0,B7/B$2)</f>
        <v>0.2982456140350877</v>
      </c>
      <c r="E7" s="36" t="s">
        <v>91</v>
      </c>
      <c r="F7" s="1" t="s">
        <v>44</v>
      </c>
      <c r="G7" s="34">
        <v>10</v>
      </c>
      <c r="H7" s="37">
        <f>G7/B$19</f>
        <v>0.25641025641025639</v>
      </c>
      <c r="J7" s="33">
        <v>5</v>
      </c>
      <c r="K7" s="38">
        <v>14</v>
      </c>
    </row>
    <row r="8" spans="1:11" x14ac:dyDescent="0.4">
      <c r="A8" s="33" t="s">
        <v>3</v>
      </c>
      <c r="B8" s="34">
        <v>14</v>
      </c>
      <c r="C8" s="37">
        <f t="shared" ref="C8:C9" si="0">IF(B$2=0,0,B8/B$2)</f>
        <v>0.24561403508771928</v>
      </c>
      <c r="E8" s="36" t="s">
        <v>95</v>
      </c>
      <c r="F8" s="1" t="s">
        <v>47</v>
      </c>
      <c r="G8" s="34">
        <v>6</v>
      </c>
      <c r="H8" s="37">
        <f>G8/B$19</f>
        <v>0.15384615384615385</v>
      </c>
      <c r="J8" s="33">
        <v>6</v>
      </c>
      <c r="K8" s="38">
        <v>47</v>
      </c>
    </row>
    <row r="9" spans="1:11" x14ac:dyDescent="0.4">
      <c r="A9" s="44" t="s">
        <v>4</v>
      </c>
      <c r="B9" s="45">
        <v>26</v>
      </c>
      <c r="C9" s="46">
        <f t="shared" si="0"/>
        <v>0.45614035087719296</v>
      </c>
      <c r="E9" s="36" t="s">
        <v>115</v>
      </c>
      <c r="F9" s="1" t="s">
        <v>67</v>
      </c>
      <c r="G9" s="34">
        <v>6</v>
      </c>
      <c r="H9" s="37">
        <f>G9/B$19</f>
        <v>0.15384615384615385</v>
      </c>
      <c r="J9" s="33">
        <v>7</v>
      </c>
      <c r="K9" s="38">
        <v>100</v>
      </c>
    </row>
    <row r="10" spans="1:11" ht="19.5" thickBot="1" x14ac:dyDescent="0.45">
      <c r="A10" s="47" t="s">
        <v>34</v>
      </c>
      <c r="B10" s="48">
        <v>15</v>
      </c>
      <c r="C10" s="49">
        <f>IF(B$2=0,0,B10/B$2)</f>
        <v>0.26315789473684209</v>
      </c>
      <c r="E10" s="36" t="s">
        <v>94</v>
      </c>
      <c r="F10" s="1" t="s">
        <v>46</v>
      </c>
      <c r="G10" s="34">
        <v>5</v>
      </c>
      <c r="H10" s="37">
        <f>G10/B$19</f>
        <v>0.12820512820512819</v>
      </c>
      <c r="J10" s="33">
        <v>8</v>
      </c>
      <c r="K10" s="38">
        <v>60</v>
      </c>
    </row>
    <row r="11" spans="1:11" ht="19.5" thickTop="1" x14ac:dyDescent="0.4">
      <c r="A11" s="50" t="s">
        <v>144</v>
      </c>
      <c r="B11" s="51">
        <v>31</v>
      </c>
      <c r="C11" s="31">
        <f>IF(B$18=0,0,B11/B$18)</f>
        <v>0.19018404907975461</v>
      </c>
      <c r="E11" s="36" t="s">
        <v>112</v>
      </c>
      <c r="F11" s="1" t="s">
        <v>64</v>
      </c>
      <c r="G11" s="34">
        <v>5</v>
      </c>
      <c r="H11" s="37">
        <f>G11/B$19</f>
        <v>0.12820512820512819</v>
      </c>
      <c r="J11" s="33">
        <v>9</v>
      </c>
      <c r="K11" s="38">
        <v>24</v>
      </c>
    </row>
    <row r="12" spans="1:11" x14ac:dyDescent="0.4">
      <c r="A12" s="27" t="s">
        <v>10</v>
      </c>
      <c r="B12" s="28">
        <f>B13+B14</f>
        <v>100</v>
      </c>
      <c r="C12" s="31">
        <f>IF(B$3=0,0,B12/B$3)</f>
        <v>0.23584905660377359</v>
      </c>
      <c r="E12" s="36" t="s">
        <v>89</v>
      </c>
      <c r="F12" s="1" t="s">
        <v>42</v>
      </c>
      <c r="G12" s="34">
        <v>4</v>
      </c>
      <c r="H12" s="37">
        <f>G12/B$19</f>
        <v>0.10256410256410256</v>
      </c>
      <c r="J12" s="33">
        <v>10</v>
      </c>
      <c r="K12" s="38">
        <v>-21</v>
      </c>
    </row>
    <row r="13" spans="1:11" x14ac:dyDescent="0.4">
      <c r="A13" s="33" t="s">
        <v>11</v>
      </c>
      <c r="B13" s="34">
        <v>56</v>
      </c>
      <c r="C13" s="37">
        <f>IF(B$3=0,0,B13/B$3)</f>
        <v>0.13207547169811321</v>
      </c>
      <c r="E13" s="36" t="s">
        <v>109</v>
      </c>
      <c r="F13" s="1" t="s">
        <v>61</v>
      </c>
      <c r="G13" s="34">
        <v>4</v>
      </c>
      <c r="H13" s="37">
        <f>G13/B$19</f>
        <v>0.10256410256410256</v>
      </c>
      <c r="J13" s="33">
        <v>11</v>
      </c>
      <c r="K13" s="38">
        <v>-4</v>
      </c>
    </row>
    <row r="14" spans="1:11" x14ac:dyDescent="0.4">
      <c r="A14" s="33" t="s">
        <v>12</v>
      </c>
      <c r="B14" s="34">
        <v>44</v>
      </c>
      <c r="C14" s="37">
        <f>IF(B$3=0,0,B14/B$3)</f>
        <v>0.10377358490566038</v>
      </c>
      <c r="E14" s="36" t="s">
        <v>96</v>
      </c>
      <c r="F14" s="1" t="s">
        <v>48</v>
      </c>
      <c r="G14" s="34">
        <v>2</v>
      </c>
      <c r="H14" s="37">
        <f>G14/B$19</f>
        <v>5.128205128205128E-2</v>
      </c>
      <c r="J14" s="33">
        <v>12</v>
      </c>
      <c r="K14" s="38">
        <v>-12</v>
      </c>
    </row>
    <row r="15" spans="1:11" x14ac:dyDescent="0.4">
      <c r="A15" s="33" t="s">
        <v>13</v>
      </c>
      <c r="B15" s="34">
        <v>89</v>
      </c>
      <c r="C15" s="37">
        <f>IF(B$3=0,0,B15/B$3)</f>
        <v>0.2099056603773585</v>
      </c>
      <c r="E15" s="36" t="s">
        <v>107</v>
      </c>
      <c r="F15" s="1" t="s">
        <v>59</v>
      </c>
      <c r="G15" s="34">
        <v>2</v>
      </c>
      <c r="H15" s="37">
        <f>G15/B$19</f>
        <v>5.128205128205128E-2</v>
      </c>
      <c r="J15" s="33">
        <v>13</v>
      </c>
      <c r="K15" s="38">
        <v>50</v>
      </c>
    </row>
    <row r="16" spans="1:11" x14ac:dyDescent="0.4">
      <c r="A16" s="33" t="s">
        <v>5</v>
      </c>
      <c r="B16" s="52">
        <f>IF(B$12=0,0,ROUND(C16/B$12,-2))</f>
        <v>11500</v>
      </c>
      <c r="C16" s="53">
        <v>1148900</v>
      </c>
      <c r="E16" s="36" t="s">
        <v>118</v>
      </c>
      <c r="F16" s="1" t="s">
        <v>70</v>
      </c>
      <c r="G16" s="34">
        <v>2</v>
      </c>
      <c r="H16" s="37">
        <f>G16/B$19</f>
        <v>5.128205128205128E-2</v>
      </c>
      <c r="J16" s="33">
        <v>14</v>
      </c>
      <c r="K16" s="38">
        <v>33</v>
      </c>
    </row>
    <row r="17" spans="1:11" ht="19.5" thickBot="1" x14ac:dyDescent="0.45">
      <c r="A17" s="54" t="s">
        <v>14</v>
      </c>
      <c r="B17" s="55">
        <f>IF(B$15=0,0,ROUND(C17/B$15,-2))</f>
        <v>-10100</v>
      </c>
      <c r="C17" s="65">
        <v>-900800</v>
      </c>
      <c r="E17" s="36" t="s">
        <v>111</v>
      </c>
      <c r="F17" s="1" t="s">
        <v>63</v>
      </c>
      <c r="G17" s="34">
        <v>1</v>
      </c>
      <c r="H17" s="37">
        <f>G17/B$19</f>
        <v>2.564102564102564E-2</v>
      </c>
      <c r="J17" s="33">
        <v>15</v>
      </c>
      <c r="K17" s="38">
        <v>39</v>
      </c>
    </row>
    <row r="18" spans="1:11" ht="19.5" thickTop="1" x14ac:dyDescent="0.4">
      <c r="A18" s="50" t="s">
        <v>147</v>
      </c>
      <c r="B18" s="51">
        <v>163</v>
      </c>
      <c r="C18" s="31"/>
      <c r="E18" s="36" t="s">
        <v>113</v>
      </c>
      <c r="F18" s="1" t="s">
        <v>65</v>
      </c>
      <c r="G18" s="34">
        <v>1</v>
      </c>
      <c r="H18" s="37">
        <f>G18/B$19</f>
        <v>2.564102564102564E-2</v>
      </c>
      <c r="J18" s="33">
        <v>16</v>
      </c>
      <c r="K18" s="38">
        <v>15</v>
      </c>
    </row>
    <row r="19" spans="1:11" x14ac:dyDescent="0.4">
      <c r="A19" s="54" t="s">
        <v>148</v>
      </c>
      <c r="B19" s="57">
        <v>39</v>
      </c>
      <c r="C19" s="58"/>
      <c r="E19" s="36" t="s">
        <v>114</v>
      </c>
      <c r="F19" s="1" t="s">
        <v>66</v>
      </c>
      <c r="G19" s="34">
        <v>1</v>
      </c>
      <c r="H19" s="37">
        <f>G19/B$19</f>
        <v>2.564102564102564E-2</v>
      </c>
      <c r="J19" s="33">
        <v>17</v>
      </c>
      <c r="K19" s="38">
        <v>14</v>
      </c>
    </row>
    <row r="20" spans="1:11" x14ac:dyDescent="0.4">
      <c r="E20" s="36" t="s">
        <v>117</v>
      </c>
      <c r="F20" s="1" t="s">
        <v>69</v>
      </c>
      <c r="G20" s="34">
        <v>1</v>
      </c>
      <c r="H20" s="37">
        <f>G20/B$19</f>
        <v>2.564102564102564E-2</v>
      </c>
      <c r="J20" s="33">
        <v>18</v>
      </c>
      <c r="K20" s="38">
        <v>-22</v>
      </c>
    </row>
    <row r="21" spans="1:11" x14ac:dyDescent="0.4">
      <c r="E21" s="36" t="s">
        <v>98</v>
      </c>
      <c r="F21" s="1" t="s">
        <v>50</v>
      </c>
      <c r="G21" s="34">
        <v>0</v>
      </c>
      <c r="H21" s="37">
        <f>G21/B$19</f>
        <v>0</v>
      </c>
      <c r="J21" s="33">
        <v>19</v>
      </c>
      <c r="K21" s="38">
        <v>-27</v>
      </c>
    </row>
    <row r="22" spans="1:11" x14ac:dyDescent="0.4">
      <c r="E22" s="36" t="s">
        <v>99</v>
      </c>
      <c r="F22" s="1" t="s">
        <v>51</v>
      </c>
      <c r="G22" s="34">
        <v>0</v>
      </c>
      <c r="H22" s="37">
        <f>G22/B$19</f>
        <v>0</v>
      </c>
      <c r="J22" s="33">
        <v>20</v>
      </c>
      <c r="K22" s="38">
        <v>-58</v>
      </c>
    </row>
    <row r="23" spans="1:11" x14ac:dyDescent="0.4">
      <c r="E23" s="36" t="s">
        <v>100</v>
      </c>
      <c r="F23" s="1" t="s">
        <v>52</v>
      </c>
      <c r="G23" s="34">
        <v>0</v>
      </c>
      <c r="H23" s="37">
        <f>G23/B$19</f>
        <v>0</v>
      </c>
      <c r="J23" s="33">
        <v>21</v>
      </c>
      <c r="K23" s="38">
        <v>-83</v>
      </c>
    </row>
    <row r="24" spans="1:11" x14ac:dyDescent="0.4">
      <c r="E24" s="36" t="s">
        <v>101</v>
      </c>
      <c r="F24" s="1" t="s">
        <v>53</v>
      </c>
      <c r="G24" s="34">
        <v>0</v>
      </c>
      <c r="H24" s="37">
        <f>G24/B$19</f>
        <v>0</v>
      </c>
      <c r="J24" s="33">
        <v>22</v>
      </c>
      <c r="K24" s="38">
        <v>-95</v>
      </c>
    </row>
    <row r="25" spans="1:11" x14ac:dyDescent="0.4">
      <c r="E25" s="36" t="s">
        <v>102</v>
      </c>
      <c r="F25" s="1" t="s">
        <v>54</v>
      </c>
      <c r="G25" s="34">
        <v>0</v>
      </c>
      <c r="H25" s="37">
        <f>G25/B$19</f>
        <v>0</v>
      </c>
      <c r="J25" s="33">
        <v>23</v>
      </c>
      <c r="K25" s="38">
        <v>-112</v>
      </c>
    </row>
    <row r="26" spans="1:11" x14ac:dyDescent="0.4">
      <c r="E26" s="36" t="s">
        <v>103</v>
      </c>
      <c r="F26" s="1" t="s">
        <v>55</v>
      </c>
      <c r="G26" s="34">
        <v>0</v>
      </c>
      <c r="H26" s="37">
        <f>G26/B$19</f>
        <v>0</v>
      </c>
      <c r="J26" s="33">
        <v>24</v>
      </c>
      <c r="K26" s="38">
        <v>-69</v>
      </c>
    </row>
    <row r="27" spans="1:11" x14ac:dyDescent="0.4">
      <c r="E27" s="36" t="s">
        <v>104</v>
      </c>
      <c r="F27" s="1" t="s">
        <v>56</v>
      </c>
      <c r="G27" s="34">
        <v>0</v>
      </c>
      <c r="H27" s="37">
        <f>G27/B$19</f>
        <v>0</v>
      </c>
      <c r="J27" s="33">
        <v>25</v>
      </c>
      <c r="K27" s="38">
        <v>-72</v>
      </c>
    </row>
    <row r="28" spans="1:11" x14ac:dyDescent="0.4">
      <c r="E28" s="36" t="s">
        <v>105</v>
      </c>
      <c r="F28" s="1" t="s">
        <v>57</v>
      </c>
      <c r="G28" s="34">
        <v>0</v>
      </c>
      <c r="H28" s="37">
        <f>G28/B$19</f>
        <v>0</v>
      </c>
      <c r="J28" s="33">
        <v>26</v>
      </c>
      <c r="K28" s="38">
        <v>-127</v>
      </c>
    </row>
    <row r="29" spans="1:11" x14ac:dyDescent="0.4">
      <c r="E29" s="36" t="s">
        <v>106</v>
      </c>
      <c r="F29" s="1" t="s">
        <v>58</v>
      </c>
      <c r="G29" s="34">
        <v>0</v>
      </c>
      <c r="H29" s="37">
        <f>G29/B$19</f>
        <v>0</v>
      </c>
      <c r="J29" s="33">
        <v>27</v>
      </c>
      <c r="K29" s="38">
        <v>-165</v>
      </c>
    </row>
    <row r="30" spans="1:11" x14ac:dyDescent="0.4">
      <c r="E30" s="36" t="s">
        <v>108</v>
      </c>
      <c r="F30" s="1" t="s">
        <v>60</v>
      </c>
      <c r="G30" s="34">
        <v>0</v>
      </c>
      <c r="H30" s="37">
        <f>G30/B$19</f>
        <v>0</v>
      </c>
      <c r="J30" s="33">
        <v>28</v>
      </c>
      <c r="K30" s="38">
        <v>-171</v>
      </c>
    </row>
    <row r="31" spans="1:11" x14ac:dyDescent="0.4">
      <c r="E31" s="36" t="s">
        <v>110</v>
      </c>
      <c r="F31" s="1" t="s">
        <v>62</v>
      </c>
      <c r="G31" s="34">
        <v>0</v>
      </c>
      <c r="H31" s="37">
        <f>G31/B$19</f>
        <v>0</v>
      </c>
      <c r="J31" s="33">
        <v>29</v>
      </c>
      <c r="K31" s="38">
        <v>-165</v>
      </c>
    </row>
    <row r="32" spans="1:11" x14ac:dyDescent="0.4">
      <c r="E32" s="36" t="s">
        <v>116</v>
      </c>
      <c r="F32" s="1" t="s">
        <v>68</v>
      </c>
      <c r="G32" s="34">
        <v>0</v>
      </c>
      <c r="H32" s="37">
        <f>G32/B$19</f>
        <v>0</v>
      </c>
      <c r="J32" s="33">
        <v>30</v>
      </c>
      <c r="K32" s="38">
        <v>-211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-262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-256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-237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  <c r="J36" s="33">
        <v>34</v>
      </c>
      <c r="K36" s="38">
        <v>-232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  <c r="J37" s="33">
        <v>35</v>
      </c>
      <c r="K37" s="38">
        <v>-257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  <c r="J38" s="33">
        <v>36</v>
      </c>
      <c r="K38" s="38">
        <v>-207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  <c r="J39" s="33">
        <v>37</v>
      </c>
      <c r="K39" s="38">
        <v>-252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  <c r="J40" s="33">
        <v>38</v>
      </c>
      <c r="K40" s="38">
        <v>-245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  <c r="J41" s="33">
        <v>39</v>
      </c>
      <c r="K41" s="38">
        <v>-247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  <c r="J42" s="33">
        <v>40</v>
      </c>
      <c r="K42" s="38">
        <v>-282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  <c r="J43" s="33">
        <v>41</v>
      </c>
      <c r="K43" s="38">
        <v>-322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  <c r="J44" s="33">
        <v>42</v>
      </c>
      <c r="K44" s="38">
        <v>-316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  <c r="J45" s="33">
        <v>43</v>
      </c>
      <c r="K45" s="38">
        <v>-286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  <c r="J46" s="33">
        <v>44</v>
      </c>
      <c r="K46" s="38">
        <v>-241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  <c r="J47" s="33">
        <v>45</v>
      </c>
      <c r="K47" s="38">
        <v>-257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  <c r="J48" s="33">
        <v>46</v>
      </c>
      <c r="K48" s="38">
        <v>-281</v>
      </c>
    </row>
    <row r="49" spans="5:11" x14ac:dyDescent="0.4">
      <c r="E49" s="36" t="s">
        <v>135</v>
      </c>
      <c r="F49" s="1" t="s">
        <v>84</v>
      </c>
      <c r="G49" s="34">
        <v>0</v>
      </c>
      <c r="H49" s="37">
        <f>G49/B$19</f>
        <v>0</v>
      </c>
      <c r="J49" s="33">
        <v>47</v>
      </c>
      <c r="K49" s="38">
        <v>-265</v>
      </c>
    </row>
    <row r="50" spans="5:11" x14ac:dyDescent="0.4">
      <c r="E50" s="36" t="s">
        <v>136</v>
      </c>
      <c r="F50" s="1" t="s">
        <v>85</v>
      </c>
      <c r="G50" s="34">
        <v>0</v>
      </c>
      <c r="H50" s="37">
        <f>G50/B$19</f>
        <v>0</v>
      </c>
      <c r="J50" s="33">
        <v>48</v>
      </c>
      <c r="K50" s="38">
        <v>-289</v>
      </c>
    </row>
    <row r="51" spans="5:11" x14ac:dyDescent="0.4">
      <c r="E51" s="56" t="s">
        <v>137</v>
      </c>
      <c r="F51" s="55" t="s">
        <v>86</v>
      </c>
      <c r="G51" s="57">
        <v>0</v>
      </c>
      <c r="H51" s="58">
        <f>G51/B$19</f>
        <v>0</v>
      </c>
      <c r="J51" s="33">
        <v>49</v>
      </c>
      <c r="K51" s="38">
        <v>-283</v>
      </c>
    </row>
    <row r="52" spans="5:11" x14ac:dyDescent="0.4">
      <c r="J52" s="33">
        <v>50</v>
      </c>
      <c r="K52" s="38">
        <v>-287</v>
      </c>
    </row>
    <row r="53" spans="5:11" x14ac:dyDescent="0.4">
      <c r="J53" s="33">
        <v>51</v>
      </c>
      <c r="K53" s="38">
        <v>-269</v>
      </c>
    </row>
    <row r="54" spans="5:11" x14ac:dyDescent="0.4">
      <c r="J54" s="33">
        <v>52</v>
      </c>
      <c r="K54" s="38">
        <v>-308</v>
      </c>
    </row>
    <row r="55" spans="5:11" x14ac:dyDescent="0.4">
      <c r="J55" s="33">
        <v>53</v>
      </c>
      <c r="K55" s="38">
        <v>-336</v>
      </c>
    </row>
    <row r="56" spans="5:11" x14ac:dyDescent="0.4">
      <c r="J56" s="33">
        <v>54</v>
      </c>
      <c r="K56" s="38">
        <v>-378</v>
      </c>
    </row>
    <row r="57" spans="5:11" x14ac:dyDescent="0.4">
      <c r="J57" s="33">
        <v>55</v>
      </c>
      <c r="K57" s="38">
        <v>-363</v>
      </c>
    </row>
    <row r="58" spans="5:11" x14ac:dyDescent="0.4">
      <c r="J58" s="33">
        <v>56</v>
      </c>
      <c r="K58" s="38">
        <v>-315</v>
      </c>
    </row>
    <row r="59" spans="5:11" x14ac:dyDescent="0.4">
      <c r="J59" s="33">
        <v>57</v>
      </c>
      <c r="K59" s="38">
        <v>-311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D0AAC-F8A9-4A1F-AE4E-E63D32FF6AC3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20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39</v>
      </c>
      <c r="C2" s="29"/>
      <c r="E2" s="30" t="s">
        <v>90</v>
      </c>
      <c r="F2" s="12" t="s">
        <v>43</v>
      </c>
      <c r="G2" s="28">
        <v>8</v>
      </c>
      <c r="H2" s="31">
        <f>G2/B$19</f>
        <v>0.8</v>
      </c>
      <c r="J2" s="27">
        <v>0</v>
      </c>
      <c r="K2" s="32">
        <v>0</v>
      </c>
    </row>
    <row r="3" spans="1:11" x14ac:dyDescent="0.4">
      <c r="A3" s="33" t="s">
        <v>8</v>
      </c>
      <c r="B3" s="34">
        <v>271</v>
      </c>
      <c r="C3" s="35"/>
      <c r="E3" s="36" t="s">
        <v>92</v>
      </c>
      <c r="F3" s="1" t="s">
        <v>45</v>
      </c>
      <c r="G3" s="34">
        <v>8</v>
      </c>
      <c r="H3" s="37">
        <f>G3/B$19</f>
        <v>0.8</v>
      </c>
      <c r="J3" s="33">
        <v>1</v>
      </c>
      <c r="K3" s="38">
        <v>-40</v>
      </c>
    </row>
    <row r="4" spans="1:11" x14ac:dyDescent="0.4">
      <c r="A4" s="33" t="s">
        <v>6</v>
      </c>
      <c r="B4" s="39">
        <v>229</v>
      </c>
      <c r="C4" s="38"/>
      <c r="E4" s="36" t="s">
        <v>97</v>
      </c>
      <c r="F4" s="1" t="s">
        <v>49</v>
      </c>
      <c r="G4" s="34">
        <v>8</v>
      </c>
      <c r="H4" s="37">
        <f>G4/B$19</f>
        <v>0.8</v>
      </c>
      <c r="J4" s="33">
        <v>2</v>
      </c>
      <c r="K4" s="38">
        <v>-13</v>
      </c>
    </row>
    <row r="5" spans="1:11" x14ac:dyDescent="0.4">
      <c r="A5" s="33" t="s">
        <v>7</v>
      </c>
      <c r="B5" s="40">
        <f>IF(B$2=0,0,B$4/B$2)</f>
        <v>5.8717948717948714</v>
      </c>
      <c r="C5" s="41"/>
      <c r="E5" s="36" t="s">
        <v>88</v>
      </c>
      <c r="F5" s="1" t="s">
        <v>41</v>
      </c>
      <c r="G5" s="34">
        <v>3</v>
      </c>
      <c r="H5" s="37">
        <f>G5/B$19</f>
        <v>0.3</v>
      </c>
      <c r="J5" s="33">
        <v>3</v>
      </c>
      <c r="K5" s="38">
        <v>-58</v>
      </c>
    </row>
    <row r="6" spans="1:11" x14ac:dyDescent="0.4">
      <c r="A6" s="33" t="s">
        <v>1</v>
      </c>
      <c r="B6" s="42">
        <f>IF(B$2=0,0,(B$7*1+B$8*2+B$9*3)/B$2)</f>
        <v>1.8461538461538463</v>
      </c>
      <c r="C6" s="43"/>
      <c r="E6" s="36" t="s">
        <v>91</v>
      </c>
      <c r="F6" s="1" t="s">
        <v>44</v>
      </c>
      <c r="G6" s="34">
        <v>3</v>
      </c>
      <c r="H6" s="37">
        <f>G6/B$19</f>
        <v>0.3</v>
      </c>
      <c r="J6" s="33">
        <v>4</v>
      </c>
      <c r="K6" s="38">
        <v>-54</v>
      </c>
    </row>
    <row r="7" spans="1:11" x14ac:dyDescent="0.4">
      <c r="A7" s="33" t="s">
        <v>2</v>
      </c>
      <c r="B7" s="34">
        <v>14</v>
      </c>
      <c r="C7" s="37">
        <f>IF(B$2=0,0,B7/B$2)</f>
        <v>0.35897435897435898</v>
      </c>
      <c r="E7" s="36" t="s">
        <v>93</v>
      </c>
      <c r="F7" s="1" t="s">
        <v>12</v>
      </c>
      <c r="G7" s="34">
        <v>2</v>
      </c>
      <c r="H7" s="37">
        <f>G7/B$19</f>
        <v>0.2</v>
      </c>
      <c r="J7" s="33">
        <v>5</v>
      </c>
      <c r="K7" s="38">
        <v>-46</v>
      </c>
    </row>
    <row r="8" spans="1:11" x14ac:dyDescent="0.4">
      <c r="A8" s="33" t="s">
        <v>3</v>
      </c>
      <c r="B8" s="34">
        <v>17</v>
      </c>
      <c r="C8" s="37">
        <f t="shared" ref="C8:C9" si="0">IF(B$2=0,0,B8/B$2)</f>
        <v>0.4358974358974359</v>
      </c>
      <c r="E8" s="36" t="s">
        <v>89</v>
      </c>
      <c r="F8" s="1" t="s">
        <v>42</v>
      </c>
      <c r="G8" s="34">
        <v>1</v>
      </c>
      <c r="H8" s="37">
        <f>G8/B$19</f>
        <v>0.1</v>
      </c>
      <c r="J8" s="33">
        <v>6</v>
      </c>
      <c r="K8" s="38">
        <v>-51</v>
      </c>
    </row>
    <row r="9" spans="1:11" x14ac:dyDescent="0.4">
      <c r="A9" s="44" t="s">
        <v>4</v>
      </c>
      <c r="B9" s="45">
        <v>8</v>
      </c>
      <c r="C9" s="46">
        <f t="shared" si="0"/>
        <v>0.20512820512820512</v>
      </c>
      <c r="E9" s="36" t="s">
        <v>94</v>
      </c>
      <c r="F9" s="1" t="s">
        <v>46</v>
      </c>
      <c r="G9" s="34">
        <v>1</v>
      </c>
      <c r="H9" s="37">
        <f>G9/B$19</f>
        <v>0.1</v>
      </c>
      <c r="J9" s="33">
        <v>7</v>
      </c>
      <c r="K9" s="38">
        <v>-48</v>
      </c>
    </row>
    <row r="10" spans="1:11" ht="19.5" thickBot="1" x14ac:dyDescent="0.45">
      <c r="A10" s="47" t="s">
        <v>34</v>
      </c>
      <c r="B10" s="48">
        <v>5</v>
      </c>
      <c r="C10" s="49">
        <f>IF(B$2=0,0,B10/B$2)</f>
        <v>0.12820512820512819</v>
      </c>
      <c r="E10" s="36" t="s">
        <v>107</v>
      </c>
      <c r="F10" s="1" t="s">
        <v>59</v>
      </c>
      <c r="G10" s="34">
        <v>1</v>
      </c>
      <c r="H10" s="37">
        <f>G10/B$19</f>
        <v>0.1</v>
      </c>
      <c r="J10" s="33">
        <v>8</v>
      </c>
      <c r="K10" s="38">
        <v>-60</v>
      </c>
    </row>
    <row r="11" spans="1:11" ht="19.5" thickTop="1" x14ac:dyDescent="0.4">
      <c r="A11" s="50" t="s">
        <v>144</v>
      </c>
      <c r="B11" s="51">
        <v>11</v>
      </c>
      <c r="C11" s="31">
        <f>IF(B$18=0,0,B11/B$18)</f>
        <v>0.33333333333333331</v>
      </c>
      <c r="E11" s="36" t="s">
        <v>109</v>
      </c>
      <c r="F11" s="1" t="s">
        <v>61</v>
      </c>
      <c r="G11" s="34">
        <v>1</v>
      </c>
      <c r="H11" s="37">
        <f>G11/B$19</f>
        <v>0.1</v>
      </c>
      <c r="J11" s="33">
        <v>9</v>
      </c>
      <c r="K11" s="38">
        <v>-79</v>
      </c>
    </row>
    <row r="12" spans="1:11" x14ac:dyDescent="0.4">
      <c r="A12" s="27" t="s">
        <v>10</v>
      </c>
      <c r="B12" s="28">
        <f>B13+B14</f>
        <v>97</v>
      </c>
      <c r="C12" s="31">
        <f>IF(B$3=0,0,B12/B$3)</f>
        <v>0.35793357933579334</v>
      </c>
      <c r="E12" s="36" t="s">
        <v>95</v>
      </c>
      <c r="F12" s="1" t="s">
        <v>47</v>
      </c>
      <c r="G12" s="34">
        <v>0</v>
      </c>
      <c r="H12" s="37">
        <f>G12/B$19</f>
        <v>0</v>
      </c>
      <c r="J12" s="33">
        <v>10</v>
      </c>
      <c r="K12" s="38">
        <v>-80</v>
      </c>
    </row>
    <row r="13" spans="1:11" x14ac:dyDescent="0.4">
      <c r="A13" s="33" t="s">
        <v>11</v>
      </c>
      <c r="B13" s="34">
        <v>53</v>
      </c>
      <c r="C13" s="37">
        <f>IF(B$3=0,0,B13/B$3)</f>
        <v>0.19557195571955718</v>
      </c>
      <c r="E13" s="36" t="s">
        <v>96</v>
      </c>
      <c r="F13" s="1" t="s">
        <v>48</v>
      </c>
      <c r="G13" s="34">
        <v>0</v>
      </c>
      <c r="H13" s="37">
        <f>G13/B$19</f>
        <v>0</v>
      </c>
      <c r="J13" s="33">
        <v>11</v>
      </c>
      <c r="K13" s="38">
        <v>-90</v>
      </c>
    </row>
    <row r="14" spans="1:11" x14ac:dyDescent="0.4">
      <c r="A14" s="33" t="s">
        <v>12</v>
      </c>
      <c r="B14" s="34">
        <v>44</v>
      </c>
      <c r="C14" s="37">
        <f>IF(B$3=0,0,B14/B$3)</f>
        <v>0.16236162361623616</v>
      </c>
      <c r="E14" s="36" t="s">
        <v>98</v>
      </c>
      <c r="F14" s="1" t="s">
        <v>50</v>
      </c>
      <c r="G14" s="34">
        <v>0</v>
      </c>
      <c r="H14" s="37">
        <f>G14/B$19</f>
        <v>0</v>
      </c>
      <c r="J14" s="33">
        <v>12</v>
      </c>
      <c r="K14" s="38">
        <v>-25</v>
      </c>
    </row>
    <row r="15" spans="1:11" x14ac:dyDescent="0.4">
      <c r="A15" s="33" t="s">
        <v>13</v>
      </c>
      <c r="B15" s="34">
        <v>36</v>
      </c>
      <c r="C15" s="37">
        <f>IF(B$3=0,0,B15/B$3)</f>
        <v>0.13284132841328414</v>
      </c>
      <c r="E15" s="36" t="s">
        <v>99</v>
      </c>
      <c r="F15" s="1" t="s">
        <v>51</v>
      </c>
      <c r="G15" s="34">
        <v>0</v>
      </c>
      <c r="H15" s="37">
        <f>G15/B$19</f>
        <v>0</v>
      </c>
      <c r="J15" s="33">
        <v>13</v>
      </c>
      <c r="K15" s="38">
        <v>-14</v>
      </c>
    </row>
    <row r="16" spans="1:11" x14ac:dyDescent="0.4">
      <c r="A16" s="33" t="s">
        <v>5</v>
      </c>
      <c r="B16" s="52">
        <f>IF(B$12=0,0,ROUND(C16/B$12,-2))</f>
        <v>9600</v>
      </c>
      <c r="C16" s="53">
        <v>934300</v>
      </c>
      <c r="E16" s="36" t="s">
        <v>100</v>
      </c>
      <c r="F16" s="1" t="s">
        <v>52</v>
      </c>
      <c r="G16" s="34">
        <v>0</v>
      </c>
      <c r="H16" s="37">
        <f>G16/B$19</f>
        <v>0</v>
      </c>
      <c r="J16" s="33">
        <v>14</v>
      </c>
      <c r="K16" s="38">
        <v>37</v>
      </c>
    </row>
    <row r="17" spans="1:11" ht="19.5" thickBot="1" x14ac:dyDescent="0.45">
      <c r="A17" s="54" t="s">
        <v>14</v>
      </c>
      <c r="B17" s="55">
        <f>IF(B$15=0,0,ROUND(C17/B$15,-2))</f>
        <v>-9600</v>
      </c>
      <c r="C17" s="65">
        <v>-346100</v>
      </c>
      <c r="E17" s="36" t="s">
        <v>101</v>
      </c>
      <c r="F17" s="1" t="s">
        <v>53</v>
      </c>
      <c r="G17" s="34">
        <v>0</v>
      </c>
      <c r="H17" s="37">
        <f>G17/B$19</f>
        <v>0</v>
      </c>
      <c r="J17" s="33">
        <v>15</v>
      </c>
      <c r="K17" s="38">
        <v>54</v>
      </c>
    </row>
    <row r="18" spans="1:11" ht="19.5" thickTop="1" x14ac:dyDescent="0.4">
      <c r="A18" s="50" t="s">
        <v>147</v>
      </c>
      <c r="B18" s="51">
        <v>33</v>
      </c>
      <c r="C18" s="31"/>
      <c r="E18" s="36" t="s">
        <v>102</v>
      </c>
      <c r="F18" s="1" t="s">
        <v>54</v>
      </c>
      <c r="G18" s="34">
        <v>0</v>
      </c>
      <c r="H18" s="37">
        <f>G18/B$19</f>
        <v>0</v>
      </c>
      <c r="J18" s="33">
        <v>16</v>
      </c>
      <c r="K18" s="38">
        <v>38</v>
      </c>
    </row>
    <row r="19" spans="1:11" x14ac:dyDescent="0.4">
      <c r="A19" s="54" t="s">
        <v>148</v>
      </c>
      <c r="B19" s="57">
        <v>10</v>
      </c>
      <c r="C19" s="58"/>
      <c r="E19" s="36" t="s">
        <v>103</v>
      </c>
      <c r="F19" s="1" t="s">
        <v>55</v>
      </c>
      <c r="G19" s="34">
        <v>0</v>
      </c>
      <c r="H19" s="37">
        <f>G19/B$19</f>
        <v>0</v>
      </c>
      <c r="J19" s="33">
        <v>17</v>
      </c>
      <c r="K19" s="38">
        <v>13</v>
      </c>
    </row>
    <row r="20" spans="1:11" x14ac:dyDescent="0.4">
      <c r="E20" s="36" t="s">
        <v>104</v>
      </c>
      <c r="F20" s="1" t="s">
        <v>56</v>
      </c>
      <c r="G20" s="34">
        <v>0</v>
      </c>
      <c r="H20" s="37">
        <f>G20/B$19</f>
        <v>0</v>
      </c>
      <c r="J20" s="33">
        <v>18</v>
      </c>
      <c r="K20" s="38">
        <v>-29</v>
      </c>
    </row>
    <row r="21" spans="1:11" x14ac:dyDescent="0.4">
      <c r="E21" s="36" t="s">
        <v>105</v>
      </c>
      <c r="F21" s="1" t="s">
        <v>57</v>
      </c>
      <c r="G21" s="34">
        <v>0</v>
      </c>
      <c r="H21" s="37">
        <f>G21/B$19</f>
        <v>0</v>
      </c>
      <c r="J21" s="33">
        <v>19</v>
      </c>
      <c r="K21" s="38">
        <v>-21</v>
      </c>
    </row>
    <row r="22" spans="1:11" x14ac:dyDescent="0.4">
      <c r="E22" s="36" t="s">
        <v>106</v>
      </c>
      <c r="F22" s="1" t="s">
        <v>58</v>
      </c>
      <c r="G22" s="34">
        <v>0</v>
      </c>
      <c r="H22" s="37">
        <f>G22/B$19</f>
        <v>0</v>
      </c>
      <c r="J22" s="33">
        <v>20</v>
      </c>
      <c r="K22" s="38">
        <v>4</v>
      </c>
    </row>
    <row r="23" spans="1:11" x14ac:dyDescent="0.4">
      <c r="E23" s="36" t="s">
        <v>108</v>
      </c>
      <c r="F23" s="1" t="s">
        <v>60</v>
      </c>
      <c r="G23" s="34">
        <v>0</v>
      </c>
      <c r="H23" s="37">
        <f>G23/B$19</f>
        <v>0</v>
      </c>
      <c r="J23" s="33">
        <v>21</v>
      </c>
      <c r="K23" s="38">
        <v>66</v>
      </c>
    </row>
    <row r="24" spans="1:11" x14ac:dyDescent="0.4">
      <c r="E24" s="36" t="s">
        <v>110</v>
      </c>
      <c r="F24" s="1" t="s">
        <v>62</v>
      </c>
      <c r="G24" s="34">
        <v>0</v>
      </c>
      <c r="H24" s="37">
        <f>G24/B$19</f>
        <v>0</v>
      </c>
      <c r="J24" s="33">
        <v>22</v>
      </c>
      <c r="K24" s="38">
        <v>75</v>
      </c>
    </row>
    <row r="25" spans="1:11" x14ac:dyDescent="0.4">
      <c r="E25" s="36" t="s">
        <v>111</v>
      </c>
      <c r="F25" s="1" t="s">
        <v>63</v>
      </c>
      <c r="G25" s="34">
        <v>0</v>
      </c>
      <c r="H25" s="37">
        <f>G25/B$19</f>
        <v>0</v>
      </c>
      <c r="J25" s="33">
        <v>23</v>
      </c>
      <c r="K25" s="38">
        <v>90</v>
      </c>
    </row>
    <row r="26" spans="1:11" x14ac:dyDescent="0.4">
      <c r="E26" s="36" t="s">
        <v>112</v>
      </c>
      <c r="F26" s="1" t="s">
        <v>64</v>
      </c>
      <c r="G26" s="34">
        <v>0</v>
      </c>
      <c r="H26" s="37">
        <f>G26/B$19</f>
        <v>0</v>
      </c>
      <c r="J26" s="33">
        <v>24</v>
      </c>
      <c r="K26" s="38">
        <v>46</v>
      </c>
    </row>
    <row r="27" spans="1:11" x14ac:dyDescent="0.4">
      <c r="E27" s="36" t="s">
        <v>113</v>
      </c>
      <c r="F27" s="1" t="s">
        <v>65</v>
      </c>
      <c r="G27" s="34">
        <v>0</v>
      </c>
      <c r="H27" s="37">
        <f>G27/B$19</f>
        <v>0</v>
      </c>
      <c r="J27" s="33">
        <v>25</v>
      </c>
      <c r="K27" s="38">
        <v>56</v>
      </c>
    </row>
    <row r="28" spans="1:11" x14ac:dyDescent="0.4">
      <c r="E28" s="36" t="s">
        <v>114</v>
      </c>
      <c r="F28" s="1" t="s">
        <v>66</v>
      </c>
      <c r="G28" s="34">
        <v>0</v>
      </c>
      <c r="H28" s="37">
        <f>G28/B$19</f>
        <v>0</v>
      </c>
      <c r="J28" s="33">
        <v>26</v>
      </c>
      <c r="K28" s="38">
        <v>139</v>
      </c>
    </row>
    <row r="29" spans="1:11" x14ac:dyDescent="0.4">
      <c r="E29" s="36" t="s">
        <v>115</v>
      </c>
      <c r="F29" s="1" t="s">
        <v>67</v>
      </c>
      <c r="G29" s="34">
        <v>0</v>
      </c>
      <c r="H29" s="37">
        <f>G29/B$19</f>
        <v>0</v>
      </c>
      <c r="J29" s="33">
        <v>27</v>
      </c>
      <c r="K29" s="38">
        <v>160</v>
      </c>
    </row>
    <row r="30" spans="1:11" x14ac:dyDescent="0.4">
      <c r="E30" s="36" t="s">
        <v>116</v>
      </c>
      <c r="F30" s="1" t="s">
        <v>68</v>
      </c>
      <c r="G30" s="34">
        <v>0</v>
      </c>
      <c r="H30" s="37">
        <f>G30/B$19</f>
        <v>0</v>
      </c>
      <c r="J30" s="33">
        <v>28</v>
      </c>
      <c r="K30" s="38">
        <v>172</v>
      </c>
    </row>
    <row r="31" spans="1:11" x14ac:dyDescent="0.4">
      <c r="E31" s="36" t="s">
        <v>117</v>
      </c>
      <c r="F31" s="1" t="s">
        <v>69</v>
      </c>
      <c r="G31" s="34">
        <v>0</v>
      </c>
      <c r="H31" s="37">
        <f>G31/B$19</f>
        <v>0</v>
      </c>
      <c r="J31" s="33">
        <v>29</v>
      </c>
      <c r="K31" s="38">
        <v>202</v>
      </c>
    </row>
    <row r="32" spans="1:11" x14ac:dyDescent="0.4">
      <c r="E32" s="36" t="s">
        <v>118</v>
      </c>
      <c r="F32" s="1" t="s">
        <v>70</v>
      </c>
      <c r="G32" s="34">
        <v>0</v>
      </c>
      <c r="H32" s="37">
        <f>G32/B$19</f>
        <v>0</v>
      </c>
      <c r="J32" s="33">
        <v>30</v>
      </c>
      <c r="K32" s="38">
        <v>195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183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201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242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  <c r="J36" s="33">
        <v>34</v>
      </c>
      <c r="K36" s="38">
        <v>231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  <c r="J37" s="33">
        <v>35</v>
      </c>
      <c r="K37" s="38">
        <v>185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  <c r="J38" s="33">
        <v>36</v>
      </c>
      <c r="K38" s="38">
        <v>232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  <c r="J39" s="33">
        <v>37</v>
      </c>
      <c r="K39" s="38">
        <v>247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  <c r="J40" s="33">
        <v>38</v>
      </c>
      <c r="K40" s="38">
        <v>229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  <c r="J41" s="33">
        <v>39</v>
      </c>
      <c r="K41" s="38">
        <v>229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6" t="s">
        <v>137</v>
      </c>
      <c r="F51" s="55" t="s">
        <v>86</v>
      </c>
      <c r="G51" s="57">
        <v>0</v>
      </c>
      <c r="H51" s="58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6BDFD-CD23-4491-8D98-D1FCB9082B6D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21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1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6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-41</v>
      </c>
    </row>
    <row r="4" spans="1:11" x14ac:dyDescent="0.4">
      <c r="A4" s="33" t="s">
        <v>6</v>
      </c>
      <c r="B4" s="39">
        <v>-41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</row>
    <row r="5" spans="1:11" x14ac:dyDescent="0.4">
      <c r="A5" s="33" t="s">
        <v>7</v>
      </c>
      <c r="B5" s="40">
        <f>IF(B$2=0,0,B$4/B$2)</f>
        <v>-41</v>
      </c>
      <c r="C5" s="41"/>
      <c r="E5" s="36" t="s">
        <v>91</v>
      </c>
      <c r="F5" s="1" t="s">
        <v>44</v>
      </c>
      <c r="G5" s="34">
        <v>0</v>
      </c>
      <c r="H5" s="37" t="e">
        <f>G5/B$19</f>
        <v>#DIV/0!</v>
      </c>
    </row>
    <row r="6" spans="1:11" x14ac:dyDescent="0.4">
      <c r="A6" s="33" t="s">
        <v>1</v>
      </c>
      <c r="B6" s="42">
        <f>IF(B$2=0,0,(B$7*1+B$8*2+B$9*3)/B$2)</f>
        <v>2</v>
      </c>
      <c r="C6" s="43"/>
      <c r="E6" s="36" t="s">
        <v>92</v>
      </c>
      <c r="F6" s="1" t="s">
        <v>45</v>
      </c>
      <c r="G6" s="34">
        <v>0</v>
      </c>
      <c r="H6" s="37" t="e">
        <f>G6/B$19</f>
        <v>#DIV/0!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12</v>
      </c>
      <c r="G7" s="34">
        <v>0</v>
      </c>
      <c r="H7" s="37" t="e">
        <f>G7/B$19</f>
        <v>#DIV/0!</v>
      </c>
    </row>
    <row r="8" spans="1:11" x14ac:dyDescent="0.4">
      <c r="A8" s="33" t="s">
        <v>3</v>
      </c>
      <c r="B8" s="34">
        <v>1</v>
      </c>
      <c r="C8" s="37">
        <f t="shared" ref="C8:C9" si="0">IF(B$2=0,0,B8/B$2)</f>
        <v>1</v>
      </c>
      <c r="E8" s="36" t="s">
        <v>94</v>
      </c>
      <c r="F8" s="1" t="s">
        <v>46</v>
      </c>
      <c r="G8" s="34">
        <v>0</v>
      </c>
      <c r="H8" s="37" t="e">
        <f>G8/B$19</f>
        <v>#DIV/0!</v>
      </c>
    </row>
    <row r="9" spans="1:11" x14ac:dyDescent="0.4">
      <c r="A9" s="44" t="s">
        <v>4</v>
      </c>
      <c r="B9" s="45">
        <v>0</v>
      </c>
      <c r="C9" s="46">
        <f t="shared" si="0"/>
        <v>0</v>
      </c>
      <c r="E9" s="36" t="s">
        <v>95</v>
      </c>
      <c r="F9" s="1" t="s">
        <v>47</v>
      </c>
      <c r="G9" s="34">
        <v>0</v>
      </c>
      <c r="H9" s="37" t="e">
        <f>G9/B$19</f>
        <v>#DIV/0!</v>
      </c>
    </row>
    <row r="10" spans="1:11" ht="19.5" thickBot="1" x14ac:dyDescent="0.45">
      <c r="A10" s="47" t="s">
        <v>34</v>
      </c>
      <c r="B10" s="48">
        <v>1</v>
      </c>
      <c r="C10" s="49">
        <f>IF(B$2=0,0,B10/B$2)</f>
        <v>1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</row>
    <row r="11" spans="1:11" ht="19.5" thickTop="1" x14ac:dyDescent="0.4">
      <c r="A11" s="50" t="s">
        <v>144</v>
      </c>
      <c r="B11" s="51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</row>
    <row r="12" spans="1:11" x14ac:dyDescent="0.4">
      <c r="A12" s="27" t="s">
        <v>10</v>
      </c>
      <c r="B12" s="28">
        <f>B13+B14</f>
        <v>1</v>
      </c>
      <c r="C12" s="31">
        <f>IF(B$3=0,0,B12/B$3)</f>
        <v>0.16666666666666666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</row>
    <row r="13" spans="1:11" x14ac:dyDescent="0.4">
      <c r="A13" s="33" t="s">
        <v>11</v>
      </c>
      <c r="B13" s="34">
        <v>1</v>
      </c>
      <c r="C13" s="37">
        <f>IF(B$3=0,0,B13/B$3)</f>
        <v>0.16666666666666666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</row>
    <row r="14" spans="1:11" x14ac:dyDescent="0.4">
      <c r="A14" s="33" t="s">
        <v>12</v>
      </c>
      <c r="B14" s="34">
        <v>0</v>
      </c>
      <c r="C14" s="37">
        <f>IF(B$3=0,0,B14/B$3)</f>
        <v>0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</row>
    <row r="15" spans="1:11" x14ac:dyDescent="0.4">
      <c r="A15" s="33" t="s">
        <v>13</v>
      </c>
      <c r="B15" s="34">
        <v>2</v>
      </c>
      <c r="C15" s="37">
        <f>IF(B$3=0,0,B15/B$3)</f>
        <v>0.33333333333333331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2">
        <f>IF(B$12=0,0,ROUND(C16/B$12,-2))</f>
        <v>1300</v>
      </c>
      <c r="C16" s="53">
        <v>1300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4" t="s">
        <v>14</v>
      </c>
      <c r="B17" s="55">
        <f>IF(B$15=0,0,ROUND(C17/B$15,-2))</f>
        <v>-8500</v>
      </c>
      <c r="C17" s="65">
        <v>-17000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50" t="s">
        <v>147</v>
      </c>
      <c r="B18" s="51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4" t="s">
        <v>148</v>
      </c>
      <c r="B19" s="57">
        <v>0</v>
      </c>
      <c r="C19" s="58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6" t="s">
        <v>137</v>
      </c>
      <c r="F51" s="55" t="s">
        <v>86</v>
      </c>
      <c r="G51" s="57">
        <v>0</v>
      </c>
      <c r="H51" s="58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D1461-8175-444E-8F9C-F52C701A84A3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16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33</v>
      </c>
      <c r="C2" s="29"/>
      <c r="E2" s="30" t="s">
        <v>92</v>
      </c>
      <c r="F2" s="12" t="s">
        <v>45</v>
      </c>
      <c r="G2" s="28">
        <v>17</v>
      </c>
      <c r="H2" s="31">
        <f>G2/B$19</f>
        <v>0.85</v>
      </c>
      <c r="J2" s="27">
        <v>0</v>
      </c>
      <c r="K2" s="32">
        <v>0</v>
      </c>
    </row>
    <row r="3" spans="1:11" x14ac:dyDescent="0.4">
      <c r="A3" s="33" t="s">
        <v>8</v>
      </c>
      <c r="B3" s="34">
        <v>260</v>
      </c>
      <c r="C3" s="35"/>
      <c r="E3" s="36" t="s">
        <v>97</v>
      </c>
      <c r="F3" s="1" t="s">
        <v>49</v>
      </c>
      <c r="G3" s="34">
        <v>14</v>
      </c>
      <c r="H3" s="37">
        <f>G3/B$19</f>
        <v>0.7</v>
      </c>
      <c r="J3" s="33">
        <v>1</v>
      </c>
      <c r="K3" s="38">
        <v>68</v>
      </c>
    </row>
    <row r="4" spans="1:11" x14ac:dyDescent="0.4">
      <c r="A4" s="33" t="s">
        <v>6</v>
      </c>
      <c r="B4" s="39">
        <v>-44</v>
      </c>
      <c r="C4" s="38"/>
      <c r="E4" s="36" t="s">
        <v>90</v>
      </c>
      <c r="F4" s="1" t="s">
        <v>43</v>
      </c>
      <c r="G4" s="34">
        <v>13</v>
      </c>
      <c r="H4" s="37">
        <f>G4/B$19</f>
        <v>0.65</v>
      </c>
      <c r="J4" s="33">
        <v>2</v>
      </c>
      <c r="K4" s="38">
        <v>58</v>
      </c>
    </row>
    <row r="5" spans="1:11" x14ac:dyDescent="0.4">
      <c r="A5" s="33" t="s">
        <v>7</v>
      </c>
      <c r="B5" s="40">
        <f>IF(B$2=0,0,B$4/B$2)</f>
        <v>-1.3333333333333333</v>
      </c>
      <c r="C5" s="41"/>
      <c r="E5" s="36" t="s">
        <v>88</v>
      </c>
      <c r="F5" s="1" t="s">
        <v>41</v>
      </c>
      <c r="G5" s="34">
        <v>6</v>
      </c>
      <c r="H5" s="37">
        <f>G5/B$19</f>
        <v>0.3</v>
      </c>
      <c r="J5" s="33">
        <v>3</v>
      </c>
      <c r="K5" s="38">
        <v>82</v>
      </c>
    </row>
    <row r="6" spans="1:11" x14ac:dyDescent="0.4">
      <c r="A6" s="33" t="s">
        <v>1</v>
      </c>
      <c r="B6" s="42">
        <f>IF(B$2=0,0,(B$7*1+B$8*2+B$9*3)/B$2)</f>
        <v>2.0909090909090908</v>
      </c>
      <c r="C6" s="43"/>
      <c r="E6" s="36" t="s">
        <v>89</v>
      </c>
      <c r="F6" s="1" t="s">
        <v>42</v>
      </c>
      <c r="G6" s="34">
        <v>3</v>
      </c>
      <c r="H6" s="37">
        <f>G6/B$19</f>
        <v>0.15</v>
      </c>
      <c r="J6" s="33">
        <v>4</v>
      </c>
      <c r="K6" s="38">
        <v>58</v>
      </c>
    </row>
    <row r="7" spans="1:11" x14ac:dyDescent="0.4">
      <c r="A7" s="33" t="s">
        <v>2</v>
      </c>
      <c r="B7" s="34">
        <v>9</v>
      </c>
      <c r="C7" s="37">
        <f>IF(B$2=0,0,B7/B$2)</f>
        <v>0.27272727272727271</v>
      </c>
      <c r="E7" s="36" t="s">
        <v>93</v>
      </c>
      <c r="F7" s="1" t="s">
        <v>12</v>
      </c>
      <c r="G7" s="34">
        <v>3</v>
      </c>
      <c r="H7" s="37">
        <f>G7/B$19</f>
        <v>0.15</v>
      </c>
      <c r="J7" s="33">
        <v>5</v>
      </c>
      <c r="K7" s="38">
        <v>124</v>
      </c>
    </row>
    <row r="8" spans="1:11" x14ac:dyDescent="0.4">
      <c r="A8" s="33" t="s">
        <v>3</v>
      </c>
      <c r="B8" s="34">
        <v>12</v>
      </c>
      <c r="C8" s="37">
        <f t="shared" ref="C8:C9" si="0">IF(B$2=0,0,B8/B$2)</f>
        <v>0.36363636363636365</v>
      </c>
      <c r="E8" s="36" t="s">
        <v>115</v>
      </c>
      <c r="F8" s="1" t="s">
        <v>67</v>
      </c>
      <c r="G8" s="34">
        <v>3</v>
      </c>
      <c r="H8" s="37">
        <f>G8/B$19</f>
        <v>0.15</v>
      </c>
      <c r="J8" s="33">
        <v>6</v>
      </c>
      <c r="K8" s="38">
        <v>126</v>
      </c>
    </row>
    <row r="9" spans="1:11" x14ac:dyDescent="0.4">
      <c r="A9" s="44" t="s">
        <v>4</v>
      </c>
      <c r="B9" s="45">
        <v>12</v>
      </c>
      <c r="C9" s="46">
        <f t="shared" si="0"/>
        <v>0.36363636363636365</v>
      </c>
      <c r="E9" s="36" t="s">
        <v>104</v>
      </c>
      <c r="F9" s="1" t="s">
        <v>56</v>
      </c>
      <c r="G9" s="34">
        <v>2</v>
      </c>
      <c r="H9" s="37">
        <f>G9/B$19</f>
        <v>0.1</v>
      </c>
      <c r="J9" s="33">
        <v>7</v>
      </c>
      <c r="K9" s="38">
        <v>130</v>
      </c>
    </row>
    <row r="10" spans="1:11" ht="19.5" thickBot="1" x14ac:dyDescent="0.45">
      <c r="A10" s="47" t="s">
        <v>34</v>
      </c>
      <c r="B10" s="48">
        <v>5</v>
      </c>
      <c r="C10" s="49">
        <f>IF(B$2=0,0,B10/B$2)</f>
        <v>0.15151515151515152</v>
      </c>
      <c r="E10" s="36" t="s">
        <v>112</v>
      </c>
      <c r="F10" s="1" t="s">
        <v>64</v>
      </c>
      <c r="G10" s="34">
        <v>2</v>
      </c>
      <c r="H10" s="37">
        <f>G10/B$19</f>
        <v>0.1</v>
      </c>
      <c r="J10" s="33">
        <v>8</v>
      </c>
      <c r="K10" s="38">
        <v>97</v>
      </c>
    </row>
    <row r="11" spans="1:11" ht="19.5" thickTop="1" x14ac:dyDescent="0.4">
      <c r="A11" s="50" t="s">
        <v>144</v>
      </c>
      <c r="B11" s="51">
        <v>21</v>
      </c>
      <c r="C11" s="31">
        <f>IF(B$18=0,0,B11/B$18)</f>
        <v>0.28767123287671231</v>
      </c>
      <c r="E11" s="36" t="s">
        <v>94</v>
      </c>
      <c r="F11" s="1" t="s">
        <v>46</v>
      </c>
      <c r="G11" s="34">
        <v>1</v>
      </c>
      <c r="H11" s="37">
        <f>G11/B$19</f>
        <v>0.05</v>
      </c>
      <c r="J11" s="33">
        <v>9</v>
      </c>
      <c r="K11" s="38">
        <v>83</v>
      </c>
    </row>
    <row r="12" spans="1:11" x14ac:dyDescent="0.4">
      <c r="A12" s="27" t="s">
        <v>10</v>
      </c>
      <c r="B12" s="28">
        <f>B13+B14</f>
        <v>74</v>
      </c>
      <c r="C12" s="31">
        <f>IF(B$3=0,0,B12/B$3)</f>
        <v>0.2846153846153846</v>
      </c>
      <c r="E12" s="36" t="s">
        <v>95</v>
      </c>
      <c r="F12" s="1" t="s">
        <v>47</v>
      </c>
      <c r="G12" s="34">
        <v>1</v>
      </c>
      <c r="H12" s="37">
        <f>G12/B$19</f>
        <v>0.05</v>
      </c>
      <c r="J12" s="33">
        <v>10</v>
      </c>
      <c r="K12" s="38">
        <v>111</v>
      </c>
    </row>
    <row r="13" spans="1:11" x14ac:dyDescent="0.4">
      <c r="A13" s="33" t="s">
        <v>11</v>
      </c>
      <c r="B13" s="34">
        <v>43</v>
      </c>
      <c r="C13" s="37">
        <f>IF(B$3=0,0,B13/B$3)</f>
        <v>0.16538461538461538</v>
      </c>
      <c r="E13" s="36" t="s">
        <v>100</v>
      </c>
      <c r="F13" s="1" t="s">
        <v>52</v>
      </c>
      <c r="G13" s="34">
        <v>1</v>
      </c>
      <c r="H13" s="37">
        <f>G13/B$19</f>
        <v>0.05</v>
      </c>
      <c r="J13" s="33">
        <v>11</v>
      </c>
      <c r="K13" s="38">
        <v>139</v>
      </c>
    </row>
    <row r="14" spans="1:11" x14ac:dyDescent="0.4">
      <c r="A14" s="33" t="s">
        <v>12</v>
      </c>
      <c r="B14" s="34">
        <v>31</v>
      </c>
      <c r="C14" s="37">
        <f>IF(B$3=0,0,B14/B$3)</f>
        <v>0.11923076923076924</v>
      </c>
      <c r="E14" s="36" t="s">
        <v>103</v>
      </c>
      <c r="F14" s="1" t="s">
        <v>55</v>
      </c>
      <c r="G14" s="34">
        <v>1</v>
      </c>
      <c r="H14" s="37">
        <f>G14/B$19</f>
        <v>0.05</v>
      </c>
      <c r="J14" s="33">
        <v>12</v>
      </c>
      <c r="K14" s="38">
        <v>100</v>
      </c>
    </row>
    <row r="15" spans="1:11" x14ac:dyDescent="0.4">
      <c r="A15" s="33" t="s">
        <v>13</v>
      </c>
      <c r="B15" s="34">
        <v>52</v>
      </c>
      <c r="C15" s="37">
        <f>IF(B$3=0,0,B15/B$3)</f>
        <v>0.2</v>
      </c>
      <c r="E15" s="36" t="s">
        <v>109</v>
      </c>
      <c r="F15" s="1" t="s">
        <v>61</v>
      </c>
      <c r="G15" s="34">
        <v>1</v>
      </c>
      <c r="H15" s="37">
        <f>G15/B$19</f>
        <v>0.05</v>
      </c>
      <c r="J15" s="33">
        <v>13</v>
      </c>
      <c r="K15" s="38">
        <v>62</v>
      </c>
    </row>
    <row r="16" spans="1:11" x14ac:dyDescent="0.4">
      <c r="A16" s="33" t="s">
        <v>5</v>
      </c>
      <c r="B16" s="52">
        <f>IF(B$12=0,0,ROUND(C16/B$12,-2))</f>
        <v>10300</v>
      </c>
      <c r="C16" s="53">
        <v>764500</v>
      </c>
      <c r="E16" s="36" t="s">
        <v>91</v>
      </c>
      <c r="F16" s="1" t="s">
        <v>44</v>
      </c>
      <c r="G16" s="34">
        <v>0</v>
      </c>
      <c r="H16" s="37">
        <f>G16/B$19</f>
        <v>0</v>
      </c>
      <c r="J16" s="33">
        <v>14</v>
      </c>
      <c r="K16" s="38">
        <v>42</v>
      </c>
    </row>
    <row r="17" spans="1:11" ht="19.5" thickBot="1" x14ac:dyDescent="0.45">
      <c r="A17" s="54" t="s">
        <v>14</v>
      </c>
      <c r="B17" s="55">
        <f>IF(B$15=0,0,ROUND(C17/B$15,-2))</f>
        <v>-7700</v>
      </c>
      <c r="C17" s="65">
        <v>-397800</v>
      </c>
      <c r="E17" s="36" t="s">
        <v>96</v>
      </c>
      <c r="F17" s="1" t="s">
        <v>48</v>
      </c>
      <c r="G17" s="34">
        <v>0</v>
      </c>
      <c r="H17" s="37">
        <f>G17/B$19</f>
        <v>0</v>
      </c>
      <c r="J17" s="33">
        <v>15</v>
      </c>
      <c r="K17" s="38">
        <v>33</v>
      </c>
    </row>
    <row r="18" spans="1:11" ht="19.5" thickTop="1" x14ac:dyDescent="0.4">
      <c r="A18" s="50" t="s">
        <v>147</v>
      </c>
      <c r="B18" s="51">
        <v>73</v>
      </c>
      <c r="C18" s="31"/>
      <c r="E18" s="36" t="s">
        <v>98</v>
      </c>
      <c r="F18" s="1" t="s">
        <v>50</v>
      </c>
      <c r="G18" s="34">
        <v>0</v>
      </c>
      <c r="H18" s="37">
        <f>G18/B$19</f>
        <v>0</v>
      </c>
      <c r="J18" s="33">
        <v>16</v>
      </c>
      <c r="K18" s="38">
        <v>-6</v>
      </c>
    </row>
    <row r="19" spans="1:11" x14ac:dyDescent="0.4">
      <c r="A19" s="54" t="s">
        <v>148</v>
      </c>
      <c r="B19" s="57">
        <v>20</v>
      </c>
      <c r="C19" s="58"/>
      <c r="E19" s="36" t="s">
        <v>99</v>
      </c>
      <c r="F19" s="1" t="s">
        <v>51</v>
      </c>
      <c r="G19" s="34">
        <v>0</v>
      </c>
      <c r="H19" s="37">
        <f>G19/B$19</f>
        <v>0</v>
      </c>
      <c r="J19" s="33">
        <v>17</v>
      </c>
      <c r="K19" s="38">
        <v>-18</v>
      </c>
    </row>
    <row r="20" spans="1:11" x14ac:dyDescent="0.4">
      <c r="E20" s="36" t="s">
        <v>101</v>
      </c>
      <c r="F20" s="1" t="s">
        <v>53</v>
      </c>
      <c r="G20" s="34">
        <v>0</v>
      </c>
      <c r="H20" s="37">
        <f>G20/B$19</f>
        <v>0</v>
      </c>
      <c r="J20" s="33">
        <v>18</v>
      </c>
      <c r="K20" s="38">
        <v>-18</v>
      </c>
    </row>
    <row r="21" spans="1:11" x14ac:dyDescent="0.4">
      <c r="E21" s="36" t="s">
        <v>102</v>
      </c>
      <c r="F21" s="1" t="s">
        <v>54</v>
      </c>
      <c r="G21" s="34">
        <v>0</v>
      </c>
      <c r="H21" s="37">
        <f>G21/B$19</f>
        <v>0</v>
      </c>
      <c r="J21" s="33">
        <v>19</v>
      </c>
      <c r="K21" s="38">
        <v>-3</v>
      </c>
    </row>
    <row r="22" spans="1:11" x14ac:dyDescent="0.4">
      <c r="E22" s="36" t="s">
        <v>105</v>
      </c>
      <c r="F22" s="1" t="s">
        <v>57</v>
      </c>
      <c r="G22" s="34">
        <v>0</v>
      </c>
      <c r="H22" s="37">
        <f>G22/B$19</f>
        <v>0</v>
      </c>
      <c r="J22" s="33">
        <v>20</v>
      </c>
      <c r="K22" s="38">
        <v>45</v>
      </c>
    </row>
    <row r="23" spans="1:11" x14ac:dyDescent="0.4">
      <c r="E23" s="36" t="s">
        <v>106</v>
      </c>
      <c r="F23" s="1" t="s">
        <v>58</v>
      </c>
      <c r="G23" s="34">
        <v>0</v>
      </c>
      <c r="H23" s="37">
        <f>G23/B$19</f>
        <v>0</v>
      </c>
      <c r="J23" s="33">
        <v>21</v>
      </c>
      <c r="K23" s="38">
        <v>3</v>
      </c>
    </row>
    <row r="24" spans="1:11" x14ac:dyDescent="0.4">
      <c r="E24" s="36" t="s">
        <v>107</v>
      </c>
      <c r="F24" s="1" t="s">
        <v>59</v>
      </c>
      <c r="G24" s="34">
        <v>0</v>
      </c>
      <c r="H24" s="37">
        <f>G24/B$19</f>
        <v>0</v>
      </c>
      <c r="J24" s="33">
        <v>22</v>
      </c>
      <c r="K24" s="38">
        <v>-3</v>
      </c>
    </row>
    <row r="25" spans="1:11" x14ac:dyDescent="0.4">
      <c r="E25" s="36" t="s">
        <v>108</v>
      </c>
      <c r="F25" s="1" t="s">
        <v>60</v>
      </c>
      <c r="G25" s="34">
        <v>0</v>
      </c>
      <c r="H25" s="37">
        <f>G25/B$19</f>
        <v>0</v>
      </c>
      <c r="J25" s="33">
        <v>23</v>
      </c>
      <c r="K25" s="38">
        <v>22</v>
      </c>
    </row>
    <row r="26" spans="1:11" x14ac:dyDescent="0.4">
      <c r="E26" s="36" t="s">
        <v>110</v>
      </c>
      <c r="F26" s="1" t="s">
        <v>62</v>
      </c>
      <c r="G26" s="34">
        <v>0</v>
      </c>
      <c r="H26" s="37">
        <f>G26/B$19</f>
        <v>0</v>
      </c>
      <c r="J26" s="33">
        <v>24</v>
      </c>
      <c r="K26" s="38">
        <v>8</v>
      </c>
    </row>
    <row r="27" spans="1:11" x14ac:dyDescent="0.4">
      <c r="E27" s="36" t="s">
        <v>111</v>
      </c>
      <c r="F27" s="1" t="s">
        <v>63</v>
      </c>
      <c r="G27" s="34">
        <v>0</v>
      </c>
      <c r="H27" s="37">
        <f>G27/B$19</f>
        <v>0</v>
      </c>
      <c r="J27" s="33">
        <v>25</v>
      </c>
      <c r="K27" s="38">
        <v>0</v>
      </c>
    </row>
    <row r="28" spans="1:11" x14ac:dyDescent="0.4">
      <c r="E28" s="36" t="s">
        <v>113</v>
      </c>
      <c r="F28" s="1" t="s">
        <v>65</v>
      </c>
      <c r="G28" s="34">
        <v>0</v>
      </c>
      <c r="H28" s="37">
        <f>G28/B$19</f>
        <v>0</v>
      </c>
      <c r="J28" s="33">
        <v>26</v>
      </c>
      <c r="K28" s="38">
        <v>-11</v>
      </c>
    </row>
    <row r="29" spans="1:11" x14ac:dyDescent="0.4">
      <c r="E29" s="36" t="s">
        <v>114</v>
      </c>
      <c r="F29" s="1" t="s">
        <v>66</v>
      </c>
      <c r="G29" s="34">
        <v>0</v>
      </c>
      <c r="H29" s="37">
        <f>G29/B$19</f>
        <v>0</v>
      </c>
      <c r="J29" s="33">
        <v>27</v>
      </c>
      <c r="K29" s="38">
        <v>-33</v>
      </c>
    </row>
    <row r="30" spans="1:11" x14ac:dyDescent="0.4">
      <c r="E30" s="36" t="s">
        <v>116</v>
      </c>
      <c r="F30" s="1" t="s">
        <v>68</v>
      </c>
      <c r="G30" s="34">
        <v>0</v>
      </c>
      <c r="H30" s="37">
        <f>G30/B$19</f>
        <v>0</v>
      </c>
      <c r="J30" s="33">
        <v>28</v>
      </c>
      <c r="K30" s="38">
        <v>-27</v>
      </c>
    </row>
    <row r="31" spans="1:11" x14ac:dyDescent="0.4">
      <c r="E31" s="36" t="s">
        <v>117</v>
      </c>
      <c r="F31" s="1" t="s">
        <v>69</v>
      </c>
      <c r="G31" s="34">
        <v>0</v>
      </c>
      <c r="H31" s="37">
        <f>G31/B$19</f>
        <v>0</v>
      </c>
      <c r="J31" s="33">
        <v>29</v>
      </c>
      <c r="K31" s="38">
        <v>-26</v>
      </c>
    </row>
    <row r="32" spans="1:11" x14ac:dyDescent="0.4">
      <c r="E32" s="36" t="s">
        <v>118</v>
      </c>
      <c r="F32" s="1" t="s">
        <v>70</v>
      </c>
      <c r="G32" s="34">
        <v>0</v>
      </c>
      <c r="H32" s="37">
        <f>G32/B$19</f>
        <v>0</v>
      </c>
      <c r="J32" s="33">
        <v>30</v>
      </c>
      <c r="K32" s="38">
        <v>14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-22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-38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-44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6" t="s">
        <v>137</v>
      </c>
      <c r="F51" s="55" t="s">
        <v>86</v>
      </c>
      <c r="G51" s="57">
        <v>0</v>
      </c>
      <c r="H51" s="58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CF0A-8045-47B2-BE7B-06D00F8727F6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17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35</v>
      </c>
      <c r="C2" s="29"/>
      <c r="E2" s="30" t="s">
        <v>90</v>
      </c>
      <c r="F2" s="12" t="s">
        <v>43</v>
      </c>
      <c r="G2" s="28">
        <v>42</v>
      </c>
      <c r="H2" s="31">
        <f>G2/B$19</f>
        <v>1.1052631578947369</v>
      </c>
      <c r="J2" s="27">
        <v>0</v>
      </c>
      <c r="K2" s="32">
        <v>0</v>
      </c>
    </row>
    <row r="3" spans="1:11" x14ac:dyDescent="0.4">
      <c r="A3" s="33" t="s">
        <v>8</v>
      </c>
      <c r="B3" s="34">
        <v>259</v>
      </c>
      <c r="C3" s="35"/>
      <c r="E3" s="36" t="s">
        <v>92</v>
      </c>
      <c r="F3" s="1" t="s">
        <v>45</v>
      </c>
      <c r="G3" s="34">
        <v>30</v>
      </c>
      <c r="H3" s="37">
        <f>G3/B$19</f>
        <v>0.78947368421052633</v>
      </c>
      <c r="J3" s="33">
        <v>1</v>
      </c>
      <c r="K3" s="38">
        <v>-37</v>
      </c>
    </row>
    <row r="4" spans="1:11" x14ac:dyDescent="0.4">
      <c r="A4" s="33" t="s">
        <v>6</v>
      </c>
      <c r="B4" s="39">
        <v>-35</v>
      </c>
      <c r="C4" s="38"/>
      <c r="E4" s="36" t="s">
        <v>88</v>
      </c>
      <c r="F4" s="1" t="s">
        <v>41</v>
      </c>
      <c r="G4" s="34">
        <v>24</v>
      </c>
      <c r="H4" s="37">
        <f>G4/B$19</f>
        <v>0.63157894736842102</v>
      </c>
      <c r="J4" s="33">
        <v>2</v>
      </c>
      <c r="K4" s="38">
        <v>-46</v>
      </c>
    </row>
    <row r="5" spans="1:11" x14ac:dyDescent="0.4">
      <c r="A5" s="33" t="s">
        <v>7</v>
      </c>
      <c r="B5" s="40">
        <f>IF(B$2=0,0,B$4/B$2)</f>
        <v>-1</v>
      </c>
      <c r="C5" s="41"/>
      <c r="E5" s="36" t="s">
        <v>97</v>
      </c>
      <c r="F5" s="1" t="s">
        <v>49</v>
      </c>
      <c r="G5" s="34">
        <v>21</v>
      </c>
      <c r="H5" s="37">
        <f>G5/B$19</f>
        <v>0.55263157894736847</v>
      </c>
      <c r="J5" s="33">
        <v>3</v>
      </c>
      <c r="K5" s="38">
        <v>-82</v>
      </c>
    </row>
    <row r="6" spans="1:11" x14ac:dyDescent="0.4">
      <c r="A6" s="33" t="s">
        <v>1</v>
      </c>
      <c r="B6" s="42">
        <f>IF(B$2=0,0,(B$7*1+B$8*2+B$9*3)/B$2)</f>
        <v>2</v>
      </c>
      <c r="C6" s="43"/>
      <c r="E6" s="36" t="s">
        <v>91</v>
      </c>
      <c r="F6" s="1" t="s">
        <v>44</v>
      </c>
      <c r="G6" s="34">
        <v>16</v>
      </c>
      <c r="H6" s="37">
        <f>G6/B$19</f>
        <v>0.42105263157894735</v>
      </c>
      <c r="J6" s="33">
        <v>4</v>
      </c>
      <c r="K6" s="38">
        <v>-114</v>
      </c>
    </row>
    <row r="7" spans="1:11" x14ac:dyDescent="0.4">
      <c r="A7" s="33" t="s">
        <v>2</v>
      </c>
      <c r="B7" s="34">
        <v>12</v>
      </c>
      <c r="C7" s="37">
        <f>IF(B$2=0,0,B7/B$2)</f>
        <v>0.34285714285714286</v>
      </c>
      <c r="E7" s="36" t="s">
        <v>93</v>
      </c>
      <c r="F7" s="1" t="s">
        <v>12</v>
      </c>
      <c r="G7" s="34">
        <v>9</v>
      </c>
      <c r="H7" s="37">
        <f>G7/B$19</f>
        <v>0.23684210526315788</v>
      </c>
      <c r="J7" s="33">
        <v>5</v>
      </c>
      <c r="K7" s="38">
        <v>-136</v>
      </c>
    </row>
    <row r="8" spans="1:11" x14ac:dyDescent="0.4">
      <c r="A8" s="33" t="s">
        <v>3</v>
      </c>
      <c r="B8" s="34">
        <v>11</v>
      </c>
      <c r="C8" s="37">
        <f t="shared" ref="C8:C9" si="0">IF(B$2=0,0,B8/B$2)</f>
        <v>0.31428571428571428</v>
      </c>
      <c r="E8" s="36" t="s">
        <v>94</v>
      </c>
      <c r="F8" s="1" t="s">
        <v>46</v>
      </c>
      <c r="G8" s="34">
        <v>6</v>
      </c>
      <c r="H8" s="37">
        <f>G8/B$19</f>
        <v>0.15789473684210525</v>
      </c>
      <c r="J8" s="33">
        <v>6</v>
      </c>
      <c r="K8" s="38">
        <v>-100</v>
      </c>
    </row>
    <row r="9" spans="1:11" x14ac:dyDescent="0.4">
      <c r="A9" s="44" t="s">
        <v>4</v>
      </c>
      <c r="B9" s="45">
        <v>12</v>
      </c>
      <c r="C9" s="46">
        <f t="shared" si="0"/>
        <v>0.34285714285714286</v>
      </c>
      <c r="E9" s="36" t="s">
        <v>95</v>
      </c>
      <c r="F9" s="1" t="s">
        <v>47</v>
      </c>
      <c r="G9" s="34">
        <v>5</v>
      </c>
      <c r="H9" s="37">
        <f>G9/B$19</f>
        <v>0.13157894736842105</v>
      </c>
      <c r="J9" s="33">
        <v>7</v>
      </c>
      <c r="K9" s="38">
        <v>-105</v>
      </c>
    </row>
    <row r="10" spans="1:11" ht="19.5" thickBot="1" x14ac:dyDescent="0.45">
      <c r="A10" s="47" t="s">
        <v>34</v>
      </c>
      <c r="B10" s="48">
        <v>7</v>
      </c>
      <c r="C10" s="49">
        <f>IF(B$2=0,0,B10/B$2)</f>
        <v>0.2</v>
      </c>
      <c r="E10" s="36" t="s">
        <v>112</v>
      </c>
      <c r="F10" s="1" t="s">
        <v>64</v>
      </c>
      <c r="G10" s="34">
        <v>4</v>
      </c>
      <c r="H10" s="37">
        <f>G10/B$19</f>
        <v>0.10526315789473684</v>
      </c>
      <c r="J10" s="33">
        <v>8</v>
      </c>
      <c r="K10" s="38">
        <v>-51</v>
      </c>
    </row>
    <row r="11" spans="1:11" ht="19.5" thickTop="1" x14ac:dyDescent="0.4">
      <c r="A11" s="50" t="s">
        <v>144</v>
      </c>
      <c r="B11" s="51">
        <v>33</v>
      </c>
      <c r="C11" s="31">
        <f>IF(B$18=0,0,B11/B$18)</f>
        <v>0.26190476190476192</v>
      </c>
      <c r="E11" s="36" t="s">
        <v>115</v>
      </c>
      <c r="F11" s="1" t="s">
        <v>67</v>
      </c>
      <c r="G11" s="34">
        <v>4</v>
      </c>
      <c r="H11" s="37">
        <f>G11/B$19</f>
        <v>0.10526315789473684</v>
      </c>
      <c r="J11" s="33">
        <v>9</v>
      </c>
      <c r="K11" s="38">
        <v>-52</v>
      </c>
    </row>
    <row r="12" spans="1:11" x14ac:dyDescent="0.4">
      <c r="A12" s="27" t="s">
        <v>10</v>
      </c>
      <c r="B12" s="28">
        <f>B13+B14</f>
        <v>76</v>
      </c>
      <c r="C12" s="31">
        <f>IF(B$3=0,0,B12/B$3)</f>
        <v>0.29343629343629346</v>
      </c>
      <c r="E12" s="36" t="s">
        <v>89</v>
      </c>
      <c r="F12" s="1" t="s">
        <v>42</v>
      </c>
      <c r="G12" s="34">
        <v>3</v>
      </c>
      <c r="H12" s="37">
        <f>G12/B$19</f>
        <v>7.8947368421052627E-2</v>
      </c>
      <c r="J12" s="33">
        <v>10</v>
      </c>
      <c r="K12" s="38">
        <v>-71</v>
      </c>
    </row>
    <row r="13" spans="1:11" x14ac:dyDescent="0.4">
      <c r="A13" s="33" t="s">
        <v>11</v>
      </c>
      <c r="B13" s="34">
        <v>49</v>
      </c>
      <c r="C13" s="37">
        <f>IF(B$3=0,0,B13/B$3)</f>
        <v>0.1891891891891892</v>
      </c>
      <c r="E13" s="36" t="s">
        <v>96</v>
      </c>
      <c r="F13" s="1" t="s">
        <v>48</v>
      </c>
      <c r="G13" s="34">
        <v>3</v>
      </c>
      <c r="H13" s="37">
        <f>G13/B$19</f>
        <v>7.8947368421052627E-2</v>
      </c>
      <c r="J13" s="33">
        <v>11</v>
      </c>
      <c r="K13" s="38">
        <v>-90</v>
      </c>
    </row>
    <row r="14" spans="1:11" x14ac:dyDescent="0.4">
      <c r="A14" s="33" t="s">
        <v>12</v>
      </c>
      <c r="B14" s="34">
        <v>27</v>
      </c>
      <c r="C14" s="37">
        <f>IF(B$3=0,0,B14/B$3)</f>
        <v>0.10424710424710425</v>
      </c>
      <c r="E14" s="36" t="s">
        <v>99</v>
      </c>
      <c r="F14" s="1" t="s">
        <v>51</v>
      </c>
      <c r="G14" s="34">
        <v>1</v>
      </c>
      <c r="H14" s="37">
        <f>G14/B$19</f>
        <v>2.6315789473684209E-2</v>
      </c>
      <c r="J14" s="33">
        <v>12</v>
      </c>
      <c r="K14" s="38">
        <v>-87</v>
      </c>
    </row>
    <row r="15" spans="1:11" x14ac:dyDescent="0.4">
      <c r="A15" s="33" t="s">
        <v>13</v>
      </c>
      <c r="B15" s="34">
        <v>43</v>
      </c>
      <c r="C15" s="37">
        <f>IF(B$3=0,0,B15/B$3)</f>
        <v>0.16602316602316602</v>
      </c>
      <c r="E15" s="36" t="s">
        <v>103</v>
      </c>
      <c r="F15" s="1" t="s">
        <v>55</v>
      </c>
      <c r="G15" s="34">
        <v>1</v>
      </c>
      <c r="H15" s="37">
        <f>G15/B$19</f>
        <v>2.6315789473684209E-2</v>
      </c>
      <c r="J15" s="33">
        <v>13</v>
      </c>
      <c r="K15" s="38">
        <v>-71</v>
      </c>
    </row>
    <row r="16" spans="1:11" x14ac:dyDescent="0.4">
      <c r="A16" s="33" t="s">
        <v>5</v>
      </c>
      <c r="B16" s="52">
        <f>IF(B$12=0,0,ROUND(C16/B$12,-2))</f>
        <v>10400</v>
      </c>
      <c r="C16" s="53">
        <v>793600</v>
      </c>
      <c r="E16" s="36" t="s">
        <v>98</v>
      </c>
      <c r="F16" s="1" t="s">
        <v>50</v>
      </c>
      <c r="G16" s="34">
        <v>0</v>
      </c>
      <c r="H16" s="37">
        <f>G16/B$19</f>
        <v>0</v>
      </c>
      <c r="J16" s="33">
        <v>14</v>
      </c>
      <c r="K16" s="38">
        <v>-60</v>
      </c>
    </row>
    <row r="17" spans="1:11" ht="19.5" thickBot="1" x14ac:dyDescent="0.45">
      <c r="A17" s="54" t="s">
        <v>14</v>
      </c>
      <c r="B17" s="55">
        <f>IF(B$15=0,0,ROUND(C17/B$15,-2))</f>
        <v>-9900</v>
      </c>
      <c r="C17" s="65">
        <v>-425900</v>
      </c>
      <c r="E17" s="36" t="s">
        <v>100</v>
      </c>
      <c r="F17" s="1" t="s">
        <v>52</v>
      </c>
      <c r="G17" s="34">
        <v>0</v>
      </c>
      <c r="H17" s="37">
        <f>G17/B$19</f>
        <v>0</v>
      </c>
      <c r="J17" s="33">
        <v>15</v>
      </c>
      <c r="K17" s="38">
        <v>-67</v>
      </c>
    </row>
    <row r="18" spans="1:11" ht="19.5" thickTop="1" x14ac:dyDescent="0.4">
      <c r="A18" s="50" t="s">
        <v>147</v>
      </c>
      <c r="B18" s="51">
        <v>126</v>
      </c>
      <c r="C18" s="31"/>
      <c r="E18" s="36" t="s">
        <v>101</v>
      </c>
      <c r="F18" s="1" t="s">
        <v>53</v>
      </c>
      <c r="G18" s="34">
        <v>0</v>
      </c>
      <c r="H18" s="37">
        <f>G18/B$19</f>
        <v>0</v>
      </c>
      <c r="J18" s="33">
        <v>16</v>
      </c>
      <c r="K18" s="38">
        <v>7</v>
      </c>
    </row>
    <row r="19" spans="1:11" x14ac:dyDescent="0.4">
      <c r="A19" s="54" t="s">
        <v>148</v>
      </c>
      <c r="B19" s="57">
        <v>38</v>
      </c>
      <c r="C19" s="58"/>
      <c r="E19" s="36" t="s">
        <v>102</v>
      </c>
      <c r="F19" s="1" t="s">
        <v>54</v>
      </c>
      <c r="G19" s="34">
        <v>0</v>
      </c>
      <c r="H19" s="37">
        <f>G19/B$19</f>
        <v>0</v>
      </c>
      <c r="J19" s="33">
        <v>17</v>
      </c>
      <c r="K19" s="38">
        <v>42</v>
      </c>
    </row>
    <row r="20" spans="1:11" x14ac:dyDescent="0.4">
      <c r="E20" s="36" t="s">
        <v>104</v>
      </c>
      <c r="F20" s="1" t="s">
        <v>56</v>
      </c>
      <c r="G20" s="34">
        <v>0</v>
      </c>
      <c r="H20" s="37">
        <f>G20/B$19</f>
        <v>0</v>
      </c>
      <c r="J20" s="33">
        <v>18</v>
      </c>
      <c r="K20" s="38">
        <v>42</v>
      </c>
    </row>
    <row r="21" spans="1:11" x14ac:dyDescent="0.4">
      <c r="E21" s="36" t="s">
        <v>105</v>
      </c>
      <c r="F21" s="1" t="s">
        <v>57</v>
      </c>
      <c r="G21" s="34">
        <v>0</v>
      </c>
      <c r="H21" s="37">
        <f>G21/B$19</f>
        <v>0</v>
      </c>
      <c r="J21" s="33">
        <v>19</v>
      </c>
      <c r="K21" s="38">
        <v>106</v>
      </c>
    </row>
    <row r="22" spans="1:11" x14ac:dyDescent="0.4">
      <c r="E22" s="36" t="s">
        <v>106</v>
      </c>
      <c r="F22" s="1" t="s">
        <v>58</v>
      </c>
      <c r="G22" s="34">
        <v>0</v>
      </c>
      <c r="H22" s="37">
        <f>G22/B$19</f>
        <v>0</v>
      </c>
      <c r="J22" s="33">
        <v>20</v>
      </c>
      <c r="K22" s="38">
        <v>109</v>
      </c>
    </row>
    <row r="23" spans="1:11" x14ac:dyDescent="0.4">
      <c r="E23" s="36" t="s">
        <v>107</v>
      </c>
      <c r="F23" s="1" t="s">
        <v>59</v>
      </c>
      <c r="G23" s="34">
        <v>0</v>
      </c>
      <c r="H23" s="37">
        <f>G23/B$19</f>
        <v>0</v>
      </c>
      <c r="J23" s="33">
        <v>21</v>
      </c>
      <c r="K23" s="38">
        <v>110</v>
      </c>
    </row>
    <row r="24" spans="1:11" x14ac:dyDescent="0.4">
      <c r="E24" s="36" t="s">
        <v>108</v>
      </c>
      <c r="F24" s="1" t="s">
        <v>60</v>
      </c>
      <c r="G24" s="34">
        <v>0</v>
      </c>
      <c r="H24" s="37">
        <f>G24/B$19</f>
        <v>0</v>
      </c>
      <c r="J24" s="33">
        <v>22</v>
      </c>
      <c r="K24" s="38">
        <v>113</v>
      </c>
    </row>
    <row r="25" spans="1:11" x14ac:dyDescent="0.4">
      <c r="E25" s="36" t="s">
        <v>109</v>
      </c>
      <c r="F25" s="1" t="s">
        <v>61</v>
      </c>
      <c r="G25" s="34">
        <v>0</v>
      </c>
      <c r="H25" s="37">
        <f>G25/B$19</f>
        <v>0</v>
      </c>
      <c r="J25" s="33">
        <v>23</v>
      </c>
      <c r="K25" s="38">
        <v>158</v>
      </c>
    </row>
    <row r="26" spans="1:11" x14ac:dyDescent="0.4">
      <c r="E26" s="36" t="s">
        <v>110</v>
      </c>
      <c r="F26" s="1" t="s">
        <v>62</v>
      </c>
      <c r="G26" s="34">
        <v>0</v>
      </c>
      <c r="H26" s="37">
        <f>G26/B$19</f>
        <v>0</v>
      </c>
      <c r="J26" s="33">
        <v>24</v>
      </c>
      <c r="K26" s="38">
        <v>157</v>
      </c>
    </row>
    <row r="27" spans="1:11" x14ac:dyDescent="0.4">
      <c r="E27" s="36" t="s">
        <v>111</v>
      </c>
      <c r="F27" s="1" t="s">
        <v>63</v>
      </c>
      <c r="G27" s="34">
        <v>0</v>
      </c>
      <c r="H27" s="37">
        <f>G27/B$19</f>
        <v>0</v>
      </c>
      <c r="J27" s="33">
        <v>25</v>
      </c>
      <c r="K27" s="38">
        <v>117</v>
      </c>
    </row>
    <row r="28" spans="1:11" x14ac:dyDescent="0.4">
      <c r="E28" s="36" t="s">
        <v>113</v>
      </c>
      <c r="F28" s="1" t="s">
        <v>65</v>
      </c>
      <c r="G28" s="34">
        <v>0</v>
      </c>
      <c r="H28" s="37">
        <f>G28/B$19</f>
        <v>0</v>
      </c>
      <c r="J28" s="33">
        <v>26</v>
      </c>
      <c r="K28" s="38">
        <v>101</v>
      </c>
    </row>
    <row r="29" spans="1:11" x14ac:dyDescent="0.4">
      <c r="E29" s="36" t="s">
        <v>114</v>
      </c>
      <c r="F29" s="1" t="s">
        <v>66</v>
      </c>
      <c r="G29" s="34">
        <v>0</v>
      </c>
      <c r="H29" s="37">
        <f>G29/B$19</f>
        <v>0</v>
      </c>
      <c r="J29" s="33">
        <v>27</v>
      </c>
      <c r="K29" s="38">
        <v>112</v>
      </c>
    </row>
    <row r="30" spans="1:11" x14ac:dyDescent="0.4">
      <c r="E30" s="36" t="s">
        <v>116</v>
      </c>
      <c r="F30" s="1" t="s">
        <v>68</v>
      </c>
      <c r="G30" s="34">
        <v>0</v>
      </c>
      <c r="H30" s="37">
        <f>G30/B$19</f>
        <v>0</v>
      </c>
      <c r="J30" s="33">
        <v>28</v>
      </c>
      <c r="K30" s="38">
        <v>68</v>
      </c>
    </row>
    <row r="31" spans="1:11" x14ac:dyDescent="0.4">
      <c r="E31" s="36" t="s">
        <v>117</v>
      </c>
      <c r="F31" s="1" t="s">
        <v>69</v>
      </c>
      <c r="G31" s="34">
        <v>0</v>
      </c>
      <c r="H31" s="37">
        <f>G31/B$19</f>
        <v>0</v>
      </c>
      <c r="J31" s="33">
        <v>29</v>
      </c>
      <c r="K31" s="38">
        <v>27</v>
      </c>
    </row>
    <row r="32" spans="1:11" x14ac:dyDescent="0.4">
      <c r="E32" s="36" t="s">
        <v>118</v>
      </c>
      <c r="F32" s="1" t="s">
        <v>70</v>
      </c>
      <c r="G32" s="34">
        <v>0</v>
      </c>
      <c r="H32" s="37">
        <f>G32/B$19</f>
        <v>0</v>
      </c>
      <c r="J32" s="33">
        <v>30</v>
      </c>
      <c r="K32" s="38">
        <v>16</v>
      </c>
    </row>
    <row r="33" spans="5:11" x14ac:dyDescent="0.4">
      <c r="E33" s="36" t="s">
        <v>119</v>
      </c>
      <c r="F33" s="1" t="s">
        <v>71</v>
      </c>
      <c r="G33" s="34">
        <v>0</v>
      </c>
      <c r="H33" s="37">
        <f>G33/B$19</f>
        <v>0</v>
      </c>
      <c r="J33" s="33">
        <v>31</v>
      </c>
      <c r="K33" s="38">
        <v>32</v>
      </c>
    </row>
    <row r="34" spans="5:11" x14ac:dyDescent="0.4">
      <c r="E34" s="36" t="s">
        <v>120</v>
      </c>
      <c r="F34" s="1" t="s">
        <v>72</v>
      </c>
      <c r="G34" s="34">
        <v>0</v>
      </c>
      <c r="H34" s="37">
        <f>G34/B$19</f>
        <v>0</v>
      </c>
      <c r="J34" s="33">
        <v>32</v>
      </c>
      <c r="K34" s="38">
        <v>-11</v>
      </c>
    </row>
    <row r="35" spans="5:11" x14ac:dyDescent="0.4">
      <c r="E35" s="36" t="s">
        <v>121</v>
      </c>
      <c r="F35" s="1" t="s">
        <v>73</v>
      </c>
      <c r="G35" s="34">
        <v>0</v>
      </c>
      <c r="H35" s="37">
        <f>G35/B$19</f>
        <v>0</v>
      </c>
      <c r="J35" s="33">
        <v>33</v>
      </c>
      <c r="K35" s="38">
        <v>-10</v>
      </c>
    </row>
    <row r="36" spans="5:11" x14ac:dyDescent="0.4">
      <c r="E36" s="36" t="s">
        <v>122</v>
      </c>
      <c r="F36" s="1" t="s">
        <v>74</v>
      </c>
      <c r="G36" s="34">
        <v>0</v>
      </c>
      <c r="H36" s="37">
        <f>G36/B$19</f>
        <v>0</v>
      </c>
      <c r="J36" s="33">
        <v>34</v>
      </c>
      <c r="K36" s="38">
        <v>2</v>
      </c>
    </row>
    <row r="37" spans="5:11" x14ac:dyDescent="0.4">
      <c r="E37" s="36" t="s">
        <v>123</v>
      </c>
      <c r="F37" s="1" t="s">
        <v>75</v>
      </c>
      <c r="G37" s="34">
        <v>0</v>
      </c>
      <c r="H37" s="37">
        <f>G37/B$19</f>
        <v>0</v>
      </c>
      <c r="J37" s="33">
        <v>35</v>
      </c>
      <c r="K37" s="38">
        <v>-35</v>
      </c>
    </row>
    <row r="38" spans="5:11" x14ac:dyDescent="0.4">
      <c r="E38" s="36" t="s">
        <v>124</v>
      </c>
      <c r="F38" s="1" t="s">
        <v>76</v>
      </c>
      <c r="G38" s="34">
        <v>0</v>
      </c>
      <c r="H38" s="37">
        <f>G38/B$19</f>
        <v>0</v>
      </c>
    </row>
    <row r="39" spans="5:11" x14ac:dyDescent="0.4">
      <c r="E39" s="36" t="s">
        <v>125</v>
      </c>
      <c r="F39" s="1" t="s">
        <v>77</v>
      </c>
      <c r="G39" s="34">
        <v>0</v>
      </c>
      <c r="H39" s="37">
        <f>G39/B$19</f>
        <v>0</v>
      </c>
    </row>
    <row r="40" spans="5:11" x14ac:dyDescent="0.4">
      <c r="E40" s="36" t="s">
        <v>126</v>
      </c>
      <c r="F40" s="1" t="s">
        <v>78</v>
      </c>
      <c r="G40" s="34">
        <v>0</v>
      </c>
      <c r="H40" s="37">
        <f>G40/B$19</f>
        <v>0</v>
      </c>
    </row>
    <row r="41" spans="5:11" x14ac:dyDescent="0.4">
      <c r="E41" s="36" t="s">
        <v>127</v>
      </c>
      <c r="F41" s="1" t="s">
        <v>79</v>
      </c>
      <c r="G41" s="34">
        <v>0</v>
      </c>
      <c r="H41" s="37">
        <f>G41/B$19</f>
        <v>0</v>
      </c>
    </row>
    <row r="42" spans="5:11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11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11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11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11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11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11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6" t="s">
        <v>137</v>
      </c>
      <c r="F51" s="55" t="s">
        <v>86</v>
      </c>
      <c r="G51" s="57">
        <v>0</v>
      </c>
      <c r="H51" s="58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5E241-D056-40C2-A4E6-B4CF76D66183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36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12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82</v>
      </c>
      <c r="C3" s="35"/>
      <c r="E3" s="36" t="s">
        <v>89</v>
      </c>
      <c r="F3" s="1" t="s">
        <v>42</v>
      </c>
      <c r="G3" s="34">
        <v>0</v>
      </c>
      <c r="H3" s="37" t="e">
        <f>G3/B$19</f>
        <v>#DIV/0!</v>
      </c>
      <c r="J3" s="33">
        <v>1</v>
      </c>
      <c r="K3" s="38">
        <v>-14</v>
      </c>
    </row>
    <row r="4" spans="1:11" x14ac:dyDescent="0.4">
      <c r="A4" s="33" t="s">
        <v>6</v>
      </c>
      <c r="B4" s="39">
        <v>83</v>
      </c>
      <c r="C4" s="38"/>
      <c r="E4" s="36" t="s">
        <v>90</v>
      </c>
      <c r="F4" s="1" t="s">
        <v>43</v>
      </c>
      <c r="G4" s="34">
        <v>0</v>
      </c>
      <c r="H4" s="37" t="e">
        <f>G4/B$19</f>
        <v>#DIV/0!</v>
      </c>
      <c r="J4" s="33">
        <v>2</v>
      </c>
      <c r="K4" s="38">
        <v>38</v>
      </c>
    </row>
    <row r="5" spans="1:11" x14ac:dyDescent="0.4">
      <c r="A5" s="33" t="s">
        <v>7</v>
      </c>
      <c r="B5" s="40">
        <f>IF(B$2=0,0,B$4/B$2)</f>
        <v>6.916666666666667</v>
      </c>
      <c r="C5" s="41"/>
      <c r="E5" s="36" t="s">
        <v>91</v>
      </c>
      <c r="F5" s="1" t="s">
        <v>44</v>
      </c>
      <c r="G5" s="34">
        <v>0</v>
      </c>
      <c r="H5" s="37" t="e">
        <f>G5/B$19</f>
        <v>#DIV/0!</v>
      </c>
      <c r="J5" s="33">
        <v>3</v>
      </c>
      <c r="K5" s="38">
        <v>-2</v>
      </c>
    </row>
    <row r="6" spans="1:11" x14ac:dyDescent="0.4">
      <c r="A6" s="33" t="s">
        <v>1</v>
      </c>
      <c r="B6" s="42">
        <f>IF(B$2=0,0,(B$7*1+B$8*2+B$9*3)/B$2)</f>
        <v>1.75</v>
      </c>
      <c r="C6" s="43"/>
      <c r="E6" s="36" t="s">
        <v>92</v>
      </c>
      <c r="F6" s="1" t="s">
        <v>45</v>
      </c>
      <c r="G6" s="34">
        <v>0</v>
      </c>
      <c r="H6" s="37" t="e">
        <f>G6/B$19</f>
        <v>#DIV/0!</v>
      </c>
      <c r="J6" s="33">
        <v>4</v>
      </c>
      <c r="K6" s="38">
        <v>-44</v>
      </c>
    </row>
    <row r="7" spans="1:11" x14ac:dyDescent="0.4">
      <c r="A7" s="33" t="s">
        <v>2</v>
      </c>
      <c r="B7" s="34">
        <v>6</v>
      </c>
      <c r="C7" s="37">
        <f>IF(B$2=0,0,B7/B$2)</f>
        <v>0.5</v>
      </c>
      <c r="E7" s="36" t="s">
        <v>93</v>
      </c>
      <c r="F7" s="1" t="s">
        <v>12</v>
      </c>
      <c r="G7" s="34">
        <v>0</v>
      </c>
      <c r="H7" s="37" t="e">
        <f>G7/B$19</f>
        <v>#DIV/0!</v>
      </c>
      <c r="J7" s="33">
        <v>5</v>
      </c>
      <c r="K7" s="38">
        <v>9</v>
      </c>
    </row>
    <row r="8" spans="1:11" x14ac:dyDescent="0.4">
      <c r="A8" s="33" t="s">
        <v>3</v>
      </c>
      <c r="B8" s="34">
        <v>3</v>
      </c>
      <c r="C8" s="37">
        <f t="shared" ref="C8:C9" si="0">IF(B$2=0,0,B8/B$2)</f>
        <v>0.25</v>
      </c>
      <c r="E8" s="36" t="s">
        <v>94</v>
      </c>
      <c r="F8" s="1" t="s">
        <v>46</v>
      </c>
      <c r="G8" s="34">
        <v>0</v>
      </c>
      <c r="H8" s="37" t="e">
        <f>G8/B$19</f>
        <v>#DIV/0!</v>
      </c>
      <c r="J8" s="33">
        <v>6</v>
      </c>
      <c r="K8" s="38">
        <v>24</v>
      </c>
    </row>
    <row r="9" spans="1:11" x14ac:dyDescent="0.4">
      <c r="A9" s="44" t="s">
        <v>4</v>
      </c>
      <c r="B9" s="45">
        <v>3</v>
      </c>
      <c r="C9" s="46">
        <f t="shared" si="0"/>
        <v>0.25</v>
      </c>
      <c r="E9" s="36" t="s">
        <v>95</v>
      </c>
      <c r="F9" s="1" t="s">
        <v>47</v>
      </c>
      <c r="G9" s="34">
        <v>0</v>
      </c>
      <c r="H9" s="37" t="e">
        <f>G9/B$19</f>
        <v>#DIV/0!</v>
      </c>
      <c r="J9" s="33">
        <v>7</v>
      </c>
      <c r="K9" s="38">
        <v>41</v>
      </c>
    </row>
    <row r="10" spans="1:11" ht="19.5" thickBot="1" x14ac:dyDescent="0.45">
      <c r="A10" s="47" t="s">
        <v>34</v>
      </c>
      <c r="B10" s="48">
        <v>3</v>
      </c>
      <c r="C10" s="49">
        <f>IF(B$2=0,0,B10/B$2)</f>
        <v>0.25</v>
      </c>
      <c r="E10" s="36" t="s">
        <v>96</v>
      </c>
      <c r="F10" s="1" t="s">
        <v>48</v>
      </c>
      <c r="G10" s="34">
        <v>0</v>
      </c>
      <c r="H10" s="37" t="e">
        <f>G10/B$19</f>
        <v>#DIV/0!</v>
      </c>
      <c r="J10" s="33">
        <v>8</v>
      </c>
      <c r="K10" s="38">
        <v>5</v>
      </c>
    </row>
    <row r="11" spans="1:11" ht="19.5" thickTop="1" x14ac:dyDescent="0.4">
      <c r="A11" s="50" t="s">
        <v>144</v>
      </c>
      <c r="B11" s="51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>G11/B$19</f>
        <v>#DIV/0!</v>
      </c>
      <c r="J11" s="33">
        <v>9</v>
      </c>
      <c r="K11" s="38">
        <v>8</v>
      </c>
    </row>
    <row r="12" spans="1:11" x14ac:dyDescent="0.4">
      <c r="A12" s="27" t="s">
        <v>10</v>
      </c>
      <c r="B12" s="28">
        <f>B13+B14</f>
        <v>28</v>
      </c>
      <c r="C12" s="31">
        <f>IF(B$3=0,0,B12/B$3)</f>
        <v>0.34146341463414637</v>
      </c>
      <c r="E12" s="36" t="s">
        <v>98</v>
      </c>
      <c r="F12" s="1" t="s">
        <v>50</v>
      </c>
      <c r="G12" s="34">
        <v>0</v>
      </c>
      <c r="H12" s="37" t="e">
        <f>G12/B$19</f>
        <v>#DIV/0!</v>
      </c>
      <c r="J12" s="33">
        <v>10</v>
      </c>
      <c r="K12" s="38">
        <v>58</v>
      </c>
    </row>
    <row r="13" spans="1:11" x14ac:dyDescent="0.4">
      <c r="A13" s="33" t="s">
        <v>11</v>
      </c>
      <c r="B13" s="34">
        <v>15</v>
      </c>
      <c r="C13" s="37">
        <f>IF(B$3=0,0,B13/B$3)</f>
        <v>0.18292682926829268</v>
      </c>
      <c r="E13" s="36" t="s">
        <v>99</v>
      </c>
      <c r="F13" s="1" t="s">
        <v>51</v>
      </c>
      <c r="G13" s="34">
        <v>0</v>
      </c>
      <c r="H13" s="37" t="e">
        <f>G13/B$19</f>
        <v>#DIV/0!</v>
      </c>
      <c r="J13" s="33">
        <v>11</v>
      </c>
      <c r="K13" s="38">
        <v>71</v>
      </c>
    </row>
    <row r="14" spans="1:11" x14ac:dyDescent="0.4">
      <c r="A14" s="33" t="s">
        <v>12</v>
      </c>
      <c r="B14" s="34">
        <v>13</v>
      </c>
      <c r="C14" s="37">
        <f>IF(B$3=0,0,B14/B$3)</f>
        <v>0.15853658536585366</v>
      </c>
      <c r="E14" s="36" t="s">
        <v>100</v>
      </c>
      <c r="F14" s="1" t="s">
        <v>52</v>
      </c>
      <c r="G14" s="34">
        <v>0</v>
      </c>
      <c r="H14" s="37" t="e">
        <f>G14/B$19</f>
        <v>#DIV/0!</v>
      </c>
      <c r="J14" s="33">
        <v>12</v>
      </c>
      <c r="K14" s="38">
        <v>83</v>
      </c>
    </row>
    <row r="15" spans="1:11" x14ac:dyDescent="0.4">
      <c r="A15" s="33" t="s">
        <v>13</v>
      </c>
      <c r="B15" s="34">
        <v>11</v>
      </c>
      <c r="C15" s="37">
        <f>IF(B$3=0,0,B15/B$3)</f>
        <v>0.13414634146341464</v>
      </c>
      <c r="E15" s="36" t="s">
        <v>101</v>
      </c>
      <c r="F15" s="1" t="s">
        <v>53</v>
      </c>
      <c r="G15" s="34">
        <v>0</v>
      </c>
      <c r="H15" s="37" t="e">
        <f>G15/B$19</f>
        <v>#DIV/0!</v>
      </c>
    </row>
    <row r="16" spans="1:11" x14ac:dyDescent="0.4">
      <c r="A16" s="33" t="s">
        <v>5</v>
      </c>
      <c r="B16" s="52">
        <f>IF(B$12=0,0,ROUND(C16/B$12,-2))</f>
        <v>10900</v>
      </c>
      <c r="C16" s="53">
        <v>304000</v>
      </c>
      <c r="E16" s="36" t="s">
        <v>102</v>
      </c>
      <c r="F16" s="1" t="s">
        <v>54</v>
      </c>
      <c r="G16" s="34">
        <v>0</v>
      </c>
      <c r="H16" s="37" t="e">
        <f>G16/B$19</f>
        <v>#DIV/0!</v>
      </c>
    </row>
    <row r="17" spans="1:8" ht="19.5" thickBot="1" x14ac:dyDescent="0.45">
      <c r="A17" s="54" t="s">
        <v>14</v>
      </c>
      <c r="B17" s="55">
        <f>IF(B$15=0,0,ROUND(C17/B$15,-2))</f>
        <v>-9900</v>
      </c>
      <c r="C17" s="65">
        <v>-109200</v>
      </c>
      <c r="E17" s="36" t="s">
        <v>103</v>
      </c>
      <c r="F17" s="1" t="s">
        <v>55</v>
      </c>
      <c r="G17" s="34">
        <v>0</v>
      </c>
      <c r="H17" s="37" t="e">
        <f>G17/B$19</f>
        <v>#DIV/0!</v>
      </c>
    </row>
    <row r="18" spans="1:8" ht="19.5" thickTop="1" x14ac:dyDescent="0.4">
      <c r="A18" s="50" t="s">
        <v>147</v>
      </c>
      <c r="B18" s="51">
        <v>0</v>
      </c>
      <c r="C18" s="31"/>
      <c r="E18" s="36" t="s">
        <v>104</v>
      </c>
      <c r="F18" s="1" t="s">
        <v>56</v>
      </c>
      <c r="G18" s="34">
        <v>0</v>
      </c>
      <c r="H18" s="37" t="e">
        <f>G18/B$19</f>
        <v>#DIV/0!</v>
      </c>
    </row>
    <row r="19" spans="1:8" x14ac:dyDescent="0.4">
      <c r="A19" s="54" t="s">
        <v>148</v>
      </c>
      <c r="B19" s="57">
        <v>0</v>
      </c>
      <c r="C19" s="58"/>
      <c r="E19" s="36" t="s">
        <v>105</v>
      </c>
      <c r="F19" s="1" t="s">
        <v>57</v>
      </c>
      <c r="G19" s="34">
        <v>0</v>
      </c>
      <c r="H19" s="37" t="e">
        <f>G19/B$19</f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>G20/B$19</f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>G21/B$19</f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>G22/B$19</f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>G23/B$19</f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>G24/B$19</f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>G25/B$19</f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>G26/B$19</f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>G27/B$19</f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>G28/B$19</f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>G29/B$19</f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>G30/B$19</f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>G31/B$19</f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>G32/B$19</f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>G33/B$19</f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>G34/B$19</f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>G35/B$19</f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>G36/B$19</f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>G37/B$19</f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>G38/B$19</f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>G39/B$19</f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>G40/B$19</f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>G41/B$19</f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>G42/B$19</f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>G43/B$19</f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>G44/B$19</f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>G45/B$19</f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>G46/B$19</f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>G47/B$19</f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>G48/B$19</f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>G49/B$19</f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>G50/B$19</f>
        <v>#DIV/0!</v>
      </c>
    </row>
    <row r="51" spans="5:8" x14ac:dyDescent="0.4">
      <c r="E51" s="56" t="s">
        <v>137</v>
      </c>
      <c r="F51" s="55" t="s">
        <v>86</v>
      </c>
      <c r="G51" s="57">
        <v>0</v>
      </c>
      <c r="H51" s="58" t="e">
        <f>G51/B$19</f>
        <v>#DIV/0!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AE81-6EC7-4C6C-8035-CDDEB830A047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 t="s">
        <v>39</v>
      </c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25</v>
      </c>
      <c r="C2" s="29"/>
      <c r="E2" s="30" t="s">
        <v>92</v>
      </c>
      <c r="F2" s="12" t="s">
        <v>45</v>
      </c>
      <c r="G2" s="28">
        <v>41</v>
      </c>
      <c r="H2" s="31">
        <f>G2/B$19</f>
        <v>0.93181818181818177</v>
      </c>
      <c r="J2" s="27">
        <v>0</v>
      </c>
      <c r="K2" s="32">
        <v>0</v>
      </c>
    </row>
    <row r="3" spans="1:11" x14ac:dyDescent="0.4">
      <c r="A3" s="33" t="s">
        <v>8</v>
      </c>
      <c r="B3" s="34">
        <v>198</v>
      </c>
      <c r="C3" s="35"/>
      <c r="E3" s="36" t="s">
        <v>97</v>
      </c>
      <c r="F3" s="1" t="s">
        <v>49</v>
      </c>
      <c r="G3" s="34">
        <v>38</v>
      </c>
      <c r="H3" s="37">
        <f>G3/B$19</f>
        <v>0.86363636363636365</v>
      </c>
      <c r="J3" s="33">
        <v>1</v>
      </c>
      <c r="K3" s="38">
        <v>4</v>
      </c>
    </row>
    <row r="4" spans="1:11" x14ac:dyDescent="0.4">
      <c r="A4" s="33" t="s">
        <v>6</v>
      </c>
      <c r="B4" s="39">
        <v>-217</v>
      </c>
      <c r="C4" s="38"/>
      <c r="E4" s="36" t="s">
        <v>90</v>
      </c>
      <c r="F4" s="1" t="s">
        <v>43</v>
      </c>
      <c r="G4" s="34">
        <v>27</v>
      </c>
      <c r="H4" s="37">
        <f>G4/B$19</f>
        <v>0.61363636363636365</v>
      </c>
      <c r="J4" s="33">
        <v>2</v>
      </c>
      <c r="K4" s="38">
        <v>-34</v>
      </c>
    </row>
    <row r="5" spans="1:11" x14ac:dyDescent="0.4">
      <c r="A5" s="33" t="s">
        <v>7</v>
      </c>
      <c r="B5" s="40">
        <f>IF(B$2=0,0,B$4/B$2)</f>
        <v>-8.68</v>
      </c>
      <c r="C5" s="41"/>
      <c r="E5" s="36" t="s">
        <v>88</v>
      </c>
      <c r="F5" s="1" t="s">
        <v>41</v>
      </c>
      <c r="G5" s="34">
        <v>23</v>
      </c>
      <c r="H5" s="37">
        <f>G5/B$19</f>
        <v>0.52272727272727271</v>
      </c>
      <c r="J5" s="33">
        <v>3</v>
      </c>
      <c r="K5" s="38">
        <v>-70</v>
      </c>
    </row>
    <row r="6" spans="1:11" x14ac:dyDescent="0.4">
      <c r="A6" s="33" t="s">
        <v>1</v>
      </c>
      <c r="B6" s="42">
        <f>IF(B$2=0,0,(B$7*1+B$8*2+B$9*3)/B$2)</f>
        <v>2.2799999999999998</v>
      </c>
      <c r="C6" s="43"/>
      <c r="E6" s="36" t="s">
        <v>93</v>
      </c>
      <c r="F6" s="1" t="s">
        <v>12</v>
      </c>
      <c r="G6" s="34">
        <v>17</v>
      </c>
      <c r="H6" s="37">
        <f>G6/B$19</f>
        <v>0.38636363636363635</v>
      </c>
      <c r="J6" s="33">
        <v>4</v>
      </c>
      <c r="K6" s="38">
        <v>-35</v>
      </c>
    </row>
    <row r="7" spans="1:11" x14ac:dyDescent="0.4">
      <c r="A7" s="33" t="s">
        <v>2</v>
      </c>
      <c r="B7" s="34">
        <v>6</v>
      </c>
      <c r="C7" s="37">
        <f>IF(B$2=0,0,B7/B$2)</f>
        <v>0.24</v>
      </c>
      <c r="E7" s="36" t="s">
        <v>91</v>
      </c>
      <c r="F7" s="1" t="s">
        <v>44</v>
      </c>
      <c r="G7" s="34">
        <v>14</v>
      </c>
      <c r="H7" s="37">
        <f>G7/B$19</f>
        <v>0.31818181818181818</v>
      </c>
      <c r="J7" s="33">
        <v>5</v>
      </c>
      <c r="K7" s="38">
        <v>-80</v>
      </c>
    </row>
    <row r="8" spans="1:11" x14ac:dyDescent="0.4">
      <c r="A8" s="33" t="s">
        <v>3</v>
      </c>
      <c r="B8" s="34">
        <v>6</v>
      </c>
      <c r="C8" s="37">
        <f t="shared" ref="C8:C9" si="0">IF(B$2=0,0,B8/B$2)</f>
        <v>0.24</v>
      </c>
      <c r="E8" s="36" t="s">
        <v>115</v>
      </c>
      <c r="F8" s="1" t="s">
        <v>67</v>
      </c>
      <c r="G8" s="34">
        <v>8</v>
      </c>
      <c r="H8" s="37">
        <f>G8/B$19</f>
        <v>0.18181818181818182</v>
      </c>
      <c r="J8" s="33">
        <v>6</v>
      </c>
      <c r="K8" s="38">
        <v>-116</v>
      </c>
    </row>
    <row r="9" spans="1:11" x14ac:dyDescent="0.4">
      <c r="A9" s="44" t="s">
        <v>4</v>
      </c>
      <c r="B9" s="45">
        <v>13</v>
      </c>
      <c r="C9" s="46">
        <f t="shared" si="0"/>
        <v>0.52</v>
      </c>
      <c r="E9" s="36" t="s">
        <v>94</v>
      </c>
      <c r="F9" s="1" t="s">
        <v>46</v>
      </c>
      <c r="G9" s="34">
        <v>7</v>
      </c>
      <c r="H9" s="37">
        <f>G9/B$19</f>
        <v>0.15909090909090909</v>
      </c>
      <c r="J9" s="33">
        <v>7</v>
      </c>
      <c r="K9" s="38">
        <v>-147</v>
      </c>
    </row>
    <row r="10" spans="1:11" ht="19.5" thickBot="1" x14ac:dyDescent="0.45">
      <c r="A10" s="47" t="s">
        <v>34</v>
      </c>
      <c r="B10" s="48">
        <v>7</v>
      </c>
      <c r="C10" s="49">
        <f>IF(B$2=0,0,B10/B$2)</f>
        <v>0.28000000000000003</v>
      </c>
      <c r="E10" s="36" t="s">
        <v>95</v>
      </c>
      <c r="F10" s="1" t="s">
        <v>47</v>
      </c>
      <c r="G10" s="34">
        <v>4</v>
      </c>
      <c r="H10" s="37">
        <f>G10/B$19</f>
        <v>9.0909090909090912E-2</v>
      </c>
      <c r="J10" s="33">
        <v>8</v>
      </c>
      <c r="K10" s="38">
        <v>-146</v>
      </c>
    </row>
    <row r="11" spans="1:11" ht="19.5" thickTop="1" x14ac:dyDescent="0.4">
      <c r="A11" s="50" t="s">
        <v>144</v>
      </c>
      <c r="B11" s="51">
        <v>37</v>
      </c>
      <c r="C11" s="31">
        <f>IF(B$18=0,0,B11/B$18)</f>
        <v>0.22981366459627328</v>
      </c>
      <c r="E11" s="36" t="s">
        <v>103</v>
      </c>
      <c r="F11" s="1" t="s">
        <v>55</v>
      </c>
      <c r="G11" s="34">
        <v>4</v>
      </c>
      <c r="H11" s="37">
        <f>G11/B$19</f>
        <v>9.0909090909090912E-2</v>
      </c>
      <c r="J11" s="33">
        <v>9</v>
      </c>
      <c r="K11" s="38">
        <v>-173</v>
      </c>
    </row>
    <row r="12" spans="1:11" x14ac:dyDescent="0.4">
      <c r="A12" s="27" t="s">
        <v>10</v>
      </c>
      <c r="B12" s="28">
        <f>B13+B14</f>
        <v>54</v>
      </c>
      <c r="C12" s="31">
        <f>IF(B$3=0,0,B12/B$3)</f>
        <v>0.27272727272727271</v>
      </c>
      <c r="E12" s="36" t="s">
        <v>89</v>
      </c>
      <c r="F12" s="1" t="s">
        <v>42</v>
      </c>
      <c r="G12" s="34">
        <v>3</v>
      </c>
      <c r="H12" s="37">
        <f>G12/B$19</f>
        <v>6.8181818181818177E-2</v>
      </c>
      <c r="J12" s="33">
        <v>10</v>
      </c>
      <c r="K12" s="38">
        <v>-206</v>
      </c>
    </row>
    <row r="13" spans="1:11" x14ac:dyDescent="0.4">
      <c r="A13" s="33" t="s">
        <v>11</v>
      </c>
      <c r="B13" s="34">
        <v>27</v>
      </c>
      <c r="C13" s="37">
        <f>IF(B$3=0,0,B13/B$3)</f>
        <v>0.13636363636363635</v>
      </c>
      <c r="E13" s="36" t="s">
        <v>98</v>
      </c>
      <c r="F13" s="1" t="s">
        <v>50</v>
      </c>
      <c r="G13" s="34">
        <v>2</v>
      </c>
      <c r="H13" s="37">
        <f>G13/B$19</f>
        <v>4.5454545454545456E-2</v>
      </c>
      <c r="J13" s="33">
        <v>11</v>
      </c>
      <c r="K13" s="38">
        <v>-174</v>
      </c>
    </row>
    <row r="14" spans="1:11" x14ac:dyDescent="0.4">
      <c r="A14" s="33" t="s">
        <v>12</v>
      </c>
      <c r="B14" s="34">
        <v>27</v>
      </c>
      <c r="C14" s="37">
        <f>IF(B$3=0,0,B14/B$3)</f>
        <v>0.13636363636363635</v>
      </c>
      <c r="E14" s="36" t="s">
        <v>109</v>
      </c>
      <c r="F14" s="1" t="s">
        <v>61</v>
      </c>
      <c r="G14" s="34">
        <v>2</v>
      </c>
      <c r="H14" s="37">
        <f>G14/B$19</f>
        <v>4.5454545454545456E-2</v>
      </c>
      <c r="J14" s="33">
        <v>12</v>
      </c>
      <c r="K14" s="38">
        <v>-197</v>
      </c>
    </row>
    <row r="15" spans="1:11" x14ac:dyDescent="0.4">
      <c r="A15" s="33" t="s">
        <v>13</v>
      </c>
      <c r="B15" s="34">
        <v>41</v>
      </c>
      <c r="C15" s="37">
        <f>IF(B$3=0,0,B15/B$3)</f>
        <v>0.20707070707070707</v>
      </c>
      <c r="E15" s="36" t="s">
        <v>100</v>
      </c>
      <c r="F15" s="1" t="s">
        <v>52</v>
      </c>
      <c r="G15" s="34">
        <v>1</v>
      </c>
      <c r="H15" s="37">
        <f>G15/B$19</f>
        <v>2.2727272727272728E-2</v>
      </c>
      <c r="J15" s="33">
        <v>13</v>
      </c>
      <c r="K15" s="38">
        <v>-235</v>
      </c>
    </row>
    <row r="16" spans="1:11" x14ac:dyDescent="0.4">
      <c r="A16" s="33" t="s">
        <v>5</v>
      </c>
      <c r="B16" s="52">
        <f>IF(B$12=0,0,ROUND(C16/B$12,-2))</f>
        <v>10700</v>
      </c>
      <c r="C16" s="53">
        <v>579400</v>
      </c>
      <c r="E16" s="36" t="s">
        <v>107</v>
      </c>
      <c r="F16" s="1" t="s">
        <v>59</v>
      </c>
      <c r="G16" s="34">
        <v>1</v>
      </c>
      <c r="H16" s="37">
        <f>G16/B$19</f>
        <v>2.2727272727272728E-2</v>
      </c>
      <c r="J16" s="33">
        <v>14</v>
      </c>
      <c r="K16" s="38">
        <v>-231</v>
      </c>
    </row>
    <row r="17" spans="1:11" ht="19.5" thickBot="1" x14ac:dyDescent="0.45">
      <c r="A17" s="54" t="s">
        <v>14</v>
      </c>
      <c r="B17" s="55">
        <f>IF(B$15=0,0,ROUND(C17/B$15,-2))</f>
        <v>-9700</v>
      </c>
      <c r="C17" s="65">
        <v>-397600</v>
      </c>
      <c r="E17" s="36" t="s">
        <v>112</v>
      </c>
      <c r="F17" s="1" t="s">
        <v>64</v>
      </c>
      <c r="G17" s="34">
        <v>1</v>
      </c>
      <c r="H17" s="37">
        <f>G17/B$19</f>
        <v>2.2727272727272728E-2</v>
      </c>
      <c r="J17" s="33">
        <v>15</v>
      </c>
      <c r="K17" s="38">
        <v>-212</v>
      </c>
    </row>
    <row r="18" spans="1:11" ht="19.5" thickTop="1" x14ac:dyDescent="0.4">
      <c r="A18" s="50" t="s">
        <v>147</v>
      </c>
      <c r="B18" s="51">
        <v>161</v>
      </c>
      <c r="C18" s="31"/>
      <c r="E18" s="36" t="s">
        <v>119</v>
      </c>
      <c r="F18" s="1" t="s">
        <v>71</v>
      </c>
      <c r="G18" s="34">
        <v>1</v>
      </c>
      <c r="H18" s="37">
        <f>G18/B$19</f>
        <v>2.2727272727272728E-2</v>
      </c>
      <c r="J18" s="33">
        <v>16</v>
      </c>
      <c r="K18" s="38">
        <v>-233</v>
      </c>
    </row>
    <row r="19" spans="1:11" x14ac:dyDescent="0.4">
      <c r="A19" s="54" t="s">
        <v>148</v>
      </c>
      <c r="B19" s="57">
        <v>44</v>
      </c>
      <c r="C19" s="58"/>
      <c r="E19" s="36" t="s">
        <v>96</v>
      </c>
      <c r="F19" s="1" t="s">
        <v>48</v>
      </c>
      <c r="G19" s="34">
        <v>0</v>
      </c>
      <c r="H19" s="37">
        <f>G19/B$19</f>
        <v>0</v>
      </c>
      <c r="J19" s="33">
        <v>17</v>
      </c>
      <c r="K19" s="38">
        <v>-269</v>
      </c>
    </row>
    <row r="20" spans="1:11" x14ac:dyDescent="0.4">
      <c r="E20" s="36" t="s">
        <v>99</v>
      </c>
      <c r="F20" s="1" t="s">
        <v>51</v>
      </c>
      <c r="G20" s="34">
        <v>0</v>
      </c>
      <c r="H20" s="37">
        <f>G20/B$19</f>
        <v>0</v>
      </c>
      <c r="J20" s="33">
        <v>18</v>
      </c>
      <c r="K20" s="38">
        <v>-296</v>
      </c>
    </row>
    <row r="21" spans="1:11" x14ac:dyDescent="0.4">
      <c r="E21" s="36" t="s">
        <v>101</v>
      </c>
      <c r="F21" s="1" t="s">
        <v>53</v>
      </c>
      <c r="G21" s="34">
        <v>0</v>
      </c>
      <c r="H21" s="37">
        <f>G21/B$19</f>
        <v>0</v>
      </c>
      <c r="J21" s="33">
        <v>19</v>
      </c>
      <c r="K21" s="38">
        <v>-273</v>
      </c>
    </row>
    <row r="22" spans="1:11" x14ac:dyDescent="0.4">
      <c r="E22" s="36" t="s">
        <v>102</v>
      </c>
      <c r="F22" s="1" t="s">
        <v>54</v>
      </c>
      <c r="G22" s="34">
        <v>0</v>
      </c>
      <c r="H22" s="37">
        <f>G22/B$19</f>
        <v>0</v>
      </c>
      <c r="J22" s="33">
        <v>20</v>
      </c>
      <c r="K22" s="38">
        <v>-270</v>
      </c>
    </row>
    <row r="23" spans="1:11" x14ac:dyDescent="0.4">
      <c r="E23" s="36" t="s">
        <v>104</v>
      </c>
      <c r="F23" s="1" t="s">
        <v>56</v>
      </c>
      <c r="G23" s="34">
        <v>0</v>
      </c>
      <c r="H23" s="37">
        <f>G23/B$19</f>
        <v>0</v>
      </c>
      <c r="J23" s="33">
        <v>21</v>
      </c>
      <c r="K23" s="38">
        <v>-242</v>
      </c>
    </row>
    <row r="24" spans="1:11" x14ac:dyDescent="0.4">
      <c r="E24" s="36" t="s">
        <v>105</v>
      </c>
      <c r="F24" s="1" t="s">
        <v>57</v>
      </c>
      <c r="G24" s="34">
        <v>0</v>
      </c>
      <c r="H24" s="37">
        <f>G24/B$19</f>
        <v>0</v>
      </c>
      <c r="J24" s="33">
        <v>22</v>
      </c>
      <c r="K24" s="38">
        <v>-203</v>
      </c>
    </row>
    <row r="25" spans="1:11" x14ac:dyDescent="0.4">
      <c r="E25" s="36" t="s">
        <v>106</v>
      </c>
      <c r="F25" s="1" t="s">
        <v>58</v>
      </c>
      <c r="G25" s="34">
        <v>0</v>
      </c>
      <c r="H25" s="37">
        <f>G25/B$19</f>
        <v>0</v>
      </c>
      <c r="J25" s="33">
        <v>23</v>
      </c>
      <c r="K25" s="38">
        <v>-201</v>
      </c>
    </row>
    <row r="26" spans="1:11" x14ac:dyDescent="0.4">
      <c r="E26" s="36" t="s">
        <v>108</v>
      </c>
      <c r="F26" s="1" t="s">
        <v>60</v>
      </c>
      <c r="G26" s="34">
        <v>0</v>
      </c>
      <c r="H26" s="37">
        <f>G26/B$19</f>
        <v>0</v>
      </c>
      <c r="J26" s="33">
        <v>24</v>
      </c>
      <c r="K26" s="38">
        <v>-168</v>
      </c>
    </row>
    <row r="27" spans="1:11" x14ac:dyDescent="0.4">
      <c r="E27" s="36" t="s">
        <v>110</v>
      </c>
      <c r="F27" s="1" t="s">
        <v>62</v>
      </c>
      <c r="G27" s="34">
        <v>0</v>
      </c>
      <c r="H27" s="37">
        <f>G27/B$19</f>
        <v>0</v>
      </c>
      <c r="J27" s="33">
        <v>25</v>
      </c>
      <c r="K27" s="38">
        <v>-217</v>
      </c>
    </row>
    <row r="28" spans="1:11" x14ac:dyDescent="0.4">
      <c r="E28" s="36" t="s">
        <v>111</v>
      </c>
      <c r="F28" s="1" t="s">
        <v>63</v>
      </c>
      <c r="G28" s="34">
        <v>0</v>
      </c>
      <c r="H28" s="37">
        <f>G28/B$19</f>
        <v>0</v>
      </c>
    </row>
    <row r="29" spans="1:11" x14ac:dyDescent="0.4">
      <c r="E29" s="36" t="s">
        <v>113</v>
      </c>
      <c r="F29" s="1" t="s">
        <v>65</v>
      </c>
      <c r="G29" s="34">
        <v>0</v>
      </c>
      <c r="H29" s="37">
        <f>G29/B$19</f>
        <v>0</v>
      </c>
    </row>
    <row r="30" spans="1:11" x14ac:dyDescent="0.4">
      <c r="E30" s="36" t="s">
        <v>114</v>
      </c>
      <c r="F30" s="1" t="s">
        <v>66</v>
      </c>
      <c r="G30" s="34">
        <v>0</v>
      </c>
      <c r="H30" s="37">
        <f>G30/B$19</f>
        <v>0</v>
      </c>
    </row>
    <row r="31" spans="1:11" x14ac:dyDescent="0.4">
      <c r="E31" s="36" t="s">
        <v>116</v>
      </c>
      <c r="F31" s="1" t="s">
        <v>68</v>
      </c>
      <c r="G31" s="34">
        <v>0</v>
      </c>
      <c r="H31" s="37">
        <f>G31/B$19</f>
        <v>0</v>
      </c>
    </row>
    <row r="32" spans="1:11" x14ac:dyDescent="0.4">
      <c r="E32" s="36" t="s">
        <v>117</v>
      </c>
      <c r="F32" s="1" t="s">
        <v>69</v>
      </c>
      <c r="G32" s="34">
        <v>0</v>
      </c>
      <c r="H32" s="37">
        <f>G32/B$19</f>
        <v>0</v>
      </c>
    </row>
    <row r="33" spans="5:8" x14ac:dyDescent="0.4">
      <c r="E33" s="36" t="s">
        <v>118</v>
      </c>
      <c r="F33" s="1" t="s">
        <v>70</v>
      </c>
      <c r="G33" s="34">
        <v>0</v>
      </c>
      <c r="H33" s="37">
        <f>G33/B$19</f>
        <v>0</v>
      </c>
    </row>
    <row r="34" spans="5:8" x14ac:dyDescent="0.4">
      <c r="E34" s="36" t="s">
        <v>120</v>
      </c>
      <c r="F34" s="1" t="s">
        <v>72</v>
      </c>
      <c r="G34" s="34">
        <v>0</v>
      </c>
      <c r="H34" s="37">
        <f>G34/B$19</f>
        <v>0</v>
      </c>
    </row>
    <row r="35" spans="5:8" x14ac:dyDescent="0.4">
      <c r="E35" s="36" t="s">
        <v>121</v>
      </c>
      <c r="F35" s="1" t="s">
        <v>73</v>
      </c>
      <c r="G35" s="34">
        <v>0</v>
      </c>
      <c r="H35" s="37">
        <f>G35/B$19</f>
        <v>0</v>
      </c>
    </row>
    <row r="36" spans="5:8" x14ac:dyDescent="0.4">
      <c r="E36" s="36" t="s">
        <v>122</v>
      </c>
      <c r="F36" s="1" t="s">
        <v>74</v>
      </c>
      <c r="G36" s="34">
        <v>0</v>
      </c>
      <c r="H36" s="37">
        <f>G36/B$19</f>
        <v>0</v>
      </c>
    </row>
    <row r="37" spans="5:8" x14ac:dyDescent="0.4">
      <c r="E37" s="36" t="s">
        <v>123</v>
      </c>
      <c r="F37" s="1" t="s">
        <v>75</v>
      </c>
      <c r="G37" s="34">
        <v>0</v>
      </c>
      <c r="H37" s="37">
        <f>G37/B$19</f>
        <v>0</v>
      </c>
    </row>
    <row r="38" spans="5:8" x14ac:dyDescent="0.4">
      <c r="E38" s="36" t="s">
        <v>124</v>
      </c>
      <c r="F38" s="1" t="s">
        <v>76</v>
      </c>
      <c r="G38" s="34">
        <v>0</v>
      </c>
      <c r="H38" s="37">
        <f>G38/B$19</f>
        <v>0</v>
      </c>
    </row>
    <row r="39" spans="5:8" x14ac:dyDescent="0.4">
      <c r="E39" s="36" t="s">
        <v>125</v>
      </c>
      <c r="F39" s="1" t="s">
        <v>77</v>
      </c>
      <c r="G39" s="34">
        <v>0</v>
      </c>
      <c r="H39" s="37">
        <f>G39/B$19</f>
        <v>0</v>
      </c>
    </row>
    <row r="40" spans="5:8" x14ac:dyDescent="0.4">
      <c r="E40" s="36" t="s">
        <v>126</v>
      </c>
      <c r="F40" s="1" t="s">
        <v>78</v>
      </c>
      <c r="G40" s="34">
        <v>0</v>
      </c>
      <c r="H40" s="37">
        <f>G40/B$19</f>
        <v>0</v>
      </c>
    </row>
    <row r="41" spans="5:8" x14ac:dyDescent="0.4">
      <c r="E41" s="36" t="s">
        <v>127</v>
      </c>
      <c r="F41" s="1" t="s">
        <v>79</v>
      </c>
      <c r="G41" s="34">
        <v>0</v>
      </c>
      <c r="H41" s="37">
        <f>G41/B$19</f>
        <v>0</v>
      </c>
    </row>
    <row r="42" spans="5:8" x14ac:dyDescent="0.4">
      <c r="E42" s="36" t="s">
        <v>128</v>
      </c>
      <c r="F42" s="1" t="s">
        <v>80</v>
      </c>
      <c r="G42" s="34">
        <v>0</v>
      </c>
      <c r="H42" s="37">
        <f>G42/B$19</f>
        <v>0</v>
      </c>
    </row>
    <row r="43" spans="5:8" x14ac:dyDescent="0.4">
      <c r="E43" s="36" t="s">
        <v>129</v>
      </c>
      <c r="F43" s="1" t="s">
        <v>81</v>
      </c>
      <c r="G43" s="34">
        <v>0</v>
      </c>
      <c r="H43" s="37">
        <f>G43/B$19</f>
        <v>0</v>
      </c>
    </row>
    <row r="44" spans="5:8" x14ac:dyDescent="0.4">
      <c r="E44" s="36" t="s">
        <v>130</v>
      </c>
      <c r="F44" s="1" t="s">
        <v>82</v>
      </c>
      <c r="G44" s="34">
        <v>0</v>
      </c>
      <c r="H44" s="37">
        <f>G44/B$19</f>
        <v>0</v>
      </c>
    </row>
    <row r="45" spans="5:8" x14ac:dyDescent="0.4">
      <c r="E45" s="36" t="s">
        <v>131</v>
      </c>
      <c r="F45" s="1" t="s">
        <v>138</v>
      </c>
      <c r="G45" s="34">
        <v>0</v>
      </c>
      <c r="H45" s="37">
        <f>G45/B$19</f>
        <v>0</v>
      </c>
    </row>
    <row r="46" spans="5:8" x14ac:dyDescent="0.4">
      <c r="E46" s="36" t="s">
        <v>132</v>
      </c>
      <c r="F46" s="1" t="s">
        <v>139</v>
      </c>
      <c r="G46" s="34">
        <v>0</v>
      </c>
      <c r="H46" s="37">
        <f>G46/B$19</f>
        <v>0</v>
      </c>
    </row>
    <row r="47" spans="5:8" x14ac:dyDescent="0.4">
      <c r="E47" s="36" t="s">
        <v>133</v>
      </c>
      <c r="F47" s="1" t="s">
        <v>140</v>
      </c>
      <c r="G47" s="34">
        <v>0</v>
      </c>
      <c r="H47" s="37">
        <f>G47/B$19</f>
        <v>0</v>
      </c>
    </row>
    <row r="48" spans="5:8" x14ac:dyDescent="0.4">
      <c r="E48" s="36" t="s">
        <v>134</v>
      </c>
      <c r="F48" s="1" t="s">
        <v>83</v>
      </c>
      <c r="G48" s="34">
        <v>0</v>
      </c>
      <c r="H48" s="37">
        <f>G48/B$19</f>
        <v>0</v>
      </c>
    </row>
    <row r="49" spans="5:8" x14ac:dyDescent="0.4">
      <c r="E49" s="36" t="s">
        <v>135</v>
      </c>
      <c r="F49" s="1" t="s">
        <v>84</v>
      </c>
      <c r="G49" s="34">
        <v>0</v>
      </c>
      <c r="H49" s="37">
        <f>G49/B$19</f>
        <v>0</v>
      </c>
    </row>
    <row r="50" spans="5:8" x14ac:dyDescent="0.4">
      <c r="E50" s="36" t="s">
        <v>136</v>
      </c>
      <c r="F50" s="1" t="s">
        <v>85</v>
      </c>
      <c r="G50" s="34">
        <v>0</v>
      </c>
      <c r="H50" s="37">
        <f>G50/B$19</f>
        <v>0</v>
      </c>
    </row>
    <row r="51" spans="5:8" x14ac:dyDescent="0.4">
      <c r="E51" s="56" t="s">
        <v>137</v>
      </c>
      <c r="F51" s="55" t="s">
        <v>86</v>
      </c>
      <c r="G51" s="57">
        <v>0</v>
      </c>
      <c r="H51" s="58">
        <f>G51/B$19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2" customWidth="1"/>
    <col min="2" max="3" width="9.75" style="22" customWidth="1"/>
    <col min="4" max="4" width="3.5" style="22" customWidth="1"/>
    <col min="5" max="5" width="3.5" style="59" bestFit="1" customWidth="1"/>
    <col min="6" max="6" width="11" style="60" bestFit="1" customWidth="1"/>
    <col min="7" max="8" width="9.75" style="22" customWidth="1"/>
    <col min="9" max="9" width="3.5" style="22" customWidth="1"/>
    <col min="10" max="10" width="3.5" style="33" customWidth="1"/>
    <col min="11" max="11" width="9.75" style="38" customWidth="1"/>
    <col min="12" max="16384" width="9" style="22"/>
  </cols>
  <sheetData>
    <row r="1" spans="1:11" ht="19.5" thickBot="1" x14ac:dyDescent="0.45">
      <c r="A1" s="21" t="s">
        <v>0</v>
      </c>
      <c r="B1" s="63"/>
      <c r="C1" s="64"/>
      <c r="E1" s="66"/>
      <c r="F1" s="23" t="s">
        <v>141</v>
      </c>
      <c r="G1" s="23" t="s">
        <v>142</v>
      </c>
      <c r="H1" s="24" t="s">
        <v>143</v>
      </c>
      <c r="J1" s="25" t="s">
        <v>40</v>
      </c>
      <c r="K1" s="26" t="s">
        <v>146</v>
      </c>
    </row>
    <row r="2" spans="1:11" ht="19.5" thickTop="1" x14ac:dyDescent="0.4">
      <c r="A2" s="27" t="s">
        <v>9</v>
      </c>
      <c r="B2" s="28">
        <v>0</v>
      </c>
      <c r="C2" s="29"/>
      <c r="E2" s="30" t="s">
        <v>88</v>
      </c>
      <c r="F2" s="12" t="s">
        <v>41</v>
      </c>
      <c r="G2" s="28">
        <v>0</v>
      </c>
      <c r="H2" s="31" t="e">
        <f>G2/B$19</f>
        <v>#DIV/0!</v>
      </c>
      <c r="J2" s="27">
        <v>0</v>
      </c>
      <c r="K2" s="32">
        <v>0</v>
      </c>
    </row>
    <row r="3" spans="1:11" x14ac:dyDescent="0.4">
      <c r="A3" s="33" t="s">
        <v>8</v>
      </c>
      <c r="B3" s="34">
        <v>0</v>
      </c>
      <c r="C3" s="35"/>
      <c r="E3" s="36" t="s">
        <v>89</v>
      </c>
      <c r="F3" s="1" t="s">
        <v>42</v>
      </c>
      <c r="G3" s="34">
        <v>0</v>
      </c>
      <c r="H3" s="37" t="e">
        <f t="shared" ref="H3:H51" si="0">G3/B$19</f>
        <v>#DIV/0!</v>
      </c>
    </row>
    <row r="4" spans="1:11" x14ac:dyDescent="0.4">
      <c r="A4" s="33" t="s">
        <v>6</v>
      </c>
      <c r="B4" s="39">
        <v>0</v>
      </c>
      <c r="C4" s="38"/>
      <c r="E4" s="36" t="s">
        <v>90</v>
      </c>
      <c r="F4" s="1" t="s">
        <v>43</v>
      </c>
      <c r="G4" s="34">
        <v>0</v>
      </c>
      <c r="H4" s="37" t="e">
        <f t="shared" si="0"/>
        <v>#DIV/0!</v>
      </c>
    </row>
    <row r="5" spans="1:11" x14ac:dyDescent="0.4">
      <c r="A5" s="33" t="s">
        <v>7</v>
      </c>
      <c r="B5" s="40">
        <f>IF(B$2=0,0,B$4/B$2)</f>
        <v>0</v>
      </c>
      <c r="C5" s="41"/>
      <c r="E5" s="36" t="s">
        <v>91</v>
      </c>
      <c r="F5" s="1" t="s">
        <v>44</v>
      </c>
      <c r="G5" s="34">
        <v>0</v>
      </c>
      <c r="H5" s="37" t="e">
        <f t="shared" si="0"/>
        <v>#DIV/0!</v>
      </c>
    </row>
    <row r="6" spans="1:11" x14ac:dyDescent="0.4">
      <c r="A6" s="33" t="s">
        <v>1</v>
      </c>
      <c r="B6" s="42">
        <f>IF(B$2=0,0,(B$7*1+B$8*2+B$9*3)/B$2)</f>
        <v>0</v>
      </c>
      <c r="C6" s="43"/>
      <c r="E6" s="36" t="s">
        <v>92</v>
      </c>
      <c r="F6" s="1" t="s">
        <v>45</v>
      </c>
      <c r="G6" s="34">
        <v>0</v>
      </c>
      <c r="H6" s="37" t="e">
        <f t="shared" si="0"/>
        <v>#DIV/0!</v>
      </c>
    </row>
    <row r="7" spans="1:11" x14ac:dyDescent="0.4">
      <c r="A7" s="33" t="s">
        <v>2</v>
      </c>
      <c r="B7" s="34">
        <v>0</v>
      </c>
      <c r="C7" s="37">
        <f>IF(B$2=0,0,B7/B$2)</f>
        <v>0</v>
      </c>
      <c r="E7" s="36" t="s">
        <v>93</v>
      </c>
      <c r="F7" s="1" t="s">
        <v>87</v>
      </c>
      <c r="G7" s="34">
        <v>0</v>
      </c>
      <c r="H7" s="37" t="e">
        <f t="shared" si="0"/>
        <v>#DIV/0!</v>
      </c>
    </row>
    <row r="8" spans="1:11" x14ac:dyDescent="0.4">
      <c r="A8" s="33" t="s">
        <v>3</v>
      </c>
      <c r="B8" s="34">
        <v>0</v>
      </c>
      <c r="C8" s="37">
        <f t="shared" ref="C8:C10" si="1">IF(B$2=0,0,B8/B$2)</f>
        <v>0</v>
      </c>
      <c r="E8" s="36" t="s">
        <v>94</v>
      </c>
      <c r="F8" s="1" t="s">
        <v>46</v>
      </c>
      <c r="G8" s="34">
        <v>0</v>
      </c>
      <c r="H8" s="37" t="e">
        <f t="shared" si="0"/>
        <v>#DIV/0!</v>
      </c>
    </row>
    <row r="9" spans="1:11" x14ac:dyDescent="0.4">
      <c r="A9" s="44" t="s">
        <v>4</v>
      </c>
      <c r="B9" s="45">
        <v>0</v>
      </c>
      <c r="C9" s="46">
        <f t="shared" si="1"/>
        <v>0</v>
      </c>
      <c r="E9" s="36" t="s">
        <v>95</v>
      </c>
      <c r="F9" s="1" t="s">
        <v>47</v>
      </c>
      <c r="G9" s="34">
        <v>0</v>
      </c>
      <c r="H9" s="37" t="e">
        <f t="shared" si="0"/>
        <v>#DIV/0!</v>
      </c>
    </row>
    <row r="10" spans="1:11" ht="19.5" thickBot="1" x14ac:dyDescent="0.45">
      <c r="A10" s="47" t="s">
        <v>34</v>
      </c>
      <c r="B10" s="48">
        <v>0</v>
      </c>
      <c r="C10" s="49">
        <f>IF(B$2=0,0,B10/B$2)</f>
        <v>0</v>
      </c>
      <c r="E10" s="36" t="s">
        <v>96</v>
      </c>
      <c r="F10" s="1" t="s">
        <v>48</v>
      </c>
      <c r="G10" s="34">
        <v>0</v>
      </c>
      <c r="H10" s="37" t="e">
        <f t="shared" si="0"/>
        <v>#DIV/0!</v>
      </c>
    </row>
    <row r="11" spans="1:11" ht="19.5" thickTop="1" x14ac:dyDescent="0.4">
      <c r="A11" s="50" t="s">
        <v>144</v>
      </c>
      <c r="B11" s="51">
        <v>0</v>
      </c>
      <c r="C11" s="31">
        <f>IF(B$18=0,0,B11/B$18)</f>
        <v>0</v>
      </c>
      <c r="E11" s="36" t="s">
        <v>97</v>
      </c>
      <c r="F11" s="1" t="s">
        <v>49</v>
      </c>
      <c r="G11" s="34">
        <v>0</v>
      </c>
      <c r="H11" s="37" t="e">
        <f t="shared" si="0"/>
        <v>#DIV/0!</v>
      </c>
    </row>
    <row r="12" spans="1:11" x14ac:dyDescent="0.4">
      <c r="A12" s="27" t="s">
        <v>10</v>
      </c>
      <c r="B12" s="28">
        <f>B13+B14</f>
        <v>0</v>
      </c>
      <c r="C12" s="31">
        <f>IF(B$3=0,0,B12/B$3)</f>
        <v>0</v>
      </c>
      <c r="E12" s="36" t="s">
        <v>98</v>
      </c>
      <c r="F12" s="1" t="s">
        <v>50</v>
      </c>
      <c r="G12" s="34">
        <v>0</v>
      </c>
      <c r="H12" s="37" t="e">
        <f t="shared" si="0"/>
        <v>#DIV/0!</v>
      </c>
    </row>
    <row r="13" spans="1:11" x14ac:dyDescent="0.4">
      <c r="A13" s="33" t="s">
        <v>11</v>
      </c>
      <c r="B13" s="34">
        <v>0</v>
      </c>
      <c r="C13" s="37">
        <f>IF(B$3=0,0,B13/B$3)</f>
        <v>0</v>
      </c>
      <c r="E13" s="36" t="s">
        <v>99</v>
      </c>
      <c r="F13" s="1" t="s">
        <v>51</v>
      </c>
      <c r="G13" s="34">
        <v>0</v>
      </c>
      <c r="H13" s="37" t="e">
        <f t="shared" si="0"/>
        <v>#DIV/0!</v>
      </c>
    </row>
    <row r="14" spans="1:11" x14ac:dyDescent="0.4">
      <c r="A14" s="33" t="s">
        <v>12</v>
      </c>
      <c r="B14" s="34">
        <v>0</v>
      </c>
      <c r="C14" s="37">
        <f>IF(B$3=0,0,B14/B$3)</f>
        <v>0</v>
      </c>
      <c r="E14" s="36" t="s">
        <v>100</v>
      </c>
      <c r="F14" s="1" t="s">
        <v>52</v>
      </c>
      <c r="G14" s="34">
        <v>0</v>
      </c>
      <c r="H14" s="37" t="e">
        <f t="shared" si="0"/>
        <v>#DIV/0!</v>
      </c>
    </row>
    <row r="15" spans="1:11" x14ac:dyDescent="0.4">
      <c r="A15" s="33" t="s">
        <v>13</v>
      </c>
      <c r="B15" s="34">
        <v>0</v>
      </c>
      <c r="C15" s="37">
        <f>IF(B$3=0,0,B15/B$3)</f>
        <v>0</v>
      </c>
      <c r="E15" s="36" t="s">
        <v>101</v>
      </c>
      <c r="F15" s="1" t="s">
        <v>53</v>
      </c>
      <c r="G15" s="34">
        <v>0</v>
      </c>
      <c r="H15" s="37" t="e">
        <f t="shared" si="0"/>
        <v>#DIV/0!</v>
      </c>
    </row>
    <row r="16" spans="1:11" x14ac:dyDescent="0.4">
      <c r="A16" s="33" t="s">
        <v>5</v>
      </c>
      <c r="B16" s="52">
        <f>IF(B$12=0,0,ROUND(C16/B$12,-2))</f>
        <v>0</v>
      </c>
      <c r="C16" s="53">
        <v>0</v>
      </c>
      <c r="E16" s="36" t="s">
        <v>102</v>
      </c>
      <c r="F16" s="1" t="s">
        <v>54</v>
      </c>
      <c r="G16" s="34">
        <v>0</v>
      </c>
      <c r="H16" s="37" t="e">
        <f t="shared" si="0"/>
        <v>#DIV/0!</v>
      </c>
    </row>
    <row r="17" spans="1:8" ht="19.5" thickBot="1" x14ac:dyDescent="0.45">
      <c r="A17" s="54" t="s">
        <v>14</v>
      </c>
      <c r="B17" s="55">
        <f>IF(B$15=0,0,ROUND(C17/B$15,-2))</f>
        <v>0</v>
      </c>
      <c r="C17" s="65">
        <v>0</v>
      </c>
      <c r="E17" s="36" t="s">
        <v>103</v>
      </c>
      <c r="F17" s="1" t="s">
        <v>55</v>
      </c>
      <c r="G17" s="34">
        <v>0</v>
      </c>
      <c r="H17" s="37" t="e">
        <f t="shared" si="0"/>
        <v>#DIV/0!</v>
      </c>
    </row>
    <row r="18" spans="1:8" ht="19.5" thickTop="1" x14ac:dyDescent="0.4">
      <c r="A18" s="50" t="s">
        <v>147</v>
      </c>
      <c r="B18" s="51">
        <v>0</v>
      </c>
      <c r="C18" s="31"/>
      <c r="E18" s="36" t="s">
        <v>104</v>
      </c>
      <c r="F18" s="1" t="s">
        <v>56</v>
      </c>
      <c r="G18" s="34">
        <v>0</v>
      </c>
      <c r="H18" s="37" t="e">
        <f t="shared" si="0"/>
        <v>#DIV/0!</v>
      </c>
    </row>
    <row r="19" spans="1:8" x14ac:dyDescent="0.4">
      <c r="A19" s="54" t="s">
        <v>148</v>
      </c>
      <c r="B19" s="57">
        <v>0</v>
      </c>
      <c r="C19" s="58"/>
      <c r="E19" s="36" t="s">
        <v>105</v>
      </c>
      <c r="F19" s="1" t="s">
        <v>57</v>
      </c>
      <c r="G19" s="34">
        <v>0</v>
      </c>
      <c r="H19" s="37" t="e">
        <f t="shared" si="0"/>
        <v>#DIV/0!</v>
      </c>
    </row>
    <row r="20" spans="1:8" x14ac:dyDescent="0.4">
      <c r="E20" s="36" t="s">
        <v>106</v>
      </c>
      <c r="F20" s="1" t="s">
        <v>58</v>
      </c>
      <c r="G20" s="34">
        <v>0</v>
      </c>
      <c r="H20" s="37" t="e">
        <f t="shared" si="0"/>
        <v>#DIV/0!</v>
      </c>
    </row>
    <row r="21" spans="1:8" x14ac:dyDescent="0.4">
      <c r="E21" s="36" t="s">
        <v>107</v>
      </c>
      <c r="F21" s="1" t="s">
        <v>59</v>
      </c>
      <c r="G21" s="34">
        <v>0</v>
      </c>
      <c r="H21" s="37" t="e">
        <f t="shared" si="0"/>
        <v>#DIV/0!</v>
      </c>
    </row>
    <row r="22" spans="1:8" x14ac:dyDescent="0.4">
      <c r="E22" s="36" t="s">
        <v>108</v>
      </c>
      <c r="F22" s="1" t="s">
        <v>60</v>
      </c>
      <c r="G22" s="34">
        <v>0</v>
      </c>
      <c r="H22" s="37" t="e">
        <f t="shared" si="0"/>
        <v>#DIV/0!</v>
      </c>
    </row>
    <row r="23" spans="1:8" x14ac:dyDescent="0.4">
      <c r="E23" s="36" t="s">
        <v>109</v>
      </c>
      <c r="F23" s="1" t="s">
        <v>61</v>
      </c>
      <c r="G23" s="34">
        <v>0</v>
      </c>
      <c r="H23" s="37" t="e">
        <f t="shared" si="0"/>
        <v>#DIV/0!</v>
      </c>
    </row>
    <row r="24" spans="1:8" x14ac:dyDescent="0.4">
      <c r="E24" s="36" t="s">
        <v>110</v>
      </c>
      <c r="F24" s="1" t="s">
        <v>62</v>
      </c>
      <c r="G24" s="34">
        <v>0</v>
      </c>
      <c r="H24" s="37" t="e">
        <f t="shared" si="0"/>
        <v>#DIV/0!</v>
      </c>
    </row>
    <row r="25" spans="1:8" x14ac:dyDescent="0.4">
      <c r="E25" s="36" t="s">
        <v>111</v>
      </c>
      <c r="F25" s="1" t="s">
        <v>63</v>
      </c>
      <c r="G25" s="34">
        <v>0</v>
      </c>
      <c r="H25" s="37" t="e">
        <f t="shared" si="0"/>
        <v>#DIV/0!</v>
      </c>
    </row>
    <row r="26" spans="1:8" x14ac:dyDescent="0.4">
      <c r="E26" s="36" t="s">
        <v>112</v>
      </c>
      <c r="F26" s="1" t="s">
        <v>64</v>
      </c>
      <c r="G26" s="34">
        <v>0</v>
      </c>
      <c r="H26" s="37" t="e">
        <f t="shared" si="0"/>
        <v>#DIV/0!</v>
      </c>
    </row>
    <row r="27" spans="1:8" x14ac:dyDescent="0.4">
      <c r="E27" s="36" t="s">
        <v>113</v>
      </c>
      <c r="F27" s="1" t="s">
        <v>65</v>
      </c>
      <c r="G27" s="34">
        <v>0</v>
      </c>
      <c r="H27" s="37" t="e">
        <f t="shared" si="0"/>
        <v>#DIV/0!</v>
      </c>
    </row>
    <row r="28" spans="1:8" x14ac:dyDescent="0.4">
      <c r="E28" s="36" t="s">
        <v>114</v>
      </c>
      <c r="F28" s="1" t="s">
        <v>66</v>
      </c>
      <c r="G28" s="34">
        <v>0</v>
      </c>
      <c r="H28" s="37" t="e">
        <f t="shared" si="0"/>
        <v>#DIV/0!</v>
      </c>
    </row>
    <row r="29" spans="1:8" x14ac:dyDescent="0.4">
      <c r="E29" s="36" t="s">
        <v>115</v>
      </c>
      <c r="F29" s="1" t="s">
        <v>67</v>
      </c>
      <c r="G29" s="34">
        <v>0</v>
      </c>
      <c r="H29" s="37" t="e">
        <f t="shared" si="0"/>
        <v>#DIV/0!</v>
      </c>
    </row>
    <row r="30" spans="1:8" x14ac:dyDescent="0.4">
      <c r="E30" s="36" t="s">
        <v>116</v>
      </c>
      <c r="F30" s="1" t="s">
        <v>68</v>
      </c>
      <c r="G30" s="34">
        <v>0</v>
      </c>
      <c r="H30" s="37" t="e">
        <f t="shared" si="0"/>
        <v>#DIV/0!</v>
      </c>
    </row>
    <row r="31" spans="1:8" x14ac:dyDescent="0.4">
      <c r="E31" s="36" t="s">
        <v>117</v>
      </c>
      <c r="F31" s="1" t="s">
        <v>69</v>
      </c>
      <c r="G31" s="34">
        <v>0</v>
      </c>
      <c r="H31" s="37" t="e">
        <f t="shared" si="0"/>
        <v>#DIV/0!</v>
      </c>
    </row>
    <row r="32" spans="1:8" x14ac:dyDescent="0.4">
      <c r="E32" s="36" t="s">
        <v>118</v>
      </c>
      <c r="F32" s="1" t="s">
        <v>70</v>
      </c>
      <c r="G32" s="34">
        <v>0</v>
      </c>
      <c r="H32" s="37" t="e">
        <f t="shared" si="0"/>
        <v>#DIV/0!</v>
      </c>
    </row>
    <row r="33" spans="5:8" x14ac:dyDescent="0.4">
      <c r="E33" s="36" t="s">
        <v>119</v>
      </c>
      <c r="F33" s="1" t="s">
        <v>71</v>
      </c>
      <c r="G33" s="34">
        <v>0</v>
      </c>
      <c r="H33" s="37" t="e">
        <f t="shared" si="0"/>
        <v>#DIV/0!</v>
      </c>
    </row>
    <row r="34" spans="5:8" x14ac:dyDescent="0.4">
      <c r="E34" s="36" t="s">
        <v>120</v>
      </c>
      <c r="F34" s="1" t="s">
        <v>72</v>
      </c>
      <c r="G34" s="34">
        <v>0</v>
      </c>
      <c r="H34" s="37" t="e">
        <f t="shared" si="0"/>
        <v>#DIV/0!</v>
      </c>
    </row>
    <row r="35" spans="5:8" x14ac:dyDescent="0.4">
      <c r="E35" s="36" t="s">
        <v>121</v>
      </c>
      <c r="F35" s="1" t="s">
        <v>73</v>
      </c>
      <c r="G35" s="34">
        <v>0</v>
      </c>
      <c r="H35" s="37" t="e">
        <f t="shared" si="0"/>
        <v>#DIV/0!</v>
      </c>
    </row>
    <row r="36" spans="5:8" x14ac:dyDescent="0.4">
      <c r="E36" s="36" t="s">
        <v>122</v>
      </c>
      <c r="F36" s="1" t="s">
        <v>74</v>
      </c>
      <c r="G36" s="34">
        <v>0</v>
      </c>
      <c r="H36" s="37" t="e">
        <f t="shared" si="0"/>
        <v>#DIV/0!</v>
      </c>
    </row>
    <row r="37" spans="5:8" x14ac:dyDescent="0.4">
      <c r="E37" s="36" t="s">
        <v>123</v>
      </c>
      <c r="F37" s="1" t="s">
        <v>75</v>
      </c>
      <c r="G37" s="34">
        <v>0</v>
      </c>
      <c r="H37" s="37" t="e">
        <f t="shared" si="0"/>
        <v>#DIV/0!</v>
      </c>
    </row>
    <row r="38" spans="5:8" x14ac:dyDescent="0.4">
      <c r="E38" s="36" t="s">
        <v>124</v>
      </c>
      <c r="F38" s="1" t="s">
        <v>76</v>
      </c>
      <c r="G38" s="34">
        <v>0</v>
      </c>
      <c r="H38" s="37" t="e">
        <f t="shared" si="0"/>
        <v>#DIV/0!</v>
      </c>
    </row>
    <row r="39" spans="5:8" x14ac:dyDescent="0.4">
      <c r="E39" s="36" t="s">
        <v>125</v>
      </c>
      <c r="F39" s="1" t="s">
        <v>77</v>
      </c>
      <c r="G39" s="34">
        <v>0</v>
      </c>
      <c r="H39" s="37" t="e">
        <f t="shared" si="0"/>
        <v>#DIV/0!</v>
      </c>
    </row>
    <row r="40" spans="5:8" x14ac:dyDescent="0.4">
      <c r="E40" s="36" t="s">
        <v>126</v>
      </c>
      <c r="F40" s="1" t="s">
        <v>78</v>
      </c>
      <c r="G40" s="34">
        <v>0</v>
      </c>
      <c r="H40" s="37" t="e">
        <f t="shared" si="0"/>
        <v>#DIV/0!</v>
      </c>
    </row>
    <row r="41" spans="5:8" x14ac:dyDescent="0.4">
      <c r="E41" s="36" t="s">
        <v>127</v>
      </c>
      <c r="F41" s="1" t="s">
        <v>79</v>
      </c>
      <c r="G41" s="34">
        <v>0</v>
      </c>
      <c r="H41" s="37" t="e">
        <f t="shared" si="0"/>
        <v>#DIV/0!</v>
      </c>
    </row>
    <row r="42" spans="5:8" x14ac:dyDescent="0.4">
      <c r="E42" s="36" t="s">
        <v>128</v>
      </c>
      <c r="F42" s="1" t="s">
        <v>80</v>
      </c>
      <c r="G42" s="34">
        <v>0</v>
      </c>
      <c r="H42" s="37" t="e">
        <f t="shared" si="0"/>
        <v>#DIV/0!</v>
      </c>
    </row>
    <row r="43" spans="5:8" x14ac:dyDescent="0.4">
      <c r="E43" s="36" t="s">
        <v>129</v>
      </c>
      <c r="F43" s="1" t="s">
        <v>81</v>
      </c>
      <c r="G43" s="34">
        <v>0</v>
      </c>
      <c r="H43" s="37" t="e">
        <f t="shared" si="0"/>
        <v>#DIV/0!</v>
      </c>
    </row>
    <row r="44" spans="5:8" x14ac:dyDescent="0.4">
      <c r="E44" s="36" t="s">
        <v>130</v>
      </c>
      <c r="F44" s="1" t="s">
        <v>82</v>
      </c>
      <c r="G44" s="34">
        <v>0</v>
      </c>
      <c r="H44" s="37" t="e">
        <f t="shared" si="0"/>
        <v>#DIV/0!</v>
      </c>
    </row>
    <row r="45" spans="5:8" x14ac:dyDescent="0.4">
      <c r="E45" s="36" t="s">
        <v>131</v>
      </c>
      <c r="F45" s="1" t="s">
        <v>138</v>
      </c>
      <c r="G45" s="34">
        <v>0</v>
      </c>
      <c r="H45" s="37" t="e">
        <f t="shared" si="0"/>
        <v>#DIV/0!</v>
      </c>
    </row>
    <row r="46" spans="5:8" x14ac:dyDescent="0.4">
      <c r="E46" s="36" t="s">
        <v>132</v>
      </c>
      <c r="F46" s="1" t="s">
        <v>139</v>
      </c>
      <c r="G46" s="34">
        <v>0</v>
      </c>
      <c r="H46" s="37" t="e">
        <f t="shared" si="0"/>
        <v>#DIV/0!</v>
      </c>
    </row>
    <row r="47" spans="5:8" x14ac:dyDescent="0.4">
      <c r="E47" s="36" t="s">
        <v>133</v>
      </c>
      <c r="F47" s="1" t="s">
        <v>140</v>
      </c>
      <c r="G47" s="34">
        <v>0</v>
      </c>
      <c r="H47" s="37" t="e">
        <f t="shared" si="0"/>
        <v>#DIV/0!</v>
      </c>
    </row>
    <row r="48" spans="5:8" x14ac:dyDescent="0.4">
      <c r="E48" s="36" t="s">
        <v>134</v>
      </c>
      <c r="F48" s="1" t="s">
        <v>83</v>
      </c>
      <c r="G48" s="34">
        <v>0</v>
      </c>
      <c r="H48" s="37" t="e">
        <f t="shared" si="0"/>
        <v>#DIV/0!</v>
      </c>
    </row>
    <row r="49" spans="5:8" x14ac:dyDescent="0.4">
      <c r="E49" s="36" t="s">
        <v>135</v>
      </c>
      <c r="F49" s="1" t="s">
        <v>84</v>
      </c>
      <c r="G49" s="34">
        <v>0</v>
      </c>
      <c r="H49" s="37" t="e">
        <f t="shared" si="0"/>
        <v>#DIV/0!</v>
      </c>
    </row>
    <row r="50" spans="5:8" x14ac:dyDescent="0.4">
      <c r="E50" s="36" t="s">
        <v>136</v>
      </c>
      <c r="F50" s="1" t="s">
        <v>85</v>
      </c>
      <c r="G50" s="34">
        <v>0</v>
      </c>
      <c r="H50" s="37" t="e">
        <f t="shared" si="0"/>
        <v>#DIV/0!</v>
      </c>
    </row>
    <row r="51" spans="5:8" x14ac:dyDescent="0.4">
      <c r="E51" s="56" t="s">
        <v>137</v>
      </c>
      <c r="F51" s="55" t="s">
        <v>86</v>
      </c>
      <c r="G51" s="57">
        <v>0</v>
      </c>
      <c r="H51" s="58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dcterms:created xsi:type="dcterms:W3CDTF">2018-11-18T09:24:12Z</dcterms:created>
  <dcterms:modified xsi:type="dcterms:W3CDTF">2018-12-20T02:13:01Z</dcterms:modified>
</cp:coreProperties>
</file>