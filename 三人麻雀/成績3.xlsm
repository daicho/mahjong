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BD32BDE3-FA86-4FD1-8B5C-E3581EDE0B48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506" r:id="rId2"/>
    <sheet name="かこたろう" sheetId="1507" r:id="rId3"/>
    <sheet name="ともき" sheetId="1508" r:id="rId4"/>
    <sheet name="りくと" sheetId="1509" r:id="rId5"/>
    <sheet name="いっしー" sheetId="1510" r:id="rId6"/>
    <sheet name="がくと" sheetId="1511" r:id="rId7"/>
    <sheet name="たかの" sheetId="1512" r:id="rId8"/>
    <sheet name="ただ" sheetId="1513" r:id="rId9"/>
    <sheet name="やがさき" sheetId="1514" r:id="rId10"/>
    <sheet name="れんたろう" sheetId="151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515" l="1"/>
  <c r="C14" i="1515"/>
  <c r="C13" i="1515"/>
  <c r="C12" i="1515"/>
  <c r="B11" i="1515"/>
  <c r="B15" i="1515" s="1"/>
  <c r="C10" i="1515"/>
  <c r="C9" i="1515"/>
  <c r="C8" i="1515"/>
  <c r="C7" i="1515"/>
  <c r="B6" i="1515"/>
  <c r="B5" i="1515"/>
  <c r="C11" i="1515" l="1"/>
  <c r="B16" i="1514" l="1"/>
  <c r="C14" i="1514"/>
  <c r="C13" i="1514"/>
  <c r="C12" i="1514"/>
  <c r="B11" i="1514"/>
  <c r="B15" i="1514" s="1"/>
  <c r="C10" i="1514"/>
  <c r="C9" i="1514"/>
  <c r="C8" i="1514"/>
  <c r="C7" i="1514"/>
  <c r="B6" i="1514"/>
  <c r="B5" i="1514"/>
  <c r="C11" i="1514" l="1"/>
  <c r="B16" i="1513" l="1"/>
  <c r="C14" i="1513"/>
  <c r="C13" i="1513"/>
  <c r="C12" i="1513"/>
  <c r="B11" i="1513"/>
  <c r="B15" i="1513" s="1"/>
  <c r="C10" i="1513"/>
  <c r="C9" i="1513"/>
  <c r="C8" i="1513"/>
  <c r="C7" i="1513"/>
  <c r="B6" i="1513"/>
  <c r="B5" i="1513"/>
  <c r="B16" i="1512"/>
  <c r="C14" i="1512"/>
  <c r="C13" i="1512"/>
  <c r="C12" i="1512"/>
  <c r="B11" i="1512"/>
  <c r="B15" i="1512" s="1"/>
  <c r="C10" i="1512"/>
  <c r="C9" i="1512"/>
  <c r="C8" i="1512"/>
  <c r="C7" i="1512"/>
  <c r="B6" i="1512"/>
  <c r="B5" i="1512"/>
  <c r="C11" i="1513" l="1"/>
  <c r="C11" i="1512"/>
  <c r="B16" i="1511" l="1"/>
  <c r="C14" i="1511"/>
  <c r="C13" i="1511"/>
  <c r="C12" i="1511"/>
  <c r="B11" i="1511"/>
  <c r="B15" i="1511" s="1"/>
  <c r="C10" i="1511"/>
  <c r="C9" i="1511"/>
  <c r="C8" i="1511"/>
  <c r="C7" i="1511"/>
  <c r="B6" i="1511"/>
  <c r="B5" i="1511"/>
  <c r="C11" i="1511" l="1"/>
  <c r="B16" i="1510" l="1"/>
  <c r="C14" i="1510"/>
  <c r="C13" i="1510"/>
  <c r="C12" i="1510"/>
  <c r="B11" i="1510"/>
  <c r="B15" i="1510" s="1"/>
  <c r="C10" i="1510"/>
  <c r="C9" i="1510"/>
  <c r="C8" i="1510"/>
  <c r="C7" i="1510"/>
  <c r="B6" i="1510"/>
  <c r="B5" i="1510"/>
  <c r="B16" i="1509"/>
  <c r="C14" i="1509"/>
  <c r="C13" i="1509"/>
  <c r="C12" i="1509"/>
  <c r="B11" i="1509"/>
  <c r="C11" i="1509" s="1"/>
  <c r="C10" i="1509"/>
  <c r="C9" i="1509"/>
  <c r="C8" i="1509"/>
  <c r="C7" i="1509"/>
  <c r="B6" i="1509"/>
  <c r="B5" i="1509"/>
  <c r="C11" i="1510" l="1"/>
  <c r="B15" i="1509"/>
  <c r="B16" i="1508" l="1"/>
  <c r="C14" i="1508"/>
  <c r="C13" i="1508"/>
  <c r="C12" i="1508"/>
  <c r="B11" i="1508"/>
  <c r="B15" i="1508" s="1"/>
  <c r="C10" i="1508"/>
  <c r="C9" i="1508"/>
  <c r="C8" i="1508"/>
  <c r="C7" i="1508"/>
  <c r="B6" i="1508"/>
  <c r="B5" i="1508"/>
  <c r="B16" i="1507"/>
  <c r="C14" i="1507"/>
  <c r="C13" i="1507"/>
  <c r="C12" i="1507"/>
  <c r="B11" i="1507"/>
  <c r="B15" i="1507" s="1"/>
  <c r="C10" i="1507"/>
  <c r="C9" i="1507"/>
  <c r="C8" i="1507"/>
  <c r="C7" i="1507"/>
  <c r="B6" i="1507"/>
  <c r="B5" i="1507"/>
  <c r="B16" i="1506"/>
  <c r="C14" i="1506"/>
  <c r="C13" i="1506"/>
  <c r="C12" i="1506"/>
  <c r="B11" i="1506"/>
  <c r="B15" i="1506" s="1"/>
  <c r="C10" i="1506"/>
  <c r="C9" i="1506"/>
  <c r="C8" i="1506"/>
  <c r="C7" i="1506"/>
  <c r="B6" i="1506"/>
  <c r="B5" i="1506"/>
  <c r="C11" i="1507" l="1"/>
  <c r="C11" i="1508"/>
  <c r="C11" i="1506"/>
  <c r="C12" i="1" l="1"/>
  <c r="C14" i="1"/>
  <c r="C13" i="1"/>
  <c r="C10" i="1" l="1"/>
  <c r="C7" i="1"/>
  <c r="C9" i="1" l="1"/>
  <c r="C8" i="1" l="1"/>
  <c r="B16" i="1" l="1"/>
  <c r="B11" i="1" l="1"/>
  <c r="C11" i="1" l="1"/>
  <c r="B15" i="1"/>
  <c r="B5" i="1"/>
  <c r="B6" i="1"/>
</calcChain>
</file>

<file path=xl/sharedStrings.xml><?xml version="1.0" encoding="utf-8"?>
<sst xmlns="http://schemas.openxmlformats.org/spreadsheetml/2006/main" count="307" uniqueCount="42">
  <si>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</si>
  <si>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</si>
  <si>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</si>
  <si>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</si>
  <si>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</si>
  <si>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</si>
  <si>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</si>
  <si>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</si>
  <si>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</si>
  <si>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</si>
  <si>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</si>
  <si>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</si>
  <si>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</si>
  <si>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</si>
  <si>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</si>
  <si>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</si>
  <si>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</si>
  <si>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</si>
  <si>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</si>
  <si>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</si>
  <si>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</si>
  <si>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</si>
  <si>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</si>
  <si>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</si>
  <si>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</si>
  <si>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</si>
  <si>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</si>
  <si>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</si>
  <si>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</si>
  <si>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</si>
  <si>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</si>
  <si>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</si>
  <si>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</si>
  <si>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</si>
  <si>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</si>
  <si>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</si>
  <si>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</si>
  <si>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</si>
  <si>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</si>
  <si>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</si>
  <si>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通算スコア</t>
    <rPh sb="0" eb="2">
      <t>ツウサン</t>
    </rPh>
    <phoneticPr fontId="1"/>
  </si>
  <si>
    <t>回</t>
    <rPh sb="0" eb="1">
      <t>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</si>
</sst>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9" fontId="0" fillId="0" borderId="24" xfId="0" applyNumberFormat="1" applyBorder="1" applyAlignment="1">
      <alignment horizontal="center" vertical="center" shrinkToFit="1"/>
    </xf>
    <xf numFmtId="9" fontId="0" fillId="0" borderId="24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だいち!$E$2:$E$93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だいち!$F$2:$F$93</c:f>
              <c:numCache>
                <c:formatCode>\+0;\-0;\±0</c:formatCode>
                <c:ptCount val="9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  <c:pt idx="88">
                  <c:v>362</c:v>
                </c:pt>
                <c:pt idx="89">
                  <c:v>361</c:v>
                </c:pt>
                <c:pt idx="90">
                  <c:v>387</c:v>
                </c:pt>
                <c:pt idx="91">
                  <c:v>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4F-48F1-9F02-ED991C834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かこたろう!$E$2:$E$6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かこたろう!$F$2:$F$6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1E-40B5-AFA5-0B08B75C7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ともき!$E$2:$E$3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ともき!$F$2:$F$3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7-4F3C-95CB-33B5460B0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りくと!$E$2:$E$56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りくと!$F$2:$F$56</c:f>
              <c:numCache>
                <c:formatCode>\+0;\-0;\±0</c:formatCode>
                <c:ptCount val="55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  <c:pt idx="51">
                  <c:v>-269</c:v>
                </c:pt>
                <c:pt idx="52">
                  <c:v>-308</c:v>
                </c:pt>
                <c:pt idx="53">
                  <c:v>-336</c:v>
                </c:pt>
                <c:pt idx="54">
                  <c:v>-378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E7-46DE-9EF5-ACAEF051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いっしー!$E$2:$E$41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いっしー!$F$2:$F$41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45-4755-A0C9-F8335E646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がくと!$F$1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がくと!$E$2:$E$3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がくと!$F$2:$F$3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E2-4B48-B2ED-C7D827E9C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たかの!$E$2:$E$32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たかの!$F$2:$F$32</c:f>
              <c:numCache>
                <c:formatCode>\+0;\-0;\±0</c:formatCode>
                <c:ptCount val="31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55-4707-81E4-7157B58EA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ただ!$E$2:$E$34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ただ!$F$2:$F$34</c:f>
              <c:numCache>
                <c:formatCode>\+0;\-0;\±0</c:formatCode>
                <c:ptCount val="33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3F-40B5-9D2A-D941E4E7D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やがさき!$E$2:$E$14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やがさき!$F$2:$F$14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13-44F4-A9E0-338CBAAC2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れんたろう!$E$2:$E$26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れんたろう!$F$2:$F$26</c:f>
              <c:numCache>
                <c:formatCode>\+0;\-0;\±0</c:formatCode>
                <c:ptCount val="25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  <c:pt idx="21">
                  <c:v>-242</c:v>
                </c:pt>
                <c:pt idx="22">
                  <c:v>-203</c:v>
                </c:pt>
                <c:pt idx="23">
                  <c:v>-201</c:v>
                </c:pt>
                <c:pt idx="24">
                  <c:v>-168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C-45E4-8FCB-B55D9CA3B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Template!$F$1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Template!$E$2:$E$9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Template!$F$2:$F$9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FA0F22-06EF-480B-BB1A-2ED28C180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D6EC47-5C30-43A6-88ED-CABFB9826E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A4DEFA-357A-4632-8BCB-7942B8C229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CBB716-9CB3-43C9-A57D-FE9F9B36B0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9715CB-0F24-4A22-890C-A5D9EE2D9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002442-026F-41EA-9D4D-91A5DD820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237E5A-4333-44AB-9265-60774612A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B4E0AC-90A2-4D58-AB8D-E17FF7DBE1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93493C-7194-42AA-8818-FC2A89910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D4A2BF-E412-47C0-B72A-C0405B495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1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A1" s="47"/>
      <c r="B1" s="51" t="s">
        <v>6</v>
      </c>
      <c r="C1" s="52"/>
      <c r="D1" s="51" t="s">
        <v>7</v>
      </c>
      <c r="E1" s="52"/>
      <c r="F1" s="51" t="s">
        <v>23</v>
      </c>
      <c r="G1" s="52"/>
      <c r="H1" s="51" t="s">
        <v>22</v>
      </c>
      <c r="I1" s="52"/>
      <c r="J1" s="51" t="s">
        <v>33</v>
      </c>
      <c r="K1" s="52"/>
      <c r="L1" s="51" t="s">
        <v>24</v>
      </c>
      <c r="M1" s="52"/>
      <c r="N1" s="51" t="s">
        <v>25</v>
      </c>
      <c r="O1" s="52"/>
      <c r="P1" s="51" t="s">
        <v>5</v>
      </c>
      <c r="Q1" s="52"/>
      <c r="R1" s="51" t="s">
        <v>32</v>
      </c>
      <c r="S1" s="52"/>
    </row>
    <row r="2" spans="1:19" x14ac:dyDescent="0.4">
      <c r="A2" s="38">
        <v>1</v>
      </c>
      <c r="B2" s="39" t="s">
        <v>26</v>
      </c>
      <c r="C2" s="40">
        <v>397</v>
      </c>
      <c r="D2" s="41" t="s">
        <v>18</v>
      </c>
      <c r="E2" s="42">
        <v>7</v>
      </c>
      <c r="F2" s="41" t="s">
        <v>35</v>
      </c>
      <c r="G2" s="43">
        <v>1.75</v>
      </c>
      <c r="H2" s="41" t="s">
        <v>35</v>
      </c>
      <c r="I2" s="44">
        <v>0.5</v>
      </c>
      <c r="J2" s="41" t="s">
        <v>18</v>
      </c>
      <c r="K2" s="44">
        <v>0</v>
      </c>
      <c r="L2" s="41" t="s">
        <v>18</v>
      </c>
      <c r="M2" s="45">
        <v>0.4</v>
      </c>
      <c r="N2" s="41" t="s">
        <v>28</v>
      </c>
      <c r="O2" s="45">
        <v>0.13235294117647059</v>
      </c>
      <c r="P2" s="41" t="s">
        <v>27</v>
      </c>
      <c r="Q2" s="46">
        <v>11200</v>
      </c>
      <c r="R2" s="41" t="s">
        <v>30</v>
      </c>
      <c r="S2" s="46">
        <v>-7400</v>
      </c>
    </row>
    <row r="3" spans="1:19" x14ac:dyDescent="0.4">
      <c r="A3" s="33">
        <v>2</v>
      </c>
      <c r="B3" s="32" t="s">
        <v>28</v>
      </c>
      <c r="C3" s="25">
        <v>229</v>
      </c>
      <c r="D3" s="20" t="s">
        <v>35</v>
      </c>
      <c r="E3" s="24">
        <v>6.916666666666667</v>
      </c>
      <c r="F3" s="20" t="s">
        <v>28</v>
      </c>
      <c r="G3" s="31">
        <v>1.8461538461538463</v>
      </c>
      <c r="H3" s="20" t="s">
        <v>26</v>
      </c>
      <c r="I3" s="23">
        <v>0.37362637362637363</v>
      </c>
      <c r="J3" s="20" t="s">
        <v>26</v>
      </c>
      <c r="K3" s="23">
        <v>0.12087912087912088</v>
      </c>
      <c r="L3" s="20" t="s">
        <v>28</v>
      </c>
      <c r="M3" s="22">
        <v>0.35661764705882354</v>
      </c>
      <c r="N3" s="20" t="s">
        <v>35</v>
      </c>
      <c r="O3" s="22">
        <v>0.13414634146341464</v>
      </c>
      <c r="P3" s="20" t="s">
        <v>29</v>
      </c>
      <c r="Q3" s="21">
        <v>11100</v>
      </c>
      <c r="R3" s="20" t="s">
        <v>37</v>
      </c>
      <c r="S3" s="21">
        <v>-8200</v>
      </c>
    </row>
    <row r="4" spans="1:19" x14ac:dyDescent="0.4">
      <c r="A4" s="33">
        <v>3</v>
      </c>
      <c r="B4" s="32" t="s">
        <v>35</v>
      </c>
      <c r="C4" s="25">
        <v>83</v>
      </c>
      <c r="D4" s="20" t="s">
        <v>28</v>
      </c>
      <c r="E4" s="24">
        <v>5.8717948717948714</v>
      </c>
      <c r="F4" s="20" t="s">
        <v>26</v>
      </c>
      <c r="G4" s="31">
        <v>1.8681318681318682</v>
      </c>
      <c r="H4" s="20" t="s">
        <v>28</v>
      </c>
      <c r="I4" s="23">
        <v>0.35897435897435898</v>
      </c>
      <c r="J4" s="20" t="s">
        <v>28</v>
      </c>
      <c r="K4" s="23">
        <v>0.12820512820512819</v>
      </c>
      <c r="L4" s="20" t="s">
        <v>26</v>
      </c>
      <c r="M4" s="22">
        <v>0.34894259818731116</v>
      </c>
      <c r="N4" s="20" t="s">
        <v>31</v>
      </c>
      <c r="O4" s="22">
        <v>0.15481171548117154</v>
      </c>
      <c r="P4" s="20" t="s">
        <v>35</v>
      </c>
      <c r="Q4" s="21">
        <v>10900</v>
      </c>
      <c r="R4" s="20" t="s">
        <v>21</v>
      </c>
      <c r="S4" s="21">
        <v>-8500</v>
      </c>
    </row>
    <row r="5" spans="1:19" x14ac:dyDescent="0.4">
      <c r="A5" s="33">
        <v>4</v>
      </c>
      <c r="B5" s="32" t="s">
        <v>30</v>
      </c>
      <c r="C5" s="25">
        <v>14</v>
      </c>
      <c r="D5" s="20" t="s">
        <v>26</v>
      </c>
      <c r="E5" s="24">
        <v>4.3626373626373622</v>
      </c>
      <c r="F5" s="20" t="s">
        <v>18</v>
      </c>
      <c r="G5" s="31">
        <v>2</v>
      </c>
      <c r="H5" s="20" t="s">
        <v>31</v>
      </c>
      <c r="I5" s="23">
        <v>0.34375</v>
      </c>
      <c r="J5" s="20" t="s">
        <v>30</v>
      </c>
      <c r="K5" s="23">
        <v>0.13333333333333333</v>
      </c>
      <c r="L5" s="20" t="s">
        <v>35</v>
      </c>
      <c r="M5" s="22">
        <v>0.34146341463414637</v>
      </c>
      <c r="N5" s="20" t="s">
        <v>26</v>
      </c>
      <c r="O5" s="22">
        <v>0.15709969788519637</v>
      </c>
      <c r="P5" s="20" t="s">
        <v>31</v>
      </c>
      <c r="Q5" s="21">
        <v>10800</v>
      </c>
      <c r="R5" s="20" t="s">
        <v>28</v>
      </c>
      <c r="S5" s="21">
        <v>-9600</v>
      </c>
    </row>
    <row r="6" spans="1:19" x14ac:dyDescent="0.4">
      <c r="A6" s="33">
        <v>5</v>
      </c>
      <c r="B6" s="32" t="s">
        <v>18</v>
      </c>
      <c r="C6" s="25">
        <v>7</v>
      </c>
      <c r="D6" s="20" t="s">
        <v>30</v>
      </c>
      <c r="E6" s="24">
        <v>0.46666666666666667</v>
      </c>
      <c r="F6" s="20" t="s">
        <v>21</v>
      </c>
      <c r="G6" s="31">
        <v>2</v>
      </c>
      <c r="H6" s="20" t="s">
        <v>30</v>
      </c>
      <c r="I6" s="23">
        <v>0.3</v>
      </c>
      <c r="J6" s="20" t="s">
        <v>31</v>
      </c>
      <c r="K6" s="23">
        <v>0.1875</v>
      </c>
      <c r="L6" s="20" t="s">
        <v>30</v>
      </c>
      <c r="M6" s="22">
        <v>0.29166666666666669</v>
      </c>
      <c r="N6" s="20" t="s">
        <v>29</v>
      </c>
      <c r="O6" s="22">
        <v>0.19791666666666666</v>
      </c>
      <c r="P6" s="20" t="s">
        <v>30</v>
      </c>
      <c r="Q6" s="21">
        <v>10600</v>
      </c>
      <c r="R6" s="20" t="s">
        <v>29</v>
      </c>
      <c r="S6" s="21">
        <v>-9600</v>
      </c>
    </row>
    <row r="7" spans="1:19" x14ac:dyDescent="0.4">
      <c r="A7" s="33">
        <v>6</v>
      </c>
      <c r="B7" s="32" t="s">
        <v>31</v>
      </c>
      <c r="C7" s="25">
        <v>-11</v>
      </c>
      <c r="D7" s="20" t="s">
        <v>31</v>
      </c>
      <c r="E7" s="24">
        <v>-0.34375</v>
      </c>
      <c r="F7" s="20" t="s">
        <v>31</v>
      </c>
      <c r="G7" s="31">
        <v>2</v>
      </c>
      <c r="H7" s="20" t="s">
        <v>27</v>
      </c>
      <c r="I7" s="23">
        <v>0.29629629629629628</v>
      </c>
      <c r="J7" s="20" t="s">
        <v>35</v>
      </c>
      <c r="K7" s="23">
        <v>0.25</v>
      </c>
      <c r="L7" s="20" t="s">
        <v>31</v>
      </c>
      <c r="M7" s="22">
        <v>0.28451882845188287</v>
      </c>
      <c r="N7" s="20" t="s">
        <v>18</v>
      </c>
      <c r="O7" s="22">
        <v>0.2</v>
      </c>
      <c r="P7" s="20" t="s">
        <v>26</v>
      </c>
      <c r="Q7" s="21">
        <v>10100</v>
      </c>
      <c r="R7" s="20" t="s">
        <v>35</v>
      </c>
      <c r="S7" s="21">
        <v>-9900</v>
      </c>
    </row>
    <row r="8" spans="1:19" x14ac:dyDescent="0.4">
      <c r="A8" s="33">
        <v>7</v>
      </c>
      <c r="B8" s="32" t="s">
        <v>21</v>
      </c>
      <c r="C8" s="25">
        <v>-41</v>
      </c>
      <c r="D8" s="20" t="s">
        <v>27</v>
      </c>
      <c r="E8" s="24">
        <v>-7</v>
      </c>
      <c r="F8" s="20" t="s">
        <v>30</v>
      </c>
      <c r="G8" s="31">
        <v>2.0333333333333332</v>
      </c>
      <c r="H8" s="20" t="s">
        <v>29</v>
      </c>
      <c r="I8" s="23">
        <v>0.25</v>
      </c>
      <c r="J8" s="20" t="s">
        <v>29</v>
      </c>
      <c r="K8" s="23">
        <v>0.25</v>
      </c>
      <c r="L8" s="20" t="s">
        <v>29</v>
      </c>
      <c r="M8" s="22">
        <v>0.27083333333333331</v>
      </c>
      <c r="N8" s="20" t="s">
        <v>30</v>
      </c>
      <c r="O8" s="22">
        <v>0.2</v>
      </c>
      <c r="P8" s="20" t="s">
        <v>28</v>
      </c>
      <c r="Q8" s="21">
        <v>9600</v>
      </c>
      <c r="R8" s="20" t="s">
        <v>26</v>
      </c>
      <c r="S8" s="21">
        <v>-10000</v>
      </c>
    </row>
    <row r="9" spans="1:19" x14ac:dyDescent="0.4">
      <c r="A9" s="33">
        <v>8</v>
      </c>
      <c r="B9" s="32" t="s">
        <v>37</v>
      </c>
      <c r="C9" s="25">
        <v>-132</v>
      </c>
      <c r="D9" s="20" t="s">
        <v>29</v>
      </c>
      <c r="E9" s="24">
        <v>-7</v>
      </c>
      <c r="F9" s="20" t="s">
        <v>27</v>
      </c>
      <c r="G9" s="31">
        <v>2.1851851851851851</v>
      </c>
      <c r="H9" s="20" t="s">
        <v>37</v>
      </c>
      <c r="I9" s="23">
        <v>0</v>
      </c>
      <c r="J9" s="20" t="s">
        <v>27</v>
      </c>
      <c r="K9" s="23">
        <v>0.27777777777777779</v>
      </c>
      <c r="L9" s="20" t="s">
        <v>27</v>
      </c>
      <c r="M9" s="22">
        <v>0.23267326732673269</v>
      </c>
      <c r="N9" s="20" t="s">
        <v>27</v>
      </c>
      <c r="O9" s="22">
        <v>0.21039603960396039</v>
      </c>
      <c r="P9" s="20" t="s">
        <v>18</v>
      </c>
      <c r="Q9" s="21">
        <v>8000</v>
      </c>
      <c r="R9" s="20" t="s">
        <v>31</v>
      </c>
      <c r="S9" s="21">
        <v>-10200</v>
      </c>
    </row>
    <row r="10" spans="1:19" x14ac:dyDescent="0.4">
      <c r="A10" s="33">
        <v>9</v>
      </c>
      <c r="B10" s="32" t="s">
        <v>29</v>
      </c>
      <c r="C10" s="25">
        <v>-168</v>
      </c>
      <c r="D10" s="20" t="s">
        <v>37</v>
      </c>
      <c r="E10" s="24">
        <v>-33</v>
      </c>
      <c r="F10" s="20" t="s">
        <v>29</v>
      </c>
      <c r="G10" s="31">
        <v>2.25</v>
      </c>
      <c r="H10" s="20" t="s">
        <v>18</v>
      </c>
      <c r="I10" s="23">
        <v>0</v>
      </c>
      <c r="J10" s="20" t="s">
        <v>37</v>
      </c>
      <c r="K10" s="23">
        <v>0.5</v>
      </c>
      <c r="L10" s="20" t="s">
        <v>21</v>
      </c>
      <c r="M10" s="22">
        <v>0.16666666666666666</v>
      </c>
      <c r="N10" s="20" t="s">
        <v>21</v>
      </c>
      <c r="O10" s="22">
        <v>0.33333333333333331</v>
      </c>
      <c r="P10" s="20" t="s">
        <v>37</v>
      </c>
      <c r="Q10" s="21">
        <v>7800</v>
      </c>
      <c r="R10" s="20" t="s">
        <v>27</v>
      </c>
      <c r="S10" s="21">
        <v>-10400</v>
      </c>
    </row>
    <row r="11" spans="1:19" x14ac:dyDescent="0.4">
      <c r="A11" s="33">
        <v>10</v>
      </c>
      <c r="B11" s="32" t="s">
        <v>27</v>
      </c>
      <c r="C11" s="25">
        <v>-378</v>
      </c>
      <c r="D11" s="20" t="s">
        <v>21</v>
      </c>
      <c r="E11" s="24">
        <v>-41</v>
      </c>
      <c r="F11" s="20" t="s">
        <v>37</v>
      </c>
      <c r="G11" s="31">
        <v>3</v>
      </c>
      <c r="H11" s="20" t="s">
        <v>21</v>
      </c>
      <c r="I11" s="23">
        <v>0</v>
      </c>
      <c r="J11" s="20" t="s">
        <v>21</v>
      </c>
      <c r="K11" s="23">
        <v>1</v>
      </c>
      <c r="L11" s="20" t="s">
        <v>37</v>
      </c>
      <c r="M11" s="22">
        <v>0.04</v>
      </c>
      <c r="N11" s="20" t="s">
        <v>37</v>
      </c>
      <c r="O11" s="22">
        <v>0.4</v>
      </c>
      <c r="P11" s="20" t="s">
        <v>21</v>
      </c>
      <c r="Q11" s="21">
        <v>1300</v>
      </c>
      <c r="R11" s="20" t="s">
        <v>18</v>
      </c>
      <c r="S11" s="21">
        <v>-12000</v>
      </c>
    </row>
  </sheetData>
  <sortState ref="R2:S28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2B0E9-21A6-4107-9F1F-66F2C46B7C14}">
  <sheetPr codeName="Sheet2"/>
  <dimension ref="A1:F93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15</v>
      </c>
      <c r="C1" s="54"/>
      <c r="E1" s="49" t="s">
        <v>41</v>
      </c>
      <c r="F1" s="50" t="s">
        <v>6</v>
      </c>
    </row>
    <row r="2" spans="1:6" ht="19.5" thickTop="1" x14ac:dyDescent="0.4">
      <c r="A2" s="4" t="s">
        <v>9</v>
      </c>
      <c r="B2" s="9">
        <v>91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662</v>
      </c>
      <c r="C3" s="12"/>
      <c r="E3" s="5">
        <v>1</v>
      </c>
      <c r="F3" s="13">
        <v>15</v>
      </c>
    </row>
    <row r="4" spans="1:6" x14ac:dyDescent="0.4">
      <c r="A4" s="5" t="s">
        <v>6</v>
      </c>
      <c r="B4" s="2">
        <v>397</v>
      </c>
      <c r="C4" s="13"/>
      <c r="E4" s="5">
        <v>2</v>
      </c>
      <c r="F4" s="13">
        <v>14</v>
      </c>
    </row>
    <row r="5" spans="1:6" x14ac:dyDescent="0.4">
      <c r="A5" s="5" t="s">
        <v>7</v>
      </c>
      <c r="B5" s="10">
        <f>B4/B2</f>
        <v>4.3626373626373622</v>
      </c>
      <c r="C5" s="14"/>
      <c r="E5" s="5">
        <v>3</v>
      </c>
      <c r="F5" s="13">
        <v>29</v>
      </c>
    </row>
    <row r="6" spans="1:6" x14ac:dyDescent="0.4">
      <c r="A6" s="5" t="s">
        <v>1</v>
      </c>
      <c r="B6" s="30">
        <f>(B7*1+B8*2+B9*3)/B2</f>
        <v>1.8681318681318682</v>
      </c>
      <c r="C6" s="15"/>
      <c r="E6" s="5">
        <v>4</v>
      </c>
      <c r="F6" s="13">
        <v>114</v>
      </c>
    </row>
    <row r="7" spans="1:6" x14ac:dyDescent="0.4">
      <c r="A7" s="5" t="s">
        <v>2</v>
      </c>
      <c r="B7" s="1">
        <v>34</v>
      </c>
      <c r="C7" s="6">
        <f>B7/B2</f>
        <v>0.37362637362637363</v>
      </c>
      <c r="E7" s="5">
        <v>5</v>
      </c>
      <c r="F7" s="13">
        <v>146</v>
      </c>
    </row>
    <row r="8" spans="1:6" x14ac:dyDescent="0.4">
      <c r="A8" s="5" t="s">
        <v>3</v>
      </c>
      <c r="B8" s="1">
        <v>35</v>
      </c>
      <c r="C8" s="6">
        <f>B8/B2</f>
        <v>0.38461538461538464</v>
      </c>
      <c r="E8" s="5">
        <v>6</v>
      </c>
      <c r="F8" s="13">
        <v>98</v>
      </c>
    </row>
    <row r="9" spans="1:6" x14ac:dyDescent="0.4">
      <c r="A9" s="27" t="s">
        <v>4</v>
      </c>
      <c r="B9" s="28">
        <v>22</v>
      </c>
      <c r="C9" s="29">
        <f>B9/B2</f>
        <v>0.24175824175824176</v>
      </c>
      <c r="E9" s="5">
        <v>7</v>
      </c>
      <c r="F9" s="13">
        <v>92</v>
      </c>
    </row>
    <row r="10" spans="1:6" ht="19.5" thickBot="1" x14ac:dyDescent="0.45">
      <c r="A10" s="35" t="s">
        <v>34</v>
      </c>
      <c r="B10" s="36">
        <v>11</v>
      </c>
      <c r="C10" s="37">
        <f>B10/B2</f>
        <v>0.12087912087912088</v>
      </c>
      <c r="E10" s="5">
        <v>8</v>
      </c>
      <c r="F10" s="13">
        <v>56</v>
      </c>
    </row>
    <row r="11" spans="1:6" ht="19.5" thickTop="1" x14ac:dyDescent="0.4">
      <c r="A11" s="4" t="s">
        <v>10</v>
      </c>
      <c r="B11" s="9">
        <f>B12+B13</f>
        <v>231</v>
      </c>
      <c r="C11" s="16">
        <f>B11/B3</f>
        <v>0.34894259818731116</v>
      </c>
      <c r="E11" s="5">
        <v>9</v>
      </c>
      <c r="F11" s="13">
        <v>15</v>
      </c>
    </row>
    <row r="12" spans="1:6" x14ac:dyDescent="0.4">
      <c r="A12" s="5" t="s">
        <v>11</v>
      </c>
      <c r="B12" s="1">
        <v>149</v>
      </c>
      <c r="C12" s="6">
        <f>B12/B3</f>
        <v>0.22507552870090636</v>
      </c>
      <c r="E12" s="5">
        <v>10</v>
      </c>
      <c r="F12" s="13">
        <v>-17</v>
      </c>
    </row>
    <row r="13" spans="1:6" x14ac:dyDescent="0.4">
      <c r="A13" s="5" t="s">
        <v>12</v>
      </c>
      <c r="B13" s="1">
        <v>82</v>
      </c>
      <c r="C13" s="6">
        <f>B13/B3</f>
        <v>0.12386706948640483</v>
      </c>
      <c r="E13" s="5">
        <v>11</v>
      </c>
      <c r="F13" s="13">
        <v>1</v>
      </c>
    </row>
    <row r="14" spans="1:6" x14ac:dyDescent="0.4">
      <c r="A14" s="5" t="s">
        <v>13</v>
      </c>
      <c r="B14" s="1">
        <v>104</v>
      </c>
      <c r="C14" s="6">
        <f>B14/B3</f>
        <v>0.15709969788519637</v>
      </c>
      <c r="E14" s="5">
        <v>12</v>
      </c>
      <c r="F14" s="13">
        <v>14</v>
      </c>
    </row>
    <row r="15" spans="1:6" x14ac:dyDescent="0.4">
      <c r="A15" s="5" t="s">
        <v>5</v>
      </c>
      <c r="B15" s="8">
        <f>IF(B11=0,0,ROUND(C15/B11,-2))</f>
        <v>10100</v>
      </c>
      <c r="C15" s="17">
        <v>2323200</v>
      </c>
      <c r="E15" s="5">
        <v>13</v>
      </c>
      <c r="F15" s="13">
        <v>71</v>
      </c>
    </row>
    <row r="16" spans="1:6" x14ac:dyDescent="0.4">
      <c r="A16" s="7" t="s">
        <v>14</v>
      </c>
      <c r="B16" s="18">
        <f>IF(B14=0,0,ROUND(C16/B14,-2))</f>
        <v>-10000</v>
      </c>
      <c r="C16" s="19">
        <v>-1039300</v>
      </c>
      <c r="E16" s="5">
        <v>14</v>
      </c>
      <c r="F16" s="13">
        <v>27</v>
      </c>
    </row>
    <row r="17" spans="5:6" x14ac:dyDescent="0.4">
      <c r="E17" s="5">
        <v>15</v>
      </c>
      <c r="F17" s="13">
        <v>-10</v>
      </c>
    </row>
    <row r="18" spans="5:6" x14ac:dyDescent="0.4">
      <c r="E18" s="5">
        <v>16</v>
      </c>
      <c r="F18" s="13">
        <v>-8</v>
      </c>
    </row>
    <row r="19" spans="5:6" x14ac:dyDescent="0.4">
      <c r="E19" s="5">
        <v>17</v>
      </c>
      <c r="F19" s="13">
        <v>-29</v>
      </c>
    </row>
    <row r="20" spans="5:6" x14ac:dyDescent="0.4">
      <c r="E20" s="5">
        <v>18</v>
      </c>
      <c r="F20" s="13">
        <v>-14</v>
      </c>
    </row>
    <row r="21" spans="5:6" x14ac:dyDescent="0.4">
      <c r="E21" s="5">
        <v>19</v>
      </c>
      <c r="F21" s="13">
        <v>43</v>
      </c>
    </row>
    <row r="22" spans="5:6" x14ac:dyDescent="0.4">
      <c r="E22" s="5">
        <v>20</v>
      </c>
      <c r="F22" s="13">
        <v>69</v>
      </c>
    </row>
    <row r="23" spans="5:6" x14ac:dyDescent="0.4">
      <c r="E23" s="5">
        <v>21</v>
      </c>
      <c r="F23" s="13">
        <v>126</v>
      </c>
    </row>
    <row r="24" spans="5:6" x14ac:dyDescent="0.4">
      <c r="E24" s="5">
        <v>22</v>
      </c>
      <c r="F24" s="13">
        <v>100</v>
      </c>
    </row>
    <row r="25" spans="5:6" x14ac:dyDescent="0.4">
      <c r="E25" s="5">
        <v>23</v>
      </c>
      <c r="F25" s="13">
        <v>125</v>
      </c>
    </row>
    <row r="26" spans="5:6" x14ac:dyDescent="0.4">
      <c r="E26" s="5">
        <v>24</v>
      </c>
      <c r="F26" s="13">
        <v>118</v>
      </c>
    </row>
    <row r="27" spans="5:6" x14ac:dyDescent="0.4">
      <c r="E27" s="5">
        <v>25</v>
      </c>
      <c r="F27" s="13">
        <v>84</v>
      </c>
    </row>
    <row r="28" spans="5:6" x14ac:dyDescent="0.4">
      <c r="E28" s="5">
        <v>26</v>
      </c>
      <c r="F28" s="13">
        <v>108</v>
      </c>
    </row>
    <row r="29" spans="5:6" x14ac:dyDescent="0.4">
      <c r="E29" s="5">
        <v>27</v>
      </c>
      <c r="F29" s="13">
        <v>71</v>
      </c>
    </row>
    <row r="30" spans="5:6" x14ac:dyDescent="0.4">
      <c r="E30" s="5">
        <v>28</v>
      </c>
      <c r="F30" s="13">
        <v>129</v>
      </c>
    </row>
    <row r="31" spans="5:6" x14ac:dyDescent="0.4">
      <c r="E31" s="5">
        <v>29</v>
      </c>
      <c r="F31" s="13">
        <v>121</v>
      </c>
    </row>
    <row r="32" spans="5:6" x14ac:dyDescent="0.4">
      <c r="E32" s="5">
        <v>30</v>
      </c>
      <c r="F32" s="13">
        <v>113</v>
      </c>
    </row>
    <row r="33" spans="5:6" x14ac:dyDescent="0.4">
      <c r="E33" s="5">
        <v>31</v>
      </c>
      <c r="F33" s="13">
        <v>166</v>
      </c>
    </row>
    <row r="34" spans="5:6" x14ac:dyDescent="0.4">
      <c r="E34" s="5">
        <v>32</v>
      </c>
      <c r="F34" s="13">
        <v>152</v>
      </c>
    </row>
    <row r="35" spans="5:6" x14ac:dyDescent="0.4">
      <c r="E35" s="5">
        <v>33</v>
      </c>
      <c r="F35" s="13">
        <v>213</v>
      </c>
    </row>
    <row r="36" spans="5:6" x14ac:dyDescent="0.4">
      <c r="E36" s="5">
        <v>34</v>
      </c>
      <c r="F36" s="13">
        <v>263</v>
      </c>
    </row>
    <row r="37" spans="5:6" x14ac:dyDescent="0.4">
      <c r="E37" s="5">
        <v>35</v>
      </c>
      <c r="F37" s="13">
        <v>249</v>
      </c>
    </row>
    <row r="38" spans="5:6" x14ac:dyDescent="0.4">
      <c r="E38" s="5">
        <v>36</v>
      </c>
      <c r="F38" s="13">
        <v>246</v>
      </c>
    </row>
    <row r="39" spans="5:6" x14ac:dyDescent="0.4">
      <c r="E39" s="5">
        <v>37</v>
      </c>
      <c r="F39" s="13">
        <v>229</v>
      </c>
    </row>
    <row r="40" spans="5:6" x14ac:dyDescent="0.4">
      <c r="E40" s="5">
        <v>38</v>
      </c>
      <c r="F40" s="13">
        <v>250</v>
      </c>
    </row>
    <row r="41" spans="5:6" x14ac:dyDescent="0.4">
      <c r="E41" s="5">
        <v>39</v>
      </c>
      <c r="F41" s="13">
        <v>199</v>
      </c>
    </row>
    <row r="42" spans="5:6" x14ac:dyDescent="0.4">
      <c r="E42" s="5">
        <v>40</v>
      </c>
      <c r="F42" s="13">
        <v>191</v>
      </c>
    </row>
    <row r="43" spans="5:6" x14ac:dyDescent="0.4">
      <c r="E43" s="5">
        <v>41</v>
      </c>
      <c r="F43" s="13">
        <v>184</v>
      </c>
    </row>
    <row r="44" spans="5:6" x14ac:dyDescent="0.4">
      <c r="E44" s="5">
        <v>42</v>
      </c>
      <c r="F44" s="13">
        <v>148</v>
      </c>
    </row>
    <row r="45" spans="5:6" x14ac:dyDescent="0.4">
      <c r="E45" s="5">
        <v>43</v>
      </c>
      <c r="F45" s="13">
        <v>139</v>
      </c>
    </row>
    <row r="46" spans="5:6" x14ac:dyDescent="0.4">
      <c r="E46" s="5">
        <v>44</v>
      </c>
      <c r="F46" s="13">
        <v>147</v>
      </c>
    </row>
    <row r="47" spans="5:6" x14ac:dyDescent="0.4">
      <c r="E47" s="5">
        <v>45</v>
      </c>
      <c r="F47" s="13">
        <v>137</v>
      </c>
    </row>
    <row r="48" spans="5:6" x14ac:dyDescent="0.4">
      <c r="E48" s="5">
        <v>46</v>
      </c>
      <c r="F48" s="13">
        <v>165</v>
      </c>
    </row>
    <row r="49" spans="5:6" x14ac:dyDescent="0.4">
      <c r="E49" s="5">
        <v>47</v>
      </c>
      <c r="F49" s="13">
        <v>144</v>
      </c>
    </row>
    <row r="50" spans="5:6" x14ac:dyDescent="0.4">
      <c r="E50" s="5">
        <v>48</v>
      </c>
      <c r="F50" s="13">
        <v>113</v>
      </c>
    </row>
    <row r="51" spans="5:6" x14ac:dyDescent="0.4">
      <c r="E51" s="5">
        <v>49</v>
      </c>
      <c r="F51" s="13">
        <v>129</v>
      </c>
    </row>
    <row r="52" spans="5:6" x14ac:dyDescent="0.4">
      <c r="E52" s="5">
        <v>50</v>
      </c>
      <c r="F52" s="13">
        <v>124</v>
      </c>
    </row>
    <row r="53" spans="5:6" x14ac:dyDescent="0.4">
      <c r="E53" s="5">
        <v>51</v>
      </c>
      <c r="F53" s="13">
        <v>137</v>
      </c>
    </row>
    <row r="54" spans="5:6" x14ac:dyDescent="0.4">
      <c r="E54" s="5">
        <v>52</v>
      </c>
      <c r="F54" s="13">
        <v>138</v>
      </c>
    </row>
    <row r="55" spans="5:6" x14ac:dyDescent="0.4">
      <c r="E55" s="5">
        <v>53</v>
      </c>
      <c r="F55" s="13">
        <v>131</v>
      </c>
    </row>
    <row r="56" spans="5:6" x14ac:dyDescent="0.4">
      <c r="E56" s="5">
        <v>54</v>
      </c>
      <c r="F56" s="13">
        <v>103</v>
      </c>
    </row>
    <row r="57" spans="5:6" x14ac:dyDescent="0.4">
      <c r="E57" s="5">
        <v>55</v>
      </c>
      <c r="F57" s="13">
        <v>120</v>
      </c>
    </row>
    <row r="58" spans="5:6" x14ac:dyDescent="0.4">
      <c r="E58" s="5">
        <v>56</v>
      </c>
      <c r="F58" s="13">
        <v>113</v>
      </c>
    </row>
    <row r="59" spans="5:6" x14ac:dyDescent="0.4">
      <c r="E59" s="5">
        <v>57</v>
      </c>
      <c r="F59" s="13">
        <v>145</v>
      </c>
    </row>
    <row r="60" spans="5:6" x14ac:dyDescent="0.4">
      <c r="E60" s="5">
        <v>58</v>
      </c>
      <c r="F60" s="13">
        <v>161</v>
      </c>
    </row>
    <row r="61" spans="5:6" x14ac:dyDescent="0.4">
      <c r="E61" s="5">
        <v>59</v>
      </c>
      <c r="F61" s="13">
        <v>218</v>
      </c>
    </row>
    <row r="62" spans="5:6" x14ac:dyDescent="0.4">
      <c r="E62" s="5">
        <v>60</v>
      </c>
      <c r="F62" s="13">
        <v>223</v>
      </c>
    </row>
    <row r="63" spans="5:6" x14ac:dyDescent="0.4">
      <c r="E63" s="5">
        <v>61</v>
      </c>
      <c r="F63" s="13">
        <v>177</v>
      </c>
    </row>
    <row r="64" spans="5:6" x14ac:dyDescent="0.4">
      <c r="E64" s="5">
        <v>62</v>
      </c>
      <c r="F64" s="13">
        <v>198</v>
      </c>
    </row>
    <row r="65" spans="5:6" x14ac:dyDescent="0.4">
      <c r="E65" s="5">
        <v>63</v>
      </c>
      <c r="F65" s="13">
        <v>132</v>
      </c>
    </row>
    <row r="66" spans="5:6" x14ac:dyDescent="0.4">
      <c r="E66" s="5">
        <v>64</v>
      </c>
      <c r="F66" s="13">
        <v>127</v>
      </c>
    </row>
    <row r="67" spans="5:6" x14ac:dyDescent="0.4">
      <c r="E67" s="5">
        <v>65</v>
      </c>
      <c r="F67" s="13">
        <v>128</v>
      </c>
    </row>
    <row r="68" spans="5:6" x14ac:dyDescent="0.4">
      <c r="E68" s="5">
        <v>66</v>
      </c>
      <c r="F68" s="13">
        <v>160</v>
      </c>
    </row>
    <row r="69" spans="5:6" x14ac:dyDescent="0.4">
      <c r="E69" s="5">
        <v>67</v>
      </c>
      <c r="F69" s="13">
        <v>141</v>
      </c>
    </row>
    <row r="70" spans="5:6" x14ac:dyDescent="0.4">
      <c r="E70" s="5">
        <v>68</v>
      </c>
      <c r="F70" s="13">
        <v>131</v>
      </c>
    </row>
    <row r="71" spans="5:6" x14ac:dyDescent="0.4">
      <c r="E71" s="5">
        <v>69</v>
      </c>
      <c r="F71" s="13">
        <v>132</v>
      </c>
    </row>
    <row r="72" spans="5:6" x14ac:dyDescent="0.4">
      <c r="E72" s="5">
        <v>70</v>
      </c>
      <c r="F72" s="13">
        <v>164</v>
      </c>
    </row>
    <row r="73" spans="5:6" x14ac:dyDescent="0.4">
      <c r="E73" s="5">
        <v>71</v>
      </c>
      <c r="F73" s="13">
        <v>192</v>
      </c>
    </row>
    <row r="74" spans="5:6" x14ac:dyDescent="0.4">
      <c r="E74" s="5">
        <v>72</v>
      </c>
      <c r="F74" s="13">
        <v>185</v>
      </c>
    </row>
    <row r="75" spans="5:6" x14ac:dyDescent="0.4">
      <c r="E75" s="5">
        <v>73</v>
      </c>
      <c r="F75" s="13">
        <v>203</v>
      </c>
    </row>
    <row r="76" spans="5:6" x14ac:dyDescent="0.4">
      <c r="E76" s="5">
        <v>74</v>
      </c>
      <c r="F76" s="13">
        <v>189</v>
      </c>
    </row>
    <row r="77" spans="5:6" x14ac:dyDescent="0.4">
      <c r="E77" s="5">
        <v>75</v>
      </c>
      <c r="F77" s="13">
        <v>229</v>
      </c>
    </row>
    <row r="78" spans="5:6" x14ac:dyDescent="0.4">
      <c r="E78" s="5">
        <v>76</v>
      </c>
      <c r="F78" s="13">
        <v>234</v>
      </c>
    </row>
    <row r="79" spans="5:6" x14ac:dyDescent="0.4">
      <c r="E79" s="5">
        <v>77</v>
      </c>
      <c r="F79" s="13">
        <v>220</v>
      </c>
    </row>
    <row r="80" spans="5:6" x14ac:dyDescent="0.4">
      <c r="E80" s="5">
        <v>78</v>
      </c>
      <c r="F80" s="13">
        <v>225</v>
      </c>
    </row>
    <row r="81" spans="5:6" x14ac:dyDescent="0.4">
      <c r="E81" s="5">
        <v>79</v>
      </c>
      <c r="F81" s="13">
        <v>257</v>
      </c>
    </row>
    <row r="82" spans="5:6" x14ac:dyDescent="0.4">
      <c r="E82" s="5">
        <v>80</v>
      </c>
      <c r="F82" s="13">
        <v>297</v>
      </c>
    </row>
    <row r="83" spans="5:6" x14ac:dyDescent="0.4">
      <c r="E83" s="5">
        <v>81</v>
      </c>
      <c r="F83" s="13">
        <v>320</v>
      </c>
    </row>
    <row r="84" spans="5:6" x14ac:dyDescent="0.4">
      <c r="E84" s="5">
        <v>82</v>
      </c>
      <c r="F84" s="13">
        <v>352</v>
      </c>
    </row>
    <row r="85" spans="5:6" x14ac:dyDescent="0.4">
      <c r="E85" s="5">
        <v>83</v>
      </c>
      <c r="F85" s="13">
        <v>412</v>
      </c>
    </row>
    <row r="86" spans="5:6" x14ac:dyDescent="0.4">
      <c r="E86" s="5">
        <v>84</v>
      </c>
      <c r="F86" s="13">
        <v>423</v>
      </c>
    </row>
    <row r="87" spans="5:6" x14ac:dyDescent="0.4">
      <c r="E87" s="5">
        <v>85</v>
      </c>
      <c r="F87" s="13">
        <v>425</v>
      </c>
    </row>
    <row r="88" spans="5:6" x14ac:dyDescent="0.4">
      <c r="E88" s="5">
        <v>86</v>
      </c>
      <c r="F88" s="13">
        <v>404</v>
      </c>
    </row>
    <row r="89" spans="5:6" x14ac:dyDescent="0.4">
      <c r="E89" s="5">
        <v>87</v>
      </c>
      <c r="F89" s="13">
        <v>408</v>
      </c>
    </row>
    <row r="90" spans="5:6" x14ac:dyDescent="0.4">
      <c r="E90" s="5">
        <v>88</v>
      </c>
      <c r="F90" s="13">
        <v>362</v>
      </c>
    </row>
    <row r="91" spans="5:6" x14ac:dyDescent="0.4">
      <c r="E91" s="5">
        <v>89</v>
      </c>
      <c r="F91" s="13">
        <v>361</v>
      </c>
    </row>
    <row r="92" spans="5:6" x14ac:dyDescent="0.4">
      <c r="E92" s="5">
        <v>90</v>
      </c>
      <c r="F92" s="13">
        <v>387</v>
      </c>
    </row>
    <row r="93" spans="5:6" x14ac:dyDescent="0.4">
      <c r="E93" s="5">
        <v>91</v>
      </c>
      <c r="F93" s="13">
        <v>397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2AE67-5401-46A0-800F-E7FB4D8064CE}">
  <sheetPr codeName="Sheet3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38</v>
      </c>
      <c r="C1" s="54"/>
      <c r="E1" s="49" t="s">
        <v>41</v>
      </c>
      <c r="F1" s="50" t="s">
        <v>6</v>
      </c>
    </row>
    <row r="2" spans="1:6" ht="19.5" thickTop="1" x14ac:dyDescent="0.4">
      <c r="A2" s="4" t="s">
        <v>9</v>
      </c>
      <c r="B2" s="9">
        <v>4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25</v>
      </c>
      <c r="C3" s="12"/>
      <c r="E3" s="5">
        <v>1</v>
      </c>
      <c r="F3" s="13">
        <v>-22</v>
      </c>
    </row>
    <row r="4" spans="1:6" x14ac:dyDescent="0.4">
      <c r="A4" s="5" t="s">
        <v>6</v>
      </c>
      <c r="B4" s="2">
        <v>-132</v>
      </c>
      <c r="C4" s="13"/>
      <c r="E4" s="5">
        <v>2</v>
      </c>
      <c r="F4" s="13">
        <v>-60</v>
      </c>
    </row>
    <row r="5" spans="1:6" x14ac:dyDescent="0.4">
      <c r="A5" s="5" t="s">
        <v>7</v>
      </c>
      <c r="B5" s="10">
        <f>B4/B2</f>
        <v>-33</v>
      </c>
      <c r="C5" s="14"/>
      <c r="E5" s="5">
        <v>3</v>
      </c>
      <c r="F5" s="13">
        <v>-85</v>
      </c>
    </row>
    <row r="6" spans="1:6" x14ac:dyDescent="0.4">
      <c r="A6" s="5" t="s">
        <v>1</v>
      </c>
      <c r="B6" s="30">
        <f>(B7*1+B8*2+B9*3)/B2</f>
        <v>3</v>
      </c>
      <c r="C6" s="15"/>
      <c r="E6" s="5">
        <v>4</v>
      </c>
      <c r="F6" s="13">
        <v>-132</v>
      </c>
    </row>
    <row r="7" spans="1:6" x14ac:dyDescent="0.4">
      <c r="A7" s="5" t="s">
        <v>2</v>
      </c>
      <c r="B7" s="1">
        <v>0</v>
      </c>
      <c r="C7" s="6">
        <f>B7/B2</f>
        <v>0</v>
      </c>
    </row>
    <row r="8" spans="1:6" x14ac:dyDescent="0.4">
      <c r="A8" s="5" t="s">
        <v>3</v>
      </c>
      <c r="B8" s="1">
        <v>0</v>
      </c>
      <c r="C8" s="6">
        <f>B8/B2</f>
        <v>0</v>
      </c>
    </row>
    <row r="9" spans="1:6" x14ac:dyDescent="0.4">
      <c r="A9" s="27" t="s">
        <v>4</v>
      </c>
      <c r="B9" s="28">
        <v>4</v>
      </c>
      <c r="C9" s="29">
        <f>B9/B2</f>
        <v>1</v>
      </c>
    </row>
    <row r="10" spans="1:6" ht="19.5" thickBot="1" x14ac:dyDescent="0.45">
      <c r="A10" s="35" t="s">
        <v>34</v>
      </c>
      <c r="B10" s="36">
        <v>2</v>
      </c>
      <c r="C10" s="37">
        <f>B10/B2</f>
        <v>0.5</v>
      </c>
    </row>
    <row r="11" spans="1:6" ht="19.5" thickTop="1" x14ac:dyDescent="0.4">
      <c r="A11" s="4" t="s">
        <v>10</v>
      </c>
      <c r="B11" s="9">
        <f>B12+B13</f>
        <v>1</v>
      </c>
      <c r="C11" s="16">
        <f>B11/B3</f>
        <v>0.04</v>
      </c>
    </row>
    <row r="12" spans="1:6" x14ac:dyDescent="0.4">
      <c r="A12" s="5" t="s">
        <v>11</v>
      </c>
      <c r="B12" s="1">
        <v>0</v>
      </c>
      <c r="C12" s="6">
        <f>B12/B3</f>
        <v>0</v>
      </c>
    </row>
    <row r="13" spans="1:6" x14ac:dyDescent="0.4">
      <c r="A13" s="5" t="s">
        <v>12</v>
      </c>
      <c r="B13" s="1">
        <v>1</v>
      </c>
      <c r="C13" s="6">
        <f>B13/B3</f>
        <v>0.04</v>
      </c>
    </row>
    <row r="14" spans="1:6" x14ac:dyDescent="0.4">
      <c r="A14" s="5" t="s">
        <v>13</v>
      </c>
      <c r="B14" s="1">
        <v>10</v>
      </c>
      <c r="C14" s="6">
        <f>B14/B3</f>
        <v>0.4</v>
      </c>
    </row>
    <row r="15" spans="1:6" x14ac:dyDescent="0.4">
      <c r="A15" s="5" t="s">
        <v>5</v>
      </c>
      <c r="B15" s="8">
        <f>IF(B11=0,0,ROUND(C15/B11,-2))</f>
        <v>7800</v>
      </c>
      <c r="C15" s="17">
        <v>7800</v>
      </c>
    </row>
    <row r="16" spans="1:6" x14ac:dyDescent="0.4">
      <c r="A16" s="7" t="s">
        <v>14</v>
      </c>
      <c r="B16" s="18">
        <f>IF(B14=0,0,ROUND(C16/B14,-2))</f>
        <v>-8200</v>
      </c>
      <c r="C16" s="19">
        <v>-82400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6B2D2-17D0-4845-92C2-BDD6363D3E3F}">
  <sheetPr codeName="Sheet4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18</v>
      </c>
      <c r="C1" s="54"/>
      <c r="E1" s="49" t="s">
        <v>41</v>
      </c>
      <c r="F1" s="50" t="s">
        <v>6</v>
      </c>
    </row>
    <row r="2" spans="1:6" ht="19.5" thickTop="1" x14ac:dyDescent="0.4">
      <c r="A2" s="4" t="s">
        <v>9</v>
      </c>
      <c r="B2" s="9">
        <v>1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5</v>
      </c>
      <c r="C3" s="12"/>
      <c r="E3" s="5">
        <v>1</v>
      </c>
      <c r="F3" s="13">
        <v>7</v>
      </c>
    </row>
    <row r="4" spans="1:6" x14ac:dyDescent="0.4">
      <c r="A4" s="5" t="s">
        <v>6</v>
      </c>
      <c r="B4" s="2">
        <v>7</v>
      </c>
      <c r="C4" s="13"/>
    </row>
    <row r="5" spans="1:6" x14ac:dyDescent="0.4">
      <c r="A5" s="5" t="s">
        <v>7</v>
      </c>
      <c r="B5" s="10">
        <f>B4/B2</f>
        <v>7</v>
      </c>
      <c r="C5" s="14"/>
    </row>
    <row r="6" spans="1:6" x14ac:dyDescent="0.4">
      <c r="A6" s="5" t="s">
        <v>1</v>
      </c>
      <c r="B6" s="30">
        <f>(B7*1+B8*2+B9*3)/B2</f>
        <v>2</v>
      </c>
      <c r="C6" s="15"/>
    </row>
    <row r="7" spans="1:6" x14ac:dyDescent="0.4">
      <c r="A7" s="5" t="s">
        <v>2</v>
      </c>
      <c r="B7" s="1">
        <v>0</v>
      </c>
      <c r="C7" s="6">
        <f>B7/B2</f>
        <v>0</v>
      </c>
    </row>
    <row r="8" spans="1:6" x14ac:dyDescent="0.4">
      <c r="A8" s="5" t="s">
        <v>3</v>
      </c>
      <c r="B8" s="1">
        <v>1</v>
      </c>
      <c r="C8" s="6">
        <f>B8/B2</f>
        <v>1</v>
      </c>
    </row>
    <row r="9" spans="1:6" x14ac:dyDescent="0.4">
      <c r="A9" s="27" t="s">
        <v>4</v>
      </c>
      <c r="B9" s="28">
        <v>0</v>
      </c>
      <c r="C9" s="29">
        <f>B9/B2</f>
        <v>0</v>
      </c>
    </row>
    <row r="10" spans="1:6" ht="19.5" thickBot="1" x14ac:dyDescent="0.45">
      <c r="A10" s="35" t="s">
        <v>34</v>
      </c>
      <c r="B10" s="36">
        <v>0</v>
      </c>
      <c r="C10" s="37">
        <f>B10/B2</f>
        <v>0</v>
      </c>
    </row>
    <row r="11" spans="1:6" ht="19.5" thickTop="1" x14ac:dyDescent="0.4">
      <c r="A11" s="4" t="s">
        <v>10</v>
      </c>
      <c r="B11" s="9">
        <f>B12+B13</f>
        <v>2</v>
      </c>
      <c r="C11" s="16">
        <f>B11/B3</f>
        <v>0.4</v>
      </c>
    </row>
    <row r="12" spans="1:6" x14ac:dyDescent="0.4">
      <c r="A12" s="5" t="s">
        <v>11</v>
      </c>
      <c r="B12" s="1">
        <v>2</v>
      </c>
      <c r="C12" s="6">
        <f>B12/B3</f>
        <v>0.4</v>
      </c>
    </row>
    <row r="13" spans="1:6" x14ac:dyDescent="0.4">
      <c r="A13" s="5" t="s">
        <v>12</v>
      </c>
      <c r="B13" s="1">
        <v>0</v>
      </c>
      <c r="C13" s="6">
        <f>B13/B3</f>
        <v>0</v>
      </c>
    </row>
    <row r="14" spans="1:6" x14ac:dyDescent="0.4">
      <c r="A14" s="5" t="s">
        <v>13</v>
      </c>
      <c r="B14" s="1">
        <v>1</v>
      </c>
      <c r="C14" s="6">
        <f>B14/B3</f>
        <v>0.2</v>
      </c>
    </row>
    <row r="15" spans="1:6" x14ac:dyDescent="0.4">
      <c r="A15" s="5" t="s">
        <v>5</v>
      </c>
      <c r="B15" s="8">
        <f>IF(B11=0,0,ROUND(C15/B11,-2))</f>
        <v>8000</v>
      </c>
      <c r="C15" s="17">
        <v>16000</v>
      </c>
    </row>
    <row r="16" spans="1:6" x14ac:dyDescent="0.4">
      <c r="A16" s="7" t="s">
        <v>14</v>
      </c>
      <c r="B16" s="18">
        <f>IF(B14=0,0,ROUND(C16/B14,-2))</f>
        <v>-12000</v>
      </c>
      <c r="C16" s="19">
        <v>-12000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C3D2-1FA0-4149-AFD9-4A74716DCDA9}">
  <sheetPr codeName="Sheet5"/>
  <dimension ref="A1:F5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19</v>
      </c>
      <c r="C1" s="54"/>
      <c r="E1" s="49" t="s">
        <v>41</v>
      </c>
      <c r="F1" s="50" t="s">
        <v>6</v>
      </c>
    </row>
    <row r="2" spans="1:6" ht="19.5" thickTop="1" x14ac:dyDescent="0.4">
      <c r="A2" s="4" t="s">
        <v>9</v>
      </c>
      <c r="B2" s="9">
        <v>54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404</v>
      </c>
      <c r="C3" s="12"/>
      <c r="E3" s="5">
        <v>1</v>
      </c>
      <c r="F3" s="13">
        <v>41</v>
      </c>
    </row>
    <row r="4" spans="1:6" x14ac:dyDescent="0.4">
      <c r="A4" s="5" t="s">
        <v>6</v>
      </c>
      <c r="B4" s="2">
        <v>-378</v>
      </c>
      <c r="C4" s="13"/>
      <c r="E4" s="5">
        <v>2</v>
      </c>
      <c r="F4" s="13">
        <v>-1</v>
      </c>
    </row>
    <row r="5" spans="1:6" x14ac:dyDescent="0.4">
      <c r="A5" s="5" t="s">
        <v>7</v>
      </c>
      <c r="B5" s="10">
        <f>B4/B2</f>
        <v>-7</v>
      </c>
      <c r="C5" s="14"/>
      <c r="E5" s="5">
        <v>3</v>
      </c>
      <c r="F5" s="13">
        <v>-37</v>
      </c>
    </row>
    <row r="6" spans="1:6" x14ac:dyDescent="0.4">
      <c r="A6" s="5" t="s">
        <v>1</v>
      </c>
      <c r="B6" s="30">
        <f>(B7*1+B8*2+B9*3)/B2</f>
        <v>2.1851851851851851</v>
      </c>
      <c r="C6" s="15"/>
      <c r="E6" s="5">
        <v>4</v>
      </c>
      <c r="F6" s="13">
        <v>3</v>
      </c>
    </row>
    <row r="7" spans="1:6" x14ac:dyDescent="0.4">
      <c r="A7" s="5" t="s">
        <v>2</v>
      </c>
      <c r="B7" s="1">
        <v>16</v>
      </c>
      <c r="C7" s="6">
        <f>B7/B2</f>
        <v>0.29629629629629628</v>
      </c>
      <c r="E7" s="5">
        <v>5</v>
      </c>
      <c r="F7" s="13">
        <v>14</v>
      </c>
    </row>
    <row r="8" spans="1:6" x14ac:dyDescent="0.4">
      <c r="A8" s="5" t="s">
        <v>3</v>
      </c>
      <c r="B8" s="1">
        <v>12</v>
      </c>
      <c r="C8" s="6">
        <f>B8/B2</f>
        <v>0.22222222222222221</v>
      </c>
      <c r="E8" s="5">
        <v>6</v>
      </c>
      <c r="F8" s="13">
        <v>47</v>
      </c>
    </row>
    <row r="9" spans="1:6" x14ac:dyDescent="0.4">
      <c r="A9" s="27" t="s">
        <v>4</v>
      </c>
      <c r="B9" s="28">
        <v>26</v>
      </c>
      <c r="C9" s="29">
        <f>B9/B2</f>
        <v>0.48148148148148145</v>
      </c>
      <c r="E9" s="5">
        <v>7</v>
      </c>
      <c r="F9" s="13">
        <v>100</v>
      </c>
    </row>
    <row r="10" spans="1:6" ht="19.5" thickBot="1" x14ac:dyDescent="0.45">
      <c r="A10" s="35" t="s">
        <v>34</v>
      </c>
      <c r="B10" s="36">
        <v>15</v>
      </c>
      <c r="C10" s="37">
        <f>B10/B2</f>
        <v>0.27777777777777779</v>
      </c>
      <c r="E10" s="5">
        <v>8</v>
      </c>
      <c r="F10" s="13">
        <v>60</v>
      </c>
    </row>
    <row r="11" spans="1:6" ht="19.5" thickTop="1" x14ac:dyDescent="0.4">
      <c r="A11" s="4" t="s">
        <v>10</v>
      </c>
      <c r="B11" s="9">
        <f>B12+B13</f>
        <v>94</v>
      </c>
      <c r="C11" s="16">
        <f>B11/B3</f>
        <v>0.23267326732673269</v>
      </c>
      <c r="E11" s="5">
        <v>9</v>
      </c>
      <c r="F11" s="13">
        <v>24</v>
      </c>
    </row>
    <row r="12" spans="1:6" x14ac:dyDescent="0.4">
      <c r="A12" s="5" t="s">
        <v>11</v>
      </c>
      <c r="B12" s="1">
        <v>53</v>
      </c>
      <c r="C12" s="6">
        <f>B12/B3</f>
        <v>0.13118811881188119</v>
      </c>
      <c r="E12" s="5">
        <v>10</v>
      </c>
      <c r="F12" s="13">
        <v>-21</v>
      </c>
    </row>
    <row r="13" spans="1:6" x14ac:dyDescent="0.4">
      <c r="A13" s="5" t="s">
        <v>12</v>
      </c>
      <c r="B13" s="1">
        <v>41</v>
      </c>
      <c r="C13" s="6">
        <f>B13/B3</f>
        <v>0.10148514851485149</v>
      </c>
      <c r="E13" s="5">
        <v>11</v>
      </c>
      <c r="F13" s="13">
        <v>-4</v>
      </c>
    </row>
    <row r="14" spans="1:6" x14ac:dyDescent="0.4">
      <c r="A14" s="5" t="s">
        <v>13</v>
      </c>
      <c r="B14" s="1">
        <v>85</v>
      </c>
      <c r="C14" s="6">
        <f>B14/B3</f>
        <v>0.21039603960396039</v>
      </c>
      <c r="E14" s="5">
        <v>12</v>
      </c>
      <c r="F14" s="13">
        <v>-12</v>
      </c>
    </row>
    <row r="15" spans="1:6" x14ac:dyDescent="0.4">
      <c r="A15" s="5" t="s">
        <v>5</v>
      </c>
      <c r="B15" s="8">
        <f>IF(B11=0,0,ROUND(C15/B11,-2))</f>
        <v>11200</v>
      </c>
      <c r="C15" s="17">
        <v>1052500</v>
      </c>
      <c r="E15" s="5">
        <v>13</v>
      </c>
      <c r="F15" s="13">
        <v>50</v>
      </c>
    </row>
    <row r="16" spans="1:6" x14ac:dyDescent="0.4">
      <c r="A16" s="7" t="s">
        <v>14</v>
      </c>
      <c r="B16" s="18">
        <f>IF(B14=0,0,ROUND(C16/B14,-2))</f>
        <v>-10400</v>
      </c>
      <c r="C16" s="19">
        <v>-888100</v>
      </c>
      <c r="E16" s="5">
        <v>14</v>
      </c>
      <c r="F16" s="13">
        <v>33</v>
      </c>
    </row>
    <row r="17" spans="5:6" x14ac:dyDescent="0.4">
      <c r="E17" s="5">
        <v>15</v>
      </c>
      <c r="F17" s="13">
        <v>39</v>
      </c>
    </row>
    <row r="18" spans="5:6" x14ac:dyDescent="0.4">
      <c r="E18" s="5">
        <v>16</v>
      </c>
      <c r="F18" s="13">
        <v>15</v>
      </c>
    </row>
    <row r="19" spans="5:6" x14ac:dyDescent="0.4">
      <c r="E19" s="5">
        <v>17</v>
      </c>
      <c r="F19" s="13">
        <v>14</v>
      </c>
    </row>
    <row r="20" spans="5:6" x14ac:dyDescent="0.4">
      <c r="E20" s="5">
        <v>18</v>
      </c>
      <c r="F20" s="13">
        <v>-22</v>
      </c>
    </row>
    <row r="21" spans="5:6" x14ac:dyDescent="0.4">
      <c r="E21" s="5">
        <v>19</v>
      </c>
      <c r="F21" s="13">
        <v>-27</v>
      </c>
    </row>
    <row r="22" spans="5:6" x14ac:dyDescent="0.4">
      <c r="E22" s="5">
        <v>20</v>
      </c>
      <c r="F22" s="13">
        <v>-58</v>
      </c>
    </row>
    <row r="23" spans="5:6" x14ac:dyDescent="0.4">
      <c r="E23" s="5">
        <v>21</v>
      </c>
      <c r="F23" s="13">
        <v>-83</v>
      </c>
    </row>
    <row r="24" spans="5:6" x14ac:dyDescent="0.4">
      <c r="E24" s="5">
        <v>22</v>
      </c>
      <c r="F24" s="13">
        <v>-95</v>
      </c>
    </row>
    <row r="25" spans="5:6" x14ac:dyDescent="0.4">
      <c r="E25" s="5">
        <v>23</v>
      </c>
      <c r="F25" s="13">
        <v>-112</v>
      </c>
    </row>
    <row r="26" spans="5:6" x14ac:dyDescent="0.4">
      <c r="E26" s="5">
        <v>24</v>
      </c>
      <c r="F26" s="13">
        <v>-69</v>
      </c>
    </row>
    <row r="27" spans="5:6" x14ac:dyDescent="0.4">
      <c r="E27" s="5">
        <v>25</v>
      </c>
      <c r="F27" s="13">
        <v>-72</v>
      </c>
    </row>
    <row r="28" spans="5:6" x14ac:dyDescent="0.4">
      <c r="E28" s="5">
        <v>26</v>
      </c>
      <c r="F28" s="13">
        <v>-127</v>
      </c>
    </row>
    <row r="29" spans="5:6" x14ac:dyDescent="0.4">
      <c r="E29" s="5">
        <v>27</v>
      </c>
      <c r="F29" s="13">
        <v>-165</v>
      </c>
    </row>
    <row r="30" spans="5:6" x14ac:dyDescent="0.4">
      <c r="E30" s="5">
        <v>28</v>
      </c>
      <c r="F30" s="13">
        <v>-171</v>
      </c>
    </row>
    <row r="31" spans="5:6" x14ac:dyDescent="0.4">
      <c r="E31" s="5">
        <v>29</v>
      </c>
      <c r="F31" s="13">
        <v>-165</v>
      </c>
    </row>
    <row r="32" spans="5:6" x14ac:dyDescent="0.4">
      <c r="E32" s="5">
        <v>30</v>
      </c>
      <c r="F32" s="13">
        <v>-211</v>
      </c>
    </row>
    <row r="33" spans="5:6" x14ac:dyDescent="0.4">
      <c r="E33" s="5">
        <v>31</v>
      </c>
      <c r="F33" s="13">
        <v>-262</v>
      </c>
    </row>
    <row r="34" spans="5:6" x14ac:dyDescent="0.4">
      <c r="E34" s="5">
        <v>32</v>
      </c>
      <c r="F34" s="13">
        <v>-256</v>
      </c>
    </row>
    <row r="35" spans="5:6" x14ac:dyDescent="0.4">
      <c r="E35" s="5">
        <v>33</v>
      </c>
      <c r="F35" s="13">
        <v>-237</v>
      </c>
    </row>
    <row r="36" spans="5:6" x14ac:dyDescent="0.4">
      <c r="E36" s="5">
        <v>34</v>
      </c>
      <c r="F36" s="13">
        <v>-232</v>
      </c>
    </row>
    <row r="37" spans="5:6" x14ac:dyDescent="0.4">
      <c r="E37" s="5">
        <v>35</v>
      </c>
      <c r="F37" s="13">
        <v>-257</v>
      </c>
    </row>
    <row r="38" spans="5:6" x14ac:dyDescent="0.4">
      <c r="E38" s="5">
        <v>36</v>
      </c>
      <c r="F38" s="13">
        <v>-207</v>
      </c>
    </row>
    <row r="39" spans="5:6" x14ac:dyDescent="0.4">
      <c r="E39" s="5">
        <v>37</v>
      </c>
      <c r="F39" s="13">
        <v>-252</v>
      </c>
    </row>
    <row r="40" spans="5:6" x14ac:dyDescent="0.4">
      <c r="E40" s="5">
        <v>38</v>
      </c>
      <c r="F40" s="13">
        <v>-245</v>
      </c>
    </row>
    <row r="41" spans="5:6" x14ac:dyDescent="0.4">
      <c r="E41" s="5">
        <v>39</v>
      </c>
      <c r="F41" s="13">
        <v>-247</v>
      </c>
    </row>
    <row r="42" spans="5:6" x14ac:dyDescent="0.4">
      <c r="E42" s="5">
        <v>40</v>
      </c>
      <c r="F42" s="13">
        <v>-282</v>
      </c>
    </row>
    <row r="43" spans="5:6" x14ac:dyDescent="0.4">
      <c r="E43" s="5">
        <v>41</v>
      </c>
      <c r="F43" s="13">
        <v>-322</v>
      </c>
    </row>
    <row r="44" spans="5:6" x14ac:dyDescent="0.4">
      <c r="E44" s="5">
        <v>42</v>
      </c>
      <c r="F44" s="13">
        <v>-316</v>
      </c>
    </row>
    <row r="45" spans="5:6" x14ac:dyDescent="0.4">
      <c r="E45" s="5">
        <v>43</v>
      </c>
      <c r="F45" s="13">
        <v>-286</v>
      </c>
    </row>
    <row r="46" spans="5:6" x14ac:dyDescent="0.4">
      <c r="E46" s="5">
        <v>44</v>
      </c>
      <c r="F46" s="13">
        <v>-241</v>
      </c>
    </row>
    <row r="47" spans="5:6" x14ac:dyDescent="0.4">
      <c r="E47" s="5">
        <v>45</v>
      </c>
      <c r="F47" s="13">
        <v>-257</v>
      </c>
    </row>
    <row r="48" spans="5:6" x14ac:dyDescent="0.4">
      <c r="E48" s="5">
        <v>46</v>
      </c>
      <c r="F48" s="13">
        <v>-281</v>
      </c>
    </row>
    <row r="49" spans="5:6" x14ac:dyDescent="0.4">
      <c r="E49" s="5">
        <v>47</v>
      </c>
      <c r="F49" s="13">
        <v>-265</v>
      </c>
    </row>
    <row r="50" spans="5:6" x14ac:dyDescent="0.4">
      <c r="E50" s="5">
        <v>48</v>
      </c>
      <c r="F50" s="13">
        <v>-289</v>
      </c>
    </row>
    <row r="51" spans="5:6" x14ac:dyDescent="0.4">
      <c r="E51" s="5">
        <v>49</v>
      </c>
      <c r="F51" s="13">
        <v>-283</v>
      </c>
    </row>
    <row r="52" spans="5:6" x14ac:dyDescent="0.4">
      <c r="E52" s="5">
        <v>50</v>
      </c>
      <c r="F52" s="13">
        <v>-287</v>
      </c>
    </row>
    <row r="53" spans="5:6" x14ac:dyDescent="0.4">
      <c r="E53" s="5">
        <v>51</v>
      </c>
      <c r="F53" s="13">
        <v>-269</v>
      </c>
    </row>
    <row r="54" spans="5:6" x14ac:dyDescent="0.4">
      <c r="E54" s="5">
        <v>52</v>
      </c>
      <c r="F54" s="13">
        <v>-308</v>
      </c>
    </row>
    <row r="55" spans="5:6" x14ac:dyDescent="0.4">
      <c r="E55" s="5">
        <v>53</v>
      </c>
      <c r="F55" s="13">
        <v>-336</v>
      </c>
    </row>
    <row r="56" spans="5:6" x14ac:dyDescent="0.4">
      <c r="E56" s="5">
        <v>54</v>
      </c>
      <c r="F56" s="13">
        <v>-378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E8D65-7774-42FC-816F-ED372B7C64DF}">
  <sheetPr codeName="Sheet6"/>
  <dimension ref="A1:F41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20</v>
      </c>
      <c r="C1" s="54"/>
      <c r="E1" s="49" t="s">
        <v>41</v>
      </c>
      <c r="F1" s="50" t="s">
        <v>6</v>
      </c>
    </row>
    <row r="2" spans="1:6" ht="19.5" thickTop="1" x14ac:dyDescent="0.4">
      <c r="A2" s="4" t="s">
        <v>9</v>
      </c>
      <c r="B2" s="9">
        <v>39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272</v>
      </c>
      <c r="C3" s="12"/>
      <c r="E3" s="5">
        <v>1</v>
      </c>
      <c r="F3" s="13">
        <v>-40</v>
      </c>
    </row>
    <row r="4" spans="1:6" x14ac:dyDescent="0.4">
      <c r="A4" s="5" t="s">
        <v>6</v>
      </c>
      <c r="B4" s="2">
        <v>229</v>
      </c>
      <c r="C4" s="13"/>
      <c r="E4" s="5">
        <v>2</v>
      </c>
      <c r="F4" s="13">
        <v>-13</v>
      </c>
    </row>
    <row r="5" spans="1:6" x14ac:dyDescent="0.4">
      <c r="A5" s="5" t="s">
        <v>7</v>
      </c>
      <c r="B5" s="10">
        <f>B4/B2</f>
        <v>5.8717948717948714</v>
      </c>
      <c r="C5" s="14"/>
      <c r="E5" s="5">
        <v>3</v>
      </c>
      <c r="F5" s="13">
        <v>-58</v>
      </c>
    </row>
    <row r="6" spans="1:6" x14ac:dyDescent="0.4">
      <c r="A6" s="5" t="s">
        <v>1</v>
      </c>
      <c r="B6" s="30">
        <f>(B7*1+B8*2+B9*3)/B2</f>
        <v>1.8461538461538463</v>
      </c>
      <c r="C6" s="15"/>
      <c r="E6" s="5">
        <v>4</v>
      </c>
      <c r="F6" s="13">
        <v>-54</v>
      </c>
    </row>
    <row r="7" spans="1:6" x14ac:dyDescent="0.4">
      <c r="A7" s="5" t="s">
        <v>2</v>
      </c>
      <c r="B7" s="1">
        <v>14</v>
      </c>
      <c r="C7" s="6">
        <f>B7/B2</f>
        <v>0.35897435897435898</v>
      </c>
      <c r="E7" s="5">
        <v>5</v>
      </c>
      <c r="F7" s="13">
        <v>-46</v>
      </c>
    </row>
    <row r="8" spans="1:6" x14ac:dyDescent="0.4">
      <c r="A8" s="5" t="s">
        <v>3</v>
      </c>
      <c r="B8" s="1">
        <v>17</v>
      </c>
      <c r="C8" s="6">
        <f>B8/B2</f>
        <v>0.4358974358974359</v>
      </c>
      <c r="E8" s="5">
        <v>6</v>
      </c>
      <c r="F8" s="13">
        <v>-51</v>
      </c>
    </row>
    <row r="9" spans="1:6" x14ac:dyDescent="0.4">
      <c r="A9" s="27" t="s">
        <v>4</v>
      </c>
      <c r="B9" s="28">
        <v>8</v>
      </c>
      <c r="C9" s="29">
        <f>B9/B2</f>
        <v>0.20512820512820512</v>
      </c>
      <c r="E9" s="5">
        <v>7</v>
      </c>
      <c r="F9" s="13">
        <v>-48</v>
      </c>
    </row>
    <row r="10" spans="1:6" ht="19.5" thickBot="1" x14ac:dyDescent="0.45">
      <c r="A10" s="35" t="s">
        <v>34</v>
      </c>
      <c r="B10" s="36">
        <v>5</v>
      </c>
      <c r="C10" s="37">
        <f>B10/B2</f>
        <v>0.12820512820512819</v>
      </c>
      <c r="E10" s="5">
        <v>8</v>
      </c>
      <c r="F10" s="13">
        <v>-60</v>
      </c>
    </row>
    <row r="11" spans="1:6" ht="19.5" thickTop="1" x14ac:dyDescent="0.4">
      <c r="A11" s="4" t="s">
        <v>10</v>
      </c>
      <c r="B11" s="9">
        <f>B12+B13</f>
        <v>97</v>
      </c>
      <c r="C11" s="16">
        <f>B11/B3</f>
        <v>0.35661764705882354</v>
      </c>
      <c r="E11" s="5">
        <v>9</v>
      </c>
      <c r="F11" s="13">
        <v>-79</v>
      </c>
    </row>
    <row r="12" spans="1:6" x14ac:dyDescent="0.4">
      <c r="A12" s="5" t="s">
        <v>11</v>
      </c>
      <c r="B12" s="1">
        <v>53</v>
      </c>
      <c r="C12" s="6">
        <f>B12/B3</f>
        <v>0.19485294117647059</v>
      </c>
      <c r="E12" s="5">
        <v>10</v>
      </c>
      <c r="F12" s="13">
        <v>-80</v>
      </c>
    </row>
    <row r="13" spans="1:6" x14ac:dyDescent="0.4">
      <c r="A13" s="5" t="s">
        <v>12</v>
      </c>
      <c r="B13" s="1">
        <v>44</v>
      </c>
      <c r="C13" s="6">
        <f>B13/B3</f>
        <v>0.16176470588235295</v>
      </c>
      <c r="E13" s="5">
        <v>11</v>
      </c>
      <c r="F13" s="13">
        <v>-90</v>
      </c>
    </row>
    <row r="14" spans="1:6" x14ac:dyDescent="0.4">
      <c r="A14" s="5" t="s">
        <v>13</v>
      </c>
      <c r="B14" s="1">
        <v>36</v>
      </c>
      <c r="C14" s="6">
        <f>B14/B3</f>
        <v>0.13235294117647059</v>
      </c>
      <c r="E14" s="5">
        <v>12</v>
      </c>
      <c r="F14" s="13">
        <v>-25</v>
      </c>
    </row>
    <row r="15" spans="1:6" x14ac:dyDescent="0.4">
      <c r="A15" s="5" t="s">
        <v>5</v>
      </c>
      <c r="B15" s="8">
        <f>IF(B11=0,0,ROUND(C15/B11,-2))</f>
        <v>9600</v>
      </c>
      <c r="C15" s="17">
        <v>934300</v>
      </c>
      <c r="E15" s="5">
        <v>13</v>
      </c>
      <c r="F15" s="13">
        <v>-14</v>
      </c>
    </row>
    <row r="16" spans="1:6" x14ac:dyDescent="0.4">
      <c r="A16" s="7" t="s">
        <v>14</v>
      </c>
      <c r="B16" s="18">
        <f>IF(B14=0,0,ROUND(C16/B14,-2))</f>
        <v>-9600</v>
      </c>
      <c r="C16" s="19">
        <v>-346100</v>
      </c>
      <c r="E16" s="5">
        <v>14</v>
      </c>
      <c r="F16" s="13">
        <v>37</v>
      </c>
    </row>
    <row r="17" spans="5:6" x14ac:dyDescent="0.4">
      <c r="E17" s="5">
        <v>15</v>
      </c>
      <c r="F17" s="13">
        <v>54</v>
      </c>
    </row>
    <row r="18" spans="5:6" x14ac:dyDescent="0.4">
      <c r="E18" s="5">
        <v>16</v>
      </c>
      <c r="F18" s="13">
        <v>38</v>
      </c>
    </row>
    <row r="19" spans="5:6" x14ac:dyDescent="0.4">
      <c r="E19" s="5">
        <v>17</v>
      </c>
      <c r="F19" s="13">
        <v>13</v>
      </c>
    </row>
    <row r="20" spans="5:6" x14ac:dyDescent="0.4">
      <c r="E20" s="5">
        <v>18</v>
      </c>
      <c r="F20" s="13">
        <v>-29</v>
      </c>
    </row>
    <row r="21" spans="5:6" x14ac:dyDescent="0.4">
      <c r="E21" s="5">
        <v>19</v>
      </c>
      <c r="F21" s="13">
        <v>-21</v>
      </c>
    </row>
    <row r="22" spans="5:6" x14ac:dyDescent="0.4">
      <c r="E22" s="5">
        <v>20</v>
      </c>
      <c r="F22" s="13">
        <v>4</v>
      </c>
    </row>
    <row r="23" spans="5:6" x14ac:dyDescent="0.4">
      <c r="E23" s="5">
        <v>21</v>
      </c>
      <c r="F23" s="13">
        <v>66</v>
      </c>
    </row>
    <row r="24" spans="5:6" x14ac:dyDescent="0.4">
      <c r="E24" s="5">
        <v>22</v>
      </c>
      <c r="F24" s="13">
        <v>75</v>
      </c>
    </row>
    <row r="25" spans="5:6" x14ac:dyDescent="0.4">
      <c r="E25" s="5">
        <v>23</v>
      </c>
      <c r="F25" s="13">
        <v>90</v>
      </c>
    </row>
    <row r="26" spans="5:6" x14ac:dyDescent="0.4">
      <c r="E26" s="5">
        <v>24</v>
      </c>
      <c r="F26" s="13">
        <v>46</v>
      </c>
    </row>
    <row r="27" spans="5:6" x14ac:dyDescent="0.4">
      <c r="E27" s="5">
        <v>25</v>
      </c>
      <c r="F27" s="13">
        <v>56</v>
      </c>
    </row>
    <row r="28" spans="5:6" x14ac:dyDescent="0.4">
      <c r="E28" s="5">
        <v>26</v>
      </c>
      <c r="F28" s="13">
        <v>139</v>
      </c>
    </row>
    <row r="29" spans="5:6" x14ac:dyDescent="0.4">
      <c r="E29" s="5">
        <v>27</v>
      </c>
      <c r="F29" s="13">
        <v>160</v>
      </c>
    </row>
    <row r="30" spans="5:6" x14ac:dyDescent="0.4">
      <c r="E30" s="5">
        <v>28</v>
      </c>
      <c r="F30" s="13">
        <v>172</v>
      </c>
    </row>
    <row r="31" spans="5:6" x14ac:dyDescent="0.4">
      <c r="E31" s="5">
        <v>29</v>
      </c>
      <c r="F31" s="13">
        <v>202</v>
      </c>
    </row>
    <row r="32" spans="5:6" x14ac:dyDescent="0.4">
      <c r="E32" s="5">
        <v>30</v>
      </c>
      <c r="F32" s="13">
        <v>195</v>
      </c>
    </row>
    <row r="33" spans="5:6" x14ac:dyDescent="0.4">
      <c r="E33" s="5">
        <v>31</v>
      </c>
      <c r="F33" s="13">
        <v>183</v>
      </c>
    </row>
    <row r="34" spans="5:6" x14ac:dyDescent="0.4">
      <c r="E34" s="5">
        <v>32</v>
      </c>
      <c r="F34" s="13">
        <v>201</v>
      </c>
    </row>
    <row r="35" spans="5:6" x14ac:dyDescent="0.4">
      <c r="E35" s="5">
        <v>33</v>
      </c>
      <c r="F35" s="13">
        <v>242</v>
      </c>
    </row>
    <row r="36" spans="5:6" x14ac:dyDescent="0.4">
      <c r="E36" s="5">
        <v>34</v>
      </c>
      <c r="F36" s="13">
        <v>231</v>
      </c>
    </row>
    <row r="37" spans="5:6" x14ac:dyDescent="0.4">
      <c r="E37" s="5">
        <v>35</v>
      </c>
      <c r="F37" s="13">
        <v>185</v>
      </c>
    </row>
    <row r="38" spans="5:6" x14ac:dyDescent="0.4">
      <c r="E38" s="5">
        <v>36</v>
      </c>
      <c r="F38" s="13">
        <v>232</v>
      </c>
    </row>
    <row r="39" spans="5:6" x14ac:dyDescent="0.4">
      <c r="E39" s="5">
        <v>37</v>
      </c>
      <c r="F39" s="13">
        <v>247</v>
      </c>
    </row>
    <row r="40" spans="5:6" x14ac:dyDescent="0.4">
      <c r="E40" s="5">
        <v>38</v>
      </c>
      <c r="F40" s="13">
        <v>229</v>
      </c>
    </row>
    <row r="41" spans="5:6" x14ac:dyDescent="0.4">
      <c r="E41" s="5">
        <v>39</v>
      </c>
      <c r="F41" s="13">
        <v>229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6BDD1-DE37-47A0-82A2-4DF7AC9ED805}">
  <sheetPr codeName="Sheet7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21</v>
      </c>
      <c r="C1" s="54"/>
      <c r="E1" s="49" t="s">
        <v>41</v>
      </c>
      <c r="F1" s="50" t="s">
        <v>6</v>
      </c>
    </row>
    <row r="2" spans="1:6" ht="19.5" thickTop="1" x14ac:dyDescent="0.4">
      <c r="A2" s="4" t="s">
        <v>9</v>
      </c>
      <c r="B2" s="9">
        <v>1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6</v>
      </c>
      <c r="C3" s="12"/>
      <c r="E3" s="5">
        <v>1</v>
      </c>
      <c r="F3" s="13">
        <v>-41</v>
      </c>
    </row>
    <row r="4" spans="1:6" x14ac:dyDescent="0.4">
      <c r="A4" s="5" t="s">
        <v>6</v>
      </c>
      <c r="B4" s="2">
        <v>-41</v>
      </c>
      <c r="C4" s="13"/>
    </row>
    <row r="5" spans="1:6" x14ac:dyDescent="0.4">
      <c r="A5" s="5" t="s">
        <v>7</v>
      </c>
      <c r="B5" s="10">
        <f>B4/B2</f>
        <v>-41</v>
      </c>
      <c r="C5" s="14"/>
    </row>
    <row r="6" spans="1:6" x14ac:dyDescent="0.4">
      <c r="A6" s="5" t="s">
        <v>1</v>
      </c>
      <c r="B6" s="30">
        <f>(B7*1+B8*2+B9*3)/B2</f>
        <v>2</v>
      </c>
      <c r="C6" s="15"/>
    </row>
    <row r="7" spans="1:6" x14ac:dyDescent="0.4">
      <c r="A7" s="5" t="s">
        <v>2</v>
      </c>
      <c r="B7" s="1">
        <v>0</v>
      </c>
      <c r="C7" s="6">
        <f>B7/B2</f>
        <v>0</v>
      </c>
    </row>
    <row r="8" spans="1:6" x14ac:dyDescent="0.4">
      <c r="A8" s="5" t="s">
        <v>3</v>
      </c>
      <c r="B8" s="1">
        <v>1</v>
      </c>
      <c r="C8" s="6">
        <f>B8/B2</f>
        <v>1</v>
      </c>
    </row>
    <row r="9" spans="1:6" x14ac:dyDescent="0.4">
      <c r="A9" s="27" t="s">
        <v>4</v>
      </c>
      <c r="B9" s="28">
        <v>0</v>
      </c>
      <c r="C9" s="29">
        <f>B9/B2</f>
        <v>0</v>
      </c>
    </row>
    <row r="10" spans="1:6" ht="19.5" thickBot="1" x14ac:dyDescent="0.45">
      <c r="A10" s="35" t="s">
        <v>34</v>
      </c>
      <c r="B10" s="36">
        <v>1</v>
      </c>
      <c r="C10" s="37">
        <f>B10/B2</f>
        <v>1</v>
      </c>
    </row>
    <row r="11" spans="1:6" ht="19.5" thickTop="1" x14ac:dyDescent="0.4">
      <c r="A11" s="4" t="s">
        <v>10</v>
      </c>
      <c r="B11" s="9">
        <f>B12+B13</f>
        <v>1</v>
      </c>
      <c r="C11" s="16">
        <f>B11/B3</f>
        <v>0.16666666666666666</v>
      </c>
    </row>
    <row r="12" spans="1:6" x14ac:dyDescent="0.4">
      <c r="A12" s="5" t="s">
        <v>11</v>
      </c>
      <c r="B12" s="1">
        <v>1</v>
      </c>
      <c r="C12" s="6">
        <f>B12/B3</f>
        <v>0.16666666666666666</v>
      </c>
    </row>
    <row r="13" spans="1:6" x14ac:dyDescent="0.4">
      <c r="A13" s="5" t="s">
        <v>12</v>
      </c>
      <c r="B13" s="1">
        <v>0</v>
      </c>
      <c r="C13" s="6">
        <f>B13/B3</f>
        <v>0</v>
      </c>
    </row>
    <row r="14" spans="1:6" x14ac:dyDescent="0.4">
      <c r="A14" s="5" t="s">
        <v>13</v>
      </c>
      <c r="B14" s="1">
        <v>2</v>
      </c>
      <c r="C14" s="6">
        <f>B14/B3</f>
        <v>0.33333333333333331</v>
      </c>
    </row>
    <row r="15" spans="1:6" x14ac:dyDescent="0.4">
      <c r="A15" s="5" t="s">
        <v>5</v>
      </c>
      <c r="B15" s="8">
        <f>IF(B11=0,0,ROUND(C15/B11,-2))</f>
        <v>1300</v>
      </c>
      <c r="C15" s="17">
        <v>1300</v>
      </c>
    </row>
    <row r="16" spans="1:6" x14ac:dyDescent="0.4">
      <c r="A16" s="7" t="s">
        <v>14</v>
      </c>
      <c r="B16" s="18">
        <f>IF(B14=0,0,ROUND(C16/B14,-2))</f>
        <v>-8500</v>
      </c>
      <c r="C16" s="19">
        <v>-17000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94C8B-F029-4FC4-A722-2C3A51EBBBC7}">
  <sheetPr codeName="Sheet8"/>
  <dimension ref="A1:F32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16</v>
      </c>
      <c r="C1" s="54"/>
      <c r="E1" s="49" t="s">
        <v>41</v>
      </c>
      <c r="F1" s="50" t="s">
        <v>6</v>
      </c>
    </row>
    <row r="2" spans="1:6" ht="19.5" thickTop="1" x14ac:dyDescent="0.4">
      <c r="A2" s="4" t="s">
        <v>9</v>
      </c>
      <c r="B2" s="9">
        <v>30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240</v>
      </c>
      <c r="C3" s="12"/>
      <c r="E3" s="5">
        <v>1</v>
      </c>
      <c r="F3" s="13">
        <v>68</v>
      </c>
    </row>
    <row r="4" spans="1:6" x14ac:dyDescent="0.4">
      <c r="A4" s="5" t="s">
        <v>6</v>
      </c>
      <c r="B4" s="2">
        <v>14</v>
      </c>
      <c r="C4" s="13"/>
      <c r="E4" s="5">
        <v>2</v>
      </c>
      <c r="F4" s="13">
        <v>58</v>
      </c>
    </row>
    <row r="5" spans="1:6" x14ac:dyDescent="0.4">
      <c r="A5" s="5" t="s">
        <v>7</v>
      </c>
      <c r="B5" s="10">
        <f>B4/B2</f>
        <v>0.46666666666666667</v>
      </c>
      <c r="C5" s="14"/>
      <c r="E5" s="5">
        <v>3</v>
      </c>
      <c r="F5" s="13">
        <v>82</v>
      </c>
    </row>
    <row r="6" spans="1:6" x14ac:dyDescent="0.4">
      <c r="A6" s="5" t="s">
        <v>1</v>
      </c>
      <c r="B6" s="30">
        <f>(B7*1+B8*2+B9*3)/B2</f>
        <v>2.0333333333333332</v>
      </c>
      <c r="C6" s="15"/>
      <c r="E6" s="5">
        <v>4</v>
      </c>
      <c r="F6" s="13">
        <v>58</v>
      </c>
    </row>
    <row r="7" spans="1:6" x14ac:dyDescent="0.4">
      <c r="A7" s="5" t="s">
        <v>2</v>
      </c>
      <c r="B7" s="1">
        <v>9</v>
      </c>
      <c r="C7" s="6">
        <f>B7/B2</f>
        <v>0.3</v>
      </c>
      <c r="E7" s="5">
        <v>5</v>
      </c>
      <c r="F7" s="13">
        <v>124</v>
      </c>
    </row>
    <row r="8" spans="1:6" x14ac:dyDescent="0.4">
      <c r="A8" s="5" t="s">
        <v>3</v>
      </c>
      <c r="B8" s="1">
        <v>11</v>
      </c>
      <c r="C8" s="6">
        <f>B8/B2</f>
        <v>0.36666666666666664</v>
      </c>
      <c r="E8" s="5">
        <v>6</v>
      </c>
      <c r="F8" s="13">
        <v>126</v>
      </c>
    </row>
    <row r="9" spans="1:6" x14ac:dyDescent="0.4">
      <c r="A9" s="27" t="s">
        <v>4</v>
      </c>
      <c r="B9" s="28">
        <v>10</v>
      </c>
      <c r="C9" s="29">
        <f>B9/B2</f>
        <v>0.33333333333333331</v>
      </c>
      <c r="E9" s="5">
        <v>7</v>
      </c>
      <c r="F9" s="13">
        <v>130</v>
      </c>
    </row>
    <row r="10" spans="1:6" ht="19.5" thickBot="1" x14ac:dyDescent="0.45">
      <c r="A10" s="35" t="s">
        <v>34</v>
      </c>
      <c r="B10" s="36">
        <v>4</v>
      </c>
      <c r="C10" s="37">
        <f>B10/B2</f>
        <v>0.13333333333333333</v>
      </c>
      <c r="E10" s="5">
        <v>8</v>
      </c>
      <c r="F10" s="13">
        <v>97</v>
      </c>
    </row>
    <row r="11" spans="1:6" ht="19.5" thickTop="1" x14ac:dyDescent="0.4">
      <c r="A11" s="4" t="s">
        <v>10</v>
      </c>
      <c r="B11" s="9">
        <f>B12+B13</f>
        <v>70</v>
      </c>
      <c r="C11" s="16">
        <f>B11/B3</f>
        <v>0.29166666666666669</v>
      </c>
      <c r="E11" s="5">
        <v>9</v>
      </c>
      <c r="F11" s="13">
        <v>83</v>
      </c>
    </row>
    <row r="12" spans="1:6" x14ac:dyDescent="0.4">
      <c r="A12" s="5" t="s">
        <v>11</v>
      </c>
      <c r="B12" s="1">
        <v>40</v>
      </c>
      <c r="C12" s="6">
        <f>B12/B3</f>
        <v>0.16666666666666666</v>
      </c>
      <c r="E12" s="5">
        <v>10</v>
      </c>
      <c r="F12" s="13">
        <v>111</v>
      </c>
    </row>
    <row r="13" spans="1:6" x14ac:dyDescent="0.4">
      <c r="A13" s="5" t="s">
        <v>12</v>
      </c>
      <c r="B13" s="1">
        <v>30</v>
      </c>
      <c r="C13" s="6">
        <f>B13/B3</f>
        <v>0.125</v>
      </c>
      <c r="E13" s="5">
        <v>11</v>
      </c>
      <c r="F13" s="13">
        <v>139</v>
      </c>
    </row>
    <row r="14" spans="1:6" x14ac:dyDescent="0.4">
      <c r="A14" s="5" t="s">
        <v>13</v>
      </c>
      <c r="B14" s="1">
        <v>48</v>
      </c>
      <c r="C14" s="6">
        <f>B14/B3</f>
        <v>0.2</v>
      </c>
      <c r="E14" s="5">
        <v>12</v>
      </c>
      <c r="F14" s="13">
        <v>100</v>
      </c>
    </row>
    <row r="15" spans="1:6" x14ac:dyDescent="0.4">
      <c r="A15" s="5" t="s">
        <v>5</v>
      </c>
      <c r="B15" s="8">
        <f>IF(B11=0,0,ROUND(C15/B11,-2))</f>
        <v>10600</v>
      </c>
      <c r="C15" s="17">
        <v>739900</v>
      </c>
      <c r="E15" s="5">
        <v>13</v>
      </c>
      <c r="F15" s="13">
        <v>62</v>
      </c>
    </row>
    <row r="16" spans="1:6" x14ac:dyDescent="0.4">
      <c r="A16" s="7" t="s">
        <v>14</v>
      </c>
      <c r="B16" s="18">
        <f>IF(B14=0,0,ROUND(C16/B14,-2))</f>
        <v>-7400</v>
      </c>
      <c r="C16" s="19">
        <v>-356700</v>
      </c>
      <c r="E16" s="5">
        <v>14</v>
      </c>
      <c r="F16" s="13">
        <v>42</v>
      </c>
    </row>
    <row r="17" spans="5:6" x14ac:dyDescent="0.4">
      <c r="E17" s="5">
        <v>15</v>
      </c>
      <c r="F17" s="13">
        <v>33</v>
      </c>
    </row>
    <row r="18" spans="5:6" x14ac:dyDescent="0.4">
      <c r="E18" s="5">
        <v>16</v>
      </c>
      <c r="F18" s="13">
        <v>-6</v>
      </c>
    </row>
    <row r="19" spans="5:6" x14ac:dyDescent="0.4">
      <c r="E19" s="5">
        <v>17</v>
      </c>
      <c r="F19" s="13">
        <v>-18</v>
      </c>
    </row>
    <row r="20" spans="5:6" x14ac:dyDescent="0.4">
      <c r="E20" s="5">
        <v>18</v>
      </c>
      <c r="F20" s="13">
        <v>-18</v>
      </c>
    </row>
    <row r="21" spans="5:6" x14ac:dyDescent="0.4">
      <c r="E21" s="5">
        <v>19</v>
      </c>
      <c r="F21" s="13">
        <v>-3</v>
      </c>
    </row>
    <row r="22" spans="5:6" x14ac:dyDescent="0.4">
      <c r="E22" s="5">
        <v>20</v>
      </c>
      <c r="F22" s="13">
        <v>45</v>
      </c>
    </row>
    <row r="23" spans="5:6" x14ac:dyDescent="0.4">
      <c r="E23" s="5">
        <v>21</v>
      </c>
      <c r="F23" s="13">
        <v>3</v>
      </c>
    </row>
    <row r="24" spans="5:6" x14ac:dyDescent="0.4">
      <c r="E24" s="5">
        <v>22</v>
      </c>
      <c r="F24" s="13">
        <v>-3</v>
      </c>
    </row>
    <row r="25" spans="5:6" x14ac:dyDescent="0.4">
      <c r="E25" s="5">
        <v>23</v>
      </c>
      <c r="F25" s="13">
        <v>22</v>
      </c>
    </row>
    <row r="26" spans="5:6" x14ac:dyDescent="0.4">
      <c r="E26" s="5">
        <v>24</v>
      </c>
      <c r="F26" s="13">
        <v>8</v>
      </c>
    </row>
    <row r="27" spans="5:6" x14ac:dyDescent="0.4">
      <c r="E27" s="5">
        <v>25</v>
      </c>
      <c r="F27" s="13">
        <v>0</v>
      </c>
    </row>
    <row r="28" spans="5:6" x14ac:dyDescent="0.4">
      <c r="E28" s="5">
        <v>26</v>
      </c>
      <c r="F28" s="13">
        <v>-11</v>
      </c>
    </row>
    <row r="29" spans="5:6" x14ac:dyDescent="0.4">
      <c r="E29" s="5">
        <v>27</v>
      </c>
      <c r="F29" s="13">
        <v>-33</v>
      </c>
    </row>
    <row r="30" spans="5:6" x14ac:dyDescent="0.4">
      <c r="E30" s="5">
        <v>28</v>
      </c>
      <c r="F30" s="13">
        <v>-27</v>
      </c>
    </row>
    <row r="31" spans="5:6" x14ac:dyDescent="0.4">
      <c r="E31" s="5">
        <v>29</v>
      </c>
      <c r="F31" s="13">
        <v>-26</v>
      </c>
    </row>
    <row r="32" spans="5:6" x14ac:dyDescent="0.4">
      <c r="E32" s="5">
        <v>30</v>
      </c>
      <c r="F32" s="13">
        <v>14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BECF7-FDEC-4C2A-A033-B7B4ED2603BA}">
  <sheetPr codeName="Sheet9"/>
  <dimension ref="A1:F34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17</v>
      </c>
      <c r="C1" s="54"/>
      <c r="E1" s="49" t="s">
        <v>41</v>
      </c>
      <c r="F1" s="50" t="s">
        <v>6</v>
      </c>
    </row>
    <row r="2" spans="1:6" ht="19.5" thickTop="1" x14ac:dyDescent="0.4">
      <c r="A2" s="4" t="s">
        <v>9</v>
      </c>
      <c r="B2" s="9">
        <v>32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239</v>
      </c>
      <c r="C3" s="12"/>
      <c r="E3" s="5">
        <v>1</v>
      </c>
      <c r="F3" s="13">
        <v>-37</v>
      </c>
    </row>
    <row r="4" spans="1:6" x14ac:dyDescent="0.4">
      <c r="A4" s="5" t="s">
        <v>6</v>
      </c>
      <c r="B4" s="2">
        <v>-11</v>
      </c>
      <c r="C4" s="13"/>
      <c r="E4" s="5">
        <v>2</v>
      </c>
      <c r="F4" s="13">
        <v>-46</v>
      </c>
    </row>
    <row r="5" spans="1:6" x14ac:dyDescent="0.4">
      <c r="A5" s="5" t="s">
        <v>7</v>
      </c>
      <c r="B5" s="10">
        <f>B4/B2</f>
        <v>-0.34375</v>
      </c>
      <c r="C5" s="14"/>
      <c r="E5" s="5">
        <v>3</v>
      </c>
      <c r="F5" s="13">
        <v>-82</v>
      </c>
    </row>
    <row r="6" spans="1:6" x14ac:dyDescent="0.4">
      <c r="A6" s="5" t="s">
        <v>1</v>
      </c>
      <c r="B6" s="30">
        <f>(B7*1+B8*2+B9*3)/B2</f>
        <v>2</v>
      </c>
      <c r="C6" s="15"/>
      <c r="E6" s="5">
        <v>4</v>
      </c>
      <c r="F6" s="13">
        <v>-114</v>
      </c>
    </row>
    <row r="7" spans="1:6" x14ac:dyDescent="0.4">
      <c r="A7" s="5" t="s">
        <v>2</v>
      </c>
      <c r="B7" s="1">
        <v>11</v>
      </c>
      <c r="C7" s="6">
        <f>B7/B2</f>
        <v>0.34375</v>
      </c>
      <c r="E7" s="5">
        <v>5</v>
      </c>
      <c r="F7" s="13">
        <v>-136</v>
      </c>
    </row>
    <row r="8" spans="1:6" x14ac:dyDescent="0.4">
      <c r="A8" s="5" t="s">
        <v>3</v>
      </c>
      <c r="B8" s="1">
        <v>10</v>
      </c>
      <c r="C8" s="6">
        <f>B8/B2</f>
        <v>0.3125</v>
      </c>
      <c r="E8" s="5">
        <v>6</v>
      </c>
      <c r="F8" s="13">
        <v>-100</v>
      </c>
    </row>
    <row r="9" spans="1:6" x14ac:dyDescent="0.4">
      <c r="A9" s="27" t="s">
        <v>4</v>
      </c>
      <c r="B9" s="28">
        <v>11</v>
      </c>
      <c r="C9" s="29">
        <f>B9/B2</f>
        <v>0.34375</v>
      </c>
      <c r="E9" s="5">
        <v>7</v>
      </c>
      <c r="F9" s="13">
        <v>-105</v>
      </c>
    </row>
    <row r="10" spans="1:6" ht="19.5" thickBot="1" x14ac:dyDescent="0.45">
      <c r="A10" s="35" t="s">
        <v>34</v>
      </c>
      <c r="B10" s="36">
        <v>6</v>
      </c>
      <c r="C10" s="37">
        <f>B10/B2</f>
        <v>0.1875</v>
      </c>
      <c r="E10" s="5">
        <v>8</v>
      </c>
      <c r="F10" s="13">
        <v>-51</v>
      </c>
    </row>
    <row r="11" spans="1:6" ht="19.5" thickTop="1" x14ac:dyDescent="0.4">
      <c r="A11" s="4" t="s">
        <v>10</v>
      </c>
      <c r="B11" s="9">
        <f>B12+B13</f>
        <v>68</v>
      </c>
      <c r="C11" s="16">
        <f>B11/B3</f>
        <v>0.28451882845188287</v>
      </c>
      <c r="E11" s="5">
        <v>9</v>
      </c>
      <c r="F11" s="13">
        <v>-52</v>
      </c>
    </row>
    <row r="12" spans="1:6" x14ac:dyDescent="0.4">
      <c r="A12" s="5" t="s">
        <v>11</v>
      </c>
      <c r="B12" s="1">
        <v>44</v>
      </c>
      <c r="C12" s="6">
        <f>B12/B3</f>
        <v>0.18410041841004185</v>
      </c>
      <c r="E12" s="5">
        <v>10</v>
      </c>
      <c r="F12" s="13">
        <v>-71</v>
      </c>
    </row>
    <row r="13" spans="1:6" x14ac:dyDescent="0.4">
      <c r="A13" s="5" t="s">
        <v>12</v>
      </c>
      <c r="B13" s="1">
        <v>24</v>
      </c>
      <c r="C13" s="6">
        <f>B13/B3</f>
        <v>0.100418410041841</v>
      </c>
      <c r="E13" s="5">
        <v>11</v>
      </c>
      <c r="F13" s="13">
        <v>-90</v>
      </c>
    </row>
    <row r="14" spans="1:6" x14ac:dyDescent="0.4">
      <c r="A14" s="5" t="s">
        <v>13</v>
      </c>
      <c r="B14" s="1">
        <v>37</v>
      </c>
      <c r="C14" s="6">
        <f>B14/B3</f>
        <v>0.15481171548117154</v>
      </c>
      <c r="E14" s="5">
        <v>12</v>
      </c>
      <c r="F14" s="13">
        <v>-87</v>
      </c>
    </row>
    <row r="15" spans="1:6" x14ac:dyDescent="0.4">
      <c r="A15" s="5" t="s">
        <v>5</v>
      </c>
      <c r="B15" s="8">
        <f>IF(B11=0,0,ROUND(C15/B11,-2))</f>
        <v>10800</v>
      </c>
      <c r="C15" s="17">
        <v>732800</v>
      </c>
      <c r="E15" s="5">
        <v>13</v>
      </c>
      <c r="F15" s="13">
        <v>-71</v>
      </c>
    </row>
    <row r="16" spans="1:6" x14ac:dyDescent="0.4">
      <c r="A16" s="7" t="s">
        <v>14</v>
      </c>
      <c r="B16" s="18">
        <f>IF(B14=0,0,ROUND(C16/B14,-2))</f>
        <v>-10200</v>
      </c>
      <c r="C16" s="19">
        <v>-376200</v>
      </c>
      <c r="E16" s="5">
        <v>14</v>
      </c>
      <c r="F16" s="13">
        <v>-60</v>
      </c>
    </row>
    <row r="17" spans="5:6" x14ac:dyDescent="0.4">
      <c r="E17" s="5">
        <v>15</v>
      </c>
      <c r="F17" s="13">
        <v>-67</v>
      </c>
    </row>
    <row r="18" spans="5:6" x14ac:dyDescent="0.4">
      <c r="E18" s="5">
        <v>16</v>
      </c>
      <c r="F18" s="13">
        <v>7</v>
      </c>
    </row>
    <row r="19" spans="5:6" x14ac:dyDescent="0.4">
      <c r="E19" s="5">
        <v>17</v>
      </c>
      <c r="F19" s="13">
        <v>42</v>
      </c>
    </row>
    <row r="20" spans="5:6" x14ac:dyDescent="0.4">
      <c r="E20" s="5">
        <v>18</v>
      </c>
      <c r="F20" s="13">
        <v>42</v>
      </c>
    </row>
    <row r="21" spans="5:6" x14ac:dyDescent="0.4">
      <c r="E21" s="5">
        <v>19</v>
      </c>
      <c r="F21" s="13">
        <v>106</v>
      </c>
    </row>
    <row r="22" spans="5:6" x14ac:dyDescent="0.4">
      <c r="E22" s="5">
        <v>20</v>
      </c>
      <c r="F22" s="13">
        <v>109</v>
      </c>
    </row>
    <row r="23" spans="5:6" x14ac:dyDescent="0.4">
      <c r="E23" s="5">
        <v>21</v>
      </c>
      <c r="F23" s="13">
        <v>110</v>
      </c>
    </row>
    <row r="24" spans="5:6" x14ac:dyDescent="0.4">
      <c r="E24" s="5">
        <v>22</v>
      </c>
      <c r="F24" s="13">
        <v>113</v>
      </c>
    </row>
    <row r="25" spans="5:6" x14ac:dyDescent="0.4">
      <c r="E25" s="5">
        <v>23</v>
      </c>
      <c r="F25" s="13">
        <v>158</v>
      </c>
    </row>
    <row r="26" spans="5:6" x14ac:dyDescent="0.4">
      <c r="E26" s="5">
        <v>24</v>
      </c>
      <c r="F26" s="13">
        <v>157</v>
      </c>
    </row>
    <row r="27" spans="5:6" x14ac:dyDescent="0.4">
      <c r="E27" s="5">
        <v>25</v>
      </c>
      <c r="F27" s="13">
        <v>117</v>
      </c>
    </row>
    <row r="28" spans="5:6" x14ac:dyDescent="0.4">
      <c r="E28" s="5">
        <v>26</v>
      </c>
      <c r="F28" s="13">
        <v>101</v>
      </c>
    </row>
    <row r="29" spans="5:6" x14ac:dyDescent="0.4">
      <c r="E29" s="5">
        <v>27</v>
      </c>
      <c r="F29" s="13">
        <v>112</v>
      </c>
    </row>
    <row r="30" spans="5:6" x14ac:dyDescent="0.4">
      <c r="E30" s="5">
        <v>28</v>
      </c>
      <c r="F30" s="13">
        <v>68</v>
      </c>
    </row>
    <row r="31" spans="5:6" x14ac:dyDescent="0.4">
      <c r="E31" s="5">
        <v>29</v>
      </c>
      <c r="F31" s="13">
        <v>27</v>
      </c>
    </row>
    <row r="32" spans="5:6" x14ac:dyDescent="0.4">
      <c r="E32" s="5">
        <v>30</v>
      </c>
      <c r="F32" s="13">
        <v>16</v>
      </c>
    </row>
    <row r="33" spans="5:6" x14ac:dyDescent="0.4">
      <c r="E33" s="5">
        <v>31</v>
      </c>
      <c r="F33" s="13">
        <v>32</v>
      </c>
    </row>
    <row r="34" spans="5:6" x14ac:dyDescent="0.4">
      <c r="E34" s="5">
        <v>32</v>
      </c>
      <c r="F34" s="13">
        <v>-11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2435D-E323-458B-B36D-2C149B2112B5}">
  <sheetPr codeName="Sheet11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36</v>
      </c>
      <c r="C1" s="54"/>
      <c r="E1" s="49" t="s">
        <v>41</v>
      </c>
      <c r="F1" s="50" t="s">
        <v>6</v>
      </c>
    </row>
    <row r="2" spans="1:6" ht="19.5" thickTop="1" x14ac:dyDescent="0.4">
      <c r="A2" s="4" t="s">
        <v>9</v>
      </c>
      <c r="B2" s="9">
        <v>12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82</v>
      </c>
      <c r="C3" s="12"/>
      <c r="E3" s="5">
        <v>1</v>
      </c>
      <c r="F3" s="13">
        <v>-14</v>
      </c>
    </row>
    <row r="4" spans="1:6" x14ac:dyDescent="0.4">
      <c r="A4" s="5" t="s">
        <v>6</v>
      </c>
      <c r="B4" s="2">
        <v>83</v>
      </c>
      <c r="C4" s="13"/>
      <c r="E4" s="5">
        <v>2</v>
      </c>
      <c r="F4" s="13">
        <v>38</v>
      </c>
    </row>
    <row r="5" spans="1:6" x14ac:dyDescent="0.4">
      <c r="A5" s="5" t="s">
        <v>7</v>
      </c>
      <c r="B5" s="10">
        <f>B4/B2</f>
        <v>6.916666666666667</v>
      </c>
      <c r="C5" s="14"/>
      <c r="E5" s="5">
        <v>3</v>
      </c>
      <c r="F5" s="13">
        <v>-2</v>
      </c>
    </row>
    <row r="6" spans="1:6" x14ac:dyDescent="0.4">
      <c r="A6" s="5" t="s">
        <v>1</v>
      </c>
      <c r="B6" s="30">
        <f>(B7*1+B8*2+B9*3)/B2</f>
        <v>1.75</v>
      </c>
      <c r="C6" s="15"/>
      <c r="E6" s="5">
        <v>4</v>
      </c>
      <c r="F6" s="13">
        <v>-44</v>
      </c>
    </row>
    <row r="7" spans="1:6" x14ac:dyDescent="0.4">
      <c r="A7" s="5" t="s">
        <v>2</v>
      </c>
      <c r="B7" s="1">
        <v>6</v>
      </c>
      <c r="C7" s="6">
        <f>B7/B2</f>
        <v>0.5</v>
      </c>
      <c r="E7" s="5">
        <v>5</v>
      </c>
      <c r="F7" s="13">
        <v>9</v>
      </c>
    </row>
    <row r="8" spans="1:6" x14ac:dyDescent="0.4">
      <c r="A8" s="5" t="s">
        <v>3</v>
      </c>
      <c r="B8" s="1">
        <v>3</v>
      </c>
      <c r="C8" s="6">
        <f>B8/B2</f>
        <v>0.25</v>
      </c>
      <c r="E8" s="5">
        <v>6</v>
      </c>
      <c r="F8" s="13">
        <v>24</v>
      </c>
    </row>
    <row r="9" spans="1:6" x14ac:dyDescent="0.4">
      <c r="A9" s="27" t="s">
        <v>4</v>
      </c>
      <c r="B9" s="28">
        <v>3</v>
      </c>
      <c r="C9" s="29">
        <f>B9/B2</f>
        <v>0.25</v>
      </c>
      <c r="E9" s="5">
        <v>7</v>
      </c>
      <c r="F9" s="13">
        <v>41</v>
      </c>
    </row>
    <row r="10" spans="1:6" ht="19.5" thickBot="1" x14ac:dyDescent="0.45">
      <c r="A10" s="35" t="s">
        <v>34</v>
      </c>
      <c r="B10" s="36">
        <v>3</v>
      </c>
      <c r="C10" s="37">
        <f>B10/B2</f>
        <v>0.25</v>
      </c>
      <c r="E10" s="5">
        <v>8</v>
      </c>
      <c r="F10" s="13">
        <v>5</v>
      </c>
    </row>
    <row r="11" spans="1:6" ht="19.5" thickTop="1" x14ac:dyDescent="0.4">
      <c r="A11" s="4" t="s">
        <v>10</v>
      </c>
      <c r="B11" s="9">
        <f>B12+B13</f>
        <v>28</v>
      </c>
      <c r="C11" s="16">
        <f>B11/B3</f>
        <v>0.34146341463414637</v>
      </c>
      <c r="E11" s="5">
        <v>9</v>
      </c>
      <c r="F11" s="13">
        <v>8</v>
      </c>
    </row>
    <row r="12" spans="1:6" x14ac:dyDescent="0.4">
      <c r="A12" s="5" t="s">
        <v>11</v>
      </c>
      <c r="B12" s="1">
        <v>15</v>
      </c>
      <c r="C12" s="6">
        <f>B12/B3</f>
        <v>0.18292682926829268</v>
      </c>
      <c r="E12" s="5">
        <v>10</v>
      </c>
      <c r="F12" s="13">
        <v>58</v>
      </c>
    </row>
    <row r="13" spans="1:6" x14ac:dyDescent="0.4">
      <c r="A13" s="5" t="s">
        <v>12</v>
      </c>
      <c r="B13" s="1">
        <v>13</v>
      </c>
      <c r="C13" s="6">
        <f>B13/B3</f>
        <v>0.15853658536585366</v>
      </c>
      <c r="E13" s="5">
        <v>11</v>
      </c>
      <c r="F13" s="13">
        <v>71</v>
      </c>
    </row>
    <row r="14" spans="1:6" x14ac:dyDescent="0.4">
      <c r="A14" s="5" t="s">
        <v>13</v>
      </c>
      <c r="B14" s="1">
        <v>11</v>
      </c>
      <c r="C14" s="6">
        <f>B14/B3</f>
        <v>0.13414634146341464</v>
      </c>
      <c r="E14" s="5">
        <v>12</v>
      </c>
      <c r="F14" s="13">
        <v>83</v>
      </c>
    </row>
    <row r="15" spans="1:6" x14ac:dyDescent="0.4">
      <c r="A15" s="5" t="s">
        <v>5</v>
      </c>
      <c r="B15" s="8">
        <f>IF(B11=0,0,ROUND(C15/B11,-2))</f>
        <v>10900</v>
      </c>
      <c r="C15" s="17">
        <v>304000</v>
      </c>
    </row>
    <row r="16" spans="1:6" x14ac:dyDescent="0.4">
      <c r="A16" s="7" t="s">
        <v>14</v>
      </c>
      <c r="B16" s="18">
        <f>IF(B14=0,0,ROUND(C16/B14,-2))</f>
        <v>-9900</v>
      </c>
      <c r="C16" s="19">
        <v>-109200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9BF51-FA83-49C5-9D64-161B55804633}">
  <sheetPr codeName="Sheet12"/>
  <dimension ref="A1:F2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39</v>
      </c>
      <c r="C1" s="54"/>
      <c r="E1" s="49" t="s">
        <v>41</v>
      </c>
      <c r="F1" s="50" t="s">
        <v>6</v>
      </c>
    </row>
    <row r="2" spans="1:6" ht="19.5" thickTop="1" x14ac:dyDescent="0.4">
      <c r="A2" s="4" t="s">
        <v>9</v>
      </c>
      <c r="B2" s="9">
        <v>24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192</v>
      </c>
      <c r="C3" s="12"/>
      <c r="E3" s="5">
        <v>1</v>
      </c>
      <c r="F3" s="13">
        <v>4</v>
      </c>
    </row>
    <row r="4" spans="1:6" x14ac:dyDescent="0.4">
      <c r="A4" s="5" t="s">
        <v>6</v>
      </c>
      <c r="B4" s="2">
        <v>-168</v>
      </c>
      <c r="C4" s="13"/>
      <c r="E4" s="5">
        <v>2</v>
      </c>
      <c r="F4" s="13">
        <v>-34</v>
      </c>
    </row>
    <row r="5" spans="1:6" x14ac:dyDescent="0.4">
      <c r="A5" s="5" t="s">
        <v>7</v>
      </c>
      <c r="B5" s="10">
        <f>B4/B2</f>
        <v>-7</v>
      </c>
      <c r="C5" s="14"/>
      <c r="E5" s="5">
        <v>3</v>
      </c>
      <c r="F5" s="13">
        <v>-70</v>
      </c>
    </row>
    <row r="6" spans="1:6" x14ac:dyDescent="0.4">
      <c r="A6" s="5" t="s">
        <v>1</v>
      </c>
      <c r="B6" s="30">
        <f>(B7*1+B8*2+B9*3)/B2</f>
        <v>2.25</v>
      </c>
      <c r="C6" s="15"/>
      <c r="E6" s="5">
        <v>4</v>
      </c>
      <c r="F6" s="13">
        <v>-35</v>
      </c>
    </row>
    <row r="7" spans="1:6" x14ac:dyDescent="0.4">
      <c r="A7" s="5" t="s">
        <v>2</v>
      </c>
      <c r="B7" s="1">
        <v>6</v>
      </c>
      <c r="C7" s="6">
        <f>B7/B2</f>
        <v>0.25</v>
      </c>
      <c r="E7" s="5">
        <v>5</v>
      </c>
      <c r="F7" s="13">
        <v>-80</v>
      </c>
    </row>
    <row r="8" spans="1:6" x14ac:dyDescent="0.4">
      <c r="A8" s="5" t="s">
        <v>3</v>
      </c>
      <c r="B8" s="1">
        <v>6</v>
      </c>
      <c r="C8" s="6">
        <f>B8/B2</f>
        <v>0.25</v>
      </c>
      <c r="E8" s="5">
        <v>6</v>
      </c>
      <c r="F8" s="13">
        <v>-116</v>
      </c>
    </row>
    <row r="9" spans="1:6" x14ac:dyDescent="0.4">
      <c r="A9" s="27" t="s">
        <v>4</v>
      </c>
      <c r="B9" s="28">
        <v>12</v>
      </c>
      <c r="C9" s="29">
        <f>B9/B2</f>
        <v>0.5</v>
      </c>
      <c r="E9" s="5">
        <v>7</v>
      </c>
      <c r="F9" s="13">
        <v>-147</v>
      </c>
    </row>
    <row r="10" spans="1:6" ht="19.5" thickBot="1" x14ac:dyDescent="0.45">
      <c r="A10" s="35" t="s">
        <v>34</v>
      </c>
      <c r="B10" s="36">
        <v>6</v>
      </c>
      <c r="C10" s="37">
        <f>B10/B2</f>
        <v>0.25</v>
      </c>
      <c r="E10" s="5">
        <v>8</v>
      </c>
      <c r="F10" s="13">
        <v>-146</v>
      </c>
    </row>
    <row r="11" spans="1:6" ht="19.5" thickTop="1" x14ac:dyDescent="0.4">
      <c r="A11" s="4" t="s">
        <v>10</v>
      </c>
      <c r="B11" s="9">
        <f>B12+B13</f>
        <v>52</v>
      </c>
      <c r="C11" s="16">
        <f>B11/B3</f>
        <v>0.27083333333333331</v>
      </c>
      <c r="E11" s="5">
        <v>9</v>
      </c>
      <c r="F11" s="13">
        <v>-173</v>
      </c>
    </row>
    <row r="12" spans="1:6" x14ac:dyDescent="0.4">
      <c r="A12" s="5" t="s">
        <v>11</v>
      </c>
      <c r="B12" s="1">
        <v>25</v>
      </c>
      <c r="C12" s="6">
        <f>B12/B3</f>
        <v>0.13020833333333334</v>
      </c>
      <c r="E12" s="5">
        <v>10</v>
      </c>
      <c r="F12" s="13">
        <v>-206</v>
      </c>
    </row>
    <row r="13" spans="1:6" x14ac:dyDescent="0.4">
      <c r="A13" s="5" t="s">
        <v>12</v>
      </c>
      <c r="B13" s="1">
        <v>27</v>
      </c>
      <c r="C13" s="6">
        <f>B13/B3</f>
        <v>0.140625</v>
      </c>
      <c r="E13" s="5">
        <v>11</v>
      </c>
      <c r="F13" s="13">
        <v>-174</v>
      </c>
    </row>
    <row r="14" spans="1:6" x14ac:dyDescent="0.4">
      <c r="A14" s="5" t="s">
        <v>13</v>
      </c>
      <c r="B14" s="1">
        <v>38</v>
      </c>
      <c r="C14" s="6">
        <f>B14/B3</f>
        <v>0.19791666666666666</v>
      </c>
      <c r="E14" s="5">
        <v>12</v>
      </c>
      <c r="F14" s="13">
        <v>-197</v>
      </c>
    </row>
    <row r="15" spans="1:6" x14ac:dyDescent="0.4">
      <c r="A15" s="5" t="s">
        <v>5</v>
      </c>
      <c r="B15" s="8">
        <f>IF(B11=0,0,ROUND(C15/B11,-2))</f>
        <v>11100</v>
      </c>
      <c r="C15" s="17">
        <v>576400</v>
      </c>
      <c r="E15" s="5">
        <v>13</v>
      </c>
      <c r="F15" s="13">
        <v>-235</v>
      </c>
    </row>
    <row r="16" spans="1:6" x14ac:dyDescent="0.4">
      <c r="A16" s="7" t="s">
        <v>14</v>
      </c>
      <c r="B16" s="18">
        <f>IF(B14=0,0,ROUND(C16/B14,-2))</f>
        <v>-9600</v>
      </c>
      <c r="C16" s="19">
        <v>-366400</v>
      </c>
      <c r="E16" s="5">
        <v>14</v>
      </c>
      <c r="F16" s="13">
        <v>-231</v>
      </c>
    </row>
    <row r="17" spans="5:6" x14ac:dyDescent="0.4">
      <c r="E17" s="5">
        <v>15</v>
      </c>
      <c r="F17" s="13">
        <v>-212</v>
      </c>
    </row>
    <row r="18" spans="5:6" x14ac:dyDescent="0.4">
      <c r="E18" s="5">
        <v>16</v>
      </c>
      <c r="F18" s="13">
        <v>-233</v>
      </c>
    </row>
    <row r="19" spans="5:6" x14ac:dyDescent="0.4">
      <c r="E19" s="5">
        <v>17</v>
      </c>
      <c r="F19" s="13">
        <v>-269</v>
      </c>
    </row>
    <row r="20" spans="5:6" x14ac:dyDescent="0.4">
      <c r="E20" s="5">
        <v>18</v>
      </c>
      <c r="F20" s="13">
        <v>-296</v>
      </c>
    </row>
    <row r="21" spans="5:6" x14ac:dyDescent="0.4">
      <c r="E21" s="5">
        <v>19</v>
      </c>
      <c r="F21" s="13">
        <v>-273</v>
      </c>
    </row>
    <row r="22" spans="5:6" x14ac:dyDescent="0.4">
      <c r="E22" s="5">
        <v>20</v>
      </c>
      <c r="F22" s="13">
        <v>-270</v>
      </c>
    </row>
    <row r="23" spans="5:6" x14ac:dyDescent="0.4">
      <c r="E23" s="5">
        <v>21</v>
      </c>
      <c r="F23" s="13">
        <v>-242</v>
      </c>
    </row>
    <row r="24" spans="5:6" x14ac:dyDescent="0.4">
      <c r="E24" s="5">
        <v>22</v>
      </c>
      <c r="F24" s="13">
        <v>-203</v>
      </c>
    </row>
    <row r="25" spans="5:6" x14ac:dyDescent="0.4">
      <c r="E25" s="5">
        <v>23</v>
      </c>
      <c r="F25" s="13">
        <v>-201</v>
      </c>
    </row>
    <row r="26" spans="5:6" x14ac:dyDescent="0.4">
      <c r="E26" s="5">
        <v>24</v>
      </c>
      <c r="F26" s="13">
        <v>-168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/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0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0</v>
      </c>
      <c r="C3" s="12"/>
    </row>
    <row r="4" spans="1:6" x14ac:dyDescent="0.4">
      <c r="A4" s="5" t="s">
        <v>6</v>
      </c>
      <c r="B4" s="2">
        <v>0</v>
      </c>
      <c r="C4" s="13"/>
    </row>
    <row r="5" spans="1:6" x14ac:dyDescent="0.4">
      <c r="A5" s="5" t="s">
        <v>7</v>
      </c>
      <c r="B5" s="10" t="e">
        <f>B4/B2</f>
        <v>#DIV/0!</v>
      </c>
      <c r="C5" s="14"/>
    </row>
    <row r="6" spans="1:6" x14ac:dyDescent="0.4">
      <c r="A6" s="5" t="s">
        <v>1</v>
      </c>
      <c r="B6" s="30" t="e">
        <f>(B7*1+B8*2+B9*3)/B2</f>
        <v>#DIV/0!</v>
      </c>
      <c r="C6" s="15"/>
    </row>
    <row r="7" spans="1:6" x14ac:dyDescent="0.4">
      <c r="A7" s="5" t="s">
        <v>2</v>
      </c>
      <c r="B7" s="1">
        <v>0</v>
      </c>
      <c r="C7" s="6" t="e">
        <f>B7/B2</f>
        <v>#DIV/0!</v>
      </c>
    </row>
    <row r="8" spans="1:6" x14ac:dyDescent="0.4">
      <c r="A8" s="5" t="s">
        <v>3</v>
      </c>
      <c r="B8" s="1">
        <v>0</v>
      </c>
      <c r="C8" s="6" t="e">
        <f>B8/B2</f>
        <v>#DIV/0!</v>
      </c>
    </row>
    <row r="9" spans="1:6" x14ac:dyDescent="0.4">
      <c r="A9" s="27" t="s">
        <v>4</v>
      </c>
      <c r="B9" s="28">
        <v>0</v>
      </c>
      <c r="C9" s="29" t="e">
        <f>B9/B2</f>
        <v>#DIV/0!</v>
      </c>
    </row>
    <row r="10" spans="1:6" ht="19.5" thickBot="1" x14ac:dyDescent="0.45">
      <c r="A10" s="35" t="s">
        <v>34</v>
      </c>
      <c r="B10" s="36">
        <v>0</v>
      </c>
      <c r="C10" s="37" t="e">
        <f>B10/B2</f>
        <v>#DIV/0!</v>
      </c>
    </row>
    <row r="11" spans="1:6" ht="19.5" thickTop="1" x14ac:dyDescent="0.4">
      <c r="A11" s="4" t="s">
        <v>10</v>
      </c>
      <c r="B11" s="9">
        <f>B12+B13</f>
        <v>0</v>
      </c>
      <c r="C11" s="16" t="e">
        <f>B11/B3</f>
        <v>#DIV/0!</v>
      </c>
    </row>
    <row r="12" spans="1:6" x14ac:dyDescent="0.4">
      <c r="A12" s="5" t="s">
        <v>11</v>
      </c>
      <c r="B12" s="1">
        <v>0</v>
      </c>
      <c r="C12" s="6" t="e">
        <f>B12/B3</f>
        <v>#DIV/0!</v>
      </c>
    </row>
    <row r="13" spans="1:6" x14ac:dyDescent="0.4">
      <c r="A13" s="5" t="s">
        <v>12</v>
      </c>
      <c r="B13" s="1">
        <v>0</v>
      </c>
      <c r="C13" s="6" t="e">
        <f>B13/B3</f>
        <v>#DIV/0!</v>
      </c>
    </row>
    <row r="14" spans="1:6" x14ac:dyDescent="0.4">
      <c r="A14" s="5" t="s">
        <v>13</v>
      </c>
      <c r="B14" s="1">
        <v>0</v>
      </c>
      <c r="C14" s="6" t="e">
        <f>B14/B3</f>
        <v>#DIV/0!</v>
      </c>
    </row>
    <row r="15" spans="1:6" x14ac:dyDescent="0.4">
      <c r="A15" s="5" t="s">
        <v>5</v>
      </c>
      <c r="B15" s="8">
        <f>IF(B11=0,0,ROUND(C15/B11,-2))</f>
        <v>0</v>
      </c>
      <c r="C15" s="17">
        <v>0</v>
      </c>
    </row>
    <row r="16" spans="1:6" x14ac:dyDescent="0.4">
      <c r="A16" s="7" t="s">
        <v>14</v>
      </c>
      <c r="B16" s="18">
        <f>IF(B14=0,0,ROUND(C16/B14,-2))</f>
        <v>0</v>
      </c>
      <c r="C16" s="19">
        <v>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2018-12-18T17:06:28Z</dcterms:modified>
</cp:coreProperties>
</file>