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5D4D86E5-5D91-4737-B1B9-BDD74994A1C9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404" r:id="rId2"/>
    <sheet name="かこたろう" sheetId="2405" r:id="rId3"/>
    <sheet name="ともき" sheetId="2406" r:id="rId4"/>
    <sheet name="りくと" sheetId="2407" r:id="rId5"/>
    <sheet name="いっしー" sheetId="2408" r:id="rId6"/>
    <sheet name="がくと" sheetId="2409" r:id="rId7"/>
    <sheet name="たかの" sheetId="2410" r:id="rId8"/>
    <sheet name="ただ" sheetId="2411" r:id="rId9"/>
    <sheet name="やがさき" sheetId="2412" r:id="rId10"/>
    <sheet name="れんたろう" sheetId="2413" r:id="rId11"/>
    <sheet name="あさひ" sheetId="2414" r:id="rId12"/>
    <sheet name="まっつん" sheetId="2415" r:id="rId13"/>
    <sheet name="Template" sheetId="2228" state="hidden" r:id="rId14"/>
    <sheet name="Cache" sheetId="2227" state="hidden" r:id="rId15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415" l="1"/>
  <c r="H50" i="2415"/>
  <c r="H49" i="2415"/>
  <c r="H48" i="2415"/>
  <c r="H47" i="2415"/>
  <c r="H46" i="2415"/>
  <c r="H45" i="2415"/>
  <c r="H44" i="2415"/>
  <c r="H43" i="2415"/>
  <c r="H42" i="2415"/>
  <c r="H41" i="2415"/>
  <c r="H40" i="2415"/>
  <c r="H39" i="2415"/>
  <c r="H38" i="2415"/>
  <c r="H37" i="2415"/>
  <c r="H36" i="2415"/>
  <c r="H35" i="2415"/>
  <c r="H34" i="2415"/>
  <c r="H33" i="2415"/>
  <c r="H32" i="2415"/>
  <c r="H31" i="2415"/>
  <c r="H30" i="2415"/>
  <c r="H6" i="2415"/>
  <c r="H29" i="2415"/>
  <c r="H28" i="2415"/>
  <c r="H27" i="2415"/>
  <c r="H10" i="2415"/>
  <c r="H26" i="2415"/>
  <c r="H5" i="2415"/>
  <c r="C23" i="2415"/>
  <c r="H25" i="2415"/>
  <c r="C22" i="2415"/>
  <c r="H24" i="2415"/>
  <c r="B21" i="2415"/>
  <c r="H23" i="2415"/>
  <c r="B20" i="2415"/>
  <c r="H22" i="2415"/>
  <c r="C19" i="2415"/>
  <c r="H9" i="2415"/>
  <c r="C18" i="2415"/>
  <c r="H21" i="2415"/>
  <c r="C17" i="2415"/>
  <c r="H20" i="2415"/>
  <c r="C16" i="2415"/>
  <c r="B16" i="2415"/>
  <c r="H19" i="2415"/>
  <c r="C15" i="2415"/>
  <c r="H18" i="2415"/>
  <c r="C14" i="2415"/>
  <c r="H17" i="2415"/>
  <c r="C13" i="2415"/>
  <c r="H16" i="2415"/>
  <c r="C12" i="2415"/>
  <c r="H4" i="2415"/>
  <c r="C11" i="2415"/>
  <c r="H15" i="2415"/>
  <c r="C10" i="2415"/>
  <c r="H8" i="2415"/>
  <c r="C9" i="2415"/>
  <c r="H14" i="2415"/>
  <c r="C8" i="2415"/>
  <c r="N7" i="2415"/>
  <c r="H13" i="2415"/>
  <c r="C7" i="2415"/>
  <c r="N6" i="2415"/>
  <c r="H2" i="2415"/>
  <c r="B6" i="2415"/>
  <c r="N5" i="2415"/>
  <c r="H12" i="2415"/>
  <c r="B5" i="2415"/>
  <c r="N4" i="2415"/>
  <c r="H3" i="2415"/>
  <c r="N3" i="2415"/>
  <c r="H11" i="2415"/>
  <c r="N2" i="2415"/>
  <c r="H7" i="2415"/>
  <c r="H51" i="2414" l="1"/>
  <c r="H50" i="2414"/>
  <c r="H49" i="2414"/>
  <c r="H48" i="2414"/>
  <c r="H47" i="2414"/>
  <c r="H46" i="2414"/>
  <c r="H45" i="2414"/>
  <c r="H44" i="2414"/>
  <c r="H43" i="2414"/>
  <c r="H42" i="2414"/>
  <c r="H41" i="2414"/>
  <c r="H40" i="2414"/>
  <c r="H39" i="2414"/>
  <c r="H38" i="2414"/>
  <c r="H37" i="2414"/>
  <c r="H36" i="2414"/>
  <c r="H35" i="2414"/>
  <c r="H34" i="2414"/>
  <c r="H33" i="2414"/>
  <c r="H32" i="2414"/>
  <c r="H14" i="2414"/>
  <c r="H31" i="2414"/>
  <c r="H10" i="2414"/>
  <c r="H30" i="2414"/>
  <c r="H29" i="2414"/>
  <c r="H9" i="2414"/>
  <c r="H28" i="2414"/>
  <c r="H27" i="2414"/>
  <c r="H26" i="2414"/>
  <c r="C23" i="2414"/>
  <c r="H25" i="2414"/>
  <c r="C22" i="2414"/>
  <c r="H24" i="2414"/>
  <c r="B21" i="2414"/>
  <c r="H23" i="2414"/>
  <c r="H22" i="2414"/>
  <c r="C19" i="2414"/>
  <c r="H21" i="2414"/>
  <c r="C18" i="2414"/>
  <c r="H20" i="2414"/>
  <c r="C17" i="2414"/>
  <c r="H19" i="2414"/>
  <c r="B16" i="2414"/>
  <c r="C16" i="2414" s="1"/>
  <c r="H18" i="2414"/>
  <c r="C15" i="2414"/>
  <c r="H17" i="2414"/>
  <c r="C14" i="2414"/>
  <c r="H16" i="2414"/>
  <c r="C13" i="2414"/>
  <c r="H15" i="2414"/>
  <c r="C12" i="2414"/>
  <c r="H5" i="2414"/>
  <c r="C11" i="2414"/>
  <c r="H13" i="2414"/>
  <c r="C10" i="2414"/>
  <c r="H7" i="2414"/>
  <c r="C9" i="2414"/>
  <c r="H8" i="2414"/>
  <c r="C8" i="2414"/>
  <c r="N7" i="2414"/>
  <c r="H11" i="2414"/>
  <c r="C7" i="2414"/>
  <c r="N6" i="2414"/>
  <c r="H2" i="2414"/>
  <c r="B6" i="2414"/>
  <c r="N5" i="2414"/>
  <c r="H6" i="2414"/>
  <c r="B5" i="2414"/>
  <c r="N4" i="2414"/>
  <c r="H3" i="2414"/>
  <c r="N3" i="2414"/>
  <c r="H12" i="2414"/>
  <c r="N2" i="2414"/>
  <c r="H4" i="2414"/>
  <c r="B20" i="2414" l="1"/>
  <c r="H51" i="2413" l="1"/>
  <c r="H50" i="2413"/>
  <c r="H49" i="2413"/>
  <c r="H48" i="2413"/>
  <c r="H47" i="2413"/>
  <c r="H46" i="2413"/>
  <c r="H45" i="2413"/>
  <c r="H44" i="2413"/>
  <c r="H43" i="2413"/>
  <c r="H42" i="2413"/>
  <c r="H41" i="2413"/>
  <c r="H40" i="2413"/>
  <c r="H39" i="2413"/>
  <c r="H38" i="2413"/>
  <c r="H37" i="2413"/>
  <c r="H36" i="2413"/>
  <c r="H35" i="2413"/>
  <c r="H34" i="2413"/>
  <c r="H21" i="2413"/>
  <c r="H33" i="2413"/>
  <c r="H32" i="2413"/>
  <c r="H31" i="2413"/>
  <c r="H8" i="2413"/>
  <c r="H30" i="2413"/>
  <c r="H29" i="2413"/>
  <c r="H13" i="2413"/>
  <c r="H28" i="2413"/>
  <c r="H20" i="2413"/>
  <c r="H14" i="2413"/>
  <c r="C23" i="2413"/>
  <c r="H27" i="2413"/>
  <c r="C22" i="2413"/>
  <c r="H17" i="2413"/>
  <c r="B21" i="2413"/>
  <c r="H26" i="2413"/>
  <c r="H25" i="2413"/>
  <c r="C19" i="2413"/>
  <c r="H19" i="2413"/>
  <c r="C18" i="2413"/>
  <c r="H11" i="2413"/>
  <c r="C17" i="2413"/>
  <c r="H24" i="2413"/>
  <c r="B16" i="2413"/>
  <c r="B20" i="2413" s="1"/>
  <c r="H23" i="2413"/>
  <c r="C15" i="2413"/>
  <c r="H18" i="2413"/>
  <c r="C14" i="2413"/>
  <c r="H22" i="2413"/>
  <c r="C13" i="2413"/>
  <c r="H16" i="2413"/>
  <c r="C12" i="2413"/>
  <c r="H3" i="2413"/>
  <c r="C11" i="2413"/>
  <c r="H15" i="2413"/>
  <c r="C10" i="2413"/>
  <c r="H10" i="2413"/>
  <c r="C9" i="2413"/>
  <c r="H9" i="2413"/>
  <c r="C8" i="2413"/>
  <c r="N7" i="2413"/>
  <c r="H7" i="2413"/>
  <c r="C7" i="2413"/>
  <c r="N6" i="2413"/>
  <c r="H2" i="2413"/>
  <c r="B6" i="2413"/>
  <c r="N5" i="2413"/>
  <c r="H6" i="2413"/>
  <c r="B5" i="2413"/>
  <c r="N4" i="2413"/>
  <c r="H4" i="2413"/>
  <c r="N3" i="2413"/>
  <c r="H12" i="2413"/>
  <c r="N2" i="2413"/>
  <c r="H5" i="2413"/>
  <c r="C16" i="2413" l="1"/>
  <c r="H51" i="2412" l="1"/>
  <c r="H50" i="2412"/>
  <c r="H49" i="2412"/>
  <c r="H48" i="2412"/>
  <c r="H47" i="2412"/>
  <c r="H46" i="2412"/>
  <c r="H45" i="2412"/>
  <c r="H44" i="2412"/>
  <c r="H43" i="2412"/>
  <c r="H42" i="2412"/>
  <c r="H41" i="2412"/>
  <c r="H40" i="2412"/>
  <c r="H39" i="2412"/>
  <c r="H38" i="2412"/>
  <c r="H37" i="2412"/>
  <c r="H36" i="2412"/>
  <c r="H35" i="2412"/>
  <c r="H34" i="2412"/>
  <c r="H33" i="2412"/>
  <c r="H32" i="2412"/>
  <c r="H31" i="2412"/>
  <c r="H30" i="2412"/>
  <c r="H29" i="2412"/>
  <c r="H28" i="2412"/>
  <c r="H27" i="2412"/>
  <c r="H26" i="2412"/>
  <c r="H25" i="2412"/>
  <c r="H24" i="2412"/>
  <c r="H23" i="2412"/>
  <c r="C23" i="2412"/>
  <c r="H22" i="2412"/>
  <c r="C22" i="2412"/>
  <c r="H21" i="2412"/>
  <c r="B21" i="2412"/>
  <c r="H20" i="2412"/>
  <c r="B20" i="2412"/>
  <c r="H19" i="2412"/>
  <c r="C19" i="2412"/>
  <c r="H18" i="2412"/>
  <c r="C18" i="2412"/>
  <c r="H17" i="2412"/>
  <c r="C17" i="2412"/>
  <c r="H16" i="2412"/>
  <c r="C16" i="2412"/>
  <c r="B16" i="2412"/>
  <c r="H15" i="2412"/>
  <c r="C15" i="2412"/>
  <c r="H14" i="2412"/>
  <c r="C14" i="2412"/>
  <c r="H13" i="2412"/>
  <c r="C13" i="2412"/>
  <c r="H12" i="2412"/>
  <c r="C12" i="2412"/>
  <c r="H11" i="2412"/>
  <c r="C11" i="2412"/>
  <c r="H10" i="2412"/>
  <c r="C10" i="2412"/>
  <c r="H9" i="2412"/>
  <c r="C9" i="2412"/>
  <c r="H8" i="2412"/>
  <c r="C8" i="2412"/>
  <c r="N7" i="2412"/>
  <c r="H7" i="2412"/>
  <c r="C7" i="2412"/>
  <c r="N6" i="2412"/>
  <c r="H6" i="2412"/>
  <c r="B6" i="2412"/>
  <c r="N5" i="2412"/>
  <c r="H5" i="2412"/>
  <c r="B5" i="2412"/>
  <c r="N4" i="2412"/>
  <c r="H4" i="2412"/>
  <c r="N3" i="2412"/>
  <c r="H3" i="2412"/>
  <c r="N2" i="2412"/>
  <c r="H2" i="2412"/>
  <c r="H51" i="2411" l="1"/>
  <c r="H50" i="2411"/>
  <c r="H49" i="2411"/>
  <c r="H48" i="2411"/>
  <c r="H47" i="2411"/>
  <c r="H46" i="2411"/>
  <c r="H45" i="2411"/>
  <c r="H44" i="2411"/>
  <c r="H43" i="2411"/>
  <c r="H42" i="2411"/>
  <c r="H41" i="2411"/>
  <c r="H40" i="2411"/>
  <c r="H39" i="2411"/>
  <c r="H38" i="2411"/>
  <c r="H37" i="2411"/>
  <c r="H36" i="2411"/>
  <c r="H35" i="2411"/>
  <c r="H34" i="2411"/>
  <c r="H33" i="2411"/>
  <c r="H32" i="2411"/>
  <c r="H18" i="2411"/>
  <c r="H31" i="2411"/>
  <c r="H10" i="2411"/>
  <c r="H30" i="2411"/>
  <c r="H29" i="2411"/>
  <c r="H13" i="2411"/>
  <c r="H28" i="2411"/>
  <c r="H19" i="2411"/>
  <c r="H17" i="2411"/>
  <c r="C23" i="2411"/>
  <c r="H27" i="2411"/>
  <c r="C22" i="2411"/>
  <c r="H15" i="2411"/>
  <c r="B21" i="2411"/>
  <c r="H26" i="2411"/>
  <c r="H25" i="2411"/>
  <c r="C19" i="2411"/>
  <c r="H24" i="2411"/>
  <c r="C18" i="2411"/>
  <c r="H14" i="2411"/>
  <c r="C17" i="2411"/>
  <c r="H23" i="2411"/>
  <c r="B16" i="2411"/>
  <c r="B20" i="2411" s="1"/>
  <c r="H22" i="2411"/>
  <c r="C15" i="2411"/>
  <c r="H21" i="2411"/>
  <c r="C14" i="2411"/>
  <c r="H16" i="2411"/>
  <c r="C13" i="2411"/>
  <c r="H20" i="2411"/>
  <c r="C12" i="2411"/>
  <c r="H5" i="2411"/>
  <c r="C11" i="2411"/>
  <c r="H12" i="2411"/>
  <c r="C10" i="2411"/>
  <c r="H11" i="2411"/>
  <c r="C9" i="2411"/>
  <c r="H8" i="2411"/>
  <c r="C8" i="2411"/>
  <c r="N7" i="2411"/>
  <c r="H7" i="2411"/>
  <c r="C7" i="2411"/>
  <c r="N6" i="2411"/>
  <c r="H3" i="2411"/>
  <c r="B6" i="2411"/>
  <c r="N5" i="2411"/>
  <c r="H6" i="2411"/>
  <c r="B5" i="2411"/>
  <c r="N4" i="2411"/>
  <c r="H2" i="2411"/>
  <c r="N3" i="2411"/>
  <c r="H9" i="2411"/>
  <c r="N2" i="2411"/>
  <c r="H4" i="2411"/>
  <c r="H51" i="2410"/>
  <c r="H50" i="2410"/>
  <c r="H49" i="2410"/>
  <c r="H48" i="2410"/>
  <c r="H47" i="2410"/>
  <c r="H46" i="2410"/>
  <c r="H45" i="2410"/>
  <c r="H44" i="2410"/>
  <c r="H43" i="2410"/>
  <c r="H42" i="2410"/>
  <c r="H41" i="2410"/>
  <c r="H40" i="2410"/>
  <c r="H39" i="2410"/>
  <c r="H38" i="2410"/>
  <c r="H37" i="2410"/>
  <c r="H36" i="2410"/>
  <c r="H35" i="2410"/>
  <c r="H34" i="2410"/>
  <c r="H33" i="2410"/>
  <c r="H32" i="2410"/>
  <c r="H31" i="2410"/>
  <c r="H30" i="2410"/>
  <c r="H10" i="2410"/>
  <c r="H29" i="2410"/>
  <c r="H28" i="2410"/>
  <c r="H13" i="2410"/>
  <c r="H27" i="2410"/>
  <c r="H26" i="2410"/>
  <c r="H18" i="2410"/>
  <c r="C23" i="2410"/>
  <c r="H25" i="2410"/>
  <c r="C22" i="2410"/>
  <c r="H17" i="2410"/>
  <c r="B21" i="2410"/>
  <c r="H24" i="2410"/>
  <c r="H23" i="2410"/>
  <c r="C19" i="2410"/>
  <c r="H12" i="2410"/>
  <c r="C18" i="2410"/>
  <c r="H11" i="2410"/>
  <c r="C17" i="2410"/>
  <c r="H22" i="2410"/>
  <c r="B16" i="2410"/>
  <c r="B20" i="2410" s="1"/>
  <c r="H21" i="2410"/>
  <c r="C15" i="2410"/>
  <c r="H16" i="2410"/>
  <c r="C14" i="2410"/>
  <c r="H20" i="2410"/>
  <c r="C13" i="2410"/>
  <c r="H19" i="2410"/>
  <c r="C12" i="2410"/>
  <c r="H3" i="2410"/>
  <c r="C11" i="2410"/>
  <c r="H15" i="2410"/>
  <c r="C10" i="2410"/>
  <c r="H14" i="2410"/>
  <c r="C9" i="2410"/>
  <c r="H9" i="2410"/>
  <c r="C8" i="2410"/>
  <c r="N7" i="2410"/>
  <c r="H7" i="2410"/>
  <c r="C7" i="2410"/>
  <c r="N6" i="2410"/>
  <c r="H2" i="2410"/>
  <c r="B6" i="2410"/>
  <c r="N5" i="2410"/>
  <c r="H8" i="2410"/>
  <c r="B5" i="2410"/>
  <c r="N4" i="2410"/>
  <c r="H4" i="2410"/>
  <c r="N3" i="2410"/>
  <c r="H6" i="2410"/>
  <c r="N2" i="2410"/>
  <c r="H5" i="2410"/>
  <c r="C16" i="2411" l="1"/>
  <c r="C16" i="2410"/>
  <c r="H51" i="2409" l="1"/>
  <c r="H50" i="2409"/>
  <c r="H49" i="2409"/>
  <c r="H48" i="2409"/>
  <c r="H47" i="2409"/>
  <c r="H46" i="2409"/>
  <c r="H45" i="2409"/>
  <c r="H44" i="2409"/>
  <c r="H43" i="2409"/>
  <c r="H42" i="2409"/>
  <c r="H41" i="2409"/>
  <c r="H40" i="2409"/>
  <c r="H39" i="2409"/>
  <c r="H38" i="2409"/>
  <c r="H37" i="2409"/>
  <c r="H36" i="2409"/>
  <c r="H35" i="2409"/>
  <c r="H34" i="2409"/>
  <c r="H33" i="2409"/>
  <c r="H32" i="2409"/>
  <c r="H31" i="2409"/>
  <c r="H30" i="2409"/>
  <c r="H29" i="2409"/>
  <c r="H28" i="2409"/>
  <c r="H27" i="2409"/>
  <c r="H11" i="2409"/>
  <c r="H26" i="2409"/>
  <c r="H25" i="2409"/>
  <c r="H24" i="2409"/>
  <c r="C23" i="2409"/>
  <c r="H23" i="2409"/>
  <c r="C22" i="2409"/>
  <c r="H22" i="2409"/>
  <c r="B21" i="2409"/>
  <c r="H21" i="2409"/>
  <c r="B20" i="2409"/>
  <c r="H20" i="2409"/>
  <c r="C19" i="2409"/>
  <c r="H8" i="2409"/>
  <c r="C18" i="2409"/>
  <c r="H19" i="2409"/>
  <c r="C17" i="2409"/>
  <c r="H18" i="2409"/>
  <c r="C16" i="2409"/>
  <c r="B16" i="2409"/>
  <c r="H17" i="2409"/>
  <c r="C15" i="2409"/>
  <c r="H16" i="2409"/>
  <c r="C14" i="2409"/>
  <c r="H15" i="2409"/>
  <c r="C13" i="2409"/>
  <c r="H14" i="2409"/>
  <c r="C12" i="2409"/>
  <c r="H5" i="2409"/>
  <c r="C11" i="2409"/>
  <c r="H13" i="2409"/>
  <c r="C10" i="2409"/>
  <c r="H12" i="2409"/>
  <c r="C9" i="2409"/>
  <c r="H10" i="2409"/>
  <c r="C8" i="2409"/>
  <c r="N7" i="2409"/>
  <c r="H6" i="2409"/>
  <c r="C7" i="2409"/>
  <c r="N6" i="2409"/>
  <c r="H3" i="2409"/>
  <c r="B6" i="2409"/>
  <c r="N5" i="2409"/>
  <c r="H7" i="2409"/>
  <c r="B5" i="2409"/>
  <c r="N4" i="2409"/>
  <c r="H9" i="2409"/>
  <c r="N3" i="2409"/>
  <c r="H4" i="2409"/>
  <c r="N2" i="2409"/>
  <c r="H2" i="2409"/>
  <c r="H51" i="2408" l="1"/>
  <c r="H50" i="2408"/>
  <c r="H49" i="2408"/>
  <c r="H48" i="2408"/>
  <c r="H47" i="2408"/>
  <c r="H46" i="2408"/>
  <c r="H45" i="2408"/>
  <c r="H44" i="2408"/>
  <c r="H43" i="2408"/>
  <c r="H42" i="2408"/>
  <c r="H41" i="2408"/>
  <c r="H40" i="2408"/>
  <c r="H39" i="2408"/>
  <c r="H38" i="2408"/>
  <c r="H37" i="2408"/>
  <c r="H36" i="2408"/>
  <c r="H35" i="2408"/>
  <c r="H34" i="2408"/>
  <c r="H33" i="2408"/>
  <c r="H32" i="2408"/>
  <c r="H31" i="2408"/>
  <c r="H30" i="2408"/>
  <c r="H13" i="2408"/>
  <c r="H29" i="2408"/>
  <c r="H28" i="2408"/>
  <c r="H15" i="2408"/>
  <c r="H27" i="2408"/>
  <c r="H26" i="2408"/>
  <c r="H9" i="2408"/>
  <c r="C23" i="2408"/>
  <c r="H25" i="2408"/>
  <c r="C22" i="2408"/>
  <c r="H12" i="2408"/>
  <c r="B21" i="2408"/>
  <c r="H24" i="2408"/>
  <c r="H23" i="2408"/>
  <c r="C19" i="2408"/>
  <c r="H22" i="2408"/>
  <c r="C18" i="2408"/>
  <c r="H14" i="2408"/>
  <c r="C17" i="2408"/>
  <c r="H21" i="2408"/>
  <c r="B16" i="2408"/>
  <c r="B20" i="2408" s="1"/>
  <c r="H20" i="2408"/>
  <c r="C15" i="2408"/>
  <c r="H19" i="2408"/>
  <c r="C14" i="2408"/>
  <c r="H18" i="2408"/>
  <c r="C13" i="2408"/>
  <c r="H17" i="2408"/>
  <c r="C12" i="2408"/>
  <c r="H4" i="2408"/>
  <c r="C11" i="2408"/>
  <c r="H16" i="2408"/>
  <c r="C10" i="2408"/>
  <c r="H11" i="2408"/>
  <c r="C9" i="2408"/>
  <c r="H10" i="2408"/>
  <c r="C8" i="2408"/>
  <c r="N7" i="2408"/>
  <c r="H7" i="2408"/>
  <c r="C7" i="2408"/>
  <c r="N6" i="2408"/>
  <c r="H3" i="2408"/>
  <c r="B6" i="2408"/>
  <c r="N5" i="2408"/>
  <c r="H6" i="2408"/>
  <c r="B5" i="2408"/>
  <c r="N4" i="2408"/>
  <c r="H2" i="2408"/>
  <c r="N3" i="2408"/>
  <c r="H8" i="2408"/>
  <c r="N2" i="2408"/>
  <c r="H5" i="2408"/>
  <c r="H51" i="2407"/>
  <c r="H50" i="2407"/>
  <c r="H49" i="2407"/>
  <c r="H48" i="2407"/>
  <c r="H47" i="2407"/>
  <c r="H46" i="2407"/>
  <c r="H45" i="2407"/>
  <c r="H44" i="2407"/>
  <c r="H43" i="2407"/>
  <c r="H42" i="2407"/>
  <c r="H41" i="2407"/>
  <c r="H40" i="2407"/>
  <c r="H39" i="2407"/>
  <c r="H38" i="2407"/>
  <c r="H37" i="2407"/>
  <c r="H36" i="2407"/>
  <c r="H35" i="2407"/>
  <c r="H34" i="2407"/>
  <c r="H33" i="2407"/>
  <c r="H19" i="2407"/>
  <c r="H14" i="2407"/>
  <c r="H32" i="2407"/>
  <c r="H9" i="2407"/>
  <c r="H24" i="2407"/>
  <c r="H23" i="2407"/>
  <c r="H12" i="2407"/>
  <c r="H22" i="2407"/>
  <c r="H21" i="2407"/>
  <c r="H13" i="2407"/>
  <c r="C23" i="2407"/>
  <c r="H31" i="2407"/>
  <c r="C22" i="2407"/>
  <c r="H15" i="2407"/>
  <c r="B21" i="2407"/>
  <c r="H20" i="2407"/>
  <c r="H30" i="2407"/>
  <c r="C19" i="2407"/>
  <c r="H18" i="2407"/>
  <c r="C18" i="2407"/>
  <c r="H17" i="2407"/>
  <c r="C17" i="2407"/>
  <c r="H29" i="2407"/>
  <c r="B16" i="2407"/>
  <c r="B20" i="2407" s="1"/>
  <c r="H28" i="2407"/>
  <c r="C15" i="2407"/>
  <c r="H27" i="2407"/>
  <c r="C14" i="2407"/>
  <c r="H26" i="2407"/>
  <c r="C13" i="2407"/>
  <c r="H25" i="2407"/>
  <c r="C12" i="2407"/>
  <c r="H5" i="2407"/>
  <c r="C11" i="2407"/>
  <c r="H16" i="2407"/>
  <c r="C10" i="2407"/>
  <c r="H8" i="2407"/>
  <c r="C9" i="2407"/>
  <c r="H10" i="2407"/>
  <c r="C8" i="2407"/>
  <c r="N7" i="2407"/>
  <c r="H6" i="2407"/>
  <c r="C7" i="2407"/>
  <c r="N6" i="2407"/>
  <c r="H2" i="2407"/>
  <c r="B6" i="2407"/>
  <c r="N5" i="2407"/>
  <c r="H7" i="2407"/>
  <c r="B5" i="2407"/>
  <c r="N4" i="2407"/>
  <c r="H3" i="2407"/>
  <c r="N3" i="2407"/>
  <c r="H11" i="2407"/>
  <c r="N2" i="2407"/>
  <c r="H4" i="2407"/>
  <c r="C16" i="2408" l="1"/>
  <c r="C16" i="2407"/>
  <c r="H51" i="2406" l="1"/>
  <c r="H50" i="2406"/>
  <c r="H49" i="2406"/>
  <c r="H48" i="2406"/>
  <c r="H47" i="2406"/>
  <c r="H46" i="2406"/>
  <c r="H45" i="2406"/>
  <c r="H44" i="2406"/>
  <c r="H43" i="2406"/>
  <c r="H42" i="2406"/>
  <c r="H41" i="2406"/>
  <c r="H40" i="2406"/>
  <c r="H39" i="2406"/>
  <c r="H38" i="2406"/>
  <c r="H37" i="2406"/>
  <c r="H36" i="2406"/>
  <c r="H35" i="2406"/>
  <c r="H34" i="2406"/>
  <c r="H33" i="2406"/>
  <c r="H32" i="2406"/>
  <c r="H31" i="2406"/>
  <c r="H30" i="2406"/>
  <c r="H29" i="2406"/>
  <c r="H28" i="2406"/>
  <c r="H27" i="2406"/>
  <c r="H26" i="2406"/>
  <c r="H25" i="2406"/>
  <c r="H24" i="2406"/>
  <c r="H23" i="2406"/>
  <c r="C23" i="2406"/>
  <c r="H22" i="2406"/>
  <c r="C22" i="2406"/>
  <c r="H21" i="2406"/>
  <c r="B21" i="2406"/>
  <c r="H20" i="2406"/>
  <c r="H19" i="2406"/>
  <c r="C19" i="2406"/>
  <c r="H18" i="2406"/>
  <c r="C18" i="2406"/>
  <c r="H17" i="2406"/>
  <c r="C17" i="2406"/>
  <c r="H16" i="2406"/>
  <c r="B16" i="2406"/>
  <c r="B20" i="2406" s="1"/>
  <c r="H15" i="2406"/>
  <c r="C15" i="2406"/>
  <c r="H14" i="2406"/>
  <c r="C14" i="2406"/>
  <c r="H13" i="2406"/>
  <c r="C13" i="2406"/>
  <c r="H12" i="2406"/>
  <c r="C12" i="2406"/>
  <c r="H11" i="2406"/>
  <c r="C11" i="2406"/>
  <c r="H10" i="2406"/>
  <c r="C10" i="2406"/>
  <c r="H9" i="2406"/>
  <c r="C9" i="2406"/>
  <c r="H8" i="2406"/>
  <c r="C8" i="2406"/>
  <c r="N7" i="2406"/>
  <c r="H7" i="2406"/>
  <c r="C7" i="2406"/>
  <c r="N6" i="2406"/>
  <c r="H6" i="2406"/>
  <c r="B6" i="2406"/>
  <c r="N5" i="2406"/>
  <c r="H5" i="2406"/>
  <c r="B5" i="2406"/>
  <c r="N4" i="2406"/>
  <c r="H4" i="2406"/>
  <c r="N3" i="2406"/>
  <c r="H3" i="2406"/>
  <c r="N2" i="2406"/>
  <c r="H2" i="2406"/>
  <c r="H51" i="2405"/>
  <c r="H50" i="2405"/>
  <c r="H49" i="2405"/>
  <c r="H48" i="2405"/>
  <c r="H47" i="2405"/>
  <c r="H46" i="2405"/>
  <c r="H45" i="2405"/>
  <c r="H44" i="2405"/>
  <c r="H43" i="2405"/>
  <c r="H42" i="2405"/>
  <c r="H41" i="2405"/>
  <c r="H40" i="2405"/>
  <c r="H39" i="2405"/>
  <c r="H38" i="2405"/>
  <c r="H37" i="2405"/>
  <c r="H36" i="2405"/>
  <c r="H35" i="2405"/>
  <c r="H34" i="2405"/>
  <c r="H33" i="2405"/>
  <c r="H32" i="2405"/>
  <c r="H31" i="2405"/>
  <c r="H30" i="2405"/>
  <c r="H29" i="2405"/>
  <c r="H28" i="2405"/>
  <c r="H27" i="2405"/>
  <c r="H26" i="2405"/>
  <c r="H25" i="2405"/>
  <c r="H24" i="2405"/>
  <c r="H23" i="2405"/>
  <c r="C23" i="2405"/>
  <c r="H22" i="2405"/>
  <c r="C22" i="2405"/>
  <c r="H21" i="2405"/>
  <c r="B21" i="2405"/>
  <c r="H20" i="2405"/>
  <c r="H19" i="2405"/>
  <c r="C19" i="2405"/>
  <c r="H18" i="2405"/>
  <c r="C18" i="2405"/>
  <c r="H17" i="2405"/>
  <c r="C17" i="2405"/>
  <c r="H16" i="2405"/>
  <c r="B16" i="2405"/>
  <c r="B20" i="2405" s="1"/>
  <c r="H15" i="2405"/>
  <c r="C15" i="2405"/>
  <c r="H14" i="2405"/>
  <c r="C14" i="2405"/>
  <c r="H13" i="2405"/>
  <c r="C13" i="2405"/>
  <c r="H12" i="2405"/>
  <c r="C12" i="2405"/>
  <c r="H11" i="2405"/>
  <c r="C11" i="2405"/>
  <c r="H10" i="2405"/>
  <c r="C10" i="2405"/>
  <c r="H9" i="2405"/>
  <c r="C9" i="2405"/>
  <c r="H8" i="2405"/>
  <c r="C8" i="2405"/>
  <c r="N7" i="2405"/>
  <c r="H7" i="2405"/>
  <c r="C7" i="2405"/>
  <c r="N6" i="2405"/>
  <c r="H6" i="2405"/>
  <c r="B6" i="2405"/>
  <c r="N5" i="2405"/>
  <c r="H5" i="2405"/>
  <c r="B5" i="2405"/>
  <c r="N4" i="2405"/>
  <c r="H4" i="2405"/>
  <c r="N3" i="2405"/>
  <c r="H3" i="2405"/>
  <c r="N2" i="2405"/>
  <c r="H2" i="2405"/>
  <c r="H51" i="2404"/>
  <c r="H50" i="2404"/>
  <c r="H49" i="2404"/>
  <c r="H48" i="2404"/>
  <c r="H47" i="2404"/>
  <c r="H24" i="2404"/>
  <c r="H46" i="2404"/>
  <c r="H45" i="2404"/>
  <c r="H44" i="2404"/>
  <c r="H43" i="2404"/>
  <c r="H42" i="2404"/>
  <c r="H41" i="2404"/>
  <c r="H40" i="2404"/>
  <c r="H39" i="2404"/>
  <c r="H38" i="2404"/>
  <c r="H37" i="2404"/>
  <c r="H36" i="2404"/>
  <c r="H35" i="2404"/>
  <c r="H34" i="2404"/>
  <c r="H18" i="2404"/>
  <c r="H23" i="2404"/>
  <c r="H33" i="2404"/>
  <c r="H9" i="2404"/>
  <c r="H32" i="2404"/>
  <c r="H22" i="2404"/>
  <c r="H13" i="2404"/>
  <c r="H21" i="2404"/>
  <c r="H31" i="2404"/>
  <c r="H14" i="2404"/>
  <c r="C23" i="2404"/>
  <c r="H30" i="2404"/>
  <c r="C22" i="2404"/>
  <c r="H15" i="2404"/>
  <c r="B21" i="2404"/>
  <c r="H29" i="2404"/>
  <c r="H28" i="2404"/>
  <c r="C19" i="2404"/>
  <c r="H20" i="2404"/>
  <c r="C18" i="2404"/>
  <c r="H19" i="2404"/>
  <c r="C17" i="2404"/>
  <c r="H17" i="2404"/>
  <c r="B16" i="2404"/>
  <c r="B20" i="2404" s="1"/>
  <c r="H27" i="2404"/>
  <c r="C15" i="2404"/>
  <c r="H26" i="2404"/>
  <c r="C14" i="2404"/>
  <c r="H25" i="2404"/>
  <c r="C13" i="2404"/>
  <c r="H16" i="2404"/>
  <c r="C12" i="2404"/>
  <c r="H5" i="2404"/>
  <c r="C11" i="2404"/>
  <c r="H12" i="2404"/>
  <c r="C10" i="2404"/>
  <c r="H11" i="2404"/>
  <c r="C9" i="2404"/>
  <c r="H8" i="2404"/>
  <c r="C8" i="2404"/>
  <c r="N7" i="2404"/>
  <c r="H6" i="2404"/>
  <c r="C7" i="2404"/>
  <c r="N6" i="2404"/>
  <c r="H2" i="2404"/>
  <c r="B6" i="2404"/>
  <c r="N5" i="2404"/>
  <c r="H7" i="2404"/>
  <c r="B5" i="2404"/>
  <c r="N4" i="2404"/>
  <c r="H3" i="2404"/>
  <c r="N3" i="2404"/>
  <c r="H10" i="2404"/>
  <c r="N2" i="2404"/>
  <c r="H4" i="2404"/>
  <c r="C16" i="2405" l="1"/>
  <c r="C16" i="2406"/>
  <c r="C16" i="2404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<sst xmlns="http://schemas.openxmlformats.org/spreadsheetml/2006/main" count="2212" uniqueCount="225">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</sst>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だいち!$K$2:$K$120</c:f>
              <c:numCache>
                <c:formatCode>\+0;\-0;\±0</c:formatCode>
                <c:ptCount val="11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0-48AF-A926-738498F77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849.12280701754389</c:v>
                </c:pt>
                <c:pt idx="1">
                  <c:v>1728.7037037037037</c:v>
                </c:pt>
                <c:pt idx="2">
                  <c:v>745</c:v>
                </c:pt>
                <c:pt idx="3">
                  <c:v>1301.1363636363637</c:v>
                </c:pt>
                <c:pt idx="4">
                  <c:v>323.94366197183098</c:v>
                </c:pt>
                <c:pt idx="5">
                  <c:v>-440.38461538461536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D-428B-AC1D-3C3D33176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F-4AEE-902A-53AB1289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12-452B-BFDA-0A5EEC5F8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6-41F0-A901-E7D7A4C95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0-41E2-B2A3-EFCE50AB6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りくと!$K$2:$K$84</c:f>
              <c:numCache>
                <c:formatCode>\+0;\-0;\±0</c:formatCode>
                <c:ptCount val="8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CC-4E74-9C3A-AB5516439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2.5</c:v>
                </c:pt>
                <c:pt idx="1">
                  <c:v>-2002.6315789473683</c:v>
                </c:pt>
                <c:pt idx="2">
                  <c:v>1770.2702702702702</c:v>
                </c:pt>
                <c:pt idx="3">
                  <c:v>-2136.3636363636365</c:v>
                </c:pt>
                <c:pt idx="4">
                  <c:v>-3094.3396226415093</c:v>
                </c:pt>
                <c:pt idx="5">
                  <c:v>-2765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4-4ECE-9456-9F8BD8048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F-440A-BAD4-4A4A775F2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2-45AC-AAA8-3E8087F70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B3-4B83-897A-D8906B341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11-4FF9-8193-375CBB5DC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9CE-B323-4486469E6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B-4D1C-BAD9-1763BF809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9-4129-835E-C3080BEAA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3555.3191489361702</c:v>
                </c:pt>
                <c:pt idx="1">
                  <c:v>-572.72727272727275</c:v>
                </c:pt>
                <c:pt idx="2">
                  <c:v>-340</c:v>
                </c:pt>
                <c:pt idx="3">
                  <c:v>-1340.5405405405406</c:v>
                </c:pt>
                <c:pt idx="4">
                  <c:v>1767.8571428571429</c:v>
                </c:pt>
                <c:pt idx="5">
                  <c:v>266.66666666666669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4-41BC-90C5-606DD4187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56C-B1DE-0FC18B80E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5-4651-A39E-2BC22793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112-BBB8-48CAD0745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-4862.8571428571431</c:v>
                </c:pt>
                <c:pt idx="1">
                  <c:v>-1665.7142857142858</c:v>
                </c:pt>
                <c:pt idx="2">
                  <c:v>-1182.3529411764705</c:v>
                </c:pt>
                <c:pt idx="3">
                  <c:v>-150</c:v>
                </c:pt>
                <c:pt idx="4">
                  <c:v>-2389.2857142857142</c:v>
                </c:pt>
                <c:pt idx="5">
                  <c:v>4852.6315789473683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A-4612-A185-0200FFED1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8-4EE9-BA41-72A0953F8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E-4475-8FAA-0AF8341C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まっつん!$K$2:$K$6</c:f>
              <c:numCache>
                <c:formatCode>\+0;\-0;\±0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8-4C13-B6B9-DADE8B04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425</c:v>
                </c:pt>
                <c:pt idx="1">
                  <c:v>4875</c:v>
                </c:pt>
                <c:pt idx="2">
                  <c:v>-3933.3333333333335</c:v>
                </c:pt>
                <c:pt idx="3">
                  <c:v>7066.666666666667</c:v>
                </c:pt>
                <c:pt idx="4">
                  <c:v>-8250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C2-4E4B-9A26-CC2CC4448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212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200</v>
      </c>
      <c r="AE1" s="85"/>
    </row>
    <row r="2" spans="1:31" x14ac:dyDescent="0.4">
      <c r="A2" s="8">
        <v>1</v>
      </c>
      <c r="B2" s="9" t="s">
        <v>137</v>
      </c>
      <c r="C2" s="11">
        <v>508.60000000000014</v>
      </c>
      <c r="D2" s="10" t="s">
        <v>217</v>
      </c>
      <c r="E2" s="11">
        <v>17.8</v>
      </c>
      <c r="F2" s="10" t="s">
        <v>217</v>
      </c>
      <c r="G2" s="12">
        <v>1.6</v>
      </c>
      <c r="H2" s="10" t="s">
        <v>217</v>
      </c>
      <c r="I2" s="17">
        <v>0.6</v>
      </c>
      <c r="J2" s="10" t="s">
        <v>217</v>
      </c>
      <c r="K2" s="15">
        <v>0.39130434782608697</v>
      </c>
      <c r="L2" s="10" t="s">
        <v>217</v>
      </c>
      <c r="M2" s="15">
        <v>6.5217391304347824E-2</v>
      </c>
      <c r="N2" s="10" t="s">
        <v>160</v>
      </c>
      <c r="O2" s="13">
        <v>11458.974358974359</v>
      </c>
      <c r="P2" s="10" t="s">
        <v>217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222</v>
      </c>
      <c r="Y2" s="15">
        <v>0.51724137931034486</v>
      </c>
      <c r="Z2" s="10" t="s">
        <v>145</v>
      </c>
      <c r="AA2" s="15">
        <v>0.75</v>
      </c>
      <c r="AB2" s="10" t="s">
        <v>217</v>
      </c>
      <c r="AC2" s="15">
        <v>0.5</v>
      </c>
      <c r="AD2" s="10" t="s">
        <v>217</v>
      </c>
      <c r="AE2" s="15">
        <v>0.46666666666666667</v>
      </c>
    </row>
    <row r="3" spans="1:31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0.35370152761457108</v>
      </c>
      <c r="L3" s="1" t="s">
        <v>156</v>
      </c>
      <c r="M3" s="16">
        <v>0.13414634146341464</v>
      </c>
      <c r="N3" s="1" t="s">
        <v>141</v>
      </c>
      <c r="O3" s="2">
        <v>11389.102564102564</v>
      </c>
      <c r="P3" s="1" t="s">
        <v>222</v>
      </c>
      <c r="Q3" s="2">
        <v>-7416.666666666667</v>
      </c>
      <c r="R3" s="1" t="s">
        <v>217</v>
      </c>
      <c r="S3" s="18">
        <v>0</v>
      </c>
      <c r="T3" s="1" t="s">
        <v>137</v>
      </c>
      <c r="U3" s="18">
        <v>0.22033898305084745</v>
      </c>
      <c r="V3" s="1" t="s">
        <v>217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0.7142857142857143</v>
      </c>
      <c r="AB3" s="1" t="s">
        <v>222</v>
      </c>
      <c r="AC3" s="16">
        <v>0.46666666666666667</v>
      </c>
      <c r="AD3" s="1" t="s">
        <v>145</v>
      </c>
      <c r="AE3" s="16">
        <v>0.46153846153846156</v>
      </c>
    </row>
    <row r="4" spans="1:31" x14ac:dyDescent="0.4">
      <c r="A4" s="7">
        <v>3</v>
      </c>
      <c r="B4" s="6" t="s">
        <v>149</v>
      </c>
      <c r="C4" s="3">
        <v>175.29999999999995</v>
      </c>
      <c r="D4" s="1" t="s">
        <v>142</v>
      </c>
      <c r="E4" s="3">
        <v>5.5133333333333336</v>
      </c>
      <c r="F4" s="1" t="s">
        <v>137</v>
      </c>
      <c r="G4" s="5">
        <v>1.8559322033898304</v>
      </c>
      <c r="H4" s="1" t="s">
        <v>137</v>
      </c>
      <c r="I4" s="18">
        <v>0.38983050847457629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-8024.5901639344265</v>
      </c>
      <c r="R4" s="1" t="s">
        <v>142</v>
      </c>
      <c r="S4" s="18">
        <v>0.1111111111111111</v>
      </c>
      <c r="T4" s="1" t="s">
        <v>149</v>
      </c>
      <c r="U4" s="18">
        <v>0.20408163265306123</v>
      </c>
      <c r="V4" s="1" t="s">
        <v>149</v>
      </c>
      <c r="W4" s="16">
        <v>0.34728033472803349</v>
      </c>
      <c r="X4" s="1" t="s">
        <v>148</v>
      </c>
      <c r="Y4" s="16">
        <v>0.31666666666666665</v>
      </c>
      <c r="Z4" s="1" t="s">
        <v>149</v>
      </c>
      <c r="AA4" s="16">
        <v>0.61445783132530118</v>
      </c>
      <c r="AB4" s="1" t="s">
        <v>137</v>
      </c>
      <c r="AC4" s="16">
        <v>0.4567901234567901</v>
      </c>
      <c r="AD4" s="1" t="s">
        <v>156</v>
      </c>
      <c r="AE4" s="16">
        <v>0.45454545454545453</v>
      </c>
    </row>
    <row r="5" spans="1:31" x14ac:dyDescent="0.4">
      <c r="A5" s="7">
        <v>4</v>
      </c>
      <c r="B5" s="6" t="s">
        <v>217</v>
      </c>
      <c r="C5" s="3">
        <v>89</v>
      </c>
      <c r="D5" s="1" t="s">
        <v>137</v>
      </c>
      <c r="E5" s="3">
        <v>4.3101694915254249</v>
      </c>
      <c r="F5" s="1" t="s">
        <v>142</v>
      </c>
      <c r="G5" s="5">
        <v>1.8666666666666667</v>
      </c>
      <c r="H5" s="1" t="s">
        <v>149</v>
      </c>
      <c r="I5" s="18">
        <v>0.38775510204081631</v>
      </c>
      <c r="J5" s="1" t="s">
        <v>156</v>
      </c>
      <c r="K5" s="16">
        <v>0.34146341463414637</v>
      </c>
      <c r="L5" s="1" t="s">
        <v>137</v>
      </c>
      <c r="M5" s="16">
        <v>0.15746180963572268</v>
      </c>
      <c r="N5" s="1" t="s">
        <v>149</v>
      </c>
      <c r="O5" s="2">
        <v>10842.857142857143</v>
      </c>
      <c r="P5" s="1" t="s">
        <v>138</v>
      </c>
      <c r="Q5" s="2">
        <v>-8240</v>
      </c>
      <c r="R5" s="1" t="s">
        <v>137</v>
      </c>
      <c r="S5" s="18">
        <v>0.1271186440677966</v>
      </c>
      <c r="T5" s="1" t="s">
        <v>142</v>
      </c>
      <c r="U5" s="18">
        <v>0.2</v>
      </c>
      <c r="V5" s="1" t="s">
        <v>137</v>
      </c>
      <c r="W5" s="16">
        <v>0.28865979381443296</v>
      </c>
      <c r="X5" s="1" t="s">
        <v>149</v>
      </c>
      <c r="Y5" s="16">
        <v>0.2384937238493724</v>
      </c>
      <c r="Z5" s="1" t="s">
        <v>160</v>
      </c>
      <c r="AA5" s="16">
        <v>0.6</v>
      </c>
      <c r="AB5" s="1" t="s">
        <v>148</v>
      </c>
      <c r="AC5" s="16">
        <v>0.42105263157894735</v>
      </c>
      <c r="AD5" s="1" t="s">
        <v>137</v>
      </c>
      <c r="AE5" s="16">
        <v>0.41528239202657807</v>
      </c>
    </row>
    <row r="6" spans="1:31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3.5775510204081624</v>
      </c>
      <c r="F6" s="1" t="s">
        <v>149</v>
      </c>
      <c r="G6" s="5">
        <v>1.9183673469387754</v>
      </c>
      <c r="H6" s="1" t="s">
        <v>142</v>
      </c>
      <c r="I6" s="18">
        <v>0.35555555555555557</v>
      </c>
      <c r="J6" s="1" t="s">
        <v>149</v>
      </c>
      <c r="K6" s="16">
        <v>0.31989247311827956</v>
      </c>
      <c r="L6" s="1" t="s">
        <v>149</v>
      </c>
      <c r="M6" s="16">
        <v>0.16129032258064516</v>
      </c>
      <c r="N6" s="1" t="s">
        <v>222</v>
      </c>
      <c r="O6" s="2">
        <v>10237.5</v>
      </c>
      <c r="P6" s="1" t="s">
        <v>142</v>
      </c>
      <c r="Q6" s="2">
        <v>-9134.6938775510207</v>
      </c>
      <c r="R6" s="1" t="s">
        <v>148</v>
      </c>
      <c r="S6" s="18">
        <v>0.15</v>
      </c>
      <c r="T6" s="1" t="s">
        <v>145</v>
      </c>
      <c r="U6" s="18">
        <v>0.2</v>
      </c>
      <c r="V6" s="1" t="s">
        <v>141</v>
      </c>
      <c r="W6" s="16">
        <v>0.28732394366197184</v>
      </c>
      <c r="X6" s="1" t="s">
        <v>137</v>
      </c>
      <c r="Y6" s="16">
        <v>0.20876288659793815</v>
      </c>
      <c r="Z6" s="1" t="s">
        <v>217</v>
      </c>
      <c r="AA6" s="16">
        <v>0.6</v>
      </c>
      <c r="AB6" s="1" t="s">
        <v>149</v>
      </c>
      <c r="AC6" s="16">
        <v>0.40350877192982454</v>
      </c>
      <c r="AD6" s="1" t="s">
        <v>149</v>
      </c>
      <c r="AE6" s="16">
        <v>0.40875912408759124</v>
      </c>
    </row>
    <row r="7" spans="1:31" x14ac:dyDescent="0.4">
      <c r="A7" s="7">
        <v>6</v>
      </c>
      <c r="B7" s="6" t="s">
        <v>222</v>
      </c>
      <c r="C7" s="3">
        <v>5.1000000000000014</v>
      </c>
      <c r="D7" s="1" t="s">
        <v>222</v>
      </c>
      <c r="E7" s="3">
        <v>1.2750000000000004</v>
      </c>
      <c r="F7" s="1" t="s">
        <v>148</v>
      </c>
      <c r="G7" s="5">
        <v>2.1</v>
      </c>
      <c r="H7" s="1" t="s">
        <v>141</v>
      </c>
      <c r="I7" s="18">
        <v>0.29268292682926828</v>
      </c>
      <c r="J7" s="1" t="s">
        <v>139</v>
      </c>
      <c r="K7" s="16">
        <v>0.2857142857142857</v>
      </c>
      <c r="L7" s="1" t="s">
        <v>148</v>
      </c>
      <c r="M7" s="16">
        <v>0.1986970684039088</v>
      </c>
      <c r="N7" s="1" t="s">
        <v>148</v>
      </c>
      <c r="O7" s="2">
        <v>9869.7674418604656</v>
      </c>
      <c r="P7" s="1" t="s">
        <v>137</v>
      </c>
      <c r="Q7" s="2">
        <v>-9832.0895522388055</v>
      </c>
      <c r="R7" s="1" t="s">
        <v>149</v>
      </c>
      <c r="S7" s="18">
        <v>0.16326530612244897</v>
      </c>
      <c r="T7" s="1" t="s">
        <v>217</v>
      </c>
      <c r="U7" s="18">
        <v>0.2</v>
      </c>
      <c r="V7" s="1" t="s">
        <v>160</v>
      </c>
      <c r="W7" s="16">
        <v>0.2734375</v>
      </c>
      <c r="X7" s="1" t="s">
        <v>160</v>
      </c>
      <c r="Y7" s="16">
        <v>0.20703125</v>
      </c>
      <c r="Z7" s="1" t="s">
        <v>142</v>
      </c>
      <c r="AA7" s="16">
        <v>0.5625</v>
      </c>
      <c r="AB7" s="1" t="s">
        <v>141</v>
      </c>
      <c r="AC7" s="16">
        <v>0.38095238095238093</v>
      </c>
      <c r="AD7" s="1" t="s">
        <v>148</v>
      </c>
      <c r="AE7" s="16">
        <v>0.40697674418604651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2.1341463414634148</v>
      </c>
      <c r="H8" s="1" t="s">
        <v>160</v>
      </c>
      <c r="I8" s="18">
        <v>0.25641025641025639</v>
      </c>
      <c r="J8" s="1" t="s">
        <v>148</v>
      </c>
      <c r="K8" s="16">
        <v>0.28013029315960913</v>
      </c>
      <c r="L8" s="1" t="s">
        <v>141</v>
      </c>
      <c r="M8" s="16">
        <v>0.19967532467532467</v>
      </c>
      <c r="N8" s="1" t="s">
        <v>137</v>
      </c>
      <c r="O8" s="2">
        <v>9852.8239202657805</v>
      </c>
      <c r="P8" s="1" t="s">
        <v>149</v>
      </c>
      <c r="Q8" s="2">
        <v>-9886.6666666666661</v>
      </c>
      <c r="R8" s="1" t="s">
        <v>141</v>
      </c>
      <c r="S8" s="18">
        <v>0.24390243902439024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0.17746478873239438</v>
      </c>
      <c r="Z8" s="1" t="s">
        <v>141</v>
      </c>
      <c r="AA8" s="16">
        <v>0.5490196078431373</v>
      </c>
      <c r="AB8" s="1" t="s">
        <v>142</v>
      </c>
      <c r="AC8" s="16">
        <v>0.35714285714285715</v>
      </c>
      <c r="AD8" s="1" t="s">
        <v>142</v>
      </c>
      <c r="AE8" s="16">
        <v>0.35652173913043478</v>
      </c>
    </row>
    <row r="9" spans="1:31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-4.8609756097560961</v>
      </c>
      <c r="F9" s="1" t="s">
        <v>145</v>
      </c>
      <c r="G9" s="5">
        <v>2.2000000000000002</v>
      </c>
      <c r="H9" s="1" t="s">
        <v>148</v>
      </c>
      <c r="I9" s="18">
        <v>0.25</v>
      </c>
      <c r="J9" s="1" t="s">
        <v>222</v>
      </c>
      <c r="K9" s="16">
        <v>0.27586206896551724</v>
      </c>
      <c r="L9" s="1" t="s">
        <v>222</v>
      </c>
      <c r="M9" s="16">
        <v>0.20689655172413793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156</v>
      </c>
      <c r="S9" s="18">
        <v>0.25</v>
      </c>
      <c r="T9" s="1" t="s">
        <v>141</v>
      </c>
      <c r="U9" s="18">
        <v>0.14634146341463414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222</v>
      </c>
      <c r="AA9" s="16">
        <v>0.5</v>
      </c>
      <c r="AB9" s="1" t="s">
        <v>160</v>
      </c>
      <c r="AC9" s="16">
        <v>0.33962264150943394</v>
      </c>
      <c r="AD9" s="1" t="s">
        <v>160</v>
      </c>
      <c r="AE9" s="16">
        <v>0.31818181818181818</v>
      </c>
    </row>
    <row r="10" spans="1:31" x14ac:dyDescent="0.4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-9.2435897435897409</v>
      </c>
      <c r="F10" s="1" t="s">
        <v>222</v>
      </c>
      <c r="G10" s="5">
        <v>2.25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217</v>
      </c>
      <c r="O10" s="2">
        <v>9227.7777777777774</v>
      </c>
      <c r="P10" s="1" t="s">
        <v>160</v>
      </c>
      <c r="Q10" s="2">
        <v>-9995.8904109589039</v>
      </c>
      <c r="R10" s="1" t="s">
        <v>222</v>
      </c>
      <c r="S10" s="18">
        <v>0.25</v>
      </c>
      <c r="T10" s="1" t="s">
        <v>160</v>
      </c>
      <c r="U10" s="18">
        <v>0.10256410256410256</v>
      </c>
      <c r="V10" s="1" t="s">
        <v>142</v>
      </c>
      <c r="W10" s="16">
        <v>0.20253164556962025</v>
      </c>
      <c r="X10" s="1" t="s">
        <v>217</v>
      </c>
      <c r="Y10" s="16">
        <v>0.13043478260869565</v>
      </c>
      <c r="Z10" s="1" t="s">
        <v>148</v>
      </c>
      <c r="AA10" s="16">
        <v>0.38461538461538464</v>
      </c>
      <c r="AB10" s="1" t="s">
        <v>145</v>
      </c>
      <c r="AC10" s="16">
        <v>0.2</v>
      </c>
      <c r="AD10" s="1" t="s">
        <v>141</v>
      </c>
      <c r="AE10" s="16">
        <v>0.30729166666666669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160</v>
      </c>
      <c r="G11" s="5">
        <v>2.2564102564102564</v>
      </c>
      <c r="H11" s="1" t="s">
        <v>138</v>
      </c>
      <c r="I11" s="18">
        <v>0</v>
      </c>
      <c r="J11" s="1" t="s">
        <v>160</v>
      </c>
      <c r="K11" s="16">
        <v>0.26621160409556316</v>
      </c>
      <c r="L11" s="1" t="s">
        <v>160</v>
      </c>
      <c r="M11" s="16">
        <v>0.24914675767918087</v>
      </c>
      <c r="N11" s="1" t="s">
        <v>139</v>
      </c>
      <c r="O11" s="2">
        <v>8000</v>
      </c>
      <c r="P11" s="1" t="s">
        <v>141</v>
      </c>
      <c r="Q11" s="2">
        <v>-10410.569105691056</v>
      </c>
      <c r="R11" s="1" t="s">
        <v>160</v>
      </c>
      <c r="S11" s="18">
        <v>0.28205128205128205</v>
      </c>
      <c r="T11" s="1" t="s">
        <v>138</v>
      </c>
      <c r="U11" s="18">
        <v>0</v>
      </c>
      <c r="V11" s="1" t="s">
        <v>222</v>
      </c>
      <c r="W11" s="16">
        <v>6.8965517241379309E-2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222</v>
      </c>
      <c r="AE11" s="16">
        <v>0.16666666666666666</v>
      </c>
    </row>
    <row r="12" spans="1:31" x14ac:dyDescent="0.4">
      <c r="A12" s="7">
        <v>11</v>
      </c>
      <c r="B12" s="6" t="s">
        <v>160</v>
      </c>
      <c r="C12" s="3">
        <v>-360.49999999999989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141</v>
      </c>
      <c r="K12" s="16">
        <v>0.25324675324675322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-398.59999999999991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222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222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6C8D5-DE33-4D71-BF4A-1B0FDEC5B910}">
  <sheetPr codeName="Sheet4"/>
  <dimension ref="A1:P120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189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118</v>
      </c>
      <c r="C2" s="87"/>
      <c r="E2" s="79" t="s">
        <v>73</v>
      </c>
      <c r="F2" s="75" t="s">
        <v>27</v>
      </c>
      <c r="G2" s="61">
        <v>135</v>
      </c>
      <c r="H2" s="24">
        <f t="shared" ref="H2:H33" si="0">IF(B$25=0,0,G2/B$25)</f>
        <v>0.95070422535211263</v>
      </c>
      <c r="J2" s="23">
        <v>0</v>
      </c>
      <c r="K2" s="25">
        <v>0</v>
      </c>
      <c r="M2" s="23" t="s">
        <v>201</v>
      </c>
      <c r="N2" s="56">
        <f t="shared" ref="N2:N7" si="1">IF(P2=0,0,O2/P2)</f>
        <v>849.12280701754389</v>
      </c>
      <c r="O2" s="53">
        <v>96800</v>
      </c>
      <c r="P2" s="51">
        <v>114</v>
      </c>
    </row>
    <row r="3" spans="1:16" x14ac:dyDescent="0.4">
      <c r="A3" s="70" t="s">
        <v>8</v>
      </c>
      <c r="B3" s="92">
        <v>851</v>
      </c>
      <c r="C3" s="93"/>
      <c r="E3" s="80" t="s">
        <v>71</v>
      </c>
      <c r="F3" s="76" t="s">
        <v>25</v>
      </c>
      <c r="G3" s="62">
        <v>79</v>
      </c>
      <c r="H3" s="27">
        <f t="shared" si="0"/>
        <v>0.55633802816901412</v>
      </c>
      <c r="J3" s="26">
        <v>1</v>
      </c>
      <c r="K3" s="28">
        <v>15</v>
      </c>
      <c r="M3" s="26" t="s">
        <v>202</v>
      </c>
      <c r="N3" s="57">
        <f t="shared" si="1"/>
        <v>1728.7037037037037</v>
      </c>
      <c r="O3" s="54">
        <v>186700</v>
      </c>
      <c r="P3" s="49">
        <v>108</v>
      </c>
    </row>
    <row r="4" spans="1:16" x14ac:dyDescent="0.4">
      <c r="A4" s="70" t="s">
        <v>6</v>
      </c>
      <c r="B4" s="94">
        <v>508.60000000000014</v>
      </c>
      <c r="C4" s="95"/>
      <c r="E4" s="80" t="s">
        <v>69</v>
      </c>
      <c r="F4" s="76" t="s">
        <v>23</v>
      </c>
      <c r="G4" s="62">
        <v>77</v>
      </c>
      <c r="H4" s="27">
        <f t="shared" si="0"/>
        <v>0.54225352112676062</v>
      </c>
      <c r="J4" s="26">
        <v>2</v>
      </c>
      <c r="K4" s="28">
        <v>14</v>
      </c>
      <c r="M4" s="26" t="s">
        <v>203</v>
      </c>
      <c r="N4" s="57">
        <f t="shared" si="1"/>
        <v>745</v>
      </c>
      <c r="O4" s="54">
        <v>74500</v>
      </c>
      <c r="P4" s="49">
        <v>100</v>
      </c>
    </row>
    <row r="5" spans="1:16" x14ac:dyDescent="0.4">
      <c r="A5" s="70" t="s">
        <v>7</v>
      </c>
      <c r="B5" s="94">
        <f>IF(B$2=0,0,B$4/B$2)</f>
        <v>4.3101694915254249</v>
      </c>
      <c r="C5" s="95"/>
      <c r="E5" s="80" t="s">
        <v>78</v>
      </c>
      <c r="F5" s="76" t="s">
        <v>31</v>
      </c>
      <c r="G5" s="62">
        <v>77</v>
      </c>
      <c r="H5" s="27">
        <f t="shared" si="0"/>
        <v>0.54225352112676062</v>
      </c>
      <c r="J5" s="26">
        <v>3</v>
      </c>
      <c r="K5" s="28">
        <v>29.1</v>
      </c>
      <c r="M5" s="26" t="s">
        <v>204</v>
      </c>
      <c r="N5" s="57">
        <f t="shared" si="1"/>
        <v>1301.1363636363637</v>
      </c>
      <c r="O5" s="54">
        <v>114500</v>
      </c>
      <c r="P5" s="49">
        <v>88</v>
      </c>
    </row>
    <row r="6" spans="1:16" x14ac:dyDescent="0.4">
      <c r="A6" s="70" t="s">
        <v>1</v>
      </c>
      <c r="B6" s="96">
        <f>IF(B$2=0,0,(B$7*1+B$8*2+B$9*3)/B$2)</f>
        <v>1.8559322033898304</v>
      </c>
      <c r="C6" s="97"/>
      <c r="E6" s="80" t="s">
        <v>74</v>
      </c>
      <c r="F6" s="76" t="s">
        <v>12</v>
      </c>
      <c r="G6" s="62">
        <v>37</v>
      </c>
      <c r="H6" s="27">
        <f t="shared" si="0"/>
        <v>0.26056338028169013</v>
      </c>
      <c r="J6" s="26">
        <v>4</v>
      </c>
      <c r="K6" s="28">
        <v>114.30000000000001</v>
      </c>
      <c r="M6" s="26" t="s">
        <v>205</v>
      </c>
      <c r="N6" s="57">
        <f t="shared" si="1"/>
        <v>323.94366197183098</v>
      </c>
      <c r="O6" s="54">
        <v>23000</v>
      </c>
      <c r="P6" s="49">
        <v>71</v>
      </c>
    </row>
    <row r="7" spans="1:16" x14ac:dyDescent="0.4">
      <c r="A7" s="70" t="s">
        <v>2</v>
      </c>
      <c r="B7" s="62">
        <v>46</v>
      </c>
      <c r="C7" s="27">
        <f>IF(B$2=0,0,B7/B$2)</f>
        <v>0.38983050847457629</v>
      </c>
      <c r="E7" s="80" t="s">
        <v>72</v>
      </c>
      <c r="F7" s="76" t="s">
        <v>26</v>
      </c>
      <c r="G7" s="62">
        <v>33</v>
      </c>
      <c r="H7" s="27">
        <f t="shared" si="0"/>
        <v>0.23239436619718309</v>
      </c>
      <c r="J7" s="26">
        <v>5</v>
      </c>
      <c r="K7" s="28">
        <v>145.80000000000001</v>
      </c>
      <c r="M7" s="31" t="s">
        <v>206</v>
      </c>
      <c r="N7" s="58">
        <f t="shared" si="1"/>
        <v>-440.38461538461536</v>
      </c>
      <c r="O7" s="55">
        <v>-22900</v>
      </c>
      <c r="P7" s="50">
        <v>52</v>
      </c>
    </row>
    <row r="8" spans="1:16" x14ac:dyDescent="0.4">
      <c r="A8" s="70" t="s">
        <v>3</v>
      </c>
      <c r="B8" s="62">
        <v>43</v>
      </c>
      <c r="C8" s="27">
        <f t="shared" ref="C8:C9" si="2">IF(B$2=0,0,B8/B$2)</f>
        <v>0.36440677966101692</v>
      </c>
      <c r="E8" s="80" t="s">
        <v>75</v>
      </c>
      <c r="F8" s="76" t="s">
        <v>28</v>
      </c>
      <c r="G8" s="62">
        <v>24</v>
      </c>
      <c r="H8" s="27">
        <f t="shared" si="0"/>
        <v>0.16901408450704225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29</v>
      </c>
      <c r="C9" s="29">
        <f t="shared" si="2"/>
        <v>0.24576271186440679</v>
      </c>
      <c r="E9" s="80" t="s">
        <v>96</v>
      </c>
      <c r="F9" s="76" t="s">
        <v>49</v>
      </c>
      <c r="G9" s="62">
        <v>21</v>
      </c>
      <c r="H9" s="27">
        <f t="shared" si="0"/>
        <v>0.14788732394366197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15</v>
      </c>
      <c r="C10" s="29">
        <f>IF(B$2=0,0,B10/B$2)</f>
        <v>0.1271186440677966</v>
      </c>
      <c r="E10" s="80" t="s">
        <v>70</v>
      </c>
      <c r="F10" s="76" t="s">
        <v>24</v>
      </c>
      <c r="G10" s="62">
        <v>11</v>
      </c>
      <c r="H10" s="27">
        <f t="shared" si="0"/>
        <v>7.746478873239436E-2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26</v>
      </c>
      <c r="C11" s="32">
        <f>IF(B$2=0,0,B11/B$2)</f>
        <v>0.22033898305084745</v>
      </c>
      <c r="E11" s="80" t="s">
        <v>76</v>
      </c>
      <c r="F11" s="76" t="s">
        <v>29</v>
      </c>
      <c r="G11" s="62">
        <v>10</v>
      </c>
      <c r="H11" s="27">
        <f t="shared" si="0"/>
        <v>7.0422535211267609E-2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112</v>
      </c>
      <c r="C12" s="35">
        <f>IF(B$24=0,0,B12/B$24)</f>
        <v>0.28865979381443296</v>
      </c>
      <c r="E12" s="80" t="s">
        <v>77</v>
      </c>
      <c r="F12" s="76" t="s">
        <v>30</v>
      </c>
      <c r="G12" s="62">
        <v>9</v>
      </c>
      <c r="H12" s="27">
        <f t="shared" si="0"/>
        <v>6.3380281690140844E-2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81</v>
      </c>
      <c r="C13" s="27">
        <f>IF(B$24=0,0,B13/B$24)</f>
        <v>0.20876288659793815</v>
      </c>
      <c r="E13" s="80" t="s">
        <v>93</v>
      </c>
      <c r="F13" s="76" t="s">
        <v>46</v>
      </c>
      <c r="G13" s="62">
        <v>8</v>
      </c>
      <c r="H13" s="27">
        <f t="shared" si="0"/>
        <v>5.6338028169014086E-2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80</v>
      </c>
      <c r="C14" s="24">
        <f>IF(B$12=0,0,B14/B$12)</f>
        <v>0.7142857142857143</v>
      </c>
      <c r="E14" s="80" t="s">
        <v>90</v>
      </c>
      <c r="F14" s="76" t="s">
        <v>43</v>
      </c>
      <c r="G14" s="62">
        <v>5</v>
      </c>
      <c r="H14" s="27">
        <f t="shared" si="0"/>
        <v>3.5211267605633804E-2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37</v>
      </c>
      <c r="C15" s="24">
        <f>IF(B$13=0,0,B15/B$13)</f>
        <v>0.4567901234567901</v>
      </c>
      <c r="E15" s="80" t="s">
        <v>88</v>
      </c>
      <c r="F15" s="76" t="s">
        <v>41</v>
      </c>
      <c r="G15" s="62">
        <v>3</v>
      </c>
      <c r="H15" s="27">
        <f t="shared" si="0"/>
        <v>2.1126760563380281E-2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301</v>
      </c>
      <c r="C16" s="24">
        <f>IF(B$3=0,0,B16/B$3)</f>
        <v>0.35370152761457108</v>
      </c>
      <c r="E16" s="80" t="s">
        <v>79</v>
      </c>
      <c r="F16" s="76" t="s">
        <v>32</v>
      </c>
      <c r="G16" s="62">
        <v>2</v>
      </c>
      <c r="H16" s="27">
        <f t="shared" si="0"/>
        <v>1.4084507042253521E-2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191</v>
      </c>
      <c r="C17" s="27">
        <f>IF(B$3=0,0,B17/B$3)</f>
        <v>0.22444183313748531</v>
      </c>
      <c r="E17" s="80" t="s">
        <v>83</v>
      </c>
      <c r="F17" s="76" t="s">
        <v>36</v>
      </c>
      <c r="G17" s="62">
        <v>2</v>
      </c>
      <c r="H17" s="27">
        <f t="shared" si="0"/>
        <v>1.4084507042253521E-2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110</v>
      </c>
      <c r="C18" s="27">
        <f>IF(B$3=0,0,B18/B$3)</f>
        <v>0.12925969447708577</v>
      </c>
      <c r="E18" s="80" t="s">
        <v>99</v>
      </c>
      <c r="F18" s="76" t="s">
        <v>52</v>
      </c>
      <c r="G18" s="62">
        <v>2</v>
      </c>
      <c r="H18" s="27">
        <f t="shared" si="0"/>
        <v>1.4084507042253521E-2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134</v>
      </c>
      <c r="C19" s="27">
        <f>IF(B$3=0,0,B19/B$3)</f>
        <v>0.15746180963572268</v>
      </c>
      <c r="E19" s="80" t="s">
        <v>84</v>
      </c>
      <c r="F19" s="76" t="s">
        <v>37</v>
      </c>
      <c r="G19" s="62">
        <v>1</v>
      </c>
      <c r="H19" s="27">
        <f t="shared" si="0"/>
        <v>7.0422535211267607E-3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9852.8239202657805</v>
      </c>
      <c r="C20" s="30">
        <v>2965700</v>
      </c>
      <c r="E20" s="80" t="s">
        <v>85</v>
      </c>
      <c r="F20" s="76" t="s">
        <v>38</v>
      </c>
      <c r="G20" s="62">
        <v>1</v>
      </c>
      <c r="H20" s="27">
        <f t="shared" si="0"/>
        <v>7.0422535211267607E-3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-9832.0895522388055</v>
      </c>
      <c r="C21" s="60">
        <v>-1317500</v>
      </c>
      <c r="E21" s="80" t="s">
        <v>92</v>
      </c>
      <c r="F21" s="76" t="s">
        <v>45</v>
      </c>
      <c r="G21" s="62">
        <v>1</v>
      </c>
      <c r="H21" s="27">
        <f t="shared" si="0"/>
        <v>7.0422535211267607E-3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301</v>
      </c>
      <c r="C22" s="24">
        <f>IF(B$3=0,0,B22/B$3)</f>
        <v>0.35370152761457108</v>
      </c>
      <c r="E22" s="80" t="s">
        <v>94</v>
      </c>
      <c r="F22" s="76" t="s">
        <v>47</v>
      </c>
      <c r="G22" s="62">
        <v>1</v>
      </c>
      <c r="H22" s="27">
        <f t="shared" si="0"/>
        <v>7.0422535211267607E-3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125</v>
      </c>
      <c r="C23" s="32">
        <f>IF(B$22=0,0,B23/B$22)</f>
        <v>0.41528239202657807</v>
      </c>
      <c r="E23" s="80" t="s">
        <v>98</v>
      </c>
      <c r="F23" s="76" t="s">
        <v>51</v>
      </c>
      <c r="G23" s="62">
        <v>1</v>
      </c>
      <c r="H23" s="27">
        <f t="shared" si="0"/>
        <v>7.0422535211267607E-3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6">
        <v>388</v>
      </c>
      <c r="C24" s="87"/>
      <c r="E24" s="80" t="s">
        <v>113</v>
      </c>
      <c r="F24" s="76" t="s">
        <v>120</v>
      </c>
      <c r="G24" s="62">
        <v>1</v>
      </c>
      <c r="H24" s="27">
        <f t="shared" si="0"/>
        <v>7.0422535211267607E-3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88">
        <v>142</v>
      </c>
      <c r="C25" s="89"/>
      <c r="E25" s="80" t="s">
        <v>80</v>
      </c>
      <c r="F25" s="76" t="s">
        <v>33</v>
      </c>
      <c r="G25" s="62">
        <v>0</v>
      </c>
      <c r="H25" s="27">
        <f t="shared" si="0"/>
        <v>0</v>
      </c>
      <c r="J25" s="26">
        <v>23</v>
      </c>
      <c r="K25" s="28">
        <v>124.50000000000001</v>
      </c>
    </row>
    <row r="26" spans="1:11" x14ac:dyDescent="0.4">
      <c r="E26" s="80" t="s">
        <v>81</v>
      </c>
      <c r="F26" s="76" t="s">
        <v>34</v>
      </c>
      <c r="G26" s="62">
        <v>0</v>
      </c>
      <c r="H26" s="27">
        <f t="shared" si="0"/>
        <v>0</v>
      </c>
      <c r="J26" s="26">
        <v>24</v>
      </c>
      <c r="K26" s="28">
        <v>118.00000000000001</v>
      </c>
    </row>
    <row r="27" spans="1:11" x14ac:dyDescent="0.4">
      <c r="E27" s="80" t="s">
        <v>82</v>
      </c>
      <c r="F27" s="76" t="s">
        <v>35</v>
      </c>
      <c r="G27" s="62">
        <v>0</v>
      </c>
      <c r="H27" s="27">
        <f t="shared" si="0"/>
        <v>0</v>
      </c>
      <c r="J27" s="26">
        <v>25</v>
      </c>
      <c r="K27" s="28">
        <v>84.300000000000011</v>
      </c>
    </row>
    <row r="28" spans="1:11" x14ac:dyDescent="0.4">
      <c r="E28" s="80" t="s">
        <v>86</v>
      </c>
      <c r="F28" s="76" t="s">
        <v>39</v>
      </c>
      <c r="G28" s="62">
        <v>0</v>
      </c>
      <c r="H28" s="27">
        <f t="shared" si="0"/>
        <v>0</v>
      </c>
      <c r="J28" s="26">
        <v>26</v>
      </c>
      <c r="K28" s="28">
        <v>108.20000000000002</v>
      </c>
    </row>
    <row r="29" spans="1:11" x14ac:dyDescent="0.4">
      <c r="E29" s="80" t="s">
        <v>87</v>
      </c>
      <c r="F29" s="76" t="s">
        <v>40</v>
      </c>
      <c r="G29" s="62">
        <v>0</v>
      </c>
      <c r="H29" s="27">
        <f t="shared" si="0"/>
        <v>0</v>
      </c>
      <c r="J29" s="26">
        <v>27</v>
      </c>
      <c r="K29" s="28">
        <v>71.200000000000017</v>
      </c>
    </row>
    <row r="30" spans="1:11" x14ac:dyDescent="0.4">
      <c r="E30" s="80" t="s">
        <v>89</v>
      </c>
      <c r="F30" s="76" t="s">
        <v>42</v>
      </c>
      <c r="G30" s="62">
        <v>0</v>
      </c>
      <c r="H30" s="27">
        <f t="shared" si="0"/>
        <v>0</v>
      </c>
      <c r="J30" s="26">
        <v>28</v>
      </c>
      <c r="K30" s="28">
        <v>129.20000000000002</v>
      </c>
    </row>
    <row r="31" spans="1:11" x14ac:dyDescent="0.4">
      <c r="E31" s="80" t="s">
        <v>91</v>
      </c>
      <c r="F31" s="76" t="s">
        <v>44</v>
      </c>
      <c r="G31" s="62">
        <v>0</v>
      </c>
      <c r="H31" s="27">
        <f t="shared" si="0"/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 t="shared" si="0"/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 t="shared" si="0"/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 t="shared" ref="H34:H65" si="3"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 t="shared" si="3"/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 t="shared" si="3"/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 t="shared" si="3"/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 t="shared" si="3"/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 t="shared" si="3"/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 t="shared" si="3"/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 t="shared" si="3"/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 t="shared" si="3"/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 t="shared" si="3"/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 t="shared" si="3"/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 t="shared" si="3"/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 t="shared" si="3"/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</sheetData>
  <sortState ref="E2:H12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5BA86-76FD-49EE-A7F7-7F535AE6B74C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194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2">
        <v>25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J3" s="26">
        <v>1</v>
      </c>
      <c r="K3" s="28">
        <v>-22</v>
      </c>
      <c r="M3" s="26" t="s">
        <v>202</v>
      </c>
      <c r="N3" s="57">
        <f t="shared" si="1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4">
        <v>-132.1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J4" s="26">
        <v>2</v>
      </c>
      <c r="K4" s="28">
        <v>-60.4</v>
      </c>
      <c r="M4" s="26" t="s">
        <v>203</v>
      </c>
      <c r="N4" s="57">
        <f t="shared" si="1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4">
        <f>IF(B$2=0,0,B$4/B$2)</f>
        <v>-33.024999999999999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J5" s="26">
        <v>3</v>
      </c>
      <c r="K5" s="28">
        <v>-85.6</v>
      </c>
      <c r="M5" s="26" t="s">
        <v>204</v>
      </c>
      <c r="N5" s="57">
        <f t="shared" si="1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6">
        <f>IF(B$2=0,0,(B$7*1+B$8*2+B$9*3)/B$2)</f>
        <v>3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J6" s="26">
        <v>4</v>
      </c>
      <c r="K6" s="28">
        <v>-132.1</v>
      </c>
      <c r="M6" s="26" t="s">
        <v>205</v>
      </c>
      <c r="N6" s="57">
        <f t="shared" si="1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4</v>
      </c>
      <c r="C9" s="29">
        <f t="shared" si="2"/>
        <v>1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7CBE-AB45-451A-A737-24041BE7EADE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218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2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-11250</v>
      </c>
      <c r="O2" s="53">
        <v>-22500</v>
      </c>
      <c r="P2" s="51">
        <v>2</v>
      </c>
    </row>
    <row r="3" spans="1:16" x14ac:dyDescent="0.4">
      <c r="A3" s="70" t="s">
        <v>8</v>
      </c>
      <c r="B3" s="92">
        <v>7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J3" s="26">
        <v>1</v>
      </c>
      <c r="K3" s="28">
        <v>7</v>
      </c>
      <c r="M3" s="26" t="s">
        <v>202</v>
      </c>
      <c r="N3" s="57">
        <f t="shared" si="1"/>
        <v>0</v>
      </c>
      <c r="O3" s="54">
        <v>0</v>
      </c>
      <c r="P3" s="49">
        <v>1</v>
      </c>
    </row>
    <row r="4" spans="1:16" x14ac:dyDescent="0.4">
      <c r="A4" s="70" t="s">
        <v>6</v>
      </c>
      <c r="B4" s="94">
        <v>-24.5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J4" s="26">
        <v>2</v>
      </c>
      <c r="K4" s="28">
        <v>-24.5</v>
      </c>
      <c r="M4" s="26" t="s">
        <v>203</v>
      </c>
      <c r="N4" s="57">
        <f t="shared" si="1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4">
        <f>IF(B$2=0,0,B$4/B$2)</f>
        <v>-12.25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2.5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2">IF(B$2=0,0,B8/B$2)</f>
        <v>0.5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1</v>
      </c>
      <c r="C9" s="29">
        <f t="shared" si="2"/>
        <v>0.5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1</v>
      </c>
      <c r="C12" s="35">
        <f>IF(B$24=0,0,B12/B$24)</f>
        <v>0.5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0.2857142857142857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2</v>
      </c>
      <c r="C17" s="27">
        <f>IF(B$3=0,0,B17/B$3)</f>
        <v>0.2857142857142857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2</v>
      </c>
      <c r="C19" s="27">
        <f>IF(B$3=0,0,B19/B$3)</f>
        <v>0.2857142857142857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0.14285714285714285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2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F745B-999C-4B6C-855D-32C638788FCB}">
  <sheetPr codeName="Sheet7"/>
  <dimension ref="A1:P84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190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82</v>
      </c>
      <c r="C2" s="87"/>
      <c r="E2" s="79" t="s">
        <v>73</v>
      </c>
      <c r="F2" s="75" t="s">
        <v>27</v>
      </c>
      <c r="G2" s="61">
        <v>72</v>
      </c>
      <c r="H2" s="24">
        <f t="shared" ref="H2:H33" si="0">IF(B$25=0,0,G2/B$25)</f>
        <v>0.75789473684210529</v>
      </c>
      <c r="J2" s="23">
        <v>0</v>
      </c>
      <c r="K2" s="25">
        <v>0</v>
      </c>
      <c r="M2" s="23" t="s">
        <v>201</v>
      </c>
      <c r="N2" s="56">
        <f t="shared" ref="N2:N7" si="1">IF(P2=0,0,O2/P2)</f>
        <v>2.5</v>
      </c>
      <c r="O2" s="53">
        <v>200</v>
      </c>
      <c r="P2" s="51">
        <v>80</v>
      </c>
    </row>
    <row r="3" spans="1:16" x14ac:dyDescent="0.4">
      <c r="A3" s="70" t="s">
        <v>8</v>
      </c>
      <c r="B3" s="92">
        <v>616</v>
      </c>
      <c r="C3" s="93"/>
      <c r="E3" s="80" t="s">
        <v>71</v>
      </c>
      <c r="F3" s="76" t="s">
        <v>25</v>
      </c>
      <c r="G3" s="62">
        <v>58</v>
      </c>
      <c r="H3" s="27">
        <f t="shared" si="0"/>
        <v>0.61052631578947369</v>
      </c>
      <c r="J3" s="26">
        <v>1</v>
      </c>
      <c r="K3" s="28">
        <v>40.9</v>
      </c>
      <c r="M3" s="26" t="s">
        <v>202</v>
      </c>
      <c r="N3" s="57">
        <f t="shared" si="1"/>
        <v>-2002.6315789473683</v>
      </c>
      <c r="O3" s="54">
        <v>-152200</v>
      </c>
      <c r="P3" s="49">
        <v>76</v>
      </c>
    </row>
    <row r="4" spans="1:16" x14ac:dyDescent="0.4">
      <c r="A4" s="70" t="s">
        <v>6</v>
      </c>
      <c r="B4" s="94">
        <v>-398.59999999999991</v>
      </c>
      <c r="C4" s="95"/>
      <c r="E4" s="80" t="s">
        <v>69</v>
      </c>
      <c r="F4" s="76" t="s">
        <v>23</v>
      </c>
      <c r="G4" s="62">
        <v>56</v>
      </c>
      <c r="H4" s="27">
        <f t="shared" si="0"/>
        <v>0.58947368421052626</v>
      </c>
      <c r="J4" s="26">
        <v>2</v>
      </c>
      <c r="K4" s="28">
        <v>-0.89999999999999858</v>
      </c>
      <c r="M4" s="26" t="s">
        <v>203</v>
      </c>
      <c r="N4" s="57">
        <f t="shared" si="1"/>
        <v>1770.2702702702702</v>
      </c>
      <c r="O4" s="54">
        <v>131000</v>
      </c>
      <c r="P4" s="49">
        <v>74</v>
      </c>
    </row>
    <row r="5" spans="1:16" x14ac:dyDescent="0.4">
      <c r="A5" s="70" t="s">
        <v>7</v>
      </c>
      <c r="B5" s="94">
        <f>IF(B$2=0,0,B$4/B$2)</f>
        <v>-4.8609756097560961</v>
      </c>
      <c r="C5" s="95"/>
      <c r="E5" s="80" t="s">
        <v>78</v>
      </c>
      <c r="F5" s="76" t="s">
        <v>31</v>
      </c>
      <c r="G5" s="62">
        <v>52</v>
      </c>
      <c r="H5" s="27">
        <f t="shared" si="0"/>
        <v>0.54736842105263162</v>
      </c>
      <c r="J5" s="26">
        <v>3</v>
      </c>
      <c r="K5" s="28">
        <v>-36.4</v>
      </c>
      <c r="M5" s="26" t="s">
        <v>204</v>
      </c>
      <c r="N5" s="57">
        <f t="shared" si="1"/>
        <v>-2136.3636363636365</v>
      </c>
      <c r="O5" s="54">
        <v>-141000</v>
      </c>
      <c r="P5" s="49">
        <v>66</v>
      </c>
    </row>
    <row r="6" spans="1:16" x14ac:dyDescent="0.4">
      <c r="A6" s="70" t="s">
        <v>1</v>
      </c>
      <c r="B6" s="96">
        <f>IF(B$2=0,0,(B$7*1+B$8*2+B$9*3)/B$2)</f>
        <v>2.1341463414634148</v>
      </c>
      <c r="C6" s="97"/>
      <c r="E6" s="80" t="s">
        <v>74</v>
      </c>
      <c r="F6" s="76" t="s">
        <v>12</v>
      </c>
      <c r="G6" s="62">
        <v>30</v>
      </c>
      <c r="H6" s="27">
        <f t="shared" si="0"/>
        <v>0.31578947368421051</v>
      </c>
      <c r="J6" s="26">
        <v>4</v>
      </c>
      <c r="K6" s="28">
        <v>3.6000000000000014</v>
      </c>
      <c r="M6" s="26" t="s">
        <v>205</v>
      </c>
      <c r="N6" s="57">
        <f t="shared" si="1"/>
        <v>-3094.3396226415093</v>
      </c>
      <c r="O6" s="54">
        <v>-164000</v>
      </c>
      <c r="P6" s="49">
        <v>53</v>
      </c>
    </row>
    <row r="7" spans="1:16" x14ac:dyDescent="0.4">
      <c r="A7" s="70" t="s">
        <v>2</v>
      </c>
      <c r="B7" s="62">
        <v>24</v>
      </c>
      <c r="C7" s="27">
        <f>IF(B$2=0,0,B7/B$2)</f>
        <v>0.29268292682926828</v>
      </c>
      <c r="E7" s="80" t="s">
        <v>72</v>
      </c>
      <c r="F7" s="76" t="s">
        <v>26</v>
      </c>
      <c r="G7" s="62">
        <v>21</v>
      </c>
      <c r="H7" s="27">
        <f t="shared" si="0"/>
        <v>0.22105263157894736</v>
      </c>
      <c r="J7" s="26">
        <v>5</v>
      </c>
      <c r="K7" s="28">
        <v>14.600000000000001</v>
      </c>
      <c r="M7" s="31" t="s">
        <v>206</v>
      </c>
      <c r="N7" s="58">
        <f t="shared" si="1"/>
        <v>-2765</v>
      </c>
      <c r="O7" s="55">
        <v>-110600</v>
      </c>
      <c r="P7" s="50">
        <v>40</v>
      </c>
    </row>
    <row r="8" spans="1:16" x14ac:dyDescent="0.4">
      <c r="A8" s="70" t="s">
        <v>3</v>
      </c>
      <c r="B8" s="62">
        <v>23</v>
      </c>
      <c r="C8" s="27">
        <f t="shared" ref="C8:C9" si="2">IF(B$2=0,0,B8/B$2)</f>
        <v>0.28048780487804881</v>
      </c>
      <c r="E8" s="80" t="s">
        <v>76</v>
      </c>
      <c r="F8" s="76" t="s">
        <v>29</v>
      </c>
      <c r="G8" s="62">
        <v>14</v>
      </c>
      <c r="H8" s="27">
        <f t="shared" si="0"/>
        <v>0.14736842105263157</v>
      </c>
      <c r="J8" s="26">
        <v>6</v>
      </c>
      <c r="K8" s="28">
        <v>47.6</v>
      </c>
    </row>
    <row r="9" spans="1:16" x14ac:dyDescent="0.4">
      <c r="A9" s="71" t="s">
        <v>4</v>
      </c>
      <c r="B9" s="63">
        <v>35</v>
      </c>
      <c r="C9" s="29">
        <f t="shared" si="2"/>
        <v>0.42682926829268292</v>
      </c>
      <c r="E9" s="80" t="s">
        <v>96</v>
      </c>
      <c r="F9" s="76" t="s">
        <v>49</v>
      </c>
      <c r="G9" s="62">
        <v>14</v>
      </c>
      <c r="H9" s="27">
        <f t="shared" si="0"/>
        <v>0.14736842105263157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0.24390243902439024</v>
      </c>
      <c r="E10" s="80" t="s">
        <v>75</v>
      </c>
      <c r="F10" s="76" t="s">
        <v>28</v>
      </c>
      <c r="G10" s="62">
        <v>14</v>
      </c>
      <c r="H10" s="27">
        <f t="shared" si="0"/>
        <v>0.14736842105263157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0.14634146341463414</v>
      </c>
      <c r="E11" s="80" t="s">
        <v>70</v>
      </c>
      <c r="F11" s="76" t="s">
        <v>24</v>
      </c>
      <c r="G11" s="62">
        <v>12</v>
      </c>
      <c r="H11" s="27">
        <f t="shared" si="0"/>
        <v>0.12631578947368421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102</v>
      </c>
      <c r="C12" s="35">
        <f>IF(B$24=0,0,B12/B$24)</f>
        <v>0.28732394366197184</v>
      </c>
      <c r="E12" s="80" t="s">
        <v>93</v>
      </c>
      <c r="F12" s="76" t="s">
        <v>46</v>
      </c>
      <c r="G12" s="62">
        <v>12</v>
      </c>
      <c r="H12" s="27">
        <f t="shared" si="0"/>
        <v>0.12631578947368421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63</v>
      </c>
      <c r="C13" s="27">
        <f>IF(B$24=0,0,B13/B$24)</f>
        <v>0.17746478873239438</v>
      </c>
      <c r="E13" s="80" t="s">
        <v>90</v>
      </c>
      <c r="F13" s="76" t="s">
        <v>43</v>
      </c>
      <c r="G13" s="62">
        <v>9</v>
      </c>
      <c r="H13" s="27">
        <f t="shared" si="0"/>
        <v>9.4736842105263161E-2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56</v>
      </c>
      <c r="C14" s="24">
        <f>IF(B$12=0,0,B14/B$12)</f>
        <v>0.5490196078431373</v>
      </c>
      <c r="E14" s="80" t="s">
        <v>98</v>
      </c>
      <c r="F14" s="76" t="s">
        <v>51</v>
      </c>
      <c r="G14" s="62">
        <v>6</v>
      </c>
      <c r="H14" s="27">
        <f t="shared" si="0"/>
        <v>6.3157894736842107E-2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24</v>
      </c>
      <c r="C15" s="24">
        <f>IF(B$13=0,0,B15/B$13)</f>
        <v>0.38095238095238093</v>
      </c>
      <c r="E15" s="80" t="s">
        <v>88</v>
      </c>
      <c r="F15" s="76" t="s">
        <v>41</v>
      </c>
      <c r="G15" s="62">
        <v>4</v>
      </c>
      <c r="H15" s="27">
        <f t="shared" si="0"/>
        <v>4.2105263157894736E-2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156</v>
      </c>
      <c r="C16" s="24">
        <f>IF(B$3=0,0,B16/B$3)</f>
        <v>0.25324675324675322</v>
      </c>
      <c r="E16" s="80" t="s">
        <v>77</v>
      </c>
      <c r="F16" s="76" t="s">
        <v>30</v>
      </c>
      <c r="G16" s="62">
        <v>4</v>
      </c>
      <c r="H16" s="27">
        <f t="shared" si="0"/>
        <v>4.2105263157894736E-2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93</v>
      </c>
      <c r="C17" s="27">
        <f>IF(B$3=0,0,B17/B$3)</f>
        <v>0.15097402597402598</v>
      </c>
      <c r="E17" s="80" t="s">
        <v>84</v>
      </c>
      <c r="F17" s="76" t="s">
        <v>37</v>
      </c>
      <c r="G17" s="62">
        <v>2</v>
      </c>
      <c r="H17" s="27">
        <f t="shared" si="0"/>
        <v>2.1052631578947368E-2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63</v>
      </c>
      <c r="C18" s="27">
        <f>IF(B$3=0,0,B18/B$3)</f>
        <v>0.10227272727272728</v>
      </c>
      <c r="E18" s="80" t="s">
        <v>85</v>
      </c>
      <c r="F18" s="76" t="s">
        <v>38</v>
      </c>
      <c r="G18" s="62">
        <v>2</v>
      </c>
      <c r="H18" s="27">
        <f t="shared" si="0"/>
        <v>2.1052631578947368E-2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123</v>
      </c>
      <c r="C19" s="27">
        <f>IF(B$3=0,0,B19/B$3)</f>
        <v>0.19967532467532467</v>
      </c>
      <c r="E19" s="80" t="s">
        <v>99</v>
      </c>
      <c r="F19" s="76" t="s">
        <v>52</v>
      </c>
      <c r="G19" s="62">
        <v>2</v>
      </c>
      <c r="H19" s="27">
        <f t="shared" si="0"/>
        <v>2.1052631578947368E-2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11389.102564102564</v>
      </c>
      <c r="C20" s="30">
        <v>1776700</v>
      </c>
      <c r="E20" s="80" t="s">
        <v>87</v>
      </c>
      <c r="F20" s="76" t="s">
        <v>40</v>
      </c>
      <c r="G20" s="62">
        <v>1</v>
      </c>
      <c r="H20" s="27">
        <f t="shared" si="0"/>
        <v>1.0526315789473684E-2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-10410.569105691056</v>
      </c>
      <c r="C21" s="60">
        <v>-1280500</v>
      </c>
      <c r="E21" s="80" t="s">
        <v>91</v>
      </c>
      <c r="F21" s="76" t="s">
        <v>44</v>
      </c>
      <c r="G21" s="62">
        <v>1</v>
      </c>
      <c r="H21" s="27">
        <f t="shared" si="0"/>
        <v>1.0526315789473684E-2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192</v>
      </c>
      <c r="C22" s="24">
        <f>IF(B$3=0,0,B22/B$3)</f>
        <v>0.31168831168831168</v>
      </c>
      <c r="E22" s="80" t="s">
        <v>92</v>
      </c>
      <c r="F22" s="76" t="s">
        <v>45</v>
      </c>
      <c r="G22" s="62">
        <v>1</v>
      </c>
      <c r="H22" s="27">
        <f t="shared" si="0"/>
        <v>1.0526315789473684E-2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59</v>
      </c>
      <c r="C23" s="32">
        <f>IF(B$22=0,0,B23/B$22)</f>
        <v>0.30729166666666669</v>
      </c>
      <c r="E23" s="80" t="s">
        <v>94</v>
      </c>
      <c r="F23" s="76" t="s">
        <v>47</v>
      </c>
      <c r="G23" s="62">
        <v>1</v>
      </c>
      <c r="H23" s="27">
        <f t="shared" si="0"/>
        <v>1.0526315789473684E-2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6">
        <v>355</v>
      </c>
      <c r="C24" s="87"/>
      <c r="E24" s="80" t="s">
        <v>95</v>
      </c>
      <c r="F24" s="76" t="s">
        <v>48</v>
      </c>
      <c r="G24" s="62">
        <v>1</v>
      </c>
      <c r="H24" s="27">
        <f t="shared" si="0"/>
        <v>1.0526315789473684E-2</v>
      </c>
      <c r="J24" s="26">
        <v>22</v>
      </c>
      <c r="K24" s="28">
        <v>-94.6</v>
      </c>
    </row>
    <row r="25" spans="1:11" x14ac:dyDescent="0.4">
      <c r="A25" s="72" t="s">
        <v>129</v>
      </c>
      <c r="B25" s="88">
        <v>95</v>
      </c>
      <c r="C25" s="89"/>
      <c r="E25" s="80" t="s">
        <v>79</v>
      </c>
      <c r="F25" s="76" t="s">
        <v>32</v>
      </c>
      <c r="G25" s="62">
        <v>0</v>
      </c>
      <c r="H25" s="27">
        <f t="shared" si="0"/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 t="shared" si="0"/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 t="shared" si="0"/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 t="shared" si="0"/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 t="shared" si="0"/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 t="shared" si="0"/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 t="shared" si="0"/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 t="shared" si="0"/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</sheetData>
  <sortState ref="E2:H84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A96CD-CA6D-4184-8E4C-D39DE136AEF1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191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45</v>
      </c>
      <c r="C2" s="87"/>
      <c r="E2" s="79" t="s">
        <v>71</v>
      </c>
      <c r="F2" s="75" t="s">
        <v>25</v>
      </c>
      <c r="G2" s="61">
        <v>23</v>
      </c>
      <c r="H2" s="24">
        <f t="shared" ref="H2:H33" si="0">IF(B$25=0,0,G2/B$25)</f>
        <v>0.95833333333333337</v>
      </c>
      <c r="J2" s="23">
        <v>0</v>
      </c>
      <c r="K2" s="25">
        <v>0</v>
      </c>
      <c r="M2" s="23" t="s">
        <v>201</v>
      </c>
      <c r="N2" s="56">
        <f t="shared" ref="N2:N7" si="1">IF(P2=0,0,O2/P2)</f>
        <v>-895.55555555555554</v>
      </c>
      <c r="O2" s="53">
        <v>-40300</v>
      </c>
      <c r="P2" s="51">
        <v>45</v>
      </c>
    </row>
    <row r="3" spans="1:16" x14ac:dyDescent="0.4">
      <c r="A3" s="70" t="s">
        <v>8</v>
      </c>
      <c r="B3" s="92">
        <v>317</v>
      </c>
      <c r="C3" s="93"/>
      <c r="E3" s="80" t="s">
        <v>73</v>
      </c>
      <c r="F3" s="76" t="s">
        <v>27</v>
      </c>
      <c r="G3" s="62">
        <v>22</v>
      </c>
      <c r="H3" s="27">
        <f t="shared" si="0"/>
        <v>0.91666666666666663</v>
      </c>
      <c r="J3" s="26">
        <v>1</v>
      </c>
      <c r="K3" s="28">
        <v>-39.9</v>
      </c>
      <c r="M3" s="26" t="s">
        <v>202</v>
      </c>
      <c r="N3" s="57">
        <f t="shared" si="1"/>
        <v>3279.0697674418607</v>
      </c>
      <c r="O3" s="54">
        <v>141000</v>
      </c>
      <c r="P3" s="49">
        <v>43</v>
      </c>
    </row>
    <row r="4" spans="1:16" x14ac:dyDescent="0.4">
      <c r="A4" s="70" t="s">
        <v>6</v>
      </c>
      <c r="B4" s="94">
        <v>248.10000000000002</v>
      </c>
      <c r="C4" s="95"/>
      <c r="E4" s="80" t="s">
        <v>78</v>
      </c>
      <c r="F4" s="76" t="s">
        <v>31</v>
      </c>
      <c r="G4" s="62">
        <v>18</v>
      </c>
      <c r="H4" s="27">
        <f t="shared" si="0"/>
        <v>0.75</v>
      </c>
      <c r="J4" s="26">
        <v>2</v>
      </c>
      <c r="K4" s="28">
        <v>-13.2</v>
      </c>
      <c r="M4" s="26" t="s">
        <v>203</v>
      </c>
      <c r="N4" s="57">
        <f t="shared" si="1"/>
        <v>-307.3170731707317</v>
      </c>
      <c r="O4" s="54">
        <v>-12600</v>
      </c>
      <c r="P4" s="49">
        <v>41</v>
      </c>
    </row>
    <row r="5" spans="1:16" x14ac:dyDescent="0.4">
      <c r="A5" s="70" t="s">
        <v>7</v>
      </c>
      <c r="B5" s="94">
        <f>IF(B$2=0,0,B$4/B$2)</f>
        <v>5.5133333333333336</v>
      </c>
      <c r="C5" s="95"/>
      <c r="E5" s="80" t="s">
        <v>69</v>
      </c>
      <c r="F5" s="76" t="s">
        <v>23</v>
      </c>
      <c r="G5" s="62">
        <v>9</v>
      </c>
      <c r="H5" s="27">
        <f t="shared" si="0"/>
        <v>0.375</v>
      </c>
      <c r="J5" s="26">
        <v>3</v>
      </c>
      <c r="K5" s="28">
        <v>-57.7</v>
      </c>
      <c r="M5" s="26" t="s">
        <v>204</v>
      </c>
      <c r="N5" s="57">
        <f t="shared" si="1"/>
        <v>-1417.6470588235295</v>
      </c>
      <c r="O5" s="54">
        <v>-48200</v>
      </c>
      <c r="P5" s="49">
        <v>34</v>
      </c>
    </row>
    <row r="6" spans="1:16" x14ac:dyDescent="0.4">
      <c r="A6" s="70" t="s">
        <v>1</v>
      </c>
      <c r="B6" s="96">
        <f>IF(B$2=0,0,(B$7*1+B$8*2+B$9*3)/B$2)</f>
        <v>1.8666666666666667</v>
      </c>
      <c r="C6" s="97"/>
      <c r="E6" s="80" t="s">
        <v>72</v>
      </c>
      <c r="F6" s="76" t="s">
        <v>26</v>
      </c>
      <c r="G6" s="62">
        <v>8</v>
      </c>
      <c r="H6" s="27">
        <f t="shared" si="0"/>
        <v>0.33333333333333331</v>
      </c>
      <c r="J6" s="26">
        <v>4</v>
      </c>
      <c r="K6" s="28">
        <v>-53.7</v>
      </c>
      <c r="M6" s="26" t="s">
        <v>205</v>
      </c>
      <c r="N6" s="57">
        <f t="shared" si="1"/>
        <v>7442.8571428571431</v>
      </c>
      <c r="O6" s="54">
        <v>208400</v>
      </c>
      <c r="P6" s="49">
        <v>28</v>
      </c>
    </row>
    <row r="7" spans="1:16" x14ac:dyDescent="0.4">
      <c r="A7" s="70" t="s">
        <v>2</v>
      </c>
      <c r="B7" s="62">
        <v>16</v>
      </c>
      <c r="C7" s="27">
        <f>IF(B$2=0,0,B7/B$2)</f>
        <v>0.35555555555555557</v>
      </c>
      <c r="E7" s="80" t="s">
        <v>74</v>
      </c>
      <c r="F7" s="76" t="s">
        <v>12</v>
      </c>
      <c r="G7" s="62">
        <v>6</v>
      </c>
      <c r="H7" s="27">
        <f t="shared" si="0"/>
        <v>0.25</v>
      </c>
      <c r="J7" s="26">
        <v>5</v>
      </c>
      <c r="K7" s="28">
        <v>-45.7</v>
      </c>
      <c r="M7" s="31" t="s">
        <v>206</v>
      </c>
      <c r="N7" s="58">
        <f t="shared" si="1"/>
        <v>122.22222222222223</v>
      </c>
      <c r="O7" s="55">
        <v>2200</v>
      </c>
      <c r="P7" s="50">
        <v>18</v>
      </c>
    </row>
    <row r="8" spans="1:16" x14ac:dyDescent="0.4">
      <c r="A8" s="70" t="s">
        <v>3</v>
      </c>
      <c r="B8" s="62">
        <v>19</v>
      </c>
      <c r="C8" s="27">
        <f t="shared" ref="C8:C9" si="2">IF(B$2=0,0,B8/B$2)</f>
        <v>0.42222222222222222</v>
      </c>
      <c r="E8" s="80" t="s">
        <v>70</v>
      </c>
      <c r="F8" s="76" t="s">
        <v>24</v>
      </c>
      <c r="G8" s="62">
        <v>3</v>
      </c>
      <c r="H8" s="27">
        <f t="shared" si="0"/>
        <v>0.125</v>
      </c>
      <c r="J8" s="26">
        <v>6</v>
      </c>
      <c r="K8" s="28">
        <v>-50.6</v>
      </c>
    </row>
    <row r="9" spans="1:16" x14ac:dyDescent="0.4">
      <c r="A9" s="71" t="s">
        <v>4</v>
      </c>
      <c r="B9" s="63">
        <v>10</v>
      </c>
      <c r="C9" s="29">
        <f t="shared" si="2"/>
        <v>0.22222222222222221</v>
      </c>
      <c r="E9" s="80" t="s">
        <v>90</v>
      </c>
      <c r="F9" s="76" t="s">
        <v>43</v>
      </c>
      <c r="G9" s="62">
        <v>3</v>
      </c>
      <c r="H9" s="27">
        <f t="shared" si="0"/>
        <v>0.125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0.1111111111111111</v>
      </c>
      <c r="E10" s="80" t="s">
        <v>75</v>
      </c>
      <c r="F10" s="76" t="s">
        <v>28</v>
      </c>
      <c r="G10" s="62">
        <v>2</v>
      </c>
      <c r="H10" s="27">
        <f t="shared" si="0"/>
        <v>8.3333333333333329E-2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9</v>
      </c>
      <c r="C11" s="32">
        <f>IF(B$2=0,0,B11/B$2)</f>
        <v>0.2</v>
      </c>
      <c r="E11" s="80" t="s">
        <v>76</v>
      </c>
      <c r="F11" s="76" t="s">
        <v>29</v>
      </c>
      <c r="G11" s="62">
        <v>2</v>
      </c>
      <c r="H11" s="27">
        <f t="shared" si="0"/>
        <v>8.3333333333333329E-2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16</v>
      </c>
      <c r="C12" s="35">
        <f>IF(B$24=0,0,B12/B$24)</f>
        <v>0.20253164556962025</v>
      </c>
      <c r="E12" s="80" t="s">
        <v>88</v>
      </c>
      <c r="F12" s="76" t="s">
        <v>41</v>
      </c>
      <c r="G12" s="62">
        <v>2</v>
      </c>
      <c r="H12" s="27">
        <f t="shared" si="0"/>
        <v>8.3333333333333329E-2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28</v>
      </c>
      <c r="C13" s="27">
        <f>IF(B$24=0,0,B13/B$24)</f>
        <v>0.35443037974683544</v>
      </c>
      <c r="E13" s="80" t="s">
        <v>96</v>
      </c>
      <c r="F13" s="76" t="s">
        <v>49</v>
      </c>
      <c r="G13" s="62">
        <v>2</v>
      </c>
      <c r="H13" s="27">
        <f t="shared" si="0"/>
        <v>8.3333333333333329E-2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9</v>
      </c>
      <c r="C14" s="24">
        <f>IF(B$12=0,0,B14/B$12)</f>
        <v>0.5625</v>
      </c>
      <c r="E14" s="80" t="s">
        <v>84</v>
      </c>
      <c r="F14" s="76" t="s">
        <v>37</v>
      </c>
      <c r="G14" s="62">
        <v>1</v>
      </c>
      <c r="H14" s="27">
        <f t="shared" si="0"/>
        <v>4.1666666666666664E-2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10</v>
      </c>
      <c r="C15" s="24">
        <f>IF(B$13=0,0,B15/B$13)</f>
        <v>0.35714285714285715</v>
      </c>
      <c r="E15" s="80" t="s">
        <v>93</v>
      </c>
      <c r="F15" s="76" t="s">
        <v>46</v>
      </c>
      <c r="G15" s="62">
        <v>1</v>
      </c>
      <c r="H15" s="27">
        <f t="shared" si="0"/>
        <v>4.1666666666666664E-2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111</v>
      </c>
      <c r="C16" s="24">
        <f>IF(B$3=0,0,B16/B$3)</f>
        <v>0.35015772870662459</v>
      </c>
      <c r="E16" s="80" t="s">
        <v>77</v>
      </c>
      <c r="F16" s="76" t="s">
        <v>30</v>
      </c>
      <c r="G16" s="62">
        <v>0</v>
      </c>
      <c r="H16" s="27">
        <f t="shared" si="0"/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61</v>
      </c>
      <c r="C17" s="27">
        <f>IF(B$3=0,0,B17/B$3)</f>
        <v>0.19242902208201892</v>
      </c>
      <c r="E17" s="80" t="s">
        <v>79</v>
      </c>
      <c r="F17" s="76" t="s">
        <v>32</v>
      </c>
      <c r="G17" s="62">
        <v>0</v>
      </c>
      <c r="H17" s="27">
        <f t="shared" si="0"/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50</v>
      </c>
      <c r="C18" s="27">
        <f>IF(B$3=0,0,B18/B$3)</f>
        <v>0.15772870662460567</v>
      </c>
      <c r="E18" s="80" t="s">
        <v>80</v>
      </c>
      <c r="F18" s="76" t="s">
        <v>33</v>
      </c>
      <c r="G18" s="62">
        <v>0</v>
      </c>
      <c r="H18" s="27">
        <f t="shared" si="0"/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49</v>
      </c>
      <c r="C19" s="27">
        <f>IF(B$3=0,0,B19/B$3)</f>
        <v>0.15457413249211358</v>
      </c>
      <c r="E19" s="80" t="s">
        <v>81</v>
      </c>
      <c r="F19" s="76" t="s">
        <v>34</v>
      </c>
      <c r="G19" s="62">
        <v>0</v>
      </c>
      <c r="H19" s="27">
        <f t="shared" si="0"/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9851.3513513513517</v>
      </c>
      <c r="C20" s="30">
        <v>1093500</v>
      </c>
      <c r="E20" s="80" t="s">
        <v>82</v>
      </c>
      <c r="F20" s="76" t="s">
        <v>35</v>
      </c>
      <c r="G20" s="62">
        <v>0</v>
      </c>
      <c r="H20" s="27">
        <f t="shared" si="0"/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-9134.6938775510207</v>
      </c>
      <c r="C21" s="60">
        <v>-447600</v>
      </c>
      <c r="E21" s="80" t="s">
        <v>83</v>
      </c>
      <c r="F21" s="76" t="s">
        <v>36</v>
      </c>
      <c r="G21" s="62">
        <v>0</v>
      </c>
      <c r="H21" s="27">
        <f t="shared" si="0"/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115</v>
      </c>
      <c r="C22" s="24">
        <f>IF(B$3=0,0,B22/B$3)</f>
        <v>0.36277602523659308</v>
      </c>
      <c r="E22" s="80" t="s">
        <v>85</v>
      </c>
      <c r="F22" s="76" t="s">
        <v>38</v>
      </c>
      <c r="G22" s="62">
        <v>0</v>
      </c>
      <c r="H22" s="27">
        <f t="shared" si="0"/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41</v>
      </c>
      <c r="C23" s="32">
        <f>IF(B$22=0,0,B23/B$22)</f>
        <v>0.35652173913043478</v>
      </c>
      <c r="E23" s="80" t="s">
        <v>86</v>
      </c>
      <c r="F23" s="76" t="s">
        <v>39</v>
      </c>
      <c r="G23" s="62">
        <v>0</v>
      </c>
      <c r="H23" s="27">
        <f t="shared" si="0"/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6">
        <v>79</v>
      </c>
      <c r="C24" s="87"/>
      <c r="E24" s="80" t="s">
        <v>87</v>
      </c>
      <c r="F24" s="76" t="s">
        <v>40</v>
      </c>
      <c r="G24" s="62">
        <v>0</v>
      </c>
      <c r="H24" s="27">
        <f t="shared" si="0"/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88">
        <v>24</v>
      </c>
      <c r="C25" s="89"/>
      <c r="E25" s="80" t="s">
        <v>89</v>
      </c>
      <c r="F25" s="76" t="s">
        <v>42</v>
      </c>
      <c r="G25" s="62">
        <v>0</v>
      </c>
      <c r="H25" s="27">
        <f t="shared" si="0"/>
        <v>0</v>
      </c>
      <c r="J25" s="26">
        <v>23</v>
      </c>
      <c r="K25" s="28">
        <v>93.199999999999989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 t="shared" si="0"/>
        <v>0</v>
      </c>
      <c r="J26" s="26">
        <v>24</v>
      </c>
      <c r="K26" s="28">
        <v>49.29999999999999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 t="shared" si="0"/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 t="shared" si="0"/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 t="shared" si="0"/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  <c r="J43" s="26">
        <v>41</v>
      </c>
      <c r="K43" s="28">
        <v>234.10000000000002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  <c r="J44" s="26">
        <v>42</v>
      </c>
      <c r="K44" s="28">
        <v>255.3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  <c r="J45" s="26">
        <v>43</v>
      </c>
      <c r="K45" s="28">
        <v>288.10000000000002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  <c r="J46" s="26">
        <v>44</v>
      </c>
      <c r="K46" s="28">
        <v>279.3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  <c r="J47" s="26">
        <v>45</v>
      </c>
      <c r="K47" s="28">
        <v>248.10000000000002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2A1A-C491-450C-8BE8-50201CE7BBA1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221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5</v>
      </c>
      <c r="C2" s="87"/>
      <c r="E2" s="79" t="s">
        <v>69</v>
      </c>
      <c r="F2" s="75" t="s">
        <v>23</v>
      </c>
      <c r="G2" s="61">
        <v>6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1">IF(P2=0,0,O2/P2)</f>
        <v>-2740</v>
      </c>
      <c r="O2" s="53">
        <v>-13700</v>
      </c>
      <c r="P2" s="51">
        <v>5</v>
      </c>
    </row>
    <row r="3" spans="1:16" x14ac:dyDescent="0.4">
      <c r="A3" s="70" t="s">
        <v>8</v>
      </c>
      <c r="B3" s="92">
        <v>37</v>
      </c>
      <c r="C3" s="93"/>
      <c r="E3" s="80" t="s">
        <v>73</v>
      </c>
      <c r="F3" s="76" t="s">
        <v>27</v>
      </c>
      <c r="G3" s="62">
        <v>6</v>
      </c>
      <c r="H3" s="27">
        <f t="shared" si="0"/>
        <v>0.66666666666666663</v>
      </c>
      <c r="J3" s="26">
        <v>1</v>
      </c>
      <c r="K3" s="28">
        <v>-40.700000000000003</v>
      </c>
      <c r="M3" s="26" t="s">
        <v>202</v>
      </c>
      <c r="N3" s="57">
        <f t="shared" si="1"/>
        <v>1500</v>
      </c>
      <c r="O3" s="54">
        <v>7500</v>
      </c>
      <c r="P3" s="49">
        <v>5</v>
      </c>
    </row>
    <row r="4" spans="1:16" x14ac:dyDescent="0.4">
      <c r="A4" s="70" t="s">
        <v>6</v>
      </c>
      <c r="B4" s="94">
        <v>-86.4</v>
      </c>
      <c r="C4" s="95"/>
      <c r="E4" s="80" t="s">
        <v>70</v>
      </c>
      <c r="F4" s="76" t="s">
        <v>24</v>
      </c>
      <c r="G4" s="62">
        <v>4</v>
      </c>
      <c r="H4" s="27">
        <f t="shared" si="0"/>
        <v>0.44444444444444442</v>
      </c>
      <c r="J4" s="26">
        <v>2</v>
      </c>
      <c r="K4" s="28">
        <v>-81.7</v>
      </c>
      <c r="M4" s="26" t="s">
        <v>203</v>
      </c>
      <c r="N4" s="57">
        <f t="shared" si="1"/>
        <v>-11250</v>
      </c>
      <c r="O4" s="54">
        <v>-45000</v>
      </c>
      <c r="P4" s="49">
        <v>4</v>
      </c>
    </row>
    <row r="5" spans="1:16" x14ac:dyDescent="0.4">
      <c r="A5" s="70" t="s">
        <v>7</v>
      </c>
      <c r="B5" s="94">
        <f>IF(B$2=0,0,B$4/B$2)</f>
        <v>-17.28</v>
      </c>
      <c r="C5" s="95"/>
      <c r="E5" s="80" t="s">
        <v>78</v>
      </c>
      <c r="F5" s="76" t="s">
        <v>31</v>
      </c>
      <c r="G5" s="62">
        <v>4</v>
      </c>
      <c r="H5" s="27">
        <f t="shared" si="0"/>
        <v>0.44444444444444442</v>
      </c>
      <c r="J5" s="26">
        <v>3</v>
      </c>
      <c r="K5" s="28">
        <v>-88.9</v>
      </c>
      <c r="M5" s="26" t="s">
        <v>204</v>
      </c>
      <c r="N5" s="57">
        <f t="shared" si="1"/>
        <v>-12000</v>
      </c>
      <c r="O5" s="54">
        <v>-36000</v>
      </c>
      <c r="P5" s="49">
        <v>3</v>
      </c>
    </row>
    <row r="6" spans="1:16" x14ac:dyDescent="0.4">
      <c r="A6" s="70" t="s">
        <v>1</v>
      </c>
      <c r="B6" s="96">
        <f>IF(B$2=0,0,(B$7*1+B$8*2+B$9*3)/B$2)</f>
        <v>2.2000000000000002</v>
      </c>
      <c r="C6" s="97"/>
      <c r="E6" s="80" t="s">
        <v>74</v>
      </c>
      <c r="F6" s="76" t="s">
        <v>12</v>
      </c>
      <c r="G6" s="62">
        <v>3</v>
      </c>
      <c r="H6" s="27">
        <f t="shared" si="0"/>
        <v>0.33333333333333331</v>
      </c>
      <c r="J6" s="26">
        <v>4</v>
      </c>
      <c r="K6" s="28">
        <v>-109.2</v>
      </c>
      <c r="M6" s="26" t="s">
        <v>205</v>
      </c>
      <c r="N6" s="57">
        <f t="shared" si="1"/>
        <v>5400</v>
      </c>
      <c r="O6" s="54">
        <v>10800</v>
      </c>
      <c r="P6" s="49">
        <v>2</v>
      </c>
    </row>
    <row r="7" spans="1:16" x14ac:dyDescent="0.4">
      <c r="A7" s="70" t="s">
        <v>2</v>
      </c>
      <c r="B7" s="62">
        <v>1</v>
      </c>
      <c r="C7" s="27">
        <f>IF(B$2=0,0,B7/B$2)</f>
        <v>0.2</v>
      </c>
      <c r="E7" s="80" t="s">
        <v>72</v>
      </c>
      <c r="F7" s="76" t="s">
        <v>26</v>
      </c>
      <c r="G7" s="62">
        <v>2</v>
      </c>
      <c r="H7" s="27">
        <f t="shared" si="0"/>
        <v>0.22222222222222221</v>
      </c>
      <c r="J7" s="26">
        <v>5</v>
      </c>
      <c r="K7" s="28">
        <v>-86.4</v>
      </c>
      <c r="M7" s="31" t="s">
        <v>206</v>
      </c>
      <c r="N7" s="58">
        <f t="shared" si="1"/>
        <v>-5000</v>
      </c>
      <c r="O7" s="55">
        <v>-10000</v>
      </c>
      <c r="P7" s="50">
        <v>2</v>
      </c>
    </row>
    <row r="8" spans="1:16" x14ac:dyDescent="0.4">
      <c r="A8" s="70" t="s">
        <v>3</v>
      </c>
      <c r="B8" s="62">
        <v>2</v>
      </c>
      <c r="C8" s="27">
        <f t="shared" ref="C8:C9" si="2">IF(B$2=0,0,B8/B$2)</f>
        <v>0.4</v>
      </c>
      <c r="E8" s="80" t="s">
        <v>85</v>
      </c>
      <c r="F8" s="76" t="s">
        <v>38</v>
      </c>
      <c r="G8" s="62">
        <v>2</v>
      </c>
      <c r="H8" s="27">
        <f t="shared" si="0"/>
        <v>0.22222222222222221</v>
      </c>
    </row>
    <row r="9" spans="1:16" x14ac:dyDescent="0.4">
      <c r="A9" s="71" t="s">
        <v>4</v>
      </c>
      <c r="B9" s="63">
        <v>2</v>
      </c>
      <c r="C9" s="29">
        <f t="shared" si="2"/>
        <v>0.4</v>
      </c>
      <c r="E9" s="80" t="s">
        <v>71</v>
      </c>
      <c r="F9" s="76" t="s">
        <v>25</v>
      </c>
      <c r="G9" s="62">
        <v>1</v>
      </c>
      <c r="H9" s="27">
        <f t="shared" si="0"/>
        <v>0.1111111111111111</v>
      </c>
    </row>
    <row r="10" spans="1:16" x14ac:dyDescent="0.4">
      <c r="A10" s="71" t="s">
        <v>21</v>
      </c>
      <c r="B10" s="63">
        <v>2</v>
      </c>
      <c r="C10" s="29">
        <f>IF(B$2=0,0,B10/B$2)</f>
        <v>0.4</v>
      </c>
      <c r="E10" s="80" t="s">
        <v>75</v>
      </c>
      <c r="F10" s="76" t="s">
        <v>28</v>
      </c>
      <c r="G10" s="62">
        <v>1</v>
      </c>
      <c r="H10" s="27">
        <f t="shared" si="0"/>
        <v>0.1111111111111111</v>
      </c>
    </row>
    <row r="11" spans="1:16" x14ac:dyDescent="0.4">
      <c r="A11" s="72" t="s">
        <v>211</v>
      </c>
      <c r="B11" s="64">
        <v>1</v>
      </c>
      <c r="C11" s="32">
        <f>IF(B$2=0,0,B11/B$2)</f>
        <v>0.2</v>
      </c>
      <c r="E11" s="80" t="s">
        <v>93</v>
      </c>
      <c r="F11" s="76" t="s">
        <v>46</v>
      </c>
      <c r="G11" s="62">
        <v>1</v>
      </c>
      <c r="H11" s="27">
        <f t="shared" si="0"/>
        <v>0.1111111111111111</v>
      </c>
    </row>
    <row r="12" spans="1:16" x14ac:dyDescent="0.4">
      <c r="A12" s="73" t="s">
        <v>130</v>
      </c>
      <c r="B12" s="65">
        <v>8</v>
      </c>
      <c r="C12" s="35">
        <f>IF(B$24=0,0,B12/B$24)</f>
        <v>0.25806451612903225</v>
      </c>
      <c r="E12" s="80" t="s">
        <v>76</v>
      </c>
      <c r="F12" s="76" t="s">
        <v>29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5</v>
      </c>
      <c r="C13" s="27">
        <f>IF(B$24=0,0,B13/B$24)</f>
        <v>0.16129032258064516</v>
      </c>
      <c r="E13" s="80" t="s">
        <v>77</v>
      </c>
      <c r="F13" s="76" t="s">
        <v>30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6</v>
      </c>
      <c r="C14" s="24">
        <f>IF(B$12=0,0,B14/B$12)</f>
        <v>0.75</v>
      </c>
      <c r="E14" s="80" t="s">
        <v>79</v>
      </c>
      <c r="F14" s="76" t="s">
        <v>32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1</v>
      </c>
      <c r="C15" s="24">
        <f>IF(B$13=0,0,B15/B$13)</f>
        <v>0.2</v>
      </c>
      <c r="E15" s="80" t="s">
        <v>80</v>
      </c>
      <c r="F15" s="76" t="s">
        <v>33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10</v>
      </c>
      <c r="C16" s="24">
        <f>IF(B$3=0,0,B16/B$3)</f>
        <v>0.27027027027027029</v>
      </c>
      <c r="E16" s="80" t="s">
        <v>81</v>
      </c>
      <c r="F16" s="76" t="s">
        <v>34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7</v>
      </c>
      <c r="C17" s="27">
        <f>IF(B$3=0,0,B17/B$3)</f>
        <v>0.1891891891891892</v>
      </c>
      <c r="E17" s="80" t="s">
        <v>82</v>
      </c>
      <c r="F17" s="76" t="s">
        <v>35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3</v>
      </c>
      <c r="C18" s="27">
        <f>IF(B$3=0,0,B18/B$3)</f>
        <v>8.1081081081081086E-2</v>
      </c>
      <c r="E18" s="80" t="s">
        <v>83</v>
      </c>
      <c r="F18" s="76" t="s">
        <v>36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8</v>
      </c>
      <c r="C19" s="27">
        <f>IF(B$3=0,0,B19/B$3)</f>
        <v>0.21621621621621623</v>
      </c>
      <c r="E19" s="80" t="s">
        <v>84</v>
      </c>
      <c r="F19" s="76" t="s">
        <v>37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7100</v>
      </c>
      <c r="C20" s="30">
        <v>71000</v>
      </c>
      <c r="E20" s="80" t="s">
        <v>86</v>
      </c>
      <c r="F20" s="76" t="s">
        <v>39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-12487.5</v>
      </c>
      <c r="C21" s="60">
        <v>-99900</v>
      </c>
      <c r="E21" s="80" t="s">
        <v>87</v>
      </c>
      <c r="F21" s="76" t="s">
        <v>40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13</v>
      </c>
      <c r="C22" s="24">
        <f>IF(B$3=0,0,B22/B$3)</f>
        <v>0.35135135135135137</v>
      </c>
      <c r="E22" s="80" t="s">
        <v>88</v>
      </c>
      <c r="F22" s="76" t="s">
        <v>41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6</v>
      </c>
      <c r="C23" s="32">
        <f>IF(B$22=0,0,B23/B$22)</f>
        <v>0.46153846153846156</v>
      </c>
      <c r="E23" s="80" t="s">
        <v>89</v>
      </c>
      <c r="F23" s="76" t="s">
        <v>42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31</v>
      </c>
      <c r="C24" s="87"/>
      <c r="E24" s="80" t="s">
        <v>90</v>
      </c>
      <c r="F24" s="76" t="s">
        <v>43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9</v>
      </c>
      <c r="C25" s="89"/>
      <c r="E25" s="80" t="s">
        <v>91</v>
      </c>
      <c r="F25" s="76" t="s">
        <v>44</v>
      </c>
      <c r="G25" s="62">
        <v>0</v>
      </c>
      <c r="H25" s="27">
        <f t="shared" si="0"/>
        <v>0</v>
      </c>
    </row>
    <row r="26" spans="1:8" x14ac:dyDescent="0.4">
      <c r="E26" s="80" t="s">
        <v>92</v>
      </c>
      <c r="F26" s="76" t="s">
        <v>45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6879B-C162-4719-854B-BB1243183015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192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40</v>
      </c>
      <c r="C2" s="87"/>
      <c r="E2" s="79" t="s">
        <v>73</v>
      </c>
      <c r="F2" s="75" t="s">
        <v>27</v>
      </c>
      <c r="G2" s="61">
        <v>28</v>
      </c>
      <c r="H2" s="24">
        <f t="shared" ref="H2:H33" si="0">IF(B$25=0,0,G2/B$25)</f>
        <v>0.875</v>
      </c>
      <c r="J2" s="23">
        <v>0</v>
      </c>
      <c r="K2" s="25">
        <v>0</v>
      </c>
      <c r="M2" s="23" t="s">
        <v>201</v>
      </c>
      <c r="N2" s="56">
        <f t="shared" ref="N2:N7" si="1">IF(P2=0,0,O2/P2)</f>
        <v>-1707.5</v>
      </c>
      <c r="O2" s="53">
        <v>-68300</v>
      </c>
      <c r="P2" s="51">
        <v>40</v>
      </c>
    </row>
    <row r="3" spans="1:16" x14ac:dyDescent="0.4">
      <c r="A3" s="70" t="s">
        <v>8</v>
      </c>
      <c r="B3" s="92">
        <v>307</v>
      </c>
      <c r="C3" s="93"/>
      <c r="E3" s="80" t="s">
        <v>78</v>
      </c>
      <c r="F3" s="76" t="s">
        <v>31</v>
      </c>
      <c r="G3" s="62">
        <v>24</v>
      </c>
      <c r="H3" s="27">
        <f t="shared" si="0"/>
        <v>0.75</v>
      </c>
      <c r="J3" s="26">
        <v>1</v>
      </c>
      <c r="K3" s="28">
        <v>68.2</v>
      </c>
      <c r="M3" s="26" t="s">
        <v>202</v>
      </c>
      <c r="N3" s="57">
        <f t="shared" si="1"/>
        <v>-2537.8378378378379</v>
      </c>
      <c r="O3" s="54">
        <v>-93900</v>
      </c>
      <c r="P3" s="49">
        <v>37</v>
      </c>
    </row>
    <row r="4" spans="1:16" x14ac:dyDescent="0.4">
      <c r="A4" s="70" t="s">
        <v>6</v>
      </c>
      <c r="B4" s="94">
        <v>-107.80000000000001</v>
      </c>
      <c r="C4" s="95"/>
      <c r="E4" s="80" t="s">
        <v>71</v>
      </c>
      <c r="F4" s="76" t="s">
        <v>25</v>
      </c>
      <c r="G4" s="62">
        <v>19</v>
      </c>
      <c r="H4" s="27">
        <f t="shared" si="0"/>
        <v>0.59375</v>
      </c>
      <c r="J4" s="26">
        <v>2</v>
      </c>
      <c r="K4" s="28">
        <v>58.5</v>
      </c>
      <c r="M4" s="26" t="s">
        <v>203</v>
      </c>
      <c r="N4" s="57">
        <f t="shared" si="1"/>
        <v>-1245.1612903225807</v>
      </c>
      <c r="O4" s="54">
        <v>-38600</v>
      </c>
      <c r="P4" s="49">
        <v>31</v>
      </c>
    </row>
    <row r="5" spans="1:16" x14ac:dyDescent="0.4">
      <c r="A5" s="70" t="s">
        <v>7</v>
      </c>
      <c r="B5" s="94">
        <f>IF(B$2=0,0,B$4/B$2)</f>
        <v>-2.6950000000000003</v>
      </c>
      <c r="C5" s="95"/>
      <c r="E5" s="80" t="s">
        <v>69</v>
      </c>
      <c r="F5" s="76" t="s">
        <v>23</v>
      </c>
      <c r="G5" s="62">
        <v>11</v>
      </c>
      <c r="H5" s="27">
        <f t="shared" si="0"/>
        <v>0.34375</v>
      </c>
      <c r="J5" s="26">
        <v>3</v>
      </c>
      <c r="K5" s="28">
        <v>82.1</v>
      </c>
      <c r="M5" s="26" t="s">
        <v>204</v>
      </c>
      <c r="N5" s="57">
        <f t="shared" si="1"/>
        <v>3148.2758620689656</v>
      </c>
      <c r="O5" s="54">
        <v>91300</v>
      </c>
      <c r="P5" s="49">
        <v>29</v>
      </c>
    </row>
    <row r="6" spans="1:16" x14ac:dyDescent="0.4">
      <c r="A6" s="70" t="s">
        <v>1</v>
      </c>
      <c r="B6" s="96">
        <f>IF(B$2=0,0,(B$7*1+B$8*2+B$9*3)/B$2)</f>
        <v>2.1</v>
      </c>
      <c r="C6" s="97"/>
      <c r="E6" s="80" t="s">
        <v>70</v>
      </c>
      <c r="F6" s="76" t="s">
        <v>24</v>
      </c>
      <c r="G6" s="62">
        <v>5</v>
      </c>
      <c r="H6" s="27">
        <f t="shared" si="0"/>
        <v>0.15625</v>
      </c>
      <c r="J6" s="26">
        <v>4</v>
      </c>
      <c r="K6" s="28">
        <v>58.199999999999996</v>
      </c>
      <c r="M6" s="26" t="s">
        <v>205</v>
      </c>
      <c r="N6" s="57">
        <f t="shared" si="1"/>
        <v>-986.36363636363637</v>
      </c>
      <c r="O6" s="54">
        <v>-21700</v>
      </c>
      <c r="P6" s="49">
        <v>22</v>
      </c>
    </row>
    <row r="7" spans="1:16" x14ac:dyDescent="0.4">
      <c r="A7" s="70" t="s">
        <v>2</v>
      </c>
      <c r="B7" s="62">
        <v>10</v>
      </c>
      <c r="C7" s="27">
        <f>IF(B$2=0,0,B7/B$2)</f>
        <v>0.25</v>
      </c>
      <c r="E7" s="80" t="s">
        <v>74</v>
      </c>
      <c r="F7" s="76" t="s">
        <v>12</v>
      </c>
      <c r="G7" s="62">
        <v>4</v>
      </c>
      <c r="H7" s="27">
        <f t="shared" si="0"/>
        <v>0.125</v>
      </c>
      <c r="J7" s="26">
        <v>5</v>
      </c>
      <c r="K7" s="28">
        <v>124.19999999999999</v>
      </c>
      <c r="M7" s="31" t="s">
        <v>206</v>
      </c>
      <c r="N7" s="58">
        <f t="shared" si="1"/>
        <v>1300</v>
      </c>
      <c r="O7" s="55">
        <v>23400</v>
      </c>
      <c r="P7" s="50">
        <v>18</v>
      </c>
    </row>
    <row r="8" spans="1:16" x14ac:dyDescent="0.4">
      <c r="A8" s="70" t="s">
        <v>3</v>
      </c>
      <c r="B8" s="62">
        <v>16</v>
      </c>
      <c r="C8" s="27">
        <f t="shared" ref="C8:C9" si="2">IF(B$2=0,0,B8/B$2)</f>
        <v>0.4</v>
      </c>
      <c r="E8" s="80" t="s">
        <v>72</v>
      </c>
      <c r="F8" s="76" t="s">
        <v>26</v>
      </c>
      <c r="G8" s="62">
        <v>3</v>
      </c>
      <c r="H8" s="27">
        <f t="shared" si="0"/>
        <v>9.375E-2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14</v>
      </c>
      <c r="C9" s="29">
        <f t="shared" si="2"/>
        <v>0.35</v>
      </c>
      <c r="E9" s="80" t="s">
        <v>75</v>
      </c>
      <c r="F9" s="76" t="s">
        <v>28</v>
      </c>
      <c r="G9" s="62">
        <v>3</v>
      </c>
      <c r="H9" s="27">
        <f t="shared" si="0"/>
        <v>9.375E-2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0.15</v>
      </c>
      <c r="E10" s="80" t="s">
        <v>96</v>
      </c>
      <c r="F10" s="76" t="s">
        <v>49</v>
      </c>
      <c r="G10" s="62">
        <v>3</v>
      </c>
      <c r="H10" s="27">
        <f t="shared" si="0"/>
        <v>9.375E-2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7</v>
      </c>
      <c r="C11" s="32">
        <f>IF(B$2=0,0,B11/B$2)</f>
        <v>0.17499999999999999</v>
      </c>
      <c r="E11" s="80" t="s">
        <v>84</v>
      </c>
      <c r="F11" s="76" t="s">
        <v>37</v>
      </c>
      <c r="G11" s="62">
        <v>2</v>
      </c>
      <c r="H11" s="27">
        <f t="shared" si="0"/>
        <v>6.25E-2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26</v>
      </c>
      <c r="C12" s="35">
        <f>IF(B$24=0,0,B12/B$24)</f>
        <v>0.21666666666666667</v>
      </c>
      <c r="E12" s="80" t="s">
        <v>85</v>
      </c>
      <c r="F12" s="76" t="s">
        <v>38</v>
      </c>
      <c r="G12" s="62">
        <v>2</v>
      </c>
      <c r="H12" s="27">
        <f t="shared" si="0"/>
        <v>6.25E-2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38</v>
      </c>
      <c r="C13" s="27">
        <f>IF(B$24=0,0,B13/B$24)</f>
        <v>0.31666666666666665</v>
      </c>
      <c r="E13" s="80" t="s">
        <v>93</v>
      </c>
      <c r="F13" s="76" t="s">
        <v>46</v>
      </c>
      <c r="G13" s="62">
        <v>2</v>
      </c>
      <c r="H13" s="27">
        <f t="shared" si="0"/>
        <v>6.25E-2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10</v>
      </c>
      <c r="C14" s="24">
        <f>IF(B$12=0,0,B14/B$12)</f>
        <v>0.38461538461538464</v>
      </c>
      <c r="E14" s="80" t="s">
        <v>76</v>
      </c>
      <c r="F14" s="76" t="s">
        <v>29</v>
      </c>
      <c r="G14" s="62">
        <v>1</v>
      </c>
      <c r="H14" s="27">
        <f t="shared" si="0"/>
        <v>3.125E-2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16</v>
      </c>
      <c r="C15" s="24">
        <f>IF(B$13=0,0,B15/B$13)</f>
        <v>0.42105263157894735</v>
      </c>
      <c r="E15" s="80" t="s">
        <v>77</v>
      </c>
      <c r="F15" s="76" t="s">
        <v>30</v>
      </c>
      <c r="G15" s="62">
        <v>1</v>
      </c>
      <c r="H15" s="27">
        <f t="shared" si="0"/>
        <v>3.125E-2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86</v>
      </c>
      <c r="C16" s="24">
        <f>IF(B$3=0,0,B16/B$3)</f>
        <v>0.28013029315960913</v>
      </c>
      <c r="E16" s="80" t="s">
        <v>81</v>
      </c>
      <c r="F16" s="76" t="s">
        <v>34</v>
      </c>
      <c r="G16" s="62">
        <v>1</v>
      </c>
      <c r="H16" s="27">
        <f t="shared" si="0"/>
        <v>3.125E-2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51</v>
      </c>
      <c r="C17" s="27">
        <f>IF(B$3=0,0,B17/B$3)</f>
        <v>0.16612377850162866</v>
      </c>
      <c r="E17" s="80" t="s">
        <v>88</v>
      </c>
      <c r="F17" s="76" t="s">
        <v>41</v>
      </c>
      <c r="G17" s="62">
        <v>1</v>
      </c>
      <c r="H17" s="27">
        <f t="shared" si="0"/>
        <v>3.125E-2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35</v>
      </c>
      <c r="C18" s="27">
        <f>IF(B$3=0,0,B18/B$3)</f>
        <v>0.11400651465798045</v>
      </c>
      <c r="E18" s="80" t="s">
        <v>90</v>
      </c>
      <c r="F18" s="76" t="s">
        <v>43</v>
      </c>
      <c r="G18" s="62">
        <v>1</v>
      </c>
      <c r="H18" s="27">
        <f t="shared" si="0"/>
        <v>3.125E-2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61</v>
      </c>
      <c r="C19" s="27">
        <f>IF(B$3=0,0,B19/B$3)</f>
        <v>0.1986970684039088</v>
      </c>
      <c r="E19" s="80" t="s">
        <v>79</v>
      </c>
      <c r="F19" s="76" t="s">
        <v>32</v>
      </c>
      <c r="G19" s="62">
        <v>0</v>
      </c>
      <c r="H19" s="27">
        <f t="shared" si="0"/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9869.7674418604656</v>
      </c>
      <c r="C20" s="30">
        <v>848800</v>
      </c>
      <c r="E20" s="80" t="s">
        <v>80</v>
      </c>
      <c r="F20" s="76" t="s">
        <v>33</v>
      </c>
      <c r="G20" s="62">
        <v>0</v>
      </c>
      <c r="H20" s="27">
        <f t="shared" si="0"/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-8024.5901639344265</v>
      </c>
      <c r="C21" s="60">
        <v>-489500</v>
      </c>
      <c r="E21" s="80" t="s">
        <v>82</v>
      </c>
      <c r="F21" s="76" t="s">
        <v>35</v>
      </c>
      <c r="G21" s="62">
        <v>0</v>
      </c>
      <c r="H21" s="27">
        <f t="shared" si="0"/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86</v>
      </c>
      <c r="C22" s="24">
        <f>IF(B$3=0,0,B22/B$3)</f>
        <v>0.28013029315960913</v>
      </c>
      <c r="E22" s="80" t="s">
        <v>83</v>
      </c>
      <c r="F22" s="76" t="s">
        <v>36</v>
      </c>
      <c r="G22" s="62">
        <v>0</v>
      </c>
      <c r="H22" s="27">
        <f t="shared" si="0"/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35</v>
      </c>
      <c r="C23" s="32">
        <f>IF(B$22=0,0,B23/B$22)</f>
        <v>0.40697674418604651</v>
      </c>
      <c r="E23" s="80" t="s">
        <v>86</v>
      </c>
      <c r="F23" s="76" t="s">
        <v>39</v>
      </c>
      <c r="G23" s="62">
        <v>0</v>
      </c>
      <c r="H23" s="27">
        <f t="shared" si="0"/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6">
        <v>120</v>
      </c>
      <c r="C24" s="87"/>
      <c r="E24" s="80" t="s">
        <v>87</v>
      </c>
      <c r="F24" s="76" t="s">
        <v>40</v>
      </c>
      <c r="G24" s="62">
        <v>0</v>
      </c>
      <c r="H24" s="27">
        <f t="shared" si="0"/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88">
        <v>32</v>
      </c>
      <c r="C25" s="89"/>
      <c r="E25" s="80" t="s">
        <v>89</v>
      </c>
      <c r="F25" s="76" t="s">
        <v>42</v>
      </c>
      <c r="G25" s="62">
        <v>0</v>
      </c>
      <c r="H25" s="27">
        <f t="shared" si="0"/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 t="shared" si="0"/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 t="shared" si="0"/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 t="shared" si="0"/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 t="shared" si="0"/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  <c r="J38" s="26">
        <v>36</v>
      </c>
      <c r="K38" s="28">
        <v>-72.700000000000017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  <c r="J39" s="26">
        <v>37</v>
      </c>
      <c r="K39" s="28">
        <v>-78.300000000000011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  <c r="J40" s="26">
        <v>38</v>
      </c>
      <c r="K40" s="28">
        <v>-105.30000000000001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  <c r="J41" s="26">
        <v>39</v>
      </c>
      <c r="K41" s="28">
        <v>-100.10000000000001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  <c r="J42" s="26">
        <v>40</v>
      </c>
      <c r="K42" s="28">
        <v>-107.80000000000001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C7989-B301-4AA5-A21F-1E30ED4D6718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193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49</v>
      </c>
      <c r="C2" s="87"/>
      <c r="E2" s="79" t="s">
        <v>71</v>
      </c>
      <c r="F2" s="75" t="s">
        <v>25</v>
      </c>
      <c r="G2" s="61">
        <v>72</v>
      </c>
      <c r="H2" s="24">
        <f t="shared" ref="H2:H33" si="0">IF(B$25=0,0,G2/B$25)</f>
        <v>0.88888888888888884</v>
      </c>
      <c r="J2" s="23">
        <v>0</v>
      </c>
      <c r="K2" s="25">
        <v>0</v>
      </c>
      <c r="M2" s="23" t="s">
        <v>201</v>
      </c>
      <c r="N2" s="56">
        <f t="shared" ref="N2:N7" si="1">IF(P2=0,0,O2/P2)</f>
        <v>3555.3191489361702</v>
      </c>
      <c r="O2" s="53">
        <v>167100</v>
      </c>
      <c r="P2" s="51">
        <v>47</v>
      </c>
    </row>
    <row r="3" spans="1:16" x14ac:dyDescent="0.4">
      <c r="A3" s="70" t="s">
        <v>8</v>
      </c>
      <c r="B3" s="92">
        <v>372</v>
      </c>
      <c r="C3" s="93"/>
      <c r="E3" s="80" t="s">
        <v>73</v>
      </c>
      <c r="F3" s="76" t="s">
        <v>27</v>
      </c>
      <c r="G3" s="62">
        <v>72</v>
      </c>
      <c r="H3" s="27">
        <f t="shared" si="0"/>
        <v>0.88888888888888884</v>
      </c>
      <c r="J3" s="26">
        <v>1</v>
      </c>
      <c r="K3" s="28">
        <v>-36.700000000000003</v>
      </c>
      <c r="M3" s="26" t="s">
        <v>202</v>
      </c>
      <c r="N3" s="57">
        <f t="shared" si="1"/>
        <v>-572.72727272727275</v>
      </c>
      <c r="O3" s="54">
        <v>-25200</v>
      </c>
      <c r="P3" s="49">
        <v>44</v>
      </c>
    </row>
    <row r="4" spans="1:16" x14ac:dyDescent="0.4">
      <c r="A4" s="70" t="s">
        <v>6</v>
      </c>
      <c r="B4" s="94">
        <v>175.29999999999995</v>
      </c>
      <c r="C4" s="95"/>
      <c r="E4" s="80" t="s">
        <v>69</v>
      </c>
      <c r="F4" s="76" t="s">
        <v>23</v>
      </c>
      <c r="G4" s="62">
        <v>50</v>
      </c>
      <c r="H4" s="27">
        <f t="shared" si="0"/>
        <v>0.61728395061728392</v>
      </c>
      <c r="J4" s="26">
        <v>2</v>
      </c>
      <c r="K4" s="28">
        <v>-45.300000000000004</v>
      </c>
      <c r="M4" s="26" t="s">
        <v>203</v>
      </c>
      <c r="N4" s="57">
        <f t="shared" si="1"/>
        <v>-340</v>
      </c>
      <c r="O4" s="54">
        <v>-13600</v>
      </c>
      <c r="P4" s="49">
        <v>40</v>
      </c>
    </row>
    <row r="5" spans="1:16" x14ac:dyDescent="0.4">
      <c r="A5" s="70" t="s">
        <v>7</v>
      </c>
      <c r="B5" s="94">
        <f>IF(B$2=0,0,B$4/B$2)</f>
        <v>3.5775510204081624</v>
      </c>
      <c r="C5" s="95"/>
      <c r="E5" s="80" t="s">
        <v>78</v>
      </c>
      <c r="F5" s="76" t="s">
        <v>31</v>
      </c>
      <c r="G5" s="62">
        <v>49</v>
      </c>
      <c r="H5" s="27">
        <f t="shared" si="0"/>
        <v>0.60493827160493829</v>
      </c>
      <c r="J5" s="26">
        <v>3</v>
      </c>
      <c r="K5" s="28">
        <v>-81.7</v>
      </c>
      <c r="M5" s="26" t="s">
        <v>204</v>
      </c>
      <c r="N5" s="57">
        <f t="shared" si="1"/>
        <v>-1340.5405405405406</v>
      </c>
      <c r="O5" s="54">
        <v>-49600</v>
      </c>
      <c r="P5" s="49">
        <v>37</v>
      </c>
    </row>
    <row r="6" spans="1:16" x14ac:dyDescent="0.4">
      <c r="A6" s="70" t="s">
        <v>1</v>
      </c>
      <c r="B6" s="96">
        <f>IF(B$2=0,0,(B$7*1+B$8*2+B$9*3)/B$2)</f>
        <v>1.9183673469387754</v>
      </c>
      <c r="C6" s="97"/>
      <c r="E6" s="80" t="s">
        <v>72</v>
      </c>
      <c r="F6" s="76" t="s">
        <v>26</v>
      </c>
      <c r="G6" s="62">
        <v>26</v>
      </c>
      <c r="H6" s="27">
        <f t="shared" si="0"/>
        <v>0.32098765432098764</v>
      </c>
      <c r="J6" s="26">
        <v>4</v>
      </c>
      <c r="K6" s="28">
        <v>-113.80000000000001</v>
      </c>
      <c r="M6" s="26" t="s">
        <v>205</v>
      </c>
      <c r="N6" s="57">
        <f t="shared" si="1"/>
        <v>1767.8571428571429</v>
      </c>
      <c r="O6" s="54">
        <v>49500</v>
      </c>
      <c r="P6" s="49">
        <v>28</v>
      </c>
    </row>
    <row r="7" spans="1:16" x14ac:dyDescent="0.4">
      <c r="A7" s="70" t="s">
        <v>2</v>
      </c>
      <c r="B7" s="62">
        <v>19</v>
      </c>
      <c r="C7" s="27">
        <f>IF(B$2=0,0,B7/B$2)</f>
        <v>0.38775510204081631</v>
      </c>
      <c r="E7" s="80" t="s">
        <v>74</v>
      </c>
      <c r="F7" s="76" t="s">
        <v>12</v>
      </c>
      <c r="G7" s="62">
        <v>25</v>
      </c>
      <c r="H7" s="27">
        <f t="shared" si="0"/>
        <v>0.30864197530864196</v>
      </c>
      <c r="J7" s="26">
        <v>5</v>
      </c>
      <c r="K7" s="28">
        <v>-135.80000000000001</v>
      </c>
      <c r="M7" s="31" t="s">
        <v>206</v>
      </c>
      <c r="N7" s="58">
        <f t="shared" si="1"/>
        <v>266.66666666666669</v>
      </c>
      <c r="O7" s="55">
        <v>6400</v>
      </c>
      <c r="P7" s="50">
        <v>24</v>
      </c>
    </row>
    <row r="8" spans="1:16" x14ac:dyDescent="0.4">
      <c r="A8" s="70" t="s">
        <v>3</v>
      </c>
      <c r="B8" s="62">
        <v>15</v>
      </c>
      <c r="C8" s="27">
        <f t="shared" ref="C8:C9" si="2">IF(B$2=0,0,B8/B$2)</f>
        <v>0.30612244897959184</v>
      </c>
      <c r="E8" s="80" t="s">
        <v>75</v>
      </c>
      <c r="F8" s="76" t="s">
        <v>28</v>
      </c>
      <c r="G8" s="62">
        <v>15</v>
      </c>
      <c r="H8" s="27">
        <f t="shared" si="0"/>
        <v>0.18518518518518517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15</v>
      </c>
      <c r="C9" s="29">
        <f t="shared" si="2"/>
        <v>0.30612244897959184</v>
      </c>
      <c r="E9" s="80" t="s">
        <v>70</v>
      </c>
      <c r="F9" s="76" t="s">
        <v>24</v>
      </c>
      <c r="G9" s="62">
        <v>12</v>
      </c>
      <c r="H9" s="27">
        <f t="shared" si="0"/>
        <v>0.14814814814814814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8</v>
      </c>
      <c r="C10" s="29">
        <f>IF(B$2=0,0,B10/B$2)</f>
        <v>0.16326530612244897</v>
      </c>
      <c r="E10" s="80" t="s">
        <v>96</v>
      </c>
      <c r="F10" s="76" t="s">
        <v>49</v>
      </c>
      <c r="G10" s="62">
        <v>11</v>
      </c>
      <c r="H10" s="27">
        <f t="shared" si="0"/>
        <v>0.13580246913580246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10</v>
      </c>
      <c r="C11" s="32">
        <f>IF(B$2=0,0,B11/B$2)</f>
        <v>0.20408163265306123</v>
      </c>
      <c r="E11" s="80" t="s">
        <v>76</v>
      </c>
      <c r="F11" s="76" t="s">
        <v>29</v>
      </c>
      <c r="G11" s="62">
        <v>6</v>
      </c>
      <c r="H11" s="27">
        <f t="shared" si="0"/>
        <v>7.407407407407407E-2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83</v>
      </c>
      <c r="C12" s="35">
        <f>IF(B$24=0,0,B12/B$24)</f>
        <v>0.34728033472803349</v>
      </c>
      <c r="E12" s="80" t="s">
        <v>77</v>
      </c>
      <c r="F12" s="76" t="s">
        <v>30</v>
      </c>
      <c r="G12" s="62">
        <v>6</v>
      </c>
      <c r="H12" s="27">
        <f t="shared" si="0"/>
        <v>7.407407407407407E-2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57</v>
      </c>
      <c r="C13" s="27">
        <f>IF(B$24=0,0,B13/B$24)</f>
        <v>0.2384937238493724</v>
      </c>
      <c r="E13" s="80" t="s">
        <v>93</v>
      </c>
      <c r="F13" s="76" t="s">
        <v>46</v>
      </c>
      <c r="G13" s="62">
        <v>5</v>
      </c>
      <c r="H13" s="27">
        <f t="shared" si="0"/>
        <v>6.1728395061728392E-2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51</v>
      </c>
      <c r="C14" s="24">
        <f>IF(B$12=0,0,B14/B$12)</f>
        <v>0.61445783132530118</v>
      </c>
      <c r="E14" s="80" t="s">
        <v>84</v>
      </c>
      <c r="F14" s="76" t="s">
        <v>37</v>
      </c>
      <c r="G14" s="62">
        <v>3</v>
      </c>
      <c r="H14" s="27">
        <f t="shared" si="0"/>
        <v>3.7037037037037035E-2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23</v>
      </c>
      <c r="C15" s="24">
        <f>IF(B$13=0,0,B15/B$13)</f>
        <v>0.40350877192982454</v>
      </c>
      <c r="E15" s="80" t="s">
        <v>88</v>
      </c>
      <c r="F15" s="76" t="s">
        <v>41</v>
      </c>
      <c r="G15" s="62">
        <v>2</v>
      </c>
      <c r="H15" s="27">
        <f t="shared" si="0"/>
        <v>2.4691358024691357E-2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119</v>
      </c>
      <c r="C16" s="24">
        <f>IF(B$3=0,0,B16/B$3)</f>
        <v>0.31989247311827956</v>
      </c>
      <c r="E16" s="80" t="s">
        <v>80</v>
      </c>
      <c r="F16" s="76" t="s">
        <v>33</v>
      </c>
      <c r="G16" s="62">
        <v>1</v>
      </c>
      <c r="H16" s="27">
        <f t="shared" si="0"/>
        <v>1.2345679012345678E-2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71</v>
      </c>
      <c r="C17" s="27">
        <f>IF(B$3=0,0,B17/B$3)</f>
        <v>0.19086021505376344</v>
      </c>
      <c r="E17" s="80" t="s">
        <v>90</v>
      </c>
      <c r="F17" s="76" t="s">
        <v>43</v>
      </c>
      <c r="G17" s="62">
        <v>1</v>
      </c>
      <c r="H17" s="27">
        <f t="shared" si="0"/>
        <v>1.2345679012345678E-2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48</v>
      </c>
      <c r="C18" s="27">
        <f>IF(B$3=0,0,B18/B$3)</f>
        <v>0.12903225806451613</v>
      </c>
      <c r="E18" s="80" t="s">
        <v>98</v>
      </c>
      <c r="F18" s="76" t="s">
        <v>51</v>
      </c>
      <c r="G18" s="62">
        <v>1</v>
      </c>
      <c r="H18" s="27">
        <f t="shared" si="0"/>
        <v>1.2345679012345678E-2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60</v>
      </c>
      <c r="C19" s="27">
        <f>IF(B$3=0,0,B19/B$3)</f>
        <v>0.16129032258064516</v>
      </c>
      <c r="E19" s="80" t="s">
        <v>91</v>
      </c>
      <c r="F19" s="76" t="s">
        <v>44</v>
      </c>
      <c r="G19" s="62">
        <v>1</v>
      </c>
      <c r="H19" s="27">
        <f t="shared" si="0"/>
        <v>1.2345679012345678E-2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10842.857142857143</v>
      </c>
      <c r="C20" s="30">
        <v>1290300</v>
      </c>
      <c r="E20" s="80" t="s">
        <v>79</v>
      </c>
      <c r="F20" s="76" t="s">
        <v>32</v>
      </c>
      <c r="G20" s="62">
        <v>0</v>
      </c>
      <c r="H20" s="27">
        <f t="shared" si="0"/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-9886.6666666666661</v>
      </c>
      <c r="C21" s="60">
        <v>-593200</v>
      </c>
      <c r="E21" s="80" t="s">
        <v>81</v>
      </c>
      <c r="F21" s="76" t="s">
        <v>34</v>
      </c>
      <c r="G21" s="62">
        <v>0</v>
      </c>
      <c r="H21" s="27">
        <f t="shared" si="0"/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137</v>
      </c>
      <c r="C22" s="24">
        <f>IF(B$3=0,0,B22/B$3)</f>
        <v>0.36827956989247312</v>
      </c>
      <c r="E22" s="80" t="s">
        <v>82</v>
      </c>
      <c r="F22" s="76" t="s">
        <v>35</v>
      </c>
      <c r="G22" s="62">
        <v>0</v>
      </c>
      <c r="H22" s="27">
        <f t="shared" si="0"/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56</v>
      </c>
      <c r="C23" s="32">
        <f>IF(B$22=0,0,B23/B$22)</f>
        <v>0.40875912408759124</v>
      </c>
      <c r="E23" s="80" t="s">
        <v>83</v>
      </c>
      <c r="F23" s="76" t="s">
        <v>36</v>
      </c>
      <c r="G23" s="62">
        <v>0</v>
      </c>
      <c r="H23" s="27">
        <f t="shared" si="0"/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6">
        <v>239</v>
      </c>
      <c r="C24" s="87"/>
      <c r="E24" s="80" t="s">
        <v>85</v>
      </c>
      <c r="F24" s="76" t="s">
        <v>38</v>
      </c>
      <c r="G24" s="62">
        <v>0</v>
      </c>
      <c r="H24" s="27">
        <f t="shared" si="0"/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88">
        <v>81</v>
      </c>
      <c r="C25" s="89"/>
      <c r="E25" s="80" t="s">
        <v>86</v>
      </c>
      <c r="F25" s="76" t="s">
        <v>39</v>
      </c>
      <c r="G25" s="62">
        <v>0</v>
      </c>
      <c r="H25" s="27">
        <f t="shared" si="0"/>
        <v>0</v>
      </c>
      <c r="J25" s="26">
        <v>23</v>
      </c>
      <c r="K25" s="28">
        <v>155.49999999999997</v>
      </c>
    </row>
    <row r="26" spans="1:11" x14ac:dyDescent="0.4">
      <c r="E26" s="80" t="s">
        <v>87</v>
      </c>
      <c r="F26" s="76" t="s">
        <v>40</v>
      </c>
      <c r="G26" s="62">
        <v>0</v>
      </c>
      <c r="H26" s="27">
        <f t="shared" si="0"/>
        <v>0</v>
      </c>
      <c r="J26" s="26">
        <v>24</v>
      </c>
      <c r="K26" s="28">
        <v>154.09999999999997</v>
      </c>
    </row>
    <row r="27" spans="1:11" x14ac:dyDescent="0.4">
      <c r="E27" s="80" t="s">
        <v>89</v>
      </c>
      <c r="F27" s="76" t="s">
        <v>42</v>
      </c>
      <c r="G27" s="62">
        <v>0</v>
      </c>
      <c r="H27" s="27">
        <f t="shared" si="0"/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 t="shared" si="0"/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 t="shared" si="0"/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 t="shared" si="0"/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 t="shared" si="0"/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  <c r="J47" s="26">
        <v>45</v>
      </c>
      <c r="K47" s="28">
        <v>145.39999999999995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  <c r="J48" s="26">
        <v>46</v>
      </c>
      <c r="K48" s="28">
        <v>190.29999999999995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  <c r="J49" s="26">
        <v>47</v>
      </c>
      <c r="K49" s="28">
        <v>200.19999999999996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  <c r="J50" s="26">
        <v>48</v>
      </c>
      <c r="K50" s="28">
        <v>180.19999999999996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  <c r="J51" s="26">
        <v>49</v>
      </c>
      <c r="K51" s="28">
        <v>175.29999999999995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ECA0-CB4A-40CF-9F6F-CBCA3E805834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195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12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2">
        <v>82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J3" s="26">
        <v>1</v>
      </c>
      <c r="K3" s="28">
        <v>-14.4</v>
      </c>
      <c r="M3" s="26" t="s">
        <v>202</v>
      </c>
      <c r="N3" s="57">
        <f t="shared" si="1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4">
        <v>80.800000000000011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J4" s="26">
        <v>2</v>
      </c>
      <c r="K4" s="28">
        <v>37.6</v>
      </c>
      <c r="M4" s="26" t="s">
        <v>203</v>
      </c>
      <c r="N4" s="57">
        <f t="shared" si="1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4">
        <f>IF(B$2=0,0,B$4/B$2)</f>
        <v>6.7333333333333343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J5" s="26">
        <v>3</v>
      </c>
      <c r="K5" s="28">
        <v>-2.7999999999999972</v>
      </c>
      <c r="M5" s="26" t="s">
        <v>204</v>
      </c>
      <c r="N5" s="57">
        <f t="shared" si="1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6">
        <f>IF(B$2=0,0,(B$7*1+B$8*2+B$9*3)/B$2)</f>
        <v>1.75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J6" s="26">
        <v>4</v>
      </c>
      <c r="K6" s="28">
        <v>-44.3</v>
      </c>
      <c r="M6" s="26" t="s">
        <v>205</v>
      </c>
      <c r="N6" s="57">
        <f t="shared" si="1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J7" s="26">
        <v>5</v>
      </c>
      <c r="K7" s="28">
        <v>8.2000000000000028</v>
      </c>
      <c r="M7" s="31" t="s">
        <v>206</v>
      </c>
      <c r="N7" s="58">
        <f t="shared" si="1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2">IF(B$2=0,0,B8/B$2)</f>
        <v>0.25</v>
      </c>
      <c r="E8" s="80" t="s">
        <v>75</v>
      </c>
      <c r="F8" s="76" t="s">
        <v>28</v>
      </c>
      <c r="G8" s="62">
        <v>0</v>
      </c>
      <c r="H8" s="27">
        <f t="shared" si="0"/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2"/>
        <v>0.25</v>
      </c>
      <c r="E9" s="80" t="s">
        <v>76</v>
      </c>
      <c r="F9" s="76" t="s">
        <v>29</v>
      </c>
      <c r="G9" s="62">
        <v>0</v>
      </c>
      <c r="H9" s="27">
        <f t="shared" si="0"/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 t="shared" si="0"/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 t="shared" si="0"/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F694A-05A4-4A6A-BF57-932938B4CEC0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196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39</v>
      </c>
      <c r="C2" s="87"/>
      <c r="E2" s="79" t="s">
        <v>73</v>
      </c>
      <c r="F2" s="75" t="s">
        <v>27</v>
      </c>
      <c r="G2" s="61">
        <v>63</v>
      </c>
      <c r="H2" s="24">
        <f t="shared" ref="H2:H33" si="0">IF(B$25=0,0,G2/B$25)</f>
        <v>0.92647058823529416</v>
      </c>
      <c r="J2" s="23">
        <v>0</v>
      </c>
      <c r="K2" s="25">
        <v>0</v>
      </c>
      <c r="M2" s="23" t="s">
        <v>201</v>
      </c>
      <c r="N2" s="56">
        <f t="shared" ref="N2:N7" si="1">IF(P2=0,0,O2/P2)</f>
        <v>-4862.8571428571431</v>
      </c>
      <c r="O2" s="53">
        <v>-170200</v>
      </c>
      <c r="P2" s="51">
        <v>35</v>
      </c>
    </row>
    <row r="3" spans="1:16" x14ac:dyDescent="0.4">
      <c r="A3" s="70" t="s">
        <v>8</v>
      </c>
      <c r="B3" s="92">
        <v>293</v>
      </c>
      <c r="C3" s="93"/>
      <c r="E3" s="80" t="s">
        <v>78</v>
      </c>
      <c r="F3" s="76" t="s">
        <v>31</v>
      </c>
      <c r="G3" s="62">
        <v>52</v>
      </c>
      <c r="H3" s="27">
        <f t="shared" si="0"/>
        <v>0.76470588235294112</v>
      </c>
      <c r="J3" s="26">
        <v>1</v>
      </c>
      <c r="K3" s="28">
        <v>3.9</v>
      </c>
      <c r="M3" s="26" t="s">
        <v>202</v>
      </c>
      <c r="N3" s="57">
        <f t="shared" si="1"/>
        <v>-1665.7142857142858</v>
      </c>
      <c r="O3" s="54">
        <v>-58300</v>
      </c>
      <c r="P3" s="49">
        <v>35</v>
      </c>
    </row>
    <row r="4" spans="1:16" x14ac:dyDescent="0.4">
      <c r="A4" s="70" t="s">
        <v>6</v>
      </c>
      <c r="B4" s="94">
        <v>-360.49999999999989</v>
      </c>
      <c r="C4" s="95"/>
      <c r="E4" s="80" t="s">
        <v>71</v>
      </c>
      <c r="F4" s="76" t="s">
        <v>25</v>
      </c>
      <c r="G4" s="62">
        <v>48</v>
      </c>
      <c r="H4" s="27">
        <f t="shared" si="0"/>
        <v>0.70588235294117652</v>
      </c>
      <c r="J4" s="26">
        <v>2</v>
      </c>
      <c r="K4" s="28">
        <v>-33.9</v>
      </c>
      <c r="M4" s="26" t="s">
        <v>203</v>
      </c>
      <c r="N4" s="57">
        <f t="shared" si="1"/>
        <v>-1182.3529411764705</v>
      </c>
      <c r="O4" s="54">
        <v>-40200</v>
      </c>
      <c r="P4" s="49">
        <v>34</v>
      </c>
    </row>
    <row r="5" spans="1:16" x14ac:dyDescent="0.4">
      <c r="A5" s="70" t="s">
        <v>7</v>
      </c>
      <c r="B5" s="94">
        <f>IF(B$2=0,0,B$4/B$2)</f>
        <v>-9.2435897435897409</v>
      </c>
      <c r="C5" s="95"/>
      <c r="E5" s="80" t="s">
        <v>69</v>
      </c>
      <c r="F5" s="76" t="s">
        <v>23</v>
      </c>
      <c r="G5" s="62">
        <v>41</v>
      </c>
      <c r="H5" s="27">
        <f t="shared" si="0"/>
        <v>0.6029411764705882</v>
      </c>
      <c r="J5" s="26">
        <v>3</v>
      </c>
      <c r="K5" s="28">
        <v>-70.099999999999994</v>
      </c>
      <c r="M5" s="26" t="s">
        <v>204</v>
      </c>
      <c r="N5" s="57">
        <f t="shared" si="1"/>
        <v>-150</v>
      </c>
      <c r="O5" s="54">
        <v>-4800</v>
      </c>
      <c r="P5" s="49">
        <v>32</v>
      </c>
    </row>
    <row r="6" spans="1:16" x14ac:dyDescent="0.4">
      <c r="A6" s="70" t="s">
        <v>1</v>
      </c>
      <c r="B6" s="96">
        <f>IF(B$2=0,0,(B$7*1+B$8*2+B$9*3)/B$2)</f>
        <v>2.2564102564102564</v>
      </c>
      <c r="C6" s="97"/>
      <c r="E6" s="80" t="s">
        <v>72</v>
      </c>
      <c r="F6" s="76" t="s">
        <v>26</v>
      </c>
      <c r="G6" s="62">
        <v>33</v>
      </c>
      <c r="H6" s="27">
        <f t="shared" si="0"/>
        <v>0.48529411764705882</v>
      </c>
      <c r="J6" s="26">
        <v>4</v>
      </c>
      <c r="K6" s="28">
        <v>-35.099999999999994</v>
      </c>
      <c r="M6" s="26" t="s">
        <v>205</v>
      </c>
      <c r="N6" s="57">
        <f t="shared" si="1"/>
        <v>-2389.2857142857142</v>
      </c>
      <c r="O6" s="54">
        <v>-66900</v>
      </c>
      <c r="P6" s="49">
        <v>28</v>
      </c>
    </row>
    <row r="7" spans="1:16" x14ac:dyDescent="0.4">
      <c r="A7" s="70" t="s">
        <v>2</v>
      </c>
      <c r="B7" s="62">
        <v>10</v>
      </c>
      <c r="C7" s="27">
        <f>IF(B$2=0,0,B7/B$2)</f>
        <v>0.25641025641025639</v>
      </c>
      <c r="E7" s="80" t="s">
        <v>74</v>
      </c>
      <c r="F7" s="76" t="s">
        <v>12</v>
      </c>
      <c r="G7" s="62">
        <v>25</v>
      </c>
      <c r="H7" s="27">
        <f t="shared" si="0"/>
        <v>0.36764705882352944</v>
      </c>
      <c r="J7" s="26">
        <v>5</v>
      </c>
      <c r="K7" s="28">
        <v>-80.099999999999994</v>
      </c>
      <c r="M7" s="31" t="s">
        <v>206</v>
      </c>
      <c r="N7" s="58">
        <f t="shared" si="1"/>
        <v>4852.6315789473683</v>
      </c>
      <c r="O7" s="55">
        <v>92200</v>
      </c>
      <c r="P7" s="50">
        <v>19</v>
      </c>
    </row>
    <row r="8" spans="1:16" x14ac:dyDescent="0.4">
      <c r="A8" s="70" t="s">
        <v>3</v>
      </c>
      <c r="B8" s="62">
        <v>9</v>
      </c>
      <c r="C8" s="27">
        <f t="shared" ref="C8:C9" si="2">IF(B$2=0,0,B8/B$2)</f>
        <v>0.23076923076923078</v>
      </c>
      <c r="E8" s="80" t="s">
        <v>96</v>
      </c>
      <c r="F8" s="76" t="s">
        <v>49</v>
      </c>
      <c r="G8" s="62">
        <v>14</v>
      </c>
      <c r="H8" s="27">
        <f t="shared" si="0"/>
        <v>0.20588235294117646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20</v>
      </c>
      <c r="C9" s="29">
        <f t="shared" si="2"/>
        <v>0.51282051282051277</v>
      </c>
      <c r="E9" s="80" t="s">
        <v>75</v>
      </c>
      <c r="F9" s="76" t="s">
        <v>28</v>
      </c>
      <c r="G9" s="62">
        <v>11</v>
      </c>
      <c r="H9" s="27">
        <f t="shared" si="0"/>
        <v>0.16176470588235295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11</v>
      </c>
      <c r="C10" s="29">
        <f>IF(B$2=0,0,B10/B$2)</f>
        <v>0.28205128205128205</v>
      </c>
      <c r="E10" s="80" t="s">
        <v>76</v>
      </c>
      <c r="F10" s="76" t="s">
        <v>29</v>
      </c>
      <c r="G10" s="62">
        <v>8</v>
      </c>
      <c r="H10" s="27">
        <f t="shared" si="0"/>
        <v>0.11764705882352941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0.10256410256410256</v>
      </c>
      <c r="E11" s="80" t="s">
        <v>84</v>
      </c>
      <c r="F11" s="76" t="s">
        <v>37</v>
      </c>
      <c r="G11" s="62">
        <v>6</v>
      </c>
      <c r="H11" s="27">
        <f t="shared" si="0"/>
        <v>8.8235294117647065E-2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70</v>
      </c>
      <c r="C12" s="35">
        <f>IF(B$24=0,0,B12/B$24)</f>
        <v>0.2734375</v>
      </c>
      <c r="E12" s="80" t="s">
        <v>70</v>
      </c>
      <c r="F12" s="76" t="s">
        <v>24</v>
      </c>
      <c r="G12" s="62">
        <v>5</v>
      </c>
      <c r="H12" s="27">
        <f t="shared" si="0"/>
        <v>7.3529411764705885E-2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53</v>
      </c>
      <c r="C13" s="27">
        <f>IF(B$24=0,0,B13/B$24)</f>
        <v>0.20703125</v>
      </c>
      <c r="E13" s="80" t="s">
        <v>93</v>
      </c>
      <c r="F13" s="76" t="s">
        <v>46</v>
      </c>
      <c r="G13" s="62">
        <v>4</v>
      </c>
      <c r="H13" s="27">
        <f t="shared" si="0"/>
        <v>5.8823529411764705E-2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42</v>
      </c>
      <c r="C14" s="24">
        <f>IF(B$12=0,0,B14/B$12)</f>
        <v>0.6</v>
      </c>
      <c r="E14" s="80" t="s">
        <v>90</v>
      </c>
      <c r="F14" s="76" t="s">
        <v>43</v>
      </c>
      <c r="G14" s="62">
        <v>3</v>
      </c>
      <c r="H14" s="27">
        <f t="shared" si="0"/>
        <v>4.4117647058823532E-2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18</v>
      </c>
      <c r="C15" s="24">
        <f>IF(B$13=0,0,B15/B$13)</f>
        <v>0.33962264150943394</v>
      </c>
      <c r="E15" s="80" t="s">
        <v>77</v>
      </c>
      <c r="F15" s="76" t="s">
        <v>30</v>
      </c>
      <c r="G15" s="62">
        <v>2</v>
      </c>
      <c r="H15" s="27">
        <f t="shared" si="0"/>
        <v>2.9411764705882353E-2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78</v>
      </c>
      <c r="C16" s="24">
        <f>IF(B$3=0,0,B16/B$3)</f>
        <v>0.26621160409556316</v>
      </c>
      <c r="E16" s="80" t="s">
        <v>79</v>
      </c>
      <c r="F16" s="76" t="s">
        <v>32</v>
      </c>
      <c r="G16" s="62">
        <v>2</v>
      </c>
      <c r="H16" s="27">
        <f t="shared" si="0"/>
        <v>2.9411764705882353E-2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42</v>
      </c>
      <c r="C17" s="27">
        <f>IF(B$3=0,0,B17/B$3)</f>
        <v>0.14334470989761092</v>
      </c>
      <c r="E17" s="80" t="s">
        <v>88</v>
      </c>
      <c r="F17" s="76" t="s">
        <v>41</v>
      </c>
      <c r="G17" s="62">
        <v>2</v>
      </c>
      <c r="H17" s="27">
        <f t="shared" si="0"/>
        <v>2.9411764705882353E-2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36</v>
      </c>
      <c r="C18" s="27">
        <f>IF(B$3=0,0,B18/B$3)</f>
        <v>0.12286689419795221</v>
      </c>
      <c r="E18" s="80" t="s">
        <v>81</v>
      </c>
      <c r="F18" s="76" t="s">
        <v>34</v>
      </c>
      <c r="G18" s="62">
        <v>1</v>
      </c>
      <c r="H18" s="27">
        <f t="shared" si="0"/>
        <v>1.4705882352941176E-2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73</v>
      </c>
      <c r="C19" s="27">
        <f>IF(B$3=0,0,B19/B$3)</f>
        <v>0.24914675767918087</v>
      </c>
      <c r="E19" s="80" t="s">
        <v>85</v>
      </c>
      <c r="F19" s="76" t="s">
        <v>38</v>
      </c>
      <c r="G19" s="62">
        <v>1</v>
      </c>
      <c r="H19" s="27">
        <f t="shared" si="0"/>
        <v>1.4705882352941176E-2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11458.974358974359</v>
      </c>
      <c r="C20" s="30">
        <v>893800</v>
      </c>
      <c r="E20" s="80" t="s">
        <v>91</v>
      </c>
      <c r="F20" s="76" t="s">
        <v>44</v>
      </c>
      <c r="G20" s="62">
        <v>1</v>
      </c>
      <c r="H20" s="27">
        <f t="shared" si="0"/>
        <v>1.4705882352941176E-2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-9995.8904109589039</v>
      </c>
      <c r="C21" s="60">
        <v>-729700</v>
      </c>
      <c r="E21" s="80" t="s">
        <v>100</v>
      </c>
      <c r="F21" s="76" t="s">
        <v>53</v>
      </c>
      <c r="G21" s="62">
        <v>1</v>
      </c>
      <c r="H21" s="27">
        <f t="shared" si="0"/>
        <v>1.4705882352941176E-2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88</v>
      </c>
      <c r="C22" s="24">
        <f>IF(B$3=0,0,B22/B$3)</f>
        <v>0.30034129692832767</v>
      </c>
      <c r="E22" s="80" t="s">
        <v>80</v>
      </c>
      <c r="F22" s="76" t="s">
        <v>33</v>
      </c>
      <c r="G22" s="62">
        <v>0</v>
      </c>
      <c r="H22" s="27">
        <f t="shared" si="0"/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28</v>
      </c>
      <c r="C23" s="32">
        <f>IF(B$22=0,0,B23/B$22)</f>
        <v>0.31818181818181818</v>
      </c>
      <c r="E23" s="80" t="s">
        <v>82</v>
      </c>
      <c r="F23" s="76" t="s">
        <v>35</v>
      </c>
      <c r="G23" s="62">
        <v>0</v>
      </c>
      <c r="H23" s="27">
        <f t="shared" si="0"/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6">
        <v>256</v>
      </c>
      <c r="C24" s="87"/>
      <c r="E24" s="80" t="s">
        <v>83</v>
      </c>
      <c r="F24" s="76" t="s">
        <v>36</v>
      </c>
      <c r="G24" s="62">
        <v>0</v>
      </c>
      <c r="H24" s="27">
        <f t="shared" si="0"/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88">
        <v>68</v>
      </c>
      <c r="C25" s="89"/>
      <c r="E25" s="80" t="s">
        <v>86</v>
      </c>
      <c r="F25" s="76" t="s">
        <v>39</v>
      </c>
      <c r="G25" s="62">
        <v>0</v>
      </c>
      <c r="H25" s="27">
        <f t="shared" si="0"/>
        <v>0</v>
      </c>
      <c r="J25" s="26">
        <v>23</v>
      </c>
      <c r="K25" s="28">
        <v>-200.9</v>
      </c>
    </row>
    <row r="26" spans="1:11" x14ac:dyDescent="0.4">
      <c r="E26" s="80" t="s">
        <v>87</v>
      </c>
      <c r="F26" s="76" t="s">
        <v>40</v>
      </c>
      <c r="G26" s="62">
        <v>0</v>
      </c>
      <c r="H26" s="27">
        <f t="shared" si="0"/>
        <v>0</v>
      </c>
      <c r="J26" s="26">
        <v>24</v>
      </c>
      <c r="K26" s="28">
        <v>-168.2</v>
      </c>
    </row>
    <row r="27" spans="1:11" x14ac:dyDescent="0.4">
      <c r="E27" s="80" t="s">
        <v>89</v>
      </c>
      <c r="F27" s="76" t="s">
        <v>42</v>
      </c>
      <c r="G27" s="62">
        <v>0</v>
      </c>
      <c r="H27" s="27">
        <f t="shared" si="0"/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 t="shared" si="0"/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 t="shared" si="0"/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 t="shared" si="0"/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 t="shared" si="0"/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 t="shared" si="0"/>
        <v>0</v>
      </c>
      <c r="J32" s="26">
        <v>30</v>
      </c>
      <c r="K32" s="28">
        <v>-257.29999999999995</v>
      </c>
    </row>
    <row r="33" spans="5:11" x14ac:dyDescent="0.4">
      <c r="E33" s="80" t="s">
        <v>99</v>
      </c>
      <c r="F33" s="76" t="s">
        <v>52</v>
      </c>
      <c r="G33" s="62">
        <v>0</v>
      </c>
      <c r="H33" s="27">
        <f t="shared" si="0"/>
        <v>0</v>
      </c>
      <c r="J33" s="26">
        <v>31</v>
      </c>
      <c r="K33" s="28">
        <v>-265.39999999999998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  <c r="J34" s="26">
        <v>32</v>
      </c>
      <c r="K34" s="28">
        <v>-283.89999999999998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  <c r="J35" s="26">
        <v>33</v>
      </c>
      <c r="K35" s="28">
        <v>-291.29999999999995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  <c r="J36" s="26">
        <v>34</v>
      </c>
      <c r="K36" s="28">
        <v>-301.69999999999993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  <c r="J37" s="26">
        <v>35</v>
      </c>
      <c r="K37" s="28">
        <v>-339.69999999999993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  <c r="J38" s="26">
        <v>36</v>
      </c>
      <c r="K38" s="28">
        <v>-328.09999999999991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  <c r="J39" s="26">
        <v>37</v>
      </c>
      <c r="K39" s="28">
        <v>-371.59999999999991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  <c r="J40" s="26">
        <v>38</v>
      </c>
      <c r="K40" s="28">
        <v>-380.09999999999991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  <c r="J41" s="26">
        <v>39</v>
      </c>
      <c r="K41" s="28">
        <v>-360.49999999999989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EC60-A268-430B-9238-78EBE6087FF2}">
  <sheetPr codeName="Sheet14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220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5</v>
      </c>
      <c r="C2" s="87"/>
      <c r="E2" s="79" t="s">
        <v>73</v>
      </c>
      <c r="F2" s="75" t="s">
        <v>27</v>
      </c>
      <c r="G2" s="61">
        <v>12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1">IF(P2=0,0,O2/P2)</f>
        <v>9780</v>
      </c>
      <c r="O2" s="53">
        <v>48900</v>
      </c>
      <c r="P2" s="51">
        <v>5</v>
      </c>
    </row>
    <row r="3" spans="1:16" x14ac:dyDescent="0.4">
      <c r="A3" s="70" t="s">
        <v>8</v>
      </c>
      <c r="B3" s="92">
        <v>46</v>
      </c>
      <c r="C3" s="93"/>
      <c r="E3" s="80" t="s">
        <v>71</v>
      </c>
      <c r="F3" s="76" t="s">
        <v>25</v>
      </c>
      <c r="G3" s="62">
        <v>12</v>
      </c>
      <c r="H3" s="27">
        <f t="shared" si="0"/>
        <v>0.66666666666666663</v>
      </c>
      <c r="J3" s="26">
        <v>1</v>
      </c>
      <c r="K3" s="28">
        <v>28.3</v>
      </c>
      <c r="M3" s="26" t="s">
        <v>202</v>
      </c>
      <c r="N3" s="57">
        <f t="shared" si="1"/>
        <v>-4740</v>
      </c>
      <c r="O3" s="54">
        <v>-23700</v>
      </c>
      <c r="P3" s="49">
        <v>5</v>
      </c>
    </row>
    <row r="4" spans="1:16" x14ac:dyDescent="0.4">
      <c r="A4" s="70" t="s">
        <v>6</v>
      </c>
      <c r="B4" s="94">
        <v>89</v>
      </c>
      <c r="C4" s="95"/>
      <c r="E4" s="80" t="s">
        <v>69</v>
      </c>
      <c r="F4" s="76" t="s">
        <v>23</v>
      </c>
      <c r="G4" s="62">
        <v>11</v>
      </c>
      <c r="H4" s="27">
        <f t="shared" si="0"/>
        <v>0.61111111111111116</v>
      </c>
      <c r="J4" s="26">
        <v>2</v>
      </c>
      <c r="K4" s="28">
        <v>71.3</v>
      </c>
      <c r="M4" s="26" t="s">
        <v>203</v>
      </c>
      <c r="N4" s="57">
        <f t="shared" si="1"/>
        <v>3000</v>
      </c>
      <c r="O4" s="54">
        <v>15000</v>
      </c>
      <c r="P4" s="49">
        <v>5</v>
      </c>
    </row>
    <row r="5" spans="1:16" x14ac:dyDescent="0.4">
      <c r="A5" s="70" t="s">
        <v>7</v>
      </c>
      <c r="B5" s="94">
        <f>IF(B$2=0,0,B$4/B$2)</f>
        <v>17.8</v>
      </c>
      <c r="C5" s="95"/>
      <c r="E5" s="80" t="s">
        <v>78</v>
      </c>
      <c r="F5" s="76" t="s">
        <v>31</v>
      </c>
      <c r="G5" s="62">
        <v>10</v>
      </c>
      <c r="H5" s="27">
        <f t="shared" si="0"/>
        <v>0.55555555555555558</v>
      </c>
      <c r="J5" s="26">
        <v>3</v>
      </c>
      <c r="K5" s="28">
        <v>57.3</v>
      </c>
      <c r="M5" s="26" t="s">
        <v>204</v>
      </c>
      <c r="N5" s="57">
        <f t="shared" si="1"/>
        <v>10700</v>
      </c>
      <c r="O5" s="54">
        <v>42800</v>
      </c>
      <c r="P5" s="49">
        <v>4</v>
      </c>
    </row>
    <row r="6" spans="1:16" x14ac:dyDescent="0.4">
      <c r="A6" s="70" t="s">
        <v>1</v>
      </c>
      <c r="B6" s="96">
        <f>IF(B$2=0,0,(B$7*1+B$8*2+B$9*3)/B$2)</f>
        <v>1.6</v>
      </c>
      <c r="C6" s="97"/>
      <c r="E6" s="80" t="s">
        <v>72</v>
      </c>
      <c r="F6" s="76" t="s">
        <v>26</v>
      </c>
      <c r="G6" s="62">
        <v>6</v>
      </c>
      <c r="H6" s="27">
        <f t="shared" si="0"/>
        <v>0.33333333333333331</v>
      </c>
      <c r="J6" s="26">
        <v>4</v>
      </c>
      <c r="K6" s="28">
        <v>64.5</v>
      </c>
      <c r="M6" s="26" t="s">
        <v>205</v>
      </c>
      <c r="N6" s="57">
        <f t="shared" si="1"/>
        <v>-1000</v>
      </c>
      <c r="O6" s="54">
        <v>-4000</v>
      </c>
      <c r="P6" s="49">
        <v>4</v>
      </c>
    </row>
    <row r="7" spans="1:16" x14ac:dyDescent="0.4">
      <c r="A7" s="70" t="s">
        <v>2</v>
      </c>
      <c r="B7" s="62">
        <v>3</v>
      </c>
      <c r="C7" s="27">
        <f>IF(B$2=0,0,B7/B$2)</f>
        <v>0.6</v>
      </c>
      <c r="E7" s="80" t="s">
        <v>76</v>
      </c>
      <c r="F7" s="76" t="s">
        <v>29</v>
      </c>
      <c r="G7" s="62">
        <v>4</v>
      </c>
      <c r="H7" s="27">
        <f t="shared" si="0"/>
        <v>0.22222222222222221</v>
      </c>
      <c r="J7" s="26">
        <v>5</v>
      </c>
      <c r="K7" s="28">
        <v>89</v>
      </c>
      <c r="M7" s="31" t="s">
        <v>206</v>
      </c>
      <c r="N7" s="58">
        <f t="shared" si="1"/>
        <v>2500</v>
      </c>
      <c r="O7" s="55">
        <v>10000</v>
      </c>
      <c r="P7" s="50">
        <v>4</v>
      </c>
    </row>
    <row r="8" spans="1:16" x14ac:dyDescent="0.4">
      <c r="A8" s="70" t="s">
        <v>3</v>
      </c>
      <c r="B8" s="62">
        <v>1</v>
      </c>
      <c r="C8" s="27">
        <f t="shared" ref="C8:C9" si="2">IF(B$2=0,0,B8/B$2)</f>
        <v>0.2</v>
      </c>
      <c r="E8" s="80" t="s">
        <v>75</v>
      </c>
      <c r="F8" s="76" t="s">
        <v>28</v>
      </c>
      <c r="G8" s="62">
        <v>3</v>
      </c>
      <c r="H8" s="27">
        <f t="shared" si="0"/>
        <v>0.16666666666666666</v>
      </c>
    </row>
    <row r="9" spans="1:16" x14ac:dyDescent="0.4">
      <c r="A9" s="71" t="s">
        <v>4</v>
      </c>
      <c r="B9" s="63">
        <v>1</v>
      </c>
      <c r="C9" s="29">
        <f t="shared" si="2"/>
        <v>0.2</v>
      </c>
      <c r="E9" s="80" t="s">
        <v>93</v>
      </c>
      <c r="F9" s="76" t="s">
        <v>46</v>
      </c>
      <c r="G9" s="62">
        <v>3</v>
      </c>
      <c r="H9" s="27">
        <f t="shared" si="0"/>
        <v>0.16666666666666666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96</v>
      </c>
      <c r="F10" s="76" t="s">
        <v>49</v>
      </c>
      <c r="G10" s="62">
        <v>3</v>
      </c>
      <c r="H10" s="27">
        <f t="shared" si="0"/>
        <v>0.16666666666666666</v>
      </c>
    </row>
    <row r="11" spans="1:16" x14ac:dyDescent="0.4">
      <c r="A11" s="72" t="s">
        <v>211</v>
      </c>
      <c r="B11" s="64">
        <v>1</v>
      </c>
      <c r="C11" s="32">
        <f>IF(B$2=0,0,B11/B$2)</f>
        <v>0.2</v>
      </c>
      <c r="E11" s="80" t="s">
        <v>74</v>
      </c>
      <c r="F11" s="76" t="s">
        <v>12</v>
      </c>
      <c r="G11" s="62">
        <v>3</v>
      </c>
      <c r="H11" s="27">
        <f t="shared" si="0"/>
        <v>0.16666666666666666</v>
      </c>
    </row>
    <row r="12" spans="1:16" x14ac:dyDescent="0.4">
      <c r="A12" s="73" t="s">
        <v>130</v>
      </c>
      <c r="B12" s="65">
        <v>20</v>
      </c>
      <c r="C12" s="35">
        <f>IF(B$24=0,0,B12/B$24)</f>
        <v>0.43478260869565216</v>
      </c>
      <c r="E12" s="80" t="s">
        <v>70</v>
      </c>
      <c r="F12" s="76" t="s">
        <v>24</v>
      </c>
      <c r="G12" s="62">
        <v>2</v>
      </c>
      <c r="H12" s="27">
        <f t="shared" si="0"/>
        <v>0.1111111111111111</v>
      </c>
    </row>
    <row r="13" spans="1:16" x14ac:dyDescent="0.4">
      <c r="A13" s="70" t="s">
        <v>125</v>
      </c>
      <c r="B13" s="62">
        <v>6</v>
      </c>
      <c r="C13" s="27">
        <f>IF(B$24=0,0,B13/B$24)</f>
        <v>0.13043478260869565</v>
      </c>
      <c r="E13" s="80" t="s">
        <v>77</v>
      </c>
      <c r="F13" s="76" t="s">
        <v>30</v>
      </c>
      <c r="G13" s="62">
        <v>1</v>
      </c>
      <c r="H13" s="27">
        <f t="shared" si="0"/>
        <v>5.5555555555555552E-2</v>
      </c>
    </row>
    <row r="14" spans="1:16" x14ac:dyDescent="0.4">
      <c r="A14" s="69" t="s">
        <v>132</v>
      </c>
      <c r="B14" s="61">
        <v>12</v>
      </c>
      <c r="C14" s="24">
        <f>IF(B$12=0,0,B14/B$12)</f>
        <v>0.6</v>
      </c>
      <c r="E14" s="80" t="s">
        <v>98</v>
      </c>
      <c r="F14" s="76" t="s">
        <v>51</v>
      </c>
      <c r="G14" s="62">
        <v>1</v>
      </c>
      <c r="H14" s="27">
        <f t="shared" si="0"/>
        <v>5.5555555555555552E-2</v>
      </c>
    </row>
    <row r="15" spans="1:16" x14ac:dyDescent="0.4">
      <c r="A15" s="69" t="s">
        <v>133</v>
      </c>
      <c r="B15" s="61">
        <v>3</v>
      </c>
      <c r="C15" s="24">
        <f>IF(B$13=0,0,B15/B$13)</f>
        <v>0.5</v>
      </c>
      <c r="E15" s="80" t="s">
        <v>79</v>
      </c>
      <c r="F15" s="76" t="s">
        <v>32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18</v>
      </c>
      <c r="C16" s="24">
        <f>IF(B$3=0,0,B16/B$3)</f>
        <v>0.39130434782608697</v>
      </c>
      <c r="E16" s="80" t="s">
        <v>80</v>
      </c>
      <c r="F16" s="76" t="s">
        <v>33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13</v>
      </c>
      <c r="C17" s="27">
        <f>IF(B$3=0,0,B17/B$3)</f>
        <v>0.28260869565217389</v>
      </c>
      <c r="E17" s="80" t="s">
        <v>81</v>
      </c>
      <c r="F17" s="76" t="s">
        <v>34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5</v>
      </c>
      <c r="C18" s="27">
        <f>IF(B$3=0,0,B18/B$3)</f>
        <v>0.10869565217391304</v>
      </c>
      <c r="E18" s="80" t="s">
        <v>82</v>
      </c>
      <c r="F18" s="76" t="s">
        <v>35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3</v>
      </c>
      <c r="C19" s="27">
        <f>IF(B$3=0,0,B19/B$3)</f>
        <v>6.5217391304347824E-2</v>
      </c>
      <c r="E19" s="80" t="s">
        <v>83</v>
      </c>
      <c r="F19" s="76" t="s">
        <v>36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9227.7777777777774</v>
      </c>
      <c r="C20" s="30">
        <v>166100</v>
      </c>
      <c r="E20" s="80" t="s">
        <v>84</v>
      </c>
      <c r="F20" s="76" t="s">
        <v>37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-5366.666666666667</v>
      </c>
      <c r="C21" s="60">
        <v>-16100</v>
      </c>
      <c r="E21" s="80" t="s">
        <v>85</v>
      </c>
      <c r="F21" s="76" t="s">
        <v>38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15</v>
      </c>
      <c r="C22" s="24">
        <f>IF(B$3=0,0,B22/B$3)</f>
        <v>0.32608695652173914</v>
      </c>
      <c r="E22" s="80" t="s">
        <v>86</v>
      </c>
      <c r="F22" s="76" t="s">
        <v>39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7</v>
      </c>
      <c r="C23" s="32">
        <f>IF(B$22=0,0,B23/B$22)</f>
        <v>0.46666666666666667</v>
      </c>
      <c r="E23" s="80" t="s">
        <v>87</v>
      </c>
      <c r="F23" s="76" t="s">
        <v>40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46</v>
      </c>
      <c r="C24" s="87"/>
      <c r="E24" s="80" t="s">
        <v>88</v>
      </c>
      <c r="F24" s="76" t="s">
        <v>41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18</v>
      </c>
      <c r="C25" s="89"/>
      <c r="E25" s="80" t="s">
        <v>89</v>
      </c>
      <c r="F25" s="76" t="s">
        <v>42</v>
      </c>
      <c r="G25" s="62">
        <v>0</v>
      </c>
      <c r="H25" s="27">
        <f t="shared" si="0"/>
        <v>0</v>
      </c>
    </row>
    <row r="26" spans="1:8" x14ac:dyDescent="0.4">
      <c r="E26" s="80" t="s">
        <v>90</v>
      </c>
      <c r="F26" s="76" t="s">
        <v>43</v>
      </c>
      <c r="G26" s="62">
        <v>0</v>
      </c>
      <c r="H26" s="27">
        <f t="shared" si="0"/>
        <v>0</v>
      </c>
    </row>
    <row r="27" spans="1:8" x14ac:dyDescent="0.4">
      <c r="E27" s="80" t="s">
        <v>91</v>
      </c>
      <c r="F27" s="76" t="s">
        <v>44</v>
      </c>
      <c r="G27" s="62">
        <v>0</v>
      </c>
      <c r="H27" s="27">
        <f t="shared" si="0"/>
        <v>0</v>
      </c>
    </row>
    <row r="28" spans="1:8" x14ac:dyDescent="0.4">
      <c r="E28" s="80" t="s">
        <v>92</v>
      </c>
      <c r="F28" s="76" t="s">
        <v>45</v>
      </c>
      <c r="G28" s="62">
        <v>0</v>
      </c>
      <c r="H28" s="27">
        <f t="shared" si="0"/>
        <v>0</v>
      </c>
    </row>
    <row r="29" spans="1:8" x14ac:dyDescent="0.4">
      <c r="E29" s="80" t="s">
        <v>94</v>
      </c>
      <c r="F29" s="76" t="s">
        <v>47</v>
      </c>
      <c r="G29" s="62">
        <v>0</v>
      </c>
      <c r="H29" s="27">
        <f t="shared" si="0"/>
        <v>0</v>
      </c>
    </row>
    <row r="30" spans="1:8" x14ac:dyDescent="0.4">
      <c r="E30" s="80" t="s">
        <v>95</v>
      </c>
      <c r="F30" s="76" t="s">
        <v>48</v>
      </c>
      <c r="G30" s="62">
        <v>0</v>
      </c>
      <c r="H30" s="27">
        <f t="shared" si="0"/>
        <v>0</v>
      </c>
    </row>
    <row r="31" spans="1:8" x14ac:dyDescent="0.4">
      <c r="E31" s="80" t="s">
        <v>97</v>
      </c>
      <c r="F31" s="76" t="s">
        <v>50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A6482-770B-43BD-97FE-3D9CF522E6E9}">
  <sheetPr codeName="Sheet1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223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</v>
      </c>
      <c r="C2" s="87"/>
      <c r="E2" s="79" t="s">
        <v>73</v>
      </c>
      <c r="F2" s="75" t="s">
        <v>27</v>
      </c>
      <c r="G2" s="61">
        <v>13</v>
      </c>
      <c r="H2" s="24">
        <f t="shared" ref="H2:H33" si="0">IF(B$25=0,0,G2/B$25)</f>
        <v>1.625</v>
      </c>
      <c r="J2" s="23">
        <v>0</v>
      </c>
      <c r="K2" s="25">
        <v>0</v>
      </c>
      <c r="M2" s="23" t="s">
        <v>201</v>
      </c>
      <c r="N2" s="56">
        <f t="shared" ref="N2:N7" si="1">IF(P2=0,0,O2/P2)</f>
        <v>425</v>
      </c>
      <c r="O2" s="53">
        <v>1700</v>
      </c>
      <c r="P2" s="51">
        <v>4</v>
      </c>
    </row>
    <row r="3" spans="1:16" x14ac:dyDescent="0.4">
      <c r="A3" s="70" t="s">
        <v>8</v>
      </c>
      <c r="B3" s="92">
        <v>29</v>
      </c>
      <c r="C3" s="93"/>
      <c r="E3" s="80" t="s">
        <v>71</v>
      </c>
      <c r="F3" s="76" t="s">
        <v>25</v>
      </c>
      <c r="G3" s="62">
        <v>7</v>
      </c>
      <c r="H3" s="27">
        <f t="shared" si="0"/>
        <v>0.875</v>
      </c>
      <c r="J3" s="26">
        <v>1</v>
      </c>
      <c r="K3" s="28">
        <v>15</v>
      </c>
      <c r="M3" s="26" t="s">
        <v>202</v>
      </c>
      <c r="N3" s="57">
        <f t="shared" si="1"/>
        <v>4875</v>
      </c>
      <c r="O3" s="54">
        <v>19500</v>
      </c>
      <c r="P3" s="49">
        <v>4</v>
      </c>
    </row>
    <row r="4" spans="1:16" x14ac:dyDescent="0.4">
      <c r="A4" s="70" t="s">
        <v>6</v>
      </c>
      <c r="B4" s="94">
        <v>5.1000000000000014</v>
      </c>
      <c r="C4" s="95"/>
      <c r="E4" s="80" t="s">
        <v>78</v>
      </c>
      <c r="F4" s="76" t="s">
        <v>31</v>
      </c>
      <c r="G4" s="62">
        <v>6</v>
      </c>
      <c r="H4" s="27">
        <f t="shared" si="0"/>
        <v>0.75</v>
      </c>
      <c r="J4" s="26">
        <v>2</v>
      </c>
      <c r="K4" s="28">
        <v>-24.299999999999997</v>
      </c>
      <c r="M4" s="26" t="s">
        <v>203</v>
      </c>
      <c r="N4" s="57">
        <f t="shared" si="1"/>
        <v>-3933.3333333333335</v>
      </c>
      <c r="O4" s="54">
        <v>-11800</v>
      </c>
      <c r="P4" s="49">
        <v>3</v>
      </c>
    </row>
    <row r="5" spans="1:16" x14ac:dyDescent="0.4">
      <c r="A5" s="70" t="s">
        <v>7</v>
      </c>
      <c r="B5" s="94">
        <f>IF(B$2=0,0,B$4/B$2)</f>
        <v>1.2750000000000004</v>
      </c>
      <c r="C5" s="95"/>
      <c r="E5" s="80" t="s">
        <v>90</v>
      </c>
      <c r="F5" s="76" t="s">
        <v>43</v>
      </c>
      <c r="G5" s="62">
        <v>4</v>
      </c>
      <c r="H5" s="27">
        <f t="shared" si="0"/>
        <v>0.5</v>
      </c>
      <c r="J5" s="26">
        <v>3</v>
      </c>
      <c r="K5" s="28">
        <v>-15.599999999999998</v>
      </c>
      <c r="M5" s="26" t="s">
        <v>204</v>
      </c>
      <c r="N5" s="57">
        <f t="shared" si="1"/>
        <v>7066.666666666667</v>
      </c>
      <c r="O5" s="54">
        <v>21200</v>
      </c>
      <c r="P5" s="49">
        <v>3</v>
      </c>
    </row>
    <row r="6" spans="1:16" x14ac:dyDescent="0.4">
      <c r="A6" s="70" t="s">
        <v>1</v>
      </c>
      <c r="B6" s="96">
        <f>IF(B$2=0,0,(B$7*1+B$8*2+B$9*3)/B$2)</f>
        <v>2.25</v>
      </c>
      <c r="C6" s="97"/>
      <c r="E6" s="80" t="s">
        <v>96</v>
      </c>
      <c r="F6" s="76" t="s">
        <v>49</v>
      </c>
      <c r="G6" s="62">
        <v>2</v>
      </c>
      <c r="H6" s="27">
        <f t="shared" si="0"/>
        <v>0.25</v>
      </c>
      <c r="J6" s="26">
        <v>4</v>
      </c>
      <c r="K6" s="28">
        <v>5.1000000000000014</v>
      </c>
      <c r="M6" s="26" t="s">
        <v>205</v>
      </c>
      <c r="N6" s="57">
        <f t="shared" si="1"/>
        <v>-8250</v>
      </c>
      <c r="O6" s="54">
        <v>-16500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69</v>
      </c>
      <c r="F7" s="76" t="s">
        <v>23</v>
      </c>
      <c r="G7" s="62">
        <v>1</v>
      </c>
      <c r="H7" s="27">
        <f t="shared" si="0"/>
        <v>0.125</v>
      </c>
      <c r="M7" s="31" t="s">
        <v>206</v>
      </c>
      <c r="N7" s="58">
        <f t="shared" si="1"/>
        <v>-9000</v>
      </c>
      <c r="O7" s="55">
        <v>-9000</v>
      </c>
      <c r="P7" s="50">
        <v>1</v>
      </c>
    </row>
    <row r="8" spans="1:16" x14ac:dyDescent="0.4">
      <c r="A8" s="70" t="s">
        <v>3</v>
      </c>
      <c r="B8" s="62">
        <v>3</v>
      </c>
      <c r="C8" s="27">
        <f t="shared" ref="C8:C9" si="2">IF(B$2=0,0,B8/B$2)</f>
        <v>0.75</v>
      </c>
      <c r="E8" s="80" t="s">
        <v>76</v>
      </c>
      <c r="F8" s="76" t="s">
        <v>29</v>
      </c>
      <c r="G8" s="62">
        <v>1</v>
      </c>
      <c r="H8" s="27">
        <f t="shared" si="0"/>
        <v>0.125</v>
      </c>
    </row>
    <row r="9" spans="1:16" x14ac:dyDescent="0.4">
      <c r="A9" s="71" t="s">
        <v>4</v>
      </c>
      <c r="B9" s="63">
        <v>1</v>
      </c>
      <c r="C9" s="29">
        <f t="shared" si="2"/>
        <v>0.25</v>
      </c>
      <c r="E9" s="80" t="s">
        <v>85</v>
      </c>
      <c r="F9" s="76" t="s">
        <v>38</v>
      </c>
      <c r="G9" s="62">
        <v>1</v>
      </c>
      <c r="H9" s="27">
        <f t="shared" si="0"/>
        <v>0.125</v>
      </c>
    </row>
    <row r="10" spans="1:16" x14ac:dyDescent="0.4">
      <c r="A10" s="71" t="s">
        <v>21</v>
      </c>
      <c r="B10" s="63">
        <v>1</v>
      </c>
      <c r="C10" s="29">
        <f>IF(B$2=0,0,B10/B$2)</f>
        <v>0.25</v>
      </c>
      <c r="E10" s="80" t="s">
        <v>92</v>
      </c>
      <c r="F10" s="76" t="s">
        <v>45</v>
      </c>
      <c r="G10" s="62">
        <v>1</v>
      </c>
      <c r="H10" s="27">
        <f t="shared" si="0"/>
        <v>0.125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70</v>
      </c>
      <c r="F11" s="76" t="s">
        <v>24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2</v>
      </c>
      <c r="C12" s="35">
        <f>IF(B$24=0,0,B12/B$24)</f>
        <v>6.8965517241379309E-2</v>
      </c>
      <c r="E12" s="80" t="s">
        <v>72</v>
      </c>
      <c r="F12" s="76" t="s">
        <v>26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15</v>
      </c>
      <c r="C13" s="27">
        <f>IF(B$24=0,0,B13/B$24)</f>
        <v>0.51724137931034486</v>
      </c>
      <c r="E13" s="80" t="s">
        <v>74</v>
      </c>
      <c r="F13" s="76" t="s">
        <v>12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1</v>
      </c>
      <c r="C14" s="24">
        <f>IF(B$12=0,0,B14/B$12)</f>
        <v>0.5</v>
      </c>
      <c r="E14" s="80" t="s">
        <v>75</v>
      </c>
      <c r="F14" s="76" t="s">
        <v>28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7</v>
      </c>
      <c r="C15" s="24">
        <f>IF(B$13=0,0,B15/B$13)</f>
        <v>0.46666666666666667</v>
      </c>
      <c r="E15" s="80" t="s">
        <v>77</v>
      </c>
      <c r="F15" s="76" t="s">
        <v>30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8</v>
      </c>
      <c r="C16" s="24">
        <f>IF(B$3=0,0,B16/B$3)</f>
        <v>0.27586206896551724</v>
      </c>
      <c r="E16" s="80" t="s">
        <v>79</v>
      </c>
      <c r="F16" s="76" t="s">
        <v>32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8</v>
      </c>
      <c r="C17" s="27">
        <f>IF(B$3=0,0,B17/B$3)</f>
        <v>0.27586206896551724</v>
      </c>
      <c r="E17" s="80" t="s">
        <v>80</v>
      </c>
      <c r="F17" s="76" t="s">
        <v>33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81</v>
      </c>
      <c r="F18" s="76" t="s">
        <v>34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6</v>
      </c>
      <c r="C19" s="27">
        <f>IF(B$3=0,0,B19/B$3)</f>
        <v>0.20689655172413793</v>
      </c>
      <c r="E19" s="80" t="s">
        <v>82</v>
      </c>
      <c r="F19" s="76" t="s">
        <v>35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10237.5</v>
      </c>
      <c r="C20" s="30">
        <v>81900</v>
      </c>
      <c r="E20" s="80" t="s">
        <v>83</v>
      </c>
      <c r="F20" s="76" t="s">
        <v>36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-7416.666666666667</v>
      </c>
      <c r="C21" s="60">
        <v>-44500</v>
      </c>
      <c r="E21" s="80" t="s">
        <v>84</v>
      </c>
      <c r="F21" s="76" t="s">
        <v>37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6</v>
      </c>
      <c r="C22" s="24">
        <f>IF(B$3=0,0,B22/B$3)</f>
        <v>0.20689655172413793</v>
      </c>
      <c r="E22" s="80" t="s">
        <v>86</v>
      </c>
      <c r="F22" s="76" t="s">
        <v>39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1</v>
      </c>
      <c r="C23" s="32">
        <f>IF(B$22=0,0,B23/B$22)</f>
        <v>0.16666666666666666</v>
      </c>
      <c r="E23" s="80" t="s">
        <v>87</v>
      </c>
      <c r="F23" s="76" t="s">
        <v>40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29</v>
      </c>
      <c r="C24" s="87"/>
      <c r="E24" s="80" t="s">
        <v>88</v>
      </c>
      <c r="F24" s="76" t="s">
        <v>41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8</v>
      </c>
      <c r="C25" s="89"/>
      <c r="E25" s="80" t="s">
        <v>89</v>
      </c>
      <c r="F25" s="76" t="s">
        <v>42</v>
      </c>
      <c r="G25" s="62">
        <v>0</v>
      </c>
      <c r="H25" s="27">
        <f t="shared" si="0"/>
        <v>0</v>
      </c>
    </row>
    <row r="26" spans="1:8" x14ac:dyDescent="0.4">
      <c r="E26" s="80" t="s">
        <v>91</v>
      </c>
      <c r="F26" s="76" t="s">
        <v>44</v>
      </c>
      <c r="G26" s="62">
        <v>0</v>
      </c>
      <c r="H26" s="27">
        <f t="shared" si="0"/>
        <v>0</v>
      </c>
    </row>
    <row r="27" spans="1:8" x14ac:dyDescent="0.4">
      <c r="E27" s="80" t="s">
        <v>93</v>
      </c>
      <c r="F27" s="76" t="s">
        <v>46</v>
      </c>
      <c r="G27" s="62">
        <v>0</v>
      </c>
      <c r="H27" s="27">
        <f t="shared" si="0"/>
        <v>0</v>
      </c>
    </row>
    <row r="28" spans="1:8" x14ac:dyDescent="0.4">
      <c r="E28" s="80" t="s">
        <v>94</v>
      </c>
      <c r="F28" s="76" t="s">
        <v>47</v>
      </c>
      <c r="G28" s="62">
        <v>0</v>
      </c>
      <c r="H28" s="27">
        <f t="shared" si="0"/>
        <v>0</v>
      </c>
    </row>
    <row r="29" spans="1:8" x14ac:dyDescent="0.4">
      <c r="E29" s="80" t="s">
        <v>95</v>
      </c>
      <c r="F29" s="76" t="s">
        <v>48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65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/>
      <c r="C1" s="91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6">
        <v>0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2">
        <v>0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4">
        <v>0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4">
        <f>IF(B$2=0,0,B$4/B$2)</f>
        <v>0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0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5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  <row r="33" spans="1:10" x14ac:dyDescent="0.4">
      <c r="A33" s="41" t="s">
        <v>216</v>
      </c>
      <c r="B33" s="44">
        <v>43478.456446759257</v>
      </c>
      <c r="C33" s="47" t="s">
        <v>174</v>
      </c>
      <c r="D33" s="36" t="s">
        <v>175</v>
      </c>
      <c r="E33" s="36" t="s">
        <v>176</v>
      </c>
    </row>
    <row r="34" spans="1:10" x14ac:dyDescent="0.4">
      <c r="A34" s="41" t="s">
        <v>219</v>
      </c>
      <c r="B34" s="44">
        <v>43479.152256944442</v>
      </c>
      <c r="C34" s="47" t="s">
        <v>174</v>
      </c>
      <c r="D34" s="36" t="s">
        <v>175</v>
      </c>
      <c r="E34" s="36" t="s">
        <v>176</v>
      </c>
      <c r="F34" s="36" t="s">
        <v>177</v>
      </c>
      <c r="G34" s="36" t="s">
        <v>178</v>
      </c>
      <c r="H34" s="36" t="s">
        <v>179</v>
      </c>
      <c r="I34" s="36" t="s">
        <v>180</v>
      </c>
      <c r="J34" s="36" t="s">
        <v>181</v>
      </c>
    </row>
    <row r="35" spans="1:10" x14ac:dyDescent="0.4">
      <c r="A35" s="41" t="s">
        <v>224</v>
      </c>
      <c r="B35" s="44">
        <v>43480.04891203704</v>
      </c>
      <c r="C35" s="47" t="s">
        <v>174</v>
      </c>
      <c r="D35" s="36" t="s">
        <v>175</v>
      </c>
      <c r="E35" s="36" t="s">
        <v>176</v>
      </c>
      <c r="F35" s="36" t="s">
        <v>177</v>
      </c>
      <c r="G35" s="36" t="s">
        <v>178</v>
      </c>
      <c r="H35" s="36" t="s">
        <v>179</v>
      </c>
      <c r="I35" s="36" t="s">
        <v>180</v>
      </c>
      <c r="J35" s="36" t="s">
        <v>181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2019-01-14T16:16:07Z</dcterms:modified>
</cp:coreProperties>
</file>