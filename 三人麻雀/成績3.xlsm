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DCC44C5F-8296-4D1A-AEC9-394E9EEEC3EF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833" r:id="rId3"/>
    <sheet name="かこたろう" sheetId="2834" r:id="rId4"/>
    <sheet name="ともき" sheetId="2835" r:id="rId5"/>
    <sheet name="りくと" sheetId="2836" r:id="rId6"/>
    <sheet name="いっしー" sheetId="2837" r:id="rId7"/>
    <sheet name="がくと" sheetId="2838" r:id="rId8"/>
    <sheet name="たかの" sheetId="2839" r:id="rId9"/>
    <sheet name="ただ" sheetId="2840" r:id="rId10"/>
    <sheet name="やがさき" sheetId="2841" r:id="rId11"/>
    <sheet name="れんたろう" sheetId="2842" r:id="rId12"/>
    <sheet name="あさひ" sheetId="2843" r:id="rId13"/>
    <sheet name="まっつん" sheetId="2844" r:id="rId14"/>
    <sheet name="Template" sheetId="2228" state="hidden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844" l="1"/>
  <c r="H50" i="2844"/>
  <c r="H49" i="2844"/>
  <c r="H48" i="2844"/>
  <c r="H47" i="2844"/>
  <c r="H46" i="2844"/>
  <c r="H45" i="2844"/>
  <c r="H44" i="2844"/>
  <c r="H43" i="2844"/>
  <c r="H42" i="2844"/>
  <c r="H41" i="2844"/>
  <c r="H40" i="2844"/>
  <c r="H39" i="2844"/>
  <c r="H38" i="2844"/>
  <c r="H37" i="2844"/>
  <c r="H36" i="2844"/>
  <c r="H35" i="2844"/>
  <c r="H34" i="2844"/>
  <c r="H33" i="2844"/>
  <c r="H32" i="2844"/>
  <c r="H31" i="2844"/>
  <c r="H30" i="2844"/>
  <c r="H6" i="2844"/>
  <c r="H29" i="2844"/>
  <c r="H28" i="2844"/>
  <c r="C27" i="2844"/>
  <c r="H10" i="2844"/>
  <c r="H15" i="2844"/>
  <c r="H27" i="2844"/>
  <c r="H9" i="2844"/>
  <c r="C23" i="2844"/>
  <c r="H26" i="2844"/>
  <c r="C22" i="2844"/>
  <c r="H14" i="2844"/>
  <c r="B21" i="2844"/>
  <c r="H25" i="2844"/>
  <c r="H24" i="2844"/>
  <c r="C19" i="2844"/>
  <c r="H13" i="2844"/>
  <c r="H23" i="2844"/>
  <c r="H17" i="2844"/>
  <c r="B16" i="2844"/>
  <c r="C17" i="2844" s="1"/>
  <c r="H22" i="2844"/>
  <c r="C15" i="2844"/>
  <c r="H21" i="2844"/>
  <c r="C14" i="2844"/>
  <c r="H20" i="2844"/>
  <c r="C13" i="2844"/>
  <c r="H19" i="2844"/>
  <c r="C12" i="2844"/>
  <c r="H4" i="2844"/>
  <c r="C11" i="2844"/>
  <c r="H18" i="2844"/>
  <c r="C10" i="2844"/>
  <c r="H11" i="2844"/>
  <c r="C9" i="2844"/>
  <c r="H16" i="2844"/>
  <c r="C8" i="2844"/>
  <c r="N7" i="2844"/>
  <c r="H8" i="2844"/>
  <c r="C7" i="2844"/>
  <c r="N6" i="2844"/>
  <c r="H2" i="2844"/>
  <c r="B6" i="2844"/>
  <c r="N5" i="2844"/>
  <c r="H7" i="2844"/>
  <c r="B5" i="2844"/>
  <c r="N4" i="2844"/>
  <c r="H3" i="2844"/>
  <c r="N3" i="2844"/>
  <c r="H12" i="2844"/>
  <c r="N2" i="2844"/>
  <c r="H5" i="2844"/>
  <c r="C16" i="2844" l="1"/>
  <c r="B20" i="2844"/>
  <c r="C18" i="2844"/>
  <c r="H51" i="2843" l="1"/>
  <c r="H50" i="2843"/>
  <c r="H49" i="2843"/>
  <c r="H48" i="2843"/>
  <c r="H47" i="2843"/>
  <c r="H46" i="2843"/>
  <c r="H45" i="2843"/>
  <c r="H44" i="2843"/>
  <c r="H43" i="2843"/>
  <c r="H42" i="2843"/>
  <c r="H41" i="2843"/>
  <c r="H40" i="2843"/>
  <c r="H39" i="2843"/>
  <c r="H38" i="2843"/>
  <c r="H37" i="2843"/>
  <c r="H36" i="2843"/>
  <c r="H35" i="2843"/>
  <c r="H34" i="2843"/>
  <c r="H33" i="2843"/>
  <c r="H32" i="2843"/>
  <c r="H14" i="2843"/>
  <c r="H31" i="2843"/>
  <c r="H11" i="2843"/>
  <c r="H30" i="2843"/>
  <c r="H29" i="2843"/>
  <c r="C27" i="2843"/>
  <c r="H10" i="2843"/>
  <c r="H28" i="2843"/>
  <c r="H27" i="2843"/>
  <c r="H26" i="2843"/>
  <c r="C23" i="2843"/>
  <c r="H25" i="2843"/>
  <c r="C22" i="2843"/>
  <c r="H24" i="2843"/>
  <c r="B21" i="2843"/>
  <c r="H23" i="2843"/>
  <c r="H22" i="2843"/>
  <c r="C19" i="2843"/>
  <c r="H21" i="2843"/>
  <c r="H20" i="2843"/>
  <c r="H19" i="2843"/>
  <c r="B16" i="2843"/>
  <c r="C17" i="2843" s="1"/>
  <c r="H18" i="2843"/>
  <c r="C15" i="2843"/>
  <c r="H17" i="2843"/>
  <c r="C14" i="2843"/>
  <c r="H16" i="2843"/>
  <c r="C13" i="2843"/>
  <c r="H15" i="2843"/>
  <c r="C12" i="2843"/>
  <c r="H5" i="2843"/>
  <c r="C11" i="2843"/>
  <c r="H13" i="2843"/>
  <c r="C10" i="2843"/>
  <c r="H7" i="2843"/>
  <c r="C9" i="2843"/>
  <c r="H9" i="2843"/>
  <c r="C8" i="2843"/>
  <c r="N7" i="2843"/>
  <c r="H8" i="2843"/>
  <c r="C7" i="2843"/>
  <c r="N6" i="2843"/>
  <c r="H3" i="2843"/>
  <c r="B6" i="2843"/>
  <c r="N5" i="2843"/>
  <c r="H6" i="2843"/>
  <c r="B5" i="2843"/>
  <c r="N4" i="2843"/>
  <c r="H2" i="2843"/>
  <c r="N3" i="2843"/>
  <c r="H12" i="2843"/>
  <c r="N2" i="2843"/>
  <c r="H4" i="2843"/>
  <c r="C16" i="2843" l="1"/>
  <c r="C18" i="2843"/>
  <c r="B20" i="2843"/>
  <c r="H51" i="2842" l="1"/>
  <c r="H50" i="2842"/>
  <c r="H49" i="2842"/>
  <c r="H48" i="2842"/>
  <c r="H47" i="2842"/>
  <c r="H46" i="2842"/>
  <c r="H45" i="2842"/>
  <c r="H44" i="2842"/>
  <c r="H43" i="2842"/>
  <c r="H42" i="2842"/>
  <c r="H41" i="2842"/>
  <c r="H40" i="2842"/>
  <c r="H39" i="2842"/>
  <c r="H38" i="2842"/>
  <c r="H37" i="2842"/>
  <c r="H36" i="2842"/>
  <c r="H35" i="2842"/>
  <c r="H34" i="2842"/>
  <c r="H23" i="2842"/>
  <c r="H33" i="2842"/>
  <c r="H22" i="2842"/>
  <c r="H32" i="2842"/>
  <c r="H9" i="2842"/>
  <c r="H31" i="2842"/>
  <c r="H30" i="2842"/>
  <c r="C27" i="2842"/>
  <c r="H12" i="2842"/>
  <c r="H29" i="2842"/>
  <c r="H21" i="2842"/>
  <c r="H14" i="2842"/>
  <c r="C23" i="2842"/>
  <c r="H28" i="2842"/>
  <c r="C22" i="2842"/>
  <c r="H17" i="2842"/>
  <c r="B21" i="2842"/>
  <c r="H27" i="2842"/>
  <c r="H26" i="2842"/>
  <c r="C19" i="2842"/>
  <c r="H20" i="2842"/>
  <c r="H13" i="2842"/>
  <c r="H19" i="2842"/>
  <c r="B16" i="2842"/>
  <c r="C17" i="2842" s="1"/>
  <c r="H25" i="2842"/>
  <c r="C15" i="2842"/>
  <c r="H18" i="2842"/>
  <c r="C14" i="2842"/>
  <c r="H24" i="2842"/>
  <c r="C13" i="2842"/>
  <c r="H15" i="2842"/>
  <c r="C12" i="2842"/>
  <c r="H4" i="2842"/>
  <c r="C11" i="2842"/>
  <c r="H16" i="2842"/>
  <c r="C10" i="2842"/>
  <c r="H10" i="2842"/>
  <c r="C9" i="2842"/>
  <c r="H8" i="2842"/>
  <c r="C8" i="2842"/>
  <c r="N7" i="2842"/>
  <c r="H7" i="2842"/>
  <c r="C7" i="2842"/>
  <c r="N6" i="2842"/>
  <c r="H2" i="2842"/>
  <c r="B6" i="2842"/>
  <c r="N5" i="2842"/>
  <c r="H6" i="2842"/>
  <c r="B5" i="2842"/>
  <c r="N4" i="2842"/>
  <c r="H3" i="2842"/>
  <c r="N3" i="2842"/>
  <c r="H11" i="2842"/>
  <c r="N2" i="2842"/>
  <c r="H5" i="2842"/>
  <c r="C16" i="2842" l="1"/>
  <c r="C18" i="2842"/>
  <c r="B20" i="2842"/>
  <c r="H51" i="2841" l="1"/>
  <c r="H50" i="2841"/>
  <c r="H49" i="2841"/>
  <c r="H48" i="2841"/>
  <c r="H47" i="2841"/>
  <c r="H46" i="2841"/>
  <c r="H45" i="2841"/>
  <c r="H44" i="2841"/>
  <c r="H43" i="2841"/>
  <c r="H42" i="2841"/>
  <c r="H41" i="2841"/>
  <c r="H40" i="2841"/>
  <c r="H39" i="2841"/>
  <c r="H38" i="2841"/>
  <c r="H37" i="2841"/>
  <c r="H36" i="2841"/>
  <c r="H35" i="2841"/>
  <c r="H34" i="2841"/>
  <c r="H33" i="2841"/>
  <c r="H32" i="2841"/>
  <c r="H31" i="2841"/>
  <c r="H30" i="2841"/>
  <c r="H29" i="2841"/>
  <c r="H28" i="2841"/>
  <c r="H27" i="2841"/>
  <c r="C27" i="2841"/>
  <c r="H26" i="2841"/>
  <c r="H25" i="2841"/>
  <c r="H24" i="2841"/>
  <c r="H23" i="2841"/>
  <c r="C23" i="2841"/>
  <c r="H22" i="2841"/>
  <c r="C22" i="2841"/>
  <c r="H21" i="2841"/>
  <c r="B21" i="2841"/>
  <c r="H20" i="2841"/>
  <c r="H19" i="2841"/>
  <c r="C19" i="2841"/>
  <c r="H18" i="2841"/>
  <c r="H17" i="2841"/>
  <c r="H16" i="2841"/>
  <c r="B16" i="2841"/>
  <c r="B20" i="2841" s="1"/>
  <c r="H15" i="2841"/>
  <c r="C15" i="2841"/>
  <c r="H14" i="2841"/>
  <c r="C14" i="2841"/>
  <c r="H13" i="2841"/>
  <c r="C13" i="2841"/>
  <c r="H12" i="2841"/>
  <c r="C12" i="2841"/>
  <c r="H11" i="2841"/>
  <c r="C11" i="2841"/>
  <c r="H10" i="2841"/>
  <c r="C10" i="2841"/>
  <c r="H9" i="2841"/>
  <c r="C9" i="2841"/>
  <c r="H8" i="2841"/>
  <c r="C8" i="2841"/>
  <c r="N7" i="2841"/>
  <c r="H7" i="2841"/>
  <c r="C7" i="2841"/>
  <c r="N6" i="2841"/>
  <c r="H6" i="2841"/>
  <c r="B6" i="2841"/>
  <c r="N5" i="2841"/>
  <c r="H5" i="2841"/>
  <c r="B5" i="2841"/>
  <c r="N4" i="2841"/>
  <c r="H4" i="2841"/>
  <c r="N3" i="2841"/>
  <c r="H3" i="2841"/>
  <c r="N2" i="2841"/>
  <c r="H2" i="2841"/>
  <c r="C17" i="2841" l="1"/>
  <c r="C16" i="2841"/>
  <c r="C18" i="2841"/>
  <c r="H51" i="2840" l="1"/>
  <c r="H50" i="2840"/>
  <c r="H49" i="2840"/>
  <c r="H48" i="2840"/>
  <c r="H47" i="2840"/>
  <c r="H46" i="2840"/>
  <c r="H45" i="2840"/>
  <c r="H44" i="2840"/>
  <c r="H43" i="2840"/>
  <c r="H42" i="2840"/>
  <c r="H41" i="2840"/>
  <c r="H40" i="2840"/>
  <c r="H39" i="2840"/>
  <c r="H38" i="2840"/>
  <c r="H37" i="2840"/>
  <c r="H36" i="2840"/>
  <c r="H35" i="2840"/>
  <c r="H34" i="2840"/>
  <c r="H33" i="2840"/>
  <c r="H32" i="2840"/>
  <c r="H16" i="2840"/>
  <c r="H31" i="2840"/>
  <c r="H10" i="2840"/>
  <c r="H30" i="2840"/>
  <c r="H29" i="2840"/>
  <c r="C27" i="2840"/>
  <c r="H14" i="2840"/>
  <c r="H28" i="2840"/>
  <c r="H19" i="2840"/>
  <c r="H18" i="2840"/>
  <c r="C23" i="2840"/>
  <c r="H27" i="2840"/>
  <c r="C22" i="2840"/>
  <c r="H15" i="2840"/>
  <c r="B21" i="2840"/>
  <c r="H26" i="2840"/>
  <c r="H25" i="2840"/>
  <c r="C19" i="2840"/>
  <c r="H24" i="2840"/>
  <c r="H13" i="2840"/>
  <c r="H20" i="2840"/>
  <c r="B16" i="2840"/>
  <c r="C17" i="2840" s="1"/>
  <c r="H23" i="2840"/>
  <c r="C15" i="2840"/>
  <c r="H22" i="2840"/>
  <c r="C14" i="2840"/>
  <c r="H17" i="2840"/>
  <c r="C13" i="2840"/>
  <c r="H21" i="2840"/>
  <c r="C12" i="2840"/>
  <c r="H5" i="2840"/>
  <c r="C11" i="2840"/>
  <c r="H12" i="2840"/>
  <c r="C10" i="2840"/>
  <c r="H11" i="2840"/>
  <c r="C9" i="2840"/>
  <c r="H8" i="2840"/>
  <c r="C8" i="2840"/>
  <c r="N7" i="2840"/>
  <c r="H7" i="2840"/>
  <c r="C7" i="2840"/>
  <c r="N6" i="2840"/>
  <c r="H2" i="2840"/>
  <c r="B6" i="2840"/>
  <c r="N5" i="2840"/>
  <c r="H6" i="2840"/>
  <c r="B5" i="2840"/>
  <c r="N4" i="2840"/>
  <c r="H3" i="2840"/>
  <c r="N3" i="2840"/>
  <c r="H9" i="2840"/>
  <c r="N2" i="2840"/>
  <c r="H4" i="2840"/>
  <c r="H51" i="2839"/>
  <c r="H50" i="2839"/>
  <c r="H49" i="2839"/>
  <c r="H48" i="2839"/>
  <c r="H47" i="2839"/>
  <c r="H46" i="2839"/>
  <c r="H45" i="2839"/>
  <c r="H44" i="2839"/>
  <c r="H43" i="2839"/>
  <c r="H42" i="2839"/>
  <c r="H41" i="2839"/>
  <c r="H40" i="2839"/>
  <c r="H39" i="2839"/>
  <c r="H38" i="2839"/>
  <c r="H37" i="2839"/>
  <c r="H36" i="2839"/>
  <c r="H35" i="2839"/>
  <c r="H34" i="2839"/>
  <c r="H33" i="2839"/>
  <c r="H32" i="2839"/>
  <c r="H31" i="2839"/>
  <c r="H30" i="2839"/>
  <c r="H10" i="2839"/>
  <c r="H29" i="2839"/>
  <c r="H28" i="2839"/>
  <c r="C27" i="2839"/>
  <c r="H13" i="2839"/>
  <c r="H27" i="2839"/>
  <c r="H26" i="2839"/>
  <c r="H18" i="2839"/>
  <c r="C23" i="2839"/>
  <c r="H25" i="2839"/>
  <c r="C22" i="2839"/>
  <c r="H17" i="2839"/>
  <c r="B21" i="2839"/>
  <c r="H24" i="2839"/>
  <c r="H23" i="2839"/>
  <c r="C19" i="2839"/>
  <c r="H12" i="2839"/>
  <c r="H11" i="2839"/>
  <c r="H22" i="2839"/>
  <c r="B16" i="2839"/>
  <c r="C17" i="2839" s="1"/>
  <c r="H21" i="2839"/>
  <c r="C15" i="2839"/>
  <c r="H16" i="2839"/>
  <c r="C14" i="2839"/>
  <c r="H20" i="2839"/>
  <c r="C13" i="2839"/>
  <c r="H19" i="2839"/>
  <c r="C12" i="2839"/>
  <c r="H3" i="2839"/>
  <c r="C11" i="2839"/>
  <c r="H15" i="2839"/>
  <c r="C10" i="2839"/>
  <c r="H14" i="2839"/>
  <c r="C9" i="2839"/>
  <c r="H9" i="2839"/>
  <c r="C8" i="2839"/>
  <c r="N7" i="2839"/>
  <c r="H7" i="2839"/>
  <c r="C7" i="2839"/>
  <c r="N6" i="2839"/>
  <c r="H2" i="2839"/>
  <c r="B6" i="2839"/>
  <c r="N5" i="2839"/>
  <c r="H8" i="2839"/>
  <c r="B5" i="2839"/>
  <c r="N4" i="2839"/>
  <c r="H4" i="2839"/>
  <c r="N3" i="2839"/>
  <c r="H6" i="2839"/>
  <c r="N2" i="2839"/>
  <c r="H5" i="2839"/>
  <c r="C16" i="2840" l="1"/>
  <c r="C18" i="2840"/>
  <c r="B20" i="2840"/>
  <c r="C16" i="2839"/>
  <c r="C18" i="2839"/>
  <c r="B20" i="2839"/>
  <c r="H51" i="2838" l="1"/>
  <c r="H50" i="2838"/>
  <c r="H49" i="2838"/>
  <c r="H48" i="2838"/>
  <c r="H47" i="2838"/>
  <c r="H46" i="2838"/>
  <c r="H45" i="2838"/>
  <c r="H44" i="2838"/>
  <c r="H43" i="2838"/>
  <c r="H42" i="2838"/>
  <c r="H41" i="2838"/>
  <c r="H40" i="2838"/>
  <c r="H39" i="2838"/>
  <c r="H38" i="2838"/>
  <c r="H37" i="2838"/>
  <c r="H36" i="2838"/>
  <c r="H35" i="2838"/>
  <c r="H34" i="2838"/>
  <c r="H33" i="2838"/>
  <c r="H32" i="2838"/>
  <c r="H31" i="2838"/>
  <c r="H30" i="2838"/>
  <c r="H29" i="2838"/>
  <c r="H28" i="2838"/>
  <c r="H27" i="2838"/>
  <c r="C27" i="2838"/>
  <c r="H11" i="2838"/>
  <c r="H26" i="2838"/>
  <c r="H25" i="2838"/>
  <c r="H24" i="2838"/>
  <c r="C23" i="2838"/>
  <c r="H23" i="2838"/>
  <c r="C22" i="2838"/>
  <c r="H22" i="2838"/>
  <c r="B21" i="2838"/>
  <c r="H21" i="2838"/>
  <c r="H20" i="2838"/>
  <c r="C19" i="2838"/>
  <c r="H8" i="2838"/>
  <c r="H19" i="2838"/>
  <c r="H18" i="2838"/>
  <c r="B16" i="2838"/>
  <c r="C17" i="2838" s="1"/>
  <c r="H17" i="2838"/>
  <c r="C15" i="2838"/>
  <c r="H16" i="2838"/>
  <c r="C14" i="2838"/>
  <c r="H15" i="2838"/>
  <c r="C13" i="2838"/>
  <c r="H14" i="2838"/>
  <c r="C12" i="2838"/>
  <c r="H5" i="2838"/>
  <c r="C11" i="2838"/>
  <c r="H13" i="2838"/>
  <c r="C10" i="2838"/>
  <c r="H12" i="2838"/>
  <c r="C9" i="2838"/>
  <c r="H10" i="2838"/>
  <c r="C8" i="2838"/>
  <c r="N7" i="2838"/>
  <c r="H6" i="2838"/>
  <c r="C7" i="2838"/>
  <c r="N6" i="2838"/>
  <c r="H3" i="2838"/>
  <c r="B6" i="2838"/>
  <c r="N5" i="2838"/>
  <c r="H7" i="2838"/>
  <c r="B5" i="2838"/>
  <c r="N4" i="2838"/>
  <c r="H9" i="2838"/>
  <c r="N3" i="2838"/>
  <c r="H4" i="2838"/>
  <c r="N2" i="2838"/>
  <c r="H2" i="2838"/>
  <c r="C16" i="2838" l="1"/>
  <c r="C18" i="2838"/>
  <c r="B20" i="2838"/>
  <c r="H51" i="2837" l="1"/>
  <c r="H50" i="2837"/>
  <c r="H49" i="2837"/>
  <c r="H48" i="2837"/>
  <c r="H47" i="2837"/>
  <c r="H46" i="2837"/>
  <c r="H45" i="2837"/>
  <c r="H44" i="2837"/>
  <c r="H43" i="2837"/>
  <c r="H42" i="2837"/>
  <c r="H41" i="2837"/>
  <c r="H40" i="2837"/>
  <c r="H39" i="2837"/>
  <c r="H38" i="2837"/>
  <c r="H37" i="2837"/>
  <c r="H36" i="2837"/>
  <c r="H35" i="2837"/>
  <c r="H34" i="2837"/>
  <c r="H17" i="2837"/>
  <c r="H33" i="2837"/>
  <c r="H32" i="2837"/>
  <c r="H31" i="2837"/>
  <c r="H13" i="2837"/>
  <c r="H30" i="2837"/>
  <c r="H29" i="2837"/>
  <c r="C27" i="2837"/>
  <c r="H12" i="2837"/>
  <c r="H28" i="2837"/>
  <c r="H27" i="2837"/>
  <c r="H11" i="2837"/>
  <c r="C23" i="2837"/>
  <c r="H26" i="2837"/>
  <c r="C22" i="2837"/>
  <c r="H14" i="2837"/>
  <c r="B21" i="2837"/>
  <c r="H25" i="2837"/>
  <c r="H24" i="2837"/>
  <c r="C19" i="2837"/>
  <c r="H23" i="2837"/>
  <c r="H15" i="2837"/>
  <c r="H22" i="2837"/>
  <c r="B16" i="2837"/>
  <c r="B20" i="2837" s="1"/>
  <c r="H21" i="2837"/>
  <c r="C15" i="2837"/>
  <c r="H20" i="2837"/>
  <c r="C14" i="2837"/>
  <c r="H19" i="2837"/>
  <c r="C13" i="2837"/>
  <c r="H18" i="2837"/>
  <c r="C12" i="2837"/>
  <c r="H4" i="2837"/>
  <c r="C11" i="2837"/>
  <c r="H16" i="2837"/>
  <c r="C10" i="2837"/>
  <c r="H9" i="2837"/>
  <c r="C9" i="2837"/>
  <c r="H8" i="2837"/>
  <c r="C8" i="2837"/>
  <c r="N7" i="2837"/>
  <c r="H7" i="2837"/>
  <c r="C7" i="2837"/>
  <c r="N6" i="2837"/>
  <c r="H3" i="2837"/>
  <c r="B6" i="2837"/>
  <c r="N5" i="2837"/>
  <c r="H6" i="2837"/>
  <c r="B5" i="2837"/>
  <c r="N4" i="2837"/>
  <c r="H2" i="2837"/>
  <c r="N3" i="2837"/>
  <c r="H10" i="2837"/>
  <c r="N2" i="2837"/>
  <c r="H5" i="2837"/>
  <c r="H51" i="2836"/>
  <c r="H50" i="2836"/>
  <c r="H49" i="2836"/>
  <c r="H48" i="2836"/>
  <c r="H47" i="2836"/>
  <c r="H46" i="2836"/>
  <c r="H45" i="2836"/>
  <c r="H44" i="2836"/>
  <c r="H43" i="2836"/>
  <c r="H42" i="2836"/>
  <c r="H41" i="2836"/>
  <c r="H40" i="2836"/>
  <c r="H39" i="2836"/>
  <c r="H38" i="2836"/>
  <c r="H37" i="2836"/>
  <c r="H36" i="2836"/>
  <c r="H35" i="2836"/>
  <c r="H34" i="2836"/>
  <c r="H33" i="2836"/>
  <c r="H20" i="2836"/>
  <c r="H14" i="2836"/>
  <c r="H32" i="2836"/>
  <c r="H8" i="2836"/>
  <c r="H24" i="2836"/>
  <c r="H23" i="2836"/>
  <c r="C27" i="2836"/>
  <c r="H12" i="2836"/>
  <c r="H19" i="2836"/>
  <c r="H22" i="2836"/>
  <c r="H13" i="2836"/>
  <c r="C23" i="2836"/>
  <c r="H31" i="2836"/>
  <c r="C22" i="2836"/>
  <c r="H15" i="2836"/>
  <c r="B21" i="2836"/>
  <c r="H21" i="2836"/>
  <c r="H30" i="2836"/>
  <c r="C19" i="2836"/>
  <c r="H18" i="2836"/>
  <c r="H17" i="2836"/>
  <c r="H29" i="2836"/>
  <c r="B16" i="2836"/>
  <c r="B20" i="2836" s="1"/>
  <c r="H28" i="2836"/>
  <c r="C15" i="2836"/>
  <c r="H27" i="2836"/>
  <c r="C14" i="2836"/>
  <c r="H26" i="2836"/>
  <c r="C13" i="2836"/>
  <c r="H25" i="2836"/>
  <c r="C12" i="2836"/>
  <c r="H5" i="2836"/>
  <c r="C11" i="2836"/>
  <c r="H16" i="2836"/>
  <c r="C10" i="2836"/>
  <c r="H9" i="2836"/>
  <c r="C9" i="2836"/>
  <c r="H10" i="2836"/>
  <c r="C8" i="2836"/>
  <c r="N7" i="2836"/>
  <c r="H6" i="2836"/>
  <c r="C7" i="2836"/>
  <c r="N6" i="2836"/>
  <c r="H2" i="2836"/>
  <c r="B6" i="2836"/>
  <c r="N5" i="2836"/>
  <c r="H7" i="2836"/>
  <c r="B5" i="2836"/>
  <c r="N4" i="2836"/>
  <c r="H3" i="2836"/>
  <c r="N3" i="2836"/>
  <c r="H11" i="2836"/>
  <c r="N2" i="2836"/>
  <c r="H4" i="2836"/>
  <c r="C17" i="2837" l="1"/>
  <c r="C16" i="2837"/>
  <c r="C18" i="2837"/>
  <c r="C16" i="2836"/>
  <c r="C17" i="2836"/>
  <c r="C18" i="2836"/>
  <c r="H51" i="2835" l="1"/>
  <c r="H50" i="2835"/>
  <c r="H49" i="2835"/>
  <c r="H48" i="2835"/>
  <c r="H47" i="2835"/>
  <c r="H46" i="2835"/>
  <c r="H45" i="2835"/>
  <c r="H44" i="2835"/>
  <c r="H43" i="2835"/>
  <c r="H42" i="2835"/>
  <c r="H41" i="2835"/>
  <c r="H40" i="2835"/>
  <c r="H39" i="2835"/>
  <c r="H38" i="2835"/>
  <c r="H37" i="2835"/>
  <c r="H36" i="2835"/>
  <c r="H35" i="2835"/>
  <c r="H34" i="2835"/>
  <c r="H33" i="2835"/>
  <c r="H32" i="2835"/>
  <c r="H31" i="2835"/>
  <c r="H30" i="2835"/>
  <c r="H29" i="2835"/>
  <c r="H28" i="2835"/>
  <c r="H27" i="2835"/>
  <c r="C27" i="2835"/>
  <c r="H26" i="2835"/>
  <c r="H25" i="2835"/>
  <c r="H24" i="2835"/>
  <c r="H23" i="2835"/>
  <c r="C23" i="2835"/>
  <c r="H22" i="2835"/>
  <c r="C22" i="2835"/>
  <c r="H21" i="2835"/>
  <c r="B21" i="2835"/>
  <c r="H20" i="2835"/>
  <c r="H19" i="2835"/>
  <c r="C19" i="2835"/>
  <c r="H18" i="2835"/>
  <c r="H17" i="2835"/>
  <c r="H16" i="2835"/>
  <c r="B16" i="2835"/>
  <c r="C17" i="2835" s="1"/>
  <c r="H15" i="2835"/>
  <c r="C15" i="2835"/>
  <c r="H14" i="2835"/>
  <c r="C14" i="2835"/>
  <c r="H13" i="2835"/>
  <c r="C13" i="2835"/>
  <c r="H12" i="2835"/>
  <c r="C12" i="2835"/>
  <c r="H11" i="2835"/>
  <c r="C11" i="2835"/>
  <c r="H5" i="2835"/>
  <c r="C10" i="2835"/>
  <c r="H10" i="2835"/>
  <c r="C9" i="2835"/>
  <c r="H4" i="2835"/>
  <c r="C8" i="2835"/>
  <c r="N7" i="2835"/>
  <c r="H9" i="2835"/>
  <c r="C7" i="2835"/>
  <c r="N6" i="2835"/>
  <c r="H8" i="2835"/>
  <c r="B6" i="2835"/>
  <c r="N5" i="2835"/>
  <c r="H2" i="2835"/>
  <c r="B5" i="2835"/>
  <c r="N4" i="2835"/>
  <c r="H7" i="2835"/>
  <c r="N3" i="2835"/>
  <c r="H6" i="2835"/>
  <c r="N2" i="2835"/>
  <c r="H3" i="2835"/>
  <c r="H51" i="2834"/>
  <c r="H50" i="2834"/>
  <c r="H49" i="2834"/>
  <c r="H48" i="2834"/>
  <c r="H47" i="2834"/>
  <c r="H46" i="2834"/>
  <c r="H45" i="2834"/>
  <c r="H44" i="2834"/>
  <c r="H43" i="2834"/>
  <c r="H42" i="2834"/>
  <c r="H41" i="2834"/>
  <c r="H40" i="2834"/>
  <c r="H39" i="2834"/>
  <c r="H38" i="2834"/>
  <c r="H37" i="2834"/>
  <c r="H36" i="2834"/>
  <c r="H35" i="2834"/>
  <c r="H34" i="2834"/>
  <c r="H33" i="2834"/>
  <c r="H32" i="2834"/>
  <c r="H31" i="2834"/>
  <c r="H30" i="2834"/>
  <c r="H29" i="2834"/>
  <c r="H28" i="2834"/>
  <c r="H27" i="2834"/>
  <c r="C27" i="2834"/>
  <c r="H26" i="2834"/>
  <c r="H25" i="2834"/>
  <c r="H24" i="2834"/>
  <c r="H23" i="2834"/>
  <c r="C23" i="2834"/>
  <c r="H22" i="2834"/>
  <c r="C22" i="2834"/>
  <c r="H21" i="2834"/>
  <c r="B21" i="2834"/>
  <c r="H20" i="2834"/>
  <c r="H19" i="2834"/>
  <c r="C19" i="2834"/>
  <c r="H18" i="2834"/>
  <c r="H17" i="2834"/>
  <c r="H16" i="2834"/>
  <c r="B16" i="2834"/>
  <c r="C17" i="2834" s="1"/>
  <c r="H15" i="2834"/>
  <c r="C15" i="2834"/>
  <c r="H14" i="2834"/>
  <c r="C14" i="2834"/>
  <c r="H13" i="2834"/>
  <c r="C13" i="2834"/>
  <c r="H12" i="2834"/>
  <c r="C12" i="2834"/>
  <c r="H11" i="2834"/>
  <c r="C11" i="2834"/>
  <c r="H10" i="2834"/>
  <c r="C10" i="2834"/>
  <c r="H9" i="2834"/>
  <c r="C9" i="2834"/>
  <c r="H8" i="2834"/>
  <c r="C8" i="2834"/>
  <c r="N7" i="2834"/>
  <c r="H7" i="2834"/>
  <c r="C7" i="2834"/>
  <c r="N6" i="2834"/>
  <c r="H6" i="2834"/>
  <c r="B6" i="2834"/>
  <c r="N5" i="2834"/>
  <c r="H5" i="2834"/>
  <c r="B5" i="2834"/>
  <c r="N4" i="2834"/>
  <c r="H4" i="2834"/>
  <c r="N3" i="2834"/>
  <c r="H3" i="2834"/>
  <c r="N2" i="2834"/>
  <c r="H2" i="2834"/>
  <c r="H51" i="2833"/>
  <c r="H50" i="2833"/>
  <c r="H49" i="2833"/>
  <c r="H48" i="2833"/>
  <c r="H47" i="2833"/>
  <c r="H26" i="2833"/>
  <c r="H46" i="2833"/>
  <c r="H45" i="2833"/>
  <c r="H44" i="2833"/>
  <c r="H43" i="2833"/>
  <c r="H42" i="2833"/>
  <c r="H41" i="2833"/>
  <c r="H40" i="2833"/>
  <c r="H39" i="2833"/>
  <c r="H38" i="2833"/>
  <c r="H37" i="2833"/>
  <c r="H36" i="2833"/>
  <c r="H35" i="2833"/>
  <c r="H34" i="2833"/>
  <c r="H20" i="2833"/>
  <c r="H19" i="2833"/>
  <c r="H25" i="2833"/>
  <c r="H8" i="2833"/>
  <c r="H33" i="2833"/>
  <c r="H21" i="2833"/>
  <c r="C27" i="2833"/>
  <c r="H13" i="2833"/>
  <c r="H24" i="2833"/>
  <c r="H32" i="2833"/>
  <c r="H14" i="2833"/>
  <c r="C23" i="2833"/>
  <c r="H31" i="2833"/>
  <c r="C22" i="2833"/>
  <c r="H15" i="2833"/>
  <c r="B21" i="2833"/>
  <c r="H30" i="2833"/>
  <c r="H29" i="2833"/>
  <c r="C19" i="2833"/>
  <c r="H23" i="2833"/>
  <c r="H22" i="2833"/>
  <c r="H17" i="2833"/>
  <c r="B16" i="2833"/>
  <c r="B20" i="2833" s="1"/>
  <c r="H28" i="2833"/>
  <c r="C15" i="2833"/>
  <c r="H18" i="2833"/>
  <c r="C14" i="2833"/>
  <c r="H27" i="2833"/>
  <c r="C13" i="2833"/>
  <c r="H16" i="2833"/>
  <c r="C12" i="2833"/>
  <c r="H4" i="2833"/>
  <c r="C11" i="2833"/>
  <c r="H12" i="2833"/>
  <c r="C10" i="2833"/>
  <c r="H11" i="2833"/>
  <c r="C9" i="2833"/>
  <c r="H9" i="2833"/>
  <c r="C8" i="2833"/>
  <c r="N7" i="2833"/>
  <c r="H6" i="2833"/>
  <c r="C7" i="2833"/>
  <c r="N6" i="2833"/>
  <c r="H2" i="2833"/>
  <c r="B6" i="2833"/>
  <c r="N5" i="2833"/>
  <c r="H7" i="2833"/>
  <c r="B5" i="2833"/>
  <c r="N4" i="2833"/>
  <c r="H3" i="2833"/>
  <c r="N3" i="2833"/>
  <c r="H10" i="2833"/>
  <c r="N2" i="2833"/>
  <c r="H5" i="2833"/>
  <c r="C16" i="2834" l="1"/>
  <c r="C16" i="2835"/>
  <c r="C18" i="2835"/>
  <c r="B20" i="2835"/>
  <c r="C18" i="2834"/>
  <c r="B20" i="2834"/>
  <c r="C16" i="2833"/>
  <c r="C17" i="2833"/>
  <c r="C18" i="2833"/>
  <c r="C27" i="2228" l="1"/>
  <c r="C13" i="2228" l="1"/>
  <c r="C12" i="2228"/>
  <c r="C19" i="2228" l="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26" i="2416"/>
  <c r="D23" i="2416"/>
  <c r="D17" i="2416"/>
  <c r="D28" i="2416"/>
  <c r="D9" i="2416"/>
  <c r="D30" i="2416"/>
  <c r="D25" i="2416"/>
  <c r="D12" i="2416"/>
  <c r="D21" i="2416"/>
  <c r="D24" i="2416"/>
  <c r="D14" i="2416"/>
  <c r="D34" i="2416"/>
  <c r="D16" i="2416"/>
  <c r="D27" i="2416"/>
  <c r="D33" i="2416"/>
  <c r="D18" i="2416"/>
  <c r="D15" i="2416"/>
  <c r="D20" i="2416"/>
  <c r="D32" i="2416"/>
  <c r="D22" i="2416"/>
  <c r="D29" i="2416"/>
  <c r="D19" i="2416"/>
  <c r="D4" i="2416"/>
  <c r="D13" i="2416"/>
  <c r="D11" i="2416"/>
  <c r="D8" i="2416"/>
  <c r="D6" i="2416"/>
  <c r="D7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<sst xmlns="http://schemas.openxmlformats.org/spreadsheetml/2006/main" count="2425" uniqueCount="240">
  <si>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</si>
  <si>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</si>
  <si>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</si>
  <si>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</si>
  <si>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</si>
  <si>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</si>
  <si>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</si>
  <si>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</si>
  <si>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</si>
  <si>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</si>
  <si>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</si>
  <si>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</si>
  <si>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</si>
  <si>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</si>
  <si>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</si>
  <si>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</si>
  <si>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</si>
  <si>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</si>
  <si>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</si>
  <si>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</si>
  <si>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</si>
  <si>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</si>
  <si>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</si>
  <si>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</si>
  <si>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</si>
  <si>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</si>
  <si>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</si>
  <si>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</si>
  <si>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</si>
  <si>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</si>
  <si>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</si>
  <si>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</si>
  <si>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</si>
  <si>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</si>
  <si>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</si>
  <si>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</si>
  <si>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</si>
  <si>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</si>
  <si>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</si>
  <si>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</si>
  <si>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</si>
  <si>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</si>
  <si>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</si>
  <si>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</si>
  <si>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</si>
  <si>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</si>
  <si>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</si>
  <si>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</si>
  <si>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</si>
  <si>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</si>
  <si>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</si>
  <si>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</si>
  <si>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</si>
  <si>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</si>
  <si>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</si>
  <si>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</si>
  <si>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</si>
  <si>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</si>
  <si>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</si>
  <si>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</si>
  <si>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</si>
  <si>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</si>
  <si>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</si>
  <si>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</si>
  <si>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</si>
  <si>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</si>
  <si>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</si>
  <si>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</si>
  <si>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</si>
  <si>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</si>
  <si>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</si>
  <si>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</si>
  <si>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</si>
  <si>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</si>
  <si>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</si>
  <si>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</si>
  <si>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</si>
  <si>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</si>
  <si>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</si>
  <si>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</si>
  <si>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</si>
  <si>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</si>
  <si>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</si>
  <si>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</si>
  <si>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</si>
  <si>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</si>
  <si>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</si>
  <si>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</si>
  <si>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</si>
  <si>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</si>
  <si>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</si>
  <si>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</si>
  <si>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</si>
  <si>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</si>
  <si>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</si>
  <si>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</si>
  <si>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</si>
  <si>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</si>
  <si>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</si>
  <si>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</si>
  <si>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</si>
  <si>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</si>
  <si>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</si>
  <si>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</si>
  <si>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</si>
  <si>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</si>
  <si>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</si>
  <si>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</si>
  <si>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</si>
  <si>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</si>
  <si>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</si>
  <si>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</si>
  <si>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</si>
  <si>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</si>
  <si>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</si>
  <si>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</si>
  <si>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</si>
  <si>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</si>
  <si>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</si>
  <si>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</si>
  <si>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</si>
  <si>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</si>
  <si>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</si>
  <si>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</si>
  <si>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</si>
  <si>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</si>
  <si>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</si>
  <si>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</si>
  <si>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</si>
  <si>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</si>
  <si>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</si>
  <si>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</si>
  <si>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</si>
  <si>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</si>
  <si>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</si>
  <si>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</si>
  <si>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</si>
  <si>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</si>
  <si>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</si>
  <si>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</si>
  <si>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</si>
  <si>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</si>
  <si>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</si>
  <si>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</si>
  <si>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</si>
  <si>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</si>
  <si>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</si>
  <si>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</si>
  <si>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</si>
  <si>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</si>
  <si>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</si>
  <si>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</si>
  <si>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</si>
  <si>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</si>
  <si>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</si>
  <si>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</si>
  <si>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</si>
  <si>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</si>
  <si>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</si>
  <si>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</si>
  <si>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</si>
  <si>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</si>
  <si>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</si>
  <si>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</si>
  <si>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</si>
  <si>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</si>
  <si>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</si>
  <si>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</si>
  <si>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</si>
  <si>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</si>
  <si>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</si>
  <si>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</si>
  <si>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</si>
  <si>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</si>
  <si>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</si>
  <si>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</si>
  <si>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</si>
  <si>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</si>
  <si>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</si>
  <si>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</si>
  <si>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</si>
  <si>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</si>
  <si>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</si>
  <si>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</si>
  <si>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</si>
  <si>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</si>
  <si>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</si>
  <si>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</si>
  <si>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</si>
  <si>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</si>
  <si>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</si>
  <si>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</si>
  <si>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</si>
  <si>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</si>
  <si>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</si>
  <si>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</si>
  <si>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</si>
  <si>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</si>
  <si>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</si>
  <si>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</si>
  <si>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</si>
  <si>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</si>
  <si>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</si>
  <si>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</si>
  <si>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ツモ</t>
  </si>
  <si>
    <t>国士13面</t>
  </si>
  <si>
    <t>四暗刻単騎</t>
  </si>
  <si>
    <t>純正九蓮</t>
  </si>
  <si>
    <t>01</t>
  </si>
  <si>
    <t>02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</si>
  <si>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</si>
  <si>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</si>
  <si>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</si>
  <si>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</si>
  <si>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</si>
  <si>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</si>
  <si>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</si>
  <si>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</si>
  <si>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</si>
  <si>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</si>
  <si>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</si>
  <si>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</si>
  <si>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</si>
  <si>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</si>
  <si>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</si>
  <si>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</si>
  <si>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</si>
  <si>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</si>
  <si>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</si>
  <si>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  <phoneticPr fontId="1"/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</si>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</sst>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だいち!$J$2:$J$155</c:f>
              <c:numCache>
                <c:formatCode>General</c:formatCode>
                <c:ptCount val="1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</c:numCache>
            </c:numRef>
          </c:xVal>
          <c:yVal>
            <c:numRef>
              <c:f>だいち!$K$2:$K$155</c:f>
              <c:numCache>
                <c:formatCode>\+0;\-0;\±0</c:formatCode>
                <c:ptCount val="15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5-4D2E-95D5-B2E1BA6B6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558.38926174496646</c:v>
                </c:pt>
                <c:pt idx="1">
                  <c:v>1483.8028169014085</c:v>
                </c:pt>
                <c:pt idx="2">
                  <c:v>1412.2137404580153</c:v>
                </c:pt>
                <c:pt idx="3">
                  <c:v>1841.8803418803418</c:v>
                </c:pt>
                <c:pt idx="4">
                  <c:v>778.57142857142856</c:v>
                </c:pt>
                <c:pt idx="5">
                  <c:v>297.29729729729729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1-4AC2-ABA9-9743B5708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32-4906-A308-87096C893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2-4952-97A2-81F1556CA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D9-46D6-A9FB-39FAF21B7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0-446B-B3B9-BC749C73F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りくと!$K$2:$K$101</c:f>
              <c:numCache>
                <c:formatCode>\+0;\-0;\±0</c:formatCode>
                <c:ptCount val="10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0-4252-BFF7-4422C6791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-409.2783505154639</c:v>
                </c:pt>
                <c:pt idx="1">
                  <c:v>-1774.1935483870968</c:v>
                </c:pt>
                <c:pt idx="2">
                  <c:v>2532.2222222222222</c:v>
                </c:pt>
                <c:pt idx="3">
                  <c:v>-2127.8481012658226</c:v>
                </c:pt>
                <c:pt idx="4">
                  <c:v>-2320.3125</c:v>
                </c:pt>
                <c:pt idx="5">
                  <c:v>-2185.7142857142858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17F-8C8C-9AF41BA44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7-4B58-B461-67C1E6B1C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C9-4639-A769-DAFE45C09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3-4F4D-90BB-6119E194B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2F-410E-820B-86EBE10BB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たかの!$K$2:$K$50</c:f>
              <c:numCache>
                <c:formatCode>\+0;\-0;\±0</c:formatCode>
                <c:ptCount val="4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  <c:pt idx="45">
                  <c:v>-215.2</c:v>
                </c:pt>
                <c:pt idx="46">
                  <c:v>-252.39999999999998</c:v>
                </c:pt>
                <c:pt idx="47">
                  <c:v>-293.7</c:v>
                </c:pt>
                <c:pt idx="48">
                  <c:v>-297.89999999999998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3-4FD2-BC37-D4F95F119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-2650</c:v>
                </c:pt>
                <c:pt idx="1">
                  <c:v>-2593.3333333333335</c:v>
                </c:pt>
                <c:pt idx="2">
                  <c:v>-1102.5641025641025</c:v>
                </c:pt>
                <c:pt idx="3">
                  <c:v>1729.7297297297298</c:v>
                </c:pt>
                <c:pt idx="4">
                  <c:v>-2764.2857142857142</c:v>
                </c:pt>
                <c:pt idx="5">
                  <c:v>109.09090909090909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3F-40AE-9360-4E02328A9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ただ!$K$2:$K$61</c:f>
              <c:numCache>
                <c:formatCode>\+0;\-0;\±0</c:formatCode>
                <c:ptCount val="6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  <c:pt idx="52">
                  <c:v>177.19999999999996</c:v>
                </c:pt>
                <c:pt idx="53">
                  <c:v>176.79999999999995</c:v>
                </c:pt>
                <c:pt idx="54">
                  <c:v>194.89999999999995</c:v>
                </c:pt>
                <c:pt idx="55">
                  <c:v>217.69999999999996</c:v>
                </c:pt>
                <c:pt idx="56">
                  <c:v>204.89999999999995</c:v>
                </c:pt>
                <c:pt idx="57">
                  <c:v>240.89999999999995</c:v>
                </c:pt>
                <c:pt idx="58">
                  <c:v>191.79999999999995</c:v>
                </c:pt>
                <c:pt idx="59">
                  <c:v>189.19999999999996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8F9-9080-E8B7FE508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4161.4035087719294</c:v>
                </c:pt>
                <c:pt idx="1">
                  <c:v>-490.56603773584908</c:v>
                </c:pt>
                <c:pt idx="2">
                  <c:v>220.83333333333334</c:v>
                </c:pt>
                <c:pt idx="3">
                  <c:v>-1153.3333333333333</c:v>
                </c:pt>
                <c:pt idx="4">
                  <c:v>55.555555555555557</c:v>
                </c:pt>
                <c:pt idx="5">
                  <c:v>-754.83870967741939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6-4F39-AE13-B24536950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4-42AC-8634-169966762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C-454B-8A29-8ADE4B6CF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れんたろう!$K$2:$K$64</c:f>
              <c:numCache>
                <c:formatCode>\+0;\-0;\±0</c:formatCode>
                <c:ptCount val="6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9-4D5F-9AF0-CD776FC34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-1720.6896551724137</c:v>
                </c:pt>
                <c:pt idx="1">
                  <c:v>-1350</c:v>
                </c:pt>
                <c:pt idx="2">
                  <c:v>-3441.818181818182</c:v>
                </c:pt>
                <c:pt idx="3">
                  <c:v>-931.37254901960785</c:v>
                </c:pt>
                <c:pt idx="4">
                  <c:v>-1878.7234042553191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D-436B-880A-0F8C448C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C-4B7F-89FB-A772BDBCD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9-4473-9E76-1C9FCF030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まっつん!$K$2:$K$17</c:f>
              <c:numCache>
                <c:formatCode>\+0;\-0;\±0</c:formatCode>
                <c:ptCount val="1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86-4260-835A-EC57AD017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-2086.6666666666665</c:v>
                </c:pt>
                <c:pt idx="1">
                  <c:v>3360</c:v>
                </c:pt>
                <c:pt idx="2">
                  <c:v>250</c:v>
                </c:pt>
                <c:pt idx="3">
                  <c:v>-381.81818181818181</c:v>
                </c:pt>
                <c:pt idx="4">
                  <c:v>-3460</c:v>
                </c:pt>
                <c:pt idx="5">
                  <c:v>-3928.5714285714284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1F-48E0-A2A9-C5461BBC3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7" customWidth="1"/>
    <col min="36" max="36" width="10.75" style="1" customWidth="1"/>
    <col min="37" max="37" width="10.75" style="81" customWidth="1"/>
    <col min="38" max="16384" width="9" style="4"/>
  </cols>
  <sheetData>
    <row r="1" spans="1:37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200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236</v>
      </c>
      <c r="AE1" s="85"/>
      <c r="AF1" s="84" t="s">
        <v>188</v>
      </c>
      <c r="AG1" s="85"/>
      <c r="AH1" s="84" t="s">
        <v>211</v>
      </c>
      <c r="AI1" s="85"/>
      <c r="AJ1" s="84" t="s">
        <v>212</v>
      </c>
      <c r="AK1" s="85"/>
    </row>
    <row r="2" spans="1:37" x14ac:dyDescent="0.4">
      <c r="A2" s="8">
        <v>1</v>
      </c>
      <c r="B2" s="9" t="s">
        <v>137</v>
      </c>
      <c r="C2" s="11">
        <v>828.70000000000027</v>
      </c>
      <c r="D2" s="10" t="s">
        <v>202</v>
      </c>
      <c r="E2" s="11">
        <v>17.8</v>
      </c>
      <c r="F2" s="10" t="s">
        <v>202</v>
      </c>
      <c r="G2" s="12">
        <v>1.6</v>
      </c>
      <c r="H2" s="10" t="s">
        <v>202</v>
      </c>
      <c r="I2" s="17">
        <v>0.6</v>
      </c>
      <c r="J2" s="10" t="s">
        <v>202</v>
      </c>
      <c r="K2" s="15">
        <v>0.39130434782608697</v>
      </c>
      <c r="L2" s="10" t="s">
        <v>202</v>
      </c>
      <c r="M2" s="15">
        <v>6.5217391304347824E-2</v>
      </c>
      <c r="N2" s="10" t="s">
        <v>141</v>
      </c>
      <c r="O2" s="13">
        <v>11448.69109947644</v>
      </c>
      <c r="P2" s="10" t="s">
        <v>202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0.45454545454545453</v>
      </c>
      <c r="X2" s="10" t="s">
        <v>203</v>
      </c>
      <c r="Y2" s="15">
        <v>0.39830508474576271</v>
      </c>
      <c r="Z2" s="10" t="s">
        <v>145</v>
      </c>
      <c r="AA2" s="15">
        <v>0.75</v>
      </c>
      <c r="AB2" s="10" t="s">
        <v>202</v>
      </c>
      <c r="AC2" s="15">
        <v>0.5</v>
      </c>
      <c r="AD2" s="10" t="s">
        <v>138</v>
      </c>
      <c r="AE2" s="15">
        <v>1</v>
      </c>
      <c r="AF2" s="10" t="s">
        <v>202</v>
      </c>
      <c r="AG2" s="15">
        <v>0.46666666666666667</v>
      </c>
      <c r="AH2" s="10" t="s">
        <v>137</v>
      </c>
      <c r="AI2" s="76">
        <v>10</v>
      </c>
      <c r="AJ2" s="10" t="s">
        <v>160</v>
      </c>
      <c r="AK2" s="80">
        <v>5</v>
      </c>
    </row>
    <row r="3" spans="1:37" x14ac:dyDescent="0.4">
      <c r="A3" s="7">
        <v>2</v>
      </c>
      <c r="B3" s="6" t="s">
        <v>142</v>
      </c>
      <c r="C3" s="3">
        <v>250.50000000000003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142</v>
      </c>
      <c r="K3" s="16">
        <v>0.35584415584415585</v>
      </c>
      <c r="L3" s="1" t="s">
        <v>139</v>
      </c>
      <c r="M3" s="16">
        <v>0.125</v>
      </c>
      <c r="N3" s="1" t="s">
        <v>156</v>
      </c>
      <c r="O3" s="2">
        <v>10857.142857142857</v>
      </c>
      <c r="P3" s="1" t="s">
        <v>203</v>
      </c>
      <c r="Q3" s="2">
        <v>-8109.5238095238092</v>
      </c>
      <c r="R3" s="1" t="s">
        <v>202</v>
      </c>
      <c r="S3" s="18">
        <v>0</v>
      </c>
      <c r="T3" s="1" t="s">
        <v>137</v>
      </c>
      <c r="U3" s="18">
        <v>0.20915032679738563</v>
      </c>
      <c r="V3" s="1" t="s">
        <v>202</v>
      </c>
      <c r="W3" s="16">
        <v>0.43478260869565216</v>
      </c>
      <c r="X3" s="1" t="s">
        <v>142</v>
      </c>
      <c r="Y3" s="16">
        <v>0.32653061224489793</v>
      </c>
      <c r="Z3" s="1" t="s">
        <v>142</v>
      </c>
      <c r="AA3" s="16">
        <v>0.66666666666666663</v>
      </c>
      <c r="AB3" s="1" t="s">
        <v>137</v>
      </c>
      <c r="AC3" s="16">
        <v>0.47096774193548385</v>
      </c>
      <c r="AD3" s="1" t="s">
        <v>160</v>
      </c>
      <c r="AE3" s="16">
        <v>0.47058823529411764</v>
      </c>
      <c r="AF3" s="1" t="s">
        <v>145</v>
      </c>
      <c r="AG3" s="16">
        <v>0.46153846153846156</v>
      </c>
      <c r="AH3" s="1" t="s">
        <v>141</v>
      </c>
      <c r="AI3" s="77">
        <v>10</v>
      </c>
      <c r="AJ3" s="1" t="s">
        <v>141</v>
      </c>
      <c r="AK3" s="81">
        <v>4</v>
      </c>
    </row>
    <row r="4" spans="1:37" x14ac:dyDescent="0.4">
      <c r="A4" s="7">
        <v>3</v>
      </c>
      <c r="B4" s="6" t="s">
        <v>149</v>
      </c>
      <c r="C4" s="3">
        <v>189.19999999999996</v>
      </c>
      <c r="D4" s="1" t="s">
        <v>137</v>
      </c>
      <c r="E4" s="3">
        <v>5.4163398692810478</v>
      </c>
      <c r="F4" s="1" t="s">
        <v>137</v>
      </c>
      <c r="G4" s="5">
        <v>1.8366013071895424</v>
      </c>
      <c r="H4" s="1" t="s">
        <v>149</v>
      </c>
      <c r="I4" s="18">
        <v>0.40677966101694918</v>
      </c>
      <c r="J4" s="1" t="s">
        <v>137</v>
      </c>
      <c r="K4" s="16">
        <v>0.35429583702391498</v>
      </c>
      <c r="L4" s="1" t="s">
        <v>156</v>
      </c>
      <c r="M4" s="16">
        <v>0.13414634146341464</v>
      </c>
      <c r="N4" s="1" t="s">
        <v>160</v>
      </c>
      <c r="O4" s="2">
        <v>10600</v>
      </c>
      <c r="P4" s="1" t="s">
        <v>138</v>
      </c>
      <c r="Q4" s="2">
        <v>-8240</v>
      </c>
      <c r="R4" s="1" t="s">
        <v>137</v>
      </c>
      <c r="S4" s="18">
        <v>0.11764705882352941</v>
      </c>
      <c r="T4" s="1" t="s">
        <v>149</v>
      </c>
      <c r="U4" s="18">
        <v>0.20338983050847459</v>
      </c>
      <c r="V4" s="1" t="s">
        <v>149</v>
      </c>
      <c r="W4" s="16">
        <v>0.33546325878594252</v>
      </c>
      <c r="X4" s="1" t="s">
        <v>148</v>
      </c>
      <c r="Y4" s="16">
        <v>0.27717391304347827</v>
      </c>
      <c r="Z4" s="1" t="s">
        <v>137</v>
      </c>
      <c r="AA4" s="16">
        <v>0.65608465608465605</v>
      </c>
      <c r="AB4" s="1" t="s">
        <v>149</v>
      </c>
      <c r="AC4" s="16">
        <v>0.39130434782608697</v>
      </c>
      <c r="AD4" s="1" t="s">
        <v>156</v>
      </c>
      <c r="AE4" s="16">
        <v>0.4642857142857143</v>
      </c>
      <c r="AF4" s="1" t="s">
        <v>156</v>
      </c>
      <c r="AG4" s="16">
        <v>0.45454545454545453</v>
      </c>
      <c r="AH4" s="1" t="s">
        <v>149</v>
      </c>
      <c r="AI4" s="77">
        <v>9</v>
      </c>
      <c r="AJ4" s="1" t="s">
        <v>149</v>
      </c>
      <c r="AK4" s="81">
        <v>3</v>
      </c>
    </row>
    <row r="5" spans="1:37" x14ac:dyDescent="0.4">
      <c r="A5" s="7">
        <v>4</v>
      </c>
      <c r="B5" s="6" t="s">
        <v>202</v>
      </c>
      <c r="C5" s="3">
        <v>89</v>
      </c>
      <c r="D5" s="1" t="s">
        <v>142</v>
      </c>
      <c r="E5" s="3">
        <v>4.6388888888888893</v>
      </c>
      <c r="F5" s="1" t="s">
        <v>142</v>
      </c>
      <c r="G5" s="5">
        <v>1.8888888888888888</v>
      </c>
      <c r="H5" s="1" t="s">
        <v>137</v>
      </c>
      <c r="I5" s="18">
        <v>0.40522875816993464</v>
      </c>
      <c r="J5" s="1" t="s">
        <v>156</v>
      </c>
      <c r="K5" s="16">
        <v>0.34146341463414637</v>
      </c>
      <c r="L5" s="1" t="s">
        <v>137</v>
      </c>
      <c r="M5" s="16">
        <v>0.14791851195748451</v>
      </c>
      <c r="N5" s="1" t="s">
        <v>149</v>
      </c>
      <c r="O5" s="2">
        <v>10575.352112676057</v>
      </c>
      <c r="P5" s="1" t="s">
        <v>148</v>
      </c>
      <c r="Q5" s="2">
        <v>-8509.21052631579</v>
      </c>
      <c r="R5" s="1" t="s">
        <v>142</v>
      </c>
      <c r="S5" s="18">
        <v>0.12962962962962962</v>
      </c>
      <c r="T5" s="1" t="s">
        <v>145</v>
      </c>
      <c r="U5" s="18">
        <v>0.2</v>
      </c>
      <c r="V5" s="1" t="s">
        <v>160</v>
      </c>
      <c r="W5" s="16">
        <v>0.29464285714285715</v>
      </c>
      <c r="X5" s="1" t="s">
        <v>137</v>
      </c>
      <c r="Y5" s="16">
        <v>0.23273273273273273</v>
      </c>
      <c r="Z5" s="1" t="s">
        <v>149</v>
      </c>
      <c r="AA5" s="16">
        <v>0.62857142857142856</v>
      </c>
      <c r="AB5" s="1" t="s">
        <v>160</v>
      </c>
      <c r="AC5" s="16">
        <v>0.38144329896907214</v>
      </c>
      <c r="AD5" s="1" t="s">
        <v>142</v>
      </c>
      <c r="AE5" s="16">
        <v>0.45985401459854014</v>
      </c>
      <c r="AF5" s="1" t="s">
        <v>137</v>
      </c>
      <c r="AG5" s="16">
        <v>0.41813602015113349</v>
      </c>
      <c r="AH5" s="1" t="s">
        <v>142</v>
      </c>
      <c r="AI5" s="77">
        <v>7</v>
      </c>
      <c r="AJ5" s="1" t="s">
        <v>148</v>
      </c>
      <c r="AK5" s="81">
        <v>2</v>
      </c>
    </row>
    <row r="6" spans="1:37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3.2067796610169483</v>
      </c>
      <c r="F6" s="1" t="s">
        <v>149</v>
      </c>
      <c r="G6" s="5">
        <v>1.8983050847457628</v>
      </c>
      <c r="H6" s="1" t="s">
        <v>142</v>
      </c>
      <c r="I6" s="18">
        <v>0.35185185185185186</v>
      </c>
      <c r="J6" s="1" t="s">
        <v>149</v>
      </c>
      <c r="K6" s="16">
        <v>0.31838565022421522</v>
      </c>
      <c r="L6" s="1" t="s">
        <v>142</v>
      </c>
      <c r="M6" s="16">
        <v>0.15844155844155844</v>
      </c>
      <c r="N6" s="1" t="s">
        <v>142</v>
      </c>
      <c r="O6" s="2">
        <v>9855.4744525547449</v>
      </c>
      <c r="P6" s="1" t="s">
        <v>142</v>
      </c>
      <c r="Q6" s="2">
        <v>-9145.9016393442616</v>
      </c>
      <c r="R6" s="1" t="s">
        <v>149</v>
      </c>
      <c r="S6" s="18">
        <v>0.15254237288135594</v>
      </c>
      <c r="T6" s="1" t="s">
        <v>202</v>
      </c>
      <c r="U6" s="18">
        <v>0.2</v>
      </c>
      <c r="V6" s="1" t="s">
        <v>141</v>
      </c>
      <c r="W6" s="16">
        <v>0.28747433264887062</v>
      </c>
      <c r="X6" s="1" t="s">
        <v>149</v>
      </c>
      <c r="Y6" s="16">
        <v>0.22044728434504793</v>
      </c>
      <c r="Z6" s="1" t="s">
        <v>202</v>
      </c>
      <c r="AA6" s="16">
        <v>0.6</v>
      </c>
      <c r="AB6" s="1" t="s">
        <v>141</v>
      </c>
      <c r="AC6" s="16">
        <v>0.37777777777777777</v>
      </c>
      <c r="AD6" s="1" t="s">
        <v>148</v>
      </c>
      <c r="AE6" s="16">
        <v>0.42553191489361702</v>
      </c>
      <c r="AF6" s="1" t="s">
        <v>149</v>
      </c>
      <c r="AG6" s="16">
        <v>0.3902439024390244</v>
      </c>
      <c r="AH6" s="1" t="s">
        <v>160</v>
      </c>
      <c r="AI6" s="77">
        <v>7</v>
      </c>
      <c r="AJ6" s="1" t="s">
        <v>137</v>
      </c>
      <c r="AK6" s="81">
        <v>1</v>
      </c>
    </row>
    <row r="7" spans="1:37" x14ac:dyDescent="0.4">
      <c r="A7" s="7">
        <v>6</v>
      </c>
      <c r="B7" s="6" t="s">
        <v>139</v>
      </c>
      <c r="C7" s="3">
        <v>-26.5</v>
      </c>
      <c r="D7" s="1" t="s">
        <v>203</v>
      </c>
      <c r="E7" s="3">
        <v>-2.9466666666666663</v>
      </c>
      <c r="F7" s="1" t="s">
        <v>141</v>
      </c>
      <c r="G7" s="5">
        <v>2.1010101010101012</v>
      </c>
      <c r="H7" s="1" t="s">
        <v>141</v>
      </c>
      <c r="I7" s="18">
        <v>0.30303030303030304</v>
      </c>
      <c r="J7" s="1" t="s">
        <v>160</v>
      </c>
      <c r="K7" s="16">
        <v>0.28041237113402062</v>
      </c>
      <c r="L7" s="1" t="s">
        <v>149</v>
      </c>
      <c r="M7" s="16">
        <v>0.16367713004484305</v>
      </c>
      <c r="N7" s="1" t="s">
        <v>137</v>
      </c>
      <c r="O7" s="2">
        <v>9828.5</v>
      </c>
      <c r="P7" s="1" t="s">
        <v>137</v>
      </c>
      <c r="Q7" s="2">
        <v>-9565.2694610778435</v>
      </c>
      <c r="R7" s="1" t="s">
        <v>203</v>
      </c>
      <c r="S7" s="18">
        <v>0.2</v>
      </c>
      <c r="T7" s="1" t="s">
        <v>142</v>
      </c>
      <c r="U7" s="18">
        <v>0.18518518518518517</v>
      </c>
      <c r="V7" s="1" t="s">
        <v>137</v>
      </c>
      <c r="W7" s="16">
        <v>0.28378378378378377</v>
      </c>
      <c r="X7" s="1" t="s">
        <v>160</v>
      </c>
      <c r="Y7" s="16">
        <v>0.21651785714285715</v>
      </c>
      <c r="Z7" s="1" t="s">
        <v>160</v>
      </c>
      <c r="AA7" s="16">
        <v>0.58333333333333337</v>
      </c>
      <c r="AB7" s="1" t="s">
        <v>148</v>
      </c>
      <c r="AC7" s="16">
        <v>0.37254901960784315</v>
      </c>
      <c r="AD7" s="1" t="s">
        <v>141</v>
      </c>
      <c r="AE7" s="16">
        <v>0.41361256544502617</v>
      </c>
      <c r="AF7" s="1" t="s">
        <v>142</v>
      </c>
      <c r="AG7" s="16">
        <v>0.37323943661971831</v>
      </c>
      <c r="AH7" s="1" t="s">
        <v>148</v>
      </c>
      <c r="AI7" s="77">
        <v>5</v>
      </c>
      <c r="AJ7" s="1" t="s">
        <v>142</v>
      </c>
      <c r="AK7" s="81">
        <v>1</v>
      </c>
    </row>
    <row r="8" spans="1:37" x14ac:dyDescent="0.4">
      <c r="A8" s="7">
        <v>7</v>
      </c>
      <c r="B8" s="6" t="s">
        <v>203</v>
      </c>
      <c r="C8" s="3">
        <v>-44.199999999999996</v>
      </c>
      <c r="D8" s="1" t="s">
        <v>141</v>
      </c>
      <c r="E8" s="3">
        <v>-3.6616161616161618</v>
      </c>
      <c r="F8" s="1" t="s">
        <v>203</v>
      </c>
      <c r="G8" s="5">
        <v>2.1333333333333333</v>
      </c>
      <c r="H8" s="1" t="s">
        <v>203</v>
      </c>
      <c r="I8" s="18">
        <v>0.26666666666666666</v>
      </c>
      <c r="J8" s="1" t="s">
        <v>145</v>
      </c>
      <c r="K8" s="16">
        <v>0.27027027027027029</v>
      </c>
      <c r="L8" s="1" t="s">
        <v>203</v>
      </c>
      <c r="M8" s="16">
        <v>0.17796610169491525</v>
      </c>
      <c r="N8" s="1" t="s">
        <v>148</v>
      </c>
      <c r="O8" s="2">
        <v>9722.3404255319147</v>
      </c>
      <c r="P8" s="1" t="s">
        <v>149</v>
      </c>
      <c r="Q8" s="2">
        <v>-9626.0273972602736</v>
      </c>
      <c r="R8" s="1" t="s">
        <v>148</v>
      </c>
      <c r="S8" s="18">
        <v>0.20833333333333334</v>
      </c>
      <c r="T8" s="1" t="s">
        <v>141</v>
      </c>
      <c r="U8" s="18">
        <v>0.15151515151515152</v>
      </c>
      <c r="V8" s="1" t="s">
        <v>145</v>
      </c>
      <c r="W8" s="16">
        <v>0.25806451612903225</v>
      </c>
      <c r="X8" s="1" t="s">
        <v>141</v>
      </c>
      <c r="Y8" s="16">
        <v>0.18480492813141683</v>
      </c>
      <c r="Z8" s="1" t="s">
        <v>141</v>
      </c>
      <c r="AA8" s="16">
        <v>0.55714285714285716</v>
      </c>
      <c r="AB8" s="1" t="s">
        <v>142</v>
      </c>
      <c r="AC8" s="16">
        <v>0.35416666666666669</v>
      </c>
      <c r="AD8" s="1" t="s">
        <v>149</v>
      </c>
      <c r="AE8" s="16">
        <v>0.39436619718309857</v>
      </c>
      <c r="AF8" s="1" t="s">
        <v>148</v>
      </c>
      <c r="AG8" s="16">
        <v>0.35576923076923078</v>
      </c>
      <c r="AH8" s="1" t="s">
        <v>202</v>
      </c>
      <c r="AI8" s="77">
        <v>5</v>
      </c>
      <c r="AJ8" s="1" t="s">
        <v>138</v>
      </c>
      <c r="AK8" s="81">
        <v>0</v>
      </c>
    </row>
    <row r="9" spans="1:37" x14ac:dyDescent="0.4">
      <c r="A9" s="7">
        <v>8</v>
      </c>
      <c r="B9" s="6" t="s">
        <v>145</v>
      </c>
      <c r="C9" s="3">
        <v>-86.4</v>
      </c>
      <c r="D9" s="1" t="s">
        <v>148</v>
      </c>
      <c r="E9" s="3">
        <v>-6.2062499999999998</v>
      </c>
      <c r="F9" s="1" t="s">
        <v>148</v>
      </c>
      <c r="G9" s="5">
        <v>2.1875</v>
      </c>
      <c r="H9" s="1" t="s">
        <v>160</v>
      </c>
      <c r="I9" s="18">
        <v>0.22580645161290322</v>
      </c>
      <c r="J9" s="1" t="s">
        <v>141</v>
      </c>
      <c r="K9" s="16">
        <v>0.25534759358288772</v>
      </c>
      <c r="L9" s="1" t="s">
        <v>141</v>
      </c>
      <c r="M9" s="16">
        <v>0.19385026737967914</v>
      </c>
      <c r="N9" s="1" t="s">
        <v>203</v>
      </c>
      <c r="O9" s="2">
        <v>9703.4482758620688</v>
      </c>
      <c r="P9" s="1" t="s">
        <v>160</v>
      </c>
      <c r="Q9" s="2">
        <v>-9648.6956521739139</v>
      </c>
      <c r="R9" s="1" t="s">
        <v>160</v>
      </c>
      <c r="S9" s="18">
        <v>0.20967741935483872</v>
      </c>
      <c r="T9" s="1" t="s">
        <v>148</v>
      </c>
      <c r="U9" s="18">
        <v>0.14583333333333334</v>
      </c>
      <c r="V9" s="1" t="s">
        <v>148</v>
      </c>
      <c r="W9" s="16">
        <v>0.22826086956521738</v>
      </c>
      <c r="X9" s="1" t="s">
        <v>145</v>
      </c>
      <c r="Y9" s="16">
        <v>0.16129032258064516</v>
      </c>
      <c r="Z9" s="1" t="s">
        <v>203</v>
      </c>
      <c r="AA9" s="16">
        <v>0.54545454545454541</v>
      </c>
      <c r="AB9" s="1" t="s">
        <v>203</v>
      </c>
      <c r="AC9" s="16">
        <v>0.2978723404255319</v>
      </c>
      <c r="AD9" s="1" t="s">
        <v>137</v>
      </c>
      <c r="AE9" s="16">
        <v>0.37</v>
      </c>
      <c r="AF9" s="1" t="s">
        <v>141</v>
      </c>
      <c r="AG9" s="16">
        <v>0.30603448275862066</v>
      </c>
      <c r="AH9" s="1" t="s">
        <v>203</v>
      </c>
      <c r="AI9" s="77">
        <v>5</v>
      </c>
      <c r="AJ9" s="1" t="s">
        <v>139</v>
      </c>
      <c r="AK9" s="81">
        <v>0</v>
      </c>
    </row>
    <row r="10" spans="1:37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-7.945161290322579</v>
      </c>
      <c r="F10" s="1" t="s">
        <v>145</v>
      </c>
      <c r="G10" s="5">
        <v>2.2000000000000002</v>
      </c>
      <c r="H10" s="1" t="s">
        <v>148</v>
      </c>
      <c r="I10" s="18">
        <v>0.20833333333333334</v>
      </c>
      <c r="J10" s="1" t="s">
        <v>148</v>
      </c>
      <c r="K10" s="16">
        <v>0.25336927223719674</v>
      </c>
      <c r="L10" s="1" t="s">
        <v>148</v>
      </c>
      <c r="M10" s="16">
        <v>0.20485175202156333</v>
      </c>
      <c r="N10" s="1" t="s">
        <v>202</v>
      </c>
      <c r="O10" s="2">
        <v>9227.7777777777774</v>
      </c>
      <c r="P10" s="1" t="s">
        <v>156</v>
      </c>
      <c r="Q10" s="2">
        <v>-9927.2727272727279</v>
      </c>
      <c r="R10" s="1" t="s">
        <v>141</v>
      </c>
      <c r="S10" s="18">
        <v>0.22222222222222221</v>
      </c>
      <c r="T10" s="1" t="s">
        <v>203</v>
      </c>
      <c r="U10" s="18">
        <v>0.13333333333333333</v>
      </c>
      <c r="V10" s="1" t="s">
        <v>142</v>
      </c>
      <c r="W10" s="16">
        <v>0.22448979591836735</v>
      </c>
      <c r="X10" s="1" t="s">
        <v>202</v>
      </c>
      <c r="Y10" s="16">
        <v>0.13043478260869565</v>
      </c>
      <c r="Z10" s="1" t="s">
        <v>148</v>
      </c>
      <c r="AA10" s="16">
        <v>0.35714285714285715</v>
      </c>
      <c r="AB10" s="1" t="s">
        <v>145</v>
      </c>
      <c r="AC10" s="16">
        <v>0.2</v>
      </c>
      <c r="AD10" s="1" t="s">
        <v>145</v>
      </c>
      <c r="AE10" s="16">
        <v>0.3</v>
      </c>
      <c r="AF10" s="1" t="s">
        <v>160</v>
      </c>
      <c r="AG10" s="16">
        <v>0.30463576158940397</v>
      </c>
      <c r="AH10" s="1" t="s">
        <v>145</v>
      </c>
      <c r="AI10" s="77">
        <v>3</v>
      </c>
      <c r="AJ10" s="1" t="s">
        <v>145</v>
      </c>
      <c r="AK10" s="81">
        <v>0</v>
      </c>
    </row>
    <row r="11" spans="1:37" x14ac:dyDescent="0.4">
      <c r="A11" s="7">
        <v>10</v>
      </c>
      <c r="B11" s="6" t="s">
        <v>148</v>
      </c>
      <c r="C11" s="3">
        <v>-297.89999999999998</v>
      </c>
      <c r="D11" s="1" t="s">
        <v>139</v>
      </c>
      <c r="E11" s="3">
        <v>-8.8333333333333339</v>
      </c>
      <c r="F11" s="1" t="s">
        <v>160</v>
      </c>
      <c r="G11" s="5">
        <v>2.2419354838709675</v>
      </c>
      <c r="H11" s="1" t="s">
        <v>145</v>
      </c>
      <c r="I11" s="18">
        <v>0.2</v>
      </c>
      <c r="J11" s="1" t="s">
        <v>203</v>
      </c>
      <c r="K11" s="16">
        <v>0.24576271186440679</v>
      </c>
      <c r="L11" s="1" t="s">
        <v>145</v>
      </c>
      <c r="M11" s="16">
        <v>0.21621621621621623</v>
      </c>
      <c r="N11" s="1" t="s">
        <v>139</v>
      </c>
      <c r="O11" s="2">
        <v>8000</v>
      </c>
      <c r="P11" s="1" t="s">
        <v>141</v>
      </c>
      <c r="Q11" s="2">
        <v>-10051.724137931034</v>
      </c>
      <c r="R11" s="1" t="s">
        <v>156</v>
      </c>
      <c r="S11" s="18">
        <v>0.25</v>
      </c>
      <c r="T11" s="1" t="s">
        <v>160</v>
      </c>
      <c r="U11" s="18">
        <v>9.6774193548387094E-2</v>
      </c>
      <c r="V11" s="1" t="s">
        <v>203</v>
      </c>
      <c r="W11" s="16">
        <v>0.1864406779661017</v>
      </c>
      <c r="X11" s="1" t="s">
        <v>138</v>
      </c>
      <c r="Y11" s="16">
        <v>0</v>
      </c>
      <c r="Z11" s="1" t="s">
        <v>139</v>
      </c>
      <c r="AA11" s="16">
        <v>0.2</v>
      </c>
      <c r="AB11" s="1" t="s">
        <v>138</v>
      </c>
      <c r="AC11" s="16">
        <v>0</v>
      </c>
      <c r="AD11" s="1" t="s">
        <v>202</v>
      </c>
      <c r="AE11" s="16">
        <v>0.27777777777777779</v>
      </c>
      <c r="AF11" s="1" t="s">
        <v>203</v>
      </c>
      <c r="AG11" s="16">
        <v>0.25714285714285712</v>
      </c>
      <c r="AH11" s="1" t="s">
        <v>139</v>
      </c>
      <c r="AI11" s="77">
        <v>2</v>
      </c>
      <c r="AJ11" s="1" t="s">
        <v>156</v>
      </c>
      <c r="AK11" s="81">
        <v>0</v>
      </c>
    </row>
    <row r="12" spans="1:37" x14ac:dyDescent="0.4">
      <c r="A12" s="7">
        <v>11</v>
      </c>
      <c r="B12" s="6" t="s">
        <v>141</v>
      </c>
      <c r="C12" s="3">
        <v>-362.5</v>
      </c>
      <c r="D12" s="1" t="s">
        <v>145</v>
      </c>
      <c r="E12" s="3">
        <v>-17.28</v>
      </c>
      <c r="F12" s="1" t="s">
        <v>139</v>
      </c>
      <c r="G12" s="5">
        <v>2.3333333333333335</v>
      </c>
      <c r="H12" s="1" t="s">
        <v>138</v>
      </c>
      <c r="I12" s="18">
        <v>0</v>
      </c>
      <c r="J12" s="1" t="s">
        <v>139</v>
      </c>
      <c r="K12" s="16">
        <v>0.1875</v>
      </c>
      <c r="L12" s="1" t="s">
        <v>160</v>
      </c>
      <c r="M12" s="16">
        <v>0.23711340206185566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138</v>
      </c>
      <c r="AA12" s="16">
        <v>0</v>
      </c>
      <c r="AB12" s="1" t="s">
        <v>139</v>
      </c>
      <c r="AC12" s="16">
        <v>0</v>
      </c>
      <c r="AD12" s="1" t="s">
        <v>203</v>
      </c>
      <c r="AE12" s="16">
        <v>0.2413793103448276</v>
      </c>
      <c r="AF12" s="1" t="s">
        <v>138</v>
      </c>
      <c r="AG12" s="16">
        <v>0</v>
      </c>
      <c r="AH12" s="1" t="s">
        <v>138</v>
      </c>
      <c r="AI12" s="77">
        <v>0</v>
      </c>
      <c r="AJ12" s="1" t="s">
        <v>202</v>
      </c>
      <c r="AK12" s="81">
        <v>0</v>
      </c>
    </row>
    <row r="13" spans="1:37" x14ac:dyDescent="0.4">
      <c r="A13" s="7">
        <v>12</v>
      </c>
      <c r="B13" s="6" t="s">
        <v>160</v>
      </c>
      <c r="C13" s="3">
        <v>-492.59999999999991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139</v>
      </c>
      <c r="AG13" s="16">
        <v>0</v>
      </c>
      <c r="AH13" s="1" t="s">
        <v>156</v>
      </c>
      <c r="AI13" s="77">
        <v>0</v>
      </c>
      <c r="AJ13" s="1" t="s">
        <v>203</v>
      </c>
      <c r="AK13" s="81">
        <v>0</v>
      </c>
    </row>
  </sheetData>
  <sortState ref="AJ2:AK30">
    <sortCondition descending="1" ref="AK1"/>
  </sortState>
  <mergeCells count="18">
    <mergeCell ref="B1:C1"/>
    <mergeCell ref="P1:Q1"/>
    <mergeCell ref="N1:O1"/>
    <mergeCell ref="L1:M1"/>
    <mergeCell ref="J1:K1"/>
    <mergeCell ref="H1:I1"/>
    <mergeCell ref="F1:G1"/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201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748</v>
      </c>
    </row>
    <row r="2" spans="1:7" x14ac:dyDescent="0.4">
      <c r="A2" s="67" t="s">
        <v>73</v>
      </c>
      <c r="B2" s="63" t="s">
        <v>27</v>
      </c>
      <c r="C2" s="49">
        <v>679</v>
      </c>
      <c r="D2" s="24">
        <f>IF(G$1=0,0,C2/G$1)</f>
        <v>0.90775401069518713</v>
      </c>
    </row>
    <row r="3" spans="1:7" x14ac:dyDescent="0.4">
      <c r="A3" s="68" t="s">
        <v>71</v>
      </c>
      <c r="B3" s="64" t="s">
        <v>25</v>
      </c>
      <c r="C3" s="50">
        <v>538</v>
      </c>
      <c r="D3" s="27">
        <f>IF(G$1=0,0,C3/G$1)</f>
        <v>0.71925133689839571</v>
      </c>
    </row>
    <row r="4" spans="1:7" x14ac:dyDescent="0.4">
      <c r="A4" s="68" t="s">
        <v>78</v>
      </c>
      <c r="B4" s="64" t="s">
        <v>31</v>
      </c>
      <c r="C4" s="50">
        <v>446</v>
      </c>
      <c r="D4" s="27">
        <f>IF(G$1=0,0,C4/G$1)</f>
        <v>0.59625668449197866</v>
      </c>
    </row>
    <row r="5" spans="1:7" x14ac:dyDescent="0.4">
      <c r="A5" s="68" t="s">
        <v>208</v>
      </c>
      <c r="B5" s="64" t="s">
        <v>23</v>
      </c>
      <c r="C5" s="50">
        <v>403</v>
      </c>
      <c r="D5" s="27">
        <f>IF(G$1=0,0,C5/G$1)</f>
        <v>0.53877005347593587</v>
      </c>
    </row>
    <row r="6" spans="1:7" x14ac:dyDescent="0.4">
      <c r="A6" s="68" t="s">
        <v>74</v>
      </c>
      <c r="B6" s="64" t="s">
        <v>204</v>
      </c>
      <c r="C6" s="50">
        <v>219</v>
      </c>
      <c r="D6" s="27">
        <f>IF(G$1=0,0,C6/G$1)</f>
        <v>0.29278074866310161</v>
      </c>
    </row>
    <row r="7" spans="1:7" x14ac:dyDescent="0.4">
      <c r="A7" s="68" t="s">
        <v>72</v>
      </c>
      <c r="B7" s="64" t="s">
        <v>26</v>
      </c>
      <c r="C7" s="50">
        <v>218</v>
      </c>
      <c r="D7" s="27">
        <f>IF(G$1=0,0,C7/G$1)</f>
        <v>0.29144385026737968</v>
      </c>
    </row>
    <row r="8" spans="1:7" x14ac:dyDescent="0.4">
      <c r="A8" s="68" t="s">
        <v>75</v>
      </c>
      <c r="B8" s="64" t="s">
        <v>28</v>
      </c>
      <c r="C8" s="50">
        <v>112</v>
      </c>
      <c r="D8" s="27">
        <f>IF(G$1=0,0,C8/G$1)</f>
        <v>0.1497326203208556</v>
      </c>
    </row>
    <row r="9" spans="1:7" x14ac:dyDescent="0.4">
      <c r="A9" s="68" t="s">
        <v>96</v>
      </c>
      <c r="B9" s="64" t="s">
        <v>49</v>
      </c>
      <c r="C9" s="50">
        <v>110</v>
      </c>
      <c r="D9" s="27">
        <f>IF(G$1=0,0,C9/G$1)</f>
        <v>0.14705882352941177</v>
      </c>
    </row>
    <row r="10" spans="1:7" x14ac:dyDescent="0.4">
      <c r="A10" s="68" t="s">
        <v>209</v>
      </c>
      <c r="B10" s="64" t="s">
        <v>24</v>
      </c>
      <c r="C10" s="50">
        <v>84</v>
      </c>
      <c r="D10" s="27">
        <f>IF(G$1=0,0,C10/G$1)</f>
        <v>0.11229946524064172</v>
      </c>
    </row>
    <row r="11" spans="1:7" x14ac:dyDescent="0.4">
      <c r="A11" s="68" t="s">
        <v>76</v>
      </c>
      <c r="B11" s="64" t="s">
        <v>29</v>
      </c>
      <c r="C11" s="50">
        <v>74</v>
      </c>
      <c r="D11" s="27">
        <f>IF(G$1=0,0,C11/G$1)</f>
        <v>9.8930481283422467E-2</v>
      </c>
    </row>
    <row r="12" spans="1:7" x14ac:dyDescent="0.4">
      <c r="A12" s="68" t="s">
        <v>93</v>
      </c>
      <c r="B12" s="64" t="s">
        <v>46</v>
      </c>
      <c r="C12" s="50">
        <v>55</v>
      </c>
      <c r="D12" s="27">
        <f>IF(G$1=0,0,C12/G$1)</f>
        <v>7.3529411764705885E-2</v>
      </c>
    </row>
    <row r="13" spans="1:7" x14ac:dyDescent="0.4">
      <c r="A13" s="68" t="s">
        <v>77</v>
      </c>
      <c r="B13" s="64" t="s">
        <v>30</v>
      </c>
      <c r="C13" s="50">
        <v>34</v>
      </c>
      <c r="D13" s="27">
        <f>IF(G$1=0,0,C13/G$1)</f>
        <v>4.5454545454545456E-2</v>
      </c>
    </row>
    <row r="14" spans="1:7" x14ac:dyDescent="0.4">
      <c r="A14" s="68" t="s">
        <v>90</v>
      </c>
      <c r="B14" s="64" t="s">
        <v>43</v>
      </c>
      <c r="C14" s="50">
        <v>33</v>
      </c>
      <c r="D14" s="27">
        <f>IF(G$1=0,0,C14/G$1)</f>
        <v>4.4117647058823532E-2</v>
      </c>
    </row>
    <row r="15" spans="1:7" x14ac:dyDescent="0.4">
      <c r="A15" s="68" t="s">
        <v>84</v>
      </c>
      <c r="B15" s="64" t="s">
        <v>37</v>
      </c>
      <c r="C15" s="50">
        <v>21</v>
      </c>
      <c r="D15" s="27">
        <f>IF(G$1=0,0,C15/G$1)</f>
        <v>2.8074866310160429E-2</v>
      </c>
    </row>
    <row r="16" spans="1:7" x14ac:dyDescent="0.4">
      <c r="A16" s="68" t="s">
        <v>88</v>
      </c>
      <c r="B16" s="64" t="s">
        <v>41</v>
      </c>
      <c r="C16" s="50">
        <v>21</v>
      </c>
      <c r="D16" s="27">
        <f>IF(G$1=0,0,C16/G$1)</f>
        <v>2.8074866310160429E-2</v>
      </c>
    </row>
    <row r="17" spans="1:4" x14ac:dyDescent="0.4">
      <c r="A17" s="68" t="s">
        <v>98</v>
      </c>
      <c r="B17" s="64" t="s">
        <v>51</v>
      </c>
      <c r="C17" s="50">
        <v>13</v>
      </c>
      <c r="D17" s="27">
        <f>IF(G$1=0,0,C17/G$1)</f>
        <v>1.7379679144385027E-2</v>
      </c>
    </row>
    <row r="18" spans="1:4" x14ac:dyDescent="0.4">
      <c r="A18" s="68" t="s">
        <v>85</v>
      </c>
      <c r="B18" s="64" t="s">
        <v>38</v>
      </c>
      <c r="C18" s="50">
        <v>10</v>
      </c>
      <c r="D18" s="27">
        <f>IF(G$1=0,0,C18/G$1)</f>
        <v>1.3368983957219251E-2</v>
      </c>
    </row>
    <row r="19" spans="1:4" x14ac:dyDescent="0.4">
      <c r="A19" s="68" t="s">
        <v>79</v>
      </c>
      <c r="B19" s="64" t="s">
        <v>32</v>
      </c>
      <c r="C19" s="50">
        <v>7</v>
      </c>
      <c r="D19" s="27">
        <f>IF(G$1=0,0,C19/G$1)</f>
        <v>9.3582887700534752E-3</v>
      </c>
    </row>
    <row r="20" spans="1:4" x14ac:dyDescent="0.4">
      <c r="A20" s="68" t="s">
        <v>83</v>
      </c>
      <c r="B20" s="64" t="s">
        <v>36</v>
      </c>
      <c r="C20" s="50">
        <v>6</v>
      </c>
      <c r="D20" s="27">
        <f>IF(G$1=0,0,C20/G$1)</f>
        <v>8.0213903743315516E-3</v>
      </c>
    </row>
    <row r="21" spans="1:4" x14ac:dyDescent="0.4">
      <c r="A21" s="68" t="s">
        <v>92</v>
      </c>
      <c r="B21" s="64" t="s">
        <v>45</v>
      </c>
      <c r="C21" s="50">
        <v>4</v>
      </c>
      <c r="D21" s="27">
        <f>IF(G$1=0,0,C21/G$1)</f>
        <v>5.3475935828877002E-3</v>
      </c>
    </row>
    <row r="22" spans="1:4" x14ac:dyDescent="0.4">
      <c r="A22" s="68" t="s">
        <v>81</v>
      </c>
      <c r="B22" s="64" t="s">
        <v>34</v>
      </c>
      <c r="C22" s="50">
        <v>4</v>
      </c>
      <c r="D22" s="27">
        <f>IF(G$1=0,0,C22/G$1)</f>
        <v>5.3475935828877002E-3</v>
      </c>
    </row>
    <row r="23" spans="1:4" x14ac:dyDescent="0.4">
      <c r="A23" s="68" t="s">
        <v>99</v>
      </c>
      <c r="B23" s="64" t="s">
        <v>52</v>
      </c>
      <c r="C23" s="50">
        <v>4</v>
      </c>
      <c r="D23" s="27">
        <f>IF(G$1=0,0,C23/G$1)</f>
        <v>5.3475935828877002E-3</v>
      </c>
    </row>
    <row r="24" spans="1:4" x14ac:dyDescent="0.4">
      <c r="A24" s="68" t="s">
        <v>91</v>
      </c>
      <c r="B24" s="64" t="s">
        <v>44</v>
      </c>
      <c r="C24" s="50">
        <v>3</v>
      </c>
      <c r="D24" s="27">
        <f>IF(G$1=0,0,C24/G$1)</f>
        <v>4.0106951871657758E-3</v>
      </c>
    </row>
    <row r="25" spans="1:4" x14ac:dyDescent="0.4">
      <c r="A25" s="68" t="s">
        <v>94</v>
      </c>
      <c r="B25" s="64" t="s">
        <v>47</v>
      </c>
      <c r="C25" s="50">
        <v>3</v>
      </c>
      <c r="D25" s="27">
        <f>IF(G$1=0,0,C25/G$1)</f>
        <v>4.0106951871657758E-3</v>
      </c>
    </row>
    <row r="26" spans="1:4" x14ac:dyDescent="0.4">
      <c r="A26" s="68" t="s">
        <v>100</v>
      </c>
      <c r="B26" s="64" t="s">
        <v>53</v>
      </c>
      <c r="C26" s="50">
        <v>2</v>
      </c>
      <c r="D26" s="27">
        <f>IF(G$1=0,0,C26/G$1)</f>
        <v>2.6737967914438501E-3</v>
      </c>
    </row>
    <row r="27" spans="1:4" x14ac:dyDescent="0.4">
      <c r="A27" s="68" t="s">
        <v>87</v>
      </c>
      <c r="B27" s="64" t="s">
        <v>40</v>
      </c>
      <c r="C27" s="50">
        <v>1</v>
      </c>
      <c r="D27" s="27">
        <f>IF(G$1=0,0,C27/G$1)</f>
        <v>1.3368983957219251E-3</v>
      </c>
    </row>
    <row r="28" spans="1:4" x14ac:dyDescent="0.4">
      <c r="A28" s="68" t="s">
        <v>97</v>
      </c>
      <c r="B28" s="64" t="s">
        <v>50</v>
      </c>
      <c r="C28" s="50">
        <v>1</v>
      </c>
      <c r="D28" s="27">
        <f>IF(G$1=0,0,C28/G$1)</f>
        <v>1.3368983957219251E-3</v>
      </c>
    </row>
    <row r="29" spans="1:4" x14ac:dyDescent="0.4">
      <c r="A29" s="68" t="s">
        <v>80</v>
      </c>
      <c r="B29" s="64" t="s">
        <v>33</v>
      </c>
      <c r="C29" s="50">
        <v>1</v>
      </c>
      <c r="D29" s="27">
        <f>IF(G$1=0,0,C29/G$1)</f>
        <v>1.3368983957219251E-3</v>
      </c>
    </row>
    <row r="30" spans="1:4" x14ac:dyDescent="0.4">
      <c r="A30" s="68" t="s">
        <v>95</v>
      </c>
      <c r="B30" s="64" t="s">
        <v>48</v>
      </c>
      <c r="C30" s="50">
        <v>1</v>
      </c>
      <c r="D30" s="27">
        <f>IF(G$1=0,0,C30/G$1)</f>
        <v>1.3368983957219251E-3</v>
      </c>
    </row>
    <row r="31" spans="1:4" x14ac:dyDescent="0.4">
      <c r="A31" s="68" t="s">
        <v>113</v>
      </c>
      <c r="B31" s="64" t="s">
        <v>206</v>
      </c>
      <c r="C31" s="50">
        <v>1</v>
      </c>
      <c r="D31" s="27">
        <f>IF(G$1=0,0,C31/G$1)</f>
        <v>1.3368983957219251E-3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205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207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A75D-C1A3-4FDC-8D61-C322E2701927}">
  <sheetPr codeName="Sheet4"/>
  <dimension ref="A1:P155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178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153</v>
      </c>
      <c r="C2" s="87"/>
      <c r="E2" s="67" t="s">
        <v>73</v>
      </c>
      <c r="F2" s="63" t="s">
        <v>27</v>
      </c>
      <c r="G2" s="49">
        <v>222</v>
      </c>
      <c r="H2" s="24">
        <f>IF(B$25=0,0,G2/B$25)</f>
        <v>0.92116182572614103</v>
      </c>
      <c r="J2" s="23">
        <v>0</v>
      </c>
      <c r="K2" s="25">
        <v>0</v>
      </c>
      <c r="M2" s="23" t="s">
        <v>189</v>
      </c>
      <c r="N2" s="44">
        <f t="shared" ref="N2:N7" si="0">IF(P2=0,0,O2/P2)</f>
        <v>558.38926174496646</v>
      </c>
      <c r="O2" s="41">
        <v>83200</v>
      </c>
      <c r="P2" s="39">
        <v>149</v>
      </c>
    </row>
    <row r="3" spans="1:16" x14ac:dyDescent="0.4">
      <c r="A3" s="58" t="s">
        <v>8</v>
      </c>
      <c r="B3" s="94">
        <v>1129</v>
      </c>
      <c r="C3" s="95"/>
      <c r="E3" s="68" t="s">
        <v>71</v>
      </c>
      <c r="F3" s="64" t="s">
        <v>25</v>
      </c>
      <c r="G3" s="50">
        <v>155</v>
      </c>
      <c r="H3" s="27">
        <f>IF(B$25=0,0,G3/B$25)</f>
        <v>0.6431535269709544</v>
      </c>
      <c r="J3" s="26">
        <v>1</v>
      </c>
      <c r="K3" s="28">
        <v>15</v>
      </c>
      <c r="M3" s="26" t="s">
        <v>190</v>
      </c>
      <c r="N3" s="45">
        <f t="shared" si="0"/>
        <v>1483.8028169014085</v>
      </c>
      <c r="O3" s="42">
        <v>210700</v>
      </c>
      <c r="P3" s="37">
        <v>142</v>
      </c>
    </row>
    <row r="4" spans="1:16" x14ac:dyDescent="0.4">
      <c r="A4" s="58" t="s">
        <v>6</v>
      </c>
      <c r="B4" s="96">
        <v>828.70000000000027</v>
      </c>
      <c r="C4" s="97"/>
      <c r="E4" s="68" t="s">
        <v>78</v>
      </c>
      <c r="F4" s="64" t="s">
        <v>31</v>
      </c>
      <c r="G4" s="50">
        <v>135</v>
      </c>
      <c r="H4" s="27">
        <f>IF(B$25=0,0,G4/B$25)</f>
        <v>0.56016597510373445</v>
      </c>
      <c r="J4" s="26">
        <v>2</v>
      </c>
      <c r="K4" s="28">
        <v>14</v>
      </c>
      <c r="M4" s="26" t="s">
        <v>191</v>
      </c>
      <c r="N4" s="45">
        <f t="shared" si="0"/>
        <v>1412.2137404580153</v>
      </c>
      <c r="O4" s="42">
        <v>185000</v>
      </c>
      <c r="P4" s="37">
        <v>131</v>
      </c>
    </row>
    <row r="5" spans="1:16" x14ac:dyDescent="0.4">
      <c r="A5" s="58" t="s">
        <v>7</v>
      </c>
      <c r="B5" s="96">
        <f>IF(B$2=0,0,B$4/B$2)</f>
        <v>5.4163398692810478</v>
      </c>
      <c r="C5" s="97"/>
      <c r="E5" s="68" t="s">
        <v>69</v>
      </c>
      <c r="F5" s="64" t="s">
        <v>23</v>
      </c>
      <c r="G5" s="50">
        <v>121</v>
      </c>
      <c r="H5" s="27">
        <f>IF(B$25=0,0,G5/B$25)</f>
        <v>0.50207468879668049</v>
      </c>
      <c r="J5" s="26">
        <v>3</v>
      </c>
      <c r="K5" s="28">
        <v>29.1</v>
      </c>
      <c r="M5" s="26" t="s">
        <v>192</v>
      </c>
      <c r="N5" s="45">
        <f t="shared" si="0"/>
        <v>1841.8803418803418</v>
      </c>
      <c r="O5" s="42">
        <v>215500</v>
      </c>
      <c r="P5" s="37">
        <v>117</v>
      </c>
    </row>
    <row r="6" spans="1:16" x14ac:dyDescent="0.4">
      <c r="A6" s="58" t="s">
        <v>1</v>
      </c>
      <c r="B6" s="98">
        <f>IF(B$2=0,0,(B$7*1+B$8*2+B$9*3)/B$2)</f>
        <v>1.8366013071895424</v>
      </c>
      <c r="C6" s="99"/>
      <c r="E6" s="68" t="s">
        <v>74</v>
      </c>
      <c r="F6" s="64" t="s">
        <v>12</v>
      </c>
      <c r="G6" s="50">
        <v>68</v>
      </c>
      <c r="H6" s="27">
        <f>IF(B$25=0,0,G6/B$25)</f>
        <v>0.28215767634854771</v>
      </c>
      <c r="J6" s="26">
        <v>4</v>
      </c>
      <c r="K6" s="28">
        <v>114.30000000000001</v>
      </c>
      <c r="M6" s="26" t="s">
        <v>193</v>
      </c>
      <c r="N6" s="45">
        <f t="shared" si="0"/>
        <v>778.57142857142856</v>
      </c>
      <c r="O6" s="42">
        <v>76300</v>
      </c>
      <c r="P6" s="37">
        <v>98</v>
      </c>
    </row>
    <row r="7" spans="1:16" x14ac:dyDescent="0.4">
      <c r="A7" s="58" t="s">
        <v>2</v>
      </c>
      <c r="B7" s="50">
        <v>62</v>
      </c>
      <c r="C7" s="27">
        <f>IF(B$2=0,0,B7/B$2)</f>
        <v>0.40522875816993464</v>
      </c>
      <c r="E7" s="68" t="s">
        <v>72</v>
      </c>
      <c r="F7" s="64" t="s">
        <v>26</v>
      </c>
      <c r="G7" s="50">
        <v>59</v>
      </c>
      <c r="H7" s="27">
        <f>IF(B$25=0,0,G7/B$25)</f>
        <v>0.24481327800829875</v>
      </c>
      <c r="J7" s="26">
        <v>5</v>
      </c>
      <c r="K7" s="28">
        <v>145.80000000000001</v>
      </c>
      <c r="M7" s="31" t="s">
        <v>194</v>
      </c>
      <c r="N7" s="46">
        <f t="shared" si="0"/>
        <v>297.29729729729729</v>
      </c>
      <c r="O7" s="43">
        <v>22000</v>
      </c>
      <c r="P7" s="38">
        <v>74</v>
      </c>
    </row>
    <row r="8" spans="1:16" x14ac:dyDescent="0.4">
      <c r="A8" s="58" t="s">
        <v>3</v>
      </c>
      <c r="B8" s="50">
        <v>54</v>
      </c>
      <c r="C8" s="27">
        <f t="shared" ref="C8:C9" si="1">IF(B$2=0,0,B8/B$2)</f>
        <v>0.35294117647058826</v>
      </c>
      <c r="E8" s="68" t="s">
        <v>96</v>
      </c>
      <c r="F8" s="64" t="s">
        <v>49</v>
      </c>
      <c r="G8" s="50">
        <v>43</v>
      </c>
      <c r="H8" s="27">
        <f>IF(B$25=0,0,G8/B$25)</f>
        <v>0.17842323651452283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37</v>
      </c>
      <c r="C9" s="29">
        <f t="shared" si="1"/>
        <v>0.24183006535947713</v>
      </c>
      <c r="E9" s="68" t="s">
        <v>75</v>
      </c>
      <c r="F9" s="64" t="s">
        <v>28</v>
      </c>
      <c r="G9" s="50">
        <v>40</v>
      </c>
      <c r="H9" s="27">
        <f>IF(B$25=0,0,G9/B$25)</f>
        <v>0.16597510373443983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18</v>
      </c>
      <c r="C10" s="29">
        <f>IF(B$2=0,0,B10/B$2)</f>
        <v>0.11764705882352941</v>
      </c>
      <c r="E10" s="68" t="s">
        <v>70</v>
      </c>
      <c r="F10" s="64" t="s">
        <v>24</v>
      </c>
      <c r="G10" s="50">
        <v>22</v>
      </c>
      <c r="H10" s="27">
        <f>IF(B$25=0,0,G10/B$25)</f>
        <v>9.1286307053941904E-2</v>
      </c>
      <c r="J10" s="26">
        <v>8</v>
      </c>
      <c r="K10" s="28">
        <v>55.700000000000017</v>
      </c>
    </row>
    <row r="11" spans="1:16" x14ac:dyDescent="0.4">
      <c r="A11" s="60" t="s">
        <v>199</v>
      </c>
      <c r="B11" s="52">
        <v>32</v>
      </c>
      <c r="C11" s="32">
        <f>IF(B$2=0,0,B11/B$2)</f>
        <v>0.20915032679738563</v>
      </c>
      <c r="E11" s="68" t="s">
        <v>76</v>
      </c>
      <c r="F11" s="64" t="s">
        <v>29</v>
      </c>
      <c r="G11" s="50">
        <v>21</v>
      </c>
      <c r="H11" s="27">
        <f>IF(B$25=0,0,G11/B$25)</f>
        <v>8.7136929460580909E-2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189</v>
      </c>
      <c r="C12" s="35">
        <f>IF(B$24=0,0,B12/B$24)</f>
        <v>0.28378378378378377</v>
      </c>
      <c r="E12" s="68" t="s">
        <v>77</v>
      </c>
      <c r="F12" s="64" t="s">
        <v>30</v>
      </c>
      <c r="G12" s="50">
        <v>15</v>
      </c>
      <c r="H12" s="27">
        <f>IF(B$25=0,0,G12/B$25)</f>
        <v>6.2240663900414939E-2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155</v>
      </c>
      <c r="C13" s="27">
        <f>IF(B$24=0,0,B13/B$24)</f>
        <v>0.23273273273273273</v>
      </c>
      <c r="E13" s="68" t="s">
        <v>93</v>
      </c>
      <c r="F13" s="64" t="s">
        <v>46</v>
      </c>
      <c r="G13" s="50">
        <v>12</v>
      </c>
      <c r="H13" s="27">
        <f>IF(B$25=0,0,G13/B$25)</f>
        <v>4.9792531120331947E-2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124</v>
      </c>
      <c r="C14" s="24">
        <f>IF(B$12=0,0,B14/B$12)</f>
        <v>0.65608465608465605</v>
      </c>
      <c r="E14" s="68" t="s">
        <v>90</v>
      </c>
      <c r="F14" s="64" t="s">
        <v>43</v>
      </c>
      <c r="G14" s="50">
        <v>8</v>
      </c>
      <c r="H14" s="27">
        <f>IF(B$25=0,0,G14/B$25)</f>
        <v>3.3195020746887967E-2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73</v>
      </c>
      <c r="C15" s="24">
        <f>IF(B$13=0,0,B15/B$13)</f>
        <v>0.47096774193548385</v>
      </c>
      <c r="E15" s="68" t="s">
        <v>88</v>
      </c>
      <c r="F15" s="64" t="s">
        <v>41</v>
      </c>
      <c r="G15" s="50">
        <v>6</v>
      </c>
      <c r="H15" s="27">
        <f>IF(B$25=0,0,G15/B$25)</f>
        <v>2.4896265560165973E-2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B18+B17</f>
        <v>400</v>
      </c>
      <c r="C16" s="24">
        <f>IF(B$3=0,0,B16/B$3)</f>
        <v>0.35429583702391498</v>
      </c>
      <c r="E16" s="68" t="s">
        <v>79</v>
      </c>
      <c r="F16" s="64" t="s">
        <v>32</v>
      </c>
      <c r="G16" s="50">
        <v>3</v>
      </c>
      <c r="H16" s="27">
        <f>IF(B$25=0,0,G16/B$25)</f>
        <v>1.2448132780082987E-2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148</v>
      </c>
      <c r="C17" s="27">
        <f>IF(B$16=0,0,B17/B$16)</f>
        <v>0.37</v>
      </c>
      <c r="E17" s="68" t="s">
        <v>83</v>
      </c>
      <c r="F17" s="64" t="s">
        <v>36</v>
      </c>
      <c r="G17" s="50">
        <v>3</v>
      </c>
      <c r="H17" s="27">
        <f>IF(B$25=0,0,G17/B$25)</f>
        <v>1.2448132780082987E-2</v>
      </c>
      <c r="J17" s="26">
        <v>15</v>
      </c>
      <c r="K17" s="28">
        <v>-9.6999999999999886</v>
      </c>
    </row>
    <row r="18" spans="1:11" x14ac:dyDescent="0.4">
      <c r="A18" s="58" t="s">
        <v>11</v>
      </c>
      <c r="B18" s="50">
        <v>252</v>
      </c>
      <c r="C18" s="27">
        <f>IF(B$16=0,0,B18/B$16)</f>
        <v>0.63</v>
      </c>
      <c r="E18" s="68" t="s">
        <v>81</v>
      </c>
      <c r="F18" s="64" t="s">
        <v>34</v>
      </c>
      <c r="G18" s="50">
        <v>2</v>
      </c>
      <c r="H18" s="27">
        <f>IF(B$25=0,0,G18/B$25)</f>
        <v>8.2987551867219917E-3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167</v>
      </c>
      <c r="C19" s="27">
        <f>IF(B$3=0,0,B19/B$3)</f>
        <v>0.14791851195748451</v>
      </c>
      <c r="E19" s="68" t="s">
        <v>98</v>
      </c>
      <c r="F19" s="64" t="s">
        <v>51</v>
      </c>
      <c r="G19" s="50">
        <v>2</v>
      </c>
      <c r="H19" s="27">
        <f>IF(B$25=0,0,G19/B$25)</f>
        <v>8.2987551867219917E-3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9828.5</v>
      </c>
      <c r="C20" s="30">
        <v>3931400</v>
      </c>
      <c r="E20" s="68" t="s">
        <v>99</v>
      </c>
      <c r="F20" s="64" t="s">
        <v>52</v>
      </c>
      <c r="G20" s="50">
        <v>2</v>
      </c>
      <c r="H20" s="27">
        <f>IF(B$25=0,0,G20/B$25)</f>
        <v>8.2987551867219917E-3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-9565.2694610778435</v>
      </c>
      <c r="C21" s="48">
        <v>-1597400</v>
      </c>
      <c r="E21" s="68" t="s">
        <v>94</v>
      </c>
      <c r="F21" s="64" t="s">
        <v>47</v>
      </c>
      <c r="G21" s="50">
        <v>2</v>
      </c>
      <c r="H21" s="27">
        <f>IF(B$25=0,0,G21/B$25)</f>
        <v>8.2987551867219917E-3</v>
      </c>
      <c r="J21" s="26">
        <v>19</v>
      </c>
      <c r="K21" s="28">
        <v>42.600000000000016</v>
      </c>
    </row>
    <row r="22" spans="1:11" x14ac:dyDescent="0.4">
      <c r="A22" s="57" t="s">
        <v>186</v>
      </c>
      <c r="B22" s="49">
        <v>397</v>
      </c>
      <c r="C22" s="24">
        <f>IF(B$3=0,0,B22/B$3)</f>
        <v>0.3516386182462356</v>
      </c>
      <c r="E22" s="68" t="s">
        <v>84</v>
      </c>
      <c r="F22" s="64" t="s">
        <v>37</v>
      </c>
      <c r="G22" s="50">
        <v>1</v>
      </c>
      <c r="H22" s="27">
        <f>IF(B$25=0,0,G22/B$25)</f>
        <v>4.1493775933609959E-3</v>
      </c>
      <c r="J22" s="26">
        <v>20</v>
      </c>
      <c r="K22" s="28">
        <v>68.800000000000011</v>
      </c>
    </row>
    <row r="23" spans="1:11" x14ac:dyDescent="0.4">
      <c r="A23" s="60" t="s">
        <v>187</v>
      </c>
      <c r="B23" s="52">
        <v>166</v>
      </c>
      <c r="C23" s="32">
        <f>IF(B$22=0,0,B23/B$22)</f>
        <v>0.41813602015113349</v>
      </c>
      <c r="E23" s="68" t="s">
        <v>85</v>
      </c>
      <c r="F23" s="64" t="s">
        <v>38</v>
      </c>
      <c r="G23" s="50">
        <v>1</v>
      </c>
      <c r="H23" s="27">
        <f>IF(B$25=0,0,G23/B$25)</f>
        <v>4.1493775933609959E-3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6">
        <v>666</v>
      </c>
      <c r="C24" s="87"/>
      <c r="E24" s="68" t="s">
        <v>92</v>
      </c>
      <c r="F24" s="64" t="s">
        <v>45</v>
      </c>
      <c r="G24" s="50">
        <v>1</v>
      </c>
      <c r="H24" s="27">
        <f>IF(B$25=0,0,G24/B$25)</f>
        <v>4.1493775933609959E-3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8">
        <v>241</v>
      </c>
      <c r="C25" s="89"/>
      <c r="E25" s="68" t="s">
        <v>97</v>
      </c>
      <c r="F25" s="64" t="s">
        <v>50</v>
      </c>
      <c r="G25" s="50">
        <v>1</v>
      </c>
      <c r="H25" s="27">
        <f>IF(B$25=0,0,G25/B$25)</f>
        <v>4.1493775933609959E-3</v>
      </c>
      <c r="J25" s="26">
        <v>23</v>
      </c>
      <c r="K25" s="28">
        <v>124.50000000000001</v>
      </c>
    </row>
    <row r="26" spans="1:11" x14ac:dyDescent="0.4">
      <c r="A26" s="78" t="s">
        <v>210</v>
      </c>
      <c r="B26" s="90">
        <v>10</v>
      </c>
      <c r="C26" s="91"/>
      <c r="E26" s="68" t="s">
        <v>113</v>
      </c>
      <c r="F26" s="64" t="s">
        <v>120</v>
      </c>
      <c r="G26" s="50">
        <v>1</v>
      </c>
      <c r="H26" s="27">
        <f>IF(B$25=0,0,G26/B$25)</f>
        <v>4.1493775933609959E-3</v>
      </c>
      <c r="J26" s="26">
        <v>24</v>
      </c>
      <c r="K26" s="28">
        <v>118.00000000000001</v>
      </c>
    </row>
    <row r="27" spans="1:11" x14ac:dyDescent="0.4">
      <c r="A27" s="60" t="s">
        <v>212</v>
      </c>
      <c r="B27" s="79">
        <v>1</v>
      </c>
      <c r="C27" s="32">
        <f>IF(B$3=0,0,B27/B$3)</f>
        <v>8.8573959255978745E-4</v>
      </c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  <row r="133" spans="10:11" x14ac:dyDescent="0.4">
      <c r="J133" s="26">
        <v>131</v>
      </c>
      <c r="K133" s="28">
        <v>672.00000000000011</v>
      </c>
    </row>
    <row r="134" spans="10:11" x14ac:dyDescent="0.4">
      <c r="J134" s="26">
        <v>132</v>
      </c>
      <c r="K134" s="28">
        <v>652.20000000000016</v>
      </c>
    </row>
    <row r="135" spans="10:11" x14ac:dyDescent="0.4">
      <c r="J135" s="26">
        <v>133</v>
      </c>
      <c r="K135" s="28">
        <v>689.80000000000018</v>
      </c>
    </row>
    <row r="136" spans="10:11" x14ac:dyDescent="0.4">
      <c r="J136" s="26">
        <v>134</v>
      </c>
      <c r="K136" s="28">
        <v>697.60000000000014</v>
      </c>
    </row>
    <row r="137" spans="10:11" x14ac:dyDescent="0.4">
      <c r="J137" s="26">
        <v>135</v>
      </c>
      <c r="K137" s="28">
        <v>765.70000000000016</v>
      </c>
    </row>
    <row r="138" spans="10:11" x14ac:dyDescent="0.4">
      <c r="J138" s="26">
        <v>136</v>
      </c>
      <c r="K138" s="28">
        <v>770.9000000000002</v>
      </c>
    </row>
    <row r="139" spans="10:11" x14ac:dyDescent="0.4">
      <c r="J139" s="26">
        <v>137</v>
      </c>
      <c r="K139" s="28">
        <v>787.10000000000025</v>
      </c>
    </row>
    <row r="140" spans="10:11" x14ac:dyDescent="0.4">
      <c r="J140" s="26">
        <v>138</v>
      </c>
      <c r="K140" s="28">
        <v>811.3000000000003</v>
      </c>
    </row>
    <row r="141" spans="10:11" x14ac:dyDescent="0.4">
      <c r="J141" s="26">
        <v>139</v>
      </c>
      <c r="K141" s="28">
        <v>831.90000000000032</v>
      </c>
    </row>
    <row r="142" spans="10:11" x14ac:dyDescent="0.4">
      <c r="J142" s="26">
        <v>140</v>
      </c>
      <c r="K142" s="28">
        <v>839.20000000000027</v>
      </c>
    </row>
    <row r="143" spans="10:11" x14ac:dyDescent="0.4">
      <c r="J143" s="26">
        <v>141</v>
      </c>
      <c r="K143" s="28">
        <v>844.00000000000023</v>
      </c>
    </row>
    <row r="144" spans="10:11" x14ac:dyDescent="0.4">
      <c r="J144" s="26">
        <v>142</v>
      </c>
      <c r="K144" s="28">
        <v>848.10000000000025</v>
      </c>
    </row>
    <row r="145" spans="10:11" x14ac:dyDescent="0.4">
      <c r="J145" s="26">
        <v>143</v>
      </c>
      <c r="K145" s="28">
        <v>836.10000000000025</v>
      </c>
    </row>
    <row r="146" spans="10:11" x14ac:dyDescent="0.4">
      <c r="J146" s="26">
        <v>144</v>
      </c>
      <c r="K146" s="28">
        <v>848.60000000000025</v>
      </c>
    </row>
    <row r="147" spans="10:11" x14ac:dyDescent="0.4">
      <c r="J147" s="26">
        <v>145</v>
      </c>
      <c r="K147" s="28">
        <v>835.70000000000027</v>
      </c>
    </row>
    <row r="148" spans="10:11" x14ac:dyDescent="0.4">
      <c r="J148" s="26">
        <v>146</v>
      </c>
      <c r="K148" s="28">
        <v>851.3000000000003</v>
      </c>
    </row>
    <row r="149" spans="10:11" x14ac:dyDescent="0.4">
      <c r="J149" s="26">
        <v>147</v>
      </c>
      <c r="K149" s="28">
        <v>866.90000000000032</v>
      </c>
    </row>
    <row r="150" spans="10:11" x14ac:dyDescent="0.4">
      <c r="J150" s="26">
        <v>148</v>
      </c>
      <c r="K150" s="28">
        <v>830.90000000000032</v>
      </c>
    </row>
    <row r="151" spans="10:11" x14ac:dyDescent="0.4">
      <c r="J151" s="26">
        <v>149</v>
      </c>
      <c r="K151" s="28">
        <v>801.3000000000003</v>
      </c>
    </row>
    <row r="152" spans="10:11" x14ac:dyDescent="0.4">
      <c r="J152" s="26">
        <v>150</v>
      </c>
      <c r="K152" s="28">
        <v>808.10000000000025</v>
      </c>
    </row>
    <row r="153" spans="10:11" x14ac:dyDescent="0.4">
      <c r="J153" s="26">
        <v>151</v>
      </c>
      <c r="K153" s="28">
        <v>794.10000000000025</v>
      </c>
    </row>
    <row r="154" spans="10:11" x14ac:dyDescent="0.4">
      <c r="J154" s="26">
        <v>152</v>
      </c>
      <c r="K154" s="28">
        <v>784.10000000000025</v>
      </c>
    </row>
    <row r="155" spans="10:11" x14ac:dyDescent="0.4">
      <c r="J155" s="26">
        <v>153</v>
      </c>
      <c r="K155" s="28">
        <v>828.70000000000027</v>
      </c>
    </row>
  </sheetData>
  <sortState ref="E2:H155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233FD-33AC-4C01-BAEA-8B80CB2499B3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183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4">
        <v>25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190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6">
        <v>-132.1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191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6">
        <f>IF(B$2=0,0,B$4/B$2)</f>
        <v>-33.024999999999999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192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8">
        <f>IF(B$2=0,0,(B$7*1+B$8*2+B$9*3)/B$2)</f>
        <v>3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193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E862-EEB8-490A-AC6F-3C22E96F7B0A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225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3</v>
      </c>
      <c r="C2" s="87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189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4">
        <v>16</v>
      </c>
      <c r="C3" s="95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190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6">
        <v>-26.5</v>
      </c>
      <c r="C4" s="97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-24.5</v>
      </c>
      <c r="M4" s="26" t="s">
        <v>191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6">
        <f>IF(B$2=0,0,B$4/B$2)</f>
        <v>-8.8333333333333339</v>
      </c>
      <c r="C5" s="97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-26.5</v>
      </c>
      <c r="M5" s="26" t="s">
        <v>192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98">
        <f>IF(B$2=0,0,(B$7*1+B$8*2+B$9*3)/B$2)</f>
        <v>2.3333333333333335</v>
      </c>
      <c r="C6" s="99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193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11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2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E18A8-7184-4FE8-B9F9-CDC06769D98B}">
  <sheetPr codeName="Sheet7"/>
  <dimension ref="A1:P10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179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99</v>
      </c>
      <c r="C2" s="87"/>
      <c r="E2" s="67" t="s">
        <v>73</v>
      </c>
      <c r="F2" s="63" t="s">
        <v>27</v>
      </c>
      <c r="G2" s="49">
        <v>99</v>
      </c>
      <c r="H2" s="24">
        <f>IF(B$25=0,0,G2/B$25)</f>
        <v>0.7615384615384615</v>
      </c>
      <c r="J2" s="23">
        <v>0</v>
      </c>
      <c r="K2" s="25">
        <v>0</v>
      </c>
      <c r="M2" s="23" t="s">
        <v>189</v>
      </c>
      <c r="N2" s="44">
        <f t="shared" ref="N2:N7" si="0">IF(P2=0,0,O2/P2)</f>
        <v>-409.2783505154639</v>
      </c>
      <c r="O2" s="41">
        <v>-39700</v>
      </c>
      <c r="P2" s="39">
        <v>97</v>
      </c>
    </row>
    <row r="3" spans="1:16" x14ac:dyDescent="0.4">
      <c r="A3" s="58" t="s">
        <v>8</v>
      </c>
      <c r="B3" s="94">
        <v>748</v>
      </c>
      <c r="C3" s="95"/>
      <c r="E3" s="68" t="s">
        <v>71</v>
      </c>
      <c r="F3" s="64" t="s">
        <v>25</v>
      </c>
      <c r="G3" s="50">
        <v>88</v>
      </c>
      <c r="H3" s="27">
        <f>IF(B$25=0,0,G3/B$25)</f>
        <v>0.67692307692307696</v>
      </c>
      <c r="J3" s="26">
        <v>1</v>
      </c>
      <c r="K3" s="28">
        <v>40.9</v>
      </c>
      <c r="M3" s="26" t="s">
        <v>190</v>
      </c>
      <c r="N3" s="45">
        <f t="shared" si="0"/>
        <v>-1774.1935483870968</v>
      </c>
      <c r="O3" s="42">
        <v>-165000</v>
      </c>
      <c r="P3" s="37">
        <v>93</v>
      </c>
    </row>
    <row r="4" spans="1:16" x14ac:dyDescent="0.4">
      <c r="A4" s="58" t="s">
        <v>6</v>
      </c>
      <c r="B4" s="96">
        <v>-362.5</v>
      </c>
      <c r="C4" s="97"/>
      <c r="E4" s="68" t="s">
        <v>69</v>
      </c>
      <c r="F4" s="64" t="s">
        <v>23</v>
      </c>
      <c r="G4" s="50">
        <v>77</v>
      </c>
      <c r="H4" s="27">
        <f>IF(B$25=0,0,G4/B$25)</f>
        <v>0.59230769230769231</v>
      </c>
      <c r="J4" s="26">
        <v>2</v>
      </c>
      <c r="K4" s="28">
        <v>-0.89999999999999858</v>
      </c>
      <c r="M4" s="26" t="s">
        <v>191</v>
      </c>
      <c r="N4" s="45">
        <f t="shared" si="0"/>
        <v>2532.2222222222222</v>
      </c>
      <c r="O4" s="42">
        <v>227900</v>
      </c>
      <c r="P4" s="37">
        <v>90</v>
      </c>
    </row>
    <row r="5" spans="1:16" x14ac:dyDescent="0.4">
      <c r="A5" s="58" t="s">
        <v>7</v>
      </c>
      <c r="B5" s="96">
        <f>IF(B$2=0,0,B$4/B$2)</f>
        <v>-3.6616161616161618</v>
      </c>
      <c r="C5" s="97"/>
      <c r="E5" s="68" t="s">
        <v>78</v>
      </c>
      <c r="F5" s="64" t="s">
        <v>31</v>
      </c>
      <c r="G5" s="50">
        <v>74</v>
      </c>
      <c r="H5" s="27">
        <f>IF(B$25=0,0,G5/B$25)</f>
        <v>0.56923076923076921</v>
      </c>
      <c r="J5" s="26">
        <v>3</v>
      </c>
      <c r="K5" s="28">
        <v>-36.4</v>
      </c>
      <c r="M5" s="26" t="s">
        <v>192</v>
      </c>
      <c r="N5" s="45">
        <f t="shared" si="0"/>
        <v>-2127.8481012658226</v>
      </c>
      <c r="O5" s="42">
        <v>-168100</v>
      </c>
      <c r="P5" s="37">
        <v>79</v>
      </c>
    </row>
    <row r="6" spans="1:16" x14ac:dyDescent="0.4">
      <c r="A6" s="58" t="s">
        <v>1</v>
      </c>
      <c r="B6" s="98">
        <f>IF(B$2=0,0,(B$7*1+B$8*2+B$9*3)/B$2)</f>
        <v>2.1010101010101012</v>
      </c>
      <c r="C6" s="99"/>
      <c r="E6" s="68" t="s">
        <v>74</v>
      </c>
      <c r="F6" s="64" t="s">
        <v>12</v>
      </c>
      <c r="G6" s="50">
        <v>43</v>
      </c>
      <c r="H6" s="27">
        <f>IF(B$25=0,0,G6/B$25)</f>
        <v>0.33076923076923076</v>
      </c>
      <c r="J6" s="26">
        <v>4</v>
      </c>
      <c r="K6" s="28">
        <v>3.6000000000000014</v>
      </c>
      <c r="M6" s="26" t="s">
        <v>193</v>
      </c>
      <c r="N6" s="45">
        <f t="shared" si="0"/>
        <v>-2320.3125</v>
      </c>
      <c r="O6" s="42">
        <v>-148500</v>
      </c>
      <c r="P6" s="37">
        <v>64</v>
      </c>
    </row>
    <row r="7" spans="1:16" x14ac:dyDescent="0.4">
      <c r="A7" s="58" t="s">
        <v>2</v>
      </c>
      <c r="B7" s="50">
        <v>30</v>
      </c>
      <c r="C7" s="27">
        <f>IF(B$2=0,0,B7/B$2)</f>
        <v>0.30303030303030304</v>
      </c>
      <c r="E7" s="68" t="s">
        <v>72</v>
      </c>
      <c r="F7" s="64" t="s">
        <v>26</v>
      </c>
      <c r="G7" s="50">
        <v>38</v>
      </c>
      <c r="H7" s="27">
        <f>IF(B$25=0,0,G7/B$25)</f>
        <v>0.29230769230769232</v>
      </c>
      <c r="J7" s="26">
        <v>5</v>
      </c>
      <c r="K7" s="28">
        <v>14.600000000000001</v>
      </c>
      <c r="M7" s="31" t="s">
        <v>194</v>
      </c>
      <c r="N7" s="46">
        <f t="shared" si="0"/>
        <v>-2185.7142857142858</v>
      </c>
      <c r="O7" s="43">
        <v>-107100</v>
      </c>
      <c r="P7" s="38">
        <v>49</v>
      </c>
    </row>
    <row r="8" spans="1:16" x14ac:dyDescent="0.4">
      <c r="A8" s="58" t="s">
        <v>3</v>
      </c>
      <c r="B8" s="50">
        <v>29</v>
      </c>
      <c r="C8" s="27">
        <f t="shared" ref="C8:C9" si="1">IF(B$2=0,0,B8/B$2)</f>
        <v>0.29292929292929293</v>
      </c>
      <c r="E8" s="68" t="s">
        <v>96</v>
      </c>
      <c r="F8" s="64" t="s">
        <v>49</v>
      </c>
      <c r="G8" s="50">
        <v>23</v>
      </c>
      <c r="H8" s="27">
        <f>IF(B$25=0,0,G8/B$25)</f>
        <v>0.17692307692307693</v>
      </c>
      <c r="J8" s="26">
        <v>6</v>
      </c>
      <c r="K8" s="28">
        <v>47.6</v>
      </c>
    </row>
    <row r="9" spans="1:16" x14ac:dyDescent="0.4">
      <c r="A9" s="59" t="s">
        <v>4</v>
      </c>
      <c r="B9" s="51">
        <v>40</v>
      </c>
      <c r="C9" s="29">
        <f t="shared" si="1"/>
        <v>0.40404040404040403</v>
      </c>
      <c r="E9" s="68" t="s">
        <v>76</v>
      </c>
      <c r="F9" s="64" t="s">
        <v>29</v>
      </c>
      <c r="G9" s="50">
        <v>20</v>
      </c>
      <c r="H9" s="27">
        <f>IF(B$25=0,0,G9/B$25)</f>
        <v>0.15384615384615385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22</v>
      </c>
      <c r="C10" s="29">
        <f>IF(B$2=0,0,B10/B$2)</f>
        <v>0.22222222222222221</v>
      </c>
      <c r="E10" s="68" t="s">
        <v>75</v>
      </c>
      <c r="F10" s="64" t="s">
        <v>28</v>
      </c>
      <c r="G10" s="50">
        <v>19</v>
      </c>
      <c r="H10" s="27">
        <f>IF(B$25=0,0,G10/B$25)</f>
        <v>0.14615384615384616</v>
      </c>
      <c r="J10" s="26">
        <v>8</v>
      </c>
      <c r="K10" s="28">
        <v>60.199999999999996</v>
      </c>
    </row>
    <row r="11" spans="1:16" x14ac:dyDescent="0.4">
      <c r="A11" s="60" t="s">
        <v>199</v>
      </c>
      <c r="B11" s="52">
        <v>15</v>
      </c>
      <c r="C11" s="32">
        <f>IF(B$2=0,0,B11/B$2)</f>
        <v>0.15151515151515152</v>
      </c>
      <c r="E11" s="68" t="s">
        <v>70</v>
      </c>
      <c r="F11" s="64" t="s">
        <v>24</v>
      </c>
      <c r="G11" s="50">
        <v>18</v>
      </c>
      <c r="H11" s="27">
        <f>IF(B$25=0,0,G11/B$25)</f>
        <v>0.13846153846153847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140</v>
      </c>
      <c r="C12" s="35">
        <f>IF(B$24=0,0,B12/B$24)</f>
        <v>0.28747433264887062</v>
      </c>
      <c r="E12" s="68" t="s">
        <v>93</v>
      </c>
      <c r="F12" s="64" t="s">
        <v>46</v>
      </c>
      <c r="G12" s="50">
        <v>14</v>
      </c>
      <c r="H12" s="27">
        <f>IF(B$25=0,0,G12/B$25)</f>
        <v>0.1076923076923077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90</v>
      </c>
      <c r="C13" s="27">
        <f>IF(B$24=0,0,B13/B$24)</f>
        <v>0.18480492813141683</v>
      </c>
      <c r="E13" s="68" t="s">
        <v>90</v>
      </c>
      <c r="F13" s="64" t="s">
        <v>43</v>
      </c>
      <c r="G13" s="50">
        <v>12</v>
      </c>
      <c r="H13" s="27">
        <f>IF(B$25=0,0,G13/B$25)</f>
        <v>9.2307692307692313E-2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78</v>
      </c>
      <c r="C14" s="24">
        <f>IF(B$12=0,0,B14/B$12)</f>
        <v>0.55714285714285716</v>
      </c>
      <c r="E14" s="68" t="s">
        <v>98</v>
      </c>
      <c r="F14" s="64" t="s">
        <v>51</v>
      </c>
      <c r="G14" s="50">
        <v>7</v>
      </c>
      <c r="H14" s="27">
        <f>IF(B$25=0,0,G14/B$25)</f>
        <v>5.3846153846153849E-2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34</v>
      </c>
      <c r="C15" s="24">
        <f>IF(B$13=0,0,B15/B$13)</f>
        <v>0.37777777777777777</v>
      </c>
      <c r="E15" s="68" t="s">
        <v>88</v>
      </c>
      <c r="F15" s="64" t="s">
        <v>41</v>
      </c>
      <c r="G15" s="50">
        <v>5</v>
      </c>
      <c r="H15" s="27">
        <f>IF(B$25=0,0,G15/B$25)</f>
        <v>3.8461538461538464E-2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B18+B17</f>
        <v>191</v>
      </c>
      <c r="C16" s="24">
        <f>IF(B$3=0,0,B16/B$3)</f>
        <v>0.25534759358288772</v>
      </c>
      <c r="E16" s="68" t="s">
        <v>77</v>
      </c>
      <c r="F16" s="64" t="s">
        <v>30</v>
      </c>
      <c r="G16" s="50">
        <v>4</v>
      </c>
      <c r="H16" s="27">
        <f>IF(B$25=0,0,G16/B$25)</f>
        <v>3.0769230769230771E-2</v>
      </c>
      <c r="J16" s="26">
        <v>14</v>
      </c>
      <c r="K16" s="28">
        <v>33</v>
      </c>
    </row>
    <row r="17" spans="1:11" x14ac:dyDescent="0.4">
      <c r="A17" s="58" t="s">
        <v>12</v>
      </c>
      <c r="B17" s="50">
        <v>79</v>
      </c>
      <c r="C17" s="27">
        <f>IF(B$16=0,0,B17/B$16)</f>
        <v>0.41361256544502617</v>
      </c>
      <c r="E17" s="68" t="s">
        <v>84</v>
      </c>
      <c r="F17" s="64" t="s">
        <v>37</v>
      </c>
      <c r="G17" s="50">
        <v>2</v>
      </c>
      <c r="H17" s="27">
        <f>IF(B$25=0,0,G17/B$25)</f>
        <v>1.5384615384615385E-2</v>
      </c>
      <c r="J17" s="26">
        <v>15</v>
      </c>
      <c r="K17" s="28">
        <v>38.5</v>
      </c>
    </row>
    <row r="18" spans="1:11" x14ac:dyDescent="0.4">
      <c r="A18" s="58" t="s">
        <v>11</v>
      </c>
      <c r="B18" s="50">
        <v>112</v>
      </c>
      <c r="C18" s="27">
        <f>IF(B$16=0,0,B18/B$16)</f>
        <v>0.58638743455497377</v>
      </c>
      <c r="E18" s="68" t="s">
        <v>85</v>
      </c>
      <c r="F18" s="64" t="s">
        <v>38</v>
      </c>
      <c r="G18" s="50">
        <v>2</v>
      </c>
      <c r="H18" s="27">
        <f>IF(B$25=0,0,G18/B$25)</f>
        <v>1.5384615384615385E-2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145</v>
      </c>
      <c r="C19" s="27">
        <f>IF(B$3=0,0,B19/B$3)</f>
        <v>0.19385026737967914</v>
      </c>
      <c r="E19" s="68" t="s">
        <v>92</v>
      </c>
      <c r="F19" s="64" t="s">
        <v>45</v>
      </c>
      <c r="G19" s="50">
        <v>2</v>
      </c>
      <c r="H19" s="27">
        <f>IF(B$25=0,0,G19/B$25)</f>
        <v>1.5384615384615385E-2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11448.69109947644</v>
      </c>
      <c r="C20" s="30">
        <v>2186700</v>
      </c>
      <c r="E20" s="68" t="s">
        <v>99</v>
      </c>
      <c r="F20" s="64" t="s">
        <v>52</v>
      </c>
      <c r="G20" s="50">
        <v>2</v>
      </c>
      <c r="H20" s="27">
        <f>IF(B$25=0,0,G20/B$25)</f>
        <v>1.5384615384615385E-2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-10051.724137931034</v>
      </c>
      <c r="C21" s="48">
        <v>-1457500</v>
      </c>
      <c r="E21" s="68" t="s">
        <v>87</v>
      </c>
      <c r="F21" s="64" t="s">
        <v>40</v>
      </c>
      <c r="G21" s="50">
        <v>1</v>
      </c>
      <c r="H21" s="27">
        <f>IF(B$25=0,0,G21/B$25)</f>
        <v>7.6923076923076927E-3</v>
      </c>
      <c r="J21" s="26">
        <v>19</v>
      </c>
      <c r="K21" s="28">
        <v>-26.699999999999996</v>
      </c>
    </row>
    <row r="22" spans="1:11" x14ac:dyDescent="0.4">
      <c r="A22" s="57" t="s">
        <v>186</v>
      </c>
      <c r="B22" s="49">
        <v>232</v>
      </c>
      <c r="C22" s="24">
        <f>IF(B$3=0,0,B22/B$3)</f>
        <v>0.31016042780748665</v>
      </c>
      <c r="E22" s="68" t="s">
        <v>91</v>
      </c>
      <c r="F22" s="64" t="s">
        <v>44</v>
      </c>
      <c r="G22" s="50">
        <v>1</v>
      </c>
      <c r="H22" s="27">
        <f>IF(B$25=0,0,G22/B$25)</f>
        <v>7.6923076923076927E-3</v>
      </c>
      <c r="J22" s="26">
        <v>20</v>
      </c>
      <c r="K22" s="28">
        <v>-57.899999999999991</v>
      </c>
    </row>
    <row r="23" spans="1:11" x14ac:dyDescent="0.4">
      <c r="A23" s="60" t="s">
        <v>187</v>
      </c>
      <c r="B23" s="52">
        <v>71</v>
      </c>
      <c r="C23" s="32">
        <f>IF(B$22=0,0,B23/B$22)</f>
        <v>0.30603448275862066</v>
      </c>
      <c r="E23" s="68" t="s">
        <v>94</v>
      </c>
      <c r="F23" s="64" t="s">
        <v>47</v>
      </c>
      <c r="G23" s="50">
        <v>1</v>
      </c>
      <c r="H23" s="27">
        <f>IF(B$25=0,0,G23/B$25)</f>
        <v>7.6923076923076927E-3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6">
        <v>487</v>
      </c>
      <c r="C24" s="87"/>
      <c r="E24" s="68" t="s">
        <v>95</v>
      </c>
      <c r="F24" s="64" t="s">
        <v>48</v>
      </c>
      <c r="G24" s="50">
        <v>1</v>
      </c>
      <c r="H24" s="27">
        <f>IF(B$25=0,0,G24/B$25)</f>
        <v>7.6923076923076927E-3</v>
      </c>
      <c r="J24" s="26">
        <v>22</v>
      </c>
      <c r="K24" s="28">
        <v>-94.6</v>
      </c>
    </row>
    <row r="25" spans="1:11" x14ac:dyDescent="0.4">
      <c r="A25" s="60" t="s">
        <v>129</v>
      </c>
      <c r="B25" s="88">
        <v>130</v>
      </c>
      <c r="C25" s="89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78" t="s">
        <v>210</v>
      </c>
      <c r="B26" s="90">
        <v>10</v>
      </c>
      <c r="C26" s="91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A27" s="60" t="s">
        <v>212</v>
      </c>
      <c r="B27" s="79">
        <v>4</v>
      </c>
      <c r="C27" s="32">
        <f>IF(B$3=0,0,B27/B$3)</f>
        <v>5.3475935828877002E-3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  <row r="92" spans="10:11" x14ac:dyDescent="0.4">
      <c r="J92" s="26">
        <v>90</v>
      </c>
      <c r="K92" s="28">
        <v>-405.79999999999995</v>
      </c>
    </row>
    <row r="93" spans="10:11" x14ac:dyDescent="0.4">
      <c r="J93" s="26">
        <v>91</v>
      </c>
      <c r="K93" s="28">
        <v>-395.29999999999995</v>
      </c>
    </row>
    <row r="94" spans="10:11" x14ac:dyDescent="0.4">
      <c r="J94" s="26">
        <v>92</v>
      </c>
      <c r="K94" s="28">
        <v>-365.49999999999994</v>
      </c>
    </row>
    <row r="95" spans="10:11" x14ac:dyDescent="0.4">
      <c r="J95" s="26">
        <v>93</v>
      </c>
      <c r="K95" s="28">
        <v>-401.99999999999994</v>
      </c>
    </row>
    <row r="96" spans="10:11" x14ac:dyDescent="0.4">
      <c r="J96" s="26">
        <v>94</v>
      </c>
      <c r="K96" s="28">
        <v>-372.59999999999997</v>
      </c>
    </row>
    <row r="97" spans="10:11" x14ac:dyDescent="0.4">
      <c r="J97" s="26">
        <v>95</v>
      </c>
      <c r="K97" s="28">
        <v>-399.4</v>
      </c>
    </row>
    <row r="98" spans="10:11" x14ac:dyDescent="0.4">
      <c r="J98" s="26">
        <v>96</v>
      </c>
      <c r="K98" s="28">
        <v>-381</v>
      </c>
    </row>
    <row r="99" spans="10:11" x14ac:dyDescent="0.4">
      <c r="J99" s="26">
        <v>97</v>
      </c>
      <c r="K99" s="28">
        <v>-393.5</v>
      </c>
    </row>
    <row r="100" spans="10:11" x14ac:dyDescent="0.4">
      <c r="J100" s="26">
        <v>98</v>
      </c>
      <c r="K100" s="28">
        <v>-333</v>
      </c>
    </row>
    <row r="101" spans="10:11" x14ac:dyDescent="0.4">
      <c r="J101" s="26">
        <v>99</v>
      </c>
      <c r="K101" s="28">
        <v>-362.5</v>
      </c>
    </row>
  </sheetData>
  <sortState ref="E2:H10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77C72-6781-49E8-AAB9-5C9654AAFAA1}">
  <sheetPr codeName="Sheet8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180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54</v>
      </c>
      <c r="C2" s="87"/>
      <c r="E2" s="67" t="s">
        <v>71</v>
      </c>
      <c r="F2" s="63" t="s">
        <v>25</v>
      </c>
      <c r="G2" s="49">
        <v>49</v>
      </c>
      <c r="H2" s="24">
        <f>IF(B$25=0,0,G2/B$25)</f>
        <v>0.98</v>
      </c>
      <c r="J2" s="23">
        <v>0</v>
      </c>
      <c r="K2" s="25">
        <v>0</v>
      </c>
      <c r="M2" s="23" t="s">
        <v>189</v>
      </c>
      <c r="N2" s="44">
        <f t="shared" ref="N2:N7" si="0">IF(P2=0,0,O2/P2)</f>
        <v>-590.74074074074076</v>
      </c>
      <c r="O2" s="41">
        <v>-31900</v>
      </c>
      <c r="P2" s="39">
        <v>54</v>
      </c>
    </row>
    <row r="3" spans="1:16" x14ac:dyDescent="0.4">
      <c r="A3" s="58" t="s">
        <v>8</v>
      </c>
      <c r="B3" s="94">
        <v>385</v>
      </c>
      <c r="C3" s="95"/>
      <c r="E3" s="68" t="s">
        <v>73</v>
      </c>
      <c r="F3" s="64" t="s">
        <v>27</v>
      </c>
      <c r="G3" s="50">
        <v>46</v>
      </c>
      <c r="H3" s="27">
        <f>IF(B$25=0,0,G3/B$25)</f>
        <v>0.92</v>
      </c>
      <c r="J3" s="26">
        <v>1</v>
      </c>
      <c r="K3" s="28">
        <v>-39.9</v>
      </c>
      <c r="M3" s="26" t="s">
        <v>190</v>
      </c>
      <c r="N3" s="45">
        <f t="shared" si="0"/>
        <v>2784.3137254901962</v>
      </c>
      <c r="O3" s="42">
        <v>142000</v>
      </c>
      <c r="P3" s="37">
        <v>51</v>
      </c>
    </row>
    <row r="4" spans="1:16" x14ac:dyDescent="0.4">
      <c r="A4" s="58" t="s">
        <v>6</v>
      </c>
      <c r="B4" s="96">
        <v>250.50000000000003</v>
      </c>
      <c r="C4" s="97"/>
      <c r="E4" s="68" t="s">
        <v>78</v>
      </c>
      <c r="F4" s="64" t="s">
        <v>31</v>
      </c>
      <c r="G4" s="50">
        <v>30</v>
      </c>
      <c r="H4" s="27">
        <f>IF(B$25=0,0,G4/B$25)</f>
        <v>0.6</v>
      </c>
      <c r="J4" s="26">
        <v>2</v>
      </c>
      <c r="K4" s="28">
        <v>-13.2</v>
      </c>
      <c r="M4" s="26" t="s">
        <v>191</v>
      </c>
      <c r="N4" s="45">
        <f t="shared" si="0"/>
        <v>-2071.4285714285716</v>
      </c>
      <c r="O4" s="42">
        <v>-101500</v>
      </c>
      <c r="P4" s="37">
        <v>49</v>
      </c>
    </row>
    <row r="5" spans="1:16" x14ac:dyDescent="0.4">
      <c r="A5" s="58" t="s">
        <v>7</v>
      </c>
      <c r="B5" s="96">
        <f>IF(B$2=0,0,B$4/B$2)</f>
        <v>4.6388888888888893</v>
      </c>
      <c r="C5" s="97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-57.7</v>
      </c>
      <c r="M5" s="26" t="s">
        <v>192</v>
      </c>
      <c r="N5" s="45">
        <f t="shared" si="0"/>
        <v>-595.1219512195122</v>
      </c>
      <c r="O5" s="42">
        <v>-24400</v>
      </c>
      <c r="P5" s="37">
        <v>41</v>
      </c>
    </row>
    <row r="6" spans="1:16" x14ac:dyDescent="0.4">
      <c r="A6" s="58" t="s">
        <v>1</v>
      </c>
      <c r="B6" s="98">
        <f>IF(B$2=0,0,(B$7*1+B$8*2+B$9*3)/B$2)</f>
        <v>1.8888888888888888</v>
      </c>
      <c r="C6" s="99"/>
      <c r="E6" s="68" t="s">
        <v>72</v>
      </c>
      <c r="F6" s="64" t="s">
        <v>26</v>
      </c>
      <c r="G6" s="50">
        <v>17</v>
      </c>
      <c r="H6" s="27">
        <f>IF(B$25=0,0,G6/B$25)</f>
        <v>0.34</v>
      </c>
      <c r="J6" s="26">
        <v>4</v>
      </c>
      <c r="K6" s="28">
        <v>-53.7</v>
      </c>
      <c r="M6" s="26" t="s">
        <v>193</v>
      </c>
      <c r="N6" s="45">
        <f t="shared" si="0"/>
        <v>7894.2857142857147</v>
      </c>
      <c r="O6" s="42">
        <v>276300</v>
      </c>
      <c r="P6" s="37">
        <v>35</v>
      </c>
    </row>
    <row r="7" spans="1:16" x14ac:dyDescent="0.4">
      <c r="A7" s="58" t="s">
        <v>2</v>
      </c>
      <c r="B7" s="50">
        <v>19</v>
      </c>
      <c r="C7" s="27">
        <f>IF(B$2=0,0,B7/B$2)</f>
        <v>0.35185185185185186</v>
      </c>
      <c r="E7" s="68" t="s">
        <v>74</v>
      </c>
      <c r="F7" s="64" t="s">
        <v>12</v>
      </c>
      <c r="G7" s="50">
        <v>16</v>
      </c>
      <c r="H7" s="27">
        <f>IF(B$25=0,0,G7/B$25)</f>
        <v>0.32</v>
      </c>
      <c r="J7" s="26">
        <v>5</v>
      </c>
      <c r="K7" s="28">
        <v>-45.7</v>
      </c>
      <c r="M7" s="31" t="s">
        <v>194</v>
      </c>
      <c r="N7" s="46">
        <f t="shared" si="0"/>
        <v>-316.66666666666669</v>
      </c>
      <c r="O7" s="43">
        <v>-7600</v>
      </c>
      <c r="P7" s="38">
        <v>24</v>
      </c>
    </row>
    <row r="8" spans="1:16" x14ac:dyDescent="0.4">
      <c r="A8" s="58" t="s">
        <v>3</v>
      </c>
      <c r="B8" s="50">
        <v>22</v>
      </c>
      <c r="C8" s="27">
        <f t="shared" ref="C8:C9" si="1">IF(B$2=0,0,B8/B$2)</f>
        <v>0.40740740740740738</v>
      </c>
      <c r="E8" s="68" t="s">
        <v>75</v>
      </c>
      <c r="F8" s="64" t="s">
        <v>28</v>
      </c>
      <c r="G8" s="50">
        <v>5</v>
      </c>
      <c r="H8" s="27">
        <f>IF(B$25=0,0,G8/B$25)</f>
        <v>0.1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13</v>
      </c>
      <c r="C9" s="29">
        <f t="shared" si="1"/>
        <v>0.24074074074074073</v>
      </c>
      <c r="E9" s="68" t="s">
        <v>76</v>
      </c>
      <c r="F9" s="64" t="s">
        <v>29</v>
      </c>
      <c r="G9" s="50">
        <v>4</v>
      </c>
      <c r="H9" s="27">
        <f>IF(B$25=0,0,G9/B$25)</f>
        <v>0.08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7</v>
      </c>
      <c r="C10" s="29">
        <f>IF(B$2=0,0,B10/B$2)</f>
        <v>0.12962962962962962</v>
      </c>
      <c r="E10" s="68" t="s">
        <v>70</v>
      </c>
      <c r="F10" s="64" t="s">
        <v>24</v>
      </c>
      <c r="G10" s="50">
        <v>3</v>
      </c>
      <c r="H10" s="27">
        <f>IF(B$25=0,0,G10/B$25)</f>
        <v>0.06</v>
      </c>
      <c r="J10" s="26">
        <v>8</v>
      </c>
      <c r="K10" s="28">
        <v>-59.1</v>
      </c>
    </row>
    <row r="11" spans="1:16" x14ac:dyDescent="0.4">
      <c r="A11" s="60" t="s">
        <v>199</v>
      </c>
      <c r="B11" s="52">
        <v>10</v>
      </c>
      <c r="C11" s="32">
        <f>IF(B$2=0,0,B11/B$2)</f>
        <v>0.18518518518518517</v>
      </c>
      <c r="E11" s="68" t="s">
        <v>90</v>
      </c>
      <c r="F11" s="64" t="s">
        <v>43</v>
      </c>
      <c r="G11" s="50">
        <v>3</v>
      </c>
      <c r="H11" s="27">
        <f>IF(B$25=0,0,G11/B$25)</f>
        <v>0.06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33</v>
      </c>
      <c r="C12" s="35">
        <f>IF(B$24=0,0,B12/B$24)</f>
        <v>0.22448979591836735</v>
      </c>
      <c r="E12" s="68" t="s">
        <v>93</v>
      </c>
      <c r="F12" s="64" t="s">
        <v>46</v>
      </c>
      <c r="G12" s="50">
        <v>3</v>
      </c>
      <c r="H12" s="27">
        <f>IF(B$25=0,0,G12/B$25)</f>
        <v>0.06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48</v>
      </c>
      <c r="C13" s="27">
        <f>IF(B$24=0,0,B13/B$24)</f>
        <v>0.32653061224489793</v>
      </c>
      <c r="E13" s="68" t="s">
        <v>96</v>
      </c>
      <c r="F13" s="64" t="s">
        <v>49</v>
      </c>
      <c r="G13" s="50">
        <v>3</v>
      </c>
      <c r="H13" s="27">
        <f>IF(B$25=0,0,G13/B$25)</f>
        <v>0.06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22</v>
      </c>
      <c r="C14" s="24">
        <f>IF(B$12=0,0,B14/B$12)</f>
        <v>0.66666666666666663</v>
      </c>
      <c r="E14" s="68" t="s">
        <v>88</v>
      </c>
      <c r="F14" s="64" t="s">
        <v>41</v>
      </c>
      <c r="G14" s="50">
        <v>2</v>
      </c>
      <c r="H14" s="27">
        <f>IF(B$25=0,0,G14/B$25)</f>
        <v>0.04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17</v>
      </c>
      <c r="C15" s="24">
        <f>IF(B$13=0,0,B15/B$13)</f>
        <v>0.35416666666666669</v>
      </c>
      <c r="E15" s="68" t="s">
        <v>84</v>
      </c>
      <c r="F15" s="64" t="s">
        <v>37</v>
      </c>
      <c r="G15" s="50">
        <v>1</v>
      </c>
      <c r="H15" s="27">
        <f>IF(B$25=0,0,G15/B$25)</f>
        <v>0.02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137</v>
      </c>
      <c r="C16" s="24">
        <f>IF(B$3=0,0,B16/B$3)</f>
        <v>0.35584415584415585</v>
      </c>
      <c r="E16" s="68" t="s">
        <v>77</v>
      </c>
      <c r="F16" s="64" t="s">
        <v>30</v>
      </c>
      <c r="G16" s="50">
        <v>1</v>
      </c>
      <c r="H16" s="27">
        <f>IF(B$25=0,0,G16/B$25)</f>
        <v>0.02</v>
      </c>
      <c r="J16" s="26">
        <v>14</v>
      </c>
      <c r="K16" s="28">
        <v>38.6</v>
      </c>
    </row>
    <row r="17" spans="1:11" x14ac:dyDescent="0.4">
      <c r="A17" s="58" t="s">
        <v>12</v>
      </c>
      <c r="B17" s="50">
        <v>63</v>
      </c>
      <c r="C17" s="27">
        <f>IF(B$16=0,0,B17/B$16)</f>
        <v>0.45985401459854014</v>
      </c>
      <c r="E17" s="68" t="s">
        <v>100</v>
      </c>
      <c r="F17" s="64" t="s">
        <v>53</v>
      </c>
      <c r="G17" s="50">
        <v>1</v>
      </c>
      <c r="H17" s="27">
        <f>IF(B$25=0,0,G17/B$25)</f>
        <v>0.02</v>
      </c>
      <c r="J17" s="26">
        <v>15</v>
      </c>
      <c r="K17" s="28">
        <v>55.8</v>
      </c>
    </row>
    <row r="18" spans="1:11" x14ac:dyDescent="0.4">
      <c r="A18" s="58" t="s">
        <v>11</v>
      </c>
      <c r="B18" s="50">
        <v>74</v>
      </c>
      <c r="C18" s="27">
        <f>IF(B$16=0,0,B18/B$16)</f>
        <v>0.54014598540145986</v>
      </c>
      <c r="E18" s="68" t="s">
        <v>79</v>
      </c>
      <c r="F18" s="64" t="s">
        <v>32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61</v>
      </c>
      <c r="C19" s="27">
        <f>IF(B$3=0,0,B19/B$3)</f>
        <v>0.15844155844155844</v>
      </c>
      <c r="E19" s="68" t="s">
        <v>80</v>
      </c>
      <c r="F19" s="64" t="s">
        <v>33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9855.4744525547449</v>
      </c>
      <c r="C20" s="30">
        <v>1350200</v>
      </c>
      <c r="E20" s="68" t="s">
        <v>81</v>
      </c>
      <c r="F20" s="64" t="s">
        <v>34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-9145.9016393442616</v>
      </c>
      <c r="C21" s="48">
        <v>-557900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186</v>
      </c>
      <c r="B22" s="49">
        <v>142</v>
      </c>
      <c r="C22" s="24">
        <f>IF(B$3=0,0,B22/B$3)</f>
        <v>0.36883116883116884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187</v>
      </c>
      <c r="B23" s="52">
        <v>53</v>
      </c>
      <c r="C23" s="32">
        <f>IF(B$22=0,0,B23/B$22)</f>
        <v>0.37323943661971831</v>
      </c>
      <c r="E23" s="68" t="s">
        <v>85</v>
      </c>
      <c r="F23" s="64" t="s">
        <v>38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6">
        <v>147</v>
      </c>
      <c r="C24" s="87"/>
      <c r="E24" s="68" t="s">
        <v>86</v>
      </c>
      <c r="F24" s="64" t="s">
        <v>39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8">
        <v>50</v>
      </c>
      <c r="C25" s="89"/>
      <c r="E25" s="68" t="s">
        <v>87</v>
      </c>
      <c r="F25" s="64" t="s">
        <v>40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78" t="s">
        <v>210</v>
      </c>
      <c r="B26" s="90">
        <v>7</v>
      </c>
      <c r="C26" s="91"/>
      <c r="E26" s="68" t="s">
        <v>89</v>
      </c>
      <c r="F26" s="64" t="s">
        <v>42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A27" s="60" t="s">
        <v>212</v>
      </c>
      <c r="B27" s="79">
        <v>1</v>
      </c>
      <c r="C27" s="32">
        <f>IF(B$3=0,0,B27/B$3)</f>
        <v>2.5974025974025974E-3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210.90000000000003</v>
      </c>
    </row>
    <row r="52" spans="5:11" x14ac:dyDescent="0.4">
      <c r="J52" s="26">
        <v>50</v>
      </c>
      <c r="K52" s="28">
        <v>210.90000000000003</v>
      </c>
    </row>
    <row r="53" spans="5:11" x14ac:dyDescent="0.4">
      <c r="J53" s="26">
        <v>51</v>
      </c>
      <c r="K53" s="28">
        <v>289.60000000000002</v>
      </c>
    </row>
    <row r="54" spans="5:11" x14ac:dyDescent="0.4">
      <c r="J54" s="26">
        <v>52</v>
      </c>
      <c r="K54" s="28">
        <v>316.10000000000002</v>
      </c>
    </row>
    <row r="55" spans="5:11" x14ac:dyDescent="0.4">
      <c r="J55" s="26">
        <v>53</v>
      </c>
      <c r="K55" s="28">
        <v>265.60000000000002</v>
      </c>
    </row>
    <row r="56" spans="5:11" x14ac:dyDescent="0.4">
      <c r="J56" s="26">
        <v>54</v>
      </c>
      <c r="K56" s="28">
        <v>250.50000000000003</v>
      </c>
    </row>
  </sheetData>
  <sortState ref="E2:H5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B19BF-00C4-4E18-98AD-2AE12A068D09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228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4">
        <v>37</v>
      </c>
      <c r="C3" s="95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190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6">
        <v>-86.4</v>
      </c>
      <c r="C4" s="97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191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6">
        <f>IF(B$2=0,0,B$4/B$2)</f>
        <v>-17.28</v>
      </c>
      <c r="C5" s="97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192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8">
        <f>IF(B$2=0,0,(B$7*1+B$8*2+B$9*3)/B$2)</f>
        <v>2.2000000000000002</v>
      </c>
      <c r="C6" s="99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193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194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31</v>
      </c>
      <c r="C24" s="87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9</v>
      </c>
      <c r="C25" s="89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3</v>
      </c>
      <c r="C26" s="91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2405-F5B7-475F-8746-F32409DD63E5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181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48</v>
      </c>
      <c r="C2" s="87"/>
      <c r="E2" s="67" t="s">
        <v>73</v>
      </c>
      <c r="F2" s="63" t="s">
        <v>27</v>
      </c>
      <c r="G2" s="49">
        <v>38</v>
      </c>
      <c r="H2" s="24">
        <f>IF(B$25=0,0,G2/B$25)</f>
        <v>0.95</v>
      </c>
      <c r="J2" s="23">
        <v>0</v>
      </c>
      <c r="K2" s="25">
        <v>0</v>
      </c>
      <c r="M2" s="23" t="s">
        <v>189</v>
      </c>
      <c r="N2" s="44">
        <f t="shared" ref="N2:N7" si="0">IF(P2=0,0,O2/P2)</f>
        <v>-2650</v>
      </c>
      <c r="O2" s="41">
        <v>-127200</v>
      </c>
      <c r="P2" s="39">
        <v>48</v>
      </c>
    </row>
    <row r="3" spans="1:16" x14ac:dyDescent="0.4">
      <c r="A3" s="58" t="s">
        <v>8</v>
      </c>
      <c r="B3" s="94">
        <v>371</v>
      </c>
      <c r="C3" s="95"/>
      <c r="E3" s="68" t="s">
        <v>78</v>
      </c>
      <c r="F3" s="64" t="s">
        <v>31</v>
      </c>
      <c r="G3" s="50">
        <v>28</v>
      </c>
      <c r="H3" s="27">
        <f>IF(B$25=0,0,G3/B$25)</f>
        <v>0.7</v>
      </c>
      <c r="J3" s="26">
        <v>1</v>
      </c>
      <c r="K3" s="28">
        <v>68.2</v>
      </c>
      <c r="M3" s="26" t="s">
        <v>190</v>
      </c>
      <c r="N3" s="45">
        <f t="shared" si="0"/>
        <v>-2593.3333333333335</v>
      </c>
      <c r="O3" s="42">
        <v>-116700</v>
      </c>
      <c r="P3" s="37">
        <v>45</v>
      </c>
    </row>
    <row r="4" spans="1:16" x14ac:dyDescent="0.4">
      <c r="A4" s="58" t="s">
        <v>6</v>
      </c>
      <c r="B4" s="96">
        <v>-297.89999999999998</v>
      </c>
      <c r="C4" s="97"/>
      <c r="E4" s="68" t="s">
        <v>71</v>
      </c>
      <c r="F4" s="64" t="s">
        <v>25</v>
      </c>
      <c r="G4" s="50">
        <v>28</v>
      </c>
      <c r="H4" s="27">
        <f>IF(B$25=0,0,G4/B$25)</f>
        <v>0.7</v>
      </c>
      <c r="J4" s="26">
        <v>2</v>
      </c>
      <c r="K4" s="28">
        <v>58.5</v>
      </c>
      <c r="M4" s="26" t="s">
        <v>191</v>
      </c>
      <c r="N4" s="45">
        <f t="shared" si="0"/>
        <v>-1102.5641025641025</v>
      </c>
      <c r="O4" s="42">
        <v>-43000</v>
      </c>
      <c r="P4" s="37">
        <v>39</v>
      </c>
    </row>
    <row r="5" spans="1:16" x14ac:dyDescent="0.4">
      <c r="A5" s="58" t="s">
        <v>7</v>
      </c>
      <c r="B5" s="96">
        <f>IF(B$2=0,0,B$4/B$2)</f>
        <v>-6.2062499999999998</v>
      </c>
      <c r="C5" s="97"/>
      <c r="E5" s="68" t="s">
        <v>69</v>
      </c>
      <c r="F5" s="64" t="s">
        <v>23</v>
      </c>
      <c r="G5" s="50">
        <v>16</v>
      </c>
      <c r="H5" s="27">
        <f>IF(B$25=0,0,G5/B$25)</f>
        <v>0.4</v>
      </c>
      <c r="J5" s="26">
        <v>3</v>
      </c>
      <c r="K5" s="28">
        <v>82.1</v>
      </c>
      <c r="M5" s="26" t="s">
        <v>192</v>
      </c>
      <c r="N5" s="45">
        <f t="shared" si="0"/>
        <v>1729.7297297297298</v>
      </c>
      <c r="O5" s="42">
        <v>64000</v>
      </c>
      <c r="P5" s="37">
        <v>37</v>
      </c>
    </row>
    <row r="6" spans="1:16" x14ac:dyDescent="0.4">
      <c r="A6" s="58" t="s">
        <v>1</v>
      </c>
      <c r="B6" s="98">
        <f>IF(B$2=0,0,(B$7*1+B$8*2+B$9*3)/B$2)</f>
        <v>2.1875</v>
      </c>
      <c r="C6" s="99"/>
      <c r="E6" s="68" t="s">
        <v>70</v>
      </c>
      <c r="F6" s="64" t="s">
        <v>24</v>
      </c>
      <c r="G6" s="50">
        <v>7</v>
      </c>
      <c r="H6" s="27">
        <f>IF(B$25=0,0,G6/B$25)</f>
        <v>0.17499999999999999</v>
      </c>
      <c r="J6" s="26">
        <v>4</v>
      </c>
      <c r="K6" s="28">
        <v>58.199999999999996</v>
      </c>
      <c r="M6" s="26" t="s">
        <v>193</v>
      </c>
      <c r="N6" s="45">
        <f t="shared" si="0"/>
        <v>-2764.2857142857142</v>
      </c>
      <c r="O6" s="42">
        <v>-77400</v>
      </c>
      <c r="P6" s="37">
        <v>28</v>
      </c>
    </row>
    <row r="7" spans="1:16" x14ac:dyDescent="0.4">
      <c r="A7" s="58" t="s">
        <v>2</v>
      </c>
      <c r="B7" s="50">
        <v>10</v>
      </c>
      <c r="C7" s="27">
        <f>IF(B$2=0,0,B7/B$2)</f>
        <v>0.20833333333333334</v>
      </c>
      <c r="E7" s="68" t="s">
        <v>74</v>
      </c>
      <c r="F7" s="64" t="s">
        <v>12</v>
      </c>
      <c r="G7" s="50">
        <v>7</v>
      </c>
      <c r="H7" s="27">
        <f>IF(B$25=0,0,G7/B$25)</f>
        <v>0.17499999999999999</v>
      </c>
      <c r="J7" s="26">
        <v>5</v>
      </c>
      <c r="K7" s="28">
        <v>124.19999999999999</v>
      </c>
      <c r="M7" s="31" t="s">
        <v>194</v>
      </c>
      <c r="N7" s="46">
        <f t="shared" si="0"/>
        <v>109.09090909090909</v>
      </c>
      <c r="O7" s="43">
        <v>2400</v>
      </c>
      <c r="P7" s="38">
        <v>22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0.39583333333333331</v>
      </c>
      <c r="E8" s="68" t="s">
        <v>72</v>
      </c>
      <c r="F8" s="64" t="s">
        <v>26</v>
      </c>
      <c r="G8" s="50">
        <v>4</v>
      </c>
      <c r="H8" s="27">
        <f>IF(B$25=0,0,G8/B$25)</f>
        <v>0.1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19</v>
      </c>
      <c r="C9" s="29">
        <f t="shared" si="1"/>
        <v>0.39583333333333331</v>
      </c>
      <c r="E9" s="68" t="s">
        <v>75</v>
      </c>
      <c r="F9" s="64" t="s">
        <v>28</v>
      </c>
      <c r="G9" s="50">
        <v>3</v>
      </c>
      <c r="H9" s="27">
        <f>IF(B$25=0,0,G9/B$25)</f>
        <v>7.4999999999999997E-2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10</v>
      </c>
      <c r="C10" s="29">
        <f>IF(B$2=0,0,B10/B$2)</f>
        <v>0.20833333333333334</v>
      </c>
      <c r="E10" s="68" t="s">
        <v>96</v>
      </c>
      <c r="F10" s="64" t="s">
        <v>49</v>
      </c>
      <c r="G10" s="50">
        <v>3</v>
      </c>
      <c r="H10" s="27">
        <f>IF(B$25=0,0,G10/B$25)</f>
        <v>7.4999999999999997E-2</v>
      </c>
      <c r="J10" s="26">
        <v>8</v>
      </c>
      <c r="K10" s="28">
        <v>97</v>
      </c>
    </row>
    <row r="11" spans="1:16" x14ac:dyDescent="0.4">
      <c r="A11" s="60" t="s">
        <v>199</v>
      </c>
      <c r="B11" s="52">
        <v>7</v>
      </c>
      <c r="C11" s="32">
        <f>IF(B$2=0,0,B11/B$2)</f>
        <v>0.14583333333333334</v>
      </c>
      <c r="E11" s="68" t="s">
        <v>84</v>
      </c>
      <c r="F11" s="64" t="s">
        <v>37</v>
      </c>
      <c r="G11" s="50">
        <v>2</v>
      </c>
      <c r="H11" s="27">
        <f>IF(B$25=0,0,G11/B$25)</f>
        <v>0.05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42</v>
      </c>
      <c r="C12" s="35">
        <f>IF(B$24=0,0,B12/B$24)</f>
        <v>0.22826086956521738</v>
      </c>
      <c r="E12" s="68" t="s">
        <v>85</v>
      </c>
      <c r="F12" s="64" t="s">
        <v>38</v>
      </c>
      <c r="G12" s="50">
        <v>2</v>
      </c>
      <c r="H12" s="27">
        <f>IF(B$25=0,0,G12/B$25)</f>
        <v>0.05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51</v>
      </c>
      <c r="C13" s="27">
        <f>IF(B$24=0,0,B13/B$24)</f>
        <v>0.27717391304347827</v>
      </c>
      <c r="E13" s="68" t="s">
        <v>93</v>
      </c>
      <c r="F13" s="64" t="s">
        <v>46</v>
      </c>
      <c r="G13" s="50">
        <v>2</v>
      </c>
      <c r="H13" s="27">
        <f>IF(B$25=0,0,G13/B$25)</f>
        <v>0.05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15</v>
      </c>
      <c r="C14" s="24">
        <f>IF(B$12=0,0,B14/B$12)</f>
        <v>0.35714285714285715</v>
      </c>
      <c r="E14" s="68" t="s">
        <v>76</v>
      </c>
      <c r="F14" s="64" t="s">
        <v>29</v>
      </c>
      <c r="G14" s="50">
        <v>2</v>
      </c>
      <c r="H14" s="27">
        <f>IF(B$25=0,0,G14/B$25)</f>
        <v>0.05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19</v>
      </c>
      <c r="C15" s="24">
        <f>IF(B$13=0,0,B15/B$13)</f>
        <v>0.37254901960784315</v>
      </c>
      <c r="E15" s="68" t="s">
        <v>77</v>
      </c>
      <c r="F15" s="64" t="s">
        <v>30</v>
      </c>
      <c r="G15" s="50">
        <v>1</v>
      </c>
      <c r="H15" s="27">
        <f>IF(B$25=0,0,G15/B$25)</f>
        <v>2.5000000000000001E-2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B18+B17</f>
        <v>94</v>
      </c>
      <c r="C16" s="24">
        <f>IF(B$3=0,0,B16/B$3)</f>
        <v>0.25336927223719674</v>
      </c>
      <c r="E16" s="68" t="s">
        <v>81</v>
      </c>
      <c r="F16" s="64" t="s">
        <v>34</v>
      </c>
      <c r="G16" s="50">
        <v>1</v>
      </c>
      <c r="H16" s="27">
        <f>IF(B$25=0,0,G16/B$25)</f>
        <v>2.5000000000000001E-2</v>
      </c>
      <c r="J16" s="26">
        <v>14</v>
      </c>
      <c r="K16" s="28">
        <v>41.499999999999986</v>
      </c>
    </row>
    <row r="17" spans="1:11" x14ac:dyDescent="0.4">
      <c r="A17" s="58" t="s">
        <v>12</v>
      </c>
      <c r="B17" s="50">
        <v>40</v>
      </c>
      <c r="C17" s="27">
        <f>IF(B$16=0,0,B17/B$16)</f>
        <v>0.42553191489361702</v>
      </c>
      <c r="E17" s="68" t="s">
        <v>88</v>
      </c>
      <c r="F17" s="64" t="s">
        <v>41</v>
      </c>
      <c r="G17" s="50">
        <v>1</v>
      </c>
      <c r="H17" s="27">
        <f>IF(B$25=0,0,G17/B$25)</f>
        <v>2.5000000000000001E-2</v>
      </c>
      <c r="J17" s="26">
        <v>15</v>
      </c>
      <c r="K17" s="28">
        <v>32.999999999999986</v>
      </c>
    </row>
    <row r="18" spans="1:11" x14ac:dyDescent="0.4">
      <c r="A18" s="58" t="s">
        <v>11</v>
      </c>
      <c r="B18" s="50">
        <v>54</v>
      </c>
      <c r="C18" s="27">
        <f>IF(B$16=0,0,B18/B$16)</f>
        <v>0.57446808510638303</v>
      </c>
      <c r="E18" s="68" t="s">
        <v>90</v>
      </c>
      <c r="F18" s="64" t="s">
        <v>43</v>
      </c>
      <c r="G18" s="50">
        <v>1</v>
      </c>
      <c r="H18" s="27">
        <f>IF(B$25=0,0,G18/B$25)</f>
        <v>2.5000000000000001E-2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76</v>
      </c>
      <c r="C19" s="27">
        <f>IF(B$3=0,0,B19/B$3)</f>
        <v>0.20485175202156333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9722.3404255319147</v>
      </c>
      <c r="C20" s="30">
        <v>913900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-8509.21052631579</v>
      </c>
      <c r="C21" s="48">
        <v>-646700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186</v>
      </c>
      <c r="B22" s="49">
        <v>104</v>
      </c>
      <c r="C22" s="24">
        <f>IF(B$3=0,0,B22/B$3)</f>
        <v>0.28032345013477089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187</v>
      </c>
      <c r="B23" s="52">
        <v>37</v>
      </c>
      <c r="C23" s="32">
        <f>IF(B$22=0,0,B23/B$22)</f>
        <v>0.35576923076923078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6">
        <v>184</v>
      </c>
      <c r="C24" s="87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8">
        <v>40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78" t="s">
        <v>210</v>
      </c>
      <c r="B26" s="90">
        <v>5</v>
      </c>
      <c r="C26" s="91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A27" s="60" t="s">
        <v>212</v>
      </c>
      <c r="B27" s="79">
        <v>2</v>
      </c>
      <c r="C27" s="32">
        <f>IF(B$3=0,0,B27/B$3)</f>
        <v>5.3908355795148251E-3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-214.1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-215.2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-252.39999999999998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-293.7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-297.89999999999998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A739F-F888-4133-80CB-798A2AB89875}">
  <sheetPr codeName="Sheet11"/>
  <dimension ref="A1:P6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182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59</v>
      </c>
      <c r="C2" s="87"/>
      <c r="E2" s="67" t="s">
        <v>73</v>
      </c>
      <c r="F2" s="63" t="s">
        <v>27</v>
      </c>
      <c r="G2" s="49">
        <v>93</v>
      </c>
      <c r="H2" s="24">
        <f>IF(B$25=0,0,G2/B$25)</f>
        <v>0.89423076923076927</v>
      </c>
      <c r="J2" s="23">
        <v>0</v>
      </c>
      <c r="K2" s="25">
        <v>0</v>
      </c>
      <c r="M2" s="23" t="s">
        <v>189</v>
      </c>
      <c r="N2" s="44">
        <f t="shared" ref="N2:N7" si="0">IF(P2=0,0,O2/P2)</f>
        <v>4161.4035087719294</v>
      </c>
      <c r="O2" s="41">
        <v>237200</v>
      </c>
      <c r="P2" s="39">
        <v>57</v>
      </c>
    </row>
    <row r="3" spans="1:16" x14ac:dyDescent="0.4">
      <c r="A3" s="58" t="s">
        <v>8</v>
      </c>
      <c r="B3" s="94">
        <v>446</v>
      </c>
      <c r="C3" s="95"/>
      <c r="E3" s="68" t="s">
        <v>71</v>
      </c>
      <c r="F3" s="64" t="s">
        <v>25</v>
      </c>
      <c r="G3" s="50">
        <v>82</v>
      </c>
      <c r="H3" s="27">
        <f>IF(B$25=0,0,G3/B$25)</f>
        <v>0.78846153846153844</v>
      </c>
      <c r="J3" s="26">
        <v>1</v>
      </c>
      <c r="K3" s="28">
        <v>-36.700000000000003</v>
      </c>
      <c r="M3" s="26" t="s">
        <v>190</v>
      </c>
      <c r="N3" s="45">
        <f t="shared" si="0"/>
        <v>-490.56603773584908</v>
      </c>
      <c r="O3" s="42">
        <v>-26000</v>
      </c>
      <c r="P3" s="37">
        <v>53</v>
      </c>
    </row>
    <row r="4" spans="1:16" x14ac:dyDescent="0.4">
      <c r="A4" s="58" t="s">
        <v>6</v>
      </c>
      <c r="B4" s="96">
        <v>189.19999999999996</v>
      </c>
      <c r="C4" s="97"/>
      <c r="E4" s="68" t="s">
        <v>69</v>
      </c>
      <c r="F4" s="64" t="s">
        <v>23</v>
      </c>
      <c r="G4" s="50">
        <v>65</v>
      </c>
      <c r="H4" s="27">
        <f>IF(B$25=0,0,G4/B$25)</f>
        <v>0.625</v>
      </c>
      <c r="J4" s="26">
        <v>2</v>
      </c>
      <c r="K4" s="28">
        <v>-45.300000000000004</v>
      </c>
      <c r="M4" s="26" t="s">
        <v>191</v>
      </c>
      <c r="N4" s="45">
        <f t="shared" si="0"/>
        <v>220.83333333333334</v>
      </c>
      <c r="O4" s="42">
        <v>10600</v>
      </c>
      <c r="P4" s="37">
        <v>48</v>
      </c>
    </row>
    <row r="5" spans="1:16" x14ac:dyDescent="0.4">
      <c r="A5" s="58" t="s">
        <v>7</v>
      </c>
      <c r="B5" s="96">
        <f>IF(B$2=0,0,B$4/B$2)</f>
        <v>3.2067796610169483</v>
      </c>
      <c r="C5" s="97"/>
      <c r="E5" s="68" t="s">
        <v>78</v>
      </c>
      <c r="F5" s="64" t="s">
        <v>31</v>
      </c>
      <c r="G5" s="50">
        <v>57</v>
      </c>
      <c r="H5" s="27">
        <f>IF(B$25=0,0,G5/B$25)</f>
        <v>0.54807692307692313</v>
      </c>
      <c r="J5" s="26">
        <v>3</v>
      </c>
      <c r="K5" s="28">
        <v>-81.7</v>
      </c>
      <c r="M5" s="26" t="s">
        <v>192</v>
      </c>
      <c r="N5" s="45">
        <f t="shared" si="0"/>
        <v>-1153.3333333333333</v>
      </c>
      <c r="O5" s="42">
        <v>-51900</v>
      </c>
      <c r="P5" s="37">
        <v>45</v>
      </c>
    </row>
    <row r="6" spans="1:16" x14ac:dyDescent="0.4">
      <c r="A6" s="58" t="s">
        <v>1</v>
      </c>
      <c r="B6" s="98">
        <f>IF(B$2=0,0,(B$7*1+B$8*2+B$9*3)/B$2)</f>
        <v>1.8983050847457628</v>
      </c>
      <c r="C6" s="99"/>
      <c r="E6" s="68" t="s">
        <v>72</v>
      </c>
      <c r="F6" s="64" t="s">
        <v>26</v>
      </c>
      <c r="G6" s="50">
        <v>39</v>
      </c>
      <c r="H6" s="27">
        <f>IF(B$25=0,0,G6/B$25)</f>
        <v>0.375</v>
      </c>
      <c r="J6" s="26">
        <v>4</v>
      </c>
      <c r="K6" s="28">
        <v>-113.80000000000001</v>
      </c>
      <c r="M6" s="26" t="s">
        <v>193</v>
      </c>
      <c r="N6" s="45">
        <f t="shared" si="0"/>
        <v>55.555555555555557</v>
      </c>
      <c r="O6" s="42">
        <v>2000</v>
      </c>
      <c r="P6" s="37">
        <v>36</v>
      </c>
    </row>
    <row r="7" spans="1:16" x14ac:dyDescent="0.4">
      <c r="A7" s="58" t="s">
        <v>2</v>
      </c>
      <c r="B7" s="50">
        <v>24</v>
      </c>
      <c r="C7" s="27">
        <f>IF(B$2=0,0,B7/B$2)</f>
        <v>0.40677966101694918</v>
      </c>
      <c r="E7" s="68" t="s">
        <v>74</v>
      </c>
      <c r="F7" s="64" t="s">
        <v>12</v>
      </c>
      <c r="G7" s="50">
        <v>32</v>
      </c>
      <c r="H7" s="27">
        <f>IF(B$25=0,0,G7/B$25)</f>
        <v>0.30769230769230771</v>
      </c>
      <c r="J7" s="26">
        <v>5</v>
      </c>
      <c r="K7" s="28">
        <v>-135.80000000000001</v>
      </c>
      <c r="M7" s="31" t="s">
        <v>194</v>
      </c>
      <c r="N7" s="46">
        <f t="shared" si="0"/>
        <v>-754.83870967741939</v>
      </c>
      <c r="O7" s="43">
        <v>-23400</v>
      </c>
      <c r="P7" s="38">
        <v>31</v>
      </c>
    </row>
    <row r="8" spans="1:16" x14ac:dyDescent="0.4">
      <c r="A8" s="58" t="s">
        <v>3</v>
      </c>
      <c r="B8" s="50">
        <v>17</v>
      </c>
      <c r="C8" s="27">
        <f t="shared" ref="C8:C9" si="1">IF(B$2=0,0,B8/B$2)</f>
        <v>0.28813559322033899</v>
      </c>
      <c r="E8" s="68" t="s">
        <v>75</v>
      </c>
      <c r="F8" s="64" t="s">
        <v>28</v>
      </c>
      <c r="G8" s="50">
        <v>21</v>
      </c>
      <c r="H8" s="27">
        <f>IF(B$25=0,0,G8/B$25)</f>
        <v>0.20192307692307693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18</v>
      </c>
      <c r="C9" s="29">
        <f t="shared" si="1"/>
        <v>0.30508474576271188</v>
      </c>
      <c r="E9" s="68" t="s">
        <v>70</v>
      </c>
      <c r="F9" s="64" t="s">
        <v>24</v>
      </c>
      <c r="G9" s="50">
        <v>14</v>
      </c>
      <c r="H9" s="27">
        <f>IF(B$25=0,0,G9/B$25)</f>
        <v>0.13461538461538461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9</v>
      </c>
      <c r="C10" s="29">
        <f>IF(B$2=0,0,B10/B$2)</f>
        <v>0.15254237288135594</v>
      </c>
      <c r="E10" s="68" t="s">
        <v>96</v>
      </c>
      <c r="F10" s="64" t="s">
        <v>49</v>
      </c>
      <c r="G10" s="50">
        <v>12</v>
      </c>
      <c r="H10" s="27">
        <f>IF(B$25=0,0,G10/B$25)</f>
        <v>0.11538461538461539</v>
      </c>
      <c r="J10" s="26">
        <v>8</v>
      </c>
      <c r="K10" s="28">
        <v>-51.800000000000018</v>
      </c>
    </row>
    <row r="11" spans="1:16" x14ac:dyDescent="0.4">
      <c r="A11" s="60" t="s">
        <v>199</v>
      </c>
      <c r="B11" s="52">
        <v>12</v>
      </c>
      <c r="C11" s="32">
        <f>IF(B$2=0,0,B11/B$2)</f>
        <v>0.20338983050847459</v>
      </c>
      <c r="E11" s="68" t="s">
        <v>76</v>
      </c>
      <c r="F11" s="64" t="s">
        <v>29</v>
      </c>
      <c r="G11" s="50">
        <v>8</v>
      </c>
      <c r="H11" s="27">
        <f>IF(B$25=0,0,G11/B$25)</f>
        <v>7.6923076923076927E-2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105</v>
      </c>
      <c r="C12" s="35">
        <f>IF(B$24=0,0,B12/B$24)</f>
        <v>0.33546325878594252</v>
      </c>
      <c r="E12" s="68" t="s">
        <v>77</v>
      </c>
      <c r="F12" s="64" t="s">
        <v>30</v>
      </c>
      <c r="G12" s="50">
        <v>7</v>
      </c>
      <c r="H12" s="27">
        <f>IF(B$25=0,0,G12/B$25)</f>
        <v>6.7307692307692304E-2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69</v>
      </c>
      <c r="C13" s="27">
        <f>IF(B$24=0,0,B13/B$24)</f>
        <v>0.22044728434504793</v>
      </c>
      <c r="E13" s="68" t="s">
        <v>84</v>
      </c>
      <c r="F13" s="64" t="s">
        <v>37</v>
      </c>
      <c r="G13" s="50">
        <v>6</v>
      </c>
      <c r="H13" s="27">
        <f>IF(B$25=0,0,G13/B$25)</f>
        <v>5.7692307692307696E-2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66</v>
      </c>
      <c r="C14" s="24">
        <f>IF(B$12=0,0,B14/B$12)</f>
        <v>0.62857142857142856</v>
      </c>
      <c r="E14" s="68" t="s">
        <v>93</v>
      </c>
      <c r="F14" s="64" t="s">
        <v>46</v>
      </c>
      <c r="G14" s="50">
        <v>6</v>
      </c>
      <c r="H14" s="27">
        <f>IF(B$25=0,0,G14/B$25)</f>
        <v>5.7692307692307696E-2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27</v>
      </c>
      <c r="C15" s="24">
        <f>IF(B$13=0,0,B15/B$13)</f>
        <v>0.39130434782608697</v>
      </c>
      <c r="E15" s="68" t="s">
        <v>88</v>
      </c>
      <c r="F15" s="64" t="s">
        <v>41</v>
      </c>
      <c r="G15" s="50">
        <v>2</v>
      </c>
      <c r="H15" s="27">
        <f>IF(B$25=0,0,G15/B$25)</f>
        <v>1.9230769230769232E-2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B18+B17</f>
        <v>142</v>
      </c>
      <c r="C16" s="24">
        <f>IF(B$3=0,0,B16/B$3)</f>
        <v>0.31838565022421522</v>
      </c>
      <c r="E16" s="68" t="s">
        <v>98</v>
      </c>
      <c r="F16" s="64" t="s">
        <v>51</v>
      </c>
      <c r="G16" s="50">
        <v>2</v>
      </c>
      <c r="H16" s="27">
        <f>IF(B$25=0,0,G16/B$25)</f>
        <v>1.9230769230769232E-2</v>
      </c>
      <c r="J16" s="26">
        <v>14</v>
      </c>
      <c r="K16" s="28">
        <v>-62.000000000000021</v>
      </c>
    </row>
    <row r="17" spans="1:11" x14ac:dyDescent="0.4">
      <c r="A17" s="58" t="s">
        <v>12</v>
      </c>
      <c r="B17" s="50">
        <v>56</v>
      </c>
      <c r="C17" s="27">
        <f>IF(B$16=0,0,B17/B$16)</f>
        <v>0.39436619718309857</v>
      </c>
      <c r="E17" s="68" t="s">
        <v>80</v>
      </c>
      <c r="F17" s="64" t="s">
        <v>33</v>
      </c>
      <c r="G17" s="50">
        <v>1</v>
      </c>
      <c r="H17" s="27">
        <f>IF(B$25=0,0,G17/B$25)</f>
        <v>9.6153846153846159E-3</v>
      </c>
      <c r="J17" s="26">
        <v>15</v>
      </c>
      <c r="K17" s="28">
        <v>-69.200000000000017</v>
      </c>
    </row>
    <row r="18" spans="1:11" x14ac:dyDescent="0.4">
      <c r="A18" s="58" t="s">
        <v>11</v>
      </c>
      <c r="B18" s="50">
        <v>86</v>
      </c>
      <c r="C18" s="27">
        <f>IF(B$16=0,0,B18/B$16)</f>
        <v>0.60563380281690138</v>
      </c>
      <c r="E18" s="68" t="s">
        <v>90</v>
      </c>
      <c r="F18" s="64" t="s">
        <v>43</v>
      </c>
      <c r="G18" s="50">
        <v>1</v>
      </c>
      <c r="H18" s="27">
        <f>IF(B$25=0,0,G18/B$25)</f>
        <v>9.6153846153846159E-3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73</v>
      </c>
      <c r="C19" s="27">
        <f>IF(B$3=0,0,B19/B$3)</f>
        <v>0.16367713004484305</v>
      </c>
      <c r="E19" s="68" t="s">
        <v>91</v>
      </c>
      <c r="F19" s="64" t="s">
        <v>44</v>
      </c>
      <c r="G19" s="50">
        <v>1</v>
      </c>
      <c r="H19" s="27">
        <f>IF(B$25=0,0,G19/B$25)</f>
        <v>9.6153846153846159E-3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10575.352112676057</v>
      </c>
      <c r="C20" s="30">
        <v>1501700</v>
      </c>
      <c r="E20" s="68" t="s">
        <v>83</v>
      </c>
      <c r="F20" s="64" t="s">
        <v>36</v>
      </c>
      <c r="G20" s="50">
        <v>1</v>
      </c>
      <c r="H20" s="27">
        <f>IF(B$25=0,0,G20/B$25)</f>
        <v>9.6153846153846159E-3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-9626.0273972602736</v>
      </c>
      <c r="C21" s="48">
        <v>-702700</v>
      </c>
      <c r="E21" s="68" t="s">
        <v>79</v>
      </c>
      <c r="F21" s="64" t="s">
        <v>32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186</v>
      </c>
      <c r="B22" s="49">
        <v>164</v>
      </c>
      <c r="C22" s="24">
        <f>IF(B$3=0,0,B22/B$3)</f>
        <v>0.36771300448430494</v>
      </c>
      <c r="E22" s="68" t="s">
        <v>81</v>
      </c>
      <c r="F22" s="64" t="s">
        <v>34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187</v>
      </c>
      <c r="B23" s="52">
        <v>64</v>
      </c>
      <c r="C23" s="32">
        <f>IF(B$22=0,0,B23/B$22)</f>
        <v>0.3902439024390244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6">
        <v>313</v>
      </c>
      <c r="C24" s="87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8">
        <v>104</v>
      </c>
      <c r="C25" s="89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78" t="s">
        <v>210</v>
      </c>
      <c r="B26" s="90">
        <v>9</v>
      </c>
      <c r="C26" s="91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A27" s="60" t="s">
        <v>212</v>
      </c>
      <c r="B27" s="79">
        <v>3</v>
      </c>
      <c r="C27" s="32">
        <f>IF(B$3=0,0,B27/B$3)</f>
        <v>6.7264573991031393E-3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  <row r="54" spans="5:11" x14ac:dyDescent="0.4">
      <c r="J54" s="26">
        <v>52</v>
      </c>
      <c r="K54" s="28">
        <v>177.19999999999996</v>
      </c>
    </row>
    <row r="55" spans="5:11" x14ac:dyDescent="0.4">
      <c r="J55" s="26">
        <v>53</v>
      </c>
      <c r="K55" s="28">
        <v>176.79999999999995</v>
      </c>
    </row>
    <row r="56" spans="5:11" x14ac:dyDescent="0.4">
      <c r="J56" s="26">
        <v>54</v>
      </c>
      <c r="K56" s="28">
        <v>194.89999999999995</v>
      </c>
    </row>
    <row r="57" spans="5:11" x14ac:dyDescent="0.4">
      <c r="J57" s="26">
        <v>55</v>
      </c>
      <c r="K57" s="28">
        <v>217.69999999999996</v>
      </c>
    </row>
    <row r="58" spans="5:11" x14ac:dyDescent="0.4">
      <c r="J58" s="26">
        <v>56</v>
      </c>
      <c r="K58" s="28">
        <v>204.89999999999995</v>
      </c>
    </row>
    <row r="59" spans="5:11" x14ac:dyDescent="0.4">
      <c r="J59" s="26">
        <v>57</v>
      </c>
      <c r="K59" s="28">
        <v>240.89999999999995</v>
      </c>
    </row>
    <row r="60" spans="5:11" x14ac:dyDescent="0.4">
      <c r="J60" s="26">
        <v>58</v>
      </c>
      <c r="K60" s="28">
        <v>191.79999999999995</v>
      </c>
    </row>
    <row r="61" spans="5:11" x14ac:dyDescent="0.4">
      <c r="J61" s="26">
        <v>59</v>
      </c>
      <c r="K61" s="28">
        <v>189.19999999999996</v>
      </c>
    </row>
  </sheetData>
  <sortState ref="E2:H6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3BA9C-40B6-4812-BA02-81320570D3EC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184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12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94">
        <v>82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190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6">
        <v>80.800000000000011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191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6">
        <f>IF(B$2=0,0,B$4/B$2)</f>
        <v>6.7333333333333343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192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8">
        <f>IF(B$2=0,0,(B$7*1+B$8*2+B$9*3)/B$2)</f>
        <v>1.75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193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194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199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13</v>
      </c>
      <c r="C17" s="27">
        <f>IF(B$16=0,0,B17/B$16)</f>
        <v>0.4642857142857143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15</v>
      </c>
      <c r="C18" s="27">
        <f>IF(B$16=0,0,B18/B$16)</f>
        <v>0.5357142857142857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C192-E674-40AF-B116-BCBA244E207A}">
  <sheetPr codeName="Sheet13"/>
  <dimension ref="A1:P6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185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62</v>
      </c>
      <c r="C2" s="87"/>
      <c r="E2" s="67" t="s">
        <v>73</v>
      </c>
      <c r="F2" s="63" t="s">
        <v>27</v>
      </c>
      <c r="G2" s="49">
        <v>131</v>
      </c>
      <c r="H2" s="24">
        <f>IF(B$25=0,0,G2/B$25)</f>
        <v>1.0396825396825398</v>
      </c>
      <c r="J2" s="23">
        <v>0</v>
      </c>
      <c r="K2" s="25">
        <v>0</v>
      </c>
      <c r="M2" s="23" t="s">
        <v>189</v>
      </c>
      <c r="N2" s="44">
        <f t="shared" ref="N2:N7" si="0">IF(P2=0,0,O2/P2)</f>
        <v>-1720.6896551724137</v>
      </c>
      <c r="O2" s="41">
        <v>-99800</v>
      </c>
      <c r="P2" s="39">
        <v>58</v>
      </c>
    </row>
    <row r="3" spans="1:16" x14ac:dyDescent="0.4">
      <c r="A3" s="58" t="s">
        <v>8</v>
      </c>
      <c r="B3" s="94">
        <v>485</v>
      </c>
      <c r="C3" s="95"/>
      <c r="E3" s="68" t="s">
        <v>71</v>
      </c>
      <c r="F3" s="64" t="s">
        <v>25</v>
      </c>
      <c r="G3" s="50">
        <v>99</v>
      </c>
      <c r="H3" s="27">
        <f>IF(B$25=0,0,G3/B$25)</f>
        <v>0.7857142857142857</v>
      </c>
      <c r="J3" s="26">
        <v>1</v>
      </c>
      <c r="K3" s="28">
        <v>3.9</v>
      </c>
      <c r="M3" s="26" t="s">
        <v>190</v>
      </c>
      <c r="N3" s="45">
        <f t="shared" si="0"/>
        <v>-1350</v>
      </c>
      <c r="O3" s="42">
        <v>-78300</v>
      </c>
      <c r="P3" s="37">
        <v>58</v>
      </c>
    </row>
    <row r="4" spans="1:16" x14ac:dyDescent="0.4">
      <c r="A4" s="58" t="s">
        <v>6</v>
      </c>
      <c r="B4" s="96">
        <v>-492.59999999999991</v>
      </c>
      <c r="C4" s="97"/>
      <c r="E4" s="68" t="s">
        <v>78</v>
      </c>
      <c r="F4" s="64" t="s">
        <v>31</v>
      </c>
      <c r="G4" s="50">
        <v>88</v>
      </c>
      <c r="H4" s="27">
        <f>IF(B$25=0,0,G4/B$25)</f>
        <v>0.69841269841269837</v>
      </c>
      <c r="J4" s="26">
        <v>2</v>
      </c>
      <c r="K4" s="28">
        <v>-33.9</v>
      </c>
      <c r="M4" s="26" t="s">
        <v>191</v>
      </c>
      <c r="N4" s="45">
        <f t="shared" si="0"/>
        <v>-3441.818181818182</v>
      </c>
      <c r="O4" s="42">
        <v>-189300</v>
      </c>
      <c r="P4" s="37">
        <v>55</v>
      </c>
    </row>
    <row r="5" spans="1:16" x14ac:dyDescent="0.4">
      <c r="A5" s="58" t="s">
        <v>7</v>
      </c>
      <c r="B5" s="96">
        <f>IF(B$2=0,0,B$4/B$2)</f>
        <v>-7.945161290322579</v>
      </c>
      <c r="C5" s="97"/>
      <c r="E5" s="68" t="s">
        <v>69</v>
      </c>
      <c r="F5" s="64" t="s">
        <v>23</v>
      </c>
      <c r="G5" s="50">
        <v>73</v>
      </c>
      <c r="H5" s="27">
        <f>IF(B$25=0,0,G5/B$25)</f>
        <v>0.57936507936507942</v>
      </c>
      <c r="J5" s="26">
        <v>3</v>
      </c>
      <c r="K5" s="28">
        <v>-70.099999999999994</v>
      </c>
      <c r="M5" s="26" t="s">
        <v>192</v>
      </c>
      <c r="N5" s="45">
        <f t="shared" si="0"/>
        <v>-931.37254901960785</v>
      </c>
      <c r="O5" s="42">
        <v>-47500</v>
      </c>
      <c r="P5" s="37">
        <v>51</v>
      </c>
    </row>
    <row r="6" spans="1:16" x14ac:dyDescent="0.4">
      <c r="A6" s="58" t="s">
        <v>1</v>
      </c>
      <c r="B6" s="98">
        <f>IF(B$2=0,0,(B$7*1+B$8*2+B$9*3)/B$2)</f>
        <v>2.2419354838709675</v>
      </c>
      <c r="C6" s="99"/>
      <c r="E6" s="68" t="s">
        <v>72</v>
      </c>
      <c r="F6" s="64" t="s">
        <v>26</v>
      </c>
      <c r="G6" s="50">
        <v>46</v>
      </c>
      <c r="H6" s="27">
        <f>IF(B$25=0,0,G6/B$25)</f>
        <v>0.36507936507936506</v>
      </c>
      <c r="J6" s="26">
        <v>4</v>
      </c>
      <c r="K6" s="28">
        <v>-35.099999999999994</v>
      </c>
      <c r="M6" s="26" t="s">
        <v>193</v>
      </c>
      <c r="N6" s="45">
        <f t="shared" si="0"/>
        <v>-1878.7234042553191</v>
      </c>
      <c r="O6" s="42">
        <v>-88300</v>
      </c>
      <c r="P6" s="37">
        <v>47</v>
      </c>
    </row>
    <row r="7" spans="1:16" x14ac:dyDescent="0.4">
      <c r="A7" s="58" t="s">
        <v>2</v>
      </c>
      <c r="B7" s="50">
        <v>14</v>
      </c>
      <c r="C7" s="27">
        <f>IF(B$2=0,0,B7/B$2)</f>
        <v>0.22580645161290322</v>
      </c>
      <c r="E7" s="68" t="s">
        <v>74</v>
      </c>
      <c r="F7" s="64" t="s">
        <v>12</v>
      </c>
      <c r="G7" s="50">
        <v>42</v>
      </c>
      <c r="H7" s="27">
        <f>IF(B$25=0,0,G7/B$25)</f>
        <v>0.33333333333333331</v>
      </c>
      <c r="J7" s="26">
        <v>5</v>
      </c>
      <c r="K7" s="28">
        <v>-80.099999999999994</v>
      </c>
      <c r="M7" s="31" t="s">
        <v>194</v>
      </c>
      <c r="N7" s="46">
        <f t="shared" si="0"/>
        <v>3413.8888888888887</v>
      </c>
      <c r="O7" s="43">
        <v>122900</v>
      </c>
      <c r="P7" s="38">
        <v>36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0.30645161290322581</v>
      </c>
      <c r="E8" s="68" t="s">
        <v>75</v>
      </c>
      <c r="F8" s="64" t="s">
        <v>28</v>
      </c>
      <c r="G8" s="50">
        <v>18</v>
      </c>
      <c r="H8" s="27">
        <f>IF(B$25=0,0,G8/B$25)</f>
        <v>0.14285714285714285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29</v>
      </c>
      <c r="C9" s="29">
        <f t="shared" si="1"/>
        <v>0.46774193548387094</v>
      </c>
      <c r="E9" s="68" t="s">
        <v>96</v>
      </c>
      <c r="F9" s="64" t="s">
        <v>49</v>
      </c>
      <c r="G9" s="50">
        <v>17</v>
      </c>
      <c r="H9" s="27">
        <f>IF(B$25=0,0,G9/B$25)</f>
        <v>0.13492063492063491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13</v>
      </c>
      <c r="C10" s="29">
        <f>IF(B$2=0,0,B10/B$2)</f>
        <v>0.20967741935483872</v>
      </c>
      <c r="E10" s="68" t="s">
        <v>76</v>
      </c>
      <c r="F10" s="64" t="s">
        <v>29</v>
      </c>
      <c r="G10" s="50">
        <v>12</v>
      </c>
      <c r="H10" s="27">
        <f>IF(B$25=0,0,G10/B$25)</f>
        <v>9.5238095238095233E-2</v>
      </c>
      <c r="J10" s="26">
        <v>8</v>
      </c>
      <c r="K10" s="28">
        <v>-146</v>
      </c>
    </row>
    <row r="11" spans="1:16" x14ac:dyDescent="0.4">
      <c r="A11" s="60" t="s">
        <v>199</v>
      </c>
      <c r="B11" s="52">
        <v>6</v>
      </c>
      <c r="C11" s="32">
        <f>IF(B$2=0,0,B11/B$2)</f>
        <v>9.6774193548387094E-2</v>
      </c>
      <c r="E11" s="68" t="s">
        <v>70</v>
      </c>
      <c r="F11" s="64" t="s">
        <v>24</v>
      </c>
      <c r="G11" s="50">
        <v>11</v>
      </c>
      <c r="H11" s="27">
        <f>IF(B$25=0,0,G11/B$25)</f>
        <v>8.7301587301587297E-2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132</v>
      </c>
      <c r="C12" s="35">
        <f>IF(B$24=0,0,B12/B$24)</f>
        <v>0.29464285714285715</v>
      </c>
      <c r="E12" s="68" t="s">
        <v>93</v>
      </c>
      <c r="F12" s="64" t="s">
        <v>46</v>
      </c>
      <c r="G12" s="50">
        <v>10</v>
      </c>
      <c r="H12" s="27">
        <f>IF(B$25=0,0,G12/B$25)</f>
        <v>7.9365079365079361E-2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97</v>
      </c>
      <c r="C13" s="27">
        <f>IF(B$24=0,0,B13/B$24)</f>
        <v>0.21651785714285715</v>
      </c>
      <c r="E13" s="68" t="s">
        <v>84</v>
      </c>
      <c r="F13" s="64" t="s">
        <v>37</v>
      </c>
      <c r="G13" s="50">
        <v>9</v>
      </c>
      <c r="H13" s="27">
        <f>IF(B$25=0,0,G13/B$25)</f>
        <v>7.1428571428571425E-2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77</v>
      </c>
      <c r="C14" s="24">
        <f>IF(B$12=0,0,B14/B$12)</f>
        <v>0.58333333333333337</v>
      </c>
      <c r="E14" s="68" t="s">
        <v>90</v>
      </c>
      <c r="F14" s="64" t="s">
        <v>43</v>
      </c>
      <c r="G14" s="50">
        <v>4</v>
      </c>
      <c r="H14" s="27">
        <f>IF(B$25=0,0,G14/B$25)</f>
        <v>3.1746031746031744E-2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37</v>
      </c>
      <c r="C15" s="24">
        <f>IF(B$13=0,0,B15/B$13)</f>
        <v>0.38144329896907214</v>
      </c>
      <c r="E15" s="68" t="s">
        <v>79</v>
      </c>
      <c r="F15" s="64" t="s">
        <v>32</v>
      </c>
      <c r="G15" s="50">
        <v>4</v>
      </c>
      <c r="H15" s="27">
        <f>IF(B$25=0,0,G15/B$25)</f>
        <v>3.1746031746031744E-2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B18+B17</f>
        <v>136</v>
      </c>
      <c r="C16" s="24">
        <f>IF(B$3=0,0,B16/B$3)</f>
        <v>0.28041237113402062</v>
      </c>
      <c r="E16" s="68" t="s">
        <v>77</v>
      </c>
      <c r="F16" s="64" t="s">
        <v>30</v>
      </c>
      <c r="G16" s="50">
        <v>3</v>
      </c>
      <c r="H16" s="27">
        <f>IF(B$25=0,0,G16/B$25)</f>
        <v>2.3809523809523808E-2</v>
      </c>
      <c r="J16" s="26">
        <v>14</v>
      </c>
      <c r="K16" s="28">
        <v>-231</v>
      </c>
    </row>
    <row r="17" spans="1:11" x14ac:dyDescent="0.4">
      <c r="A17" s="58" t="s">
        <v>12</v>
      </c>
      <c r="B17" s="50">
        <v>64</v>
      </c>
      <c r="C17" s="27">
        <f>IF(B$16=0,0,B17/B$16)</f>
        <v>0.47058823529411764</v>
      </c>
      <c r="E17" s="68" t="s">
        <v>88</v>
      </c>
      <c r="F17" s="64" t="s">
        <v>41</v>
      </c>
      <c r="G17" s="50">
        <v>3</v>
      </c>
      <c r="H17" s="27">
        <f>IF(B$25=0,0,G17/B$25)</f>
        <v>2.3809523809523808E-2</v>
      </c>
      <c r="J17" s="26">
        <v>15</v>
      </c>
      <c r="K17" s="28">
        <v>-212.5</v>
      </c>
    </row>
    <row r="18" spans="1:11" x14ac:dyDescent="0.4">
      <c r="A18" s="58" t="s">
        <v>11</v>
      </c>
      <c r="B18" s="50">
        <v>72</v>
      </c>
      <c r="C18" s="27">
        <f>IF(B$16=0,0,B18/B$16)</f>
        <v>0.52941176470588236</v>
      </c>
      <c r="E18" s="68" t="s">
        <v>81</v>
      </c>
      <c r="F18" s="64" t="s">
        <v>34</v>
      </c>
      <c r="G18" s="50">
        <v>1</v>
      </c>
      <c r="H18" s="27">
        <f>IF(B$25=0,0,G18/B$25)</f>
        <v>7.9365079365079361E-3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115</v>
      </c>
      <c r="C19" s="27">
        <f>IF(B$3=0,0,B19/B$3)</f>
        <v>0.23711340206185566</v>
      </c>
      <c r="E19" s="68" t="s">
        <v>83</v>
      </c>
      <c r="F19" s="64" t="s">
        <v>36</v>
      </c>
      <c r="G19" s="50">
        <v>1</v>
      </c>
      <c r="H19" s="27">
        <f>IF(B$25=0,0,G19/B$25)</f>
        <v>7.9365079365079361E-3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10600</v>
      </c>
      <c r="C20" s="30">
        <v>1441600</v>
      </c>
      <c r="E20" s="68" t="s">
        <v>85</v>
      </c>
      <c r="F20" s="64" t="s">
        <v>38</v>
      </c>
      <c r="G20" s="50">
        <v>1</v>
      </c>
      <c r="H20" s="27">
        <f>IF(B$25=0,0,G20/B$25)</f>
        <v>7.9365079365079361E-3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-9648.6956521739139</v>
      </c>
      <c r="C21" s="48">
        <v>-1109600</v>
      </c>
      <c r="E21" s="68" t="s">
        <v>91</v>
      </c>
      <c r="F21" s="64" t="s">
        <v>44</v>
      </c>
      <c r="G21" s="50">
        <v>1</v>
      </c>
      <c r="H21" s="27">
        <f>IF(B$25=0,0,G21/B$25)</f>
        <v>7.9365079365079361E-3</v>
      </c>
      <c r="J21" s="26">
        <v>19</v>
      </c>
      <c r="K21" s="28">
        <v>-273.2</v>
      </c>
    </row>
    <row r="22" spans="1:11" x14ac:dyDescent="0.4">
      <c r="A22" s="57" t="s">
        <v>186</v>
      </c>
      <c r="B22" s="49">
        <v>151</v>
      </c>
      <c r="C22" s="24">
        <f>IF(B$3=0,0,B22/B$3)</f>
        <v>0.31134020618556701</v>
      </c>
      <c r="E22" s="68" t="s">
        <v>98</v>
      </c>
      <c r="F22" s="64" t="s">
        <v>51</v>
      </c>
      <c r="G22" s="50">
        <v>1</v>
      </c>
      <c r="H22" s="27">
        <f>IF(B$25=0,0,G22/B$25)</f>
        <v>7.9365079365079361E-3</v>
      </c>
      <c r="J22" s="26">
        <v>20</v>
      </c>
      <c r="K22" s="28">
        <v>-270</v>
      </c>
    </row>
    <row r="23" spans="1:11" x14ac:dyDescent="0.4">
      <c r="A23" s="60" t="s">
        <v>187</v>
      </c>
      <c r="B23" s="52">
        <v>46</v>
      </c>
      <c r="C23" s="32">
        <f>IF(B$22=0,0,B23/B$22)</f>
        <v>0.30463576158940397</v>
      </c>
      <c r="E23" s="68" t="s">
        <v>100</v>
      </c>
      <c r="F23" s="64" t="s">
        <v>53</v>
      </c>
      <c r="G23" s="50">
        <v>1</v>
      </c>
      <c r="H23" s="27">
        <f>IF(B$25=0,0,G23/B$25)</f>
        <v>7.9365079365079361E-3</v>
      </c>
      <c r="J23" s="26">
        <v>21</v>
      </c>
      <c r="K23" s="28">
        <v>-242</v>
      </c>
    </row>
    <row r="24" spans="1:11" x14ac:dyDescent="0.4">
      <c r="A24" s="57" t="s">
        <v>128</v>
      </c>
      <c r="B24" s="86">
        <v>448</v>
      </c>
      <c r="C24" s="87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8">
        <v>126</v>
      </c>
      <c r="C25" s="89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78" t="s">
        <v>210</v>
      </c>
      <c r="B26" s="90">
        <v>7</v>
      </c>
      <c r="C26" s="91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A27" s="60" t="s">
        <v>212</v>
      </c>
      <c r="B27" s="79">
        <v>5</v>
      </c>
      <c r="C27" s="32">
        <f>IF(B$3=0,0,B27/B$3)</f>
        <v>1.0309278350515464E-2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  <row r="52" spans="5:11" x14ac:dyDescent="0.4">
      <c r="J52" s="26">
        <v>50</v>
      </c>
      <c r="K52" s="28">
        <v>-399.99999999999994</v>
      </c>
    </row>
    <row r="53" spans="5:11" x14ac:dyDescent="0.4">
      <c r="J53" s="26">
        <v>51</v>
      </c>
      <c r="K53" s="28">
        <v>-409.99999999999994</v>
      </c>
    </row>
    <row r="54" spans="5:11" x14ac:dyDescent="0.4">
      <c r="J54" s="26">
        <v>52</v>
      </c>
      <c r="K54" s="28">
        <v>-426.39999999999992</v>
      </c>
    </row>
    <row r="55" spans="5:11" x14ac:dyDescent="0.4">
      <c r="J55" s="26">
        <v>53</v>
      </c>
      <c r="K55" s="28">
        <v>-399.89999999999992</v>
      </c>
    </row>
    <row r="56" spans="5:11" x14ac:dyDescent="0.4">
      <c r="J56" s="26">
        <v>54</v>
      </c>
      <c r="K56" s="28">
        <v>-411.19999999999993</v>
      </c>
    </row>
    <row r="57" spans="5:11" x14ac:dyDescent="0.4">
      <c r="J57" s="26">
        <v>55</v>
      </c>
      <c r="K57" s="28">
        <v>-420.49999999999994</v>
      </c>
    </row>
    <row r="58" spans="5:11" x14ac:dyDescent="0.4">
      <c r="J58" s="26">
        <v>56</v>
      </c>
      <c r="K58" s="28">
        <v>-395.39999999999992</v>
      </c>
    </row>
    <row r="59" spans="5:11" x14ac:dyDescent="0.4">
      <c r="J59" s="26">
        <v>57</v>
      </c>
      <c r="K59" s="28">
        <v>-428.89999999999992</v>
      </c>
    </row>
    <row r="60" spans="5:11" x14ac:dyDescent="0.4">
      <c r="J60" s="26">
        <v>58</v>
      </c>
      <c r="K60" s="28">
        <v>-466.39999999999992</v>
      </c>
    </row>
    <row r="61" spans="5:11" x14ac:dyDescent="0.4">
      <c r="J61" s="26">
        <v>59</v>
      </c>
      <c r="K61" s="28">
        <v>-475.7999999999999</v>
      </c>
    </row>
    <row r="62" spans="5:11" x14ac:dyDescent="0.4">
      <c r="J62" s="26">
        <v>60</v>
      </c>
      <c r="K62" s="28">
        <v>-475.2999999999999</v>
      </c>
    </row>
    <row r="63" spans="5:11" x14ac:dyDescent="0.4">
      <c r="J63" s="26">
        <v>61</v>
      </c>
      <c r="K63" s="28">
        <v>-487.39999999999992</v>
      </c>
    </row>
    <row r="64" spans="5:11" x14ac:dyDescent="0.4">
      <c r="J64" s="26">
        <v>62</v>
      </c>
      <c r="K64" s="28">
        <v>-492.59999999999991</v>
      </c>
    </row>
  </sheetData>
  <sortState ref="E2:H6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3DC3C-F9F6-4D70-BE80-BC7A53DCE218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227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4">
        <v>46</v>
      </c>
      <c r="C3" s="95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190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6">
        <v>89</v>
      </c>
      <c r="C4" s="97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191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6">
        <f>IF(B$2=0,0,B$4/B$2)</f>
        <v>17.8</v>
      </c>
      <c r="C5" s="97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192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8">
        <f>IF(B$2=0,0,(B$7*1+B$8*2+B$9*3)/B$2)</f>
        <v>1.6</v>
      </c>
      <c r="C6" s="99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193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194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46</v>
      </c>
      <c r="C24" s="87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18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5</v>
      </c>
      <c r="C26" s="91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32AC-A22D-4E51-AD30-0FDBB35EE98D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229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15</v>
      </c>
      <c r="C2" s="87"/>
      <c r="E2" s="67" t="s">
        <v>73</v>
      </c>
      <c r="F2" s="63" t="s">
        <v>27</v>
      </c>
      <c r="G2" s="49">
        <v>32</v>
      </c>
      <c r="H2" s="24">
        <f>IF(B$25=0,0,G2/B$25)</f>
        <v>1.103448275862069</v>
      </c>
      <c r="J2" s="23">
        <v>0</v>
      </c>
      <c r="K2" s="25">
        <v>0</v>
      </c>
      <c r="M2" s="23" t="s">
        <v>189</v>
      </c>
      <c r="N2" s="44">
        <f t="shared" ref="N2:N7" si="0">IF(P2=0,0,O2/P2)</f>
        <v>-2086.6666666666665</v>
      </c>
      <c r="O2" s="41">
        <v>-31300</v>
      </c>
      <c r="P2" s="39">
        <v>15</v>
      </c>
    </row>
    <row r="3" spans="1:16" x14ac:dyDescent="0.4">
      <c r="A3" s="58" t="s">
        <v>8</v>
      </c>
      <c r="B3" s="94">
        <v>118</v>
      </c>
      <c r="C3" s="95"/>
      <c r="E3" s="68" t="s">
        <v>71</v>
      </c>
      <c r="F3" s="64" t="s">
        <v>25</v>
      </c>
      <c r="G3" s="50">
        <v>24</v>
      </c>
      <c r="H3" s="27">
        <f>IF(B$25=0,0,G3/B$25)</f>
        <v>0.82758620689655171</v>
      </c>
      <c r="J3" s="26">
        <v>1</v>
      </c>
      <c r="K3" s="28">
        <v>15</v>
      </c>
      <c r="M3" s="26" t="s">
        <v>190</v>
      </c>
      <c r="N3" s="45">
        <f t="shared" si="0"/>
        <v>3360</v>
      </c>
      <c r="O3" s="42">
        <v>50400</v>
      </c>
      <c r="P3" s="37">
        <v>15</v>
      </c>
    </row>
    <row r="4" spans="1:16" x14ac:dyDescent="0.4">
      <c r="A4" s="58" t="s">
        <v>6</v>
      </c>
      <c r="B4" s="96">
        <v>-44.199999999999996</v>
      </c>
      <c r="C4" s="97"/>
      <c r="E4" s="68" t="s">
        <v>78</v>
      </c>
      <c r="F4" s="64" t="s">
        <v>31</v>
      </c>
      <c r="G4" s="50">
        <v>20</v>
      </c>
      <c r="H4" s="27">
        <f>IF(B$25=0,0,G4/B$25)</f>
        <v>0.68965517241379315</v>
      </c>
      <c r="J4" s="26">
        <v>2</v>
      </c>
      <c r="K4" s="28">
        <v>-24.299999999999997</v>
      </c>
      <c r="M4" s="26" t="s">
        <v>191</v>
      </c>
      <c r="N4" s="45">
        <f t="shared" si="0"/>
        <v>250</v>
      </c>
      <c r="O4" s="42">
        <v>3000</v>
      </c>
      <c r="P4" s="37">
        <v>12</v>
      </c>
    </row>
    <row r="5" spans="1:16" x14ac:dyDescent="0.4">
      <c r="A5" s="58" t="s">
        <v>7</v>
      </c>
      <c r="B5" s="96">
        <f>IF(B$2=0,0,B$4/B$2)</f>
        <v>-2.9466666666666663</v>
      </c>
      <c r="C5" s="97"/>
      <c r="E5" s="68" t="s">
        <v>69</v>
      </c>
      <c r="F5" s="64" t="s">
        <v>23</v>
      </c>
      <c r="G5" s="50">
        <v>11</v>
      </c>
      <c r="H5" s="27">
        <f>IF(B$25=0,0,G5/B$25)</f>
        <v>0.37931034482758619</v>
      </c>
      <c r="J5" s="26">
        <v>3</v>
      </c>
      <c r="K5" s="28">
        <v>-15.599999999999998</v>
      </c>
      <c r="M5" s="26" t="s">
        <v>192</v>
      </c>
      <c r="N5" s="45">
        <f t="shared" si="0"/>
        <v>-381.81818181818181</v>
      </c>
      <c r="O5" s="42">
        <v>-4200</v>
      </c>
      <c r="P5" s="37">
        <v>11</v>
      </c>
    </row>
    <row r="6" spans="1:16" x14ac:dyDescent="0.4">
      <c r="A6" s="58" t="s">
        <v>1</v>
      </c>
      <c r="B6" s="98">
        <f>IF(B$2=0,0,(B$7*1+B$8*2+B$9*3)/B$2)</f>
        <v>2.1333333333333333</v>
      </c>
      <c r="C6" s="99"/>
      <c r="E6" s="68" t="s">
        <v>96</v>
      </c>
      <c r="F6" s="64" t="s">
        <v>49</v>
      </c>
      <c r="G6" s="50">
        <v>6</v>
      </c>
      <c r="H6" s="27">
        <f>IF(B$25=0,0,G6/B$25)</f>
        <v>0.20689655172413793</v>
      </c>
      <c r="J6" s="26">
        <v>4</v>
      </c>
      <c r="K6" s="28">
        <v>5.1000000000000014</v>
      </c>
      <c r="M6" s="26" t="s">
        <v>193</v>
      </c>
      <c r="N6" s="45">
        <f t="shared" si="0"/>
        <v>-3460</v>
      </c>
      <c r="O6" s="42">
        <v>-34600</v>
      </c>
      <c r="P6" s="37">
        <v>10</v>
      </c>
    </row>
    <row r="7" spans="1:16" x14ac:dyDescent="0.4">
      <c r="A7" s="58" t="s">
        <v>2</v>
      </c>
      <c r="B7" s="50">
        <v>4</v>
      </c>
      <c r="C7" s="27">
        <f>IF(B$2=0,0,B7/B$2)</f>
        <v>0.26666666666666666</v>
      </c>
      <c r="E7" s="68" t="s">
        <v>72</v>
      </c>
      <c r="F7" s="64" t="s">
        <v>26</v>
      </c>
      <c r="G7" s="50">
        <v>5</v>
      </c>
      <c r="H7" s="27">
        <f>IF(B$25=0,0,G7/B$25)</f>
        <v>0.17241379310344829</v>
      </c>
      <c r="J7" s="26">
        <v>5</v>
      </c>
      <c r="K7" s="28">
        <v>9.6000000000000014</v>
      </c>
      <c r="M7" s="31" t="s">
        <v>194</v>
      </c>
      <c r="N7" s="46">
        <f t="shared" si="0"/>
        <v>-3928.5714285714284</v>
      </c>
      <c r="O7" s="43">
        <v>-27500</v>
      </c>
      <c r="P7" s="38">
        <v>7</v>
      </c>
    </row>
    <row r="8" spans="1:16" x14ac:dyDescent="0.4">
      <c r="A8" s="58" t="s">
        <v>3</v>
      </c>
      <c r="B8" s="50">
        <v>5</v>
      </c>
      <c r="C8" s="27">
        <f t="shared" ref="C8:C9" si="1">IF(B$2=0,0,B8/B$2)</f>
        <v>0.33333333333333331</v>
      </c>
      <c r="E8" s="68" t="s">
        <v>74</v>
      </c>
      <c r="F8" s="64" t="s">
        <v>12</v>
      </c>
      <c r="G8" s="50">
        <v>5</v>
      </c>
      <c r="H8" s="27">
        <f>IF(B$25=0,0,G8/B$25)</f>
        <v>0.17241379310344829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6</v>
      </c>
      <c r="C9" s="29">
        <f t="shared" si="1"/>
        <v>0.4</v>
      </c>
      <c r="E9" s="68" t="s">
        <v>90</v>
      </c>
      <c r="F9" s="64" t="s">
        <v>43</v>
      </c>
      <c r="G9" s="50">
        <v>4</v>
      </c>
      <c r="H9" s="27">
        <f>IF(B$25=0,0,G9/B$25)</f>
        <v>0.13793103448275862</v>
      </c>
      <c r="J9" s="26">
        <v>7</v>
      </c>
      <c r="K9" s="28">
        <v>27.200000000000003</v>
      </c>
    </row>
    <row r="10" spans="1:16" x14ac:dyDescent="0.4">
      <c r="A10" s="59" t="s">
        <v>21</v>
      </c>
      <c r="B10" s="51">
        <v>3</v>
      </c>
      <c r="C10" s="29">
        <f>IF(B$2=0,0,B10/B$2)</f>
        <v>0.2</v>
      </c>
      <c r="E10" s="68" t="s">
        <v>93</v>
      </c>
      <c r="F10" s="64" t="s">
        <v>46</v>
      </c>
      <c r="G10" s="50">
        <v>4</v>
      </c>
      <c r="H10" s="27">
        <f>IF(B$25=0,0,G10/B$25)</f>
        <v>0.13793103448275862</v>
      </c>
      <c r="J10" s="26">
        <v>8</v>
      </c>
      <c r="K10" s="28">
        <v>-4.4999999999999964</v>
      </c>
    </row>
    <row r="11" spans="1:16" x14ac:dyDescent="0.4">
      <c r="A11" s="60" t="s">
        <v>199</v>
      </c>
      <c r="B11" s="52">
        <v>2</v>
      </c>
      <c r="C11" s="32">
        <f>IF(B$2=0,0,B11/B$2)</f>
        <v>0.13333333333333333</v>
      </c>
      <c r="E11" s="68" t="s">
        <v>76</v>
      </c>
      <c r="F11" s="64" t="s">
        <v>29</v>
      </c>
      <c r="G11" s="50">
        <v>3</v>
      </c>
      <c r="H11" s="27">
        <f>IF(B$25=0,0,G11/B$25)</f>
        <v>0.10344827586206896</v>
      </c>
      <c r="J11" s="26">
        <v>9</v>
      </c>
      <c r="K11" s="28">
        <v>-9.3999999999999968</v>
      </c>
    </row>
    <row r="12" spans="1:16" x14ac:dyDescent="0.4">
      <c r="A12" s="61" t="s">
        <v>130</v>
      </c>
      <c r="B12" s="53">
        <v>22</v>
      </c>
      <c r="C12" s="35">
        <f>IF(B$24=0,0,B12/B$24)</f>
        <v>0.1864406779661017</v>
      </c>
      <c r="E12" s="68" t="s">
        <v>70</v>
      </c>
      <c r="F12" s="64" t="s">
        <v>24</v>
      </c>
      <c r="G12" s="50">
        <v>3</v>
      </c>
      <c r="H12" s="27">
        <f>IF(B$25=0,0,G12/B$25)</f>
        <v>0.10344827586206896</v>
      </c>
      <c r="J12" s="26">
        <v>10</v>
      </c>
      <c r="K12" s="28">
        <v>-24.299999999999997</v>
      </c>
    </row>
    <row r="13" spans="1:16" x14ac:dyDescent="0.4">
      <c r="A13" s="58" t="s">
        <v>125</v>
      </c>
      <c r="B13" s="50">
        <v>47</v>
      </c>
      <c r="C13" s="27">
        <f>IF(B$24=0,0,B13/B$24)</f>
        <v>0.39830508474576271</v>
      </c>
      <c r="E13" s="68" t="s">
        <v>85</v>
      </c>
      <c r="F13" s="64" t="s">
        <v>38</v>
      </c>
      <c r="G13" s="50">
        <v>2</v>
      </c>
      <c r="H13" s="27">
        <f>IF(B$25=0,0,G13/B$25)</f>
        <v>6.8965517241379309E-2</v>
      </c>
      <c r="J13" s="26">
        <v>11</v>
      </c>
      <c r="K13" s="28">
        <v>-70</v>
      </c>
    </row>
    <row r="14" spans="1:16" x14ac:dyDescent="0.4">
      <c r="A14" s="57" t="s">
        <v>132</v>
      </c>
      <c r="B14" s="49">
        <v>12</v>
      </c>
      <c r="C14" s="24">
        <f>IF(B$12=0,0,B14/B$12)</f>
        <v>0.54545454545454541</v>
      </c>
      <c r="E14" s="68" t="s">
        <v>88</v>
      </c>
      <c r="F14" s="64" t="s">
        <v>41</v>
      </c>
      <c r="G14" s="50">
        <v>2</v>
      </c>
      <c r="H14" s="27">
        <f>IF(B$25=0,0,G14/B$25)</f>
        <v>6.8965517241379309E-2</v>
      </c>
      <c r="J14" s="26">
        <v>12</v>
      </c>
      <c r="K14" s="28">
        <v>-43.8</v>
      </c>
    </row>
    <row r="15" spans="1:16" x14ac:dyDescent="0.4">
      <c r="A15" s="57" t="s">
        <v>133</v>
      </c>
      <c r="B15" s="49">
        <v>14</v>
      </c>
      <c r="C15" s="24">
        <f>IF(B$13=0,0,B15/B$13)</f>
        <v>0.2978723404255319</v>
      </c>
      <c r="E15" s="68" t="s">
        <v>92</v>
      </c>
      <c r="F15" s="64" t="s">
        <v>45</v>
      </c>
      <c r="G15" s="50">
        <v>1</v>
      </c>
      <c r="H15" s="27">
        <f>IF(B$25=0,0,G15/B$25)</f>
        <v>3.4482758620689655E-2</v>
      </c>
      <c r="J15" s="26">
        <v>13</v>
      </c>
      <c r="K15" s="28">
        <v>-11.099999999999994</v>
      </c>
    </row>
    <row r="16" spans="1:16" x14ac:dyDescent="0.4">
      <c r="A16" s="57" t="s">
        <v>10</v>
      </c>
      <c r="B16" s="49">
        <f>B18+B17</f>
        <v>29</v>
      </c>
      <c r="C16" s="24">
        <f>IF(B$3=0,0,B16/B$3)</f>
        <v>0.24576271186440679</v>
      </c>
      <c r="E16" s="68" t="s">
        <v>75</v>
      </c>
      <c r="F16" s="64" t="s">
        <v>28</v>
      </c>
      <c r="G16" s="50">
        <v>1</v>
      </c>
      <c r="H16" s="27">
        <f>IF(B$25=0,0,G16/B$25)</f>
        <v>3.4482758620689655E-2</v>
      </c>
      <c r="J16" s="26">
        <v>14</v>
      </c>
      <c r="K16" s="28">
        <v>-5.7999999999999945</v>
      </c>
    </row>
    <row r="17" spans="1:11" x14ac:dyDescent="0.4">
      <c r="A17" s="58" t="s">
        <v>12</v>
      </c>
      <c r="B17" s="50">
        <v>7</v>
      </c>
      <c r="C17" s="27">
        <f>IF(B$16=0,0,B17/B$16)</f>
        <v>0.2413793103448276</v>
      </c>
      <c r="E17" s="68" t="s">
        <v>83</v>
      </c>
      <c r="F17" s="64" t="s">
        <v>36</v>
      </c>
      <c r="G17" s="50">
        <v>1</v>
      </c>
      <c r="H17" s="27">
        <f>IF(B$25=0,0,G17/B$25)</f>
        <v>3.4482758620689655E-2</v>
      </c>
      <c r="J17" s="26">
        <v>15</v>
      </c>
      <c r="K17" s="28">
        <v>-44.199999999999996</v>
      </c>
    </row>
    <row r="18" spans="1:11" x14ac:dyDescent="0.4">
      <c r="A18" s="58" t="s">
        <v>11</v>
      </c>
      <c r="B18" s="50">
        <v>22</v>
      </c>
      <c r="C18" s="27">
        <f>IF(B$16=0,0,B18/B$16)</f>
        <v>0.75862068965517238</v>
      </c>
      <c r="E18" s="68" t="s">
        <v>77</v>
      </c>
      <c r="F18" s="64" t="s">
        <v>30</v>
      </c>
      <c r="G18" s="50">
        <v>1</v>
      </c>
      <c r="H18" s="27">
        <f>IF(B$25=0,0,G18/B$25)</f>
        <v>3.4482758620689655E-2</v>
      </c>
    </row>
    <row r="19" spans="1:11" x14ac:dyDescent="0.4">
      <c r="A19" s="58" t="s">
        <v>13</v>
      </c>
      <c r="B19" s="50">
        <v>21</v>
      </c>
      <c r="C19" s="27">
        <f>IF(B$3=0,0,B19/B$3)</f>
        <v>0.17796610169491525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</row>
    <row r="20" spans="1:11" x14ac:dyDescent="0.4">
      <c r="A20" s="58" t="s">
        <v>5</v>
      </c>
      <c r="B20" s="54">
        <f>IF(B$16=0,0,C20/B$16)</f>
        <v>9703.4482758620688</v>
      </c>
      <c r="C20" s="30">
        <v>281400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</row>
    <row r="21" spans="1:11" x14ac:dyDescent="0.4">
      <c r="A21" s="60" t="s">
        <v>14</v>
      </c>
      <c r="B21" s="55">
        <f>IF(B$19=0,0,C21/B$19)</f>
        <v>-8109.5238095238092</v>
      </c>
      <c r="C21" s="48">
        <v>-170300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</row>
    <row r="22" spans="1:11" x14ac:dyDescent="0.4">
      <c r="A22" s="57" t="s">
        <v>186</v>
      </c>
      <c r="B22" s="49">
        <v>35</v>
      </c>
      <c r="C22" s="24">
        <f>IF(B$3=0,0,B22/B$3)</f>
        <v>0.29661016949152541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</row>
    <row r="23" spans="1:11" x14ac:dyDescent="0.4">
      <c r="A23" s="60" t="s">
        <v>187</v>
      </c>
      <c r="B23" s="52">
        <v>9</v>
      </c>
      <c r="C23" s="32">
        <f>IF(B$22=0,0,B23/B$22)</f>
        <v>0.25714285714285712</v>
      </c>
      <c r="E23" s="68" t="s">
        <v>84</v>
      </c>
      <c r="F23" s="64" t="s">
        <v>37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6">
        <v>118</v>
      </c>
      <c r="C24" s="87"/>
      <c r="E24" s="68" t="s">
        <v>86</v>
      </c>
      <c r="F24" s="64" t="s">
        <v>39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8">
        <v>29</v>
      </c>
      <c r="C25" s="89"/>
      <c r="E25" s="68" t="s">
        <v>87</v>
      </c>
      <c r="F25" s="64" t="s">
        <v>40</v>
      </c>
      <c r="G25" s="50">
        <v>0</v>
      </c>
      <c r="H25" s="27">
        <f>IF(B$25=0,0,G25/B$25)</f>
        <v>0</v>
      </c>
    </row>
    <row r="26" spans="1:11" x14ac:dyDescent="0.4">
      <c r="A26" s="78" t="s">
        <v>210</v>
      </c>
      <c r="B26" s="90">
        <v>5</v>
      </c>
      <c r="C26" s="91"/>
      <c r="E26" s="68" t="s">
        <v>89</v>
      </c>
      <c r="F26" s="64" t="s">
        <v>42</v>
      </c>
      <c r="G26" s="50">
        <v>0</v>
      </c>
      <c r="H26" s="27">
        <f>IF(B$25=0,0,G26/B$25)</f>
        <v>0</v>
      </c>
    </row>
    <row r="27" spans="1:11" x14ac:dyDescent="0.4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/>
      <c r="C1" s="93"/>
      <c r="E1" s="66" t="s">
        <v>201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195</v>
      </c>
      <c r="N1" s="20" t="s">
        <v>197</v>
      </c>
      <c r="O1" s="40" t="s">
        <v>198</v>
      </c>
      <c r="P1" s="36" t="s">
        <v>196</v>
      </c>
    </row>
    <row r="2" spans="1:16" x14ac:dyDescent="0.4">
      <c r="A2" s="57" t="s">
        <v>9</v>
      </c>
      <c r="B2" s="86">
        <v>0</v>
      </c>
      <c r="C2" s="87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4">
        <v>0</v>
      </c>
      <c r="C3" s="95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190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6">
        <v>0</v>
      </c>
      <c r="C4" s="97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191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6">
        <f>IF(B$2=0,0,B$4/B$2)</f>
        <v>0</v>
      </c>
      <c r="C5" s="97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192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8">
        <f>IF(B$2=0,0,(B$7*1+B$8*2+B$9*3)/B$2)</f>
        <v>0</v>
      </c>
      <c r="C6" s="99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193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194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3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166</v>
      </c>
    </row>
    <row r="3" spans="1:14" x14ac:dyDescent="0.4">
      <c r="A3" s="74" t="s">
        <v>140</v>
      </c>
      <c r="B3" s="75">
        <v>43454.62740740741</v>
      </c>
      <c r="C3" s="74" t="s">
        <v>166</v>
      </c>
    </row>
    <row r="4" spans="1:14" x14ac:dyDescent="0.4">
      <c r="A4" s="74" t="s">
        <v>143</v>
      </c>
      <c r="B4" s="75">
        <v>43454.62740740741</v>
      </c>
      <c r="C4" s="74" t="s">
        <v>166</v>
      </c>
    </row>
    <row r="5" spans="1:14" x14ac:dyDescent="0.4">
      <c r="A5" s="74" t="s">
        <v>144</v>
      </c>
      <c r="B5" s="75">
        <v>43454.62740740741</v>
      </c>
      <c r="C5" s="74" t="s">
        <v>166</v>
      </c>
      <c r="D5" s="74" t="s">
        <v>167</v>
      </c>
      <c r="E5" s="74" t="s">
        <v>168</v>
      </c>
      <c r="F5" s="74" t="s">
        <v>169</v>
      </c>
      <c r="G5" s="74" t="s">
        <v>170</v>
      </c>
    </row>
    <row r="6" spans="1:14" x14ac:dyDescent="0.4">
      <c r="A6" s="74" t="s">
        <v>146</v>
      </c>
      <c r="B6" s="75">
        <v>43454.62740740741</v>
      </c>
      <c r="C6" s="74" t="s">
        <v>166</v>
      </c>
    </row>
    <row r="7" spans="1:14" x14ac:dyDescent="0.4">
      <c r="A7" s="74" t="s">
        <v>147</v>
      </c>
      <c r="B7" s="75">
        <v>43454.62740740741</v>
      </c>
      <c r="C7" s="74" t="s">
        <v>166</v>
      </c>
      <c r="D7" s="74" t="s">
        <v>167</v>
      </c>
      <c r="E7" s="74" t="s">
        <v>168</v>
      </c>
    </row>
    <row r="8" spans="1:14" x14ac:dyDescent="0.4">
      <c r="A8" s="74" t="s">
        <v>150</v>
      </c>
      <c r="B8" s="75">
        <v>43454.62740740741</v>
      </c>
      <c r="C8" s="74" t="s">
        <v>166</v>
      </c>
      <c r="D8" s="74" t="s">
        <v>167</v>
      </c>
    </row>
    <row r="9" spans="1:14" x14ac:dyDescent="0.4">
      <c r="A9" s="74" t="s">
        <v>151</v>
      </c>
      <c r="B9" s="75">
        <v>43454.62740740741</v>
      </c>
      <c r="C9" s="74" t="s">
        <v>166</v>
      </c>
      <c r="D9" s="74" t="s">
        <v>167</v>
      </c>
      <c r="E9" s="74" t="s">
        <v>168</v>
      </c>
      <c r="F9" s="74" t="s">
        <v>169</v>
      </c>
    </row>
    <row r="10" spans="1:14" x14ac:dyDescent="0.4">
      <c r="A10" s="74" t="s">
        <v>152</v>
      </c>
      <c r="B10" s="75">
        <v>43454.62740740741</v>
      </c>
      <c r="C10" s="74" t="s">
        <v>166</v>
      </c>
      <c r="D10" s="74" t="s">
        <v>167</v>
      </c>
      <c r="E10" s="74" t="s">
        <v>168</v>
      </c>
    </row>
    <row r="11" spans="1:14" x14ac:dyDescent="0.4">
      <c r="A11" s="74" t="s">
        <v>153</v>
      </c>
      <c r="B11" s="75">
        <v>43454.62740740741</v>
      </c>
      <c r="C11" s="74" t="s">
        <v>166</v>
      </c>
      <c r="D11" s="74" t="s">
        <v>167</v>
      </c>
      <c r="E11" s="74" t="s">
        <v>168</v>
      </c>
      <c r="F11" s="74" t="s">
        <v>169</v>
      </c>
      <c r="G11" s="74" t="s">
        <v>170</v>
      </c>
      <c r="H11" s="74" t="s">
        <v>171</v>
      </c>
      <c r="I11" s="74" t="s">
        <v>172</v>
      </c>
    </row>
    <row r="12" spans="1:14" x14ac:dyDescent="0.4">
      <c r="A12" s="74" t="s">
        <v>154</v>
      </c>
      <c r="B12" s="75">
        <v>43454.62740740741</v>
      </c>
      <c r="C12" s="74" t="s">
        <v>166</v>
      </c>
      <c r="D12" s="74" t="s">
        <v>167</v>
      </c>
    </row>
    <row r="13" spans="1:14" x14ac:dyDescent="0.4">
      <c r="A13" s="74" t="s">
        <v>155</v>
      </c>
      <c r="B13" s="75">
        <v>43454.62740740741</v>
      </c>
      <c r="C13" s="74" t="s">
        <v>166</v>
      </c>
      <c r="D13" s="74" t="s">
        <v>167</v>
      </c>
      <c r="E13" s="74" t="s">
        <v>168</v>
      </c>
      <c r="F13" s="74" t="s">
        <v>169</v>
      </c>
      <c r="G13" s="74" t="s">
        <v>170</v>
      </c>
      <c r="H13" s="74" t="s">
        <v>171</v>
      </c>
      <c r="I13" s="74" t="s">
        <v>172</v>
      </c>
      <c r="J13" s="74" t="s">
        <v>173</v>
      </c>
      <c r="K13" s="74" t="s">
        <v>174</v>
      </c>
      <c r="L13" s="74" t="s">
        <v>175</v>
      </c>
      <c r="M13" s="74" t="s">
        <v>176</v>
      </c>
      <c r="N13" s="74" t="s">
        <v>177</v>
      </c>
    </row>
    <row r="14" spans="1:14" x14ac:dyDescent="0.4">
      <c r="A14" s="74" t="s">
        <v>157</v>
      </c>
      <c r="B14" s="75">
        <v>43454.62740740741</v>
      </c>
      <c r="C14" s="74" t="s">
        <v>166</v>
      </c>
      <c r="D14" s="74" t="s">
        <v>167</v>
      </c>
      <c r="E14" s="74" t="s">
        <v>168</v>
      </c>
    </row>
    <row r="15" spans="1:14" x14ac:dyDescent="0.4">
      <c r="A15" s="74" t="s">
        <v>158</v>
      </c>
      <c r="B15" s="75">
        <v>43454.62740740741</v>
      </c>
      <c r="C15" s="74" t="s">
        <v>166</v>
      </c>
      <c r="D15" s="74" t="s">
        <v>167</v>
      </c>
      <c r="E15" s="74" t="s">
        <v>168</v>
      </c>
    </row>
    <row r="16" spans="1:14" x14ac:dyDescent="0.4">
      <c r="A16" s="74" t="s">
        <v>159</v>
      </c>
      <c r="B16" s="75">
        <v>43454.62740740741</v>
      </c>
      <c r="C16" s="74" t="s">
        <v>166</v>
      </c>
      <c r="D16" s="74" t="s">
        <v>167</v>
      </c>
      <c r="E16" s="74" t="s">
        <v>168</v>
      </c>
    </row>
    <row r="17" spans="1:9" x14ac:dyDescent="0.4">
      <c r="A17" s="74" t="s">
        <v>161</v>
      </c>
      <c r="B17" s="75">
        <v>43471.701018518521</v>
      </c>
      <c r="C17" s="74" t="s">
        <v>166</v>
      </c>
      <c r="D17" s="74" t="s">
        <v>167</v>
      </c>
      <c r="E17" s="74" t="s">
        <v>168</v>
      </c>
      <c r="F17" s="74" t="s">
        <v>169</v>
      </c>
      <c r="G17" s="74" t="s">
        <v>170</v>
      </c>
      <c r="H17" s="74" t="s">
        <v>171</v>
      </c>
    </row>
    <row r="18" spans="1:9" x14ac:dyDescent="0.4">
      <c r="A18" s="74" t="s">
        <v>162</v>
      </c>
      <c r="B18" s="75">
        <v>43454.62740740741</v>
      </c>
      <c r="C18" s="74" t="s">
        <v>166</v>
      </c>
      <c r="D18" s="74" t="s">
        <v>167</v>
      </c>
      <c r="E18" s="74" t="s">
        <v>168</v>
      </c>
      <c r="F18" s="74" t="s">
        <v>169</v>
      </c>
      <c r="G18" s="74" t="s">
        <v>170</v>
      </c>
      <c r="H18" s="74" t="s">
        <v>171</v>
      </c>
    </row>
    <row r="19" spans="1:9" x14ac:dyDescent="0.4">
      <c r="A19" s="74" t="s">
        <v>163</v>
      </c>
      <c r="B19" s="75">
        <v>43454.62740740741</v>
      </c>
      <c r="C19" s="74" t="s">
        <v>166</v>
      </c>
      <c r="D19" s="74" t="s">
        <v>167</v>
      </c>
    </row>
    <row r="20" spans="1:9" x14ac:dyDescent="0.4">
      <c r="A20" s="74" t="s">
        <v>164</v>
      </c>
      <c r="B20" s="75">
        <v>43471.701018518521</v>
      </c>
      <c r="C20" s="74" t="s">
        <v>166</v>
      </c>
      <c r="D20" s="74" t="s">
        <v>167</v>
      </c>
      <c r="E20" s="74" t="s">
        <v>168</v>
      </c>
    </row>
    <row r="21" spans="1:9" x14ac:dyDescent="0.4">
      <c r="A21" s="74" t="s">
        <v>165</v>
      </c>
      <c r="B21" s="75">
        <v>43484.832372685189</v>
      </c>
      <c r="C21" s="74" t="s">
        <v>166</v>
      </c>
      <c r="D21" s="74" t="s">
        <v>167</v>
      </c>
      <c r="E21" s="74" t="s">
        <v>168</v>
      </c>
      <c r="F21" s="74" t="s">
        <v>169</v>
      </c>
    </row>
    <row r="22" spans="1:9" x14ac:dyDescent="0.4">
      <c r="A22" s="74" t="s">
        <v>213</v>
      </c>
      <c r="B22" s="75">
        <v>43454.62740740741</v>
      </c>
      <c r="C22" s="74" t="s">
        <v>166</v>
      </c>
      <c r="D22" s="74" t="s">
        <v>167</v>
      </c>
      <c r="E22" s="74" t="s">
        <v>168</v>
      </c>
      <c r="F22" s="74" t="s">
        <v>169</v>
      </c>
    </row>
    <row r="23" spans="1:9" x14ac:dyDescent="0.4">
      <c r="A23" s="74" t="s">
        <v>214</v>
      </c>
      <c r="B23" s="75">
        <v>43454.62740740741</v>
      </c>
      <c r="C23" s="74" t="s">
        <v>166</v>
      </c>
      <c r="D23" s="74" t="s">
        <v>167</v>
      </c>
      <c r="E23" s="74" t="s">
        <v>168</v>
      </c>
      <c r="F23" s="74" t="s">
        <v>169</v>
      </c>
      <c r="G23" s="74" t="s">
        <v>170</v>
      </c>
      <c r="H23" s="74" t="s">
        <v>171</v>
      </c>
      <c r="I23" s="74" t="s">
        <v>172</v>
      </c>
    </row>
    <row r="24" spans="1:9" x14ac:dyDescent="0.4">
      <c r="A24" s="74" t="s">
        <v>215</v>
      </c>
      <c r="B24" s="75">
        <v>43454.62740740741</v>
      </c>
      <c r="C24" s="74" t="s">
        <v>166</v>
      </c>
      <c r="D24" s="74" t="s">
        <v>167</v>
      </c>
      <c r="E24" s="74" t="s">
        <v>168</v>
      </c>
    </row>
    <row r="25" spans="1:9" x14ac:dyDescent="0.4">
      <c r="A25" s="74" t="s">
        <v>216</v>
      </c>
      <c r="B25" s="75">
        <v>43454.62740740741</v>
      </c>
      <c r="C25" s="74" t="s">
        <v>166</v>
      </c>
      <c r="D25" s="74" t="s">
        <v>167</v>
      </c>
      <c r="E25" s="74" t="s">
        <v>168</v>
      </c>
      <c r="F25" s="74" t="s">
        <v>169</v>
      </c>
      <c r="G25" s="74" t="s">
        <v>170</v>
      </c>
      <c r="H25" s="74" t="s">
        <v>171</v>
      </c>
    </row>
    <row r="26" spans="1:9" x14ac:dyDescent="0.4">
      <c r="A26" s="74" t="s">
        <v>217</v>
      </c>
      <c r="B26" s="75">
        <v>43454.62740740741</v>
      </c>
      <c r="C26" s="74" t="s">
        <v>166</v>
      </c>
      <c r="D26" s="74" t="s">
        <v>167</v>
      </c>
    </row>
    <row r="27" spans="1:9" x14ac:dyDescent="0.4">
      <c r="A27" s="74" t="s">
        <v>218</v>
      </c>
      <c r="B27" s="75">
        <v>43454.62740740741</v>
      </c>
      <c r="C27" s="74" t="s">
        <v>166</v>
      </c>
      <c r="D27" s="74" t="s">
        <v>167</v>
      </c>
    </row>
    <row r="28" spans="1:9" x14ac:dyDescent="0.4">
      <c r="A28" s="74" t="s">
        <v>219</v>
      </c>
      <c r="B28" s="75">
        <v>43454.62740740741</v>
      </c>
      <c r="C28" s="74" t="s">
        <v>166</v>
      </c>
      <c r="D28" s="74" t="s">
        <v>167</v>
      </c>
      <c r="E28" s="74" t="s">
        <v>168</v>
      </c>
      <c r="F28" s="74" t="s">
        <v>169</v>
      </c>
    </row>
    <row r="29" spans="1:9" x14ac:dyDescent="0.4">
      <c r="A29" s="74" t="s">
        <v>220</v>
      </c>
      <c r="B29" s="75">
        <v>43455.084918981483</v>
      </c>
      <c r="C29" s="74" t="s">
        <v>166</v>
      </c>
      <c r="D29" s="74" t="s">
        <v>167</v>
      </c>
      <c r="E29" s="74" t="s">
        <v>168</v>
      </c>
      <c r="F29" s="74" t="s">
        <v>169</v>
      </c>
      <c r="G29" s="74" t="s">
        <v>170</v>
      </c>
      <c r="H29" s="74" t="s">
        <v>171</v>
      </c>
    </row>
    <row r="30" spans="1:9" x14ac:dyDescent="0.4">
      <c r="A30" s="74" t="s">
        <v>221</v>
      </c>
      <c r="B30" s="75">
        <v>43456.147789351853</v>
      </c>
      <c r="C30" s="74" t="s">
        <v>166</v>
      </c>
      <c r="D30" s="74" t="s">
        <v>167</v>
      </c>
      <c r="E30" s="74" t="s">
        <v>168</v>
      </c>
      <c r="F30" s="74" t="s">
        <v>169</v>
      </c>
      <c r="G30" s="74" t="s">
        <v>170</v>
      </c>
    </row>
    <row r="31" spans="1:9" x14ac:dyDescent="0.4">
      <c r="A31" s="74" t="s">
        <v>222</v>
      </c>
      <c r="B31" s="75">
        <v>43471.8909375</v>
      </c>
      <c r="C31" s="74" t="s">
        <v>166</v>
      </c>
      <c r="D31" s="74" t="s">
        <v>167</v>
      </c>
      <c r="E31" s="74" t="s">
        <v>168</v>
      </c>
      <c r="F31" s="74" t="s">
        <v>169</v>
      </c>
    </row>
    <row r="32" spans="1:9" x14ac:dyDescent="0.4">
      <c r="A32" s="74" t="s">
        <v>223</v>
      </c>
      <c r="B32" s="75">
        <v>43475.056238425925</v>
      </c>
      <c r="C32" s="74" t="s">
        <v>166</v>
      </c>
    </row>
    <row r="33" spans="1:10" x14ac:dyDescent="0.4">
      <c r="A33" s="74" t="s">
        <v>224</v>
      </c>
      <c r="B33" s="75">
        <v>43478.456446759257</v>
      </c>
      <c r="C33" s="74" t="s">
        <v>166</v>
      </c>
      <c r="D33" s="74" t="s">
        <v>167</v>
      </c>
      <c r="E33" s="74" t="s">
        <v>168</v>
      </c>
    </row>
    <row r="34" spans="1:10" x14ac:dyDescent="0.4">
      <c r="A34" s="74" t="s">
        <v>226</v>
      </c>
      <c r="B34" s="75">
        <v>43479.152256944442</v>
      </c>
      <c r="C34" s="74" t="s">
        <v>166</v>
      </c>
      <c r="D34" s="74" t="s">
        <v>167</v>
      </c>
      <c r="E34" s="74" t="s">
        <v>168</v>
      </c>
      <c r="F34" s="74" t="s">
        <v>169</v>
      </c>
      <c r="G34" s="74" t="s">
        <v>170</v>
      </c>
      <c r="H34" s="74" t="s">
        <v>171</v>
      </c>
      <c r="I34" s="74" t="s">
        <v>172</v>
      </c>
      <c r="J34" s="74" t="s">
        <v>173</v>
      </c>
    </row>
    <row r="35" spans="1:10" x14ac:dyDescent="0.4">
      <c r="A35" s="74" t="s">
        <v>230</v>
      </c>
      <c r="B35" s="75">
        <v>43480.04891203704</v>
      </c>
      <c r="C35" s="74" t="s">
        <v>166</v>
      </c>
      <c r="D35" s="74" t="s">
        <v>167</v>
      </c>
      <c r="E35" s="74" t="s">
        <v>168</v>
      </c>
      <c r="F35" s="74" t="s">
        <v>169</v>
      </c>
      <c r="G35" s="74" t="s">
        <v>170</v>
      </c>
      <c r="H35" s="74" t="s">
        <v>171</v>
      </c>
      <c r="I35" s="74" t="s">
        <v>172</v>
      </c>
      <c r="J35" s="74" t="s">
        <v>173</v>
      </c>
    </row>
    <row r="36" spans="1:10" x14ac:dyDescent="0.4">
      <c r="A36" s="74" t="s">
        <v>231</v>
      </c>
      <c r="B36" s="75">
        <v>43481.046527777777</v>
      </c>
      <c r="C36" s="74" t="s">
        <v>166</v>
      </c>
      <c r="D36" s="74" t="s">
        <v>167</v>
      </c>
      <c r="E36" s="74" t="s">
        <v>168</v>
      </c>
    </row>
    <row r="37" spans="1:10" x14ac:dyDescent="0.4">
      <c r="A37" s="74" t="s">
        <v>232</v>
      </c>
      <c r="B37" s="75">
        <v>43482.020208333335</v>
      </c>
      <c r="C37" s="74" t="s">
        <v>166</v>
      </c>
      <c r="D37" s="74" t="s">
        <v>167</v>
      </c>
    </row>
    <row r="38" spans="1:10" x14ac:dyDescent="0.4">
      <c r="A38" s="74" t="s">
        <v>233</v>
      </c>
      <c r="B38" s="75">
        <v>43483.045300925929</v>
      </c>
      <c r="C38" s="74" t="s">
        <v>166</v>
      </c>
      <c r="D38" s="74" t="s">
        <v>167</v>
      </c>
      <c r="E38" s="74" t="s">
        <v>168</v>
      </c>
      <c r="F38" s="74" t="s">
        <v>169</v>
      </c>
      <c r="G38" s="74" t="s">
        <v>170</v>
      </c>
    </row>
    <row r="39" spans="1:10" x14ac:dyDescent="0.4">
      <c r="A39" s="74" t="s">
        <v>234</v>
      </c>
      <c r="B39" s="75">
        <v>43484.815625000003</v>
      </c>
      <c r="C39" s="74" t="s">
        <v>166</v>
      </c>
      <c r="D39" s="74" t="s">
        <v>167</v>
      </c>
      <c r="E39" s="74" t="s">
        <v>168</v>
      </c>
      <c r="F39" s="74" t="s">
        <v>169</v>
      </c>
      <c r="G39" s="74" t="s">
        <v>170</v>
      </c>
      <c r="H39" s="74" t="s">
        <v>171</v>
      </c>
    </row>
    <row r="40" spans="1:10" x14ac:dyDescent="0.4">
      <c r="A40" s="74" t="s">
        <v>235</v>
      </c>
      <c r="B40" s="75">
        <v>43485.111226851855</v>
      </c>
      <c r="C40" s="74" t="s">
        <v>166</v>
      </c>
      <c r="D40" s="74" t="s">
        <v>167</v>
      </c>
      <c r="E40" s="74" t="s">
        <v>168</v>
      </c>
      <c r="F40" s="74" t="s">
        <v>169</v>
      </c>
    </row>
    <row r="41" spans="1:10" x14ac:dyDescent="0.4">
      <c r="A41" s="74" t="s">
        <v>237</v>
      </c>
      <c r="B41" s="75">
        <v>43486.066643518519</v>
      </c>
      <c r="C41" s="74" t="s">
        <v>166</v>
      </c>
      <c r="D41" s="74" t="s">
        <v>167</v>
      </c>
      <c r="E41" s="74" t="s">
        <v>168</v>
      </c>
      <c r="F41" s="74" t="s">
        <v>169</v>
      </c>
    </row>
    <row r="42" spans="1:10" x14ac:dyDescent="0.4">
      <c r="A42" s="74" t="s">
        <v>238</v>
      </c>
      <c r="B42" s="75">
        <v>43487.036203703705</v>
      </c>
      <c r="C42" s="74" t="s">
        <v>166</v>
      </c>
      <c r="D42" s="74" t="s">
        <v>167</v>
      </c>
      <c r="E42" s="74" t="s">
        <v>168</v>
      </c>
      <c r="F42" s="74" t="s">
        <v>169</v>
      </c>
      <c r="G42" s="74" t="s">
        <v>170</v>
      </c>
      <c r="H42" s="74" t="s">
        <v>171</v>
      </c>
      <c r="I42" s="74" t="s">
        <v>172</v>
      </c>
    </row>
    <row r="43" spans="1:10" x14ac:dyDescent="0.4">
      <c r="A43" s="74" t="s">
        <v>239</v>
      </c>
      <c r="B43" s="75">
        <v>43488.059837962966</v>
      </c>
      <c r="C43" s="74" t="s">
        <v>166</v>
      </c>
      <c r="D43" s="74" t="s">
        <v>167</v>
      </c>
      <c r="E43" s="74" t="s">
        <v>168</v>
      </c>
      <c r="F43" s="74" t="s">
        <v>169</v>
      </c>
      <c r="G43" s="74" t="s">
        <v>170</v>
      </c>
      <c r="H43" s="74" t="s">
        <v>171</v>
      </c>
      <c r="I43" s="74" t="s">
        <v>172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2019-01-22T16:26:25Z</dcterms:modified>
</cp:coreProperties>
</file>