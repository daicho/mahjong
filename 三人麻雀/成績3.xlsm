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CE80F5B8-B2F0-4483-B36F-B3AB65A501B1}" xr6:coauthVersionLast="31" xr6:coauthVersionMax="40" xr10:uidLastSave="{00000000-0000-0000-0000-000000000000}"/>
  <bookViews>
    <workbookView xWindow="0" yWindow="0" windowWidth="28800" windowHeight="12288" xr2:uid="{4FDB0271-42AC-4C1F-BA12-2E989A379038}"/>
  </bookViews>
  <sheets>
    <sheet name="ランキング" sheetId="137" r:id="rId1"/>
    <sheet name="役" sheetId="2416" r:id="rId2"/>
    <sheet name="だいち" sheetId="2469" r:id="rId3"/>
    <sheet name="かこたろう" sheetId="2470" r:id="rId4"/>
    <sheet name="ともき" sheetId="2471" r:id="rId5"/>
    <sheet name="りくと" sheetId="2472" r:id="rId6"/>
    <sheet name="いっしー" sheetId="2473" r:id="rId7"/>
    <sheet name="がくと" sheetId="2474" r:id="rId8"/>
    <sheet name="たかの" sheetId="2475" r:id="rId9"/>
    <sheet name="ただ" sheetId="2476" r:id="rId10"/>
    <sheet name="やがさき" sheetId="2477" r:id="rId11"/>
    <sheet name="れんたろう" sheetId="2478" r:id="rId12"/>
    <sheet name="あさひ" sheetId="2479" r:id="rId13"/>
    <sheet name="まっつん" sheetId="2480" r:id="rId14"/>
    <sheet name="Template" sheetId="2228" state="hidden" r:id="rId15"/>
    <sheet name="Cache" sheetId="2227" state="hidden" r:id="rId16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2480" l="1"/>
  <c r="H50" i="2480"/>
  <c r="H49" i="2480"/>
  <c r="H48" i="2480"/>
  <c r="H47" i="2480"/>
  <c r="H46" i="2480"/>
  <c r="H45" i="2480"/>
  <c r="H44" i="2480"/>
  <c r="H43" i="2480"/>
  <c r="H42" i="2480"/>
  <c r="H41" i="2480"/>
  <c r="H40" i="2480"/>
  <c r="H39" i="2480"/>
  <c r="H38" i="2480"/>
  <c r="H37" i="2480"/>
  <c r="H36" i="2480"/>
  <c r="H35" i="2480"/>
  <c r="H34" i="2480"/>
  <c r="H33" i="2480"/>
  <c r="H32" i="2480"/>
  <c r="H31" i="2480"/>
  <c r="H30" i="2480"/>
  <c r="H6" i="2480"/>
  <c r="H29" i="2480"/>
  <c r="H28" i="2480"/>
  <c r="H27" i="2480"/>
  <c r="H10" i="2480"/>
  <c r="H26" i="2480"/>
  <c r="H5" i="2480"/>
  <c r="C23" i="2480"/>
  <c r="H25" i="2480"/>
  <c r="C22" i="2480"/>
  <c r="H24" i="2480"/>
  <c r="B21" i="2480"/>
  <c r="H23" i="2480"/>
  <c r="H22" i="2480"/>
  <c r="C19" i="2480"/>
  <c r="H9" i="2480"/>
  <c r="C18" i="2480"/>
  <c r="H21" i="2480"/>
  <c r="C17" i="2480"/>
  <c r="H20" i="2480"/>
  <c r="B16" i="2480"/>
  <c r="B20" i="2480" s="1"/>
  <c r="H19" i="2480"/>
  <c r="C15" i="2480"/>
  <c r="H18" i="2480"/>
  <c r="C14" i="2480"/>
  <c r="H17" i="2480"/>
  <c r="C13" i="2480"/>
  <c r="H16" i="2480"/>
  <c r="C12" i="2480"/>
  <c r="H4" i="2480"/>
  <c r="C11" i="2480"/>
  <c r="H15" i="2480"/>
  <c r="C10" i="2480"/>
  <c r="H8" i="2480"/>
  <c r="C9" i="2480"/>
  <c r="H14" i="2480"/>
  <c r="C8" i="2480"/>
  <c r="N7" i="2480"/>
  <c r="H13" i="2480"/>
  <c r="C7" i="2480"/>
  <c r="N6" i="2480"/>
  <c r="H2" i="2480"/>
  <c r="B6" i="2480"/>
  <c r="N5" i="2480"/>
  <c r="H12" i="2480"/>
  <c r="B5" i="2480"/>
  <c r="N4" i="2480"/>
  <c r="H3" i="2480"/>
  <c r="N3" i="2480"/>
  <c r="H11" i="2480"/>
  <c r="N2" i="2480"/>
  <c r="H7" i="2480"/>
  <c r="C16" i="2480" l="1"/>
  <c r="H51" i="2479" l="1"/>
  <c r="H50" i="2479"/>
  <c r="H49" i="2479"/>
  <c r="H48" i="2479"/>
  <c r="H47" i="2479"/>
  <c r="H46" i="2479"/>
  <c r="H45" i="2479"/>
  <c r="H44" i="2479"/>
  <c r="H43" i="2479"/>
  <c r="H42" i="2479"/>
  <c r="H41" i="2479"/>
  <c r="H40" i="2479"/>
  <c r="H39" i="2479"/>
  <c r="H38" i="2479"/>
  <c r="H37" i="2479"/>
  <c r="H36" i="2479"/>
  <c r="H35" i="2479"/>
  <c r="H34" i="2479"/>
  <c r="H33" i="2479"/>
  <c r="H32" i="2479"/>
  <c r="H14" i="2479"/>
  <c r="H31" i="2479"/>
  <c r="H11" i="2479"/>
  <c r="H30" i="2479"/>
  <c r="H29" i="2479"/>
  <c r="H10" i="2479"/>
  <c r="H28" i="2479"/>
  <c r="H27" i="2479"/>
  <c r="H26" i="2479"/>
  <c r="C23" i="2479"/>
  <c r="H25" i="2479"/>
  <c r="C22" i="2479"/>
  <c r="H24" i="2479"/>
  <c r="B21" i="2479"/>
  <c r="H23" i="2479"/>
  <c r="H22" i="2479"/>
  <c r="C19" i="2479"/>
  <c r="H21" i="2479"/>
  <c r="C18" i="2479"/>
  <c r="H20" i="2479"/>
  <c r="C17" i="2479"/>
  <c r="H19" i="2479"/>
  <c r="B16" i="2479"/>
  <c r="B20" i="2479" s="1"/>
  <c r="H18" i="2479"/>
  <c r="C15" i="2479"/>
  <c r="H17" i="2479"/>
  <c r="C14" i="2479"/>
  <c r="H16" i="2479"/>
  <c r="C13" i="2479"/>
  <c r="H15" i="2479"/>
  <c r="C12" i="2479"/>
  <c r="H5" i="2479"/>
  <c r="C11" i="2479"/>
  <c r="H13" i="2479"/>
  <c r="C10" i="2479"/>
  <c r="H7" i="2479"/>
  <c r="C9" i="2479"/>
  <c r="H9" i="2479"/>
  <c r="C8" i="2479"/>
  <c r="N7" i="2479"/>
  <c r="H8" i="2479"/>
  <c r="C7" i="2479"/>
  <c r="N6" i="2479"/>
  <c r="H3" i="2479"/>
  <c r="B6" i="2479"/>
  <c r="N5" i="2479"/>
  <c r="H6" i="2479"/>
  <c r="B5" i="2479"/>
  <c r="N4" i="2479"/>
  <c r="H2" i="2479"/>
  <c r="N3" i="2479"/>
  <c r="H12" i="2479"/>
  <c r="N2" i="2479"/>
  <c r="H4" i="2479"/>
  <c r="C16" i="2479" l="1"/>
  <c r="H51" i="2478" l="1"/>
  <c r="H50" i="2478"/>
  <c r="H49" i="2478"/>
  <c r="H48" i="2478"/>
  <c r="H47" i="2478"/>
  <c r="H46" i="2478"/>
  <c r="H45" i="2478"/>
  <c r="H44" i="2478"/>
  <c r="H43" i="2478"/>
  <c r="H42" i="2478"/>
  <c r="H41" i="2478"/>
  <c r="H40" i="2478"/>
  <c r="H39" i="2478"/>
  <c r="H38" i="2478"/>
  <c r="H37" i="2478"/>
  <c r="H36" i="2478"/>
  <c r="H35" i="2478"/>
  <c r="H34" i="2478"/>
  <c r="H21" i="2478"/>
  <c r="H33" i="2478"/>
  <c r="H32" i="2478"/>
  <c r="H31" i="2478"/>
  <c r="H8" i="2478"/>
  <c r="H30" i="2478"/>
  <c r="H29" i="2478"/>
  <c r="H13" i="2478"/>
  <c r="H28" i="2478"/>
  <c r="H20" i="2478"/>
  <c r="H14" i="2478"/>
  <c r="C23" i="2478"/>
  <c r="H27" i="2478"/>
  <c r="C22" i="2478"/>
  <c r="H17" i="2478"/>
  <c r="B21" i="2478"/>
  <c r="H26" i="2478"/>
  <c r="H25" i="2478"/>
  <c r="C19" i="2478"/>
  <c r="H19" i="2478"/>
  <c r="C18" i="2478"/>
  <c r="H11" i="2478"/>
  <c r="C17" i="2478"/>
  <c r="H24" i="2478"/>
  <c r="B16" i="2478"/>
  <c r="B20" i="2478" s="1"/>
  <c r="H23" i="2478"/>
  <c r="C15" i="2478"/>
  <c r="H18" i="2478"/>
  <c r="C14" i="2478"/>
  <c r="H22" i="2478"/>
  <c r="C13" i="2478"/>
  <c r="H16" i="2478"/>
  <c r="C12" i="2478"/>
  <c r="H3" i="2478"/>
  <c r="C11" i="2478"/>
  <c r="H15" i="2478"/>
  <c r="C10" i="2478"/>
  <c r="H10" i="2478"/>
  <c r="C9" i="2478"/>
  <c r="H9" i="2478"/>
  <c r="C8" i="2478"/>
  <c r="N7" i="2478"/>
  <c r="H7" i="2478"/>
  <c r="C7" i="2478"/>
  <c r="N6" i="2478"/>
  <c r="H2" i="2478"/>
  <c r="B6" i="2478"/>
  <c r="N5" i="2478"/>
  <c r="H6" i="2478"/>
  <c r="B5" i="2478"/>
  <c r="N4" i="2478"/>
  <c r="H4" i="2478"/>
  <c r="N3" i="2478"/>
  <c r="H12" i="2478"/>
  <c r="N2" i="2478"/>
  <c r="H5" i="2478"/>
  <c r="C16" i="2478" l="1"/>
  <c r="H51" i="2477" l="1"/>
  <c r="H50" i="2477"/>
  <c r="H49" i="2477"/>
  <c r="H48" i="2477"/>
  <c r="H47" i="2477"/>
  <c r="H46" i="2477"/>
  <c r="H45" i="2477"/>
  <c r="H44" i="2477"/>
  <c r="H43" i="2477"/>
  <c r="H42" i="2477"/>
  <c r="H41" i="2477"/>
  <c r="H40" i="2477"/>
  <c r="H39" i="2477"/>
  <c r="H38" i="2477"/>
  <c r="H37" i="2477"/>
  <c r="H36" i="2477"/>
  <c r="H35" i="2477"/>
  <c r="H34" i="2477"/>
  <c r="H33" i="2477"/>
  <c r="H32" i="2477"/>
  <c r="H31" i="2477"/>
  <c r="H30" i="2477"/>
  <c r="H29" i="2477"/>
  <c r="H28" i="2477"/>
  <c r="H27" i="2477"/>
  <c r="H26" i="2477"/>
  <c r="H25" i="2477"/>
  <c r="H24" i="2477"/>
  <c r="H23" i="2477"/>
  <c r="C23" i="2477"/>
  <c r="H22" i="2477"/>
  <c r="C22" i="2477"/>
  <c r="H21" i="2477"/>
  <c r="B21" i="2477"/>
  <c r="H20" i="2477"/>
  <c r="H19" i="2477"/>
  <c r="C19" i="2477"/>
  <c r="H18" i="2477"/>
  <c r="C18" i="2477"/>
  <c r="H17" i="2477"/>
  <c r="C17" i="2477"/>
  <c r="H16" i="2477"/>
  <c r="B16" i="2477"/>
  <c r="B20" i="2477" s="1"/>
  <c r="H15" i="2477"/>
  <c r="C15" i="2477"/>
  <c r="H14" i="2477"/>
  <c r="C14" i="2477"/>
  <c r="H13" i="2477"/>
  <c r="C13" i="2477"/>
  <c r="H12" i="2477"/>
  <c r="C12" i="2477"/>
  <c r="H11" i="2477"/>
  <c r="C11" i="2477"/>
  <c r="H10" i="2477"/>
  <c r="C10" i="2477"/>
  <c r="H9" i="2477"/>
  <c r="C9" i="2477"/>
  <c r="H8" i="2477"/>
  <c r="C8" i="2477"/>
  <c r="N7" i="2477"/>
  <c r="H7" i="2477"/>
  <c r="C7" i="2477"/>
  <c r="N6" i="2477"/>
  <c r="H6" i="2477"/>
  <c r="B6" i="2477"/>
  <c r="N5" i="2477"/>
  <c r="H5" i="2477"/>
  <c r="B5" i="2477"/>
  <c r="N4" i="2477"/>
  <c r="H4" i="2477"/>
  <c r="N3" i="2477"/>
  <c r="H3" i="2477"/>
  <c r="N2" i="2477"/>
  <c r="H2" i="2477"/>
  <c r="C16" i="2477" l="1"/>
  <c r="H51" i="2476" l="1"/>
  <c r="H50" i="2476"/>
  <c r="H49" i="2476"/>
  <c r="H48" i="2476"/>
  <c r="H47" i="2476"/>
  <c r="H46" i="2476"/>
  <c r="H45" i="2476"/>
  <c r="H44" i="2476"/>
  <c r="H43" i="2476"/>
  <c r="H42" i="2476"/>
  <c r="H41" i="2476"/>
  <c r="H40" i="2476"/>
  <c r="H39" i="2476"/>
  <c r="H38" i="2476"/>
  <c r="H37" i="2476"/>
  <c r="H36" i="2476"/>
  <c r="H35" i="2476"/>
  <c r="H34" i="2476"/>
  <c r="H33" i="2476"/>
  <c r="H32" i="2476"/>
  <c r="H19" i="2476"/>
  <c r="H31" i="2476"/>
  <c r="H10" i="2476"/>
  <c r="H30" i="2476"/>
  <c r="H29" i="2476"/>
  <c r="H13" i="2476"/>
  <c r="H28" i="2476"/>
  <c r="H18" i="2476"/>
  <c r="H17" i="2476"/>
  <c r="C23" i="2476"/>
  <c r="H27" i="2476"/>
  <c r="C22" i="2476"/>
  <c r="H15" i="2476"/>
  <c r="B21" i="2476"/>
  <c r="H26" i="2476"/>
  <c r="H25" i="2476"/>
  <c r="C19" i="2476"/>
  <c r="H24" i="2476"/>
  <c r="C18" i="2476"/>
  <c r="H14" i="2476"/>
  <c r="C17" i="2476"/>
  <c r="H23" i="2476"/>
  <c r="B16" i="2476"/>
  <c r="B20" i="2476" s="1"/>
  <c r="H22" i="2476"/>
  <c r="C15" i="2476"/>
  <c r="H21" i="2476"/>
  <c r="C14" i="2476"/>
  <c r="H16" i="2476"/>
  <c r="C13" i="2476"/>
  <c r="H20" i="2476"/>
  <c r="C12" i="2476"/>
  <c r="H5" i="2476"/>
  <c r="C11" i="2476"/>
  <c r="H12" i="2476"/>
  <c r="C10" i="2476"/>
  <c r="H11" i="2476"/>
  <c r="C9" i="2476"/>
  <c r="H8" i="2476"/>
  <c r="C8" i="2476"/>
  <c r="N7" i="2476"/>
  <c r="H7" i="2476"/>
  <c r="C7" i="2476"/>
  <c r="N6" i="2476"/>
  <c r="H3" i="2476"/>
  <c r="B6" i="2476"/>
  <c r="N5" i="2476"/>
  <c r="H6" i="2476"/>
  <c r="B5" i="2476"/>
  <c r="N4" i="2476"/>
  <c r="H2" i="2476"/>
  <c r="N3" i="2476"/>
  <c r="H9" i="2476"/>
  <c r="N2" i="2476"/>
  <c r="H4" i="2476"/>
  <c r="H51" i="2475"/>
  <c r="H50" i="2475"/>
  <c r="H49" i="2475"/>
  <c r="H48" i="2475"/>
  <c r="H47" i="2475"/>
  <c r="H46" i="2475"/>
  <c r="H45" i="2475"/>
  <c r="H44" i="2475"/>
  <c r="H43" i="2475"/>
  <c r="H42" i="2475"/>
  <c r="H41" i="2475"/>
  <c r="H40" i="2475"/>
  <c r="H39" i="2475"/>
  <c r="H38" i="2475"/>
  <c r="H37" i="2475"/>
  <c r="H36" i="2475"/>
  <c r="H35" i="2475"/>
  <c r="H34" i="2475"/>
  <c r="H33" i="2475"/>
  <c r="H32" i="2475"/>
  <c r="H31" i="2475"/>
  <c r="H30" i="2475"/>
  <c r="H10" i="2475"/>
  <c r="H29" i="2475"/>
  <c r="H28" i="2475"/>
  <c r="H13" i="2475"/>
  <c r="H27" i="2475"/>
  <c r="H26" i="2475"/>
  <c r="H18" i="2475"/>
  <c r="C23" i="2475"/>
  <c r="H25" i="2475"/>
  <c r="C22" i="2475"/>
  <c r="H17" i="2475"/>
  <c r="B21" i="2475"/>
  <c r="H24" i="2475"/>
  <c r="H23" i="2475"/>
  <c r="C19" i="2475"/>
  <c r="H12" i="2475"/>
  <c r="C18" i="2475"/>
  <c r="H11" i="2475"/>
  <c r="C17" i="2475"/>
  <c r="H22" i="2475"/>
  <c r="B16" i="2475"/>
  <c r="B20" i="2475" s="1"/>
  <c r="H21" i="2475"/>
  <c r="C15" i="2475"/>
  <c r="H16" i="2475"/>
  <c r="C14" i="2475"/>
  <c r="H20" i="2475"/>
  <c r="C13" i="2475"/>
  <c r="H19" i="2475"/>
  <c r="C12" i="2475"/>
  <c r="H3" i="2475"/>
  <c r="C11" i="2475"/>
  <c r="H15" i="2475"/>
  <c r="C10" i="2475"/>
  <c r="H14" i="2475"/>
  <c r="C9" i="2475"/>
  <c r="H9" i="2475"/>
  <c r="C8" i="2475"/>
  <c r="N7" i="2475"/>
  <c r="H7" i="2475"/>
  <c r="C7" i="2475"/>
  <c r="N6" i="2475"/>
  <c r="H2" i="2475"/>
  <c r="B6" i="2475"/>
  <c r="N5" i="2475"/>
  <c r="H8" i="2475"/>
  <c r="B5" i="2475"/>
  <c r="N4" i="2475"/>
  <c r="H4" i="2475"/>
  <c r="N3" i="2475"/>
  <c r="H6" i="2475"/>
  <c r="N2" i="2475"/>
  <c r="H5" i="2475"/>
  <c r="C16" i="2476" l="1"/>
  <c r="C16" i="2475"/>
  <c r="H51" i="2474" l="1"/>
  <c r="H50" i="2474"/>
  <c r="H49" i="2474"/>
  <c r="H48" i="2474"/>
  <c r="H47" i="2474"/>
  <c r="H46" i="2474"/>
  <c r="H45" i="2474"/>
  <c r="H44" i="2474"/>
  <c r="H43" i="2474"/>
  <c r="H42" i="2474"/>
  <c r="H41" i="2474"/>
  <c r="H40" i="2474"/>
  <c r="H39" i="2474"/>
  <c r="H38" i="2474"/>
  <c r="H37" i="2474"/>
  <c r="H36" i="2474"/>
  <c r="H35" i="2474"/>
  <c r="H34" i="2474"/>
  <c r="H33" i="2474"/>
  <c r="H32" i="2474"/>
  <c r="H31" i="2474"/>
  <c r="H30" i="2474"/>
  <c r="H29" i="2474"/>
  <c r="H28" i="2474"/>
  <c r="H27" i="2474"/>
  <c r="H11" i="2474"/>
  <c r="H26" i="2474"/>
  <c r="H25" i="2474"/>
  <c r="H24" i="2474"/>
  <c r="C23" i="2474"/>
  <c r="H23" i="2474"/>
  <c r="C22" i="2474"/>
  <c r="H22" i="2474"/>
  <c r="B21" i="2474"/>
  <c r="H21" i="2474"/>
  <c r="H20" i="2474"/>
  <c r="C19" i="2474"/>
  <c r="H8" i="2474"/>
  <c r="C18" i="2474"/>
  <c r="H19" i="2474"/>
  <c r="C17" i="2474"/>
  <c r="H18" i="2474"/>
  <c r="B16" i="2474"/>
  <c r="B20" i="2474" s="1"/>
  <c r="H17" i="2474"/>
  <c r="C15" i="2474"/>
  <c r="H16" i="2474"/>
  <c r="C14" i="2474"/>
  <c r="H15" i="2474"/>
  <c r="C13" i="2474"/>
  <c r="H14" i="2474"/>
  <c r="C12" i="2474"/>
  <c r="H5" i="2474"/>
  <c r="C11" i="2474"/>
  <c r="H13" i="2474"/>
  <c r="C10" i="2474"/>
  <c r="H12" i="2474"/>
  <c r="C9" i="2474"/>
  <c r="H10" i="2474"/>
  <c r="C8" i="2474"/>
  <c r="N7" i="2474"/>
  <c r="H6" i="2474"/>
  <c r="C7" i="2474"/>
  <c r="N6" i="2474"/>
  <c r="H3" i="2474"/>
  <c r="B6" i="2474"/>
  <c r="N5" i="2474"/>
  <c r="H7" i="2474"/>
  <c r="B5" i="2474"/>
  <c r="N4" i="2474"/>
  <c r="H9" i="2474"/>
  <c r="N3" i="2474"/>
  <c r="H4" i="2474"/>
  <c r="N2" i="2474"/>
  <c r="H2" i="2474"/>
  <c r="C16" i="2474" l="1"/>
  <c r="H51" i="2473" l="1"/>
  <c r="H50" i="2473"/>
  <c r="H49" i="2473"/>
  <c r="H48" i="2473"/>
  <c r="H47" i="2473"/>
  <c r="H46" i="2473"/>
  <c r="H45" i="2473"/>
  <c r="H44" i="2473"/>
  <c r="H43" i="2473"/>
  <c r="H42" i="2473"/>
  <c r="H41" i="2473"/>
  <c r="H40" i="2473"/>
  <c r="H39" i="2473"/>
  <c r="H38" i="2473"/>
  <c r="H37" i="2473"/>
  <c r="H36" i="2473"/>
  <c r="H35" i="2473"/>
  <c r="H34" i="2473"/>
  <c r="H33" i="2473"/>
  <c r="H32" i="2473"/>
  <c r="H31" i="2473"/>
  <c r="H30" i="2473"/>
  <c r="H13" i="2473"/>
  <c r="H29" i="2473"/>
  <c r="H28" i="2473"/>
  <c r="H15" i="2473"/>
  <c r="H27" i="2473"/>
  <c r="H26" i="2473"/>
  <c r="H9" i="2473"/>
  <c r="C23" i="2473"/>
  <c r="H25" i="2473"/>
  <c r="C22" i="2473"/>
  <c r="H12" i="2473"/>
  <c r="B21" i="2473"/>
  <c r="H24" i="2473"/>
  <c r="H23" i="2473"/>
  <c r="C19" i="2473"/>
  <c r="H22" i="2473"/>
  <c r="C18" i="2473"/>
  <c r="H14" i="2473"/>
  <c r="C17" i="2473"/>
  <c r="H21" i="2473"/>
  <c r="B16" i="2473"/>
  <c r="B20" i="2473" s="1"/>
  <c r="H20" i="2473"/>
  <c r="C15" i="2473"/>
  <c r="H19" i="2473"/>
  <c r="C14" i="2473"/>
  <c r="H18" i="2473"/>
  <c r="C13" i="2473"/>
  <c r="H17" i="2473"/>
  <c r="C12" i="2473"/>
  <c r="H4" i="2473"/>
  <c r="C11" i="2473"/>
  <c r="H16" i="2473"/>
  <c r="C10" i="2473"/>
  <c r="H11" i="2473"/>
  <c r="C9" i="2473"/>
  <c r="H10" i="2473"/>
  <c r="C8" i="2473"/>
  <c r="N7" i="2473"/>
  <c r="H7" i="2473"/>
  <c r="C7" i="2473"/>
  <c r="N6" i="2473"/>
  <c r="H3" i="2473"/>
  <c r="B6" i="2473"/>
  <c r="N5" i="2473"/>
  <c r="H6" i="2473"/>
  <c r="B5" i="2473"/>
  <c r="N4" i="2473"/>
  <c r="H2" i="2473"/>
  <c r="N3" i="2473"/>
  <c r="H8" i="2473"/>
  <c r="N2" i="2473"/>
  <c r="H5" i="2473"/>
  <c r="H51" i="2472"/>
  <c r="H50" i="2472"/>
  <c r="H49" i="2472"/>
  <c r="H48" i="2472"/>
  <c r="H47" i="2472"/>
  <c r="H46" i="2472"/>
  <c r="H45" i="2472"/>
  <c r="H44" i="2472"/>
  <c r="H43" i="2472"/>
  <c r="H42" i="2472"/>
  <c r="H41" i="2472"/>
  <c r="H40" i="2472"/>
  <c r="H39" i="2472"/>
  <c r="H38" i="2472"/>
  <c r="H37" i="2472"/>
  <c r="H36" i="2472"/>
  <c r="H35" i="2472"/>
  <c r="H34" i="2472"/>
  <c r="H33" i="2472"/>
  <c r="H19" i="2472"/>
  <c r="H14" i="2472"/>
  <c r="H32" i="2472"/>
  <c r="H10" i="2472"/>
  <c r="H24" i="2472"/>
  <c r="H23" i="2472"/>
  <c r="H12" i="2472"/>
  <c r="H22" i="2472"/>
  <c r="H21" i="2472"/>
  <c r="H13" i="2472"/>
  <c r="C23" i="2472"/>
  <c r="H31" i="2472"/>
  <c r="C22" i="2472"/>
  <c r="H16" i="2472"/>
  <c r="B21" i="2472"/>
  <c r="H20" i="2472"/>
  <c r="H30" i="2472"/>
  <c r="C19" i="2472"/>
  <c r="H18" i="2472"/>
  <c r="C18" i="2472"/>
  <c r="H17" i="2472"/>
  <c r="C17" i="2472"/>
  <c r="H29" i="2472"/>
  <c r="B16" i="2472"/>
  <c r="B20" i="2472" s="1"/>
  <c r="H28" i="2472"/>
  <c r="C15" i="2472"/>
  <c r="H27" i="2472"/>
  <c r="C14" i="2472"/>
  <c r="H26" i="2472"/>
  <c r="C13" i="2472"/>
  <c r="H25" i="2472"/>
  <c r="C12" i="2472"/>
  <c r="H5" i="2472"/>
  <c r="C11" i="2472"/>
  <c r="H15" i="2472"/>
  <c r="C10" i="2472"/>
  <c r="H9" i="2472"/>
  <c r="C9" i="2472"/>
  <c r="H8" i="2472"/>
  <c r="C8" i="2472"/>
  <c r="N7" i="2472"/>
  <c r="H6" i="2472"/>
  <c r="C7" i="2472"/>
  <c r="N6" i="2472"/>
  <c r="H2" i="2472"/>
  <c r="B6" i="2472"/>
  <c r="N5" i="2472"/>
  <c r="H7" i="2472"/>
  <c r="B5" i="2472"/>
  <c r="N4" i="2472"/>
  <c r="H3" i="2472"/>
  <c r="N3" i="2472"/>
  <c r="H11" i="2472"/>
  <c r="N2" i="2472"/>
  <c r="H4" i="2472"/>
  <c r="C16" i="2473" l="1"/>
  <c r="C16" i="2472"/>
  <c r="H51" i="2471" l="1"/>
  <c r="H50" i="2471"/>
  <c r="H49" i="2471"/>
  <c r="H48" i="2471"/>
  <c r="H47" i="2471"/>
  <c r="H46" i="2471"/>
  <c r="H45" i="2471"/>
  <c r="H44" i="2471"/>
  <c r="H43" i="2471"/>
  <c r="H42" i="2471"/>
  <c r="H41" i="2471"/>
  <c r="H40" i="2471"/>
  <c r="H39" i="2471"/>
  <c r="H38" i="2471"/>
  <c r="H37" i="2471"/>
  <c r="H36" i="2471"/>
  <c r="H35" i="2471"/>
  <c r="H34" i="2471"/>
  <c r="H33" i="2471"/>
  <c r="H32" i="2471"/>
  <c r="H31" i="2471"/>
  <c r="H30" i="2471"/>
  <c r="H29" i="2471"/>
  <c r="H28" i="2471"/>
  <c r="H27" i="2471"/>
  <c r="H26" i="2471"/>
  <c r="H25" i="2471"/>
  <c r="H24" i="2471"/>
  <c r="H23" i="2471"/>
  <c r="C23" i="2471"/>
  <c r="H22" i="2471"/>
  <c r="C22" i="2471"/>
  <c r="H21" i="2471"/>
  <c r="B21" i="2471"/>
  <c r="H20" i="2471"/>
  <c r="H19" i="2471"/>
  <c r="C19" i="2471"/>
  <c r="H18" i="2471"/>
  <c r="C18" i="2471"/>
  <c r="H17" i="2471"/>
  <c r="C17" i="2471"/>
  <c r="H16" i="2471"/>
  <c r="B16" i="2471"/>
  <c r="B20" i="2471" s="1"/>
  <c r="H15" i="2471"/>
  <c r="C15" i="2471"/>
  <c r="H14" i="2471"/>
  <c r="C14" i="2471"/>
  <c r="H13" i="2471"/>
  <c r="C13" i="2471"/>
  <c r="H12" i="2471"/>
  <c r="C12" i="2471"/>
  <c r="H11" i="2471"/>
  <c r="C11" i="2471"/>
  <c r="H10" i="2471"/>
  <c r="C10" i="2471"/>
  <c r="H9" i="2471"/>
  <c r="C9" i="2471"/>
  <c r="H8" i="2471"/>
  <c r="C8" i="2471"/>
  <c r="N7" i="2471"/>
  <c r="H7" i="2471"/>
  <c r="C7" i="2471"/>
  <c r="N6" i="2471"/>
  <c r="H6" i="2471"/>
  <c r="B6" i="2471"/>
  <c r="N5" i="2471"/>
  <c r="H5" i="2471"/>
  <c r="B5" i="2471"/>
  <c r="N4" i="2471"/>
  <c r="H4" i="2471"/>
  <c r="N3" i="2471"/>
  <c r="H3" i="2471"/>
  <c r="N2" i="2471"/>
  <c r="H2" i="2471"/>
  <c r="H51" i="2470"/>
  <c r="H50" i="2470"/>
  <c r="H49" i="2470"/>
  <c r="H48" i="2470"/>
  <c r="H47" i="2470"/>
  <c r="H46" i="2470"/>
  <c r="H45" i="2470"/>
  <c r="H44" i="2470"/>
  <c r="H43" i="2470"/>
  <c r="H42" i="2470"/>
  <c r="H41" i="2470"/>
  <c r="H40" i="2470"/>
  <c r="H39" i="2470"/>
  <c r="H38" i="2470"/>
  <c r="H37" i="2470"/>
  <c r="H36" i="2470"/>
  <c r="H35" i="2470"/>
  <c r="H34" i="2470"/>
  <c r="H33" i="2470"/>
  <c r="H32" i="2470"/>
  <c r="H31" i="2470"/>
  <c r="H30" i="2470"/>
  <c r="H29" i="2470"/>
  <c r="H28" i="2470"/>
  <c r="H27" i="2470"/>
  <c r="H26" i="2470"/>
  <c r="H25" i="2470"/>
  <c r="H24" i="2470"/>
  <c r="H23" i="2470"/>
  <c r="C23" i="2470"/>
  <c r="H22" i="2470"/>
  <c r="C22" i="2470"/>
  <c r="H21" i="2470"/>
  <c r="B21" i="2470"/>
  <c r="H20" i="2470"/>
  <c r="H19" i="2470"/>
  <c r="C19" i="2470"/>
  <c r="H18" i="2470"/>
  <c r="C18" i="2470"/>
  <c r="H17" i="2470"/>
  <c r="C17" i="2470"/>
  <c r="H16" i="2470"/>
  <c r="B16" i="2470"/>
  <c r="B20" i="2470" s="1"/>
  <c r="H15" i="2470"/>
  <c r="C15" i="2470"/>
  <c r="H14" i="2470"/>
  <c r="C14" i="2470"/>
  <c r="H13" i="2470"/>
  <c r="C13" i="2470"/>
  <c r="H12" i="2470"/>
  <c r="C12" i="2470"/>
  <c r="H11" i="2470"/>
  <c r="C11" i="2470"/>
  <c r="H10" i="2470"/>
  <c r="C10" i="2470"/>
  <c r="H9" i="2470"/>
  <c r="C9" i="2470"/>
  <c r="H8" i="2470"/>
  <c r="C8" i="2470"/>
  <c r="N7" i="2470"/>
  <c r="H7" i="2470"/>
  <c r="C7" i="2470"/>
  <c r="N6" i="2470"/>
  <c r="H6" i="2470"/>
  <c r="B6" i="2470"/>
  <c r="N5" i="2470"/>
  <c r="H5" i="2470"/>
  <c r="B5" i="2470"/>
  <c r="N4" i="2470"/>
  <c r="H4" i="2470"/>
  <c r="N3" i="2470"/>
  <c r="H3" i="2470"/>
  <c r="N2" i="2470"/>
  <c r="H2" i="2470"/>
  <c r="H51" i="2469"/>
  <c r="H50" i="2469"/>
  <c r="H49" i="2469"/>
  <c r="H48" i="2469"/>
  <c r="H47" i="2469"/>
  <c r="H24" i="2469"/>
  <c r="H46" i="2469"/>
  <c r="H45" i="2469"/>
  <c r="H44" i="2469"/>
  <c r="H43" i="2469"/>
  <c r="H42" i="2469"/>
  <c r="H41" i="2469"/>
  <c r="H40" i="2469"/>
  <c r="H39" i="2469"/>
  <c r="H38" i="2469"/>
  <c r="H37" i="2469"/>
  <c r="H36" i="2469"/>
  <c r="H35" i="2469"/>
  <c r="H34" i="2469"/>
  <c r="H18" i="2469"/>
  <c r="H23" i="2469"/>
  <c r="H33" i="2469"/>
  <c r="H9" i="2469"/>
  <c r="H32" i="2469"/>
  <c r="H22" i="2469"/>
  <c r="H13" i="2469"/>
  <c r="H21" i="2469"/>
  <c r="H31" i="2469"/>
  <c r="H14" i="2469"/>
  <c r="C23" i="2469"/>
  <c r="H30" i="2469"/>
  <c r="C22" i="2469"/>
  <c r="H15" i="2469"/>
  <c r="B21" i="2469"/>
  <c r="H29" i="2469"/>
  <c r="H28" i="2469"/>
  <c r="C19" i="2469"/>
  <c r="H20" i="2469"/>
  <c r="C18" i="2469"/>
  <c r="H19" i="2469"/>
  <c r="C17" i="2469"/>
  <c r="H17" i="2469"/>
  <c r="B16" i="2469"/>
  <c r="B20" i="2469" s="1"/>
  <c r="H27" i="2469"/>
  <c r="C15" i="2469"/>
  <c r="H26" i="2469"/>
  <c r="C14" i="2469"/>
  <c r="H25" i="2469"/>
  <c r="C13" i="2469"/>
  <c r="H16" i="2469"/>
  <c r="C12" i="2469"/>
  <c r="H5" i="2469"/>
  <c r="C11" i="2469"/>
  <c r="H12" i="2469"/>
  <c r="C10" i="2469"/>
  <c r="H11" i="2469"/>
  <c r="C9" i="2469"/>
  <c r="H8" i="2469"/>
  <c r="C8" i="2469"/>
  <c r="N7" i="2469"/>
  <c r="H6" i="2469"/>
  <c r="C7" i="2469"/>
  <c r="N6" i="2469"/>
  <c r="H2" i="2469"/>
  <c r="B6" i="2469"/>
  <c r="N5" i="2469"/>
  <c r="H7" i="2469"/>
  <c r="B5" i="2469"/>
  <c r="N4" i="2469"/>
  <c r="H3" i="2469"/>
  <c r="N3" i="2469"/>
  <c r="H10" i="2469"/>
  <c r="N2" i="2469"/>
  <c r="H4" i="2469"/>
  <c r="C16" i="2470" l="1"/>
  <c r="C16" i="2471"/>
  <c r="C16" i="2469"/>
  <c r="D5" i="2416" l="1"/>
  <c r="D10" i="2416"/>
  <c r="D51" i="2416"/>
  <c r="D50" i="2416"/>
  <c r="D49" i="2416"/>
  <c r="D48" i="2416"/>
  <c r="D47" i="2416"/>
  <c r="D30" i="2416"/>
  <c r="D46" i="2416"/>
  <c r="D45" i="2416"/>
  <c r="D44" i="2416"/>
  <c r="D43" i="2416"/>
  <c r="D42" i="2416"/>
  <c r="D41" i="2416"/>
  <c r="D40" i="2416"/>
  <c r="D39" i="2416"/>
  <c r="D38" i="2416"/>
  <c r="D37" i="2416"/>
  <c r="D36" i="2416"/>
  <c r="D35" i="2416"/>
  <c r="D29" i="2416"/>
  <c r="D20" i="2416"/>
  <c r="D18" i="2416"/>
  <c r="D34" i="2416"/>
  <c r="D9" i="2416"/>
  <c r="D28" i="2416"/>
  <c r="D23" i="2416"/>
  <c r="D12" i="2416"/>
  <c r="D22" i="2416"/>
  <c r="D21" i="2416"/>
  <c r="D13" i="2416"/>
  <c r="D33" i="2416"/>
  <c r="D16" i="2416"/>
  <c r="D26" i="2416"/>
  <c r="D32" i="2416"/>
  <c r="D17" i="2416"/>
  <c r="D15" i="2416"/>
  <c r="D25" i="2416"/>
  <c r="D31" i="2416"/>
  <c r="D24" i="2416"/>
  <c r="D27" i="2416"/>
  <c r="D19" i="2416"/>
  <c r="D4" i="2416"/>
  <c r="D14" i="2416"/>
  <c r="D11" i="2416"/>
  <c r="D8" i="2416"/>
  <c r="D6" i="2416"/>
  <c r="D2" i="2416"/>
  <c r="D7" i="2416"/>
  <c r="D3" i="2416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C19" i="2228"/>
  <c r="H17" i="2228"/>
  <c r="C18" i="2228"/>
  <c r="H16" i="2228"/>
  <c r="C17" i="2228"/>
  <c r="H15" i="2228"/>
  <c r="C16" i="2228"/>
  <c r="B16" i="2228"/>
  <c r="B20" i="2228" s="1"/>
  <c r="H14" i="2228"/>
  <c r="C15" i="2228"/>
  <c r="H13" i="2228"/>
  <c r="C14" i="2228"/>
  <c r="H12" i="2228"/>
  <c r="C13" i="2228"/>
  <c r="H11" i="2228"/>
  <c r="C12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<sst xmlns="http://schemas.openxmlformats.org/spreadsheetml/2006/main" count="2314" uniqueCount="228">
  <si>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</si>
  <si>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</si>
  <si>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</si>
  <si>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</si>
  <si>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</si>
  <si>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</si>
  <si>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</si>
  <si>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</si>
  <si>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</si>
  <si>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</si>
  <si>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</si>
  <si>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</si>
  <si>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</si>
  <si>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</si>
  <si>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</si>
  <si>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</si>
  <si>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</si>
  <si>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</si>
  <si>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</si>
  <si>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</si>
  <si>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</si>
  <si>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</si>
  <si>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</si>
  <si>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</si>
  <si>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</si>
  <si>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</si>
  <si>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</si>
  <si>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</si>
  <si>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</si>
  <si>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</si>
  <si>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</si>
  <si>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</si>
  <si>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</si>
  <si>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</si>
  <si>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</si>
  <si>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</si>
  <si>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</si>
  <si>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</si>
  <si>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</si>
  <si>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</si>
  <si>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</si>
  <si>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</si>
  <si>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</si>
  <si>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</si>
  <si>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</si>
  <si>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</si>
  <si>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</si>
  <si>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</si>
  <si>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</si>
  <si>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</si>
  <si>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</si>
  <si>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</si>
  <si>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</si>
  <si>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</si>
  <si>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</si>
  <si>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</si>
  <si>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</si>
  <si>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</si>
  <si>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</si>
  <si>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</si>
  <si>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</si>
  <si>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</si>
  <si>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</si>
  <si>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</si>
  <si>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</si>
  <si>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</si>
  <si>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</si>
  <si>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</si>
  <si>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</si>
  <si>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</si>
  <si>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</si>
  <si>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</si>
  <si>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</si>
  <si>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</si>
  <si>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</si>
  <si>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</si>
  <si>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</si>
  <si>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</si>
  <si>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</si>
  <si>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</si>
  <si>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</si>
  <si>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</si>
  <si>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</si>
  <si>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</si>
  <si>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</si>
  <si>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</si>
  <si>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</si>
  <si>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</si>
  <si>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</si>
  <si>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</si>
  <si>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</si>
  <si>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</si>
  <si>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</si>
  <si>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</si>
  <si>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</si>
  <si>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</si>
  <si>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</si>
  <si>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</si>
  <si>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</si>
  <si>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</si>
  <si>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</si>
  <si>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</si>
  <si>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</si>
  <si>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</si>
  <si>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</si>
  <si>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</si>
  <si>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</si>
  <si>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</si>
  <si>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</si>
  <si>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</si>
  <si>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</si>
  <si>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</si>
  <si>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</si>
  <si>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</si>
  <si>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</si>
  <si>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</si>
  <si>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</si>
  <si>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</si>
  <si>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</si>
  <si>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</si>
  <si>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</si>
  <si>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</si>
  <si>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</si>
  <si>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</si>
  <si>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</si>
  <si>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</si>
  <si>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</si>
  <si>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</si>
  <si>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</si>
  <si>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</si>
  <si>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</si>
  <si>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</si>
  <si>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</si>
  <si>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</si>
  <si>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</si>
  <si>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</si>
  <si>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</si>
  <si>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</si>
  <si>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</si>
  <si>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</si>
  <si>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</si>
  <si>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</si>
  <si>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</si>
  <si>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</si>
  <si>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</si>
  <si>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</si>
  <si>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</si>
  <si>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</si>
  <si>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</si>
  <si>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</si>
  <si>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</si>
  <si>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</si>
  <si>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</si>
  <si>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</si>
  <si>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</si>
  <si>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</si>
  <si>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</si>
  <si>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</si>
  <si>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</si>
  <si>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</si>
  <si>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</si>
  <si>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</si>
  <si>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</si>
  <si>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</si>
  <si>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</si>
  <si>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</si>
  <si>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</si>
  <si>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</si>
  <si>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</si>
  <si>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</si>
  <si>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</si>
  <si>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</si>
  <si>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</si>
  <si>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</si>
  <si>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</si>
  <si>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</si>
  <si>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</si>
  <si>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</si>
  <si>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</si>
  <si>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</si>
  <si>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</si>
  <si>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</si>
  <si>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</si>
  <si>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</si>
  <si>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</si>
  <si>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</si>
  <si>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</si>
  <si>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</si>
  <si>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</si>
  <si>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</si>
  <si>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</si>
  <si>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</si>
  <si>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</si>
  <si>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</si>
  <si>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2018-12-21.xlsm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</si>
  <si>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</si>
  <si>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</si>
  <si>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</si>
  <si>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</si>
  <si>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</si>
  <si>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</si>
  <si>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</si>
  <si>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</si>
  <si>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</si>
  <si>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</si>
  <si>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</si>
  <si>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</si>
  <si>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</si>
  <si>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</si>
  <si>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</si>
  <si>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</si>
  <si>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2019-01-06.xlsm</t>
  </si>
  <si>
    <t>2019-01-09.xlsm</t>
  </si>
  <si>
    <t>2019-01-12.xlsm</t>
  </si>
  <si>
    <t>あさひ</t>
  </si>
  <si>
    <t>ともき</t>
    <phoneticPr fontId="1"/>
  </si>
  <si>
    <t>2019-01-13.xlsm</t>
  </si>
  <si>
    <t>あさひ</t>
    <phoneticPr fontId="1"/>
  </si>
  <si>
    <t>がくと</t>
    <phoneticPr fontId="1"/>
  </si>
  <si>
    <t>まっつん</t>
  </si>
  <si>
    <t>まっつん</t>
    <phoneticPr fontId="1"/>
  </si>
  <si>
    <t>2019-01-14.xlsm</t>
  </si>
  <si>
    <t>ツモ</t>
  </si>
  <si>
    <t>国士13面</t>
  </si>
  <si>
    <t>四暗刻単騎</t>
  </si>
  <si>
    <t>純正九蓮</t>
  </si>
  <si>
    <t>01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</si>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</sst>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  <numFmt numFmtId="184" formatCode="yyyy/mm/dd"/>
    <numFmt numFmtId="185" formatCode="yyyy/mm/dd\ hh:mm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2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1" xfId="0" applyNumberForma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23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23" xfId="0" applyNumberForma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80" fontId="0" fillId="0" borderId="34" xfId="0" applyNumberFormat="1" applyBorder="1" applyAlignment="1">
      <alignment horizontal="center" vertical="center" shrinkToFit="1"/>
    </xf>
    <xf numFmtId="180" fontId="0" fillId="0" borderId="35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 shrinkToFit="1"/>
    </xf>
    <xf numFmtId="176" fontId="0" fillId="0" borderId="37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8" fontId="0" fillId="0" borderId="34" xfId="0" applyNumberForma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8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5" fontId="0" fillId="0" borderId="0" xfId="0" applyNumberFormat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だいち!$K$2:$K$120</c:f>
              <c:numCache>
                <c:formatCode>\+0;\-0;\±0</c:formatCode>
                <c:ptCount val="119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F-4C34-BA8F-4CB2200F3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849.12280701754389</c:v>
                </c:pt>
                <c:pt idx="1">
                  <c:v>1728.7037037037037</c:v>
                </c:pt>
                <c:pt idx="2">
                  <c:v>745</c:v>
                </c:pt>
                <c:pt idx="3">
                  <c:v>1301.1363636363637</c:v>
                </c:pt>
                <c:pt idx="4">
                  <c:v>323.94366197183098</c:v>
                </c:pt>
                <c:pt idx="5">
                  <c:v>-440.38461538461536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DF-47E5-A46A-53C164C85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2B-4B2C-9116-005D77922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C8-4AC3-A963-491E87782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ともき!$K$2:$K$4</c:f>
              <c:numCache>
                <c:formatCode>\+0;\-0;\±0</c:formatCode>
                <c:ptCount val="3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25-45A4-B745-D1A262569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-11250</c:v>
                </c:pt>
                <c:pt idx="1">
                  <c:v>0</c:v>
                </c:pt>
                <c:pt idx="2">
                  <c:v>-2000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B9-4232-B7DC-A6555E0D1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りくと!$K$2:$K$84</c:f>
              <c:numCache>
                <c:formatCode>\+0;\-0;\±0</c:formatCode>
                <c:ptCount val="8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1F-4817-AB15-6343A0286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2.5</c:v>
                </c:pt>
                <c:pt idx="1">
                  <c:v>-2002.6315789473683</c:v>
                </c:pt>
                <c:pt idx="2">
                  <c:v>1770.2702702702702</c:v>
                </c:pt>
                <c:pt idx="3">
                  <c:v>-2136.3636363636365</c:v>
                </c:pt>
                <c:pt idx="4">
                  <c:v>-3094.3396226415093</c:v>
                </c:pt>
                <c:pt idx="5">
                  <c:v>-2765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AD-4215-8369-D89866C15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いっしー!$K$2:$K$47</c:f>
              <c:numCache>
                <c:formatCode>\+0;\-0;\±0</c:formatCode>
                <c:ptCount val="4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BC-484A-9AF1-15BD31644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-895.55555555555554</c:v>
                </c:pt>
                <c:pt idx="1">
                  <c:v>3279.0697674418607</c:v>
                </c:pt>
                <c:pt idx="2">
                  <c:v>-307.3170731707317</c:v>
                </c:pt>
                <c:pt idx="3">
                  <c:v>-1417.6470588235295</c:v>
                </c:pt>
                <c:pt idx="4">
                  <c:v>7442.8571428571431</c:v>
                </c:pt>
                <c:pt idx="5">
                  <c:v>122.22222222222223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5-4CD9-AC85-851990796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E2-4C59-BA1A-67FE1F944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BF-4F1D-ABB8-83122E285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たかの!$K$2:$K$42</c:f>
              <c:numCache>
                <c:formatCode>\+0;\-0;\±0</c:formatCode>
                <c:ptCount val="41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  <c:pt idx="36">
                  <c:v>-72.700000000000017</c:v>
                </c:pt>
                <c:pt idx="37">
                  <c:v>-78.300000000000011</c:v>
                </c:pt>
                <c:pt idx="38">
                  <c:v>-105.30000000000001</c:v>
                </c:pt>
                <c:pt idx="39">
                  <c:v>-100.10000000000001</c:v>
                </c:pt>
                <c:pt idx="40">
                  <c:v>-107.80000000000001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4C-411B-AFE5-FE841F1F7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-1707.5</c:v>
                </c:pt>
                <c:pt idx="1">
                  <c:v>-2537.8378378378379</c:v>
                </c:pt>
                <c:pt idx="2">
                  <c:v>-1245.1612903225807</c:v>
                </c:pt>
                <c:pt idx="3">
                  <c:v>3148.2758620689656</c:v>
                </c:pt>
                <c:pt idx="4">
                  <c:v>-986.36363636363637</c:v>
                </c:pt>
                <c:pt idx="5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57-4DC6-AC15-0F513EDAC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ただ!$K$2:$K$51</c:f>
              <c:numCache>
                <c:formatCode>\+0;\-0;\±0</c:formatCode>
                <c:ptCount val="50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  <c:pt idx="45">
                  <c:v>145.39999999999995</c:v>
                </c:pt>
                <c:pt idx="46">
                  <c:v>190.29999999999995</c:v>
                </c:pt>
                <c:pt idx="47">
                  <c:v>200.19999999999996</c:v>
                </c:pt>
                <c:pt idx="48">
                  <c:v>180.19999999999996</c:v>
                </c:pt>
                <c:pt idx="49">
                  <c:v>175.29999999999995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95-474D-BADD-F34480029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3555.3191489361702</c:v>
                </c:pt>
                <c:pt idx="1">
                  <c:v>-572.72727272727275</c:v>
                </c:pt>
                <c:pt idx="2">
                  <c:v>-340</c:v>
                </c:pt>
                <c:pt idx="3">
                  <c:v>-1340.5405405405406</c:v>
                </c:pt>
                <c:pt idx="4">
                  <c:v>1767.8571428571429</c:v>
                </c:pt>
                <c:pt idx="5">
                  <c:v>266.66666666666669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BB-4DD0-BDD5-B9CA77B93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6B-4504-AE23-A384D5944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CD-4B6C-BEE2-CB4C5B955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れんたろう!$K$2:$K$41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D3-45D2-A9EA-4E661BD392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-4862.8571428571431</c:v>
                </c:pt>
                <c:pt idx="1">
                  <c:v>-1665.7142857142858</c:v>
                </c:pt>
                <c:pt idx="2">
                  <c:v>-1182.3529411764705</c:v>
                </c:pt>
                <c:pt idx="3">
                  <c:v>-150</c:v>
                </c:pt>
                <c:pt idx="4">
                  <c:v>-2389.2857142857142</c:v>
                </c:pt>
                <c:pt idx="5">
                  <c:v>4852.6315789473683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61-4591-939A-FD206E5FA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D-4CC4-959C-E568DEDE5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B3-43C3-AFA7-0677A7F92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まっつん!$K$2:$K$6</c:f>
              <c:numCache>
                <c:formatCode>\+0;\-0;\±0</c:formatCode>
                <c:ptCount val="5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38-4B8E-B5E3-474ED9025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425</c:v>
                </c:pt>
                <c:pt idx="1">
                  <c:v>4875</c:v>
                </c:pt>
                <c:pt idx="2">
                  <c:v>-3933.3333333333335</c:v>
                </c:pt>
                <c:pt idx="3">
                  <c:v>7066.666666666667</c:v>
                </c:pt>
                <c:pt idx="4">
                  <c:v>-8250</c:v>
                </c:pt>
                <c:pt idx="5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8A-44EB-B289-404F83B07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5D5E1B8-BB5D-4A99-854F-8E881E1DC2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CF9B76-F1BF-4BA5-81D6-B9E819EF78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BD51E8-3140-40F8-ABCD-644730CA13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14385C-3875-4A2F-B2A1-53FA4E2CAE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8AE3A2B-59B0-469C-AFF2-E7AA1CA982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5348A2C-F25E-4592-929C-7A7DD45DFA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D072C10-4A89-4FC6-9158-80D3260D7A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9BBA399-B04F-491F-82DE-CF2EEAC657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31A83A4-0909-4FC3-9BC4-DC6E55796F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8F4F2AA-34F4-48C9-B736-31961E21CC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87FA4A2-4347-4EDC-9FF1-4D5D8C4213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80B4627-F14A-46BA-93D7-F7FDCBB0FF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122698D-A8F0-4BDE-ACBA-3CA1718AD2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8572878-3A37-4D9D-9C9F-2A6DA96D9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10C3DF8-5B29-4699-8E37-2A33E89D25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456EE07-B54F-4875-8A13-1EB557B47E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E5D8641-7A32-44AC-8163-13E2F826CC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DCB5C55-2481-4536-8F36-7D524AFE0E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91505C8-82A1-4651-BAF1-83C185EF8F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3EE17C4-0095-4A13-AF54-F3CD4D0CF1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3226F2C-4421-4296-8D6B-20F665FEE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FC64B2E-D219-4CD9-A264-7D0D31E126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A26E924-32E7-4204-894B-5ACA24DEF1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69AA0CF-698E-46E8-A0A2-66FAADA185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E13"/>
  <sheetViews>
    <sheetView showGridLines="0" tabSelected="1" zoomScale="200" zoomScaleNormal="200" workbookViewId="0"/>
  </sheetViews>
  <sheetFormatPr defaultColWidth="9" defaultRowHeight="18" x14ac:dyDescent="0.45"/>
  <cols>
    <col min="1" max="1" width="6" style="7" customWidth="1"/>
    <col min="2" max="2" width="10.69921875" style="6" customWidth="1"/>
    <col min="3" max="3" width="10.69921875" style="3" customWidth="1"/>
    <col min="4" max="4" width="10.69921875" style="1" customWidth="1"/>
    <col min="5" max="5" width="10.69921875" style="3" customWidth="1"/>
    <col min="6" max="6" width="10.69921875" style="1" customWidth="1"/>
    <col min="7" max="7" width="10.69921875" style="5" customWidth="1"/>
    <col min="8" max="8" width="10.69921875" style="1" customWidth="1"/>
    <col min="9" max="9" width="10.69921875" style="18" customWidth="1"/>
    <col min="10" max="10" width="10.69921875" style="1" customWidth="1"/>
    <col min="11" max="11" width="10.69921875" style="16" customWidth="1"/>
    <col min="12" max="12" width="10.69921875" style="1" customWidth="1"/>
    <col min="13" max="13" width="10.69921875" style="16" customWidth="1"/>
    <col min="14" max="14" width="10.69921875" style="1" customWidth="1"/>
    <col min="15" max="15" width="10.69921875" style="2" customWidth="1"/>
    <col min="16" max="16" width="10.69921875" style="1" customWidth="1"/>
    <col min="17" max="17" width="10.69921875" style="2" customWidth="1"/>
    <col min="18" max="18" width="10.69921875" style="1" customWidth="1"/>
    <col min="19" max="19" width="10.69921875" style="18" customWidth="1"/>
    <col min="20" max="20" width="10.69921875" style="1" customWidth="1"/>
    <col min="21" max="21" width="10.69921875" style="18" customWidth="1"/>
    <col min="22" max="22" width="10.69921875" style="1" customWidth="1"/>
    <col min="23" max="23" width="10.69921875" style="16" customWidth="1"/>
    <col min="24" max="24" width="10.69921875" style="1" customWidth="1"/>
    <col min="25" max="25" width="10.69921875" style="16" customWidth="1"/>
    <col min="26" max="26" width="10.69921875" style="1" customWidth="1"/>
    <col min="27" max="27" width="10.69921875" style="16" customWidth="1"/>
    <col min="28" max="28" width="10.69921875" style="1" customWidth="1"/>
    <col min="29" max="29" width="10.69921875" style="16" customWidth="1"/>
    <col min="30" max="30" width="10.69921875" style="1" customWidth="1"/>
    <col min="31" max="31" width="10.69921875" style="16" customWidth="1"/>
    <col min="32" max="16384" width="9" style="4"/>
  </cols>
  <sheetData>
    <row r="1" spans="1:31" x14ac:dyDescent="0.45">
      <c r="A1" s="14"/>
      <c r="B1" s="75" t="s">
        <v>6</v>
      </c>
      <c r="C1" s="76"/>
      <c r="D1" s="75" t="s">
        <v>7</v>
      </c>
      <c r="E1" s="76"/>
      <c r="F1" s="75" t="s">
        <v>16</v>
      </c>
      <c r="G1" s="76"/>
      <c r="H1" s="75" t="s">
        <v>15</v>
      </c>
      <c r="I1" s="76"/>
      <c r="J1" s="75" t="s">
        <v>17</v>
      </c>
      <c r="K1" s="76"/>
      <c r="L1" s="75" t="s">
        <v>18</v>
      </c>
      <c r="M1" s="76"/>
      <c r="N1" s="75" t="s">
        <v>5</v>
      </c>
      <c r="O1" s="76"/>
      <c r="P1" s="75" t="s">
        <v>19</v>
      </c>
      <c r="Q1" s="76"/>
      <c r="R1" s="75" t="s">
        <v>20</v>
      </c>
      <c r="S1" s="76"/>
      <c r="T1" s="75" t="s">
        <v>209</v>
      </c>
      <c r="U1" s="76"/>
      <c r="V1" s="75" t="s">
        <v>131</v>
      </c>
      <c r="W1" s="76"/>
      <c r="X1" s="75" t="s">
        <v>126</v>
      </c>
      <c r="Y1" s="76"/>
      <c r="Z1" s="75" t="s">
        <v>134</v>
      </c>
      <c r="AA1" s="76"/>
      <c r="AB1" s="75" t="s">
        <v>135</v>
      </c>
      <c r="AC1" s="76"/>
      <c r="AD1" s="75" t="s">
        <v>197</v>
      </c>
      <c r="AE1" s="76"/>
    </row>
    <row r="2" spans="1:31" x14ac:dyDescent="0.45">
      <c r="A2" s="8">
        <v>1</v>
      </c>
      <c r="B2" s="9" t="s">
        <v>137</v>
      </c>
      <c r="C2" s="11">
        <v>508.60000000000014</v>
      </c>
      <c r="D2" s="10" t="s">
        <v>214</v>
      </c>
      <c r="E2" s="11">
        <v>17.8</v>
      </c>
      <c r="F2" s="10" t="s">
        <v>214</v>
      </c>
      <c r="G2" s="12">
        <v>1.6</v>
      </c>
      <c r="H2" s="10" t="s">
        <v>214</v>
      </c>
      <c r="I2" s="17">
        <v>0.6</v>
      </c>
      <c r="J2" s="10" t="s">
        <v>214</v>
      </c>
      <c r="K2" s="15">
        <v>0.39130434782608697</v>
      </c>
      <c r="L2" s="10" t="s">
        <v>214</v>
      </c>
      <c r="M2" s="15">
        <v>6.5217391304347824E-2</v>
      </c>
      <c r="N2" s="10" t="s">
        <v>160</v>
      </c>
      <c r="O2" s="13">
        <v>11458.974358974359</v>
      </c>
      <c r="P2" s="10" t="s">
        <v>214</v>
      </c>
      <c r="Q2" s="13">
        <v>-5366.666666666667</v>
      </c>
      <c r="R2" s="10" t="s">
        <v>139</v>
      </c>
      <c r="S2" s="17">
        <v>0</v>
      </c>
      <c r="T2" s="10" t="s">
        <v>156</v>
      </c>
      <c r="U2" s="17">
        <v>0.25</v>
      </c>
      <c r="V2" s="10" t="s">
        <v>139</v>
      </c>
      <c r="W2" s="15">
        <v>0.5</v>
      </c>
      <c r="X2" s="10" t="s">
        <v>219</v>
      </c>
      <c r="Y2" s="15">
        <v>0.51724137931034486</v>
      </c>
      <c r="Z2" s="10" t="s">
        <v>145</v>
      </c>
      <c r="AA2" s="15">
        <v>0.75</v>
      </c>
      <c r="AB2" s="10" t="s">
        <v>214</v>
      </c>
      <c r="AC2" s="15">
        <v>0.5</v>
      </c>
      <c r="AD2" s="10" t="s">
        <v>214</v>
      </c>
      <c r="AE2" s="15">
        <v>0.46666666666666667</v>
      </c>
    </row>
    <row r="3" spans="1:31" x14ac:dyDescent="0.45">
      <c r="A3" s="7">
        <v>2</v>
      </c>
      <c r="B3" s="6" t="s">
        <v>142</v>
      </c>
      <c r="C3" s="3">
        <v>248.10000000000002</v>
      </c>
      <c r="D3" s="1" t="s">
        <v>156</v>
      </c>
      <c r="E3" s="3">
        <v>6.7333333333333343</v>
      </c>
      <c r="F3" s="1" t="s">
        <v>156</v>
      </c>
      <c r="G3" s="5">
        <v>1.75</v>
      </c>
      <c r="H3" s="1" t="s">
        <v>156</v>
      </c>
      <c r="I3" s="18">
        <v>0.5</v>
      </c>
      <c r="J3" s="1" t="s">
        <v>137</v>
      </c>
      <c r="K3" s="16">
        <v>0.35370152761457108</v>
      </c>
      <c r="L3" s="1" t="s">
        <v>156</v>
      </c>
      <c r="M3" s="16">
        <v>0.13414634146341464</v>
      </c>
      <c r="N3" s="1" t="s">
        <v>141</v>
      </c>
      <c r="O3" s="2">
        <v>11389.102564102564</v>
      </c>
      <c r="P3" s="1" t="s">
        <v>219</v>
      </c>
      <c r="Q3" s="2">
        <v>-7416.666666666667</v>
      </c>
      <c r="R3" s="1" t="s">
        <v>214</v>
      </c>
      <c r="S3" s="18">
        <v>0</v>
      </c>
      <c r="T3" s="1" t="s">
        <v>137</v>
      </c>
      <c r="U3" s="18">
        <v>0.22033898305084745</v>
      </c>
      <c r="V3" s="1" t="s">
        <v>214</v>
      </c>
      <c r="W3" s="16">
        <v>0.43478260869565216</v>
      </c>
      <c r="X3" s="1" t="s">
        <v>142</v>
      </c>
      <c r="Y3" s="16">
        <v>0.35443037974683544</v>
      </c>
      <c r="Z3" s="1" t="s">
        <v>137</v>
      </c>
      <c r="AA3" s="16">
        <v>0.7142857142857143</v>
      </c>
      <c r="AB3" s="1" t="s">
        <v>219</v>
      </c>
      <c r="AC3" s="16">
        <v>0.46666666666666667</v>
      </c>
      <c r="AD3" s="1" t="s">
        <v>145</v>
      </c>
      <c r="AE3" s="16">
        <v>0.46153846153846156</v>
      </c>
    </row>
    <row r="4" spans="1:31" x14ac:dyDescent="0.45">
      <c r="A4" s="7">
        <v>3</v>
      </c>
      <c r="B4" s="6" t="s">
        <v>149</v>
      </c>
      <c r="C4" s="3">
        <v>175.29999999999995</v>
      </c>
      <c r="D4" s="1" t="s">
        <v>142</v>
      </c>
      <c r="E4" s="3">
        <v>5.5133333333333336</v>
      </c>
      <c r="F4" s="1" t="s">
        <v>137</v>
      </c>
      <c r="G4" s="5">
        <v>1.8559322033898304</v>
      </c>
      <c r="H4" s="1" t="s">
        <v>137</v>
      </c>
      <c r="I4" s="18">
        <v>0.38983050847457629</v>
      </c>
      <c r="J4" s="1" t="s">
        <v>142</v>
      </c>
      <c r="K4" s="16">
        <v>0.35015772870662459</v>
      </c>
      <c r="L4" s="1" t="s">
        <v>142</v>
      </c>
      <c r="M4" s="16">
        <v>0.15457413249211358</v>
      </c>
      <c r="N4" s="1" t="s">
        <v>156</v>
      </c>
      <c r="O4" s="2">
        <v>10857.142857142857</v>
      </c>
      <c r="P4" s="1" t="s">
        <v>148</v>
      </c>
      <c r="Q4" s="2">
        <v>-8024.5901639344265</v>
      </c>
      <c r="R4" s="1" t="s">
        <v>142</v>
      </c>
      <c r="S4" s="18">
        <v>0.1111111111111111</v>
      </c>
      <c r="T4" s="1" t="s">
        <v>149</v>
      </c>
      <c r="U4" s="18">
        <v>0.20408163265306123</v>
      </c>
      <c r="V4" s="1" t="s">
        <v>149</v>
      </c>
      <c r="W4" s="16">
        <v>0.34728033472803349</v>
      </c>
      <c r="X4" s="1" t="s">
        <v>148</v>
      </c>
      <c r="Y4" s="16">
        <v>0.31666666666666665</v>
      </c>
      <c r="Z4" s="1" t="s">
        <v>149</v>
      </c>
      <c r="AA4" s="16">
        <v>0.61445783132530118</v>
      </c>
      <c r="AB4" s="1" t="s">
        <v>137</v>
      </c>
      <c r="AC4" s="16">
        <v>0.4567901234567901</v>
      </c>
      <c r="AD4" s="1" t="s">
        <v>156</v>
      </c>
      <c r="AE4" s="16">
        <v>0.45454545454545453</v>
      </c>
    </row>
    <row r="5" spans="1:31" x14ac:dyDescent="0.45">
      <c r="A5" s="7">
        <v>4</v>
      </c>
      <c r="B5" s="6" t="s">
        <v>214</v>
      </c>
      <c r="C5" s="3">
        <v>89</v>
      </c>
      <c r="D5" s="1" t="s">
        <v>137</v>
      </c>
      <c r="E5" s="3">
        <v>4.3101694915254249</v>
      </c>
      <c r="F5" s="1" t="s">
        <v>142</v>
      </c>
      <c r="G5" s="5">
        <v>1.8666666666666667</v>
      </c>
      <c r="H5" s="1" t="s">
        <v>149</v>
      </c>
      <c r="I5" s="18">
        <v>0.38775510204081631</v>
      </c>
      <c r="J5" s="1" t="s">
        <v>156</v>
      </c>
      <c r="K5" s="16">
        <v>0.34146341463414637</v>
      </c>
      <c r="L5" s="1" t="s">
        <v>137</v>
      </c>
      <c r="M5" s="16">
        <v>0.15746180963572268</v>
      </c>
      <c r="N5" s="1" t="s">
        <v>149</v>
      </c>
      <c r="O5" s="2">
        <v>10842.857142857143</v>
      </c>
      <c r="P5" s="1" t="s">
        <v>138</v>
      </c>
      <c r="Q5" s="2">
        <v>-8240</v>
      </c>
      <c r="R5" s="1" t="s">
        <v>137</v>
      </c>
      <c r="S5" s="18">
        <v>0.1271186440677966</v>
      </c>
      <c r="T5" s="1" t="s">
        <v>142</v>
      </c>
      <c r="U5" s="18">
        <v>0.2</v>
      </c>
      <c r="V5" s="1" t="s">
        <v>137</v>
      </c>
      <c r="W5" s="16">
        <v>0.28865979381443296</v>
      </c>
      <c r="X5" s="1" t="s">
        <v>149</v>
      </c>
      <c r="Y5" s="16">
        <v>0.2384937238493724</v>
      </c>
      <c r="Z5" s="1" t="s">
        <v>160</v>
      </c>
      <c r="AA5" s="16">
        <v>0.6</v>
      </c>
      <c r="AB5" s="1" t="s">
        <v>148</v>
      </c>
      <c r="AC5" s="16">
        <v>0.42105263157894735</v>
      </c>
      <c r="AD5" s="1" t="s">
        <v>137</v>
      </c>
      <c r="AE5" s="16">
        <v>0.41528239202657807</v>
      </c>
    </row>
    <row r="6" spans="1:31" x14ac:dyDescent="0.45">
      <c r="A6" s="7">
        <v>5</v>
      </c>
      <c r="B6" s="6" t="s">
        <v>156</v>
      </c>
      <c r="C6" s="3">
        <v>80.800000000000011</v>
      </c>
      <c r="D6" s="1" t="s">
        <v>149</v>
      </c>
      <c r="E6" s="3">
        <v>3.5775510204081624</v>
      </c>
      <c r="F6" s="1" t="s">
        <v>149</v>
      </c>
      <c r="G6" s="5">
        <v>1.9183673469387754</v>
      </c>
      <c r="H6" s="1" t="s">
        <v>142</v>
      </c>
      <c r="I6" s="18">
        <v>0.35555555555555557</v>
      </c>
      <c r="J6" s="1" t="s">
        <v>149</v>
      </c>
      <c r="K6" s="16">
        <v>0.31989247311827956</v>
      </c>
      <c r="L6" s="1" t="s">
        <v>149</v>
      </c>
      <c r="M6" s="16">
        <v>0.16129032258064516</v>
      </c>
      <c r="N6" s="1" t="s">
        <v>219</v>
      </c>
      <c r="O6" s="2">
        <v>10237.5</v>
      </c>
      <c r="P6" s="1" t="s">
        <v>142</v>
      </c>
      <c r="Q6" s="2">
        <v>-9134.6938775510207</v>
      </c>
      <c r="R6" s="1" t="s">
        <v>148</v>
      </c>
      <c r="S6" s="18">
        <v>0.15</v>
      </c>
      <c r="T6" s="1" t="s">
        <v>145</v>
      </c>
      <c r="U6" s="18">
        <v>0.2</v>
      </c>
      <c r="V6" s="1" t="s">
        <v>141</v>
      </c>
      <c r="W6" s="16">
        <v>0.28732394366197184</v>
      </c>
      <c r="X6" s="1" t="s">
        <v>137</v>
      </c>
      <c r="Y6" s="16">
        <v>0.20876288659793815</v>
      </c>
      <c r="Z6" s="1" t="s">
        <v>214</v>
      </c>
      <c r="AA6" s="16">
        <v>0.6</v>
      </c>
      <c r="AB6" s="1" t="s">
        <v>149</v>
      </c>
      <c r="AC6" s="16">
        <v>0.40350877192982454</v>
      </c>
      <c r="AD6" s="1" t="s">
        <v>149</v>
      </c>
      <c r="AE6" s="16">
        <v>0.40875912408759124</v>
      </c>
    </row>
    <row r="7" spans="1:31" x14ac:dyDescent="0.45">
      <c r="A7" s="7">
        <v>6</v>
      </c>
      <c r="B7" s="6" t="s">
        <v>219</v>
      </c>
      <c r="C7" s="3">
        <v>5.1000000000000014</v>
      </c>
      <c r="D7" s="1" t="s">
        <v>219</v>
      </c>
      <c r="E7" s="3">
        <v>1.2750000000000004</v>
      </c>
      <c r="F7" s="1" t="s">
        <v>148</v>
      </c>
      <c r="G7" s="5">
        <v>2.1</v>
      </c>
      <c r="H7" s="1" t="s">
        <v>141</v>
      </c>
      <c r="I7" s="18">
        <v>0.29268292682926828</v>
      </c>
      <c r="J7" s="1" t="s">
        <v>139</v>
      </c>
      <c r="K7" s="16">
        <v>0.2857142857142857</v>
      </c>
      <c r="L7" s="1" t="s">
        <v>148</v>
      </c>
      <c r="M7" s="16">
        <v>0.1986970684039088</v>
      </c>
      <c r="N7" s="1" t="s">
        <v>148</v>
      </c>
      <c r="O7" s="2">
        <v>9869.7674418604656</v>
      </c>
      <c r="P7" s="1" t="s">
        <v>137</v>
      </c>
      <c r="Q7" s="2">
        <v>-9832.0895522388055</v>
      </c>
      <c r="R7" s="1" t="s">
        <v>149</v>
      </c>
      <c r="S7" s="18">
        <v>0.16326530612244897</v>
      </c>
      <c r="T7" s="1" t="s">
        <v>214</v>
      </c>
      <c r="U7" s="18">
        <v>0.2</v>
      </c>
      <c r="V7" s="1" t="s">
        <v>160</v>
      </c>
      <c r="W7" s="16">
        <v>0.2734375</v>
      </c>
      <c r="X7" s="1" t="s">
        <v>160</v>
      </c>
      <c r="Y7" s="16">
        <v>0.20703125</v>
      </c>
      <c r="Z7" s="1" t="s">
        <v>142</v>
      </c>
      <c r="AA7" s="16">
        <v>0.5625</v>
      </c>
      <c r="AB7" s="1" t="s">
        <v>141</v>
      </c>
      <c r="AC7" s="16">
        <v>0.38095238095238093</v>
      </c>
      <c r="AD7" s="1" t="s">
        <v>148</v>
      </c>
      <c r="AE7" s="16">
        <v>0.40697674418604651</v>
      </c>
    </row>
    <row r="8" spans="1:31" x14ac:dyDescent="0.45">
      <c r="A8" s="7">
        <v>7</v>
      </c>
      <c r="B8" s="6" t="s">
        <v>139</v>
      </c>
      <c r="C8" s="3">
        <v>-24.5</v>
      </c>
      <c r="D8" s="1" t="s">
        <v>148</v>
      </c>
      <c r="E8" s="3">
        <v>-2.6950000000000003</v>
      </c>
      <c r="F8" s="1" t="s">
        <v>141</v>
      </c>
      <c r="G8" s="5">
        <v>2.1341463414634148</v>
      </c>
      <c r="H8" s="1" t="s">
        <v>160</v>
      </c>
      <c r="I8" s="18">
        <v>0.25641025641025639</v>
      </c>
      <c r="J8" s="1" t="s">
        <v>148</v>
      </c>
      <c r="K8" s="16">
        <v>0.28013029315960913</v>
      </c>
      <c r="L8" s="1" t="s">
        <v>141</v>
      </c>
      <c r="M8" s="16">
        <v>0.19967532467532467</v>
      </c>
      <c r="N8" s="1" t="s">
        <v>137</v>
      </c>
      <c r="O8" s="2">
        <v>9852.8239202657805</v>
      </c>
      <c r="P8" s="1" t="s">
        <v>149</v>
      </c>
      <c r="Q8" s="2">
        <v>-9886.6666666666661</v>
      </c>
      <c r="R8" s="1" t="s">
        <v>141</v>
      </c>
      <c r="S8" s="18">
        <v>0.24390243902439024</v>
      </c>
      <c r="T8" s="1" t="s">
        <v>148</v>
      </c>
      <c r="U8" s="18">
        <v>0.17499999999999999</v>
      </c>
      <c r="V8" s="1" t="s">
        <v>145</v>
      </c>
      <c r="W8" s="16">
        <v>0.25806451612903225</v>
      </c>
      <c r="X8" s="1" t="s">
        <v>141</v>
      </c>
      <c r="Y8" s="16">
        <v>0.17746478873239438</v>
      </c>
      <c r="Z8" s="1" t="s">
        <v>141</v>
      </c>
      <c r="AA8" s="16">
        <v>0.5490196078431373</v>
      </c>
      <c r="AB8" s="1" t="s">
        <v>142</v>
      </c>
      <c r="AC8" s="16">
        <v>0.35714285714285715</v>
      </c>
      <c r="AD8" s="1" t="s">
        <v>142</v>
      </c>
      <c r="AE8" s="16">
        <v>0.35652173913043478</v>
      </c>
    </row>
    <row r="9" spans="1:31" x14ac:dyDescent="0.45">
      <c r="A9" s="7">
        <v>8</v>
      </c>
      <c r="B9" s="6" t="s">
        <v>145</v>
      </c>
      <c r="C9" s="3">
        <v>-86.4</v>
      </c>
      <c r="D9" s="1" t="s">
        <v>141</v>
      </c>
      <c r="E9" s="3">
        <v>-4.8609756097560961</v>
      </c>
      <c r="F9" s="1" t="s">
        <v>145</v>
      </c>
      <c r="G9" s="5">
        <v>2.2000000000000002</v>
      </c>
      <c r="H9" s="1" t="s">
        <v>148</v>
      </c>
      <c r="I9" s="18">
        <v>0.25</v>
      </c>
      <c r="J9" s="1" t="s">
        <v>219</v>
      </c>
      <c r="K9" s="16">
        <v>0.27586206896551724</v>
      </c>
      <c r="L9" s="1" t="s">
        <v>219</v>
      </c>
      <c r="M9" s="16">
        <v>0.20689655172413793</v>
      </c>
      <c r="N9" s="1" t="s">
        <v>142</v>
      </c>
      <c r="O9" s="2">
        <v>9851.3513513513517</v>
      </c>
      <c r="P9" s="1" t="s">
        <v>156</v>
      </c>
      <c r="Q9" s="2">
        <v>-9927.2727272727279</v>
      </c>
      <c r="R9" s="1" t="s">
        <v>156</v>
      </c>
      <c r="S9" s="18">
        <v>0.25</v>
      </c>
      <c r="T9" s="1" t="s">
        <v>141</v>
      </c>
      <c r="U9" s="18">
        <v>0.14634146341463414</v>
      </c>
      <c r="V9" s="1" t="s">
        <v>148</v>
      </c>
      <c r="W9" s="16">
        <v>0.21666666666666667</v>
      </c>
      <c r="X9" s="1" t="s">
        <v>145</v>
      </c>
      <c r="Y9" s="16">
        <v>0.16129032258064516</v>
      </c>
      <c r="Z9" s="1" t="s">
        <v>219</v>
      </c>
      <c r="AA9" s="16">
        <v>0.5</v>
      </c>
      <c r="AB9" s="1" t="s">
        <v>160</v>
      </c>
      <c r="AC9" s="16">
        <v>0.33962264150943394</v>
      </c>
      <c r="AD9" s="1" t="s">
        <v>160</v>
      </c>
      <c r="AE9" s="16">
        <v>0.31818181818181818</v>
      </c>
    </row>
    <row r="10" spans="1:31" x14ac:dyDescent="0.45">
      <c r="A10" s="7">
        <v>9</v>
      </c>
      <c r="B10" s="6" t="s">
        <v>148</v>
      </c>
      <c r="C10" s="3">
        <v>-107.80000000000001</v>
      </c>
      <c r="D10" s="1" t="s">
        <v>160</v>
      </c>
      <c r="E10" s="3">
        <v>-9.2435897435897409</v>
      </c>
      <c r="F10" s="1" t="s">
        <v>219</v>
      </c>
      <c r="G10" s="5">
        <v>2.25</v>
      </c>
      <c r="H10" s="1" t="s">
        <v>145</v>
      </c>
      <c r="I10" s="18">
        <v>0.2</v>
      </c>
      <c r="J10" s="1" t="s">
        <v>145</v>
      </c>
      <c r="K10" s="16">
        <v>0.27027027027027029</v>
      </c>
      <c r="L10" s="1" t="s">
        <v>145</v>
      </c>
      <c r="M10" s="16">
        <v>0.21621621621621623</v>
      </c>
      <c r="N10" s="1" t="s">
        <v>214</v>
      </c>
      <c r="O10" s="2">
        <v>9227.7777777777774</v>
      </c>
      <c r="P10" s="1" t="s">
        <v>160</v>
      </c>
      <c r="Q10" s="2">
        <v>-9995.8904109589039</v>
      </c>
      <c r="R10" s="1" t="s">
        <v>219</v>
      </c>
      <c r="S10" s="18">
        <v>0.25</v>
      </c>
      <c r="T10" s="1" t="s">
        <v>160</v>
      </c>
      <c r="U10" s="18">
        <v>0.10256410256410256</v>
      </c>
      <c r="V10" s="1" t="s">
        <v>142</v>
      </c>
      <c r="W10" s="16">
        <v>0.20253164556962025</v>
      </c>
      <c r="X10" s="1" t="s">
        <v>214</v>
      </c>
      <c r="Y10" s="16">
        <v>0.13043478260869565</v>
      </c>
      <c r="Z10" s="1" t="s">
        <v>148</v>
      </c>
      <c r="AA10" s="16">
        <v>0.38461538461538464</v>
      </c>
      <c r="AB10" s="1" t="s">
        <v>145</v>
      </c>
      <c r="AC10" s="16">
        <v>0.2</v>
      </c>
      <c r="AD10" s="1" t="s">
        <v>141</v>
      </c>
      <c r="AE10" s="16">
        <v>0.30729166666666669</v>
      </c>
    </row>
    <row r="11" spans="1:31" x14ac:dyDescent="0.45">
      <c r="A11" s="7">
        <v>10</v>
      </c>
      <c r="B11" s="6" t="s">
        <v>138</v>
      </c>
      <c r="C11" s="3">
        <v>-132.1</v>
      </c>
      <c r="D11" s="1" t="s">
        <v>139</v>
      </c>
      <c r="E11" s="3">
        <v>-12.25</v>
      </c>
      <c r="F11" s="1" t="s">
        <v>160</v>
      </c>
      <c r="G11" s="5">
        <v>2.2564102564102564</v>
      </c>
      <c r="H11" s="1" t="s">
        <v>138</v>
      </c>
      <c r="I11" s="18">
        <v>0</v>
      </c>
      <c r="J11" s="1" t="s">
        <v>160</v>
      </c>
      <c r="K11" s="16">
        <v>0.26621160409556316</v>
      </c>
      <c r="L11" s="1" t="s">
        <v>160</v>
      </c>
      <c r="M11" s="16">
        <v>0.24914675767918087</v>
      </c>
      <c r="N11" s="1" t="s">
        <v>139</v>
      </c>
      <c r="O11" s="2">
        <v>8000</v>
      </c>
      <c r="P11" s="1" t="s">
        <v>141</v>
      </c>
      <c r="Q11" s="2">
        <v>-10410.569105691056</v>
      </c>
      <c r="R11" s="1" t="s">
        <v>160</v>
      </c>
      <c r="S11" s="18">
        <v>0.28205128205128205</v>
      </c>
      <c r="T11" s="1" t="s">
        <v>138</v>
      </c>
      <c r="U11" s="18">
        <v>0</v>
      </c>
      <c r="V11" s="1" t="s">
        <v>219</v>
      </c>
      <c r="W11" s="16">
        <v>6.8965517241379309E-2</v>
      </c>
      <c r="X11" s="1" t="s">
        <v>138</v>
      </c>
      <c r="Y11" s="16">
        <v>0</v>
      </c>
      <c r="Z11" s="1" t="s">
        <v>138</v>
      </c>
      <c r="AA11" s="16">
        <v>0</v>
      </c>
      <c r="AB11" s="1" t="s">
        <v>138</v>
      </c>
      <c r="AC11" s="16">
        <v>0</v>
      </c>
      <c r="AD11" s="1" t="s">
        <v>219</v>
      </c>
      <c r="AE11" s="16">
        <v>0.16666666666666666</v>
      </c>
    </row>
    <row r="12" spans="1:31" x14ac:dyDescent="0.45">
      <c r="A12" s="7">
        <v>11</v>
      </c>
      <c r="B12" s="6" t="s">
        <v>160</v>
      </c>
      <c r="C12" s="3">
        <v>-360.49999999999989</v>
      </c>
      <c r="D12" s="1" t="s">
        <v>145</v>
      </c>
      <c r="E12" s="3">
        <v>-17.28</v>
      </c>
      <c r="F12" s="1" t="s">
        <v>139</v>
      </c>
      <c r="G12" s="5">
        <v>2.5</v>
      </c>
      <c r="H12" s="1" t="s">
        <v>139</v>
      </c>
      <c r="I12" s="18">
        <v>0</v>
      </c>
      <c r="J12" s="1" t="s">
        <v>141</v>
      </c>
      <c r="K12" s="16">
        <v>0.25324675324675322</v>
      </c>
      <c r="L12" s="1" t="s">
        <v>139</v>
      </c>
      <c r="M12" s="16">
        <v>0.2857142857142857</v>
      </c>
      <c r="N12" s="1" t="s">
        <v>138</v>
      </c>
      <c r="O12" s="2">
        <v>7800</v>
      </c>
      <c r="P12" s="1" t="s">
        <v>139</v>
      </c>
      <c r="Q12" s="2">
        <v>-12000</v>
      </c>
      <c r="R12" s="1" t="s">
        <v>145</v>
      </c>
      <c r="S12" s="18">
        <v>0.4</v>
      </c>
      <c r="T12" s="1" t="s">
        <v>139</v>
      </c>
      <c r="U12" s="18">
        <v>0</v>
      </c>
      <c r="V12" s="1" t="s">
        <v>138</v>
      </c>
      <c r="W12" s="16">
        <v>0</v>
      </c>
      <c r="X12" s="1" t="s">
        <v>139</v>
      </c>
      <c r="Y12" s="16">
        <v>0</v>
      </c>
      <c r="Z12" s="1" t="s">
        <v>139</v>
      </c>
      <c r="AA12" s="16">
        <v>0</v>
      </c>
      <c r="AB12" s="1" t="s">
        <v>139</v>
      </c>
      <c r="AC12" s="16">
        <v>0</v>
      </c>
      <c r="AD12" s="1" t="s">
        <v>138</v>
      </c>
      <c r="AE12" s="16">
        <v>0</v>
      </c>
    </row>
    <row r="13" spans="1:31" x14ac:dyDescent="0.45">
      <c r="A13" s="7">
        <v>12</v>
      </c>
      <c r="B13" s="6" t="s">
        <v>141</v>
      </c>
      <c r="C13" s="3">
        <v>-398.59999999999991</v>
      </c>
      <c r="D13" s="1" t="s">
        <v>138</v>
      </c>
      <c r="E13" s="3">
        <v>-33.024999999999999</v>
      </c>
      <c r="F13" s="1" t="s">
        <v>138</v>
      </c>
      <c r="G13" s="5">
        <v>3</v>
      </c>
      <c r="H13" s="1" t="s">
        <v>219</v>
      </c>
      <c r="I13" s="18">
        <v>0</v>
      </c>
      <c r="J13" s="1" t="s">
        <v>138</v>
      </c>
      <c r="K13" s="16">
        <v>0.04</v>
      </c>
      <c r="L13" s="1" t="s">
        <v>138</v>
      </c>
      <c r="M13" s="16">
        <v>0.4</v>
      </c>
      <c r="N13" s="1" t="s">
        <v>145</v>
      </c>
      <c r="O13" s="2">
        <v>7100</v>
      </c>
      <c r="P13" s="1" t="s">
        <v>145</v>
      </c>
      <c r="Q13" s="2">
        <v>-12487.5</v>
      </c>
      <c r="R13" s="1" t="s">
        <v>138</v>
      </c>
      <c r="S13" s="18">
        <v>0.5</v>
      </c>
      <c r="T13" s="1" t="s">
        <v>219</v>
      </c>
      <c r="U13" s="18">
        <v>0</v>
      </c>
      <c r="V13" s="1" t="s">
        <v>156</v>
      </c>
      <c r="W13" s="16">
        <v>0</v>
      </c>
      <c r="X13" s="1" t="s">
        <v>156</v>
      </c>
      <c r="Y13" s="16">
        <v>0</v>
      </c>
      <c r="Z13" s="1" t="s">
        <v>156</v>
      </c>
      <c r="AA13" s="16">
        <v>0</v>
      </c>
      <c r="AB13" s="1" t="s">
        <v>156</v>
      </c>
      <c r="AC13" s="16">
        <v>0</v>
      </c>
      <c r="AD13" s="1" t="s">
        <v>139</v>
      </c>
      <c r="AE13" s="16">
        <v>0</v>
      </c>
    </row>
  </sheetData>
  <sortState ref="AD2:AE27">
    <sortCondition descending="1" ref="AE1"/>
  </sortState>
  <mergeCells count="15">
    <mergeCell ref="AD1:AE1"/>
    <mergeCell ref="AB1:AC1"/>
    <mergeCell ref="D1:E1"/>
    <mergeCell ref="B1:C1"/>
    <mergeCell ref="P1:Q1"/>
    <mergeCell ref="N1:O1"/>
    <mergeCell ref="L1:M1"/>
    <mergeCell ref="J1:K1"/>
    <mergeCell ref="R1:S1"/>
    <mergeCell ref="H1:I1"/>
    <mergeCell ref="F1:G1"/>
    <mergeCell ref="V1:W1"/>
    <mergeCell ref="X1:Y1"/>
    <mergeCell ref="Z1:AA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EC80F-68BC-41C5-981C-2B566112A171}">
  <sheetPr codeName="Sheet16"/>
  <dimension ref="A1:G51"/>
  <sheetViews>
    <sheetView showGridLines="0" zoomScale="120" zoomScaleNormal="120" workbookViewId="0"/>
  </sheetViews>
  <sheetFormatPr defaultColWidth="9" defaultRowHeight="18" x14ac:dyDescent="0.45"/>
  <cols>
    <col min="1" max="1" width="3.5" style="33" bestFit="1" customWidth="1"/>
    <col min="2" max="2" width="11" style="34" bestFit="1" customWidth="1"/>
    <col min="3" max="4" width="9" style="19" customWidth="1"/>
    <col min="5" max="5" width="3.5" style="19" customWidth="1"/>
    <col min="6" max="6" width="13" style="19" customWidth="1"/>
    <col min="7" max="16384" width="9" style="19"/>
  </cols>
  <sheetData>
    <row r="1" spans="1:7" x14ac:dyDescent="0.45">
      <c r="A1" s="66" t="s">
        <v>210</v>
      </c>
      <c r="B1" s="71" t="s">
        <v>122</v>
      </c>
      <c r="C1" s="70" t="s">
        <v>123</v>
      </c>
      <c r="D1" s="71" t="s">
        <v>124</v>
      </c>
      <c r="F1" s="56" t="s">
        <v>129</v>
      </c>
      <c r="G1" s="74">
        <v>1597</v>
      </c>
    </row>
    <row r="2" spans="1:7" x14ac:dyDescent="0.45">
      <c r="A2" s="67" t="s">
        <v>73</v>
      </c>
      <c r="B2" s="63" t="s">
        <v>27</v>
      </c>
      <c r="C2" s="49">
        <v>423</v>
      </c>
      <c r="D2" s="24">
        <f>IF(G$1=0,0,C2/G$1)</f>
        <v>0.26487163431433941</v>
      </c>
    </row>
    <row r="3" spans="1:7" x14ac:dyDescent="0.45">
      <c r="A3" s="68" t="s">
        <v>71</v>
      </c>
      <c r="B3" s="64" t="s">
        <v>25</v>
      </c>
      <c r="C3" s="50">
        <v>319</v>
      </c>
      <c r="D3" s="27">
        <f>IF(G$1=0,0,C3/G$1)</f>
        <v>0.19974953036944271</v>
      </c>
    </row>
    <row r="4" spans="1:7" x14ac:dyDescent="0.45">
      <c r="A4" s="68" t="s">
        <v>78</v>
      </c>
      <c r="B4" s="64" t="s">
        <v>31</v>
      </c>
      <c r="C4" s="50">
        <v>292</v>
      </c>
      <c r="D4" s="27">
        <f>IF(G$1=0,0,C4/G$1)</f>
        <v>0.1828428303068253</v>
      </c>
    </row>
    <row r="5" spans="1:7" x14ac:dyDescent="0.45">
      <c r="A5" s="68" t="s">
        <v>226</v>
      </c>
      <c r="B5" s="64" t="s">
        <v>23</v>
      </c>
      <c r="C5" s="50">
        <v>262</v>
      </c>
      <c r="D5" s="27">
        <f>IF(G$1=0,0,C5/G$1)</f>
        <v>0.16405760801502817</v>
      </c>
    </row>
    <row r="6" spans="1:7" x14ac:dyDescent="0.45">
      <c r="A6" s="68" t="s">
        <v>74</v>
      </c>
      <c r="B6" s="64" t="s">
        <v>222</v>
      </c>
      <c r="C6" s="50">
        <v>133</v>
      </c>
      <c r="D6" s="27">
        <f>IF(G$1=0,0,C6/G$1)</f>
        <v>8.3281152160300562E-2</v>
      </c>
    </row>
    <row r="7" spans="1:7" x14ac:dyDescent="0.45">
      <c r="A7" s="68" t="s">
        <v>72</v>
      </c>
      <c r="B7" s="64" t="s">
        <v>26</v>
      </c>
      <c r="C7" s="50">
        <v>132</v>
      </c>
      <c r="D7" s="27">
        <f>IF(G$1=0,0,C7/G$1)</f>
        <v>8.2654978083907329E-2</v>
      </c>
    </row>
    <row r="8" spans="1:7" x14ac:dyDescent="0.45">
      <c r="A8" s="68" t="s">
        <v>75</v>
      </c>
      <c r="B8" s="64" t="s">
        <v>28</v>
      </c>
      <c r="C8" s="50">
        <v>73</v>
      </c>
      <c r="D8" s="27">
        <f>IF(G$1=0,0,C8/G$1)</f>
        <v>4.5710707576706325E-2</v>
      </c>
    </row>
    <row r="9" spans="1:7" x14ac:dyDescent="0.45">
      <c r="A9" s="68" t="s">
        <v>96</v>
      </c>
      <c r="B9" s="64" t="s">
        <v>49</v>
      </c>
      <c r="C9" s="50">
        <v>70</v>
      </c>
      <c r="D9" s="27">
        <f>IF(G$1=0,0,C9/G$1)</f>
        <v>4.3832185347526614E-2</v>
      </c>
    </row>
    <row r="10" spans="1:7" x14ac:dyDescent="0.45">
      <c r="A10" s="68" t="s">
        <v>227</v>
      </c>
      <c r="B10" s="64" t="s">
        <v>24</v>
      </c>
      <c r="C10" s="50">
        <v>54</v>
      </c>
      <c r="D10" s="27">
        <f>IF(G$1=0,0,C10/G$1)</f>
        <v>3.3813400125234816E-2</v>
      </c>
    </row>
    <row r="11" spans="1:7" x14ac:dyDescent="0.45">
      <c r="A11" s="68" t="s">
        <v>76</v>
      </c>
      <c r="B11" s="64" t="s">
        <v>29</v>
      </c>
      <c r="C11" s="50">
        <v>46</v>
      </c>
      <c r="D11" s="27">
        <f>IF(G$1=0,0,C11/G$1)</f>
        <v>2.8804007514088917E-2</v>
      </c>
    </row>
    <row r="12" spans="1:7" x14ac:dyDescent="0.45">
      <c r="A12" s="68" t="s">
        <v>93</v>
      </c>
      <c r="B12" s="64" t="s">
        <v>46</v>
      </c>
      <c r="C12" s="50">
        <v>36</v>
      </c>
      <c r="D12" s="27">
        <f>IF(G$1=0,0,C12/G$1)</f>
        <v>2.2542266750156543E-2</v>
      </c>
    </row>
    <row r="13" spans="1:7" x14ac:dyDescent="0.45">
      <c r="A13" s="68" t="s">
        <v>90</v>
      </c>
      <c r="B13" s="64" t="s">
        <v>43</v>
      </c>
      <c r="C13" s="50">
        <v>26</v>
      </c>
      <c r="D13" s="27">
        <f>IF(G$1=0,0,C13/G$1)</f>
        <v>1.6280525986224169E-2</v>
      </c>
    </row>
    <row r="14" spans="1:7" x14ac:dyDescent="0.45">
      <c r="A14" s="68" t="s">
        <v>77</v>
      </c>
      <c r="B14" s="64" t="s">
        <v>30</v>
      </c>
      <c r="C14" s="50">
        <v>23</v>
      </c>
      <c r="D14" s="27">
        <f>IF(G$1=0,0,C14/G$1)</f>
        <v>1.4402003757044458E-2</v>
      </c>
    </row>
    <row r="15" spans="1:7" x14ac:dyDescent="0.45">
      <c r="A15" s="68" t="s">
        <v>84</v>
      </c>
      <c r="B15" s="64" t="s">
        <v>37</v>
      </c>
      <c r="C15" s="50">
        <v>15</v>
      </c>
      <c r="D15" s="27">
        <f>IF(G$1=0,0,C15/G$1)</f>
        <v>9.3926111458985592E-3</v>
      </c>
    </row>
    <row r="16" spans="1:7" x14ac:dyDescent="0.45">
      <c r="A16" s="68" t="s">
        <v>88</v>
      </c>
      <c r="B16" s="64" t="s">
        <v>41</v>
      </c>
      <c r="C16" s="50">
        <v>14</v>
      </c>
      <c r="D16" s="27">
        <f>IF(G$1=0,0,C16/G$1)</f>
        <v>8.7664370695053218E-3</v>
      </c>
    </row>
    <row r="17" spans="1:4" x14ac:dyDescent="0.45">
      <c r="A17" s="68" t="s">
        <v>85</v>
      </c>
      <c r="B17" s="64" t="s">
        <v>38</v>
      </c>
      <c r="C17" s="50">
        <v>9</v>
      </c>
      <c r="D17" s="27">
        <f>IF(G$1=0,0,C17/G$1)</f>
        <v>5.6355666875391357E-3</v>
      </c>
    </row>
    <row r="18" spans="1:4" x14ac:dyDescent="0.45">
      <c r="A18" s="68" t="s">
        <v>98</v>
      </c>
      <c r="B18" s="64" t="s">
        <v>51</v>
      </c>
      <c r="C18" s="50">
        <v>9</v>
      </c>
      <c r="D18" s="27">
        <f>IF(G$1=0,0,C18/G$1)</f>
        <v>5.6355666875391357E-3</v>
      </c>
    </row>
    <row r="19" spans="1:4" x14ac:dyDescent="0.45">
      <c r="A19" s="68" t="s">
        <v>79</v>
      </c>
      <c r="B19" s="64" t="s">
        <v>32</v>
      </c>
      <c r="C19" s="50">
        <v>4</v>
      </c>
      <c r="D19" s="27">
        <f>IF(G$1=0,0,C19/G$1)</f>
        <v>2.5046963055729492E-3</v>
      </c>
    </row>
    <row r="20" spans="1:4" x14ac:dyDescent="0.45">
      <c r="A20" s="68" t="s">
        <v>99</v>
      </c>
      <c r="B20" s="64" t="s">
        <v>52</v>
      </c>
      <c r="C20" s="50">
        <v>4</v>
      </c>
      <c r="D20" s="27">
        <f>IF(G$1=0,0,C20/G$1)</f>
        <v>2.5046963055729492E-3</v>
      </c>
    </row>
    <row r="21" spans="1:4" x14ac:dyDescent="0.45">
      <c r="A21" s="68" t="s">
        <v>91</v>
      </c>
      <c r="B21" s="64" t="s">
        <v>44</v>
      </c>
      <c r="C21" s="50">
        <v>3</v>
      </c>
      <c r="D21" s="27">
        <f>IF(G$1=0,0,C21/G$1)</f>
        <v>1.878522229179712E-3</v>
      </c>
    </row>
    <row r="22" spans="1:4" x14ac:dyDescent="0.45">
      <c r="A22" s="68" t="s">
        <v>92</v>
      </c>
      <c r="B22" s="64" t="s">
        <v>45</v>
      </c>
      <c r="C22" s="50">
        <v>3</v>
      </c>
      <c r="D22" s="27">
        <f>IF(G$1=0,0,C22/G$1)</f>
        <v>1.878522229179712E-3</v>
      </c>
    </row>
    <row r="23" spans="1:4" x14ac:dyDescent="0.45">
      <c r="A23" s="68" t="s">
        <v>94</v>
      </c>
      <c r="B23" s="64" t="s">
        <v>47</v>
      </c>
      <c r="C23" s="50">
        <v>2</v>
      </c>
      <c r="D23" s="27">
        <f>IF(G$1=0,0,C23/G$1)</f>
        <v>1.2523481527864746E-3</v>
      </c>
    </row>
    <row r="24" spans="1:4" x14ac:dyDescent="0.45">
      <c r="A24" s="68" t="s">
        <v>81</v>
      </c>
      <c r="B24" s="64" t="s">
        <v>34</v>
      </c>
      <c r="C24" s="50">
        <v>2</v>
      </c>
      <c r="D24" s="27">
        <f>IF(G$1=0,0,C24/G$1)</f>
        <v>1.2523481527864746E-3</v>
      </c>
    </row>
    <row r="25" spans="1:4" x14ac:dyDescent="0.45">
      <c r="A25" s="68" t="s">
        <v>83</v>
      </c>
      <c r="B25" s="64" t="s">
        <v>36</v>
      </c>
      <c r="C25" s="50">
        <v>2</v>
      </c>
      <c r="D25" s="27">
        <f>IF(G$1=0,0,C25/G$1)</f>
        <v>1.2523481527864746E-3</v>
      </c>
    </row>
    <row r="26" spans="1:4" x14ac:dyDescent="0.45">
      <c r="A26" s="68" t="s">
        <v>87</v>
      </c>
      <c r="B26" s="64" t="s">
        <v>40</v>
      </c>
      <c r="C26" s="50">
        <v>1</v>
      </c>
      <c r="D26" s="27">
        <f>IF(G$1=0,0,C26/G$1)</f>
        <v>6.2617407639323729E-4</v>
      </c>
    </row>
    <row r="27" spans="1:4" x14ac:dyDescent="0.45">
      <c r="A27" s="68" t="s">
        <v>80</v>
      </c>
      <c r="B27" s="64" t="s">
        <v>33</v>
      </c>
      <c r="C27" s="50">
        <v>1</v>
      </c>
      <c r="D27" s="27">
        <f>IF(G$1=0,0,C27/G$1)</f>
        <v>6.2617407639323729E-4</v>
      </c>
    </row>
    <row r="28" spans="1:4" x14ac:dyDescent="0.45">
      <c r="A28" s="68" t="s">
        <v>95</v>
      </c>
      <c r="B28" s="64" t="s">
        <v>48</v>
      </c>
      <c r="C28" s="50">
        <v>1</v>
      </c>
      <c r="D28" s="27">
        <f>IF(G$1=0,0,C28/G$1)</f>
        <v>6.2617407639323729E-4</v>
      </c>
    </row>
    <row r="29" spans="1:4" x14ac:dyDescent="0.45">
      <c r="A29" s="68" t="s">
        <v>100</v>
      </c>
      <c r="B29" s="64" t="s">
        <v>53</v>
      </c>
      <c r="C29" s="50">
        <v>1</v>
      </c>
      <c r="D29" s="27">
        <f>IF(G$1=0,0,C29/G$1)</f>
        <v>6.2617407639323729E-4</v>
      </c>
    </row>
    <row r="30" spans="1:4" x14ac:dyDescent="0.45">
      <c r="A30" s="68" t="s">
        <v>113</v>
      </c>
      <c r="B30" s="64" t="s">
        <v>224</v>
      </c>
      <c r="C30" s="50">
        <v>1</v>
      </c>
      <c r="D30" s="27">
        <f>IF(G$1=0,0,C30/G$1)</f>
        <v>6.2617407639323729E-4</v>
      </c>
    </row>
    <row r="31" spans="1:4" x14ac:dyDescent="0.45">
      <c r="A31" s="68" t="s">
        <v>82</v>
      </c>
      <c r="B31" s="64" t="s">
        <v>35</v>
      </c>
      <c r="C31" s="50">
        <v>0</v>
      </c>
      <c r="D31" s="27">
        <f>IF(G$1=0,0,C31/G$1)</f>
        <v>0</v>
      </c>
    </row>
    <row r="32" spans="1:4" x14ac:dyDescent="0.45">
      <c r="A32" s="68" t="s">
        <v>86</v>
      </c>
      <c r="B32" s="64" t="s">
        <v>39</v>
      </c>
      <c r="C32" s="50">
        <v>0</v>
      </c>
      <c r="D32" s="27">
        <f>IF(G$1=0,0,C32/G$1)</f>
        <v>0</v>
      </c>
    </row>
    <row r="33" spans="1:4" x14ac:dyDescent="0.45">
      <c r="A33" s="68" t="s">
        <v>89</v>
      </c>
      <c r="B33" s="64" t="s">
        <v>42</v>
      </c>
      <c r="C33" s="50">
        <v>0</v>
      </c>
      <c r="D33" s="27">
        <f>IF(G$1=0,0,C33/G$1)</f>
        <v>0</v>
      </c>
    </row>
    <row r="34" spans="1:4" x14ac:dyDescent="0.45">
      <c r="A34" s="68" t="s">
        <v>97</v>
      </c>
      <c r="B34" s="64" t="s">
        <v>50</v>
      </c>
      <c r="C34" s="50">
        <v>0</v>
      </c>
      <c r="D34" s="27">
        <f>IF(G$1=0,0,C34/G$1)</f>
        <v>0</v>
      </c>
    </row>
    <row r="35" spans="1:4" x14ac:dyDescent="0.45">
      <c r="A35" s="68" t="s">
        <v>101</v>
      </c>
      <c r="B35" s="64" t="s">
        <v>54</v>
      </c>
      <c r="C35" s="50">
        <v>0</v>
      </c>
      <c r="D35" s="27">
        <f>IF(G$1=0,0,C35/G$1)</f>
        <v>0</v>
      </c>
    </row>
    <row r="36" spans="1:4" x14ac:dyDescent="0.45">
      <c r="A36" s="68" t="s">
        <v>102</v>
      </c>
      <c r="B36" s="64" t="s">
        <v>55</v>
      </c>
      <c r="C36" s="50">
        <v>0</v>
      </c>
      <c r="D36" s="27">
        <f>IF(G$1=0,0,C36/G$1)</f>
        <v>0</v>
      </c>
    </row>
    <row r="37" spans="1:4" x14ac:dyDescent="0.45">
      <c r="A37" s="68" t="s">
        <v>103</v>
      </c>
      <c r="B37" s="64" t="s">
        <v>56</v>
      </c>
      <c r="C37" s="50">
        <v>0</v>
      </c>
      <c r="D37" s="27">
        <f>IF(G$1=0,0,C37/G$1)</f>
        <v>0</v>
      </c>
    </row>
    <row r="38" spans="1:4" x14ac:dyDescent="0.45">
      <c r="A38" s="68" t="s">
        <v>104</v>
      </c>
      <c r="B38" s="64" t="s">
        <v>57</v>
      </c>
      <c r="C38" s="50">
        <v>0</v>
      </c>
      <c r="D38" s="27">
        <f>IF(G$1=0,0,C38/G$1)</f>
        <v>0</v>
      </c>
    </row>
    <row r="39" spans="1:4" x14ac:dyDescent="0.45">
      <c r="A39" s="68" t="s">
        <v>105</v>
      </c>
      <c r="B39" s="64" t="s">
        <v>58</v>
      </c>
      <c r="C39" s="50">
        <v>0</v>
      </c>
      <c r="D39" s="27">
        <f>IF(G$1=0,0,C39/G$1)</f>
        <v>0</v>
      </c>
    </row>
    <row r="40" spans="1:4" x14ac:dyDescent="0.45">
      <c r="A40" s="68" t="s">
        <v>106</v>
      </c>
      <c r="B40" s="64" t="s">
        <v>59</v>
      </c>
      <c r="C40" s="50">
        <v>0</v>
      </c>
      <c r="D40" s="27">
        <f>IF(G$1=0,0,C40/G$1)</f>
        <v>0</v>
      </c>
    </row>
    <row r="41" spans="1:4" x14ac:dyDescent="0.45">
      <c r="A41" s="68" t="s">
        <v>107</v>
      </c>
      <c r="B41" s="64" t="s">
        <v>60</v>
      </c>
      <c r="C41" s="50">
        <v>0</v>
      </c>
      <c r="D41" s="27">
        <f>IF(G$1=0,0,C41/G$1)</f>
        <v>0</v>
      </c>
    </row>
    <row r="42" spans="1:4" x14ac:dyDescent="0.45">
      <c r="A42" s="68" t="s">
        <v>108</v>
      </c>
      <c r="B42" s="64" t="s">
        <v>61</v>
      </c>
      <c r="C42" s="50">
        <v>0</v>
      </c>
      <c r="D42" s="27">
        <f>IF(G$1=0,0,C42/G$1)</f>
        <v>0</v>
      </c>
    </row>
    <row r="43" spans="1:4" x14ac:dyDescent="0.45">
      <c r="A43" s="68" t="s">
        <v>109</v>
      </c>
      <c r="B43" s="64" t="s">
        <v>62</v>
      </c>
      <c r="C43" s="50">
        <v>0</v>
      </c>
      <c r="D43" s="27">
        <f>IF(G$1=0,0,C43/G$1)</f>
        <v>0</v>
      </c>
    </row>
    <row r="44" spans="1:4" x14ac:dyDescent="0.45">
      <c r="A44" s="68" t="s">
        <v>110</v>
      </c>
      <c r="B44" s="64" t="s">
        <v>63</v>
      </c>
      <c r="C44" s="50">
        <v>0</v>
      </c>
      <c r="D44" s="27">
        <f>IF(G$1=0,0,C44/G$1)</f>
        <v>0</v>
      </c>
    </row>
    <row r="45" spans="1:4" x14ac:dyDescent="0.45">
      <c r="A45" s="68" t="s">
        <v>111</v>
      </c>
      <c r="B45" s="64" t="s">
        <v>64</v>
      </c>
      <c r="C45" s="50">
        <v>0</v>
      </c>
      <c r="D45" s="27">
        <f>IF(G$1=0,0,C45/G$1)</f>
        <v>0</v>
      </c>
    </row>
    <row r="46" spans="1:4" x14ac:dyDescent="0.45">
      <c r="A46" s="68" t="s">
        <v>112</v>
      </c>
      <c r="B46" s="64" t="s">
        <v>223</v>
      </c>
      <c r="C46" s="50">
        <v>0</v>
      </c>
      <c r="D46" s="27">
        <f>IF(G$1=0,0,C46/G$1)</f>
        <v>0</v>
      </c>
    </row>
    <row r="47" spans="1:4" x14ac:dyDescent="0.45">
      <c r="A47" s="68" t="s">
        <v>114</v>
      </c>
      <c r="B47" s="64" t="s">
        <v>225</v>
      </c>
      <c r="C47" s="50">
        <v>0</v>
      </c>
      <c r="D47" s="27">
        <f>IF(G$1=0,0,C47/G$1)</f>
        <v>0</v>
      </c>
    </row>
    <row r="48" spans="1:4" x14ac:dyDescent="0.45">
      <c r="A48" s="68" t="s">
        <v>115</v>
      </c>
      <c r="B48" s="64" t="s">
        <v>65</v>
      </c>
      <c r="C48" s="50">
        <v>0</v>
      </c>
      <c r="D48" s="27">
        <f>IF(G$1=0,0,C48/G$1)</f>
        <v>0</v>
      </c>
    </row>
    <row r="49" spans="1:4" x14ac:dyDescent="0.45">
      <c r="A49" s="68" t="s">
        <v>116</v>
      </c>
      <c r="B49" s="64" t="s">
        <v>66</v>
      </c>
      <c r="C49" s="50">
        <v>0</v>
      </c>
      <c r="D49" s="27">
        <f>IF(G$1=0,0,C49/G$1)</f>
        <v>0</v>
      </c>
    </row>
    <row r="50" spans="1:4" x14ac:dyDescent="0.45">
      <c r="A50" s="68" t="s">
        <v>117</v>
      </c>
      <c r="B50" s="64" t="s">
        <v>67</v>
      </c>
      <c r="C50" s="50">
        <v>0</v>
      </c>
      <c r="D50" s="27">
        <f>IF(G$1=0,0,C50/G$1)</f>
        <v>0</v>
      </c>
    </row>
    <row r="51" spans="1:4" x14ac:dyDescent="0.45">
      <c r="A51" s="69" t="s">
        <v>118</v>
      </c>
      <c r="B51" s="65" t="s">
        <v>68</v>
      </c>
      <c r="C51" s="52">
        <v>0</v>
      </c>
      <c r="D51" s="32">
        <f>IF(G$1=0,0,C51/G$1)</f>
        <v>0</v>
      </c>
    </row>
  </sheetData>
  <sortState ref="A2:D51">
    <sortCondition descending="1" ref="D1"/>
  </sortState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C8E90-4652-40B6-840B-D96367BEACD0}">
  <sheetPr codeName="Sheet4"/>
  <dimension ref="A1:P120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3" t="s">
        <v>186</v>
      </c>
      <c r="C1" s="84"/>
      <c r="E1" s="66" t="s">
        <v>210</v>
      </c>
      <c r="F1" s="73" t="s">
        <v>122</v>
      </c>
      <c r="G1" s="72" t="s">
        <v>123</v>
      </c>
      <c r="H1" s="73" t="s">
        <v>124</v>
      </c>
      <c r="J1" s="21" t="s">
        <v>22</v>
      </c>
      <c r="K1" s="22" t="s">
        <v>127</v>
      </c>
      <c r="M1" s="21" t="s">
        <v>204</v>
      </c>
      <c r="N1" s="73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79">
        <v>118</v>
      </c>
      <c r="C2" s="80"/>
      <c r="E2" s="67" t="s">
        <v>73</v>
      </c>
      <c r="F2" s="63" t="s">
        <v>27</v>
      </c>
      <c r="G2" s="49">
        <v>135</v>
      </c>
      <c r="H2" s="24">
        <f>IF(B$25=0,0,G2/B$25)</f>
        <v>0.95070422535211263</v>
      </c>
      <c r="J2" s="23">
        <v>0</v>
      </c>
      <c r="K2" s="25">
        <v>0</v>
      </c>
      <c r="M2" s="23" t="s">
        <v>198</v>
      </c>
      <c r="N2" s="44">
        <f t="shared" ref="N2:N7" si="0">IF(P2=0,0,O2/P2)</f>
        <v>849.12280701754389</v>
      </c>
      <c r="O2" s="41">
        <v>96800</v>
      </c>
      <c r="P2" s="39">
        <v>114</v>
      </c>
    </row>
    <row r="3" spans="1:16" x14ac:dyDescent="0.45">
      <c r="A3" s="58" t="s">
        <v>8</v>
      </c>
      <c r="B3" s="85">
        <v>851</v>
      </c>
      <c r="C3" s="86"/>
      <c r="E3" s="68" t="s">
        <v>71</v>
      </c>
      <c r="F3" s="64" t="s">
        <v>25</v>
      </c>
      <c r="G3" s="50">
        <v>79</v>
      </c>
      <c r="H3" s="27">
        <f>IF(B$25=0,0,G3/B$25)</f>
        <v>0.55633802816901412</v>
      </c>
      <c r="J3" s="26">
        <v>1</v>
      </c>
      <c r="K3" s="28">
        <v>15</v>
      </c>
      <c r="M3" s="26" t="s">
        <v>199</v>
      </c>
      <c r="N3" s="45">
        <f t="shared" si="0"/>
        <v>1728.7037037037037</v>
      </c>
      <c r="O3" s="42">
        <v>186700</v>
      </c>
      <c r="P3" s="37">
        <v>108</v>
      </c>
    </row>
    <row r="4" spans="1:16" x14ac:dyDescent="0.45">
      <c r="A4" s="58" t="s">
        <v>6</v>
      </c>
      <c r="B4" s="87">
        <v>508.60000000000014</v>
      </c>
      <c r="C4" s="88"/>
      <c r="E4" s="68" t="s">
        <v>69</v>
      </c>
      <c r="F4" s="64" t="s">
        <v>23</v>
      </c>
      <c r="G4" s="50">
        <v>77</v>
      </c>
      <c r="H4" s="27">
        <f>IF(B$25=0,0,G4/B$25)</f>
        <v>0.54225352112676062</v>
      </c>
      <c r="J4" s="26">
        <v>2</v>
      </c>
      <c r="K4" s="28">
        <v>14</v>
      </c>
      <c r="M4" s="26" t="s">
        <v>200</v>
      </c>
      <c r="N4" s="45">
        <f t="shared" si="0"/>
        <v>745</v>
      </c>
      <c r="O4" s="42">
        <v>74500</v>
      </c>
      <c r="P4" s="37">
        <v>100</v>
      </c>
    </row>
    <row r="5" spans="1:16" x14ac:dyDescent="0.45">
      <c r="A5" s="58" t="s">
        <v>7</v>
      </c>
      <c r="B5" s="87">
        <f>IF(B$2=0,0,B$4/B$2)</f>
        <v>4.3101694915254249</v>
      </c>
      <c r="C5" s="88"/>
      <c r="E5" s="68" t="s">
        <v>78</v>
      </c>
      <c r="F5" s="64" t="s">
        <v>31</v>
      </c>
      <c r="G5" s="50">
        <v>77</v>
      </c>
      <c r="H5" s="27">
        <f>IF(B$25=0,0,G5/B$25)</f>
        <v>0.54225352112676062</v>
      </c>
      <c r="J5" s="26">
        <v>3</v>
      </c>
      <c r="K5" s="28">
        <v>29.1</v>
      </c>
      <c r="M5" s="26" t="s">
        <v>201</v>
      </c>
      <c r="N5" s="45">
        <f t="shared" si="0"/>
        <v>1301.1363636363637</v>
      </c>
      <c r="O5" s="42">
        <v>114500</v>
      </c>
      <c r="P5" s="37">
        <v>88</v>
      </c>
    </row>
    <row r="6" spans="1:16" x14ac:dyDescent="0.45">
      <c r="A6" s="58" t="s">
        <v>1</v>
      </c>
      <c r="B6" s="77">
        <f>IF(B$2=0,0,(B$7*1+B$8*2+B$9*3)/B$2)</f>
        <v>1.8559322033898304</v>
      </c>
      <c r="C6" s="78"/>
      <c r="E6" s="68" t="s">
        <v>74</v>
      </c>
      <c r="F6" s="64" t="s">
        <v>12</v>
      </c>
      <c r="G6" s="50">
        <v>37</v>
      </c>
      <c r="H6" s="27">
        <f>IF(B$25=0,0,G6/B$25)</f>
        <v>0.26056338028169013</v>
      </c>
      <c r="J6" s="26">
        <v>4</v>
      </c>
      <c r="K6" s="28">
        <v>114.30000000000001</v>
      </c>
      <c r="M6" s="26" t="s">
        <v>202</v>
      </c>
      <c r="N6" s="45">
        <f t="shared" si="0"/>
        <v>323.94366197183098</v>
      </c>
      <c r="O6" s="42">
        <v>23000</v>
      </c>
      <c r="P6" s="37">
        <v>71</v>
      </c>
    </row>
    <row r="7" spans="1:16" x14ac:dyDescent="0.45">
      <c r="A7" s="58" t="s">
        <v>2</v>
      </c>
      <c r="B7" s="50">
        <v>46</v>
      </c>
      <c r="C7" s="27">
        <f>IF(B$2=0,0,B7/B$2)</f>
        <v>0.38983050847457629</v>
      </c>
      <c r="E7" s="68" t="s">
        <v>72</v>
      </c>
      <c r="F7" s="64" t="s">
        <v>26</v>
      </c>
      <c r="G7" s="50">
        <v>33</v>
      </c>
      <c r="H7" s="27">
        <f>IF(B$25=0,0,G7/B$25)</f>
        <v>0.23239436619718309</v>
      </c>
      <c r="J7" s="26">
        <v>5</v>
      </c>
      <c r="K7" s="28">
        <v>145.80000000000001</v>
      </c>
      <c r="M7" s="31" t="s">
        <v>203</v>
      </c>
      <c r="N7" s="46">
        <f t="shared" si="0"/>
        <v>-440.38461538461536</v>
      </c>
      <c r="O7" s="43">
        <v>-22900</v>
      </c>
      <c r="P7" s="38">
        <v>52</v>
      </c>
    </row>
    <row r="8" spans="1:16" x14ac:dyDescent="0.45">
      <c r="A8" s="58" t="s">
        <v>3</v>
      </c>
      <c r="B8" s="50">
        <v>43</v>
      </c>
      <c r="C8" s="27">
        <f t="shared" ref="C8:C9" si="1">IF(B$2=0,0,B8/B$2)</f>
        <v>0.36440677966101692</v>
      </c>
      <c r="E8" s="68" t="s">
        <v>75</v>
      </c>
      <c r="F8" s="64" t="s">
        <v>28</v>
      </c>
      <c r="G8" s="50">
        <v>24</v>
      </c>
      <c r="H8" s="27">
        <f>IF(B$25=0,0,G8/B$25)</f>
        <v>0.16901408450704225</v>
      </c>
      <c r="J8" s="26">
        <v>6</v>
      </c>
      <c r="K8" s="28">
        <v>97.800000000000011</v>
      </c>
    </row>
    <row r="9" spans="1:16" x14ac:dyDescent="0.45">
      <c r="A9" s="59" t="s">
        <v>4</v>
      </c>
      <c r="B9" s="51">
        <v>29</v>
      </c>
      <c r="C9" s="29">
        <f t="shared" si="1"/>
        <v>0.24576271186440679</v>
      </c>
      <c r="E9" s="68" t="s">
        <v>96</v>
      </c>
      <c r="F9" s="64" t="s">
        <v>49</v>
      </c>
      <c r="G9" s="50">
        <v>21</v>
      </c>
      <c r="H9" s="27">
        <f>IF(B$25=0,0,G9/B$25)</f>
        <v>0.14788732394366197</v>
      </c>
      <c r="J9" s="26">
        <v>7</v>
      </c>
      <c r="K9" s="28">
        <v>91.700000000000017</v>
      </c>
    </row>
    <row r="10" spans="1:16" x14ac:dyDescent="0.45">
      <c r="A10" s="59" t="s">
        <v>21</v>
      </c>
      <c r="B10" s="51">
        <v>15</v>
      </c>
      <c r="C10" s="29">
        <f>IF(B$2=0,0,B10/B$2)</f>
        <v>0.1271186440677966</v>
      </c>
      <c r="E10" s="68" t="s">
        <v>70</v>
      </c>
      <c r="F10" s="64" t="s">
        <v>24</v>
      </c>
      <c r="G10" s="50">
        <v>11</v>
      </c>
      <c r="H10" s="27">
        <f>IF(B$25=0,0,G10/B$25)</f>
        <v>7.746478873239436E-2</v>
      </c>
      <c r="J10" s="26">
        <v>8</v>
      </c>
      <c r="K10" s="28">
        <v>55.700000000000017</v>
      </c>
    </row>
    <row r="11" spans="1:16" x14ac:dyDescent="0.45">
      <c r="A11" s="60" t="s">
        <v>208</v>
      </c>
      <c r="B11" s="52">
        <v>26</v>
      </c>
      <c r="C11" s="32">
        <f>IF(B$2=0,0,B11/B$2)</f>
        <v>0.22033898305084745</v>
      </c>
      <c r="E11" s="68" t="s">
        <v>76</v>
      </c>
      <c r="F11" s="64" t="s">
        <v>29</v>
      </c>
      <c r="G11" s="50">
        <v>10</v>
      </c>
      <c r="H11" s="27">
        <f>IF(B$25=0,0,G11/B$25)</f>
        <v>7.0422535211267609E-2</v>
      </c>
      <c r="J11" s="26">
        <v>9</v>
      </c>
      <c r="K11" s="28">
        <v>14.700000000000017</v>
      </c>
    </row>
    <row r="12" spans="1:16" x14ac:dyDescent="0.45">
      <c r="A12" s="61" t="s">
        <v>130</v>
      </c>
      <c r="B12" s="53">
        <v>112</v>
      </c>
      <c r="C12" s="35">
        <f>IF(B$24=0,0,B12/B$24)</f>
        <v>0.28865979381443296</v>
      </c>
      <c r="E12" s="68" t="s">
        <v>77</v>
      </c>
      <c r="F12" s="64" t="s">
        <v>30</v>
      </c>
      <c r="G12" s="50">
        <v>9</v>
      </c>
      <c r="H12" s="27">
        <f>IF(B$25=0,0,G12/B$25)</f>
        <v>6.3380281690140844E-2</v>
      </c>
      <c r="J12" s="26">
        <v>10</v>
      </c>
      <c r="K12" s="28">
        <v>-16.799999999999983</v>
      </c>
    </row>
    <row r="13" spans="1:16" x14ac:dyDescent="0.45">
      <c r="A13" s="58" t="s">
        <v>125</v>
      </c>
      <c r="B13" s="50">
        <v>81</v>
      </c>
      <c r="C13" s="27">
        <f>IF(B$24=0,0,B13/B$24)</f>
        <v>0.20876288659793815</v>
      </c>
      <c r="E13" s="68" t="s">
        <v>93</v>
      </c>
      <c r="F13" s="64" t="s">
        <v>46</v>
      </c>
      <c r="G13" s="50">
        <v>8</v>
      </c>
      <c r="H13" s="27">
        <f>IF(B$25=0,0,G13/B$25)</f>
        <v>5.6338028169014086E-2</v>
      </c>
      <c r="J13" s="26">
        <v>11</v>
      </c>
      <c r="K13" s="28">
        <v>1.5000000000000178</v>
      </c>
    </row>
    <row r="14" spans="1:16" x14ac:dyDescent="0.45">
      <c r="A14" s="57" t="s">
        <v>132</v>
      </c>
      <c r="B14" s="49">
        <v>80</v>
      </c>
      <c r="C14" s="24">
        <f>IF(B$12=0,0,B14/B$12)</f>
        <v>0.7142857142857143</v>
      </c>
      <c r="E14" s="68" t="s">
        <v>90</v>
      </c>
      <c r="F14" s="64" t="s">
        <v>43</v>
      </c>
      <c r="G14" s="50">
        <v>5</v>
      </c>
      <c r="H14" s="27">
        <f>IF(B$25=0,0,G14/B$25)</f>
        <v>3.5211267605633804E-2</v>
      </c>
      <c r="J14" s="26">
        <v>12</v>
      </c>
      <c r="K14" s="28">
        <v>14.300000000000018</v>
      </c>
    </row>
    <row r="15" spans="1:16" x14ac:dyDescent="0.45">
      <c r="A15" s="57" t="s">
        <v>133</v>
      </c>
      <c r="B15" s="49">
        <v>37</v>
      </c>
      <c r="C15" s="24">
        <f>IF(B$13=0,0,B15/B$13)</f>
        <v>0.4567901234567901</v>
      </c>
      <c r="E15" s="68" t="s">
        <v>88</v>
      </c>
      <c r="F15" s="64" t="s">
        <v>41</v>
      </c>
      <c r="G15" s="50">
        <v>3</v>
      </c>
      <c r="H15" s="27">
        <f>IF(B$25=0,0,G15/B$25)</f>
        <v>2.1126760563380281E-2</v>
      </c>
      <c r="J15" s="26">
        <v>13</v>
      </c>
      <c r="K15" s="28">
        <v>71.300000000000011</v>
      </c>
    </row>
    <row r="16" spans="1:16" x14ac:dyDescent="0.45">
      <c r="A16" s="57" t="s">
        <v>10</v>
      </c>
      <c r="B16" s="49">
        <f>B17+B18</f>
        <v>301</v>
      </c>
      <c r="C16" s="24">
        <f>IF(B$3=0,0,B16/B$3)</f>
        <v>0.35370152761457108</v>
      </c>
      <c r="E16" s="68" t="s">
        <v>79</v>
      </c>
      <c r="F16" s="64" t="s">
        <v>32</v>
      </c>
      <c r="G16" s="50">
        <v>2</v>
      </c>
      <c r="H16" s="27">
        <f>IF(B$25=0,0,G16/B$25)</f>
        <v>1.4084507042253521E-2</v>
      </c>
      <c r="J16" s="26">
        <v>14</v>
      </c>
      <c r="K16" s="28">
        <v>27.300000000000011</v>
      </c>
    </row>
    <row r="17" spans="1:11" x14ac:dyDescent="0.45">
      <c r="A17" s="58" t="s">
        <v>11</v>
      </c>
      <c r="B17" s="50">
        <v>191</v>
      </c>
      <c r="C17" s="27">
        <f>IF(B$3=0,0,B17/B$3)</f>
        <v>0.22444183313748531</v>
      </c>
      <c r="E17" s="68" t="s">
        <v>83</v>
      </c>
      <c r="F17" s="64" t="s">
        <v>36</v>
      </c>
      <c r="G17" s="50">
        <v>2</v>
      </c>
      <c r="H17" s="27">
        <f>IF(B$25=0,0,G17/B$25)</f>
        <v>1.4084507042253521E-2</v>
      </c>
      <c r="J17" s="26">
        <v>15</v>
      </c>
      <c r="K17" s="28">
        <v>-9.6999999999999886</v>
      </c>
    </row>
    <row r="18" spans="1:11" x14ac:dyDescent="0.45">
      <c r="A18" s="58" t="s">
        <v>12</v>
      </c>
      <c r="B18" s="50">
        <v>110</v>
      </c>
      <c r="C18" s="27">
        <f>IF(B$3=0,0,B18/B$3)</f>
        <v>0.12925969447708577</v>
      </c>
      <c r="E18" s="68" t="s">
        <v>99</v>
      </c>
      <c r="F18" s="64" t="s">
        <v>52</v>
      </c>
      <c r="G18" s="50">
        <v>2</v>
      </c>
      <c r="H18" s="27">
        <f>IF(B$25=0,0,G18/B$25)</f>
        <v>1.4084507042253521E-2</v>
      </c>
      <c r="J18" s="26">
        <v>16</v>
      </c>
      <c r="K18" s="28">
        <v>-8.099999999999989</v>
      </c>
    </row>
    <row r="19" spans="1:11" x14ac:dyDescent="0.45">
      <c r="A19" s="58" t="s">
        <v>13</v>
      </c>
      <c r="B19" s="50">
        <v>134</v>
      </c>
      <c r="C19" s="27">
        <f>IF(B$3=0,0,B19/B$3)</f>
        <v>0.15746180963572268</v>
      </c>
      <c r="E19" s="68" t="s">
        <v>84</v>
      </c>
      <c r="F19" s="64" t="s">
        <v>37</v>
      </c>
      <c r="G19" s="50">
        <v>1</v>
      </c>
      <c r="H19" s="27">
        <f>IF(B$25=0,0,G19/B$25)</f>
        <v>7.0422535211267607E-3</v>
      </c>
      <c r="J19" s="26">
        <v>17</v>
      </c>
      <c r="K19" s="28">
        <v>-29.499999999999986</v>
      </c>
    </row>
    <row r="20" spans="1:11" x14ac:dyDescent="0.45">
      <c r="A20" s="58" t="s">
        <v>5</v>
      </c>
      <c r="B20" s="54">
        <f>IF(B$16=0,0,C20/B$16)</f>
        <v>9852.8239202657805</v>
      </c>
      <c r="C20" s="30">
        <v>2965700</v>
      </c>
      <c r="E20" s="68" t="s">
        <v>85</v>
      </c>
      <c r="F20" s="64" t="s">
        <v>38</v>
      </c>
      <c r="G20" s="50">
        <v>1</v>
      </c>
      <c r="H20" s="27">
        <f>IF(B$25=0,0,G20/B$25)</f>
        <v>7.0422535211267607E-3</v>
      </c>
      <c r="J20" s="26">
        <v>18</v>
      </c>
      <c r="K20" s="28">
        <v>-14.599999999999985</v>
      </c>
    </row>
    <row r="21" spans="1:11" x14ac:dyDescent="0.45">
      <c r="A21" s="60" t="s">
        <v>14</v>
      </c>
      <c r="B21" s="55">
        <f>IF(B$19=0,0,C21/B$19)</f>
        <v>-9832.0895522388055</v>
      </c>
      <c r="C21" s="48">
        <v>-1317500</v>
      </c>
      <c r="E21" s="68" t="s">
        <v>92</v>
      </c>
      <c r="F21" s="64" t="s">
        <v>45</v>
      </c>
      <c r="G21" s="50">
        <v>1</v>
      </c>
      <c r="H21" s="27">
        <f>IF(B$25=0,0,G21/B$25)</f>
        <v>7.0422535211267607E-3</v>
      </c>
      <c r="J21" s="26">
        <v>19</v>
      </c>
      <c r="K21" s="28">
        <v>42.600000000000016</v>
      </c>
    </row>
    <row r="22" spans="1:11" x14ac:dyDescent="0.45">
      <c r="A22" s="57" t="s">
        <v>195</v>
      </c>
      <c r="B22" s="49">
        <v>301</v>
      </c>
      <c r="C22" s="24">
        <f>IF(B$3=0,0,B22/B$3)</f>
        <v>0.35370152761457108</v>
      </c>
      <c r="E22" s="68" t="s">
        <v>94</v>
      </c>
      <c r="F22" s="64" t="s">
        <v>47</v>
      </c>
      <c r="G22" s="50">
        <v>1</v>
      </c>
      <c r="H22" s="27">
        <f>IF(B$25=0,0,G22/B$25)</f>
        <v>7.0422535211267607E-3</v>
      </c>
      <c r="J22" s="26">
        <v>20</v>
      </c>
      <c r="K22" s="28">
        <v>68.800000000000011</v>
      </c>
    </row>
    <row r="23" spans="1:11" x14ac:dyDescent="0.45">
      <c r="A23" s="60" t="s">
        <v>196</v>
      </c>
      <c r="B23" s="52">
        <v>125</v>
      </c>
      <c r="C23" s="32">
        <f>IF(B$22=0,0,B23/B$22)</f>
        <v>0.41528239202657807</v>
      </c>
      <c r="E23" s="68" t="s">
        <v>98</v>
      </c>
      <c r="F23" s="64" t="s">
        <v>51</v>
      </c>
      <c r="G23" s="50">
        <v>1</v>
      </c>
      <c r="H23" s="27">
        <f>IF(B$25=0,0,G23/B$25)</f>
        <v>7.0422535211267607E-3</v>
      </c>
      <c r="J23" s="26">
        <v>21</v>
      </c>
      <c r="K23" s="28">
        <v>125.30000000000001</v>
      </c>
    </row>
    <row r="24" spans="1:11" x14ac:dyDescent="0.45">
      <c r="A24" s="57" t="s">
        <v>128</v>
      </c>
      <c r="B24" s="79">
        <v>388</v>
      </c>
      <c r="C24" s="80"/>
      <c r="E24" s="68" t="s">
        <v>113</v>
      </c>
      <c r="F24" s="64" t="s">
        <v>120</v>
      </c>
      <c r="G24" s="50">
        <v>1</v>
      </c>
      <c r="H24" s="27">
        <f>IF(B$25=0,0,G24/B$25)</f>
        <v>7.0422535211267607E-3</v>
      </c>
      <c r="J24" s="26">
        <v>22</v>
      </c>
      <c r="K24" s="28">
        <v>99.800000000000011</v>
      </c>
    </row>
    <row r="25" spans="1:11" x14ac:dyDescent="0.45">
      <c r="A25" s="60" t="s">
        <v>129</v>
      </c>
      <c r="B25" s="81">
        <v>142</v>
      </c>
      <c r="C25" s="82"/>
      <c r="E25" s="68" t="s">
        <v>80</v>
      </c>
      <c r="F25" s="64" t="s">
        <v>33</v>
      </c>
      <c r="G25" s="50">
        <v>0</v>
      </c>
      <c r="H25" s="27">
        <f>IF(B$25=0,0,G25/B$25)</f>
        <v>0</v>
      </c>
      <c r="J25" s="26">
        <v>23</v>
      </c>
      <c r="K25" s="28">
        <v>124.50000000000001</v>
      </c>
    </row>
    <row r="26" spans="1:11" x14ac:dyDescent="0.45">
      <c r="E26" s="68" t="s">
        <v>81</v>
      </c>
      <c r="F26" s="64" t="s">
        <v>34</v>
      </c>
      <c r="G26" s="50">
        <v>0</v>
      </c>
      <c r="H26" s="27">
        <f>IF(B$25=0,0,G26/B$25)</f>
        <v>0</v>
      </c>
      <c r="J26" s="26">
        <v>24</v>
      </c>
      <c r="K26" s="28">
        <v>118.00000000000001</v>
      </c>
    </row>
    <row r="27" spans="1:11" x14ac:dyDescent="0.45">
      <c r="E27" s="68" t="s">
        <v>82</v>
      </c>
      <c r="F27" s="64" t="s">
        <v>35</v>
      </c>
      <c r="G27" s="50">
        <v>0</v>
      </c>
      <c r="H27" s="27">
        <f>IF(B$25=0,0,G27/B$25)</f>
        <v>0</v>
      </c>
      <c r="J27" s="26">
        <v>25</v>
      </c>
      <c r="K27" s="28">
        <v>84.300000000000011</v>
      </c>
    </row>
    <row r="28" spans="1:11" x14ac:dyDescent="0.45">
      <c r="E28" s="68" t="s">
        <v>86</v>
      </c>
      <c r="F28" s="64" t="s">
        <v>39</v>
      </c>
      <c r="G28" s="50">
        <v>0</v>
      </c>
      <c r="H28" s="27">
        <f>IF(B$25=0,0,G28/B$25)</f>
        <v>0</v>
      </c>
      <c r="J28" s="26">
        <v>26</v>
      </c>
      <c r="K28" s="28">
        <v>108.20000000000002</v>
      </c>
    </row>
    <row r="29" spans="1:11" x14ac:dyDescent="0.45">
      <c r="E29" s="68" t="s">
        <v>87</v>
      </c>
      <c r="F29" s="64" t="s">
        <v>40</v>
      </c>
      <c r="G29" s="50">
        <v>0</v>
      </c>
      <c r="H29" s="27">
        <f>IF(B$25=0,0,G29/B$25)</f>
        <v>0</v>
      </c>
      <c r="J29" s="26">
        <v>27</v>
      </c>
      <c r="K29" s="28">
        <v>71.200000000000017</v>
      </c>
    </row>
    <row r="30" spans="1:11" x14ac:dyDescent="0.45">
      <c r="E30" s="68" t="s">
        <v>89</v>
      </c>
      <c r="F30" s="64" t="s">
        <v>42</v>
      </c>
      <c r="G30" s="50">
        <v>0</v>
      </c>
      <c r="H30" s="27">
        <f>IF(B$25=0,0,G30/B$25)</f>
        <v>0</v>
      </c>
      <c r="J30" s="26">
        <v>28</v>
      </c>
      <c r="K30" s="28">
        <v>129.20000000000002</v>
      </c>
    </row>
    <row r="31" spans="1:11" x14ac:dyDescent="0.45">
      <c r="E31" s="68" t="s">
        <v>91</v>
      </c>
      <c r="F31" s="64" t="s">
        <v>44</v>
      </c>
      <c r="G31" s="50">
        <v>0</v>
      </c>
      <c r="H31" s="27">
        <f>IF(B$25=0,0,G31/B$25)</f>
        <v>0</v>
      </c>
      <c r="J31" s="26">
        <v>29</v>
      </c>
      <c r="K31" s="28">
        <v>120.80000000000001</v>
      </c>
    </row>
    <row r="32" spans="1:11" x14ac:dyDescent="0.45">
      <c r="E32" s="68" t="s">
        <v>95</v>
      </c>
      <c r="F32" s="64" t="s">
        <v>48</v>
      </c>
      <c r="G32" s="50">
        <v>0</v>
      </c>
      <c r="H32" s="27">
        <f>IF(B$25=0,0,G32/B$25)</f>
        <v>0</v>
      </c>
      <c r="J32" s="26">
        <v>30</v>
      </c>
      <c r="K32" s="28">
        <v>112.4</v>
      </c>
    </row>
    <row r="33" spans="5:11" x14ac:dyDescent="0.45">
      <c r="E33" s="68" t="s">
        <v>97</v>
      </c>
      <c r="F33" s="64" t="s">
        <v>50</v>
      </c>
      <c r="G33" s="50">
        <v>0</v>
      </c>
      <c r="H33" s="27">
        <f>IF(B$25=0,0,G33/B$25)</f>
        <v>0</v>
      </c>
      <c r="J33" s="26">
        <v>31</v>
      </c>
      <c r="K33" s="28">
        <v>165.7</v>
      </c>
    </row>
    <row r="34" spans="5:11" x14ac:dyDescent="0.45">
      <c r="E34" s="68" t="s">
        <v>100</v>
      </c>
      <c r="F34" s="64" t="s">
        <v>53</v>
      </c>
      <c r="G34" s="50">
        <v>0</v>
      </c>
      <c r="H34" s="27">
        <f>IF(B$25=0,0,G34/B$25)</f>
        <v>0</v>
      </c>
      <c r="J34" s="26">
        <v>32</v>
      </c>
      <c r="K34" s="28">
        <v>151.69999999999999</v>
      </c>
    </row>
    <row r="35" spans="5:11" x14ac:dyDescent="0.45">
      <c r="E35" s="68" t="s">
        <v>101</v>
      </c>
      <c r="F35" s="64" t="s">
        <v>54</v>
      </c>
      <c r="G35" s="50">
        <v>0</v>
      </c>
      <c r="H35" s="27">
        <f>IF(B$25=0,0,G35/B$25)</f>
        <v>0</v>
      </c>
      <c r="J35" s="26">
        <v>33</v>
      </c>
      <c r="K35" s="28">
        <v>212.39999999999998</v>
      </c>
    </row>
    <row r="36" spans="5:11" x14ac:dyDescent="0.45">
      <c r="E36" s="68" t="s">
        <v>102</v>
      </c>
      <c r="F36" s="64" t="s">
        <v>55</v>
      </c>
      <c r="G36" s="50">
        <v>0</v>
      </c>
      <c r="H36" s="27">
        <f>IF(B$25=0,0,G36/B$25)</f>
        <v>0</v>
      </c>
      <c r="J36" s="26">
        <v>34</v>
      </c>
      <c r="K36" s="28">
        <v>262.39999999999998</v>
      </c>
    </row>
    <row r="37" spans="5:11" x14ac:dyDescent="0.45">
      <c r="E37" s="68" t="s">
        <v>103</v>
      </c>
      <c r="F37" s="64" t="s">
        <v>56</v>
      </c>
      <c r="G37" s="50">
        <v>0</v>
      </c>
      <c r="H37" s="27">
        <f>IF(B$25=0,0,G37/B$25)</f>
        <v>0</v>
      </c>
      <c r="J37" s="26">
        <v>35</v>
      </c>
      <c r="K37" s="28">
        <v>248.39999999999998</v>
      </c>
    </row>
    <row r="38" spans="5:11" x14ac:dyDescent="0.45">
      <c r="E38" s="68" t="s">
        <v>104</v>
      </c>
      <c r="F38" s="64" t="s">
        <v>57</v>
      </c>
      <c r="G38" s="50">
        <v>0</v>
      </c>
      <c r="H38" s="27">
        <f>IF(B$25=0,0,G38/B$25)</f>
        <v>0</v>
      </c>
      <c r="J38" s="26">
        <v>36</v>
      </c>
      <c r="K38" s="28">
        <v>244.99999999999997</v>
      </c>
    </row>
    <row r="39" spans="5:11" x14ac:dyDescent="0.45">
      <c r="E39" s="68" t="s">
        <v>105</v>
      </c>
      <c r="F39" s="64" t="s">
        <v>58</v>
      </c>
      <c r="G39" s="50">
        <v>0</v>
      </c>
      <c r="H39" s="27">
        <f>IF(B$25=0,0,G39/B$25)</f>
        <v>0</v>
      </c>
      <c r="J39" s="26">
        <v>37</v>
      </c>
      <c r="K39" s="28">
        <v>227.89999999999998</v>
      </c>
    </row>
    <row r="40" spans="5:11" x14ac:dyDescent="0.45">
      <c r="E40" s="68" t="s">
        <v>106</v>
      </c>
      <c r="F40" s="64" t="s">
        <v>59</v>
      </c>
      <c r="G40" s="50">
        <v>0</v>
      </c>
      <c r="H40" s="27">
        <f>IF(B$25=0,0,G40/B$25)</f>
        <v>0</v>
      </c>
      <c r="J40" s="26">
        <v>38</v>
      </c>
      <c r="K40" s="28">
        <v>248.99999999999997</v>
      </c>
    </row>
    <row r="41" spans="5:11" x14ac:dyDescent="0.45">
      <c r="E41" s="68" t="s">
        <v>107</v>
      </c>
      <c r="F41" s="64" t="s">
        <v>60</v>
      </c>
      <c r="G41" s="50">
        <v>0</v>
      </c>
      <c r="H41" s="27">
        <f>IF(B$25=0,0,G41/B$25)</f>
        <v>0</v>
      </c>
      <c r="J41" s="26">
        <v>39</v>
      </c>
      <c r="K41" s="28">
        <v>198.39999999999998</v>
      </c>
    </row>
    <row r="42" spans="5:11" x14ac:dyDescent="0.45">
      <c r="E42" s="68" t="s">
        <v>108</v>
      </c>
      <c r="F42" s="64" t="s">
        <v>61</v>
      </c>
      <c r="G42" s="50">
        <v>0</v>
      </c>
      <c r="H42" s="27">
        <f>IF(B$25=0,0,G42/B$25)</f>
        <v>0</v>
      </c>
      <c r="J42" s="26">
        <v>40</v>
      </c>
      <c r="K42" s="28">
        <v>190.2</v>
      </c>
    </row>
    <row r="43" spans="5:11" x14ac:dyDescent="0.45">
      <c r="E43" s="68" t="s">
        <v>109</v>
      </c>
      <c r="F43" s="64" t="s">
        <v>62</v>
      </c>
      <c r="G43" s="50">
        <v>0</v>
      </c>
      <c r="H43" s="27">
        <f>IF(B$25=0,0,G43/B$25)</f>
        <v>0</v>
      </c>
      <c r="J43" s="26">
        <v>41</v>
      </c>
      <c r="K43" s="28">
        <v>183.2</v>
      </c>
    </row>
    <row r="44" spans="5:11" x14ac:dyDescent="0.45">
      <c r="E44" s="68" t="s">
        <v>110</v>
      </c>
      <c r="F44" s="64" t="s">
        <v>63</v>
      </c>
      <c r="G44" s="50">
        <v>0</v>
      </c>
      <c r="H44" s="27">
        <f>IF(B$25=0,0,G44/B$25)</f>
        <v>0</v>
      </c>
      <c r="J44" s="26">
        <v>42</v>
      </c>
      <c r="K44" s="28">
        <v>146.79999999999998</v>
      </c>
    </row>
    <row r="45" spans="5:11" x14ac:dyDescent="0.45">
      <c r="E45" s="68" t="s">
        <v>111</v>
      </c>
      <c r="F45" s="64" t="s">
        <v>64</v>
      </c>
      <c r="G45" s="50">
        <v>0</v>
      </c>
      <c r="H45" s="27">
        <f>IF(B$25=0,0,G45/B$25)</f>
        <v>0</v>
      </c>
      <c r="J45" s="26">
        <v>43</v>
      </c>
      <c r="K45" s="28">
        <v>138.29999999999998</v>
      </c>
    </row>
    <row r="46" spans="5:11" x14ac:dyDescent="0.45">
      <c r="E46" s="68" t="s">
        <v>112</v>
      </c>
      <c r="F46" s="64" t="s">
        <v>119</v>
      </c>
      <c r="G46" s="50">
        <v>0</v>
      </c>
      <c r="H46" s="27">
        <f>IF(B$25=0,0,G46/B$25)</f>
        <v>0</v>
      </c>
      <c r="J46" s="26">
        <v>44</v>
      </c>
      <c r="K46" s="28">
        <v>146.69999999999999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136.29999999999998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164.2</v>
      </c>
    </row>
    <row r="49" spans="5:11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143.69999999999999</v>
      </c>
    </row>
    <row r="50" spans="5:11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112.6</v>
      </c>
    </row>
    <row r="51" spans="5:11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128.79999999999998</v>
      </c>
    </row>
    <row r="52" spans="5:11" x14ac:dyDescent="0.45">
      <c r="J52" s="26">
        <v>50</v>
      </c>
      <c r="K52" s="28">
        <v>123.89999999999998</v>
      </c>
    </row>
    <row r="53" spans="5:11" x14ac:dyDescent="0.45">
      <c r="J53" s="26">
        <v>51</v>
      </c>
      <c r="K53" s="28">
        <v>136.69999999999999</v>
      </c>
    </row>
    <row r="54" spans="5:11" x14ac:dyDescent="0.45">
      <c r="J54" s="26">
        <v>52</v>
      </c>
      <c r="K54" s="28">
        <v>137.39999999999998</v>
      </c>
    </row>
    <row r="55" spans="5:11" x14ac:dyDescent="0.45">
      <c r="J55" s="26">
        <v>53</v>
      </c>
      <c r="K55" s="28">
        <v>130.69999999999999</v>
      </c>
    </row>
    <row r="56" spans="5:11" x14ac:dyDescent="0.45">
      <c r="J56" s="26">
        <v>54</v>
      </c>
      <c r="K56" s="28">
        <v>102.69999999999999</v>
      </c>
    </row>
    <row r="57" spans="5:11" x14ac:dyDescent="0.45">
      <c r="J57" s="26">
        <v>55</v>
      </c>
      <c r="K57" s="28">
        <v>119.39999999999999</v>
      </c>
    </row>
    <row r="58" spans="5:11" x14ac:dyDescent="0.45">
      <c r="J58" s="26">
        <v>56</v>
      </c>
      <c r="K58" s="28">
        <v>112.39999999999999</v>
      </c>
    </row>
    <row r="59" spans="5:11" x14ac:dyDescent="0.45">
      <c r="J59" s="26">
        <v>57</v>
      </c>
      <c r="K59" s="28">
        <v>144</v>
      </c>
    </row>
    <row r="60" spans="5:11" x14ac:dyDescent="0.45">
      <c r="J60" s="26">
        <v>58</v>
      </c>
      <c r="K60" s="28">
        <v>159.80000000000001</v>
      </c>
    </row>
    <row r="61" spans="5:11" x14ac:dyDescent="0.45">
      <c r="J61" s="26">
        <v>59</v>
      </c>
      <c r="K61" s="28">
        <v>216.8</v>
      </c>
    </row>
    <row r="62" spans="5:11" x14ac:dyDescent="0.45">
      <c r="J62" s="26">
        <v>60</v>
      </c>
      <c r="K62" s="28">
        <v>222.10000000000002</v>
      </c>
    </row>
    <row r="63" spans="5:11" x14ac:dyDescent="0.45">
      <c r="J63" s="26">
        <v>61</v>
      </c>
      <c r="K63" s="28">
        <v>176.00000000000003</v>
      </c>
    </row>
    <row r="64" spans="5:11" x14ac:dyDescent="0.45">
      <c r="J64" s="26">
        <v>62</v>
      </c>
      <c r="K64" s="28">
        <v>197.10000000000002</v>
      </c>
    </row>
    <row r="65" spans="10:11" x14ac:dyDescent="0.45">
      <c r="J65" s="26">
        <v>63</v>
      </c>
      <c r="K65" s="28">
        <v>131.10000000000002</v>
      </c>
    </row>
    <row r="66" spans="10:11" x14ac:dyDescent="0.45">
      <c r="J66" s="26">
        <v>64</v>
      </c>
      <c r="K66" s="28">
        <v>126.10000000000002</v>
      </c>
    </row>
    <row r="67" spans="10:11" x14ac:dyDescent="0.45">
      <c r="J67" s="26">
        <v>65</v>
      </c>
      <c r="K67" s="28">
        <v>127.10000000000002</v>
      </c>
    </row>
    <row r="68" spans="10:11" x14ac:dyDescent="0.45">
      <c r="J68" s="26">
        <v>66</v>
      </c>
      <c r="K68" s="28">
        <v>158.70000000000002</v>
      </c>
    </row>
    <row r="69" spans="10:11" x14ac:dyDescent="0.45">
      <c r="J69" s="26">
        <v>67</v>
      </c>
      <c r="K69" s="28">
        <v>139.70000000000002</v>
      </c>
    </row>
    <row r="70" spans="10:11" x14ac:dyDescent="0.45">
      <c r="J70" s="26">
        <v>68</v>
      </c>
      <c r="K70" s="28">
        <v>129.80000000000001</v>
      </c>
    </row>
    <row r="71" spans="10:11" x14ac:dyDescent="0.45">
      <c r="J71" s="26">
        <v>69</v>
      </c>
      <c r="K71" s="28">
        <v>130.70000000000002</v>
      </c>
    </row>
    <row r="72" spans="10:11" x14ac:dyDescent="0.45">
      <c r="J72" s="26">
        <v>70</v>
      </c>
      <c r="K72" s="28">
        <v>163</v>
      </c>
    </row>
    <row r="73" spans="10:11" x14ac:dyDescent="0.45">
      <c r="J73" s="26">
        <v>71</v>
      </c>
      <c r="K73" s="28">
        <v>191.4</v>
      </c>
    </row>
    <row r="74" spans="10:11" x14ac:dyDescent="0.45">
      <c r="J74" s="26">
        <v>72</v>
      </c>
      <c r="K74" s="28">
        <v>184</v>
      </c>
    </row>
    <row r="75" spans="10:11" x14ac:dyDescent="0.45">
      <c r="J75" s="26">
        <v>73</v>
      </c>
      <c r="K75" s="28">
        <v>202.3</v>
      </c>
    </row>
    <row r="76" spans="10:11" x14ac:dyDescent="0.45">
      <c r="J76" s="26">
        <v>74</v>
      </c>
      <c r="K76" s="28">
        <v>188.4</v>
      </c>
    </row>
    <row r="77" spans="10:11" x14ac:dyDescent="0.45">
      <c r="J77" s="26">
        <v>75</v>
      </c>
      <c r="K77" s="28">
        <v>228.4</v>
      </c>
    </row>
    <row r="78" spans="10:11" x14ac:dyDescent="0.45">
      <c r="J78" s="26">
        <v>76</v>
      </c>
      <c r="K78" s="28">
        <v>233.6</v>
      </c>
    </row>
    <row r="79" spans="10:11" x14ac:dyDescent="0.45">
      <c r="J79" s="26">
        <v>77</v>
      </c>
      <c r="K79" s="28">
        <v>219.9</v>
      </c>
    </row>
    <row r="80" spans="10:11" x14ac:dyDescent="0.45">
      <c r="J80" s="26">
        <v>78</v>
      </c>
      <c r="K80" s="28">
        <v>225</v>
      </c>
    </row>
    <row r="81" spans="10:11" x14ac:dyDescent="0.45">
      <c r="J81" s="26">
        <v>79</v>
      </c>
      <c r="K81" s="28">
        <v>256.89999999999998</v>
      </c>
    </row>
    <row r="82" spans="10:11" x14ac:dyDescent="0.45">
      <c r="J82" s="26">
        <v>80</v>
      </c>
      <c r="K82" s="28">
        <v>296.89999999999998</v>
      </c>
    </row>
    <row r="83" spans="10:11" x14ac:dyDescent="0.45">
      <c r="J83" s="26">
        <v>81</v>
      </c>
      <c r="K83" s="28">
        <v>319.39999999999998</v>
      </c>
    </row>
    <row r="84" spans="10:11" x14ac:dyDescent="0.45">
      <c r="J84" s="26">
        <v>82</v>
      </c>
      <c r="K84" s="28">
        <v>350.9</v>
      </c>
    </row>
    <row r="85" spans="10:11" x14ac:dyDescent="0.45">
      <c r="J85" s="26">
        <v>83</v>
      </c>
      <c r="K85" s="28">
        <v>410.7</v>
      </c>
    </row>
    <row r="86" spans="10:11" x14ac:dyDescent="0.45">
      <c r="J86" s="26">
        <v>84</v>
      </c>
      <c r="K86" s="28">
        <v>421.8</v>
      </c>
    </row>
    <row r="87" spans="10:11" x14ac:dyDescent="0.45">
      <c r="J87" s="26">
        <v>85</v>
      </c>
      <c r="K87" s="28">
        <v>423.40000000000003</v>
      </c>
    </row>
    <row r="88" spans="10:11" x14ac:dyDescent="0.45">
      <c r="J88" s="26">
        <v>86</v>
      </c>
      <c r="K88" s="28">
        <v>402.00000000000006</v>
      </c>
    </row>
    <row r="89" spans="10:11" x14ac:dyDescent="0.45">
      <c r="J89" s="26">
        <v>87</v>
      </c>
      <c r="K89" s="28">
        <v>405.50000000000006</v>
      </c>
    </row>
    <row r="90" spans="10:11" x14ac:dyDescent="0.45">
      <c r="J90" s="26">
        <v>88</v>
      </c>
      <c r="K90" s="28">
        <v>360.00000000000006</v>
      </c>
    </row>
    <row r="91" spans="10:11" x14ac:dyDescent="0.45">
      <c r="J91" s="26">
        <v>89</v>
      </c>
      <c r="K91" s="28">
        <v>359.40000000000003</v>
      </c>
    </row>
    <row r="92" spans="10:11" x14ac:dyDescent="0.45">
      <c r="J92" s="26">
        <v>90</v>
      </c>
      <c r="K92" s="28">
        <v>385.8</v>
      </c>
    </row>
    <row r="93" spans="10:11" x14ac:dyDescent="0.45">
      <c r="J93" s="26">
        <v>91</v>
      </c>
      <c r="K93" s="28">
        <v>395.5</v>
      </c>
    </row>
    <row r="94" spans="10:11" x14ac:dyDescent="0.45">
      <c r="J94" s="26">
        <v>92</v>
      </c>
      <c r="K94" s="28">
        <v>416.6</v>
      </c>
    </row>
    <row r="95" spans="10:11" x14ac:dyDescent="0.45">
      <c r="J95" s="26">
        <v>93</v>
      </c>
      <c r="K95" s="28">
        <v>459.70000000000005</v>
      </c>
    </row>
    <row r="96" spans="10:11" x14ac:dyDescent="0.45">
      <c r="J96" s="26">
        <v>94</v>
      </c>
      <c r="K96" s="28">
        <v>453.70000000000005</v>
      </c>
    </row>
    <row r="97" spans="10:11" x14ac:dyDescent="0.45">
      <c r="J97" s="26">
        <v>95</v>
      </c>
      <c r="K97" s="28">
        <v>416.20000000000005</v>
      </c>
    </row>
    <row r="98" spans="10:11" x14ac:dyDescent="0.45">
      <c r="J98" s="26">
        <v>96</v>
      </c>
      <c r="K98" s="28">
        <v>376.70000000000005</v>
      </c>
    </row>
    <row r="99" spans="10:11" x14ac:dyDescent="0.45">
      <c r="J99" s="26">
        <v>97</v>
      </c>
      <c r="K99" s="28">
        <v>387.80000000000007</v>
      </c>
    </row>
    <row r="100" spans="10:11" x14ac:dyDescent="0.45">
      <c r="J100" s="26">
        <v>98</v>
      </c>
      <c r="K100" s="28">
        <v>385.80000000000007</v>
      </c>
    </row>
    <row r="101" spans="10:11" x14ac:dyDescent="0.45">
      <c r="J101" s="26">
        <v>99</v>
      </c>
      <c r="K101" s="28">
        <v>429.30000000000007</v>
      </c>
    </row>
    <row r="102" spans="10:11" x14ac:dyDescent="0.45">
      <c r="J102" s="26">
        <v>100</v>
      </c>
      <c r="K102" s="28">
        <v>423.70000000000005</v>
      </c>
    </row>
    <row r="103" spans="10:11" x14ac:dyDescent="0.45">
      <c r="J103" s="26">
        <v>101</v>
      </c>
      <c r="K103" s="28">
        <v>416.30000000000007</v>
      </c>
    </row>
    <row r="104" spans="10:11" x14ac:dyDescent="0.45">
      <c r="J104" s="26">
        <v>102</v>
      </c>
      <c r="K104" s="28">
        <v>378.30000000000007</v>
      </c>
    </row>
    <row r="105" spans="10:11" x14ac:dyDescent="0.45">
      <c r="J105" s="26">
        <v>103</v>
      </c>
      <c r="K105" s="28">
        <v>359.50000000000006</v>
      </c>
    </row>
    <row r="106" spans="10:11" x14ac:dyDescent="0.45">
      <c r="J106" s="26">
        <v>104</v>
      </c>
      <c r="K106" s="28">
        <v>386.50000000000006</v>
      </c>
    </row>
    <row r="107" spans="10:11" x14ac:dyDescent="0.45">
      <c r="J107" s="26">
        <v>105</v>
      </c>
      <c r="K107" s="28">
        <v>431.10000000000008</v>
      </c>
    </row>
    <row r="108" spans="10:11" x14ac:dyDescent="0.45">
      <c r="J108" s="26">
        <v>106</v>
      </c>
      <c r="K108" s="28">
        <v>438.10000000000008</v>
      </c>
    </row>
    <row r="109" spans="10:11" x14ac:dyDescent="0.45">
      <c r="J109" s="26">
        <v>107</v>
      </c>
      <c r="K109" s="28">
        <v>426.80000000000007</v>
      </c>
    </row>
    <row r="110" spans="10:11" x14ac:dyDescent="0.45">
      <c r="J110" s="26">
        <v>108</v>
      </c>
      <c r="K110" s="28">
        <v>411.30000000000007</v>
      </c>
    </row>
    <row r="111" spans="10:11" x14ac:dyDescent="0.45">
      <c r="J111" s="26">
        <v>109</v>
      </c>
      <c r="K111" s="28">
        <v>392.00000000000006</v>
      </c>
    </row>
    <row r="112" spans="10:11" x14ac:dyDescent="0.45">
      <c r="J112" s="26">
        <v>110</v>
      </c>
      <c r="K112" s="28">
        <v>416.00000000000006</v>
      </c>
    </row>
    <row r="113" spans="10:11" x14ac:dyDescent="0.45">
      <c r="J113" s="26">
        <v>111</v>
      </c>
      <c r="K113" s="28">
        <v>435.50000000000006</v>
      </c>
    </row>
    <row r="114" spans="10:11" x14ac:dyDescent="0.45">
      <c r="J114" s="26">
        <v>112</v>
      </c>
      <c r="K114" s="28">
        <v>430.10000000000008</v>
      </c>
    </row>
    <row r="115" spans="10:11" x14ac:dyDescent="0.45">
      <c r="J115" s="26">
        <v>113</v>
      </c>
      <c r="K115" s="28">
        <v>486.10000000000008</v>
      </c>
    </row>
    <row r="116" spans="10:11" x14ac:dyDescent="0.45">
      <c r="J116" s="26">
        <v>114</v>
      </c>
      <c r="K116" s="28">
        <v>503.2000000000001</v>
      </c>
    </row>
    <row r="117" spans="10:11" x14ac:dyDescent="0.45">
      <c r="J117" s="26">
        <v>115</v>
      </c>
      <c r="K117" s="28">
        <v>465.2000000000001</v>
      </c>
    </row>
    <row r="118" spans="10:11" x14ac:dyDescent="0.45">
      <c r="J118" s="26">
        <v>116</v>
      </c>
      <c r="K118" s="28">
        <v>481.7000000000001</v>
      </c>
    </row>
    <row r="119" spans="10:11" x14ac:dyDescent="0.45">
      <c r="J119" s="26">
        <v>117</v>
      </c>
      <c r="K119" s="28">
        <v>497.00000000000011</v>
      </c>
    </row>
    <row r="120" spans="10:11" x14ac:dyDescent="0.45">
      <c r="J120" s="26">
        <v>118</v>
      </c>
      <c r="K120" s="28">
        <v>508.60000000000014</v>
      </c>
    </row>
  </sheetData>
  <sortState ref="E2:H120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36450-EDC2-43B3-9B1C-70BE0D7DC67F}">
  <sheetPr codeName="Sheet5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3" t="s">
        <v>191</v>
      </c>
      <c r="C1" s="84"/>
      <c r="E1" s="66" t="s">
        <v>210</v>
      </c>
      <c r="F1" s="73" t="s">
        <v>122</v>
      </c>
      <c r="G1" s="72" t="s">
        <v>123</v>
      </c>
      <c r="H1" s="73" t="s">
        <v>124</v>
      </c>
      <c r="J1" s="21" t="s">
        <v>22</v>
      </c>
      <c r="K1" s="22" t="s">
        <v>127</v>
      </c>
      <c r="M1" s="21" t="s">
        <v>204</v>
      </c>
      <c r="N1" s="73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79">
        <v>4</v>
      </c>
      <c r="C2" s="80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-9250</v>
      </c>
      <c r="O2" s="41">
        <v>-37000</v>
      </c>
      <c r="P2" s="39">
        <v>4</v>
      </c>
    </row>
    <row r="3" spans="1:16" x14ac:dyDescent="0.45">
      <c r="A3" s="58" t="s">
        <v>8</v>
      </c>
      <c r="B3" s="85">
        <v>25</v>
      </c>
      <c r="C3" s="86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-22</v>
      </c>
      <c r="M3" s="26" t="s">
        <v>199</v>
      </c>
      <c r="N3" s="45">
        <f t="shared" si="0"/>
        <v>-7225</v>
      </c>
      <c r="O3" s="42">
        <v>-28900</v>
      </c>
      <c r="P3" s="37">
        <v>4</v>
      </c>
    </row>
    <row r="4" spans="1:16" x14ac:dyDescent="0.45">
      <c r="A4" s="58" t="s">
        <v>6</v>
      </c>
      <c r="B4" s="87">
        <v>-132.1</v>
      </c>
      <c r="C4" s="88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-60.4</v>
      </c>
      <c r="M4" s="26" t="s">
        <v>200</v>
      </c>
      <c r="N4" s="45">
        <f t="shared" si="0"/>
        <v>-10875</v>
      </c>
      <c r="O4" s="42">
        <v>-43500</v>
      </c>
      <c r="P4" s="37">
        <v>4</v>
      </c>
    </row>
    <row r="5" spans="1:16" x14ac:dyDescent="0.45">
      <c r="A5" s="58" t="s">
        <v>7</v>
      </c>
      <c r="B5" s="87">
        <f>IF(B$2=0,0,B$4/B$2)</f>
        <v>-33.024999999999999</v>
      </c>
      <c r="C5" s="88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-85.6</v>
      </c>
      <c r="M5" s="26" t="s">
        <v>201</v>
      </c>
      <c r="N5" s="45">
        <f t="shared" si="0"/>
        <v>-2850</v>
      </c>
      <c r="O5" s="42">
        <v>-5700</v>
      </c>
      <c r="P5" s="37">
        <v>2</v>
      </c>
    </row>
    <row r="6" spans="1:16" x14ac:dyDescent="0.45">
      <c r="A6" s="58" t="s">
        <v>1</v>
      </c>
      <c r="B6" s="77">
        <f>IF(B$2=0,0,(B$7*1+B$8*2+B$9*3)/B$2)</f>
        <v>3</v>
      </c>
      <c r="C6" s="78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-132.1</v>
      </c>
      <c r="M6" s="26" t="s">
        <v>202</v>
      </c>
      <c r="N6" s="45">
        <f t="shared" si="0"/>
        <v>-6000</v>
      </c>
      <c r="O6" s="42">
        <v>-12000</v>
      </c>
      <c r="P6" s="37">
        <v>2</v>
      </c>
    </row>
    <row r="7" spans="1:16" x14ac:dyDescent="0.45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203</v>
      </c>
      <c r="N7" s="46">
        <f t="shared" si="0"/>
        <v>-5000</v>
      </c>
      <c r="O7" s="43">
        <v>-5000</v>
      </c>
      <c r="P7" s="38">
        <v>1</v>
      </c>
    </row>
    <row r="8" spans="1:16" x14ac:dyDescent="0.45">
      <c r="A8" s="58" t="s">
        <v>3</v>
      </c>
      <c r="B8" s="50">
        <v>0</v>
      </c>
      <c r="C8" s="27">
        <f t="shared" ref="C8:C9" si="1">IF(B$2=0,0,B8/B$2)</f>
        <v>0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5">
      <c r="A9" s="59" t="s">
        <v>4</v>
      </c>
      <c r="B9" s="51">
        <v>4</v>
      </c>
      <c r="C9" s="29">
        <f t="shared" si="1"/>
        <v>1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5">
      <c r="A10" s="59" t="s">
        <v>21</v>
      </c>
      <c r="B10" s="51">
        <v>2</v>
      </c>
      <c r="C10" s="29">
        <f>IF(B$2=0,0,B10/B$2)</f>
        <v>0.5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5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5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5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5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5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5">
      <c r="A16" s="57" t="s">
        <v>10</v>
      </c>
      <c r="B16" s="49">
        <f>B17+B18</f>
        <v>1</v>
      </c>
      <c r="C16" s="24">
        <f>IF(B$3=0,0,B16/B$3)</f>
        <v>0.04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5">
      <c r="A17" s="58" t="s">
        <v>11</v>
      </c>
      <c r="B17" s="50">
        <v>0</v>
      </c>
      <c r="C17" s="27">
        <f>IF(B$3=0,0,B17/B$3)</f>
        <v>0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5">
      <c r="A18" s="58" t="s">
        <v>12</v>
      </c>
      <c r="B18" s="50">
        <v>1</v>
      </c>
      <c r="C18" s="27">
        <f>IF(B$3=0,0,B18/B$3)</f>
        <v>0.04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5">
      <c r="A19" s="58" t="s">
        <v>13</v>
      </c>
      <c r="B19" s="50">
        <v>10</v>
      </c>
      <c r="C19" s="27">
        <f>IF(B$3=0,0,B19/B$3)</f>
        <v>0.4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5">
      <c r="A20" s="58" t="s">
        <v>5</v>
      </c>
      <c r="B20" s="54">
        <f>IF(B$16=0,0,C20/B$16)</f>
        <v>7800</v>
      </c>
      <c r="C20" s="30">
        <v>7800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5">
      <c r="A21" s="60" t="s">
        <v>14</v>
      </c>
      <c r="B21" s="55">
        <f>IF(B$19=0,0,C21/B$19)</f>
        <v>-8240</v>
      </c>
      <c r="C21" s="48">
        <v>-82400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5">
      <c r="A22" s="57" t="s">
        <v>195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5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5">
      <c r="A24" s="57" t="s">
        <v>128</v>
      </c>
      <c r="B24" s="79">
        <v>0</v>
      </c>
      <c r="C24" s="80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5">
      <c r="A25" s="60" t="s">
        <v>129</v>
      </c>
      <c r="B25" s="81">
        <v>0</v>
      </c>
      <c r="C25" s="82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5"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5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56E9C-14B5-48E0-BAAA-5D480D924789}">
  <sheetPr codeName="Sheet6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3" t="s">
        <v>215</v>
      </c>
      <c r="C1" s="84"/>
      <c r="E1" s="66" t="s">
        <v>210</v>
      </c>
      <c r="F1" s="73" t="s">
        <v>122</v>
      </c>
      <c r="G1" s="72" t="s">
        <v>123</v>
      </c>
      <c r="H1" s="73" t="s">
        <v>124</v>
      </c>
      <c r="J1" s="21" t="s">
        <v>22</v>
      </c>
      <c r="K1" s="22" t="s">
        <v>127</v>
      </c>
      <c r="M1" s="21" t="s">
        <v>204</v>
      </c>
      <c r="N1" s="73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79">
        <v>2</v>
      </c>
      <c r="C2" s="80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-11250</v>
      </c>
      <c r="O2" s="41">
        <v>-22500</v>
      </c>
      <c r="P2" s="39">
        <v>2</v>
      </c>
    </row>
    <row r="3" spans="1:16" x14ac:dyDescent="0.45">
      <c r="A3" s="58" t="s">
        <v>8</v>
      </c>
      <c r="B3" s="85">
        <v>7</v>
      </c>
      <c r="C3" s="86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7</v>
      </c>
      <c r="M3" s="26" t="s">
        <v>199</v>
      </c>
      <c r="N3" s="45">
        <f t="shared" si="0"/>
        <v>0</v>
      </c>
      <c r="O3" s="42">
        <v>0</v>
      </c>
      <c r="P3" s="37">
        <v>1</v>
      </c>
    </row>
    <row r="4" spans="1:16" x14ac:dyDescent="0.45">
      <c r="A4" s="58" t="s">
        <v>6</v>
      </c>
      <c r="B4" s="87">
        <v>-24.5</v>
      </c>
      <c r="C4" s="88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-24.5</v>
      </c>
      <c r="M4" s="26" t="s">
        <v>200</v>
      </c>
      <c r="N4" s="45">
        <f t="shared" si="0"/>
        <v>-2000</v>
      </c>
      <c r="O4" s="42">
        <v>-2000</v>
      </c>
      <c r="P4" s="37">
        <v>1</v>
      </c>
    </row>
    <row r="5" spans="1:16" x14ac:dyDescent="0.45">
      <c r="A5" s="58" t="s">
        <v>7</v>
      </c>
      <c r="B5" s="87">
        <f>IF(B$2=0,0,B$4/B$2)</f>
        <v>-12.25</v>
      </c>
      <c r="C5" s="88"/>
      <c r="E5" s="68" t="s">
        <v>72</v>
      </c>
      <c r="F5" s="64" t="s">
        <v>26</v>
      </c>
      <c r="G5" s="50">
        <v>0</v>
      </c>
      <c r="H5" s="27">
        <f>IF(B$25=0,0,G5/B$25)</f>
        <v>0</v>
      </c>
      <c r="M5" s="26" t="s">
        <v>201</v>
      </c>
      <c r="N5" s="45">
        <f t="shared" si="0"/>
        <v>0</v>
      </c>
      <c r="O5" s="42">
        <v>0</v>
      </c>
      <c r="P5" s="37">
        <v>0</v>
      </c>
    </row>
    <row r="6" spans="1:16" x14ac:dyDescent="0.45">
      <c r="A6" s="58" t="s">
        <v>1</v>
      </c>
      <c r="B6" s="77">
        <f>IF(B$2=0,0,(B$7*1+B$8*2+B$9*3)/B$2)</f>
        <v>2.5</v>
      </c>
      <c r="C6" s="78"/>
      <c r="E6" s="68" t="s">
        <v>73</v>
      </c>
      <c r="F6" s="64" t="s">
        <v>27</v>
      </c>
      <c r="G6" s="50">
        <v>0</v>
      </c>
      <c r="H6" s="27">
        <f>IF(B$25=0,0,G6/B$25)</f>
        <v>0</v>
      </c>
      <c r="M6" s="26" t="s">
        <v>202</v>
      </c>
      <c r="N6" s="45">
        <f t="shared" si="0"/>
        <v>0</v>
      </c>
      <c r="O6" s="42">
        <v>0</v>
      </c>
      <c r="P6" s="37">
        <v>0</v>
      </c>
    </row>
    <row r="7" spans="1:16" x14ac:dyDescent="0.45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203</v>
      </c>
      <c r="N7" s="46">
        <f t="shared" si="0"/>
        <v>0</v>
      </c>
      <c r="O7" s="43">
        <v>0</v>
      </c>
      <c r="P7" s="38">
        <v>0</v>
      </c>
    </row>
    <row r="8" spans="1:16" x14ac:dyDescent="0.45">
      <c r="A8" s="58" t="s">
        <v>3</v>
      </c>
      <c r="B8" s="50">
        <v>1</v>
      </c>
      <c r="C8" s="27">
        <f t="shared" ref="C8:C9" si="1">IF(B$2=0,0,B8/B$2)</f>
        <v>0.5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5">
      <c r="A9" s="59" t="s">
        <v>4</v>
      </c>
      <c r="B9" s="51">
        <v>1</v>
      </c>
      <c r="C9" s="29">
        <f t="shared" si="1"/>
        <v>0.5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5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5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5">
      <c r="A12" s="61" t="s">
        <v>130</v>
      </c>
      <c r="B12" s="53">
        <v>1</v>
      </c>
      <c r="C12" s="35">
        <f>IF(B$24=0,0,B12/B$24)</f>
        <v>0.5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5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5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5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5">
      <c r="A16" s="57" t="s">
        <v>10</v>
      </c>
      <c r="B16" s="49">
        <f>B17+B18</f>
        <v>2</v>
      </c>
      <c r="C16" s="24">
        <f>IF(B$3=0,0,B16/B$3)</f>
        <v>0.2857142857142857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5">
      <c r="A17" s="58" t="s">
        <v>11</v>
      </c>
      <c r="B17" s="50">
        <v>2</v>
      </c>
      <c r="C17" s="27">
        <f>IF(B$3=0,0,B17/B$3)</f>
        <v>0.2857142857142857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5">
      <c r="A18" s="58" t="s">
        <v>12</v>
      </c>
      <c r="B18" s="50">
        <v>0</v>
      </c>
      <c r="C18" s="27">
        <f>IF(B$3=0,0,B18/B$3)</f>
        <v>0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5">
      <c r="A19" s="58" t="s">
        <v>13</v>
      </c>
      <c r="B19" s="50">
        <v>2</v>
      </c>
      <c r="C19" s="27">
        <f>IF(B$3=0,0,B19/B$3)</f>
        <v>0.2857142857142857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5">
      <c r="A20" s="58" t="s">
        <v>5</v>
      </c>
      <c r="B20" s="54">
        <f>IF(B$16=0,0,C20/B$16)</f>
        <v>8000</v>
      </c>
      <c r="C20" s="30">
        <v>16000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5">
      <c r="A21" s="60" t="s">
        <v>14</v>
      </c>
      <c r="B21" s="55">
        <f>IF(B$19=0,0,C21/B$19)</f>
        <v>-12000</v>
      </c>
      <c r="C21" s="48">
        <v>-24000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5">
      <c r="A22" s="57" t="s">
        <v>195</v>
      </c>
      <c r="B22" s="49">
        <v>1</v>
      </c>
      <c r="C22" s="24">
        <f>IF(B$3=0,0,B22/B$3)</f>
        <v>0.14285714285714285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5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5">
      <c r="A24" s="57" t="s">
        <v>128</v>
      </c>
      <c r="B24" s="79">
        <v>2</v>
      </c>
      <c r="C24" s="80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5">
      <c r="A25" s="60" t="s">
        <v>129</v>
      </c>
      <c r="B25" s="81">
        <v>0</v>
      </c>
      <c r="C25" s="82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5"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5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3FD0D-C0DA-49D2-9DB2-64C22CD956F3}">
  <sheetPr codeName="Sheet7"/>
  <dimension ref="A1:P84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3" t="s">
        <v>187</v>
      </c>
      <c r="C1" s="84"/>
      <c r="E1" s="66" t="s">
        <v>210</v>
      </c>
      <c r="F1" s="73" t="s">
        <v>122</v>
      </c>
      <c r="G1" s="72" t="s">
        <v>123</v>
      </c>
      <c r="H1" s="73" t="s">
        <v>124</v>
      </c>
      <c r="J1" s="21" t="s">
        <v>22</v>
      </c>
      <c r="K1" s="22" t="s">
        <v>127</v>
      </c>
      <c r="M1" s="21" t="s">
        <v>204</v>
      </c>
      <c r="N1" s="73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79">
        <v>82</v>
      </c>
      <c r="C2" s="80"/>
      <c r="E2" s="67" t="s">
        <v>73</v>
      </c>
      <c r="F2" s="63" t="s">
        <v>27</v>
      </c>
      <c r="G2" s="49">
        <v>72</v>
      </c>
      <c r="H2" s="24">
        <f>IF(B$25=0,0,G2/B$25)</f>
        <v>0.75789473684210529</v>
      </c>
      <c r="J2" s="23">
        <v>0</v>
      </c>
      <c r="K2" s="25">
        <v>0</v>
      </c>
      <c r="M2" s="23" t="s">
        <v>198</v>
      </c>
      <c r="N2" s="44">
        <f t="shared" ref="N2:N7" si="0">IF(P2=0,0,O2/P2)</f>
        <v>2.5</v>
      </c>
      <c r="O2" s="41">
        <v>200</v>
      </c>
      <c r="P2" s="39">
        <v>80</v>
      </c>
    </row>
    <row r="3" spans="1:16" x14ac:dyDescent="0.45">
      <c r="A3" s="58" t="s">
        <v>8</v>
      </c>
      <c r="B3" s="85">
        <v>616</v>
      </c>
      <c r="C3" s="86"/>
      <c r="E3" s="68" t="s">
        <v>71</v>
      </c>
      <c r="F3" s="64" t="s">
        <v>25</v>
      </c>
      <c r="G3" s="50">
        <v>58</v>
      </c>
      <c r="H3" s="27">
        <f>IF(B$25=0,0,G3/B$25)</f>
        <v>0.61052631578947369</v>
      </c>
      <c r="J3" s="26">
        <v>1</v>
      </c>
      <c r="K3" s="28">
        <v>40.9</v>
      </c>
      <c r="M3" s="26" t="s">
        <v>199</v>
      </c>
      <c r="N3" s="45">
        <f t="shared" si="0"/>
        <v>-2002.6315789473683</v>
      </c>
      <c r="O3" s="42">
        <v>-152200</v>
      </c>
      <c r="P3" s="37">
        <v>76</v>
      </c>
    </row>
    <row r="4" spans="1:16" x14ac:dyDescent="0.45">
      <c r="A4" s="58" t="s">
        <v>6</v>
      </c>
      <c r="B4" s="87">
        <v>-398.59999999999991</v>
      </c>
      <c r="C4" s="88"/>
      <c r="E4" s="68" t="s">
        <v>69</v>
      </c>
      <c r="F4" s="64" t="s">
        <v>23</v>
      </c>
      <c r="G4" s="50">
        <v>56</v>
      </c>
      <c r="H4" s="27">
        <f>IF(B$25=0,0,G4/B$25)</f>
        <v>0.58947368421052626</v>
      </c>
      <c r="J4" s="26">
        <v>2</v>
      </c>
      <c r="K4" s="28">
        <v>-0.89999999999999858</v>
      </c>
      <c r="M4" s="26" t="s">
        <v>200</v>
      </c>
      <c r="N4" s="45">
        <f t="shared" si="0"/>
        <v>1770.2702702702702</v>
      </c>
      <c r="O4" s="42">
        <v>131000</v>
      </c>
      <c r="P4" s="37">
        <v>74</v>
      </c>
    </row>
    <row r="5" spans="1:16" x14ac:dyDescent="0.45">
      <c r="A5" s="58" t="s">
        <v>7</v>
      </c>
      <c r="B5" s="87">
        <f>IF(B$2=0,0,B$4/B$2)</f>
        <v>-4.8609756097560961</v>
      </c>
      <c r="C5" s="88"/>
      <c r="E5" s="68" t="s">
        <v>78</v>
      </c>
      <c r="F5" s="64" t="s">
        <v>31</v>
      </c>
      <c r="G5" s="50">
        <v>52</v>
      </c>
      <c r="H5" s="27">
        <f>IF(B$25=0,0,G5/B$25)</f>
        <v>0.54736842105263162</v>
      </c>
      <c r="J5" s="26">
        <v>3</v>
      </c>
      <c r="K5" s="28">
        <v>-36.4</v>
      </c>
      <c r="M5" s="26" t="s">
        <v>201</v>
      </c>
      <c r="N5" s="45">
        <f t="shared" si="0"/>
        <v>-2136.3636363636365</v>
      </c>
      <c r="O5" s="42">
        <v>-141000</v>
      </c>
      <c r="P5" s="37">
        <v>66</v>
      </c>
    </row>
    <row r="6" spans="1:16" x14ac:dyDescent="0.45">
      <c r="A6" s="58" t="s">
        <v>1</v>
      </c>
      <c r="B6" s="77">
        <f>IF(B$2=0,0,(B$7*1+B$8*2+B$9*3)/B$2)</f>
        <v>2.1341463414634148</v>
      </c>
      <c r="C6" s="78"/>
      <c r="E6" s="68" t="s">
        <v>74</v>
      </c>
      <c r="F6" s="64" t="s">
        <v>12</v>
      </c>
      <c r="G6" s="50">
        <v>30</v>
      </c>
      <c r="H6" s="27">
        <f>IF(B$25=0,0,G6/B$25)</f>
        <v>0.31578947368421051</v>
      </c>
      <c r="J6" s="26">
        <v>4</v>
      </c>
      <c r="K6" s="28">
        <v>3.6000000000000014</v>
      </c>
      <c r="M6" s="26" t="s">
        <v>202</v>
      </c>
      <c r="N6" s="45">
        <f t="shared" si="0"/>
        <v>-3094.3396226415093</v>
      </c>
      <c r="O6" s="42">
        <v>-164000</v>
      </c>
      <c r="P6" s="37">
        <v>53</v>
      </c>
    </row>
    <row r="7" spans="1:16" x14ac:dyDescent="0.45">
      <c r="A7" s="58" t="s">
        <v>2</v>
      </c>
      <c r="B7" s="50">
        <v>24</v>
      </c>
      <c r="C7" s="27">
        <f>IF(B$2=0,0,B7/B$2)</f>
        <v>0.29268292682926828</v>
      </c>
      <c r="E7" s="68" t="s">
        <v>72</v>
      </c>
      <c r="F7" s="64" t="s">
        <v>26</v>
      </c>
      <c r="G7" s="50">
        <v>21</v>
      </c>
      <c r="H7" s="27">
        <f>IF(B$25=0,0,G7/B$25)</f>
        <v>0.22105263157894736</v>
      </c>
      <c r="J7" s="26">
        <v>5</v>
      </c>
      <c r="K7" s="28">
        <v>14.600000000000001</v>
      </c>
      <c r="M7" s="31" t="s">
        <v>203</v>
      </c>
      <c r="N7" s="46">
        <f t="shared" si="0"/>
        <v>-2765</v>
      </c>
      <c r="O7" s="43">
        <v>-110600</v>
      </c>
      <c r="P7" s="38">
        <v>40</v>
      </c>
    </row>
    <row r="8" spans="1:16" x14ac:dyDescent="0.45">
      <c r="A8" s="58" t="s">
        <v>3</v>
      </c>
      <c r="B8" s="50">
        <v>23</v>
      </c>
      <c r="C8" s="27">
        <f t="shared" ref="C8:C9" si="1">IF(B$2=0,0,B8/B$2)</f>
        <v>0.28048780487804881</v>
      </c>
      <c r="E8" s="68" t="s">
        <v>75</v>
      </c>
      <c r="F8" s="64" t="s">
        <v>28</v>
      </c>
      <c r="G8" s="50">
        <v>14</v>
      </c>
      <c r="H8" s="27">
        <f>IF(B$25=0,0,G8/B$25)</f>
        <v>0.14736842105263157</v>
      </c>
      <c r="J8" s="26">
        <v>6</v>
      </c>
      <c r="K8" s="28">
        <v>47.6</v>
      </c>
    </row>
    <row r="9" spans="1:16" x14ac:dyDescent="0.45">
      <c r="A9" s="59" t="s">
        <v>4</v>
      </c>
      <c r="B9" s="51">
        <v>35</v>
      </c>
      <c r="C9" s="29">
        <f t="shared" si="1"/>
        <v>0.42682926829268292</v>
      </c>
      <c r="E9" s="68" t="s">
        <v>76</v>
      </c>
      <c r="F9" s="64" t="s">
        <v>29</v>
      </c>
      <c r="G9" s="50">
        <v>14</v>
      </c>
      <c r="H9" s="27">
        <f>IF(B$25=0,0,G9/B$25)</f>
        <v>0.14736842105263157</v>
      </c>
      <c r="J9" s="26">
        <v>7</v>
      </c>
      <c r="K9" s="28">
        <v>100.1</v>
      </c>
    </row>
    <row r="10" spans="1:16" x14ac:dyDescent="0.45">
      <c r="A10" s="59" t="s">
        <v>21</v>
      </c>
      <c r="B10" s="51">
        <v>20</v>
      </c>
      <c r="C10" s="29">
        <f>IF(B$2=0,0,B10/B$2)</f>
        <v>0.24390243902439024</v>
      </c>
      <c r="E10" s="68" t="s">
        <v>96</v>
      </c>
      <c r="F10" s="64" t="s">
        <v>49</v>
      </c>
      <c r="G10" s="50">
        <v>14</v>
      </c>
      <c r="H10" s="27">
        <f>IF(B$25=0,0,G10/B$25)</f>
        <v>0.14736842105263157</v>
      </c>
      <c r="J10" s="26">
        <v>8</v>
      </c>
      <c r="K10" s="28">
        <v>60.199999999999996</v>
      </c>
    </row>
    <row r="11" spans="1:16" x14ac:dyDescent="0.45">
      <c r="A11" s="60" t="s">
        <v>208</v>
      </c>
      <c r="B11" s="52">
        <v>12</v>
      </c>
      <c r="C11" s="32">
        <f>IF(B$2=0,0,B11/B$2)</f>
        <v>0.14634146341463414</v>
      </c>
      <c r="E11" s="68" t="s">
        <v>70</v>
      </c>
      <c r="F11" s="64" t="s">
        <v>24</v>
      </c>
      <c r="G11" s="50">
        <v>12</v>
      </c>
      <c r="H11" s="27">
        <f>IF(B$25=0,0,G11/B$25)</f>
        <v>0.12631578947368421</v>
      </c>
      <c r="J11" s="26">
        <v>9</v>
      </c>
      <c r="K11" s="28">
        <v>24.4</v>
      </c>
    </row>
    <row r="12" spans="1:16" x14ac:dyDescent="0.45">
      <c r="A12" s="61" t="s">
        <v>130</v>
      </c>
      <c r="B12" s="53">
        <v>102</v>
      </c>
      <c r="C12" s="35">
        <f>IF(B$24=0,0,B12/B$24)</f>
        <v>0.28732394366197184</v>
      </c>
      <c r="E12" s="68" t="s">
        <v>93</v>
      </c>
      <c r="F12" s="64" t="s">
        <v>46</v>
      </c>
      <c r="G12" s="50">
        <v>12</v>
      </c>
      <c r="H12" s="27">
        <f>IF(B$25=0,0,G12/B$25)</f>
        <v>0.12631578947368421</v>
      </c>
      <c r="J12" s="26">
        <v>10</v>
      </c>
      <c r="K12" s="28">
        <v>-20.100000000000001</v>
      </c>
    </row>
    <row r="13" spans="1:16" x14ac:dyDescent="0.45">
      <c r="A13" s="58" t="s">
        <v>125</v>
      </c>
      <c r="B13" s="50">
        <v>63</v>
      </c>
      <c r="C13" s="27">
        <f>IF(B$24=0,0,B13/B$24)</f>
        <v>0.17746478873239438</v>
      </c>
      <c r="E13" s="68" t="s">
        <v>90</v>
      </c>
      <c r="F13" s="64" t="s">
        <v>43</v>
      </c>
      <c r="G13" s="50">
        <v>9</v>
      </c>
      <c r="H13" s="27">
        <f>IF(B$25=0,0,G13/B$25)</f>
        <v>9.4736842105263161E-2</v>
      </c>
      <c r="J13" s="26">
        <v>11</v>
      </c>
      <c r="K13" s="28">
        <v>-3.6000000000000014</v>
      </c>
    </row>
    <row r="14" spans="1:16" x14ac:dyDescent="0.45">
      <c r="A14" s="57" t="s">
        <v>132</v>
      </c>
      <c r="B14" s="49">
        <v>56</v>
      </c>
      <c r="C14" s="24">
        <f>IF(B$12=0,0,B14/B$12)</f>
        <v>0.5490196078431373</v>
      </c>
      <c r="E14" s="68" t="s">
        <v>98</v>
      </c>
      <c r="F14" s="64" t="s">
        <v>51</v>
      </c>
      <c r="G14" s="50">
        <v>6</v>
      </c>
      <c r="H14" s="27">
        <f>IF(B$25=0,0,G14/B$25)</f>
        <v>6.3157894736842107E-2</v>
      </c>
      <c r="J14" s="26">
        <v>12</v>
      </c>
      <c r="K14" s="28">
        <v>-12.000000000000002</v>
      </c>
    </row>
    <row r="15" spans="1:16" x14ac:dyDescent="0.45">
      <c r="A15" s="57" t="s">
        <v>133</v>
      </c>
      <c r="B15" s="49">
        <v>24</v>
      </c>
      <c r="C15" s="24">
        <f>IF(B$13=0,0,B15/B$13)</f>
        <v>0.38095238095238093</v>
      </c>
      <c r="E15" s="68" t="s">
        <v>77</v>
      </c>
      <c r="F15" s="64" t="s">
        <v>30</v>
      </c>
      <c r="G15" s="50">
        <v>4</v>
      </c>
      <c r="H15" s="27">
        <f>IF(B$25=0,0,G15/B$25)</f>
        <v>4.2105263157894736E-2</v>
      </c>
      <c r="J15" s="26">
        <v>13</v>
      </c>
      <c r="K15" s="28">
        <v>49.5</v>
      </c>
    </row>
    <row r="16" spans="1:16" x14ac:dyDescent="0.45">
      <c r="A16" s="57" t="s">
        <v>10</v>
      </c>
      <c r="B16" s="49">
        <f>B17+B18</f>
        <v>156</v>
      </c>
      <c r="C16" s="24">
        <f>IF(B$3=0,0,B16/B$3)</f>
        <v>0.25324675324675322</v>
      </c>
      <c r="E16" s="68" t="s">
        <v>88</v>
      </c>
      <c r="F16" s="64" t="s">
        <v>41</v>
      </c>
      <c r="G16" s="50">
        <v>4</v>
      </c>
      <c r="H16" s="27">
        <f>IF(B$25=0,0,G16/B$25)</f>
        <v>4.2105263157894736E-2</v>
      </c>
      <c r="J16" s="26">
        <v>14</v>
      </c>
      <c r="K16" s="28">
        <v>33</v>
      </c>
    </row>
    <row r="17" spans="1:11" x14ac:dyDescent="0.45">
      <c r="A17" s="58" t="s">
        <v>11</v>
      </c>
      <c r="B17" s="50">
        <v>93</v>
      </c>
      <c r="C17" s="27">
        <f>IF(B$3=0,0,B17/B$3)</f>
        <v>0.15097402597402598</v>
      </c>
      <c r="E17" s="68" t="s">
        <v>84</v>
      </c>
      <c r="F17" s="64" t="s">
        <v>37</v>
      </c>
      <c r="G17" s="50">
        <v>2</v>
      </c>
      <c r="H17" s="27">
        <f>IF(B$25=0,0,G17/B$25)</f>
        <v>2.1052631578947368E-2</v>
      </c>
      <c r="J17" s="26">
        <v>15</v>
      </c>
      <c r="K17" s="28">
        <v>38.5</v>
      </c>
    </row>
    <row r="18" spans="1:11" x14ac:dyDescent="0.45">
      <c r="A18" s="58" t="s">
        <v>12</v>
      </c>
      <c r="B18" s="50">
        <v>63</v>
      </c>
      <c r="C18" s="27">
        <f>IF(B$3=0,0,B18/B$3)</f>
        <v>0.10227272727272728</v>
      </c>
      <c r="E18" s="68" t="s">
        <v>85</v>
      </c>
      <c r="F18" s="64" t="s">
        <v>38</v>
      </c>
      <c r="G18" s="50">
        <v>2</v>
      </c>
      <c r="H18" s="27">
        <f>IF(B$25=0,0,G18/B$25)</f>
        <v>2.1052631578947368E-2</v>
      </c>
      <c r="J18" s="26">
        <v>16</v>
      </c>
      <c r="K18" s="28">
        <v>14.600000000000001</v>
      </c>
    </row>
    <row r="19" spans="1:11" x14ac:dyDescent="0.45">
      <c r="A19" s="58" t="s">
        <v>13</v>
      </c>
      <c r="B19" s="50">
        <v>123</v>
      </c>
      <c r="C19" s="27">
        <f>IF(B$3=0,0,B19/B$3)</f>
        <v>0.19967532467532467</v>
      </c>
      <c r="E19" s="68" t="s">
        <v>99</v>
      </c>
      <c r="F19" s="64" t="s">
        <v>52</v>
      </c>
      <c r="G19" s="50">
        <v>2</v>
      </c>
      <c r="H19" s="27">
        <f>IF(B$25=0,0,G19/B$25)</f>
        <v>2.1052631578947368E-2</v>
      </c>
      <c r="J19" s="26">
        <v>17</v>
      </c>
      <c r="K19" s="28">
        <v>13.900000000000002</v>
      </c>
    </row>
    <row r="20" spans="1:11" x14ac:dyDescent="0.45">
      <c r="A20" s="58" t="s">
        <v>5</v>
      </c>
      <c r="B20" s="54">
        <f>IF(B$16=0,0,C20/B$16)</f>
        <v>11389.102564102564</v>
      </c>
      <c r="C20" s="30">
        <v>1776700</v>
      </c>
      <c r="E20" s="68" t="s">
        <v>87</v>
      </c>
      <c r="F20" s="64" t="s">
        <v>40</v>
      </c>
      <c r="G20" s="50">
        <v>1</v>
      </c>
      <c r="H20" s="27">
        <f>IF(B$25=0,0,G20/B$25)</f>
        <v>1.0526315789473684E-2</v>
      </c>
      <c r="J20" s="26">
        <v>18</v>
      </c>
      <c r="K20" s="28">
        <v>-21.999999999999996</v>
      </c>
    </row>
    <row r="21" spans="1:11" x14ac:dyDescent="0.45">
      <c r="A21" s="60" t="s">
        <v>14</v>
      </c>
      <c r="B21" s="55">
        <f>IF(B$19=0,0,C21/B$19)</f>
        <v>-10410.569105691056</v>
      </c>
      <c r="C21" s="48">
        <v>-1280500</v>
      </c>
      <c r="E21" s="68" t="s">
        <v>91</v>
      </c>
      <c r="F21" s="64" t="s">
        <v>44</v>
      </c>
      <c r="G21" s="50">
        <v>1</v>
      </c>
      <c r="H21" s="27">
        <f>IF(B$25=0,0,G21/B$25)</f>
        <v>1.0526315789473684E-2</v>
      </c>
      <c r="J21" s="26">
        <v>19</v>
      </c>
      <c r="K21" s="28">
        <v>-26.699999999999996</v>
      </c>
    </row>
    <row r="22" spans="1:11" x14ac:dyDescent="0.45">
      <c r="A22" s="57" t="s">
        <v>195</v>
      </c>
      <c r="B22" s="49">
        <v>192</v>
      </c>
      <c r="C22" s="24">
        <f>IF(B$3=0,0,B22/B$3)</f>
        <v>0.31168831168831168</v>
      </c>
      <c r="E22" s="68" t="s">
        <v>92</v>
      </c>
      <c r="F22" s="64" t="s">
        <v>45</v>
      </c>
      <c r="G22" s="50">
        <v>1</v>
      </c>
      <c r="H22" s="27">
        <f>IF(B$25=0,0,G22/B$25)</f>
        <v>1.0526315789473684E-2</v>
      </c>
      <c r="J22" s="26">
        <v>20</v>
      </c>
      <c r="K22" s="28">
        <v>-57.899999999999991</v>
      </c>
    </row>
    <row r="23" spans="1:11" x14ac:dyDescent="0.45">
      <c r="A23" s="60" t="s">
        <v>196</v>
      </c>
      <c r="B23" s="52">
        <v>59</v>
      </c>
      <c r="C23" s="32">
        <f>IF(B$22=0,0,B23/B$22)</f>
        <v>0.30729166666666669</v>
      </c>
      <c r="E23" s="68" t="s">
        <v>94</v>
      </c>
      <c r="F23" s="64" t="s">
        <v>47</v>
      </c>
      <c r="G23" s="50">
        <v>1</v>
      </c>
      <c r="H23" s="27">
        <f>IF(B$25=0,0,G23/B$25)</f>
        <v>1.0526315789473684E-2</v>
      </c>
      <c r="J23" s="26">
        <v>21</v>
      </c>
      <c r="K23" s="28">
        <v>-82.699999999999989</v>
      </c>
    </row>
    <row r="24" spans="1:11" x14ac:dyDescent="0.45">
      <c r="A24" s="57" t="s">
        <v>128</v>
      </c>
      <c r="B24" s="79">
        <v>355</v>
      </c>
      <c r="C24" s="80"/>
      <c r="E24" s="68" t="s">
        <v>95</v>
      </c>
      <c r="F24" s="64" t="s">
        <v>48</v>
      </c>
      <c r="G24" s="50">
        <v>1</v>
      </c>
      <c r="H24" s="27">
        <f>IF(B$25=0,0,G24/B$25)</f>
        <v>1.0526315789473684E-2</v>
      </c>
      <c r="J24" s="26">
        <v>22</v>
      </c>
      <c r="K24" s="28">
        <v>-94.6</v>
      </c>
    </row>
    <row r="25" spans="1:11" x14ac:dyDescent="0.45">
      <c r="A25" s="60" t="s">
        <v>129</v>
      </c>
      <c r="B25" s="81">
        <v>95</v>
      </c>
      <c r="C25" s="82"/>
      <c r="E25" s="68" t="s">
        <v>79</v>
      </c>
      <c r="F25" s="64" t="s">
        <v>32</v>
      </c>
      <c r="G25" s="50">
        <v>0</v>
      </c>
      <c r="H25" s="27">
        <f>IF(B$25=0,0,G25/B$25)</f>
        <v>0</v>
      </c>
      <c r="J25" s="26">
        <v>23</v>
      </c>
      <c r="K25" s="28">
        <v>-111.3</v>
      </c>
    </row>
    <row r="26" spans="1:11" x14ac:dyDescent="0.45">
      <c r="E26" s="68" t="s">
        <v>80</v>
      </c>
      <c r="F26" s="64" t="s">
        <v>33</v>
      </c>
      <c r="G26" s="50">
        <v>0</v>
      </c>
      <c r="H26" s="27">
        <f>IF(B$25=0,0,G26/B$25)</f>
        <v>0</v>
      </c>
      <c r="J26" s="26">
        <v>24</v>
      </c>
      <c r="K26" s="28">
        <v>-68.099999999999994</v>
      </c>
    </row>
    <row r="27" spans="1:11" x14ac:dyDescent="0.45">
      <c r="E27" s="68" t="s">
        <v>81</v>
      </c>
      <c r="F27" s="64" t="s">
        <v>34</v>
      </c>
      <c r="G27" s="50">
        <v>0</v>
      </c>
      <c r="H27" s="27">
        <f>IF(B$25=0,0,G27/B$25)</f>
        <v>0</v>
      </c>
      <c r="J27" s="26">
        <v>25</v>
      </c>
      <c r="K27" s="28">
        <v>-70.899999999999991</v>
      </c>
    </row>
    <row r="28" spans="1:11" x14ac:dyDescent="0.45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-125.89999999999999</v>
      </c>
    </row>
    <row r="29" spans="1:11" x14ac:dyDescent="0.45">
      <c r="E29" s="68" t="s">
        <v>83</v>
      </c>
      <c r="F29" s="64" t="s">
        <v>36</v>
      </c>
      <c r="G29" s="50">
        <v>0</v>
      </c>
      <c r="H29" s="27">
        <f>IF(B$25=0,0,G29/B$25)</f>
        <v>0</v>
      </c>
      <c r="J29" s="26">
        <v>27</v>
      </c>
      <c r="K29" s="28">
        <v>-163.6</v>
      </c>
    </row>
    <row r="30" spans="1:11" x14ac:dyDescent="0.45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-169.5</v>
      </c>
    </row>
    <row r="31" spans="1:11" x14ac:dyDescent="0.45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-163.30000000000001</v>
      </c>
    </row>
    <row r="32" spans="1:11" x14ac:dyDescent="0.45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-209.4</v>
      </c>
    </row>
    <row r="33" spans="5:11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-259.89999999999998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-253.59999999999997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-234.89999999999998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-229.79999999999998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-254.29999999999998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-204.29999999999998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-249.29999999999998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-242.49999999999997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-244.59999999999997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-279.7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-320.09999999999997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-314.29999999999995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-284.79999999999995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-239.89999999999995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-256.29999999999995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-280.59999999999997</v>
      </c>
    </row>
    <row r="49" spans="5:11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-264.59999999999997</v>
      </c>
    </row>
    <row r="50" spans="5:11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-288.79999999999995</v>
      </c>
    </row>
    <row r="51" spans="5:11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-282.99999999999994</v>
      </c>
    </row>
    <row r="52" spans="5:11" x14ac:dyDescent="0.45">
      <c r="J52" s="26">
        <v>50</v>
      </c>
      <c r="K52" s="28">
        <v>-287.09999999999997</v>
      </c>
    </row>
    <row r="53" spans="5:11" x14ac:dyDescent="0.45">
      <c r="J53" s="26">
        <v>51</v>
      </c>
      <c r="K53" s="28">
        <v>-269.59999999999997</v>
      </c>
    </row>
    <row r="54" spans="5:11" x14ac:dyDescent="0.45">
      <c r="J54" s="26">
        <v>52</v>
      </c>
      <c r="K54" s="28">
        <v>-308.09999999999997</v>
      </c>
    </row>
    <row r="55" spans="5:11" x14ac:dyDescent="0.45">
      <c r="J55" s="26">
        <v>53</v>
      </c>
      <c r="K55" s="28">
        <v>-336.49999999999994</v>
      </c>
    </row>
    <row r="56" spans="5:11" x14ac:dyDescent="0.45">
      <c r="J56" s="26">
        <v>54</v>
      </c>
      <c r="K56" s="28">
        <v>-378.89999999999992</v>
      </c>
    </row>
    <row r="57" spans="5:11" x14ac:dyDescent="0.45">
      <c r="J57" s="26">
        <v>55</v>
      </c>
      <c r="K57" s="28">
        <v>-364.2999999999999</v>
      </c>
    </row>
    <row r="58" spans="5:11" x14ac:dyDescent="0.45">
      <c r="J58" s="26">
        <v>56</v>
      </c>
      <c r="K58" s="28">
        <v>-316.2999999999999</v>
      </c>
    </row>
    <row r="59" spans="5:11" x14ac:dyDescent="0.45">
      <c r="J59" s="26">
        <v>57</v>
      </c>
      <c r="K59" s="28">
        <v>-312.49999999999989</v>
      </c>
    </row>
    <row r="60" spans="5:11" x14ac:dyDescent="0.45">
      <c r="J60" s="26">
        <v>58</v>
      </c>
      <c r="K60" s="28">
        <v>-254.59999999999988</v>
      </c>
    </row>
    <row r="61" spans="5:11" x14ac:dyDescent="0.45">
      <c r="J61" s="26">
        <v>59</v>
      </c>
      <c r="K61" s="28">
        <v>-205.09999999999988</v>
      </c>
    </row>
    <row r="62" spans="5:11" x14ac:dyDescent="0.45">
      <c r="J62" s="26">
        <v>60</v>
      </c>
      <c r="K62" s="28">
        <v>-214.59999999999988</v>
      </c>
    </row>
    <row r="63" spans="5:11" x14ac:dyDescent="0.45">
      <c r="J63" s="26">
        <v>61</v>
      </c>
      <c r="K63" s="28">
        <v>-211.89999999999989</v>
      </c>
    </row>
    <row r="64" spans="5:11" x14ac:dyDescent="0.45">
      <c r="J64" s="26">
        <v>62</v>
      </c>
      <c r="K64" s="28">
        <v>-250.89999999999989</v>
      </c>
    </row>
    <row r="65" spans="10:11" x14ac:dyDescent="0.45">
      <c r="J65" s="26">
        <v>63</v>
      </c>
      <c r="K65" s="28">
        <v>-290.99999999999989</v>
      </c>
    </row>
    <row r="66" spans="10:11" x14ac:dyDescent="0.45">
      <c r="J66" s="26">
        <v>64</v>
      </c>
      <c r="K66" s="28">
        <v>-356.99999999999989</v>
      </c>
    </row>
    <row r="67" spans="10:11" x14ac:dyDescent="0.45">
      <c r="J67" s="26">
        <v>65</v>
      </c>
      <c r="K67" s="28">
        <v>-381.09999999999991</v>
      </c>
    </row>
    <row r="68" spans="10:11" x14ac:dyDescent="0.45">
      <c r="J68" s="26">
        <v>66</v>
      </c>
      <c r="K68" s="28">
        <v>-378.49999999999989</v>
      </c>
    </row>
    <row r="69" spans="10:11" x14ac:dyDescent="0.45">
      <c r="J69" s="26">
        <v>67</v>
      </c>
      <c r="K69" s="28">
        <v>-371.19999999999987</v>
      </c>
    </row>
    <row r="70" spans="10:11" x14ac:dyDescent="0.45">
      <c r="J70" s="26">
        <v>68</v>
      </c>
      <c r="K70" s="28">
        <v>-407.2999999999999</v>
      </c>
    </row>
    <row r="71" spans="10:11" x14ac:dyDescent="0.45">
      <c r="J71" s="26">
        <v>69</v>
      </c>
      <c r="K71" s="28">
        <v>-412.49999999999989</v>
      </c>
    </row>
    <row r="72" spans="10:11" x14ac:dyDescent="0.45">
      <c r="J72" s="26">
        <v>70</v>
      </c>
      <c r="K72" s="28">
        <v>-379.49999999999989</v>
      </c>
    </row>
    <row r="73" spans="10:11" x14ac:dyDescent="0.45">
      <c r="J73" s="26">
        <v>71</v>
      </c>
      <c r="K73" s="28">
        <v>-374.2999999999999</v>
      </c>
    </row>
    <row r="74" spans="10:11" x14ac:dyDescent="0.45">
      <c r="J74" s="26">
        <v>72</v>
      </c>
      <c r="K74" s="28">
        <v>-409.7999999999999</v>
      </c>
    </row>
    <row r="75" spans="10:11" x14ac:dyDescent="0.45">
      <c r="J75" s="26">
        <v>73</v>
      </c>
      <c r="K75" s="28">
        <v>-393.59999999999991</v>
      </c>
    </row>
    <row r="76" spans="10:11" x14ac:dyDescent="0.45">
      <c r="J76" s="26">
        <v>74</v>
      </c>
      <c r="K76" s="28">
        <v>-399.49999999999989</v>
      </c>
    </row>
    <row r="77" spans="10:11" x14ac:dyDescent="0.45">
      <c r="J77" s="26">
        <v>75</v>
      </c>
      <c r="K77" s="28">
        <v>-419.69999999999987</v>
      </c>
    </row>
    <row r="78" spans="10:11" x14ac:dyDescent="0.45">
      <c r="J78" s="26">
        <v>76</v>
      </c>
      <c r="K78" s="28">
        <v>-369.69999999999987</v>
      </c>
    </row>
    <row r="79" spans="10:11" x14ac:dyDescent="0.45">
      <c r="J79" s="26">
        <v>77</v>
      </c>
      <c r="K79" s="28">
        <v>-381.7999999999999</v>
      </c>
    </row>
    <row r="80" spans="10:11" x14ac:dyDescent="0.45">
      <c r="J80" s="26">
        <v>78</v>
      </c>
      <c r="K80" s="28">
        <v>-365.99999999999989</v>
      </c>
    </row>
    <row r="81" spans="10:11" x14ac:dyDescent="0.45">
      <c r="J81" s="26">
        <v>79</v>
      </c>
      <c r="K81" s="28">
        <v>-383.99999999999989</v>
      </c>
    </row>
    <row r="82" spans="10:11" x14ac:dyDescent="0.45">
      <c r="J82" s="26">
        <v>80</v>
      </c>
      <c r="K82" s="28">
        <v>-390.7999999999999</v>
      </c>
    </row>
    <row r="83" spans="10:11" x14ac:dyDescent="0.45">
      <c r="J83" s="26">
        <v>81</v>
      </c>
      <c r="K83" s="28">
        <v>-378.99999999999989</v>
      </c>
    </row>
    <row r="84" spans="10:11" x14ac:dyDescent="0.45">
      <c r="J84" s="26">
        <v>82</v>
      </c>
      <c r="K84" s="28">
        <v>-398.59999999999991</v>
      </c>
    </row>
  </sheetData>
  <sortState ref="E2:H84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AF559-A9E9-4F58-B858-2443F42686A0}">
  <sheetPr codeName="Sheet8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3" t="s">
        <v>188</v>
      </c>
      <c r="C1" s="84"/>
      <c r="E1" s="66" t="s">
        <v>210</v>
      </c>
      <c r="F1" s="73" t="s">
        <v>122</v>
      </c>
      <c r="G1" s="72" t="s">
        <v>123</v>
      </c>
      <c r="H1" s="73" t="s">
        <v>124</v>
      </c>
      <c r="J1" s="21" t="s">
        <v>22</v>
      </c>
      <c r="K1" s="22" t="s">
        <v>127</v>
      </c>
      <c r="M1" s="21" t="s">
        <v>204</v>
      </c>
      <c r="N1" s="73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79">
        <v>45</v>
      </c>
      <c r="C2" s="80"/>
      <c r="E2" s="67" t="s">
        <v>71</v>
      </c>
      <c r="F2" s="63" t="s">
        <v>25</v>
      </c>
      <c r="G2" s="49">
        <v>23</v>
      </c>
      <c r="H2" s="24">
        <f>IF(B$25=0,0,G2/B$25)</f>
        <v>0.95833333333333337</v>
      </c>
      <c r="J2" s="23">
        <v>0</v>
      </c>
      <c r="K2" s="25">
        <v>0</v>
      </c>
      <c r="M2" s="23" t="s">
        <v>198</v>
      </c>
      <c r="N2" s="44">
        <f t="shared" ref="N2:N7" si="0">IF(P2=0,0,O2/P2)</f>
        <v>-895.55555555555554</v>
      </c>
      <c r="O2" s="41">
        <v>-40300</v>
      </c>
      <c r="P2" s="39">
        <v>45</v>
      </c>
    </row>
    <row r="3" spans="1:16" x14ac:dyDescent="0.45">
      <c r="A3" s="58" t="s">
        <v>8</v>
      </c>
      <c r="B3" s="85">
        <v>317</v>
      </c>
      <c r="C3" s="86"/>
      <c r="E3" s="68" t="s">
        <v>73</v>
      </c>
      <c r="F3" s="64" t="s">
        <v>27</v>
      </c>
      <c r="G3" s="50">
        <v>22</v>
      </c>
      <c r="H3" s="27">
        <f>IF(B$25=0,0,G3/B$25)</f>
        <v>0.91666666666666663</v>
      </c>
      <c r="J3" s="26">
        <v>1</v>
      </c>
      <c r="K3" s="28">
        <v>-39.9</v>
      </c>
      <c r="M3" s="26" t="s">
        <v>199</v>
      </c>
      <c r="N3" s="45">
        <f t="shared" si="0"/>
        <v>3279.0697674418607</v>
      </c>
      <c r="O3" s="42">
        <v>141000</v>
      </c>
      <c r="P3" s="37">
        <v>43</v>
      </c>
    </row>
    <row r="4" spans="1:16" x14ac:dyDescent="0.45">
      <c r="A4" s="58" t="s">
        <v>6</v>
      </c>
      <c r="B4" s="87">
        <v>248.10000000000002</v>
      </c>
      <c r="C4" s="88"/>
      <c r="E4" s="68" t="s">
        <v>78</v>
      </c>
      <c r="F4" s="64" t="s">
        <v>31</v>
      </c>
      <c r="G4" s="50">
        <v>18</v>
      </c>
      <c r="H4" s="27">
        <f>IF(B$25=0,0,G4/B$25)</f>
        <v>0.75</v>
      </c>
      <c r="J4" s="26">
        <v>2</v>
      </c>
      <c r="K4" s="28">
        <v>-13.2</v>
      </c>
      <c r="M4" s="26" t="s">
        <v>200</v>
      </c>
      <c r="N4" s="45">
        <f t="shared" si="0"/>
        <v>-307.3170731707317</v>
      </c>
      <c r="O4" s="42">
        <v>-12600</v>
      </c>
      <c r="P4" s="37">
        <v>41</v>
      </c>
    </row>
    <row r="5" spans="1:16" x14ac:dyDescent="0.45">
      <c r="A5" s="58" t="s">
        <v>7</v>
      </c>
      <c r="B5" s="87">
        <f>IF(B$2=0,0,B$4/B$2)</f>
        <v>5.5133333333333336</v>
      </c>
      <c r="C5" s="88"/>
      <c r="E5" s="68" t="s">
        <v>69</v>
      </c>
      <c r="F5" s="64" t="s">
        <v>23</v>
      </c>
      <c r="G5" s="50">
        <v>9</v>
      </c>
      <c r="H5" s="27">
        <f>IF(B$25=0,0,G5/B$25)</f>
        <v>0.375</v>
      </c>
      <c r="J5" s="26">
        <v>3</v>
      </c>
      <c r="K5" s="28">
        <v>-57.7</v>
      </c>
      <c r="M5" s="26" t="s">
        <v>201</v>
      </c>
      <c r="N5" s="45">
        <f t="shared" si="0"/>
        <v>-1417.6470588235295</v>
      </c>
      <c r="O5" s="42">
        <v>-48200</v>
      </c>
      <c r="P5" s="37">
        <v>34</v>
      </c>
    </row>
    <row r="6" spans="1:16" x14ac:dyDescent="0.45">
      <c r="A6" s="58" t="s">
        <v>1</v>
      </c>
      <c r="B6" s="77">
        <f>IF(B$2=0,0,(B$7*1+B$8*2+B$9*3)/B$2)</f>
        <v>1.8666666666666667</v>
      </c>
      <c r="C6" s="78"/>
      <c r="E6" s="68" t="s">
        <v>72</v>
      </c>
      <c r="F6" s="64" t="s">
        <v>26</v>
      </c>
      <c r="G6" s="50">
        <v>8</v>
      </c>
      <c r="H6" s="27">
        <f>IF(B$25=0,0,G6/B$25)</f>
        <v>0.33333333333333331</v>
      </c>
      <c r="J6" s="26">
        <v>4</v>
      </c>
      <c r="K6" s="28">
        <v>-53.7</v>
      </c>
      <c r="M6" s="26" t="s">
        <v>202</v>
      </c>
      <c r="N6" s="45">
        <f t="shared" si="0"/>
        <v>7442.8571428571431</v>
      </c>
      <c r="O6" s="42">
        <v>208400</v>
      </c>
      <c r="P6" s="37">
        <v>28</v>
      </c>
    </row>
    <row r="7" spans="1:16" x14ac:dyDescent="0.45">
      <c r="A7" s="58" t="s">
        <v>2</v>
      </c>
      <c r="B7" s="50">
        <v>16</v>
      </c>
      <c r="C7" s="27">
        <f>IF(B$2=0,0,B7/B$2)</f>
        <v>0.35555555555555557</v>
      </c>
      <c r="E7" s="68" t="s">
        <v>74</v>
      </c>
      <c r="F7" s="64" t="s">
        <v>12</v>
      </c>
      <c r="G7" s="50">
        <v>6</v>
      </c>
      <c r="H7" s="27">
        <f>IF(B$25=0,0,G7/B$25)</f>
        <v>0.25</v>
      </c>
      <c r="J7" s="26">
        <v>5</v>
      </c>
      <c r="K7" s="28">
        <v>-45.7</v>
      </c>
      <c r="M7" s="31" t="s">
        <v>203</v>
      </c>
      <c r="N7" s="46">
        <f t="shared" si="0"/>
        <v>122.22222222222223</v>
      </c>
      <c r="O7" s="43">
        <v>2200</v>
      </c>
      <c r="P7" s="38">
        <v>18</v>
      </c>
    </row>
    <row r="8" spans="1:16" x14ac:dyDescent="0.45">
      <c r="A8" s="58" t="s">
        <v>3</v>
      </c>
      <c r="B8" s="50">
        <v>19</v>
      </c>
      <c r="C8" s="27">
        <f t="shared" ref="C8:C9" si="1">IF(B$2=0,0,B8/B$2)</f>
        <v>0.42222222222222222</v>
      </c>
      <c r="E8" s="68" t="s">
        <v>70</v>
      </c>
      <c r="F8" s="64" t="s">
        <v>24</v>
      </c>
      <c r="G8" s="50">
        <v>3</v>
      </c>
      <c r="H8" s="27">
        <f>IF(B$25=0,0,G8/B$25)</f>
        <v>0.125</v>
      </c>
      <c r="J8" s="26">
        <v>6</v>
      </c>
      <c r="K8" s="28">
        <v>-50.6</v>
      </c>
    </row>
    <row r="9" spans="1:16" x14ac:dyDescent="0.45">
      <c r="A9" s="59" t="s">
        <v>4</v>
      </c>
      <c r="B9" s="51">
        <v>10</v>
      </c>
      <c r="C9" s="29">
        <f t="shared" si="1"/>
        <v>0.22222222222222221</v>
      </c>
      <c r="E9" s="68" t="s">
        <v>90</v>
      </c>
      <c r="F9" s="64" t="s">
        <v>43</v>
      </c>
      <c r="G9" s="50">
        <v>3</v>
      </c>
      <c r="H9" s="27">
        <f>IF(B$25=0,0,G9/B$25)</f>
        <v>0.125</v>
      </c>
      <c r="J9" s="26">
        <v>7</v>
      </c>
      <c r="K9" s="28">
        <v>-47.6</v>
      </c>
    </row>
    <row r="10" spans="1:16" x14ac:dyDescent="0.45">
      <c r="A10" s="59" t="s">
        <v>21</v>
      </c>
      <c r="B10" s="51">
        <v>5</v>
      </c>
      <c r="C10" s="29">
        <f>IF(B$2=0,0,B10/B$2)</f>
        <v>0.1111111111111111</v>
      </c>
      <c r="E10" s="68" t="s">
        <v>75</v>
      </c>
      <c r="F10" s="64" t="s">
        <v>28</v>
      </c>
      <c r="G10" s="50">
        <v>2</v>
      </c>
      <c r="H10" s="27">
        <f>IF(B$25=0,0,G10/B$25)</f>
        <v>8.3333333333333329E-2</v>
      </c>
      <c r="J10" s="26">
        <v>8</v>
      </c>
      <c r="K10" s="28">
        <v>-59.1</v>
      </c>
    </row>
    <row r="11" spans="1:16" x14ac:dyDescent="0.45">
      <c r="A11" s="60" t="s">
        <v>208</v>
      </c>
      <c r="B11" s="52">
        <v>9</v>
      </c>
      <c r="C11" s="32">
        <f>IF(B$2=0,0,B11/B$2)</f>
        <v>0.2</v>
      </c>
      <c r="E11" s="68" t="s">
        <v>76</v>
      </c>
      <c r="F11" s="64" t="s">
        <v>29</v>
      </c>
      <c r="G11" s="50">
        <v>2</v>
      </c>
      <c r="H11" s="27">
        <f>IF(B$25=0,0,G11/B$25)</f>
        <v>8.3333333333333329E-2</v>
      </c>
      <c r="J11" s="26">
        <v>9</v>
      </c>
      <c r="K11" s="28">
        <v>-77.900000000000006</v>
      </c>
    </row>
    <row r="12" spans="1:16" x14ac:dyDescent="0.45">
      <c r="A12" s="61" t="s">
        <v>130</v>
      </c>
      <c r="B12" s="53">
        <v>16</v>
      </c>
      <c r="C12" s="35">
        <f>IF(B$24=0,0,B12/B$24)</f>
        <v>0.20253164556962025</v>
      </c>
      <c r="E12" s="68" t="s">
        <v>88</v>
      </c>
      <c r="F12" s="64" t="s">
        <v>41</v>
      </c>
      <c r="G12" s="50">
        <v>2</v>
      </c>
      <c r="H12" s="27">
        <f>IF(B$25=0,0,G12/B$25)</f>
        <v>8.3333333333333329E-2</v>
      </c>
      <c r="J12" s="26">
        <v>10</v>
      </c>
      <c r="K12" s="28">
        <v>-78.900000000000006</v>
      </c>
    </row>
    <row r="13" spans="1:16" x14ac:dyDescent="0.45">
      <c r="A13" s="58" t="s">
        <v>125</v>
      </c>
      <c r="B13" s="50">
        <v>28</v>
      </c>
      <c r="C13" s="27">
        <f>IF(B$24=0,0,B13/B$24)</f>
        <v>0.35443037974683544</v>
      </c>
      <c r="E13" s="68" t="s">
        <v>96</v>
      </c>
      <c r="F13" s="64" t="s">
        <v>49</v>
      </c>
      <c r="G13" s="50">
        <v>2</v>
      </c>
      <c r="H13" s="27">
        <f>IF(B$25=0,0,G13/B$25)</f>
        <v>8.3333333333333329E-2</v>
      </c>
      <c r="J13" s="26">
        <v>11</v>
      </c>
      <c r="K13" s="28">
        <v>-88.9</v>
      </c>
    </row>
    <row r="14" spans="1:16" x14ac:dyDescent="0.45">
      <c r="A14" s="57" t="s">
        <v>132</v>
      </c>
      <c r="B14" s="49">
        <v>9</v>
      </c>
      <c r="C14" s="24">
        <f>IF(B$12=0,0,B14/B$12)</f>
        <v>0.5625</v>
      </c>
      <c r="E14" s="68" t="s">
        <v>84</v>
      </c>
      <c r="F14" s="64" t="s">
        <v>37</v>
      </c>
      <c r="G14" s="50">
        <v>1</v>
      </c>
      <c r="H14" s="27">
        <f>IF(B$25=0,0,G14/B$25)</f>
        <v>4.1666666666666664E-2</v>
      </c>
      <c r="J14" s="26">
        <v>12</v>
      </c>
      <c r="K14" s="28">
        <v>-23.5</v>
      </c>
    </row>
    <row r="15" spans="1:16" x14ac:dyDescent="0.45">
      <c r="A15" s="57" t="s">
        <v>133</v>
      </c>
      <c r="B15" s="49">
        <v>10</v>
      </c>
      <c r="C15" s="24">
        <f>IF(B$13=0,0,B15/B$13)</f>
        <v>0.35714285714285715</v>
      </c>
      <c r="E15" s="68" t="s">
        <v>93</v>
      </c>
      <c r="F15" s="64" t="s">
        <v>46</v>
      </c>
      <c r="G15" s="50">
        <v>1</v>
      </c>
      <c r="H15" s="27">
        <f>IF(B$25=0,0,G15/B$25)</f>
        <v>4.1666666666666664E-2</v>
      </c>
      <c r="J15" s="26">
        <v>13</v>
      </c>
      <c r="K15" s="28">
        <v>-12.4</v>
      </c>
    </row>
    <row r="16" spans="1:16" x14ac:dyDescent="0.45">
      <c r="A16" s="57" t="s">
        <v>10</v>
      </c>
      <c r="B16" s="49">
        <f>B17+B18</f>
        <v>111</v>
      </c>
      <c r="C16" s="24">
        <f>IF(B$3=0,0,B16/B$3)</f>
        <v>0.35015772870662459</v>
      </c>
      <c r="E16" s="68" t="s">
        <v>77</v>
      </c>
      <c r="F16" s="64" t="s">
        <v>30</v>
      </c>
      <c r="G16" s="50">
        <v>0</v>
      </c>
      <c r="H16" s="27">
        <f>IF(B$25=0,0,G16/B$25)</f>
        <v>0</v>
      </c>
      <c r="J16" s="26">
        <v>14</v>
      </c>
      <c r="K16" s="28">
        <v>38.6</v>
      </c>
    </row>
    <row r="17" spans="1:11" x14ac:dyDescent="0.45">
      <c r="A17" s="58" t="s">
        <v>11</v>
      </c>
      <c r="B17" s="50">
        <v>61</v>
      </c>
      <c r="C17" s="27">
        <f>IF(B$3=0,0,B17/B$3)</f>
        <v>0.19242902208201892</v>
      </c>
      <c r="E17" s="68" t="s">
        <v>79</v>
      </c>
      <c r="F17" s="64" t="s">
        <v>32</v>
      </c>
      <c r="G17" s="50">
        <v>0</v>
      </c>
      <c r="H17" s="27">
        <f>IF(B$25=0,0,G17/B$25)</f>
        <v>0</v>
      </c>
      <c r="J17" s="26">
        <v>15</v>
      </c>
      <c r="K17" s="28">
        <v>55.8</v>
      </c>
    </row>
    <row r="18" spans="1:11" x14ac:dyDescent="0.45">
      <c r="A18" s="58" t="s">
        <v>12</v>
      </c>
      <c r="B18" s="50">
        <v>50</v>
      </c>
      <c r="C18" s="27">
        <f>IF(B$3=0,0,B18/B$3)</f>
        <v>0.15772870662460567</v>
      </c>
      <c r="E18" s="68" t="s">
        <v>80</v>
      </c>
      <c r="F18" s="64" t="s">
        <v>33</v>
      </c>
      <c r="G18" s="50">
        <v>0</v>
      </c>
      <c r="H18" s="27">
        <f>IF(B$25=0,0,G18/B$25)</f>
        <v>0</v>
      </c>
      <c r="J18" s="26">
        <v>16</v>
      </c>
      <c r="K18" s="28">
        <v>40.299999999999997</v>
      </c>
    </row>
    <row r="19" spans="1:11" x14ac:dyDescent="0.45">
      <c r="A19" s="58" t="s">
        <v>13</v>
      </c>
      <c r="B19" s="50">
        <v>49</v>
      </c>
      <c r="C19" s="27">
        <f>IF(B$3=0,0,B19/B$3)</f>
        <v>0.15457413249211358</v>
      </c>
      <c r="E19" s="68" t="s">
        <v>81</v>
      </c>
      <c r="F19" s="64" t="s">
        <v>34</v>
      </c>
      <c r="G19" s="50">
        <v>0</v>
      </c>
      <c r="H19" s="27">
        <f>IF(B$25=0,0,G19/B$25)</f>
        <v>0</v>
      </c>
      <c r="J19" s="26">
        <v>17</v>
      </c>
      <c r="K19" s="28">
        <v>15.799999999999997</v>
      </c>
    </row>
    <row r="20" spans="1:11" x14ac:dyDescent="0.45">
      <c r="A20" s="58" t="s">
        <v>5</v>
      </c>
      <c r="B20" s="54">
        <f>IF(B$16=0,0,C20/B$16)</f>
        <v>9851.3513513513517</v>
      </c>
      <c r="C20" s="30">
        <v>1093500</v>
      </c>
      <c r="E20" s="68" t="s">
        <v>82</v>
      </c>
      <c r="F20" s="64" t="s">
        <v>35</v>
      </c>
      <c r="G20" s="50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5">
      <c r="A21" s="60" t="s">
        <v>14</v>
      </c>
      <c r="B21" s="55">
        <f>IF(B$19=0,0,C21/B$19)</f>
        <v>-9134.6938775510207</v>
      </c>
      <c r="C21" s="48">
        <v>-447600</v>
      </c>
      <c r="E21" s="68" t="s">
        <v>83</v>
      </c>
      <c r="F21" s="64" t="s">
        <v>36</v>
      </c>
      <c r="G21" s="50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5">
      <c r="A22" s="57" t="s">
        <v>195</v>
      </c>
      <c r="B22" s="49">
        <v>115</v>
      </c>
      <c r="C22" s="24">
        <f>IF(B$3=0,0,B22/B$3)</f>
        <v>0.36277602523659308</v>
      </c>
      <c r="E22" s="68" t="s">
        <v>85</v>
      </c>
      <c r="F22" s="64" t="s">
        <v>38</v>
      </c>
      <c r="G22" s="50">
        <v>0</v>
      </c>
      <c r="H22" s="27">
        <f>IF(B$25=0,0,G22/B$25)</f>
        <v>0</v>
      </c>
      <c r="J22" s="26">
        <v>20</v>
      </c>
      <c r="K22" s="28">
        <v>7.4999999999999964</v>
      </c>
    </row>
    <row r="23" spans="1:11" x14ac:dyDescent="0.45">
      <c r="A23" s="60" t="s">
        <v>196</v>
      </c>
      <c r="B23" s="52">
        <v>41</v>
      </c>
      <c r="C23" s="32">
        <f>IF(B$22=0,0,B23/B$22)</f>
        <v>0.35652173913043478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69.8</v>
      </c>
    </row>
    <row r="24" spans="1:11" x14ac:dyDescent="0.45">
      <c r="A24" s="57" t="s">
        <v>128</v>
      </c>
      <c r="B24" s="79">
        <v>79</v>
      </c>
      <c r="C24" s="80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78.399999999999991</v>
      </c>
    </row>
    <row r="25" spans="1:11" x14ac:dyDescent="0.45">
      <c r="A25" s="60" t="s">
        <v>129</v>
      </c>
      <c r="B25" s="81">
        <v>24</v>
      </c>
      <c r="C25" s="82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93.199999999999989</v>
      </c>
    </row>
    <row r="26" spans="1:11" x14ac:dyDescent="0.45"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49.29999999999999</v>
      </c>
    </row>
    <row r="27" spans="1:11" x14ac:dyDescent="0.45"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58.79999999999999</v>
      </c>
    </row>
    <row r="28" spans="1:11" x14ac:dyDescent="0.45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141.79999999999998</v>
      </c>
    </row>
    <row r="29" spans="1:11" x14ac:dyDescent="0.45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162.79999999999998</v>
      </c>
    </row>
    <row r="30" spans="1:11" x14ac:dyDescent="0.45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174.7</v>
      </c>
    </row>
    <row r="31" spans="1:11" x14ac:dyDescent="0.45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205</v>
      </c>
    </row>
    <row r="32" spans="1:11" x14ac:dyDescent="0.45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198.5</v>
      </c>
    </row>
    <row r="33" spans="5:11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186.9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204.4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245.4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234.9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188.9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236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250.8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232.60000000000002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233.00000000000003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236.10000000000002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234.10000000000002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255.3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288.10000000000002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279.3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248.10000000000002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6FD88-D37C-4A2D-B333-83420E2923B7}">
  <sheetPr codeName="Sheet9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3" t="s">
        <v>218</v>
      </c>
      <c r="C1" s="84"/>
      <c r="E1" s="66" t="s">
        <v>210</v>
      </c>
      <c r="F1" s="73" t="s">
        <v>122</v>
      </c>
      <c r="G1" s="72" t="s">
        <v>123</v>
      </c>
      <c r="H1" s="73" t="s">
        <v>124</v>
      </c>
      <c r="J1" s="21" t="s">
        <v>22</v>
      </c>
      <c r="K1" s="22" t="s">
        <v>127</v>
      </c>
      <c r="M1" s="21" t="s">
        <v>204</v>
      </c>
      <c r="N1" s="73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79">
        <v>5</v>
      </c>
      <c r="C2" s="80"/>
      <c r="E2" s="67" t="s">
        <v>69</v>
      </c>
      <c r="F2" s="63" t="s">
        <v>23</v>
      </c>
      <c r="G2" s="49">
        <v>6</v>
      </c>
      <c r="H2" s="24">
        <f>IF(B$25=0,0,G2/B$25)</f>
        <v>0.66666666666666663</v>
      </c>
      <c r="J2" s="23">
        <v>0</v>
      </c>
      <c r="K2" s="25">
        <v>0</v>
      </c>
      <c r="M2" s="23" t="s">
        <v>198</v>
      </c>
      <c r="N2" s="44">
        <f t="shared" ref="N2:N7" si="0">IF(P2=0,0,O2/P2)</f>
        <v>-2740</v>
      </c>
      <c r="O2" s="41">
        <v>-13700</v>
      </c>
      <c r="P2" s="39">
        <v>5</v>
      </c>
    </row>
    <row r="3" spans="1:16" x14ac:dyDescent="0.45">
      <c r="A3" s="58" t="s">
        <v>8</v>
      </c>
      <c r="B3" s="85">
        <v>37</v>
      </c>
      <c r="C3" s="86"/>
      <c r="E3" s="68" t="s">
        <v>73</v>
      </c>
      <c r="F3" s="64" t="s">
        <v>27</v>
      </c>
      <c r="G3" s="50">
        <v>6</v>
      </c>
      <c r="H3" s="27">
        <f>IF(B$25=0,0,G3/B$25)</f>
        <v>0.66666666666666663</v>
      </c>
      <c r="J3" s="26">
        <v>1</v>
      </c>
      <c r="K3" s="28">
        <v>-40.700000000000003</v>
      </c>
      <c r="M3" s="26" t="s">
        <v>199</v>
      </c>
      <c r="N3" s="45">
        <f t="shared" si="0"/>
        <v>1500</v>
      </c>
      <c r="O3" s="42">
        <v>7500</v>
      </c>
      <c r="P3" s="37">
        <v>5</v>
      </c>
    </row>
    <row r="4" spans="1:16" x14ac:dyDescent="0.45">
      <c r="A4" s="58" t="s">
        <v>6</v>
      </c>
      <c r="B4" s="87">
        <v>-86.4</v>
      </c>
      <c r="C4" s="88"/>
      <c r="E4" s="68" t="s">
        <v>70</v>
      </c>
      <c r="F4" s="64" t="s">
        <v>24</v>
      </c>
      <c r="G4" s="50">
        <v>4</v>
      </c>
      <c r="H4" s="27">
        <f>IF(B$25=0,0,G4/B$25)</f>
        <v>0.44444444444444442</v>
      </c>
      <c r="J4" s="26">
        <v>2</v>
      </c>
      <c r="K4" s="28">
        <v>-81.7</v>
      </c>
      <c r="M4" s="26" t="s">
        <v>200</v>
      </c>
      <c r="N4" s="45">
        <f t="shared" si="0"/>
        <v>-11250</v>
      </c>
      <c r="O4" s="42">
        <v>-45000</v>
      </c>
      <c r="P4" s="37">
        <v>4</v>
      </c>
    </row>
    <row r="5" spans="1:16" x14ac:dyDescent="0.45">
      <c r="A5" s="58" t="s">
        <v>7</v>
      </c>
      <c r="B5" s="87">
        <f>IF(B$2=0,0,B$4/B$2)</f>
        <v>-17.28</v>
      </c>
      <c r="C5" s="88"/>
      <c r="E5" s="68" t="s">
        <v>78</v>
      </c>
      <c r="F5" s="64" t="s">
        <v>31</v>
      </c>
      <c r="G5" s="50">
        <v>4</v>
      </c>
      <c r="H5" s="27">
        <f>IF(B$25=0,0,G5/B$25)</f>
        <v>0.44444444444444442</v>
      </c>
      <c r="J5" s="26">
        <v>3</v>
      </c>
      <c r="K5" s="28">
        <v>-88.9</v>
      </c>
      <c r="M5" s="26" t="s">
        <v>201</v>
      </c>
      <c r="N5" s="45">
        <f t="shared" si="0"/>
        <v>-12000</v>
      </c>
      <c r="O5" s="42">
        <v>-36000</v>
      </c>
      <c r="P5" s="37">
        <v>3</v>
      </c>
    </row>
    <row r="6" spans="1:16" x14ac:dyDescent="0.45">
      <c r="A6" s="58" t="s">
        <v>1</v>
      </c>
      <c r="B6" s="77">
        <f>IF(B$2=0,0,(B$7*1+B$8*2+B$9*3)/B$2)</f>
        <v>2.2000000000000002</v>
      </c>
      <c r="C6" s="78"/>
      <c r="E6" s="68" t="s">
        <v>74</v>
      </c>
      <c r="F6" s="64" t="s">
        <v>12</v>
      </c>
      <c r="G6" s="50">
        <v>3</v>
      </c>
      <c r="H6" s="27">
        <f>IF(B$25=0,0,G6/B$25)</f>
        <v>0.33333333333333331</v>
      </c>
      <c r="J6" s="26">
        <v>4</v>
      </c>
      <c r="K6" s="28">
        <v>-109.2</v>
      </c>
      <c r="M6" s="26" t="s">
        <v>202</v>
      </c>
      <c r="N6" s="45">
        <f t="shared" si="0"/>
        <v>5400</v>
      </c>
      <c r="O6" s="42">
        <v>10800</v>
      </c>
      <c r="P6" s="37">
        <v>2</v>
      </c>
    </row>
    <row r="7" spans="1:16" x14ac:dyDescent="0.45">
      <c r="A7" s="58" t="s">
        <v>2</v>
      </c>
      <c r="B7" s="50">
        <v>1</v>
      </c>
      <c r="C7" s="27">
        <f>IF(B$2=0,0,B7/B$2)</f>
        <v>0.2</v>
      </c>
      <c r="E7" s="68" t="s">
        <v>72</v>
      </c>
      <c r="F7" s="64" t="s">
        <v>26</v>
      </c>
      <c r="G7" s="50">
        <v>2</v>
      </c>
      <c r="H7" s="27">
        <f>IF(B$25=0,0,G7/B$25)</f>
        <v>0.22222222222222221</v>
      </c>
      <c r="J7" s="26">
        <v>5</v>
      </c>
      <c r="K7" s="28">
        <v>-86.4</v>
      </c>
      <c r="M7" s="31" t="s">
        <v>203</v>
      </c>
      <c r="N7" s="46">
        <f t="shared" si="0"/>
        <v>-5000</v>
      </c>
      <c r="O7" s="43">
        <v>-10000</v>
      </c>
      <c r="P7" s="38">
        <v>2</v>
      </c>
    </row>
    <row r="8" spans="1:16" x14ac:dyDescent="0.45">
      <c r="A8" s="58" t="s">
        <v>3</v>
      </c>
      <c r="B8" s="50">
        <v>2</v>
      </c>
      <c r="C8" s="27">
        <f t="shared" ref="C8:C9" si="1">IF(B$2=0,0,B8/B$2)</f>
        <v>0.4</v>
      </c>
      <c r="E8" s="68" t="s">
        <v>85</v>
      </c>
      <c r="F8" s="64" t="s">
        <v>38</v>
      </c>
      <c r="G8" s="50">
        <v>2</v>
      </c>
      <c r="H8" s="27">
        <f>IF(B$25=0,0,G8/B$25)</f>
        <v>0.22222222222222221</v>
      </c>
    </row>
    <row r="9" spans="1:16" x14ac:dyDescent="0.45">
      <c r="A9" s="59" t="s">
        <v>4</v>
      </c>
      <c r="B9" s="51">
        <v>2</v>
      </c>
      <c r="C9" s="29">
        <f t="shared" si="1"/>
        <v>0.4</v>
      </c>
      <c r="E9" s="68" t="s">
        <v>71</v>
      </c>
      <c r="F9" s="64" t="s">
        <v>25</v>
      </c>
      <c r="G9" s="50">
        <v>1</v>
      </c>
      <c r="H9" s="27">
        <f>IF(B$25=0,0,G9/B$25)</f>
        <v>0.1111111111111111</v>
      </c>
    </row>
    <row r="10" spans="1:16" x14ac:dyDescent="0.45">
      <c r="A10" s="59" t="s">
        <v>21</v>
      </c>
      <c r="B10" s="51">
        <v>2</v>
      </c>
      <c r="C10" s="29">
        <f>IF(B$2=0,0,B10/B$2)</f>
        <v>0.4</v>
      </c>
      <c r="E10" s="68" t="s">
        <v>75</v>
      </c>
      <c r="F10" s="64" t="s">
        <v>28</v>
      </c>
      <c r="G10" s="50">
        <v>1</v>
      </c>
      <c r="H10" s="27">
        <f>IF(B$25=0,0,G10/B$25)</f>
        <v>0.1111111111111111</v>
      </c>
    </row>
    <row r="11" spans="1:16" x14ac:dyDescent="0.45">
      <c r="A11" s="60" t="s">
        <v>208</v>
      </c>
      <c r="B11" s="52">
        <v>1</v>
      </c>
      <c r="C11" s="32">
        <f>IF(B$2=0,0,B11/B$2)</f>
        <v>0.2</v>
      </c>
      <c r="E11" s="68" t="s">
        <v>93</v>
      </c>
      <c r="F11" s="64" t="s">
        <v>46</v>
      </c>
      <c r="G11" s="50">
        <v>1</v>
      </c>
      <c r="H11" s="27">
        <f>IF(B$25=0,0,G11/B$25)</f>
        <v>0.1111111111111111</v>
      </c>
    </row>
    <row r="12" spans="1:16" x14ac:dyDescent="0.45">
      <c r="A12" s="61" t="s">
        <v>130</v>
      </c>
      <c r="B12" s="53">
        <v>8</v>
      </c>
      <c r="C12" s="35">
        <f>IF(B$24=0,0,B12/B$24)</f>
        <v>0.25806451612903225</v>
      </c>
      <c r="E12" s="68" t="s">
        <v>76</v>
      </c>
      <c r="F12" s="64" t="s">
        <v>29</v>
      </c>
      <c r="G12" s="50">
        <v>0</v>
      </c>
      <c r="H12" s="27">
        <f>IF(B$25=0,0,G12/B$25)</f>
        <v>0</v>
      </c>
    </row>
    <row r="13" spans="1:16" x14ac:dyDescent="0.45">
      <c r="A13" s="58" t="s">
        <v>125</v>
      </c>
      <c r="B13" s="50">
        <v>5</v>
      </c>
      <c r="C13" s="27">
        <f>IF(B$24=0,0,B13/B$24)</f>
        <v>0.16129032258064516</v>
      </c>
      <c r="E13" s="68" t="s">
        <v>77</v>
      </c>
      <c r="F13" s="64" t="s">
        <v>30</v>
      </c>
      <c r="G13" s="50">
        <v>0</v>
      </c>
      <c r="H13" s="27">
        <f>IF(B$25=0,0,G13/B$25)</f>
        <v>0</v>
      </c>
    </row>
    <row r="14" spans="1:16" x14ac:dyDescent="0.45">
      <c r="A14" s="57" t="s">
        <v>132</v>
      </c>
      <c r="B14" s="49">
        <v>6</v>
      </c>
      <c r="C14" s="24">
        <f>IF(B$12=0,0,B14/B$12)</f>
        <v>0.75</v>
      </c>
      <c r="E14" s="68" t="s">
        <v>79</v>
      </c>
      <c r="F14" s="64" t="s">
        <v>32</v>
      </c>
      <c r="G14" s="50">
        <v>0</v>
      </c>
      <c r="H14" s="27">
        <f>IF(B$25=0,0,G14/B$25)</f>
        <v>0</v>
      </c>
    </row>
    <row r="15" spans="1:16" x14ac:dyDescent="0.45">
      <c r="A15" s="57" t="s">
        <v>133</v>
      </c>
      <c r="B15" s="49">
        <v>1</v>
      </c>
      <c r="C15" s="24">
        <f>IF(B$13=0,0,B15/B$13)</f>
        <v>0.2</v>
      </c>
      <c r="E15" s="68" t="s">
        <v>80</v>
      </c>
      <c r="F15" s="64" t="s">
        <v>33</v>
      </c>
      <c r="G15" s="50">
        <v>0</v>
      </c>
      <c r="H15" s="27">
        <f>IF(B$25=0,0,G15/B$25)</f>
        <v>0</v>
      </c>
    </row>
    <row r="16" spans="1:16" x14ac:dyDescent="0.45">
      <c r="A16" s="57" t="s">
        <v>10</v>
      </c>
      <c r="B16" s="49">
        <f>B17+B18</f>
        <v>10</v>
      </c>
      <c r="C16" s="24">
        <f>IF(B$3=0,0,B16/B$3)</f>
        <v>0.27027027027027029</v>
      </c>
      <c r="E16" s="68" t="s">
        <v>81</v>
      </c>
      <c r="F16" s="64" t="s">
        <v>34</v>
      </c>
      <c r="G16" s="50">
        <v>0</v>
      </c>
      <c r="H16" s="27">
        <f>IF(B$25=0,0,G16/B$25)</f>
        <v>0</v>
      </c>
    </row>
    <row r="17" spans="1:8" x14ac:dyDescent="0.45">
      <c r="A17" s="58" t="s">
        <v>11</v>
      </c>
      <c r="B17" s="50">
        <v>7</v>
      </c>
      <c r="C17" s="27">
        <f>IF(B$3=0,0,B17/B$3)</f>
        <v>0.1891891891891892</v>
      </c>
      <c r="E17" s="68" t="s">
        <v>82</v>
      </c>
      <c r="F17" s="64" t="s">
        <v>35</v>
      </c>
      <c r="G17" s="50">
        <v>0</v>
      </c>
      <c r="H17" s="27">
        <f>IF(B$25=0,0,G17/B$25)</f>
        <v>0</v>
      </c>
    </row>
    <row r="18" spans="1:8" x14ac:dyDescent="0.45">
      <c r="A18" s="58" t="s">
        <v>12</v>
      </c>
      <c r="B18" s="50">
        <v>3</v>
      </c>
      <c r="C18" s="27">
        <f>IF(B$3=0,0,B18/B$3)</f>
        <v>8.1081081081081086E-2</v>
      </c>
      <c r="E18" s="68" t="s">
        <v>83</v>
      </c>
      <c r="F18" s="64" t="s">
        <v>36</v>
      </c>
      <c r="G18" s="50">
        <v>0</v>
      </c>
      <c r="H18" s="27">
        <f>IF(B$25=0,0,G18/B$25)</f>
        <v>0</v>
      </c>
    </row>
    <row r="19" spans="1:8" x14ac:dyDescent="0.45">
      <c r="A19" s="58" t="s">
        <v>13</v>
      </c>
      <c r="B19" s="50">
        <v>8</v>
      </c>
      <c r="C19" s="27">
        <f>IF(B$3=0,0,B19/B$3)</f>
        <v>0.21621621621621623</v>
      </c>
      <c r="E19" s="68" t="s">
        <v>84</v>
      </c>
      <c r="F19" s="64" t="s">
        <v>37</v>
      </c>
      <c r="G19" s="50">
        <v>0</v>
      </c>
      <c r="H19" s="27">
        <f>IF(B$25=0,0,G19/B$25)</f>
        <v>0</v>
      </c>
    </row>
    <row r="20" spans="1:8" x14ac:dyDescent="0.45">
      <c r="A20" s="58" t="s">
        <v>5</v>
      </c>
      <c r="B20" s="54">
        <f>IF(B$16=0,0,C20/B$16)</f>
        <v>7100</v>
      </c>
      <c r="C20" s="30">
        <v>71000</v>
      </c>
      <c r="E20" s="68" t="s">
        <v>86</v>
      </c>
      <c r="F20" s="64" t="s">
        <v>39</v>
      </c>
      <c r="G20" s="50">
        <v>0</v>
      </c>
      <c r="H20" s="27">
        <f>IF(B$25=0,0,G20/B$25)</f>
        <v>0</v>
      </c>
    </row>
    <row r="21" spans="1:8" x14ac:dyDescent="0.45">
      <c r="A21" s="60" t="s">
        <v>14</v>
      </c>
      <c r="B21" s="55">
        <f>IF(B$19=0,0,C21/B$19)</f>
        <v>-12487.5</v>
      </c>
      <c r="C21" s="48">
        <v>-99900</v>
      </c>
      <c r="E21" s="68" t="s">
        <v>87</v>
      </c>
      <c r="F21" s="64" t="s">
        <v>40</v>
      </c>
      <c r="G21" s="50">
        <v>0</v>
      </c>
      <c r="H21" s="27">
        <f>IF(B$25=0,0,G21/B$25)</f>
        <v>0</v>
      </c>
    </row>
    <row r="22" spans="1:8" x14ac:dyDescent="0.45">
      <c r="A22" s="57" t="s">
        <v>195</v>
      </c>
      <c r="B22" s="49">
        <v>13</v>
      </c>
      <c r="C22" s="24">
        <f>IF(B$3=0,0,B22/B$3)</f>
        <v>0.35135135135135137</v>
      </c>
      <c r="E22" s="68" t="s">
        <v>88</v>
      </c>
      <c r="F22" s="64" t="s">
        <v>41</v>
      </c>
      <c r="G22" s="50">
        <v>0</v>
      </c>
      <c r="H22" s="27">
        <f>IF(B$25=0,0,G22/B$25)</f>
        <v>0</v>
      </c>
    </row>
    <row r="23" spans="1:8" x14ac:dyDescent="0.45">
      <c r="A23" s="60" t="s">
        <v>196</v>
      </c>
      <c r="B23" s="52">
        <v>6</v>
      </c>
      <c r="C23" s="32">
        <f>IF(B$22=0,0,B23/B$22)</f>
        <v>0.46153846153846156</v>
      </c>
      <c r="E23" s="68" t="s">
        <v>89</v>
      </c>
      <c r="F23" s="64" t="s">
        <v>42</v>
      </c>
      <c r="G23" s="50">
        <v>0</v>
      </c>
      <c r="H23" s="27">
        <f>IF(B$25=0,0,G23/B$25)</f>
        <v>0</v>
      </c>
    </row>
    <row r="24" spans="1:8" x14ac:dyDescent="0.45">
      <c r="A24" s="57" t="s">
        <v>128</v>
      </c>
      <c r="B24" s="79">
        <v>31</v>
      </c>
      <c r="C24" s="80"/>
      <c r="E24" s="68" t="s">
        <v>90</v>
      </c>
      <c r="F24" s="64" t="s">
        <v>43</v>
      </c>
      <c r="G24" s="50">
        <v>0</v>
      </c>
      <c r="H24" s="27">
        <f>IF(B$25=0,0,G24/B$25)</f>
        <v>0</v>
      </c>
    </row>
    <row r="25" spans="1:8" x14ac:dyDescent="0.45">
      <c r="A25" s="60" t="s">
        <v>129</v>
      </c>
      <c r="B25" s="81">
        <v>9</v>
      </c>
      <c r="C25" s="82"/>
      <c r="E25" s="68" t="s">
        <v>91</v>
      </c>
      <c r="F25" s="64" t="s">
        <v>44</v>
      </c>
      <c r="G25" s="50">
        <v>0</v>
      </c>
      <c r="H25" s="27">
        <f>IF(B$25=0,0,G25/B$25)</f>
        <v>0</v>
      </c>
    </row>
    <row r="26" spans="1:8" x14ac:dyDescent="0.45">
      <c r="E26" s="68" t="s">
        <v>92</v>
      </c>
      <c r="F26" s="64" t="s">
        <v>45</v>
      </c>
      <c r="G26" s="50">
        <v>0</v>
      </c>
      <c r="H26" s="27">
        <f>IF(B$25=0,0,G26/B$25)</f>
        <v>0</v>
      </c>
    </row>
    <row r="27" spans="1:8" x14ac:dyDescent="0.45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A8B95-3419-4266-B015-59CA38744F07}">
  <sheetPr codeName="Sheet10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3" t="s">
        <v>189</v>
      </c>
      <c r="C1" s="84"/>
      <c r="E1" s="66" t="s">
        <v>210</v>
      </c>
      <c r="F1" s="73" t="s">
        <v>122</v>
      </c>
      <c r="G1" s="72" t="s">
        <v>123</v>
      </c>
      <c r="H1" s="73" t="s">
        <v>124</v>
      </c>
      <c r="J1" s="21" t="s">
        <v>22</v>
      </c>
      <c r="K1" s="22" t="s">
        <v>127</v>
      </c>
      <c r="M1" s="21" t="s">
        <v>204</v>
      </c>
      <c r="N1" s="73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79">
        <v>40</v>
      </c>
      <c r="C2" s="80"/>
      <c r="E2" s="67" t="s">
        <v>73</v>
      </c>
      <c r="F2" s="63" t="s">
        <v>27</v>
      </c>
      <c r="G2" s="49">
        <v>28</v>
      </c>
      <c r="H2" s="24">
        <f>IF(B$25=0,0,G2/B$25)</f>
        <v>0.875</v>
      </c>
      <c r="J2" s="23">
        <v>0</v>
      </c>
      <c r="K2" s="25">
        <v>0</v>
      </c>
      <c r="M2" s="23" t="s">
        <v>198</v>
      </c>
      <c r="N2" s="44">
        <f t="shared" ref="N2:N7" si="0">IF(P2=0,0,O2/P2)</f>
        <v>-1707.5</v>
      </c>
      <c r="O2" s="41">
        <v>-68300</v>
      </c>
      <c r="P2" s="39">
        <v>40</v>
      </c>
    </row>
    <row r="3" spans="1:16" x14ac:dyDescent="0.45">
      <c r="A3" s="58" t="s">
        <v>8</v>
      </c>
      <c r="B3" s="85">
        <v>307</v>
      </c>
      <c r="C3" s="86"/>
      <c r="E3" s="68" t="s">
        <v>78</v>
      </c>
      <c r="F3" s="64" t="s">
        <v>31</v>
      </c>
      <c r="G3" s="50">
        <v>24</v>
      </c>
      <c r="H3" s="27">
        <f>IF(B$25=0,0,G3/B$25)</f>
        <v>0.75</v>
      </c>
      <c r="J3" s="26">
        <v>1</v>
      </c>
      <c r="K3" s="28">
        <v>68.2</v>
      </c>
      <c r="M3" s="26" t="s">
        <v>199</v>
      </c>
      <c r="N3" s="45">
        <f t="shared" si="0"/>
        <v>-2537.8378378378379</v>
      </c>
      <c r="O3" s="42">
        <v>-93900</v>
      </c>
      <c r="P3" s="37">
        <v>37</v>
      </c>
    </row>
    <row r="4" spans="1:16" x14ac:dyDescent="0.45">
      <c r="A4" s="58" t="s">
        <v>6</v>
      </c>
      <c r="B4" s="87">
        <v>-107.80000000000001</v>
      </c>
      <c r="C4" s="88"/>
      <c r="E4" s="68" t="s">
        <v>71</v>
      </c>
      <c r="F4" s="64" t="s">
        <v>25</v>
      </c>
      <c r="G4" s="50">
        <v>19</v>
      </c>
      <c r="H4" s="27">
        <f>IF(B$25=0,0,G4/B$25)</f>
        <v>0.59375</v>
      </c>
      <c r="J4" s="26">
        <v>2</v>
      </c>
      <c r="K4" s="28">
        <v>58.5</v>
      </c>
      <c r="M4" s="26" t="s">
        <v>200</v>
      </c>
      <c r="N4" s="45">
        <f t="shared" si="0"/>
        <v>-1245.1612903225807</v>
      </c>
      <c r="O4" s="42">
        <v>-38600</v>
      </c>
      <c r="P4" s="37">
        <v>31</v>
      </c>
    </row>
    <row r="5" spans="1:16" x14ac:dyDescent="0.45">
      <c r="A5" s="58" t="s">
        <v>7</v>
      </c>
      <c r="B5" s="87">
        <f>IF(B$2=0,0,B$4/B$2)</f>
        <v>-2.6950000000000003</v>
      </c>
      <c r="C5" s="88"/>
      <c r="E5" s="68" t="s">
        <v>69</v>
      </c>
      <c r="F5" s="64" t="s">
        <v>23</v>
      </c>
      <c r="G5" s="50">
        <v>11</v>
      </c>
      <c r="H5" s="27">
        <f>IF(B$25=0,0,G5/B$25)</f>
        <v>0.34375</v>
      </c>
      <c r="J5" s="26">
        <v>3</v>
      </c>
      <c r="K5" s="28">
        <v>82.1</v>
      </c>
      <c r="M5" s="26" t="s">
        <v>201</v>
      </c>
      <c r="N5" s="45">
        <f t="shared" si="0"/>
        <v>3148.2758620689656</v>
      </c>
      <c r="O5" s="42">
        <v>91300</v>
      </c>
      <c r="P5" s="37">
        <v>29</v>
      </c>
    </row>
    <row r="6" spans="1:16" x14ac:dyDescent="0.45">
      <c r="A6" s="58" t="s">
        <v>1</v>
      </c>
      <c r="B6" s="77">
        <f>IF(B$2=0,0,(B$7*1+B$8*2+B$9*3)/B$2)</f>
        <v>2.1</v>
      </c>
      <c r="C6" s="78"/>
      <c r="E6" s="68" t="s">
        <v>70</v>
      </c>
      <c r="F6" s="64" t="s">
        <v>24</v>
      </c>
      <c r="G6" s="50">
        <v>5</v>
      </c>
      <c r="H6" s="27">
        <f>IF(B$25=0,0,G6/B$25)</f>
        <v>0.15625</v>
      </c>
      <c r="J6" s="26">
        <v>4</v>
      </c>
      <c r="K6" s="28">
        <v>58.199999999999996</v>
      </c>
      <c r="M6" s="26" t="s">
        <v>202</v>
      </c>
      <c r="N6" s="45">
        <f t="shared" si="0"/>
        <v>-986.36363636363637</v>
      </c>
      <c r="O6" s="42">
        <v>-21700</v>
      </c>
      <c r="P6" s="37">
        <v>22</v>
      </c>
    </row>
    <row r="7" spans="1:16" x14ac:dyDescent="0.45">
      <c r="A7" s="58" t="s">
        <v>2</v>
      </c>
      <c r="B7" s="50">
        <v>10</v>
      </c>
      <c r="C7" s="27">
        <f>IF(B$2=0,0,B7/B$2)</f>
        <v>0.25</v>
      </c>
      <c r="E7" s="68" t="s">
        <v>74</v>
      </c>
      <c r="F7" s="64" t="s">
        <v>12</v>
      </c>
      <c r="G7" s="50">
        <v>4</v>
      </c>
      <c r="H7" s="27">
        <f>IF(B$25=0,0,G7/B$25)</f>
        <v>0.125</v>
      </c>
      <c r="J7" s="26">
        <v>5</v>
      </c>
      <c r="K7" s="28">
        <v>124.19999999999999</v>
      </c>
      <c r="M7" s="31" t="s">
        <v>203</v>
      </c>
      <c r="N7" s="46">
        <f t="shared" si="0"/>
        <v>1300</v>
      </c>
      <c r="O7" s="43">
        <v>23400</v>
      </c>
      <c r="P7" s="38">
        <v>18</v>
      </c>
    </row>
    <row r="8" spans="1:16" x14ac:dyDescent="0.45">
      <c r="A8" s="58" t="s">
        <v>3</v>
      </c>
      <c r="B8" s="50">
        <v>16</v>
      </c>
      <c r="C8" s="27">
        <f t="shared" ref="C8:C9" si="1">IF(B$2=0,0,B8/B$2)</f>
        <v>0.4</v>
      </c>
      <c r="E8" s="68" t="s">
        <v>72</v>
      </c>
      <c r="F8" s="64" t="s">
        <v>26</v>
      </c>
      <c r="G8" s="50">
        <v>3</v>
      </c>
      <c r="H8" s="27">
        <f>IF(B$25=0,0,G8/B$25)</f>
        <v>9.375E-2</v>
      </c>
      <c r="J8" s="26">
        <v>6</v>
      </c>
      <c r="K8" s="28">
        <v>125.69999999999999</v>
      </c>
    </row>
    <row r="9" spans="1:16" x14ac:dyDescent="0.45">
      <c r="A9" s="59" t="s">
        <v>4</v>
      </c>
      <c r="B9" s="51">
        <v>14</v>
      </c>
      <c r="C9" s="29">
        <f t="shared" si="1"/>
        <v>0.35</v>
      </c>
      <c r="E9" s="68" t="s">
        <v>75</v>
      </c>
      <c r="F9" s="64" t="s">
        <v>28</v>
      </c>
      <c r="G9" s="50">
        <v>3</v>
      </c>
      <c r="H9" s="27">
        <f>IF(B$25=0,0,G9/B$25)</f>
        <v>9.375E-2</v>
      </c>
      <c r="J9" s="26">
        <v>7</v>
      </c>
      <c r="K9" s="28">
        <v>129.5</v>
      </c>
    </row>
    <row r="10" spans="1:16" x14ac:dyDescent="0.45">
      <c r="A10" s="59" t="s">
        <v>21</v>
      </c>
      <c r="B10" s="51">
        <v>6</v>
      </c>
      <c r="C10" s="29">
        <f>IF(B$2=0,0,B10/B$2)</f>
        <v>0.15</v>
      </c>
      <c r="E10" s="68" t="s">
        <v>96</v>
      </c>
      <c r="F10" s="64" t="s">
        <v>49</v>
      </c>
      <c r="G10" s="50">
        <v>3</v>
      </c>
      <c r="H10" s="27">
        <f>IF(B$25=0,0,G10/B$25)</f>
        <v>9.375E-2</v>
      </c>
      <c r="J10" s="26">
        <v>8</v>
      </c>
      <c r="K10" s="28">
        <v>97</v>
      </c>
    </row>
    <row r="11" spans="1:16" x14ac:dyDescent="0.45">
      <c r="A11" s="60" t="s">
        <v>208</v>
      </c>
      <c r="B11" s="52">
        <v>7</v>
      </c>
      <c r="C11" s="32">
        <f>IF(B$2=0,0,B11/B$2)</f>
        <v>0.17499999999999999</v>
      </c>
      <c r="E11" s="68" t="s">
        <v>84</v>
      </c>
      <c r="F11" s="64" t="s">
        <v>37</v>
      </c>
      <c r="G11" s="50">
        <v>2</v>
      </c>
      <c r="H11" s="27">
        <f>IF(B$25=0,0,G11/B$25)</f>
        <v>6.25E-2</v>
      </c>
      <c r="J11" s="26">
        <v>9</v>
      </c>
      <c r="K11" s="28">
        <v>83.3</v>
      </c>
    </row>
    <row r="12" spans="1:16" x14ac:dyDescent="0.45">
      <c r="A12" s="61" t="s">
        <v>130</v>
      </c>
      <c r="B12" s="53">
        <v>26</v>
      </c>
      <c r="C12" s="35">
        <f>IF(B$24=0,0,B12/B$24)</f>
        <v>0.21666666666666667</v>
      </c>
      <c r="E12" s="68" t="s">
        <v>85</v>
      </c>
      <c r="F12" s="64" t="s">
        <v>38</v>
      </c>
      <c r="G12" s="50">
        <v>2</v>
      </c>
      <c r="H12" s="27">
        <f>IF(B$25=0,0,G12/B$25)</f>
        <v>6.25E-2</v>
      </c>
      <c r="J12" s="26">
        <v>10</v>
      </c>
      <c r="K12" s="28">
        <v>111</v>
      </c>
    </row>
    <row r="13" spans="1:16" x14ac:dyDescent="0.45">
      <c r="A13" s="58" t="s">
        <v>125</v>
      </c>
      <c r="B13" s="50">
        <v>38</v>
      </c>
      <c r="C13" s="27">
        <f>IF(B$24=0,0,B13/B$24)</f>
        <v>0.31666666666666665</v>
      </c>
      <c r="E13" s="68" t="s">
        <v>93</v>
      </c>
      <c r="F13" s="64" t="s">
        <v>46</v>
      </c>
      <c r="G13" s="50">
        <v>2</v>
      </c>
      <c r="H13" s="27">
        <f>IF(B$25=0,0,G13/B$25)</f>
        <v>6.25E-2</v>
      </c>
      <c r="J13" s="26">
        <v>11</v>
      </c>
      <c r="K13" s="28">
        <v>138.69999999999999</v>
      </c>
    </row>
    <row r="14" spans="1:16" x14ac:dyDescent="0.45">
      <c r="A14" s="57" t="s">
        <v>132</v>
      </c>
      <c r="B14" s="49">
        <v>10</v>
      </c>
      <c r="C14" s="24">
        <f>IF(B$12=0,0,B14/B$12)</f>
        <v>0.38461538461538464</v>
      </c>
      <c r="E14" s="68" t="s">
        <v>76</v>
      </c>
      <c r="F14" s="64" t="s">
        <v>29</v>
      </c>
      <c r="G14" s="50">
        <v>1</v>
      </c>
      <c r="H14" s="27">
        <f>IF(B$25=0,0,G14/B$25)</f>
        <v>3.125E-2</v>
      </c>
      <c r="J14" s="26">
        <v>12</v>
      </c>
      <c r="K14" s="28">
        <v>99.799999999999983</v>
      </c>
    </row>
    <row r="15" spans="1:16" x14ac:dyDescent="0.45">
      <c r="A15" s="57" t="s">
        <v>133</v>
      </c>
      <c r="B15" s="49">
        <v>16</v>
      </c>
      <c r="C15" s="24">
        <f>IF(B$13=0,0,B15/B$13)</f>
        <v>0.42105263157894735</v>
      </c>
      <c r="E15" s="68" t="s">
        <v>77</v>
      </c>
      <c r="F15" s="64" t="s">
        <v>30</v>
      </c>
      <c r="G15" s="50">
        <v>1</v>
      </c>
      <c r="H15" s="27">
        <f>IF(B$25=0,0,G15/B$25)</f>
        <v>3.125E-2</v>
      </c>
      <c r="J15" s="26">
        <v>13</v>
      </c>
      <c r="K15" s="28">
        <v>61.799999999999983</v>
      </c>
    </row>
    <row r="16" spans="1:16" x14ac:dyDescent="0.45">
      <c r="A16" s="57" t="s">
        <v>10</v>
      </c>
      <c r="B16" s="49">
        <f>B17+B18</f>
        <v>86</v>
      </c>
      <c r="C16" s="24">
        <f>IF(B$3=0,0,B16/B$3)</f>
        <v>0.28013029315960913</v>
      </c>
      <c r="E16" s="68" t="s">
        <v>81</v>
      </c>
      <c r="F16" s="64" t="s">
        <v>34</v>
      </c>
      <c r="G16" s="50">
        <v>1</v>
      </c>
      <c r="H16" s="27">
        <f>IF(B$25=0,0,G16/B$25)</f>
        <v>3.125E-2</v>
      </c>
      <c r="J16" s="26">
        <v>14</v>
      </c>
      <c r="K16" s="28">
        <v>41.499999999999986</v>
      </c>
    </row>
    <row r="17" spans="1:11" x14ac:dyDescent="0.45">
      <c r="A17" s="58" t="s">
        <v>11</v>
      </c>
      <c r="B17" s="50">
        <v>51</v>
      </c>
      <c r="C17" s="27">
        <f>IF(B$3=0,0,B17/B$3)</f>
        <v>0.16612377850162866</v>
      </c>
      <c r="E17" s="68" t="s">
        <v>88</v>
      </c>
      <c r="F17" s="64" t="s">
        <v>41</v>
      </c>
      <c r="G17" s="50">
        <v>1</v>
      </c>
      <c r="H17" s="27">
        <f>IF(B$25=0,0,G17/B$25)</f>
        <v>3.125E-2</v>
      </c>
      <c r="J17" s="26">
        <v>15</v>
      </c>
      <c r="K17" s="28">
        <v>32.999999999999986</v>
      </c>
    </row>
    <row r="18" spans="1:11" x14ac:dyDescent="0.45">
      <c r="A18" s="58" t="s">
        <v>12</v>
      </c>
      <c r="B18" s="50">
        <v>35</v>
      </c>
      <c r="C18" s="27">
        <f>IF(B$3=0,0,B18/B$3)</f>
        <v>0.11400651465798045</v>
      </c>
      <c r="E18" s="68" t="s">
        <v>90</v>
      </c>
      <c r="F18" s="64" t="s">
        <v>43</v>
      </c>
      <c r="G18" s="50">
        <v>1</v>
      </c>
      <c r="H18" s="27">
        <f>IF(B$25=0,0,G18/B$25)</f>
        <v>3.125E-2</v>
      </c>
      <c r="J18" s="26">
        <v>16</v>
      </c>
      <c r="K18" s="28">
        <v>-5.5000000000000142</v>
      </c>
    </row>
    <row r="19" spans="1:11" x14ac:dyDescent="0.45">
      <c r="A19" s="58" t="s">
        <v>13</v>
      </c>
      <c r="B19" s="50">
        <v>61</v>
      </c>
      <c r="C19" s="27">
        <f>IF(B$3=0,0,B19/B$3)</f>
        <v>0.1986970684039088</v>
      </c>
      <c r="E19" s="68" t="s">
        <v>79</v>
      </c>
      <c r="F19" s="64" t="s">
        <v>32</v>
      </c>
      <c r="G19" s="50">
        <v>0</v>
      </c>
      <c r="H19" s="27">
        <f>IF(B$25=0,0,G19/B$25)</f>
        <v>0</v>
      </c>
      <c r="J19" s="26">
        <v>17</v>
      </c>
      <c r="K19" s="28">
        <v>-17.100000000000016</v>
      </c>
    </row>
    <row r="20" spans="1:11" x14ac:dyDescent="0.45">
      <c r="A20" s="58" t="s">
        <v>5</v>
      </c>
      <c r="B20" s="54">
        <f>IF(B$16=0,0,C20/B$16)</f>
        <v>9869.7674418604656</v>
      </c>
      <c r="C20" s="30">
        <v>848800</v>
      </c>
      <c r="E20" s="68" t="s">
        <v>80</v>
      </c>
      <c r="F20" s="64" t="s">
        <v>33</v>
      </c>
      <c r="G20" s="50">
        <v>0</v>
      </c>
      <c r="H20" s="27">
        <f>IF(B$25=0,0,G20/B$25)</f>
        <v>0</v>
      </c>
      <c r="J20" s="26">
        <v>18</v>
      </c>
      <c r="K20" s="28">
        <v>-16.800000000000015</v>
      </c>
    </row>
    <row r="21" spans="1:11" x14ac:dyDescent="0.45">
      <c r="A21" s="60" t="s">
        <v>14</v>
      </c>
      <c r="B21" s="55">
        <f>IF(B$19=0,0,C21/B$19)</f>
        <v>-8024.5901639344265</v>
      </c>
      <c r="C21" s="48">
        <v>-489500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-2.1000000000000156</v>
      </c>
    </row>
    <row r="22" spans="1:11" x14ac:dyDescent="0.45">
      <c r="A22" s="57" t="s">
        <v>195</v>
      </c>
      <c r="B22" s="49">
        <v>86</v>
      </c>
      <c r="C22" s="24">
        <f>IF(B$3=0,0,B22/B$3)</f>
        <v>0.28013029315960913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45.899999999999984</v>
      </c>
    </row>
    <row r="23" spans="1:11" x14ac:dyDescent="0.45">
      <c r="A23" s="60" t="s">
        <v>196</v>
      </c>
      <c r="B23" s="52">
        <v>35</v>
      </c>
      <c r="C23" s="32">
        <f>IF(B$22=0,0,B23/B$22)</f>
        <v>0.40697674418604651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4.0999999999999872</v>
      </c>
    </row>
    <row r="24" spans="1:11" x14ac:dyDescent="0.45">
      <c r="A24" s="57" t="s">
        <v>128</v>
      </c>
      <c r="B24" s="79">
        <v>120</v>
      </c>
      <c r="C24" s="80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-1.4000000000000128</v>
      </c>
    </row>
    <row r="25" spans="1:11" x14ac:dyDescent="0.45">
      <c r="A25" s="60" t="s">
        <v>129</v>
      </c>
      <c r="B25" s="81">
        <v>32</v>
      </c>
      <c r="C25" s="82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23.499999999999986</v>
      </c>
    </row>
    <row r="26" spans="1:11" x14ac:dyDescent="0.45"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9.5999999999999854</v>
      </c>
    </row>
    <row r="27" spans="1:11" x14ac:dyDescent="0.45"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1.2999999999999847</v>
      </c>
    </row>
    <row r="28" spans="1:11" x14ac:dyDescent="0.45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-9.7000000000000153</v>
      </c>
    </row>
    <row r="29" spans="1:11" x14ac:dyDescent="0.45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-31.600000000000016</v>
      </c>
    </row>
    <row r="30" spans="1:11" x14ac:dyDescent="0.45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-25.500000000000014</v>
      </c>
    </row>
    <row r="31" spans="1:11" x14ac:dyDescent="0.45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-24.900000000000013</v>
      </c>
    </row>
    <row r="32" spans="1:11" x14ac:dyDescent="0.45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15.29999999999999</v>
      </c>
    </row>
    <row r="33" spans="5:11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-20.400000000000013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-36.400000000000013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-42.20000000000001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-94.100000000000009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-106.10000000000001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-72.700000000000017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-78.300000000000011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-105.30000000000001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-100.10000000000001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-107.80000000000001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0CE8B-6316-4C62-B732-D8D3EC51FA2C}">
  <sheetPr codeName="Sheet11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3" t="s">
        <v>190</v>
      </c>
      <c r="C1" s="84"/>
      <c r="E1" s="66" t="s">
        <v>210</v>
      </c>
      <c r="F1" s="73" t="s">
        <v>122</v>
      </c>
      <c r="G1" s="72" t="s">
        <v>123</v>
      </c>
      <c r="H1" s="73" t="s">
        <v>124</v>
      </c>
      <c r="J1" s="21" t="s">
        <v>22</v>
      </c>
      <c r="K1" s="22" t="s">
        <v>127</v>
      </c>
      <c r="M1" s="21" t="s">
        <v>204</v>
      </c>
      <c r="N1" s="73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79">
        <v>49</v>
      </c>
      <c r="C2" s="80"/>
      <c r="E2" s="67" t="s">
        <v>71</v>
      </c>
      <c r="F2" s="63" t="s">
        <v>25</v>
      </c>
      <c r="G2" s="49">
        <v>72</v>
      </c>
      <c r="H2" s="24">
        <f>IF(B$25=0,0,G2/B$25)</f>
        <v>0.88888888888888884</v>
      </c>
      <c r="J2" s="23">
        <v>0</v>
      </c>
      <c r="K2" s="25">
        <v>0</v>
      </c>
      <c r="M2" s="23" t="s">
        <v>198</v>
      </c>
      <c r="N2" s="44">
        <f t="shared" ref="N2:N7" si="0">IF(P2=0,0,O2/P2)</f>
        <v>3555.3191489361702</v>
      </c>
      <c r="O2" s="41">
        <v>167100</v>
      </c>
      <c r="P2" s="39">
        <v>47</v>
      </c>
    </row>
    <row r="3" spans="1:16" x14ac:dyDescent="0.45">
      <c r="A3" s="58" t="s">
        <v>8</v>
      </c>
      <c r="B3" s="85">
        <v>372</v>
      </c>
      <c r="C3" s="86"/>
      <c r="E3" s="68" t="s">
        <v>73</v>
      </c>
      <c r="F3" s="64" t="s">
        <v>27</v>
      </c>
      <c r="G3" s="50">
        <v>72</v>
      </c>
      <c r="H3" s="27">
        <f>IF(B$25=0,0,G3/B$25)</f>
        <v>0.88888888888888884</v>
      </c>
      <c r="J3" s="26">
        <v>1</v>
      </c>
      <c r="K3" s="28">
        <v>-36.700000000000003</v>
      </c>
      <c r="M3" s="26" t="s">
        <v>199</v>
      </c>
      <c r="N3" s="45">
        <f t="shared" si="0"/>
        <v>-572.72727272727275</v>
      </c>
      <c r="O3" s="42">
        <v>-25200</v>
      </c>
      <c r="P3" s="37">
        <v>44</v>
      </c>
    </row>
    <row r="4" spans="1:16" x14ac:dyDescent="0.45">
      <c r="A4" s="58" t="s">
        <v>6</v>
      </c>
      <c r="B4" s="87">
        <v>175.29999999999995</v>
      </c>
      <c r="C4" s="88"/>
      <c r="E4" s="68" t="s">
        <v>69</v>
      </c>
      <c r="F4" s="64" t="s">
        <v>23</v>
      </c>
      <c r="G4" s="50">
        <v>50</v>
      </c>
      <c r="H4" s="27">
        <f>IF(B$25=0,0,G4/B$25)</f>
        <v>0.61728395061728392</v>
      </c>
      <c r="J4" s="26">
        <v>2</v>
      </c>
      <c r="K4" s="28">
        <v>-45.300000000000004</v>
      </c>
      <c r="M4" s="26" t="s">
        <v>200</v>
      </c>
      <c r="N4" s="45">
        <f t="shared" si="0"/>
        <v>-340</v>
      </c>
      <c r="O4" s="42">
        <v>-13600</v>
      </c>
      <c r="P4" s="37">
        <v>40</v>
      </c>
    </row>
    <row r="5" spans="1:16" x14ac:dyDescent="0.45">
      <c r="A5" s="58" t="s">
        <v>7</v>
      </c>
      <c r="B5" s="87">
        <f>IF(B$2=0,0,B$4/B$2)</f>
        <v>3.5775510204081624</v>
      </c>
      <c r="C5" s="88"/>
      <c r="E5" s="68" t="s">
        <v>78</v>
      </c>
      <c r="F5" s="64" t="s">
        <v>31</v>
      </c>
      <c r="G5" s="50">
        <v>49</v>
      </c>
      <c r="H5" s="27">
        <f>IF(B$25=0,0,G5/B$25)</f>
        <v>0.60493827160493829</v>
      </c>
      <c r="J5" s="26">
        <v>3</v>
      </c>
      <c r="K5" s="28">
        <v>-81.7</v>
      </c>
      <c r="M5" s="26" t="s">
        <v>201</v>
      </c>
      <c r="N5" s="45">
        <f t="shared" si="0"/>
        <v>-1340.5405405405406</v>
      </c>
      <c r="O5" s="42">
        <v>-49600</v>
      </c>
      <c r="P5" s="37">
        <v>37</v>
      </c>
    </row>
    <row r="6" spans="1:16" x14ac:dyDescent="0.45">
      <c r="A6" s="58" t="s">
        <v>1</v>
      </c>
      <c r="B6" s="77">
        <f>IF(B$2=0,0,(B$7*1+B$8*2+B$9*3)/B$2)</f>
        <v>1.9183673469387754</v>
      </c>
      <c r="C6" s="78"/>
      <c r="E6" s="68" t="s">
        <v>72</v>
      </c>
      <c r="F6" s="64" t="s">
        <v>26</v>
      </c>
      <c r="G6" s="50">
        <v>26</v>
      </c>
      <c r="H6" s="27">
        <f>IF(B$25=0,0,G6/B$25)</f>
        <v>0.32098765432098764</v>
      </c>
      <c r="J6" s="26">
        <v>4</v>
      </c>
      <c r="K6" s="28">
        <v>-113.80000000000001</v>
      </c>
      <c r="M6" s="26" t="s">
        <v>202</v>
      </c>
      <c r="N6" s="45">
        <f t="shared" si="0"/>
        <v>1767.8571428571429</v>
      </c>
      <c r="O6" s="42">
        <v>49500</v>
      </c>
      <c r="P6" s="37">
        <v>28</v>
      </c>
    </row>
    <row r="7" spans="1:16" x14ac:dyDescent="0.45">
      <c r="A7" s="58" t="s">
        <v>2</v>
      </c>
      <c r="B7" s="50">
        <v>19</v>
      </c>
      <c r="C7" s="27">
        <f>IF(B$2=0,0,B7/B$2)</f>
        <v>0.38775510204081631</v>
      </c>
      <c r="E7" s="68" t="s">
        <v>74</v>
      </c>
      <c r="F7" s="64" t="s">
        <v>12</v>
      </c>
      <c r="G7" s="50">
        <v>25</v>
      </c>
      <c r="H7" s="27">
        <f>IF(B$25=0,0,G7/B$25)</f>
        <v>0.30864197530864196</v>
      </c>
      <c r="J7" s="26">
        <v>5</v>
      </c>
      <c r="K7" s="28">
        <v>-135.80000000000001</v>
      </c>
      <c r="M7" s="31" t="s">
        <v>203</v>
      </c>
      <c r="N7" s="46">
        <f t="shared" si="0"/>
        <v>266.66666666666669</v>
      </c>
      <c r="O7" s="43">
        <v>6400</v>
      </c>
      <c r="P7" s="38">
        <v>24</v>
      </c>
    </row>
    <row r="8" spans="1:16" x14ac:dyDescent="0.45">
      <c r="A8" s="58" t="s">
        <v>3</v>
      </c>
      <c r="B8" s="50">
        <v>15</v>
      </c>
      <c r="C8" s="27">
        <f t="shared" ref="C8:C9" si="1">IF(B$2=0,0,B8/B$2)</f>
        <v>0.30612244897959184</v>
      </c>
      <c r="E8" s="68" t="s">
        <v>75</v>
      </c>
      <c r="F8" s="64" t="s">
        <v>28</v>
      </c>
      <c r="G8" s="50">
        <v>15</v>
      </c>
      <c r="H8" s="27">
        <f>IF(B$25=0,0,G8/B$25)</f>
        <v>0.18518518518518517</v>
      </c>
      <c r="J8" s="26">
        <v>6</v>
      </c>
      <c r="K8" s="28">
        <v>-100.30000000000001</v>
      </c>
    </row>
    <row r="9" spans="1:16" x14ac:dyDescent="0.45">
      <c r="A9" s="59" t="s">
        <v>4</v>
      </c>
      <c r="B9" s="51">
        <v>15</v>
      </c>
      <c r="C9" s="29">
        <f t="shared" si="1"/>
        <v>0.30612244897959184</v>
      </c>
      <c r="E9" s="68" t="s">
        <v>70</v>
      </c>
      <c r="F9" s="64" t="s">
        <v>24</v>
      </c>
      <c r="G9" s="50">
        <v>12</v>
      </c>
      <c r="H9" s="27">
        <f>IF(B$25=0,0,G9/B$25)</f>
        <v>0.14814814814814814</v>
      </c>
      <c r="J9" s="26">
        <v>7</v>
      </c>
      <c r="K9" s="28">
        <v>-105.70000000000002</v>
      </c>
    </row>
    <row r="10" spans="1:16" x14ac:dyDescent="0.45">
      <c r="A10" s="59" t="s">
        <v>21</v>
      </c>
      <c r="B10" s="51">
        <v>8</v>
      </c>
      <c r="C10" s="29">
        <f>IF(B$2=0,0,B10/B$2)</f>
        <v>0.16326530612244897</v>
      </c>
      <c r="E10" s="68" t="s">
        <v>96</v>
      </c>
      <c r="F10" s="64" t="s">
        <v>49</v>
      </c>
      <c r="G10" s="50">
        <v>11</v>
      </c>
      <c r="H10" s="27">
        <f>IF(B$25=0,0,G10/B$25)</f>
        <v>0.13580246913580246</v>
      </c>
      <c r="J10" s="26">
        <v>8</v>
      </c>
      <c r="K10" s="28">
        <v>-51.800000000000018</v>
      </c>
    </row>
    <row r="11" spans="1:16" x14ac:dyDescent="0.45">
      <c r="A11" s="60" t="s">
        <v>208</v>
      </c>
      <c r="B11" s="52">
        <v>10</v>
      </c>
      <c r="C11" s="32">
        <f>IF(B$2=0,0,B11/B$2)</f>
        <v>0.20408163265306123</v>
      </c>
      <c r="E11" s="68" t="s">
        <v>76</v>
      </c>
      <c r="F11" s="64" t="s">
        <v>29</v>
      </c>
      <c r="G11" s="50">
        <v>6</v>
      </c>
      <c r="H11" s="27">
        <f>IF(B$25=0,0,G11/B$25)</f>
        <v>7.407407407407407E-2</v>
      </c>
      <c r="J11" s="26">
        <v>9</v>
      </c>
      <c r="K11" s="28">
        <v>-53.000000000000021</v>
      </c>
    </row>
    <row r="12" spans="1:16" x14ac:dyDescent="0.45">
      <c r="A12" s="61" t="s">
        <v>130</v>
      </c>
      <c r="B12" s="53">
        <v>83</v>
      </c>
      <c r="C12" s="35">
        <f>IF(B$24=0,0,B12/B$24)</f>
        <v>0.34728033472803349</v>
      </c>
      <c r="E12" s="68" t="s">
        <v>77</v>
      </c>
      <c r="F12" s="64" t="s">
        <v>30</v>
      </c>
      <c r="G12" s="50">
        <v>6</v>
      </c>
      <c r="H12" s="27">
        <f>IF(B$25=0,0,G12/B$25)</f>
        <v>7.407407407407407E-2</v>
      </c>
      <c r="J12" s="26">
        <v>10</v>
      </c>
      <c r="K12" s="28">
        <v>-72.300000000000026</v>
      </c>
    </row>
    <row r="13" spans="1:16" x14ac:dyDescent="0.45">
      <c r="A13" s="58" t="s">
        <v>125</v>
      </c>
      <c r="B13" s="50">
        <v>57</v>
      </c>
      <c r="C13" s="27">
        <f>IF(B$24=0,0,B13/B$24)</f>
        <v>0.2384937238493724</v>
      </c>
      <c r="E13" s="68" t="s">
        <v>93</v>
      </c>
      <c r="F13" s="64" t="s">
        <v>46</v>
      </c>
      <c r="G13" s="50">
        <v>5</v>
      </c>
      <c r="H13" s="27">
        <f>IF(B$25=0,0,G13/B$25)</f>
        <v>6.1728395061728392E-2</v>
      </c>
      <c r="J13" s="26">
        <v>11</v>
      </c>
      <c r="K13" s="28">
        <v>-91.600000000000023</v>
      </c>
    </row>
    <row r="14" spans="1:16" x14ac:dyDescent="0.45">
      <c r="A14" s="57" t="s">
        <v>132</v>
      </c>
      <c r="B14" s="49">
        <v>51</v>
      </c>
      <c r="C14" s="24">
        <f>IF(B$12=0,0,B14/B$12)</f>
        <v>0.61445783132530118</v>
      </c>
      <c r="E14" s="68" t="s">
        <v>84</v>
      </c>
      <c r="F14" s="64" t="s">
        <v>37</v>
      </c>
      <c r="G14" s="50">
        <v>3</v>
      </c>
      <c r="H14" s="27">
        <f>IF(B$25=0,0,G14/B$25)</f>
        <v>3.7037037037037035E-2</v>
      </c>
      <c r="J14" s="26">
        <v>12</v>
      </c>
      <c r="K14" s="28">
        <v>-88.600000000000023</v>
      </c>
    </row>
    <row r="15" spans="1:16" x14ac:dyDescent="0.45">
      <c r="A15" s="57" t="s">
        <v>133</v>
      </c>
      <c r="B15" s="49">
        <v>23</v>
      </c>
      <c r="C15" s="24">
        <f>IF(B$13=0,0,B15/B$13)</f>
        <v>0.40350877192982454</v>
      </c>
      <c r="E15" s="68" t="s">
        <v>88</v>
      </c>
      <c r="F15" s="64" t="s">
        <v>41</v>
      </c>
      <c r="G15" s="50">
        <v>2</v>
      </c>
      <c r="H15" s="27">
        <f>IF(B$25=0,0,G15/B$25)</f>
        <v>2.4691358024691357E-2</v>
      </c>
      <c r="J15" s="26">
        <v>13</v>
      </c>
      <c r="K15" s="28">
        <v>-73.100000000000023</v>
      </c>
    </row>
    <row r="16" spans="1:16" x14ac:dyDescent="0.45">
      <c r="A16" s="57" t="s">
        <v>10</v>
      </c>
      <c r="B16" s="49">
        <f>B17+B18</f>
        <v>119</v>
      </c>
      <c r="C16" s="24">
        <f>IF(B$3=0,0,B16/B$3)</f>
        <v>0.31989247311827956</v>
      </c>
      <c r="E16" s="68" t="s">
        <v>80</v>
      </c>
      <c r="F16" s="64" t="s">
        <v>33</v>
      </c>
      <c r="G16" s="50">
        <v>1</v>
      </c>
      <c r="H16" s="27">
        <f>IF(B$25=0,0,G16/B$25)</f>
        <v>1.2345679012345678E-2</v>
      </c>
      <c r="J16" s="26">
        <v>14</v>
      </c>
      <c r="K16" s="28">
        <v>-62.000000000000021</v>
      </c>
    </row>
    <row r="17" spans="1:11" x14ac:dyDescent="0.45">
      <c r="A17" s="58" t="s">
        <v>11</v>
      </c>
      <c r="B17" s="50">
        <v>71</v>
      </c>
      <c r="C17" s="27">
        <f>IF(B$3=0,0,B17/B$3)</f>
        <v>0.19086021505376344</v>
      </c>
      <c r="E17" s="68" t="s">
        <v>90</v>
      </c>
      <c r="F17" s="64" t="s">
        <v>43</v>
      </c>
      <c r="G17" s="50">
        <v>1</v>
      </c>
      <c r="H17" s="27">
        <f>IF(B$25=0,0,G17/B$25)</f>
        <v>1.2345679012345678E-2</v>
      </c>
      <c r="J17" s="26">
        <v>15</v>
      </c>
      <c r="K17" s="28">
        <v>-69.200000000000017</v>
      </c>
    </row>
    <row r="18" spans="1:11" x14ac:dyDescent="0.45">
      <c r="A18" s="58" t="s">
        <v>12</v>
      </c>
      <c r="B18" s="50">
        <v>48</v>
      </c>
      <c r="C18" s="27">
        <f>IF(B$3=0,0,B18/B$3)</f>
        <v>0.12903225806451613</v>
      </c>
      <c r="E18" s="68" t="s">
        <v>91</v>
      </c>
      <c r="F18" s="64" t="s">
        <v>44</v>
      </c>
      <c r="G18" s="50">
        <v>1</v>
      </c>
      <c r="H18" s="27">
        <f>IF(B$25=0,0,G18/B$25)</f>
        <v>1.2345679012345678E-2</v>
      </c>
      <c r="J18" s="26">
        <v>16</v>
      </c>
      <c r="K18" s="28">
        <v>5.0999999999999801</v>
      </c>
    </row>
    <row r="19" spans="1:11" x14ac:dyDescent="0.45">
      <c r="A19" s="58" t="s">
        <v>13</v>
      </c>
      <c r="B19" s="50">
        <v>60</v>
      </c>
      <c r="C19" s="27">
        <f>IF(B$3=0,0,B19/B$3)</f>
        <v>0.16129032258064516</v>
      </c>
      <c r="E19" s="68" t="s">
        <v>98</v>
      </c>
      <c r="F19" s="64" t="s">
        <v>51</v>
      </c>
      <c r="G19" s="50">
        <v>1</v>
      </c>
      <c r="H19" s="27">
        <f>IF(B$25=0,0,G19/B$25)</f>
        <v>1.2345679012345678E-2</v>
      </c>
      <c r="J19" s="26">
        <v>17</v>
      </c>
      <c r="K19" s="28">
        <v>40.09999999999998</v>
      </c>
    </row>
    <row r="20" spans="1:11" x14ac:dyDescent="0.45">
      <c r="A20" s="58" t="s">
        <v>5</v>
      </c>
      <c r="B20" s="54">
        <f>IF(B$16=0,0,C20/B$16)</f>
        <v>10842.857142857143</v>
      </c>
      <c r="C20" s="30">
        <v>1290300</v>
      </c>
      <c r="E20" s="68" t="s">
        <v>79</v>
      </c>
      <c r="F20" s="64" t="s">
        <v>32</v>
      </c>
      <c r="G20" s="50">
        <v>0</v>
      </c>
      <c r="H20" s="27">
        <f>IF(B$25=0,0,G20/B$25)</f>
        <v>0</v>
      </c>
      <c r="J20" s="26">
        <v>18</v>
      </c>
      <c r="K20" s="28">
        <v>39.799999999999983</v>
      </c>
    </row>
    <row r="21" spans="1:11" x14ac:dyDescent="0.45">
      <c r="A21" s="60" t="s">
        <v>14</v>
      </c>
      <c r="B21" s="55">
        <f>IF(B$19=0,0,C21/B$19)</f>
        <v>-9886.6666666666661</v>
      </c>
      <c r="C21" s="48">
        <v>-593200</v>
      </c>
      <c r="E21" s="68" t="s">
        <v>81</v>
      </c>
      <c r="F21" s="64" t="s">
        <v>34</v>
      </c>
      <c r="G21" s="50">
        <v>0</v>
      </c>
      <c r="H21" s="27">
        <f>IF(B$25=0,0,G21/B$25)</f>
        <v>0</v>
      </c>
      <c r="J21" s="26">
        <v>19</v>
      </c>
      <c r="K21" s="28">
        <v>103.79999999999998</v>
      </c>
    </row>
    <row r="22" spans="1:11" x14ac:dyDescent="0.45">
      <c r="A22" s="57" t="s">
        <v>195</v>
      </c>
      <c r="B22" s="49">
        <v>137</v>
      </c>
      <c r="C22" s="24">
        <f>IF(B$3=0,0,B22/B$3)</f>
        <v>0.36827956989247312</v>
      </c>
      <c r="E22" s="68" t="s">
        <v>82</v>
      </c>
      <c r="F22" s="64" t="s">
        <v>35</v>
      </c>
      <c r="G22" s="50">
        <v>0</v>
      </c>
      <c r="H22" s="27">
        <f>IF(B$25=0,0,G22/B$25)</f>
        <v>0</v>
      </c>
      <c r="J22" s="26">
        <v>20</v>
      </c>
      <c r="K22" s="28">
        <v>106.89999999999998</v>
      </c>
    </row>
    <row r="23" spans="1:11" x14ac:dyDescent="0.45">
      <c r="A23" s="60" t="s">
        <v>196</v>
      </c>
      <c r="B23" s="52">
        <v>56</v>
      </c>
      <c r="C23" s="32">
        <f>IF(B$22=0,0,B23/B$22)</f>
        <v>0.40875912408759124</v>
      </c>
      <c r="E23" s="68" t="s">
        <v>83</v>
      </c>
      <c r="F23" s="64" t="s">
        <v>36</v>
      </c>
      <c r="G23" s="50">
        <v>0</v>
      </c>
      <c r="H23" s="27">
        <f>IF(B$25=0,0,G23/B$25)</f>
        <v>0</v>
      </c>
      <c r="J23" s="26">
        <v>21</v>
      </c>
      <c r="K23" s="28">
        <v>108.09999999999998</v>
      </c>
    </row>
    <row r="24" spans="1:11" x14ac:dyDescent="0.45">
      <c r="A24" s="57" t="s">
        <v>128</v>
      </c>
      <c r="B24" s="79">
        <v>239</v>
      </c>
      <c r="C24" s="80"/>
      <c r="E24" s="68" t="s">
        <v>85</v>
      </c>
      <c r="F24" s="64" t="s">
        <v>38</v>
      </c>
      <c r="G24" s="50">
        <v>0</v>
      </c>
      <c r="H24" s="27">
        <f>IF(B$25=0,0,G24/B$25)</f>
        <v>0</v>
      </c>
      <c r="J24" s="26">
        <v>22</v>
      </c>
      <c r="K24" s="28">
        <v>110.89999999999998</v>
      </c>
    </row>
    <row r="25" spans="1:11" x14ac:dyDescent="0.45">
      <c r="A25" s="60" t="s">
        <v>129</v>
      </c>
      <c r="B25" s="81">
        <v>81</v>
      </c>
      <c r="C25" s="82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155.49999999999997</v>
      </c>
    </row>
    <row r="26" spans="1:11" x14ac:dyDescent="0.45"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154.09999999999997</v>
      </c>
    </row>
    <row r="27" spans="1:11" x14ac:dyDescent="0.45"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114.39999999999996</v>
      </c>
    </row>
    <row r="28" spans="1:11" x14ac:dyDescent="0.45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98.599999999999966</v>
      </c>
    </row>
    <row r="29" spans="1:11" x14ac:dyDescent="0.45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109.89999999999996</v>
      </c>
    </row>
    <row r="30" spans="1:11" x14ac:dyDescent="0.45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65.899999999999963</v>
      </c>
    </row>
    <row r="31" spans="1:11" x14ac:dyDescent="0.45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24.899999999999963</v>
      </c>
    </row>
    <row r="32" spans="1:11" x14ac:dyDescent="0.45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14.099999999999962</v>
      </c>
    </row>
    <row r="33" spans="5:11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29.69999999999996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-13.700000000000038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-13.000000000000039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-0.80000000000003979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-38.100000000000037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10.899999999999963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-2.9000000000000377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38.099999999999966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34.699999999999967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106.29999999999995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137.79999999999995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173.19999999999996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184.69999999999996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193.79999999999995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145.39999999999995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190.29999999999995</v>
      </c>
    </row>
    <row r="49" spans="5:11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200.19999999999996</v>
      </c>
    </row>
    <row r="50" spans="5:11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180.19999999999996</v>
      </c>
    </row>
    <row r="51" spans="5:11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175.29999999999995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8DD0B-0185-4C48-AFA1-1287DBFD1F2A}">
  <sheetPr codeName="Sheet12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3" t="s">
        <v>192</v>
      </c>
      <c r="C1" s="84"/>
      <c r="E1" s="66" t="s">
        <v>210</v>
      </c>
      <c r="F1" s="73" t="s">
        <v>122</v>
      </c>
      <c r="G1" s="72" t="s">
        <v>123</v>
      </c>
      <c r="H1" s="73" t="s">
        <v>124</v>
      </c>
      <c r="J1" s="21" t="s">
        <v>22</v>
      </c>
      <c r="K1" s="22" t="s">
        <v>127</v>
      </c>
      <c r="M1" s="21" t="s">
        <v>204</v>
      </c>
      <c r="N1" s="73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79">
        <v>12</v>
      </c>
      <c r="C2" s="80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2608.3333333333335</v>
      </c>
      <c r="O2" s="41">
        <v>31300</v>
      </c>
      <c r="P2" s="39">
        <v>12</v>
      </c>
    </row>
    <row r="3" spans="1:16" x14ac:dyDescent="0.45">
      <c r="A3" s="58" t="s">
        <v>8</v>
      </c>
      <c r="B3" s="85">
        <v>82</v>
      </c>
      <c r="C3" s="86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-14.4</v>
      </c>
      <c r="M3" s="26" t="s">
        <v>199</v>
      </c>
      <c r="N3" s="45">
        <f t="shared" si="0"/>
        <v>2650</v>
      </c>
      <c r="O3" s="42">
        <v>26500</v>
      </c>
      <c r="P3" s="37">
        <v>10</v>
      </c>
    </row>
    <row r="4" spans="1:16" x14ac:dyDescent="0.45">
      <c r="A4" s="58" t="s">
        <v>6</v>
      </c>
      <c r="B4" s="87">
        <v>80.800000000000011</v>
      </c>
      <c r="C4" s="88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37.6</v>
      </c>
      <c r="M4" s="26" t="s">
        <v>200</v>
      </c>
      <c r="N4" s="45">
        <f t="shared" si="0"/>
        <v>-900</v>
      </c>
      <c r="O4" s="42">
        <v>-7200</v>
      </c>
      <c r="P4" s="37">
        <v>8</v>
      </c>
    </row>
    <row r="5" spans="1:16" x14ac:dyDescent="0.45">
      <c r="A5" s="58" t="s">
        <v>7</v>
      </c>
      <c r="B5" s="87">
        <f>IF(B$2=0,0,B$4/B$2)</f>
        <v>6.7333333333333343</v>
      </c>
      <c r="C5" s="88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-2.7999999999999972</v>
      </c>
      <c r="M5" s="26" t="s">
        <v>201</v>
      </c>
      <c r="N5" s="45">
        <f t="shared" si="0"/>
        <v>2062.5</v>
      </c>
      <c r="O5" s="42">
        <v>16500</v>
      </c>
      <c r="P5" s="37">
        <v>8</v>
      </c>
    </row>
    <row r="6" spans="1:16" x14ac:dyDescent="0.45">
      <c r="A6" s="58" t="s">
        <v>1</v>
      </c>
      <c r="B6" s="77">
        <f>IF(B$2=0,0,(B$7*1+B$8*2+B$9*3)/B$2)</f>
        <v>1.75</v>
      </c>
      <c r="C6" s="78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-44.3</v>
      </c>
      <c r="M6" s="26" t="s">
        <v>202</v>
      </c>
      <c r="N6" s="45">
        <f t="shared" si="0"/>
        <v>-1266.6666666666667</v>
      </c>
      <c r="O6" s="42">
        <v>-7600</v>
      </c>
      <c r="P6" s="37">
        <v>6</v>
      </c>
    </row>
    <row r="7" spans="1:16" x14ac:dyDescent="0.45">
      <c r="A7" s="58" t="s">
        <v>2</v>
      </c>
      <c r="B7" s="50">
        <v>6</v>
      </c>
      <c r="C7" s="27">
        <f>IF(B$2=0,0,B7/B$2)</f>
        <v>0.5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J7" s="26">
        <v>5</v>
      </c>
      <c r="K7" s="28">
        <v>8.2000000000000028</v>
      </c>
      <c r="M7" s="31" t="s">
        <v>203</v>
      </c>
      <c r="N7" s="46">
        <f t="shared" si="0"/>
        <v>5325</v>
      </c>
      <c r="O7" s="43">
        <v>21300</v>
      </c>
      <c r="P7" s="38">
        <v>4</v>
      </c>
    </row>
    <row r="8" spans="1:16" x14ac:dyDescent="0.45">
      <c r="A8" s="58" t="s">
        <v>3</v>
      </c>
      <c r="B8" s="50">
        <v>3</v>
      </c>
      <c r="C8" s="27">
        <f t="shared" ref="C8:C9" si="1">IF(B$2=0,0,B8/B$2)</f>
        <v>0.25</v>
      </c>
      <c r="E8" s="68" t="s">
        <v>75</v>
      </c>
      <c r="F8" s="64" t="s">
        <v>28</v>
      </c>
      <c r="G8" s="50">
        <v>0</v>
      </c>
      <c r="H8" s="27">
        <f>IF(B$25=0,0,G8/B$25)</f>
        <v>0</v>
      </c>
      <c r="J8" s="26">
        <v>6</v>
      </c>
      <c r="K8" s="28">
        <v>23.200000000000003</v>
      </c>
    </row>
    <row r="9" spans="1:16" x14ac:dyDescent="0.45">
      <c r="A9" s="59" t="s">
        <v>4</v>
      </c>
      <c r="B9" s="51">
        <v>3</v>
      </c>
      <c r="C9" s="29">
        <f t="shared" si="1"/>
        <v>0.25</v>
      </c>
      <c r="E9" s="68" t="s">
        <v>76</v>
      </c>
      <c r="F9" s="64" t="s">
        <v>29</v>
      </c>
      <c r="G9" s="50">
        <v>0</v>
      </c>
      <c r="H9" s="27">
        <f>IF(B$25=0,0,G9/B$25)</f>
        <v>0</v>
      </c>
      <c r="J9" s="26">
        <v>7</v>
      </c>
      <c r="K9" s="28">
        <v>40</v>
      </c>
    </row>
    <row r="10" spans="1:16" x14ac:dyDescent="0.45">
      <c r="A10" s="59" t="s">
        <v>21</v>
      </c>
      <c r="B10" s="51">
        <v>3</v>
      </c>
      <c r="C10" s="29">
        <f>IF(B$2=0,0,B10/B$2)</f>
        <v>0.25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  <c r="J10" s="26">
        <v>8</v>
      </c>
      <c r="K10" s="28">
        <v>4.2000000000000028</v>
      </c>
    </row>
    <row r="11" spans="1:16" x14ac:dyDescent="0.45">
      <c r="A11" s="60" t="s">
        <v>208</v>
      </c>
      <c r="B11" s="52">
        <v>3</v>
      </c>
      <c r="C11" s="32">
        <f>IF(B$2=0,0,B11/B$2)</f>
        <v>0.25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  <c r="J11" s="26">
        <v>9</v>
      </c>
      <c r="K11" s="28">
        <v>6.8000000000000025</v>
      </c>
    </row>
    <row r="12" spans="1:16" x14ac:dyDescent="0.45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  <c r="J12" s="26">
        <v>10</v>
      </c>
      <c r="K12" s="28">
        <v>56.800000000000004</v>
      </c>
    </row>
    <row r="13" spans="1:16" x14ac:dyDescent="0.45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  <c r="J13" s="26">
        <v>11</v>
      </c>
      <c r="K13" s="28">
        <v>69.300000000000011</v>
      </c>
    </row>
    <row r="14" spans="1:16" x14ac:dyDescent="0.45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  <c r="J14" s="26">
        <v>12</v>
      </c>
      <c r="K14" s="28">
        <v>80.800000000000011</v>
      </c>
    </row>
    <row r="15" spans="1:16" x14ac:dyDescent="0.45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5">
      <c r="A16" s="57" t="s">
        <v>10</v>
      </c>
      <c r="B16" s="49">
        <f>B17+B18</f>
        <v>28</v>
      </c>
      <c r="C16" s="24">
        <f>IF(B$3=0,0,B16/B$3)</f>
        <v>0.34146341463414637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5">
      <c r="A17" s="58" t="s">
        <v>11</v>
      </c>
      <c r="B17" s="50">
        <v>15</v>
      </c>
      <c r="C17" s="27">
        <f>IF(B$3=0,0,B17/B$3)</f>
        <v>0.18292682926829268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5">
      <c r="A18" s="58" t="s">
        <v>12</v>
      </c>
      <c r="B18" s="50">
        <v>13</v>
      </c>
      <c r="C18" s="27">
        <f>IF(B$3=0,0,B18/B$3)</f>
        <v>0.15853658536585366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5">
      <c r="A19" s="58" t="s">
        <v>13</v>
      </c>
      <c r="B19" s="50">
        <v>11</v>
      </c>
      <c r="C19" s="27">
        <f>IF(B$3=0,0,B19/B$3)</f>
        <v>0.13414634146341464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5">
      <c r="A20" s="58" t="s">
        <v>5</v>
      </c>
      <c r="B20" s="54">
        <f>IF(B$16=0,0,C20/B$16)</f>
        <v>10857.142857142857</v>
      </c>
      <c r="C20" s="30">
        <v>304000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5">
      <c r="A21" s="60" t="s">
        <v>14</v>
      </c>
      <c r="B21" s="55">
        <f>IF(B$19=0,0,C21/B$19)</f>
        <v>-9927.2727272727279</v>
      </c>
      <c r="C21" s="48">
        <v>-109200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5">
      <c r="A22" s="57" t="s">
        <v>195</v>
      </c>
      <c r="B22" s="49">
        <v>33</v>
      </c>
      <c r="C22" s="24">
        <f>IF(B$3=0,0,B22/B$3)</f>
        <v>0.40243902439024393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5">
      <c r="A23" s="60" t="s">
        <v>196</v>
      </c>
      <c r="B23" s="52">
        <v>15</v>
      </c>
      <c r="C23" s="32">
        <f>IF(B$22=0,0,B23/B$22)</f>
        <v>0.45454545454545453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5">
      <c r="A24" s="57" t="s">
        <v>128</v>
      </c>
      <c r="B24" s="79">
        <v>0</v>
      </c>
      <c r="C24" s="80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5">
      <c r="A25" s="60" t="s">
        <v>129</v>
      </c>
      <c r="B25" s="81">
        <v>0</v>
      </c>
      <c r="C25" s="82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5"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5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FE8FC-2165-47B0-A88D-5F24D9007405}">
  <sheetPr codeName="Sheet13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3" t="s">
        <v>193</v>
      </c>
      <c r="C1" s="84"/>
      <c r="E1" s="66" t="s">
        <v>210</v>
      </c>
      <c r="F1" s="73" t="s">
        <v>122</v>
      </c>
      <c r="G1" s="72" t="s">
        <v>123</v>
      </c>
      <c r="H1" s="73" t="s">
        <v>124</v>
      </c>
      <c r="J1" s="21" t="s">
        <v>22</v>
      </c>
      <c r="K1" s="22" t="s">
        <v>127</v>
      </c>
      <c r="M1" s="21" t="s">
        <v>204</v>
      </c>
      <c r="N1" s="73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79">
        <v>39</v>
      </c>
      <c r="C2" s="80"/>
      <c r="E2" s="67" t="s">
        <v>73</v>
      </c>
      <c r="F2" s="63" t="s">
        <v>27</v>
      </c>
      <c r="G2" s="49">
        <v>63</v>
      </c>
      <c r="H2" s="24">
        <f>IF(B$25=0,0,G2/B$25)</f>
        <v>0.92647058823529416</v>
      </c>
      <c r="J2" s="23">
        <v>0</v>
      </c>
      <c r="K2" s="25">
        <v>0</v>
      </c>
      <c r="M2" s="23" t="s">
        <v>198</v>
      </c>
      <c r="N2" s="44">
        <f t="shared" ref="N2:N7" si="0">IF(P2=0,0,O2/P2)</f>
        <v>-4862.8571428571431</v>
      </c>
      <c r="O2" s="41">
        <v>-170200</v>
      </c>
      <c r="P2" s="39">
        <v>35</v>
      </c>
    </row>
    <row r="3" spans="1:16" x14ac:dyDescent="0.45">
      <c r="A3" s="58" t="s">
        <v>8</v>
      </c>
      <c r="B3" s="85">
        <v>293</v>
      </c>
      <c r="C3" s="86"/>
      <c r="E3" s="68" t="s">
        <v>78</v>
      </c>
      <c r="F3" s="64" t="s">
        <v>31</v>
      </c>
      <c r="G3" s="50">
        <v>52</v>
      </c>
      <c r="H3" s="27">
        <f>IF(B$25=0,0,G3/B$25)</f>
        <v>0.76470588235294112</v>
      </c>
      <c r="J3" s="26">
        <v>1</v>
      </c>
      <c r="K3" s="28">
        <v>3.9</v>
      </c>
      <c r="M3" s="26" t="s">
        <v>199</v>
      </c>
      <c r="N3" s="45">
        <f t="shared" si="0"/>
        <v>-1665.7142857142858</v>
      </c>
      <c r="O3" s="42">
        <v>-58300</v>
      </c>
      <c r="P3" s="37">
        <v>35</v>
      </c>
    </row>
    <row r="4" spans="1:16" x14ac:dyDescent="0.45">
      <c r="A4" s="58" t="s">
        <v>6</v>
      </c>
      <c r="B4" s="87">
        <v>-360.49999999999989</v>
      </c>
      <c r="C4" s="88"/>
      <c r="E4" s="68" t="s">
        <v>71</v>
      </c>
      <c r="F4" s="64" t="s">
        <v>25</v>
      </c>
      <c r="G4" s="50">
        <v>48</v>
      </c>
      <c r="H4" s="27">
        <f>IF(B$25=0,0,G4/B$25)</f>
        <v>0.70588235294117652</v>
      </c>
      <c r="J4" s="26">
        <v>2</v>
      </c>
      <c r="K4" s="28">
        <v>-33.9</v>
      </c>
      <c r="M4" s="26" t="s">
        <v>200</v>
      </c>
      <c r="N4" s="45">
        <f t="shared" si="0"/>
        <v>-1182.3529411764705</v>
      </c>
      <c r="O4" s="42">
        <v>-40200</v>
      </c>
      <c r="P4" s="37">
        <v>34</v>
      </c>
    </row>
    <row r="5" spans="1:16" x14ac:dyDescent="0.45">
      <c r="A5" s="58" t="s">
        <v>7</v>
      </c>
      <c r="B5" s="87">
        <f>IF(B$2=0,0,B$4/B$2)</f>
        <v>-9.2435897435897409</v>
      </c>
      <c r="C5" s="88"/>
      <c r="E5" s="68" t="s">
        <v>69</v>
      </c>
      <c r="F5" s="64" t="s">
        <v>23</v>
      </c>
      <c r="G5" s="50">
        <v>41</v>
      </c>
      <c r="H5" s="27">
        <f>IF(B$25=0,0,G5/B$25)</f>
        <v>0.6029411764705882</v>
      </c>
      <c r="J5" s="26">
        <v>3</v>
      </c>
      <c r="K5" s="28">
        <v>-70.099999999999994</v>
      </c>
      <c r="M5" s="26" t="s">
        <v>201</v>
      </c>
      <c r="N5" s="45">
        <f t="shared" si="0"/>
        <v>-150</v>
      </c>
      <c r="O5" s="42">
        <v>-4800</v>
      </c>
      <c r="P5" s="37">
        <v>32</v>
      </c>
    </row>
    <row r="6" spans="1:16" x14ac:dyDescent="0.45">
      <c r="A6" s="58" t="s">
        <v>1</v>
      </c>
      <c r="B6" s="77">
        <f>IF(B$2=0,0,(B$7*1+B$8*2+B$9*3)/B$2)</f>
        <v>2.2564102564102564</v>
      </c>
      <c r="C6" s="78"/>
      <c r="E6" s="68" t="s">
        <v>72</v>
      </c>
      <c r="F6" s="64" t="s">
        <v>26</v>
      </c>
      <c r="G6" s="50">
        <v>33</v>
      </c>
      <c r="H6" s="27">
        <f>IF(B$25=0,0,G6/B$25)</f>
        <v>0.48529411764705882</v>
      </c>
      <c r="J6" s="26">
        <v>4</v>
      </c>
      <c r="K6" s="28">
        <v>-35.099999999999994</v>
      </c>
      <c r="M6" s="26" t="s">
        <v>202</v>
      </c>
      <c r="N6" s="45">
        <f t="shared" si="0"/>
        <v>-2389.2857142857142</v>
      </c>
      <c r="O6" s="42">
        <v>-66900</v>
      </c>
      <c r="P6" s="37">
        <v>28</v>
      </c>
    </row>
    <row r="7" spans="1:16" x14ac:dyDescent="0.45">
      <c r="A7" s="58" t="s">
        <v>2</v>
      </c>
      <c r="B7" s="50">
        <v>10</v>
      </c>
      <c r="C7" s="27">
        <f>IF(B$2=0,0,B7/B$2)</f>
        <v>0.25641025641025639</v>
      </c>
      <c r="E7" s="68" t="s">
        <v>74</v>
      </c>
      <c r="F7" s="64" t="s">
        <v>12</v>
      </c>
      <c r="G7" s="50">
        <v>25</v>
      </c>
      <c r="H7" s="27">
        <f>IF(B$25=0,0,G7/B$25)</f>
        <v>0.36764705882352944</v>
      </c>
      <c r="J7" s="26">
        <v>5</v>
      </c>
      <c r="K7" s="28">
        <v>-80.099999999999994</v>
      </c>
      <c r="M7" s="31" t="s">
        <v>203</v>
      </c>
      <c r="N7" s="46">
        <f t="shared" si="0"/>
        <v>4852.6315789473683</v>
      </c>
      <c r="O7" s="43">
        <v>92200</v>
      </c>
      <c r="P7" s="38">
        <v>19</v>
      </c>
    </row>
    <row r="8" spans="1:16" x14ac:dyDescent="0.45">
      <c r="A8" s="58" t="s">
        <v>3</v>
      </c>
      <c r="B8" s="50">
        <v>9</v>
      </c>
      <c r="C8" s="27">
        <f t="shared" ref="C8:C9" si="1">IF(B$2=0,0,B8/B$2)</f>
        <v>0.23076923076923078</v>
      </c>
      <c r="E8" s="68" t="s">
        <v>96</v>
      </c>
      <c r="F8" s="64" t="s">
        <v>49</v>
      </c>
      <c r="G8" s="50">
        <v>14</v>
      </c>
      <c r="H8" s="27">
        <f>IF(B$25=0,0,G8/B$25)</f>
        <v>0.20588235294117646</v>
      </c>
      <c r="J8" s="26">
        <v>6</v>
      </c>
      <c r="K8" s="28">
        <v>-116.1</v>
      </c>
    </row>
    <row r="9" spans="1:16" x14ac:dyDescent="0.45">
      <c r="A9" s="59" t="s">
        <v>4</v>
      </c>
      <c r="B9" s="51">
        <v>20</v>
      </c>
      <c r="C9" s="29">
        <f t="shared" si="1"/>
        <v>0.51282051282051277</v>
      </c>
      <c r="E9" s="68" t="s">
        <v>75</v>
      </c>
      <c r="F9" s="64" t="s">
        <v>28</v>
      </c>
      <c r="G9" s="50">
        <v>11</v>
      </c>
      <c r="H9" s="27">
        <f>IF(B$25=0,0,G9/B$25)</f>
        <v>0.16176470588235295</v>
      </c>
      <c r="J9" s="26">
        <v>7</v>
      </c>
      <c r="K9" s="28">
        <v>-147.4</v>
      </c>
    </row>
    <row r="10" spans="1:16" x14ac:dyDescent="0.45">
      <c r="A10" s="59" t="s">
        <v>21</v>
      </c>
      <c r="B10" s="51">
        <v>11</v>
      </c>
      <c r="C10" s="29">
        <f>IF(B$2=0,0,B10/B$2)</f>
        <v>0.28205128205128205</v>
      </c>
      <c r="E10" s="68" t="s">
        <v>76</v>
      </c>
      <c r="F10" s="64" t="s">
        <v>29</v>
      </c>
      <c r="G10" s="50">
        <v>8</v>
      </c>
      <c r="H10" s="27">
        <f>IF(B$25=0,0,G10/B$25)</f>
        <v>0.11764705882352941</v>
      </c>
      <c r="J10" s="26">
        <v>8</v>
      </c>
      <c r="K10" s="28">
        <v>-146</v>
      </c>
    </row>
    <row r="11" spans="1:16" x14ac:dyDescent="0.45">
      <c r="A11" s="60" t="s">
        <v>208</v>
      </c>
      <c r="B11" s="52">
        <v>4</v>
      </c>
      <c r="C11" s="32">
        <f>IF(B$2=0,0,B11/B$2)</f>
        <v>0.10256410256410256</v>
      </c>
      <c r="E11" s="68" t="s">
        <v>84</v>
      </c>
      <c r="F11" s="64" t="s">
        <v>37</v>
      </c>
      <c r="G11" s="50">
        <v>6</v>
      </c>
      <c r="H11" s="27">
        <f>IF(B$25=0,0,G11/B$25)</f>
        <v>8.8235294117647065E-2</v>
      </c>
      <c r="J11" s="26">
        <v>9</v>
      </c>
      <c r="K11" s="28">
        <v>-173</v>
      </c>
    </row>
    <row r="12" spans="1:16" x14ac:dyDescent="0.45">
      <c r="A12" s="61" t="s">
        <v>130</v>
      </c>
      <c r="B12" s="53">
        <v>70</v>
      </c>
      <c r="C12" s="35">
        <f>IF(B$24=0,0,B12/B$24)</f>
        <v>0.2734375</v>
      </c>
      <c r="E12" s="68" t="s">
        <v>70</v>
      </c>
      <c r="F12" s="64" t="s">
        <v>24</v>
      </c>
      <c r="G12" s="50">
        <v>5</v>
      </c>
      <c r="H12" s="27">
        <f>IF(B$25=0,0,G12/B$25)</f>
        <v>7.3529411764705885E-2</v>
      </c>
      <c r="J12" s="26">
        <v>10</v>
      </c>
      <c r="K12" s="28">
        <v>-206.1</v>
      </c>
    </row>
    <row r="13" spans="1:16" x14ac:dyDescent="0.45">
      <c r="A13" s="58" t="s">
        <v>125</v>
      </c>
      <c r="B13" s="50">
        <v>53</v>
      </c>
      <c r="C13" s="27">
        <f>IF(B$24=0,0,B13/B$24)</f>
        <v>0.20703125</v>
      </c>
      <c r="E13" s="68" t="s">
        <v>93</v>
      </c>
      <c r="F13" s="64" t="s">
        <v>46</v>
      </c>
      <c r="G13" s="50">
        <v>4</v>
      </c>
      <c r="H13" s="27">
        <f>IF(B$25=0,0,G13/B$25)</f>
        <v>5.8823529411764705E-2</v>
      </c>
      <c r="J13" s="26">
        <v>11</v>
      </c>
      <c r="K13" s="28">
        <v>-174</v>
      </c>
    </row>
    <row r="14" spans="1:16" x14ac:dyDescent="0.45">
      <c r="A14" s="57" t="s">
        <v>132</v>
      </c>
      <c r="B14" s="49">
        <v>42</v>
      </c>
      <c r="C14" s="24">
        <f>IF(B$12=0,0,B14/B$12)</f>
        <v>0.6</v>
      </c>
      <c r="E14" s="68" t="s">
        <v>90</v>
      </c>
      <c r="F14" s="64" t="s">
        <v>43</v>
      </c>
      <c r="G14" s="50">
        <v>3</v>
      </c>
      <c r="H14" s="27">
        <f>IF(B$25=0,0,G14/B$25)</f>
        <v>4.4117647058823532E-2</v>
      </c>
      <c r="J14" s="26">
        <v>12</v>
      </c>
      <c r="K14" s="28">
        <v>-197</v>
      </c>
    </row>
    <row r="15" spans="1:16" x14ac:dyDescent="0.45">
      <c r="A15" s="57" t="s">
        <v>133</v>
      </c>
      <c r="B15" s="49">
        <v>18</v>
      </c>
      <c r="C15" s="24">
        <f>IF(B$13=0,0,B15/B$13)</f>
        <v>0.33962264150943394</v>
      </c>
      <c r="E15" s="68" t="s">
        <v>77</v>
      </c>
      <c r="F15" s="64" t="s">
        <v>30</v>
      </c>
      <c r="G15" s="50">
        <v>2</v>
      </c>
      <c r="H15" s="27">
        <f>IF(B$25=0,0,G15/B$25)</f>
        <v>2.9411764705882353E-2</v>
      </c>
      <c r="J15" s="26">
        <v>13</v>
      </c>
      <c r="K15" s="28">
        <v>-235</v>
      </c>
    </row>
    <row r="16" spans="1:16" x14ac:dyDescent="0.45">
      <c r="A16" s="57" t="s">
        <v>10</v>
      </c>
      <c r="B16" s="49">
        <f>B17+B18</f>
        <v>78</v>
      </c>
      <c r="C16" s="24">
        <f>IF(B$3=0,0,B16/B$3)</f>
        <v>0.26621160409556316</v>
      </c>
      <c r="E16" s="68" t="s">
        <v>79</v>
      </c>
      <c r="F16" s="64" t="s">
        <v>32</v>
      </c>
      <c r="G16" s="50">
        <v>2</v>
      </c>
      <c r="H16" s="27">
        <f>IF(B$25=0,0,G16/B$25)</f>
        <v>2.9411764705882353E-2</v>
      </c>
      <c r="J16" s="26">
        <v>14</v>
      </c>
      <c r="K16" s="28">
        <v>-231</v>
      </c>
    </row>
    <row r="17" spans="1:11" x14ac:dyDescent="0.45">
      <c r="A17" s="58" t="s">
        <v>11</v>
      </c>
      <c r="B17" s="50">
        <v>42</v>
      </c>
      <c r="C17" s="27">
        <f>IF(B$3=0,0,B17/B$3)</f>
        <v>0.14334470989761092</v>
      </c>
      <c r="E17" s="68" t="s">
        <v>88</v>
      </c>
      <c r="F17" s="64" t="s">
        <v>41</v>
      </c>
      <c r="G17" s="50">
        <v>2</v>
      </c>
      <c r="H17" s="27">
        <f>IF(B$25=0,0,G17/B$25)</f>
        <v>2.9411764705882353E-2</v>
      </c>
      <c r="J17" s="26">
        <v>15</v>
      </c>
      <c r="K17" s="28">
        <v>-212.5</v>
      </c>
    </row>
    <row r="18" spans="1:11" x14ac:dyDescent="0.45">
      <c r="A18" s="58" t="s">
        <v>12</v>
      </c>
      <c r="B18" s="50">
        <v>36</v>
      </c>
      <c r="C18" s="27">
        <f>IF(B$3=0,0,B18/B$3)</f>
        <v>0.12286689419795221</v>
      </c>
      <c r="E18" s="68" t="s">
        <v>81</v>
      </c>
      <c r="F18" s="64" t="s">
        <v>34</v>
      </c>
      <c r="G18" s="50">
        <v>1</v>
      </c>
      <c r="H18" s="27">
        <f>IF(B$25=0,0,G18/B$25)</f>
        <v>1.4705882352941176E-2</v>
      </c>
      <c r="J18" s="26">
        <v>16</v>
      </c>
      <c r="K18" s="28">
        <v>-233.2</v>
      </c>
    </row>
    <row r="19" spans="1:11" x14ac:dyDescent="0.45">
      <c r="A19" s="58" t="s">
        <v>13</v>
      </c>
      <c r="B19" s="50">
        <v>73</v>
      </c>
      <c r="C19" s="27">
        <f>IF(B$3=0,0,B19/B$3)</f>
        <v>0.24914675767918087</v>
      </c>
      <c r="E19" s="68" t="s">
        <v>85</v>
      </c>
      <c r="F19" s="64" t="s">
        <v>38</v>
      </c>
      <c r="G19" s="50">
        <v>1</v>
      </c>
      <c r="H19" s="27">
        <f>IF(B$25=0,0,G19/B$25)</f>
        <v>1.4705882352941176E-2</v>
      </c>
      <c r="J19" s="26">
        <v>17</v>
      </c>
      <c r="K19" s="28">
        <v>-268.7</v>
      </c>
    </row>
    <row r="20" spans="1:11" x14ac:dyDescent="0.45">
      <c r="A20" s="58" t="s">
        <v>5</v>
      </c>
      <c r="B20" s="54">
        <f>IF(B$16=0,0,C20/B$16)</f>
        <v>11458.974358974359</v>
      </c>
      <c r="C20" s="30">
        <v>893800</v>
      </c>
      <c r="E20" s="68" t="s">
        <v>91</v>
      </c>
      <c r="F20" s="64" t="s">
        <v>44</v>
      </c>
      <c r="G20" s="50">
        <v>1</v>
      </c>
      <c r="H20" s="27">
        <f>IF(B$25=0,0,G20/B$25)</f>
        <v>1.4705882352941176E-2</v>
      </c>
      <c r="J20" s="26">
        <v>18</v>
      </c>
      <c r="K20" s="28">
        <v>-295.8</v>
      </c>
    </row>
    <row r="21" spans="1:11" x14ac:dyDescent="0.45">
      <c r="A21" s="60" t="s">
        <v>14</v>
      </c>
      <c r="B21" s="55">
        <f>IF(B$19=0,0,C21/B$19)</f>
        <v>-9995.8904109589039</v>
      </c>
      <c r="C21" s="48">
        <v>-729700</v>
      </c>
      <c r="E21" s="68" t="s">
        <v>100</v>
      </c>
      <c r="F21" s="64" t="s">
        <v>53</v>
      </c>
      <c r="G21" s="50">
        <v>1</v>
      </c>
      <c r="H21" s="27">
        <f>IF(B$25=0,0,G21/B$25)</f>
        <v>1.4705882352941176E-2</v>
      </c>
      <c r="J21" s="26">
        <v>19</v>
      </c>
      <c r="K21" s="28">
        <v>-273.2</v>
      </c>
    </row>
    <row r="22" spans="1:11" x14ac:dyDescent="0.45">
      <c r="A22" s="57" t="s">
        <v>195</v>
      </c>
      <c r="B22" s="49">
        <v>88</v>
      </c>
      <c r="C22" s="24">
        <f>IF(B$3=0,0,B22/B$3)</f>
        <v>0.30034129692832767</v>
      </c>
      <c r="E22" s="68" t="s">
        <v>80</v>
      </c>
      <c r="F22" s="64" t="s">
        <v>33</v>
      </c>
      <c r="G22" s="50">
        <v>0</v>
      </c>
      <c r="H22" s="27">
        <f>IF(B$25=0,0,G22/B$25)</f>
        <v>0</v>
      </c>
      <c r="J22" s="26">
        <v>20</v>
      </c>
      <c r="K22" s="28">
        <v>-270</v>
      </c>
    </row>
    <row r="23" spans="1:11" x14ac:dyDescent="0.45">
      <c r="A23" s="60" t="s">
        <v>196</v>
      </c>
      <c r="B23" s="52">
        <v>28</v>
      </c>
      <c r="C23" s="32">
        <f>IF(B$22=0,0,B23/B$22)</f>
        <v>0.31818181818181818</v>
      </c>
      <c r="E23" s="68" t="s">
        <v>82</v>
      </c>
      <c r="F23" s="64" t="s">
        <v>35</v>
      </c>
      <c r="G23" s="50">
        <v>0</v>
      </c>
      <c r="H23" s="27">
        <f>IF(B$25=0,0,G23/B$25)</f>
        <v>0</v>
      </c>
      <c r="J23" s="26">
        <v>21</v>
      </c>
      <c r="K23" s="28">
        <v>-242</v>
      </c>
    </row>
    <row r="24" spans="1:11" x14ac:dyDescent="0.45">
      <c r="A24" s="57" t="s">
        <v>128</v>
      </c>
      <c r="B24" s="79">
        <v>256</v>
      </c>
      <c r="C24" s="80"/>
      <c r="E24" s="68" t="s">
        <v>83</v>
      </c>
      <c r="F24" s="64" t="s">
        <v>36</v>
      </c>
      <c r="G24" s="50">
        <v>0</v>
      </c>
      <c r="H24" s="27">
        <f>IF(B$25=0,0,G24/B$25)</f>
        <v>0</v>
      </c>
      <c r="J24" s="26">
        <v>22</v>
      </c>
      <c r="K24" s="28">
        <v>-202.9</v>
      </c>
    </row>
    <row r="25" spans="1:11" x14ac:dyDescent="0.45">
      <c r="A25" s="60" t="s">
        <v>129</v>
      </c>
      <c r="B25" s="81">
        <v>68</v>
      </c>
      <c r="C25" s="82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-200.9</v>
      </c>
    </row>
    <row r="26" spans="1:11" x14ac:dyDescent="0.45"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-168.2</v>
      </c>
    </row>
    <row r="27" spans="1:11" x14ac:dyDescent="0.45"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-216.89999999999998</v>
      </c>
    </row>
    <row r="28" spans="1:11" x14ac:dyDescent="0.45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-256.29999999999995</v>
      </c>
    </row>
    <row r="29" spans="1:11" x14ac:dyDescent="0.45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-296.29999999999995</v>
      </c>
    </row>
    <row r="30" spans="1:11" x14ac:dyDescent="0.45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-290.19999999999993</v>
      </c>
    </row>
    <row r="31" spans="1:11" x14ac:dyDescent="0.45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-239.19999999999993</v>
      </c>
    </row>
    <row r="32" spans="1:11" x14ac:dyDescent="0.45">
      <c r="E32" s="68" t="s">
        <v>98</v>
      </c>
      <c r="F32" s="64" t="s">
        <v>51</v>
      </c>
      <c r="G32" s="50">
        <v>0</v>
      </c>
      <c r="H32" s="27">
        <f>IF(B$25=0,0,G32/B$25)</f>
        <v>0</v>
      </c>
      <c r="J32" s="26">
        <v>30</v>
      </c>
      <c r="K32" s="28">
        <v>-257.29999999999995</v>
      </c>
    </row>
    <row r="33" spans="5:11" x14ac:dyDescent="0.45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-265.39999999999998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-283.89999999999998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-291.29999999999995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-301.69999999999993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-339.69999999999993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-328.09999999999991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-371.59999999999991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-380.09999999999991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-360.49999999999989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38E25-BBA7-4325-834F-F286679EDF66}">
  <sheetPr codeName="Sheet14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3" t="s">
        <v>217</v>
      </c>
      <c r="C1" s="84"/>
      <c r="E1" s="66" t="s">
        <v>210</v>
      </c>
      <c r="F1" s="73" t="s">
        <v>122</v>
      </c>
      <c r="G1" s="72" t="s">
        <v>123</v>
      </c>
      <c r="H1" s="73" t="s">
        <v>124</v>
      </c>
      <c r="J1" s="21" t="s">
        <v>22</v>
      </c>
      <c r="K1" s="22" t="s">
        <v>127</v>
      </c>
      <c r="M1" s="21" t="s">
        <v>204</v>
      </c>
      <c r="N1" s="73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79">
        <v>5</v>
      </c>
      <c r="C2" s="80"/>
      <c r="E2" s="67" t="s">
        <v>71</v>
      </c>
      <c r="F2" s="63" t="s">
        <v>25</v>
      </c>
      <c r="G2" s="49">
        <v>12</v>
      </c>
      <c r="H2" s="24">
        <f>IF(B$25=0,0,G2/B$25)</f>
        <v>0.66666666666666663</v>
      </c>
      <c r="J2" s="23">
        <v>0</v>
      </c>
      <c r="K2" s="25">
        <v>0</v>
      </c>
      <c r="M2" s="23" t="s">
        <v>198</v>
      </c>
      <c r="N2" s="44">
        <f t="shared" ref="N2:N7" si="0">IF(P2=0,0,O2/P2)</f>
        <v>9780</v>
      </c>
      <c r="O2" s="41">
        <v>48900</v>
      </c>
      <c r="P2" s="39">
        <v>5</v>
      </c>
    </row>
    <row r="3" spans="1:16" x14ac:dyDescent="0.45">
      <c r="A3" s="58" t="s">
        <v>8</v>
      </c>
      <c r="B3" s="85">
        <v>46</v>
      </c>
      <c r="C3" s="86"/>
      <c r="E3" s="68" t="s">
        <v>73</v>
      </c>
      <c r="F3" s="64" t="s">
        <v>27</v>
      </c>
      <c r="G3" s="50">
        <v>12</v>
      </c>
      <c r="H3" s="27">
        <f>IF(B$25=0,0,G3/B$25)</f>
        <v>0.66666666666666663</v>
      </c>
      <c r="J3" s="26">
        <v>1</v>
      </c>
      <c r="K3" s="28">
        <v>28.3</v>
      </c>
      <c r="M3" s="26" t="s">
        <v>199</v>
      </c>
      <c r="N3" s="45">
        <f t="shared" si="0"/>
        <v>-4740</v>
      </c>
      <c r="O3" s="42">
        <v>-23700</v>
      </c>
      <c r="P3" s="37">
        <v>5</v>
      </c>
    </row>
    <row r="4" spans="1:16" x14ac:dyDescent="0.45">
      <c r="A4" s="58" t="s">
        <v>6</v>
      </c>
      <c r="B4" s="87">
        <v>89</v>
      </c>
      <c r="C4" s="88"/>
      <c r="E4" s="68" t="s">
        <v>69</v>
      </c>
      <c r="F4" s="64" t="s">
        <v>23</v>
      </c>
      <c r="G4" s="50">
        <v>11</v>
      </c>
      <c r="H4" s="27">
        <f>IF(B$25=0,0,G4/B$25)</f>
        <v>0.61111111111111116</v>
      </c>
      <c r="J4" s="26">
        <v>2</v>
      </c>
      <c r="K4" s="28">
        <v>71.3</v>
      </c>
      <c r="M4" s="26" t="s">
        <v>200</v>
      </c>
      <c r="N4" s="45">
        <f t="shared" si="0"/>
        <v>3000</v>
      </c>
      <c r="O4" s="42">
        <v>15000</v>
      </c>
      <c r="P4" s="37">
        <v>5</v>
      </c>
    </row>
    <row r="5" spans="1:16" x14ac:dyDescent="0.45">
      <c r="A5" s="58" t="s">
        <v>7</v>
      </c>
      <c r="B5" s="87">
        <f>IF(B$2=0,0,B$4/B$2)</f>
        <v>17.8</v>
      </c>
      <c r="C5" s="88"/>
      <c r="E5" s="68" t="s">
        <v>78</v>
      </c>
      <c r="F5" s="64" t="s">
        <v>31</v>
      </c>
      <c r="G5" s="50">
        <v>10</v>
      </c>
      <c r="H5" s="27">
        <f>IF(B$25=0,0,G5/B$25)</f>
        <v>0.55555555555555558</v>
      </c>
      <c r="J5" s="26">
        <v>3</v>
      </c>
      <c r="K5" s="28">
        <v>57.3</v>
      </c>
      <c r="M5" s="26" t="s">
        <v>201</v>
      </c>
      <c r="N5" s="45">
        <f t="shared" si="0"/>
        <v>10700</v>
      </c>
      <c r="O5" s="42">
        <v>42800</v>
      </c>
      <c r="P5" s="37">
        <v>4</v>
      </c>
    </row>
    <row r="6" spans="1:16" x14ac:dyDescent="0.45">
      <c r="A6" s="58" t="s">
        <v>1</v>
      </c>
      <c r="B6" s="77">
        <f>IF(B$2=0,0,(B$7*1+B$8*2+B$9*3)/B$2)</f>
        <v>1.6</v>
      </c>
      <c r="C6" s="78"/>
      <c r="E6" s="68" t="s">
        <v>72</v>
      </c>
      <c r="F6" s="64" t="s">
        <v>26</v>
      </c>
      <c r="G6" s="50">
        <v>6</v>
      </c>
      <c r="H6" s="27">
        <f>IF(B$25=0,0,G6/B$25)</f>
        <v>0.33333333333333331</v>
      </c>
      <c r="J6" s="26">
        <v>4</v>
      </c>
      <c r="K6" s="28">
        <v>64.5</v>
      </c>
      <c r="M6" s="26" t="s">
        <v>202</v>
      </c>
      <c r="N6" s="45">
        <f t="shared" si="0"/>
        <v>-1000</v>
      </c>
      <c r="O6" s="42">
        <v>-4000</v>
      </c>
      <c r="P6" s="37">
        <v>4</v>
      </c>
    </row>
    <row r="7" spans="1:16" x14ac:dyDescent="0.45">
      <c r="A7" s="58" t="s">
        <v>2</v>
      </c>
      <c r="B7" s="50">
        <v>3</v>
      </c>
      <c r="C7" s="27">
        <f>IF(B$2=0,0,B7/B$2)</f>
        <v>0.6</v>
      </c>
      <c r="E7" s="68" t="s">
        <v>76</v>
      </c>
      <c r="F7" s="64" t="s">
        <v>29</v>
      </c>
      <c r="G7" s="50">
        <v>4</v>
      </c>
      <c r="H7" s="27">
        <f>IF(B$25=0,0,G7/B$25)</f>
        <v>0.22222222222222221</v>
      </c>
      <c r="J7" s="26">
        <v>5</v>
      </c>
      <c r="K7" s="28">
        <v>89</v>
      </c>
      <c r="M7" s="31" t="s">
        <v>203</v>
      </c>
      <c r="N7" s="46">
        <f t="shared" si="0"/>
        <v>2500</v>
      </c>
      <c r="O7" s="43">
        <v>10000</v>
      </c>
      <c r="P7" s="38">
        <v>4</v>
      </c>
    </row>
    <row r="8" spans="1:16" x14ac:dyDescent="0.45">
      <c r="A8" s="58" t="s">
        <v>3</v>
      </c>
      <c r="B8" s="50">
        <v>1</v>
      </c>
      <c r="C8" s="27">
        <f t="shared" ref="C8:C9" si="1">IF(B$2=0,0,B8/B$2)</f>
        <v>0.2</v>
      </c>
      <c r="E8" s="68" t="s">
        <v>74</v>
      </c>
      <c r="F8" s="64" t="s">
        <v>12</v>
      </c>
      <c r="G8" s="50">
        <v>3</v>
      </c>
      <c r="H8" s="27">
        <f>IF(B$25=0,0,G8/B$25)</f>
        <v>0.16666666666666666</v>
      </c>
    </row>
    <row r="9" spans="1:16" x14ac:dyDescent="0.45">
      <c r="A9" s="59" t="s">
        <v>4</v>
      </c>
      <c r="B9" s="51">
        <v>1</v>
      </c>
      <c r="C9" s="29">
        <f t="shared" si="1"/>
        <v>0.2</v>
      </c>
      <c r="E9" s="68" t="s">
        <v>75</v>
      </c>
      <c r="F9" s="64" t="s">
        <v>28</v>
      </c>
      <c r="G9" s="50">
        <v>3</v>
      </c>
      <c r="H9" s="27">
        <f>IF(B$25=0,0,G9/B$25)</f>
        <v>0.16666666666666666</v>
      </c>
    </row>
    <row r="10" spans="1:16" x14ac:dyDescent="0.45">
      <c r="A10" s="59" t="s">
        <v>21</v>
      </c>
      <c r="B10" s="51">
        <v>0</v>
      </c>
      <c r="C10" s="29">
        <f>IF(B$2=0,0,B10/B$2)</f>
        <v>0</v>
      </c>
      <c r="E10" s="68" t="s">
        <v>93</v>
      </c>
      <c r="F10" s="64" t="s">
        <v>46</v>
      </c>
      <c r="G10" s="50">
        <v>3</v>
      </c>
      <c r="H10" s="27">
        <f>IF(B$25=0,0,G10/B$25)</f>
        <v>0.16666666666666666</v>
      </c>
    </row>
    <row r="11" spans="1:16" x14ac:dyDescent="0.45">
      <c r="A11" s="60" t="s">
        <v>208</v>
      </c>
      <c r="B11" s="52">
        <v>1</v>
      </c>
      <c r="C11" s="32">
        <f>IF(B$2=0,0,B11/B$2)</f>
        <v>0.2</v>
      </c>
      <c r="E11" s="68" t="s">
        <v>96</v>
      </c>
      <c r="F11" s="64" t="s">
        <v>49</v>
      </c>
      <c r="G11" s="50">
        <v>3</v>
      </c>
      <c r="H11" s="27">
        <f>IF(B$25=0,0,G11/B$25)</f>
        <v>0.16666666666666666</v>
      </c>
    </row>
    <row r="12" spans="1:16" x14ac:dyDescent="0.45">
      <c r="A12" s="61" t="s">
        <v>130</v>
      </c>
      <c r="B12" s="53">
        <v>20</v>
      </c>
      <c r="C12" s="35">
        <f>IF(B$24=0,0,B12/B$24)</f>
        <v>0.43478260869565216</v>
      </c>
      <c r="E12" s="68" t="s">
        <v>70</v>
      </c>
      <c r="F12" s="64" t="s">
        <v>24</v>
      </c>
      <c r="G12" s="50">
        <v>2</v>
      </c>
      <c r="H12" s="27">
        <f>IF(B$25=0,0,G12/B$25)</f>
        <v>0.1111111111111111</v>
      </c>
    </row>
    <row r="13" spans="1:16" x14ac:dyDescent="0.45">
      <c r="A13" s="58" t="s">
        <v>125</v>
      </c>
      <c r="B13" s="50">
        <v>6</v>
      </c>
      <c r="C13" s="27">
        <f>IF(B$24=0,0,B13/B$24)</f>
        <v>0.13043478260869565</v>
      </c>
      <c r="E13" s="68" t="s">
        <v>77</v>
      </c>
      <c r="F13" s="64" t="s">
        <v>30</v>
      </c>
      <c r="G13" s="50">
        <v>1</v>
      </c>
      <c r="H13" s="27">
        <f>IF(B$25=0,0,G13/B$25)</f>
        <v>5.5555555555555552E-2</v>
      </c>
    </row>
    <row r="14" spans="1:16" x14ac:dyDescent="0.45">
      <c r="A14" s="57" t="s">
        <v>132</v>
      </c>
      <c r="B14" s="49">
        <v>12</v>
      </c>
      <c r="C14" s="24">
        <f>IF(B$12=0,0,B14/B$12)</f>
        <v>0.6</v>
      </c>
      <c r="E14" s="68" t="s">
        <v>98</v>
      </c>
      <c r="F14" s="64" t="s">
        <v>51</v>
      </c>
      <c r="G14" s="50">
        <v>1</v>
      </c>
      <c r="H14" s="27">
        <f>IF(B$25=0,0,G14/B$25)</f>
        <v>5.5555555555555552E-2</v>
      </c>
    </row>
    <row r="15" spans="1:16" x14ac:dyDescent="0.45">
      <c r="A15" s="57" t="s">
        <v>133</v>
      </c>
      <c r="B15" s="49">
        <v>3</v>
      </c>
      <c r="C15" s="24">
        <f>IF(B$13=0,0,B15/B$13)</f>
        <v>0.5</v>
      </c>
      <c r="E15" s="68" t="s">
        <v>79</v>
      </c>
      <c r="F15" s="64" t="s">
        <v>32</v>
      </c>
      <c r="G15" s="50">
        <v>0</v>
      </c>
      <c r="H15" s="27">
        <f>IF(B$25=0,0,G15/B$25)</f>
        <v>0</v>
      </c>
    </row>
    <row r="16" spans="1:16" x14ac:dyDescent="0.45">
      <c r="A16" s="57" t="s">
        <v>10</v>
      </c>
      <c r="B16" s="49">
        <f>B17+B18</f>
        <v>18</v>
      </c>
      <c r="C16" s="24">
        <f>IF(B$3=0,0,B16/B$3)</f>
        <v>0.39130434782608697</v>
      </c>
      <c r="E16" s="68" t="s">
        <v>80</v>
      </c>
      <c r="F16" s="64" t="s">
        <v>33</v>
      </c>
      <c r="G16" s="50">
        <v>0</v>
      </c>
      <c r="H16" s="27">
        <f>IF(B$25=0,0,G16/B$25)</f>
        <v>0</v>
      </c>
    </row>
    <row r="17" spans="1:8" x14ac:dyDescent="0.45">
      <c r="A17" s="58" t="s">
        <v>11</v>
      </c>
      <c r="B17" s="50">
        <v>13</v>
      </c>
      <c r="C17" s="27">
        <f>IF(B$3=0,0,B17/B$3)</f>
        <v>0.28260869565217389</v>
      </c>
      <c r="E17" s="68" t="s">
        <v>81</v>
      </c>
      <c r="F17" s="64" t="s">
        <v>34</v>
      </c>
      <c r="G17" s="50">
        <v>0</v>
      </c>
      <c r="H17" s="27">
        <f>IF(B$25=0,0,G17/B$25)</f>
        <v>0</v>
      </c>
    </row>
    <row r="18" spans="1:8" x14ac:dyDescent="0.45">
      <c r="A18" s="58" t="s">
        <v>12</v>
      </c>
      <c r="B18" s="50">
        <v>5</v>
      </c>
      <c r="C18" s="27">
        <f>IF(B$3=0,0,B18/B$3)</f>
        <v>0.10869565217391304</v>
      </c>
      <c r="E18" s="68" t="s">
        <v>82</v>
      </c>
      <c r="F18" s="64" t="s">
        <v>35</v>
      </c>
      <c r="G18" s="50">
        <v>0</v>
      </c>
      <c r="H18" s="27">
        <f>IF(B$25=0,0,G18/B$25)</f>
        <v>0</v>
      </c>
    </row>
    <row r="19" spans="1:8" x14ac:dyDescent="0.45">
      <c r="A19" s="58" t="s">
        <v>13</v>
      </c>
      <c r="B19" s="50">
        <v>3</v>
      </c>
      <c r="C19" s="27">
        <f>IF(B$3=0,0,B19/B$3)</f>
        <v>6.5217391304347824E-2</v>
      </c>
      <c r="E19" s="68" t="s">
        <v>83</v>
      </c>
      <c r="F19" s="64" t="s">
        <v>36</v>
      </c>
      <c r="G19" s="50">
        <v>0</v>
      </c>
      <c r="H19" s="27">
        <f>IF(B$25=0,0,G19/B$25)</f>
        <v>0</v>
      </c>
    </row>
    <row r="20" spans="1:8" x14ac:dyDescent="0.45">
      <c r="A20" s="58" t="s">
        <v>5</v>
      </c>
      <c r="B20" s="54">
        <f>IF(B$16=0,0,C20/B$16)</f>
        <v>9227.7777777777774</v>
      </c>
      <c r="C20" s="30">
        <v>166100</v>
      </c>
      <c r="E20" s="68" t="s">
        <v>84</v>
      </c>
      <c r="F20" s="64" t="s">
        <v>37</v>
      </c>
      <c r="G20" s="50">
        <v>0</v>
      </c>
      <c r="H20" s="27">
        <f>IF(B$25=0,0,G20/B$25)</f>
        <v>0</v>
      </c>
    </row>
    <row r="21" spans="1:8" x14ac:dyDescent="0.45">
      <c r="A21" s="60" t="s">
        <v>14</v>
      </c>
      <c r="B21" s="55">
        <f>IF(B$19=0,0,C21/B$19)</f>
        <v>-5366.666666666667</v>
      </c>
      <c r="C21" s="48">
        <v>-16100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</row>
    <row r="22" spans="1:8" x14ac:dyDescent="0.45">
      <c r="A22" s="57" t="s">
        <v>195</v>
      </c>
      <c r="B22" s="49">
        <v>15</v>
      </c>
      <c r="C22" s="24">
        <f>IF(B$3=0,0,B22/B$3)</f>
        <v>0.32608695652173914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5">
      <c r="A23" s="60" t="s">
        <v>196</v>
      </c>
      <c r="B23" s="52">
        <v>7</v>
      </c>
      <c r="C23" s="32">
        <f>IF(B$22=0,0,B23/B$22)</f>
        <v>0.46666666666666667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5">
      <c r="A24" s="57" t="s">
        <v>128</v>
      </c>
      <c r="B24" s="79">
        <v>46</v>
      </c>
      <c r="C24" s="80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5">
      <c r="A25" s="60" t="s">
        <v>129</v>
      </c>
      <c r="B25" s="81">
        <v>18</v>
      </c>
      <c r="C25" s="82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5"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8" x14ac:dyDescent="0.45"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8" x14ac:dyDescent="0.45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8" x14ac:dyDescent="0.45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8" x14ac:dyDescent="0.45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8" x14ac:dyDescent="0.45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5DCE0-BE53-45F1-A613-FC77EC35F3E5}">
  <sheetPr codeName="Sheet15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3" t="s">
        <v>220</v>
      </c>
      <c r="C1" s="84"/>
      <c r="E1" s="66" t="s">
        <v>210</v>
      </c>
      <c r="F1" s="73" t="s">
        <v>122</v>
      </c>
      <c r="G1" s="72" t="s">
        <v>123</v>
      </c>
      <c r="H1" s="73" t="s">
        <v>124</v>
      </c>
      <c r="J1" s="21" t="s">
        <v>22</v>
      </c>
      <c r="K1" s="22" t="s">
        <v>127</v>
      </c>
      <c r="M1" s="21" t="s">
        <v>204</v>
      </c>
      <c r="N1" s="73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79">
        <v>4</v>
      </c>
      <c r="C2" s="80"/>
      <c r="E2" s="67" t="s">
        <v>73</v>
      </c>
      <c r="F2" s="63" t="s">
        <v>27</v>
      </c>
      <c r="G2" s="49">
        <v>13</v>
      </c>
      <c r="H2" s="24">
        <f>IF(B$25=0,0,G2/B$25)</f>
        <v>1.625</v>
      </c>
      <c r="J2" s="23">
        <v>0</v>
      </c>
      <c r="K2" s="25">
        <v>0</v>
      </c>
      <c r="M2" s="23" t="s">
        <v>198</v>
      </c>
      <c r="N2" s="44">
        <f t="shared" ref="N2:N7" si="0">IF(P2=0,0,O2/P2)</f>
        <v>425</v>
      </c>
      <c r="O2" s="41">
        <v>1700</v>
      </c>
      <c r="P2" s="39">
        <v>4</v>
      </c>
    </row>
    <row r="3" spans="1:16" x14ac:dyDescent="0.45">
      <c r="A3" s="58" t="s">
        <v>8</v>
      </c>
      <c r="B3" s="85">
        <v>29</v>
      </c>
      <c r="C3" s="86"/>
      <c r="E3" s="68" t="s">
        <v>71</v>
      </c>
      <c r="F3" s="64" t="s">
        <v>25</v>
      </c>
      <c r="G3" s="50">
        <v>7</v>
      </c>
      <c r="H3" s="27">
        <f>IF(B$25=0,0,G3/B$25)</f>
        <v>0.875</v>
      </c>
      <c r="J3" s="26">
        <v>1</v>
      </c>
      <c r="K3" s="28">
        <v>15</v>
      </c>
      <c r="M3" s="26" t="s">
        <v>199</v>
      </c>
      <c r="N3" s="45">
        <f t="shared" si="0"/>
        <v>4875</v>
      </c>
      <c r="O3" s="42">
        <v>19500</v>
      </c>
      <c r="P3" s="37">
        <v>4</v>
      </c>
    </row>
    <row r="4" spans="1:16" x14ac:dyDescent="0.45">
      <c r="A4" s="58" t="s">
        <v>6</v>
      </c>
      <c r="B4" s="87">
        <v>5.1000000000000014</v>
      </c>
      <c r="C4" s="88"/>
      <c r="E4" s="68" t="s">
        <v>78</v>
      </c>
      <c r="F4" s="64" t="s">
        <v>31</v>
      </c>
      <c r="G4" s="50">
        <v>6</v>
      </c>
      <c r="H4" s="27">
        <f>IF(B$25=0,0,G4/B$25)</f>
        <v>0.75</v>
      </c>
      <c r="J4" s="26">
        <v>2</v>
      </c>
      <c r="K4" s="28">
        <v>-24.299999999999997</v>
      </c>
      <c r="M4" s="26" t="s">
        <v>200</v>
      </c>
      <c r="N4" s="45">
        <f t="shared" si="0"/>
        <v>-3933.3333333333335</v>
      </c>
      <c r="O4" s="42">
        <v>-11800</v>
      </c>
      <c r="P4" s="37">
        <v>3</v>
      </c>
    </row>
    <row r="5" spans="1:16" x14ac:dyDescent="0.45">
      <c r="A5" s="58" t="s">
        <v>7</v>
      </c>
      <c r="B5" s="87">
        <f>IF(B$2=0,0,B$4/B$2)</f>
        <v>1.2750000000000004</v>
      </c>
      <c r="C5" s="88"/>
      <c r="E5" s="68" t="s">
        <v>90</v>
      </c>
      <c r="F5" s="64" t="s">
        <v>43</v>
      </c>
      <c r="G5" s="50">
        <v>4</v>
      </c>
      <c r="H5" s="27">
        <f>IF(B$25=0,0,G5/B$25)</f>
        <v>0.5</v>
      </c>
      <c r="J5" s="26">
        <v>3</v>
      </c>
      <c r="K5" s="28">
        <v>-15.599999999999998</v>
      </c>
      <c r="M5" s="26" t="s">
        <v>201</v>
      </c>
      <c r="N5" s="45">
        <f t="shared" si="0"/>
        <v>7066.666666666667</v>
      </c>
      <c r="O5" s="42">
        <v>21200</v>
      </c>
      <c r="P5" s="37">
        <v>3</v>
      </c>
    </row>
    <row r="6" spans="1:16" x14ac:dyDescent="0.45">
      <c r="A6" s="58" t="s">
        <v>1</v>
      </c>
      <c r="B6" s="77">
        <f>IF(B$2=0,0,(B$7*1+B$8*2+B$9*3)/B$2)</f>
        <v>2.25</v>
      </c>
      <c r="C6" s="78"/>
      <c r="E6" s="68" t="s">
        <v>96</v>
      </c>
      <c r="F6" s="64" t="s">
        <v>49</v>
      </c>
      <c r="G6" s="50">
        <v>2</v>
      </c>
      <c r="H6" s="27">
        <f>IF(B$25=0,0,G6/B$25)</f>
        <v>0.25</v>
      </c>
      <c r="J6" s="26">
        <v>4</v>
      </c>
      <c r="K6" s="28">
        <v>5.1000000000000014</v>
      </c>
      <c r="M6" s="26" t="s">
        <v>202</v>
      </c>
      <c r="N6" s="45">
        <f t="shared" si="0"/>
        <v>-8250</v>
      </c>
      <c r="O6" s="42">
        <v>-16500</v>
      </c>
      <c r="P6" s="37">
        <v>2</v>
      </c>
    </row>
    <row r="7" spans="1:16" x14ac:dyDescent="0.45">
      <c r="A7" s="58" t="s">
        <v>2</v>
      </c>
      <c r="B7" s="50">
        <v>0</v>
      </c>
      <c r="C7" s="27">
        <f>IF(B$2=0,0,B7/B$2)</f>
        <v>0</v>
      </c>
      <c r="E7" s="68" t="s">
        <v>69</v>
      </c>
      <c r="F7" s="64" t="s">
        <v>23</v>
      </c>
      <c r="G7" s="50">
        <v>1</v>
      </c>
      <c r="H7" s="27">
        <f>IF(B$25=0,0,G7/B$25)</f>
        <v>0.125</v>
      </c>
      <c r="M7" s="31" t="s">
        <v>203</v>
      </c>
      <c r="N7" s="46">
        <f t="shared" si="0"/>
        <v>-9000</v>
      </c>
      <c r="O7" s="43">
        <v>-9000</v>
      </c>
      <c r="P7" s="38">
        <v>1</v>
      </c>
    </row>
    <row r="8" spans="1:16" x14ac:dyDescent="0.45">
      <c r="A8" s="58" t="s">
        <v>3</v>
      </c>
      <c r="B8" s="50">
        <v>3</v>
      </c>
      <c r="C8" s="27">
        <f t="shared" ref="C8:C9" si="1">IF(B$2=0,0,B8/B$2)</f>
        <v>0.75</v>
      </c>
      <c r="E8" s="68" t="s">
        <v>76</v>
      </c>
      <c r="F8" s="64" t="s">
        <v>29</v>
      </c>
      <c r="G8" s="50">
        <v>1</v>
      </c>
      <c r="H8" s="27">
        <f>IF(B$25=0,0,G8/B$25)</f>
        <v>0.125</v>
      </c>
    </row>
    <row r="9" spans="1:16" x14ac:dyDescent="0.45">
      <c r="A9" s="59" t="s">
        <v>4</v>
      </c>
      <c r="B9" s="51">
        <v>1</v>
      </c>
      <c r="C9" s="29">
        <f t="shared" si="1"/>
        <v>0.25</v>
      </c>
      <c r="E9" s="68" t="s">
        <v>85</v>
      </c>
      <c r="F9" s="64" t="s">
        <v>38</v>
      </c>
      <c r="G9" s="50">
        <v>1</v>
      </c>
      <c r="H9" s="27">
        <f>IF(B$25=0,0,G9/B$25)</f>
        <v>0.125</v>
      </c>
    </row>
    <row r="10" spans="1:16" x14ac:dyDescent="0.45">
      <c r="A10" s="59" t="s">
        <v>21</v>
      </c>
      <c r="B10" s="51">
        <v>1</v>
      </c>
      <c r="C10" s="29">
        <f>IF(B$2=0,0,B10/B$2)</f>
        <v>0.25</v>
      </c>
      <c r="E10" s="68" t="s">
        <v>92</v>
      </c>
      <c r="F10" s="64" t="s">
        <v>45</v>
      </c>
      <c r="G10" s="50">
        <v>1</v>
      </c>
      <c r="H10" s="27">
        <f>IF(B$25=0,0,G10/B$25)</f>
        <v>0.125</v>
      </c>
    </row>
    <row r="11" spans="1:16" x14ac:dyDescent="0.45">
      <c r="A11" s="60" t="s">
        <v>208</v>
      </c>
      <c r="B11" s="52">
        <v>0</v>
      </c>
      <c r="C11" s="32">
        <f>IF(B$2=0,0,B11/B$2)</f>
        <v>0</v>
      </c>
      <c r="E11" s="68" t="s">
        <v>70</v>
      </c>
      <c r="F11" s="64" t="s">
        <v>24</v>
      </c>
      <c r="G11" s="50">
        <v>0</v>
      </c>
      <c r="H11" s="27">
        <f>IF(B$25=0,0,G11/B$25)</f>
        <v>0</v>
      </c>
    </row>
    <row r="12" spans="1:16" x14ac:dyDescent="0.45">
      <c r="A12" s="61" t="s">
        <v>130</v>
      </c>
      <c r="B12" s="53">
        <v>2</v>
      </c>
      <c r="C12" s="35">
        <f>IF(B$24=0,0,B12/B$24)</f>
        <v>6.8965517241379309E-2</v>
      </c>
      <c r="E12" s="68" t="s">
        <v>72</v>
      </c>
      <c r="F12" s="64" t="s">
        <v>26</v>
      </c>
      <c r="G12" s="50">
        <v>0</v>
      </c>
      <c r="H12" s="27">
        <f>IF(B$25=0,0,G12/B$25)</f>
        <v>0</v>
      </c>
    </row>
    <row r="13" spans="1:16" x14ac:dyDescent="0.45">
      <c r="A13" s="58" t="s">
        <v>125</v>
      </c>
      <c r="B13" s="50">
        <v>15</v>
      </c>
      <c r="C13" s="27">
        <f>IF(B$24=0,0,B13/B$24)</f>
        <v>0.51724137931034486</v>
      </c>
      <c r="E13" s="68" t="s">
        <v>74</v>
      </c>
      <c r="F13" s="64" t="s">
        <v>12</v>
      </c>
      <c r="G13" s="50">
        <v>0</v>
      </c>
      <c r="H13" s="27">
        <f>IF(B$25=0,0,G13/B$25)</f>
        <v>0</v>
      </c>
    </row>
    <row r="14" spans="1:16" x14ac:dyDescent="0.45">
      <c r="A14" s="57" t="s">
        <v>132</v>
      </c>
      <c r="B14" s="49">
        <v>1</v>
      </c>
      <c r="C14" s="24">
        <f>IF(B$12=0,0,B14/B$12)</f>
        <v>0.5</v>
      </c>
      <c r="E14" s="68" t="s">
        <v>75</v>
      </c>
      <c r="F14" s="64" t="s">
        <v>28</v>
      </c>
      <c r="G14" s="50">
        <v>0</v>
      </c>
      <c r="H14" s="27">
        <f>IF(B$25=0,0,G14/B$25)</f>
        <v>0</v>
      </c>
    </row>
    <row r="15" spans="1:16" x14ac:dyDescent="0.45">
      <c r="A15" s="57" t="s">
        <v>133</v>
      </c>
      <c r="B15" s="49">
        <v>7</v>
      </c>
      <c r="C15" s="24">
        <f>IF(B$13=0,0,B15/B$13)</f>
        <v>0.46666666666666667</v>
      </c>
      <c r="E15" s="68" t="s">
        <v>77</v>
      </c>
      <c r="F15" s="64" t="s">
        <v>30</v>
      </c>
      <c r="G15" s="50">
        <v>0</v>
      </c>
      <c r="H15" s="27">
        <f>IF(B$25=0,0,G15/B$25)</f>
        <v>0</v>
      </c>
    </row>
    <row r="16" spans="1:16" x14ac:dyDescent="0.45">
      <c r="A16" s="57" t="s">
        <v>10</v>
      </c>
      <c r="B16" s="49">
        <f>B17+B18</f>
        <v>8</v>
      </c>
      <c r="C16" s="24">
        <f>IF(B$3=0,0,B16/B$3)</f>
        <v>0.27586206896551724</v>
      </c>
      <c r="E16" s="68" t="s">
        <v>79</v>
      </c>
      <c r="F16" s="64" t="s">
        <v>32</v>
      </c>
      <c r="G16" s="50">
        <v>0</v>
      </c>
      <c r="H16" s="27">
        <f>IF(B$25=0,0,G16/B$25)</f>
        <v>0</v>
      </c>
    </row>
    <row r="17" spans="1:8" x14ac:dyDescent="0.45">
      <c r="A17" s="58" t="s">
        <v>11</v>
      </c>
      <c r="B17" s="50">
        <v>8</v>
      </c>
      <c r="C17" s="27">
        <f>IF(B$3=0,0,B17/B$3)</f>
        <v>0.27586206896551724</v>
      </c>
      <c r="E17" s="68" t="s">
        <v>80</v>
      </c>
      <c r="F17" s="64" t="s">
        <v>33</v>
      </c>
      <c r="G17" s="50">
        <v>0</v>
      </c>
      <c r="H17" s="27">
        <f>IF(B$25=0,0,G17/B$25)</f>
        <v>0</v>
      </c>
    </row>
    <row r="18" spans="1:8" x14ac:dyDescent="0.45">
      <c r="A18" s="58" t="s">
        <v>12</v>
      </c>
      <c r="B18" s="50">
        <v>0</v>
      </c>
      <c r="C18" s="27">
        <f>IF(B$3=0,0,B18/B$3)</f>
        <v>0</v>
      </c>
      <c r="E18" s="68" t="s">
        <v>81</v>
      </c>
      <c r="F18" s="64" t="s">
        <v>34</v>
      </c>
      <c r="G18" s="50">
        <v>0</v>
      </c>
      <c r="H18" s="27">
        <f>IF(B$25=0,0,G18/B$25)</f>
        <v>0</v>
      </c>
    </row>
    <row r="19" spans="1:8" x14ac:dyDescent="0.45">
      <c r="A19" s="58" t="s">
        <v>13</v>
      </c>
      <c r="B19" s="50">
        <v>6</v>
      </c>
      <c r="C19" s="27">
        <f>IF(B$3=0,0,B19/B$3)</f>
        <v>0.20689655172413793</v>
      </c>
      <c r="E19" s="68" t="s">
        <v>82</v>
      </c>
      <c r="F19" s="64" t="s">
        <v>35</v>
      </c>
      <c r="G19" s="50">
        <v>0</v>
      </c>
      <c r="H19" s="27">
        <f>IF(B$25=0,0,G19/B$25)</f>
        <v>0</v>
      </c>
    </row>
    <row r="20" spans="1:8" x14ac:dyDescent="0.45">
      <c r="A20" s="58" t="s">
        <v>5</v>
      </c>
      <c r="B20" s="54">
        <f>IF(B$16=0,0,C20/B$16)</f>
        <v>10237.5</v>
      </c>
      <c r="C20" s="30">
        <v>81900</v>
      </c>
      <c r="E20" s="68" t="s">
        <v>83</v>
      </c>
      <c r="F20" s="64" t="s">
        <v>36</v>
      </c>
      <c r="G20" s="50">
        <v>0</v>
      </c>
      <c r="H20" s="27">
        <f>IF(B$25=0,0,G20/B$25)</f>
        <v>0</v>
      </c>
    </row>
    <row r="21" spans="1:8" x14ac:dyDescent="0.45">
      <c r="A21" s="60" t="s">
        <v>14</v>
      </c>
      <c r="B21" s="55">
        <f>IF(B$19=0,0,C21/B$19)</f>
        <v>-7416.666666666667</v>
      </c>
      <c r="C21" s="48">
        <v>-44500</v>
      </c>
      <c r="E21" s="68" t="s">
        <v>84</v>
      </c>
      <c r="F21" s="64" t="s">
        <v>37</v>
      </c>
      <c r="G21" s="50">
        <v>0</v>
      </c>
      <c r="H21" s="27">
        <f>IF(B$25=0,0,G21/B$25)</f>
        <v>0</v>
      </c>
    </row>
    <row r="22" spans="1:8" x14ac:dyDescent="0.45">
      <c r="A22" s="57" t="s">
        <v>195</v>
      </c>
      <c r="B22" s="49">
        <v>6</v>
      </c>
      <c r="C22" s="24">
        <f>IF(B$3=0,0,B22/B$3)</f>
        <v>0.20689655172413793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5">
      <c r="A23" s="60" t="s">
        <v>196</v>
      </c>
      <c r="B23" s="52">
        <v>1</v>
      </c>
      <c r="C23" s="32">
        <f>IF(B$22=0,0,B23/B$22)</f>
        <v>0.16666666666666666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5">
      <c r="A24" s="57" t="s">
        <v>128</v>
      </c>
      <c r="B24" s="79">
        <v>29</v>
      </c>
      <c r="C24" s="80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5">
      <c r="A25" s="60" t="s">
        <v>129</v>
      </c>
      <c r="B25" s="81">
        <v>8</v>
      </c>
      <c r="C25" s="82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5">
      <c r="E26" s="68" t="s">
        <v>91</v>
      </c>
      <c r="F26" s="64" t="s">
        <v>44</v>
      </c>
      <c r="G26" s="50">
        <v>0</v>
      </c>
      <c r="H26" s="27">
        <f>IF(B$25=0,0,G26/B$25)</f>
        <v>0</v>
      </c>
    </row>
    <row r="27" spans="1:8" x14ac:dyDescent="0.45">
      <c r="E27" s="68" t="s">
        <v>93</v>
      </c>
      <c r="F27" s="64" t="s">
        <v>46</v>
      </c>
      <c r="G27" s="50">
        <v>0</v>
      </c>
      <c r="H27" s="27">
        <f>IF(B$25=0,0,G27/B$25)</f>
        <v>0</v>
      </c>
    </row>
    <row r="28" spans="1:8" x14ac:dyDescent="0.45">
      <c r="E28" s="68" t="s">
        <v>94</v>
      </c>
      <c r="F28" s="64" t="s">
        <v>47</v>
      </c>
      <c r="G28" s="50">
        <v>0</v>
      </c>
      <c r="H28" s="27">
        <f>IF(B$25=0,0,G28/B$25)</f>
        <v>0</v>
      </c>
    </row>
    <row r="29" spans="1:8" x14ac:dyDescent="0.45">
      <c r="E29" s="68" t="s">
        <v>95</v>
      </c>
      <c r="F29" s="64" t="s">
        <v>48</v>
      </c>
      <c r="G29" s="50">
        <v>0</v>
      </c>
      <c r="H29" s="27">
        <f>IF(B$25=0,0,G29/B$25)</f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3"/>
      <c r="C1" s="84"/>
      <c r="E1" s="66" t="s">
        <v>210</v>
      </c>
      <c r="F1" s="47" t="s">
        <v>122</v>
      </c>
      <c r="G1" s="62" t="s">
        <v>123</v>
      </c>
      <c r="H1" s="20" t="s">
        <v>124</v>
      </c>
      <c r="J1" s="21" t="s">
        <v>22</v>
      </c>
      <c r="K1" s="22" t="s">
        <v>127</v>
      </c>
      <c r="M1" s="21" t="s">
        <v>204</v>
      </c>
      <c r="N1" s="20" t="s">
        <v>206</v>
      </c>
      <c r="O1" s="40" t="s">
        <v>207</v>
      </c>
      <c r="P1" s="36" t="s">
        <v>205</v>
      </c>
    </row>
    <row r="2" spans="1:16" x14ac:dyDescent="0.45">
      <c r="A2" s="57" t="s">
        <v>9</v>
      </c>
      <c r="B2" s="79">
        <v>0</v>
      </c>
      <c r="C2" s="80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1">IF(P2=0,0,O2/P2)</f>
        <v>0</v>
      </c>
      <c r="O2" s="41">
        <v>0</v>
      </c>
      <c r="P2" s="39">
        <v>0</v>
      </c>
    </row>
    <row r="3" spans="1:16" x14ac:dyDescent="0.45">
      <c r="A3" s="58" t="s">
        <v>8</v>
      </c>
      <c r="B3" s="85">
        <v>0</v>
      </c>
      <c r="C3" s="86"/>
      <c r="E3" s="68" t="s">
        <v>70</v>
      </c>
      <c r="F3" s="64" t="s">
        <v>24</v>
      </c>
      <c r="G3" s="50">
        <v>0</v>
      </c>
      <c r="H3" s="27">
        <f t="shared" si="0"/>
        <v>0</v>
      </c>
      <c r="M3" s="26" t="s">
        <v>199</v>
      </c>
      <c r="N3" s="45">
        <f t="shared" si="1"/>
        <v>0</v>
      </c>
      <c r="O3" s="42">
        <v>0</v>
      </c>
      <c r="P3" s="37">
        <v>0</v>
      </c>
    </row>
    <row r="4" spans="1:16" x14ac:dyDescent="0.45">
      <c r="A4" s="58" t="s">
        <v>6</v>
      </c>
      <c r="B4" s="87">
        <v>0</v>
      </c>
      <c r="C4" s="88"/>
      <c r="E4" s="68" t="s">
        <v>71</v>
      </c>
      <c r="F4" s="64" t="s">
        <v>25</v>
      </c>
      <c r="G4" s="50">
        <v>0</v>
      </c>
      <c r="H4" s="27">
        <f t="shared" si="0"/>
        <v>0</v>
      </c>
      <c r="M4" s="26" t="s">
        <v>200</v>
      </c>
      <c r="N4" s="45">
        <f t="shared" si="1"/>
        <v>0</v>
      </c>
      <c r="O4" s="42">
        <v>0</v>
      </c>
      <c r="P4" s="37">
        <v>0</v>
      </c>
    </row>
    <row r="5" spans="1:16" x14ac:dyDescent="0.45">
      <c r="A5" s="58" t="s">
        <v>7</v>
      </c>
      <c r="B5" s="87">
        <f>IF(B$2=0,0,B$4/B$2)</f>
        <v>0</v>
      </c>
      <c r="C5" s="88"/>
      <c r="E5" s="68" t="s">
        <v>72</v>
      </c>
      <c r="F5" s="64" t="s">
        <v>26</v>
      </c>
      <c r="G5" s="50">
        <v>0</v>
      </c>
      <c r="H5" s="27">
        <f t="shared" si="0"/>
        <v>0</v>
      </c>
      <c r="M5" s="26" t="s">
        <v>201</v>
      </c>
      <c r="N5" s="45">
        <f t="shared" si="1"/>
        <v>0</v>
      </c>
      <c r="O5" s="42">
        <v>0</v>
      </c>
      <c r="P5" s="37">
        <v>0</v>
      </c>
    </row>
    <row r="6" spans="1:16" x14ac:dyDescent="0.45">
      <c r="A6" s="58" t="s">
        <v>1</v>
      </c>
      <c r="B6" s="77">
        <f>IF(B$2=0,0,(B$7*1+B$8*2+B$9*3)/B$2)</f>
        <v>0</v>
      </c>
      <c r="C6" s="78"/>
      <c r="E6" s="68" t="s">
        <v>73</v>
      </c>
      <c r="F6" s="64" t="s">
        <v>27</v>
      </c>
      <c r="G6" s="50">
        <v>0</v>
      </c>
      <c r="H6" s="27">
        <f t="shared" si="0"/>
        <v>0</v>
      </c>
      <c r="M6" s="26" t="s">
        <v>202</v>
      </c>
      <c r="N6" s="45">
        <f t="shared" si="1"/>
        <v>0</v>
      </c>
      <c r="O6" s="42">
        <v>0</v>
      </c>
      <c r="P6" s="37">
        <v>0</v>
      </c>
    </row>
    <row r="7" spans="1:16" x14ac:dyDescent="0.45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203</v>
      </c>
      <c r="N7" s="46">
        <f t="shared" si="1"/>
        <v>0</v>
      </c>
      <c r="O7" s="43">
        <v>0</v>
      </c>
      <c r="P7" s="38">
        <v>0</v>
      </c>
    </row>
    <row r="8" spans="1:16" x14ac:dyDescent="0.45">
      <c r="A8" s="58" t="s">
        <v>3</v>
      </c>
      <c r="B8" s="50">
        <v>0</v>
      </c>
      <c r="C8" s="27">
        <f t="shared" ref="C8:C9" si="2">IF(B$2=0,0,B8/B$2)</f>
        <v>0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5">
      <c r="A9" s="59" t="s">
        <v>4</v>
      </c>
      <c r="B9" s="51">
        <v>0</v>
      </c>
      <c r="C9" s="29">
        <f t="shared" si="2"/>
        <v>0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5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5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5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5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5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5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5">
      <c r="A16" s="57" t="s">
        <v>10</v>
      </c>
      <c r="B16" s="49">
        <f>B17+B18</f>
        <v>0</v>
      </c>
      <c r="C16" s="24">
        <f>IF(B$3=0,0,B16/B$3)</f>
        <v>0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5">
      <c r="A17" s="58" t="s">
        <v>11</v>
      </c>
      <c r="B17" s="50">
        <v>0</v>
      </c>
      <c r="C17" s="27">
        <f>IF(B$3=0,0,B17/B$3)</f>
        <v>0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5">
      <c r="A18" s="58" t="s">
        <v>12</v>
      </c>
      <c r="B18" s="50">
        <v>0</v>
      </c>
      <c r="C18" s="27">
        <f>IF(B$3=0,0,B18/B$3)</f>
        <v>0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5">
      <c r="A19" s="58" t="s">
        <v>13</v>
      </c>
      <c r="B19" s="50">
        <v>0</v>
      </c>
      <c r="C19" s="27">
        <f>IF(B$3=0,0,B19/B$3)</f>
        <v>0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5">
      <c r="A20" s="58" t="s">
        <v>5</v>
      </c>
      <c r="B20" s="54">
        <f>IF(B$16=0,0,C20/B$16)</f>
        <v>0</v>
      </c>
      <c r="C20" s="30">
        <v>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5">
      <c r="A21" s="60" t="s">
        <v>14</v>
      </c>
      <c r="B21" s="55">
        <f>IF(B$19=0,0,C21/B$19)</f>
        <v>0</v>
      </c>
      <c r="C21" s="48">
        <v>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5">
      <c r="A22" s="57" t="s">
        <v>195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5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5">
      <c r="A24" s="57" t="s">
        <v>128</v>
      </c>
      <c r="B24" s="79">
        <v>0</v>
      </c>
      <c r="C24" s="80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5">
      <c r="A25" s="60" t="s">
        <v>129</v>
      </c>
      <c r="B25" s="81">
        <v>0</v>
      </c>
      <c r="C25" s="82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5"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5"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 t="shared" ref="H34:H51" si="3"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mergeCells count="8"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35"/>
  <sheetViews>
    <sheetView workbookViewId="0"/>
  </sheetViews>
  <sheetFormatPr defaultColWidth="9" defaultRowHeight="18" x14ac:dyDescent="0.45"/>
  <cols>
    <col min="1" max="1" width="16.3984375" style="90" bestFit="1" customWidth="1"/>
    <col min="2" max="2" width="16.8984375" style="91" bestFit="1" customWidth="1"/>
    <col min="3" max="16384" width="9" style="90"/>
  </cols>
  <sheetData>
    <row r="1" spans="1:14" x14ac:dyDescent="0.45">
      <c r="A1" s="89">
        <v>32874</v>
      </c>
      <c r="B1" s="89">
        <v>2958465</v>
      </c>
    </row>
    <row r="2" spans="1:14" x14ac:dyDescent="0.45">
      <c r="A2" s="90" t="s">
        <v>136</v>
      </c>
      <c r="B2" s="91">
        <v>43472.765682870369</v>
      </c>
      <c r="C2" s="90" t="s">
        <v>174</v>
      </c>
    </row>
    <row r="3" spans="1:14" x14ac:dyDescent="0.45">
      <c r="A3" s="90" t="s">
        <v>140</v>
      </c>
      <c r="B3" s="91">
        <v>43472.765682870369</v>
      </c>
      <c r="C3" s="90" t="s">
        <v>174</v>
      </c>
    </row>
    <row r="4" spans="1:14" x14ac:dyDescent="0.45">
      <c r="A4" s="90" t="s">
        <v>143</v>
      </c>
      <c r="B4" s="91">
        <v>43472.765682870369</v>
      </c>
      <c r="C4" s="90" t="s">
        <v>174</v>
      </c>
    </row>
    <row r="5" spans="1:14" x14ac:dyDescent="0.45">
      <c r="A5" s="90" t="s">
        <v>144</v>
      </c>
      <c r="B5" s="91">
        <v>43472.765682870369</v>
      </c>
      <c r="C5" s="90" t="s">
        <v>174</v>
      </c>
      <c r="D5" s="90" t="s">
        <v>175</v>
      </c>
      <c r="E5" s="90" t="s">
        <v>176</v>
      </c>
      <c r="F5" s="90" t="s">
        <v>177</v>
      </c>
      <c r="G5" s="90" t="s">
        <v>178</v>
      </c>
    </row>
    <row r="6" spans="1:14" x14ac:dyDescent="0.45">
      <c r="A6" s="90" t="s">
        <v>146</v>
      </c>
      <c r="B6" s="91">
        <v>43472.765682870369</v>
      </c>
      <c r="C6" s="90" t="s">
        <v>174</v>
      </c>
    </row>
    <row r="7" spans="1:14" x14ac:dyDescent="0.45">
      <c r="A7" s="90" t="s">
        <v>147</v>
      </c>
      <c r="B7" s="91">
        <v>43472.765682870369</v>
      </c>
      <c r="C7" s="90" t="s">
        <v>174</v>
      </c>
      <c r="D7" s="90" t="s">
        <v>175</v>
      </c>
      <c r="E7" s="90" t="s">
        <v>176</v>
      </c>
    </row>
    <row r="8" spans="1:14" x14ac:dyDescent="0.45">
      <c r="A8" s="90" t="s">
        <v>150</v>
      </c>
      <c r="B8" s="91">
        <v>43472.765682870369</v>
      </c>
      <c r="C8" s="90" t="s">
        <v>174</v>
      </c>
      <c r="D8" s="90" t="s">
        <v>175</v>
      </c>
    </row>
    <row r="9" spans="1:14" x14ac:dyDescent="0.45">
      <c r="A9" s="90" t="s">
        <v>151</v>
      </c>
      <c r="B9" s="91">
        <v>43472.765682870369</v>
      </c>
      <c r="C9" s="90" t="s">
        <v>174</v>
      </c>
      <c r="D9" s="90" t="s">
        <v>175</v>
      </c>
      <c r="E9" s="90" t="s">
        <v>176</v>
      </c>
      <c r="F9" s="90" t="s">
        <v>177</v>
      </c>
    </row>
    <row r="10" spans="1:14" x14ac:dyDescent="0.45">
      <c r="A10" s="90" t="s">
        <v>152</v>
      </c>
      <c r="B10" s="91">
        <v>43472.765682870369</v>
      </c>
      <c r="C10" s="90" t="s">
        <v>174</v>
      </c>
      <c r="D10" s="90" t="s">
        <v>175</v>
      </c>
      <c r="E10" s="90" t="s">
        <v>176</v>
      </c>
    </row>
    <row r="11" spans="1:14" x14ac:dyDescent="0.45">
      <c r="A11" s="90" t="s">
        <v>153</v>
      </c>
      <c r="B11" s="91">
        <v>43472.765682870369</v>
      </c>
      <c r="C11" s="90" t="s">
        <v>174</v>
      </c>
      <c r="D11" s="90" t="s">
        <v>175</v>
      </c>
      <c r="E11" s="90" t="s">
        <v>176</v>
      </c>
      <c r="F11" s="90" t="s">
        <v>177</v>
      </c>
      <c r="G11" s="90" t="s">
        <v>178</v>
      </c>
      <c r="H11" s="90" t="s">
        <v>179</v>
      </c>
      <c r="I11" s="90" t="s">
        <v>180</v>
      </c>
    </row>
    <row r="12" spans="1:14" x14ac:dyDescent="0.45">
      <c r="A12" s="90" t="s">
        <v>154</v>
      </c>
      <c r="B12" s="91">
        <v>43472.765682870369</v>
      </c>
      <c r="C12" s="90" t="s">
        <v>174</v>
      </c>
      <c r="D12" s="90" t="s">
        <v>175</v>
      </c>
    </row>
    <row r="13" spans="1:14" x14ac:dyDescent="0.45">
      <c r="A13" s="90" t="s">
        <v>155</v>
      </c>
      <c r="B13" s="91">
        <v>43472.765682870369</v>
      </c>
      <c r="C13" s="90" t="s">
        <v>174</v>
      </c>
      <c r="D13" s="90" t="s">
        <v>175</v>
      </c>
      <c r="E13" s="90" t="s">
        <v>176</v>
      </c>
      <c r="F13" s="90" t="s">
        <v>177</v>
      </c>
      <c r="G13" s="90" t="s">
        <v>178</v>
      </c>
      <c r="H13" s="90" t="s">
        <v>179</v>
      </c>
      <c r="I13" s="90" t="s">
        <v>180</v>
      </c>
      <c r="J13" s="90" t="s">
        <v>181</v>
      </c>
      <c r="K13" s="90" t="s">
        <v>182</v>
      </c>
      <c r="L13" s="90" t="s">
        <v>183</v>
      </c>
      <c r="M13" s="90" t="s">
        <v>184</v>
      </c>
      <c r="N13" s="90" t="s">
        <v>185</v>
      </c>
    </row>
    <row r="14" spans="1:14" x14ac:dyDescent="0.45">
      <c r="A14" s="90" t="s">
        <v>157</v>
      </c>
      <c r="B14" s="91">
        <v>43472.765682870369</v>
      </c>
      <c r="C14" s="90" t="s">
        <v>174</v>
      </c>
      <c r="D14" s="90" t="s">
        <v>175</v>
      </c>
      <c r="E14" s="90" t="s">
        <v>176</v>
      </c>
    </row>
    <row r="15" spans="1:14" x14ac:dyDescent="0.45">
      <c r="A15" s="90" t="s">
        <v>158</v>
      </c>
      <c r="B15" s="91">
        <v>43472.765682870369</v>
      </c>
      <c r="C15" s="90" t="s">
        <v>174</v>
      </c>
      <c r="D15" s="90" t="s">
        <v>175</v>
      </c>
      <c r="E15" s="90" t="s">
        <v>176</v>
      </c>
    </row>
    <row r="16" spans="1:14" x14ac:dyDescent="0.45">
      <c r="A16" s="90" t="s">
        <v>159</v>
      </c>
      <c r="B16" s="91">
        <v>43472.765682870369</v>
      </c>
      <c r="C16" s="90" t="s">
        <v>174</v>
      </c>
      <c r="D16" s="90" t="s">
        <v>175</v>
      </c>
      <c r="E16" s="90" t="s">
        <v>176</v>
      </c>
    </row>
    <row r="17" spans="1:9" x14ac:dyDescent="0.45">
      <c r="A17" s="90" t="s">
        <v>161</v>
      </c>
      <c r="B17" s="91">
        <v>43472.765682870369</v>
      </c>
      <c r="C17" s="90" t="s">
        <v>174</v>
      </c>
      <c r="D17" s="90" t="s">
        <v>175</v>
      </c>
      <c r="E17" s="90" t="s">
        <v>176</v>
      </c>
      <c r="F17" s="90" t="s">
        <v>177</v>
      </c>
      <c r="G17" s="90" t="s">
        <v>178</v>
      </c>
      <c r="H17" s="90" t="s">
        <v>179</v>
      </c>
    </row>
    <row r="18" spans="1:9" x14ac:dyDescent="0.45">
      <c r="A18" s="90" t="s">
        <v>162</v>
      </c>
      <c r="B18" s="91">
        <v>43472.765682870369</v>
      </c>
      <c r="C18" s="90" t="s">
        <v>174</v>
      </c>
      <c r="D18" s="90" t="s">
        <v>175</v>
      </c>
      <c r="E18" s="90" t="s">
        <v>176</v>
      </c>
      <c r="F18" s="90" t="s">
        <v>177</v>
      </c>
      <c r="G18" s="90" t="s">
        <v>178</v>
      </c>
      <c r="H18" s="90" t="s">
        <v>179</v>
      </c>
    </row>
    <row r="19" spans="1:9" x14ac:dyDescent="0.45">
      <c r="A19" s="90" t="s">
        <v>163</v>
      </c>
      <c r="B19" s="91">
        <v>43472.765682870369</v>
      </c>
      <c r="C19" s="90" t="s">
        <v>174</v>
      </c>
      <c r="D19" s="90" t="s">
        <v>175</v>
      </c>
    </row>
    <row r="20" spans="1:9" x14ac:dyDescent="0.45">
      <c r="A20" s="90" t="s">
        <v>164</v>
      </c>
      <c r="B20" s="91">
        <v>43472.765682870369</v>
      </c>
      <c r="C20" s="90" t="s">
        <v>174</v>
      </c>
      <c r="D20" s="90" t="s">
        <v>175</v>
      </c>
      <c r="E20" s="90" t="s">
        <v>176</v>
      </c>
    </row>
    <row r="21" spans="1:9" x14ac:dyDescent="0.45">
      <c r="A21" s="90" t="s">
        <v>165</v>
      </c>
      <c r="B21" s="91">
        <v>43472.765682870369</v>
      </c>
      <c r="C21" s="90" t="s">
        <v>174</v>
      </c>
      <c r="D21" s="90" t="s">
        <v>175</v>
      </c>
      <c r="E21" s="90" t="s">
        <v>176</v>
      </c>
      <c r="F21" s="90" t="s">
        <v>177</v>
      </c>
    </row>
    <row r="22" spans="1:9" x14ac:dyDescent="0.45">
      <c r="A22" s="90" t="s">
        <v>166</v>
      </c>
      <c r="B22" s="91">
        <v>43472.765682870369</v>
      </c>
      <c r="C22" s="90" t="s">
        <v>174</v>
      </c>
      <c r="D22" s="90" t="s">
        <v>175</v>
      </c>
      <c r="E22" s="90" t="s">
        <v>176</v>
      </c>
      <c r="F22" s="90" t="s">
        <v>177</v>
      </c>
    </row>
    <row r="23" spans="1:9" x14ac:dyDescent="0.45">
      <c r="A23" s="90" t="s">
        <v>167</v>
      </c>
      <c r="B23" s="91">
        <v>43472.765682870369</v>
      </c>
      <c r="C23" s="90" t="s">
        <v>174</v>
      </c>
      <c r="D23" s="90" t="s">
        <v>175</v>
      </c>
      <c r="E23" s="90" t="s">
        <v>176</v>
      </c>
      <c r="F23" s="90" t="s">
        <v>177</v>
      </c>
      <c r="G23" s="90" t="s">
        <v>178</v>
      </c>
      <c r="H23" s="90" t="s">
        <v>179</v>
      </c>
      <c r="I23" s="90" t="s">
        <v>180</v>
      </c>
    </row>
    <row r="24" spans="1:9" x14ac:dyDescent="0.45">
      <c r="A24" s="90" t="s">
        <v>168</v>
      </c>
      <c r="B24" s="91">
        <v>43472.765682870369</v>
      </c>
      <c r="C24" s="90" t="s">
        <v>174</v>
      </c>
      <c r="D24" s="90" t="s">
        <v>175</v>
      </c>
      <c r="E24" s="90" t="s">
        <v>176</v>
      </c>
    </row>
    <row r="25" spans="1:9" x14ac:dyDescent="0.45">
      <c r="A25" s="90" t="s">
        <v>169</v>
      </c>
      <c r="B25" s="91">
        <v>43472.765682870369</v>
      </c>
      <c r="C25" s="90" t="s">
        <v>174</v>
      </c>
      <c r="D25" s="90" t="s">
        <v>175</v>
      </c>
      <c r="E25" s="90" t="s">
        <v>176</v>
      </c>
      <c r="F25" s="90" t="s">
        <v>177</v>
      </c>
      <c r="G25" s="90" t="s">
        <v>178</v>
      </c>
      <c r="H25" s="90" t="s">
        <v>179</v>
      </c>
    </row>
    <row r="26" spans="1:9" x14ac:dyDescent="0.45">
      <c r="A26" s="90" t="s">
        <v>170</v>
      </c>
      <c r="B26" s="91">
        <v>43472.765682870369</v>
      </c>
      <c r="C26" s="90" t="s">
        <v>174</v>
      </c>
      <c r="D26" s="90" t="s">
        <v>175</v>
      </c>
    </row>
    <row r="27" spans="1:9" x14ac:dyDescent="0.45">
      <c r="A27" s="90" t="s">
        <v>171</v>
      </c>
      <c r="B27" s="91">
        <v>43472.765682870369</v>
      </c>
      <c r="C27" s="90" t="s">
        <v>174</v>
      </c>
      <c r="D27" s="90" t="s">
        <v>175</v>
      </c>
    </row>
    <row r="28" spans="1:9" x14ac:dyDescent="0.45">
      <c r="A28" s="90" t="s">
        <v>172</v>
      </c>
      <c r="B28" s="91">
        <v>43472.765682870369</v>
      </c>
      <c r="C28" s="90" t="s">
        <v>174</v>
      </c>
      <c r="D28" s="90" t="s">
        <v>175</v>
      </c>
      <c r="E28" s="90" t="s">
        <v>176</v>
      </c>
      <c r="F28" s="90" t="s">
        <v>177</v>
      </c>
    </row>
    <row r="29" spans="1:9" x14ac:dyDescent="0.45">
      <c r="A29" s="90" t="s">
        <v>173</v>
      </c>
      <c r="B29" s="91">
        <v>43472.765682870369</v>
      </c>
      <c r="C29" s="90" t="s">
        <v>174</v>
      </c>
      <c r="D29" s="90" t="s">
        <v>175</v>
      </c>
      <c r="E29" s="90" t="s">
        <v>176</v>
      </c>
      <c r="F29" s="90" t="s">
        <v>177</v>
      </c>
      <c r="G29" s="90" t="s">
        <v>178</v>
      </c>
      <c r="H29" s="90" t="s">
        <v>179</v>
      </c>
    </row>
    <row r="30" spans="1:9" x14ac:dyDescent="0.45">
      <c r="A30" s="90" t="s">
        <v>194</v>
      </c>
      <c r="B30" s="91">
        <v>43472.765682870369</v>
      </c>
      <c r="C30" s="90" t="s">
        <v>174</v>
      </c>
      <c r="D30" s="90" t="s">
        <v>175</v>
      </c>
      <c r="E30" s="90" t="s">
        <v>176</v>
      </c>
      <c r="F30" s="90" t="s">
        <v>177</v>
      </c>
      <c r="G30" s="90" t="s">
        <v>178</v>
      </c>
    </row>
    <row r="31" spans="1:9" x14ac:dyDescent="0.45">
      <c r="A31" s="90" t="s">
        <v>211</v>
      </c>
      <c r="B31" s="91">
        <v>43472.765682870369</v>
      </c>
      <c r="C31" s="90" t="s">
        <v>174</v>
      </c>
      <c r="D31" s="90" t="s">
        <v>175</v>
      </c>
      <c r="E31" s="90" t="s">
        <v>176</v>
      </c>
      <c r="F31" s="90" t="s">
        <v>177</v>
      </c>
    </row>
    <row r="32" spans="1:9" x14ac:dyDescent="0.45">
      <c r="A32" s="90" t="s">
        <v>212</v>
      </c>
      <c r="B32" s="91">
        <v>43476.556539351855</v>
      </c>
      <c r="C32" s="90" t="s">
        <v>174</v>
      </c>
    </row>
    <row r="33" spans="1:10" x14ac:dyDescent="0.45">
      <c r="A33" s="90" t="s">
        <v>213</v>
      </c>
      <c r="B33" s="91">
        <v>43480.364594907405</v>
      </c>
      <c r="C33" s="90" t="s">
        <v>174</v>
      </c>
      <c r="D33" s="90" t="s">
        <v>175</v>
      </c>
      <c r="E33" s="90" t="s">
        <v>176</v>
      </c>
    </row>
    <row r="34" spans="1:10" x14ac:dyDescent="0.45">
      <c r="A34" s="90" t="s">
        <v>216</v>
      </c>
      <c r="B34" s="91">
        <v>43480.364594907405</v>
      </c>
      <c r="C34" s="90" t="s">
        <v>174</v>
      </c>
      <c r="D34" s="90" t="s">
        <v>175</v>
      </c>
      <c r="E34" s="90" t="s">
        <v>176</v>
      </c>
      <c r="F34" s="90" t="s">
        <v>177</v>
      </c>
      <c r="G34" s="90" t="s">
        <v>178</v>
      </c>
      <c r="H34" s="90" t="s">
        <v>179</v>
      </c>
      <c r="I34" s="90" t="s">
        <v>180</v>
      </c>
      <c r="J34" s="90" t="s">
        <v>181</v>
      </c>
    </row>
    <row r="35" spans="1:10" x14ac:dyDescent="0.45">
      <c r="A35" s="90" t="s">
        <v>221</v>
      </c>
      <c r="B35" s="91">
        <v>43480.364594907405</v>
      </c>
      <c r="C35" s="90" t="s">
        <v>174</v>
      </c>
      <c r="D35" s="90" t="s">
        <v>175</v>
      </c>
      <c r="E35" s="90" t="s">
        <v>176</v>
      </c>
      <c r="F35" s="90" t="s">
        <v>177</v>
      </c>
      <c r="G35" s="90" t="s">
        <v>178</v>
      </c>
      <c r="H35" s="90" t="s">
        <v>179</v>
      </c>
      <c r="I35" s="90" t="s">
        <v>180</v>
      </c>
      <c r="J35" s="90" t="s">
        <v>181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ランキング</vt:lpstr>
      <vt:lpstr>役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2019-01-15T01:22:46Z</dcterms:modified>
</cp:coreProperties>
</file>