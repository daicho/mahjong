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E13EBA91-76BA-4EC2-92A9-8CF743F101DE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963" r:id="rId2"/>
    <sheet name="りくと" sheetId="964" r:id="rId3"/>
    <sheet name="いっしー" sheetId="965" r:id="rId4"/>
    <sheet name="かこたろう" sheetId="966" r:id="rId5"/>
    <sheet name="ともき" sheetId="967" r:id="rId6"/>
    <sheet name="がくと" sheetId="968" r:id="rId7"/>
    <sheet name="たかの" sheetId="969" r:id="rId8"/>
    <sheet name="ただ" sheetId="970" r:id="rId9"/>
    <sheet name="やがさき" sheetId="971" r:id="rId10"/>
    <sheet name="れんたろう" sheetId="972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972" l="1"/>
  <c r="C14" i="972"/>
  <c r="C13" i="972"/>
  <c r="C12" i="972"/>
  <c r="B11" i="972"/>
  <c r="B15" i="972" s="1"/>
  <c r="C10" i="972"/>
  <c r="C9" i="972"/>
  <c r="C8" i="972"/>
  <c r="C7" i="972"/>
  <c r="B6" i="972"/>
  <c r="B5" i="972"/>
  <c r="C11" i="972" l="1"/>
  <c r="B16" i="971" l="1"/>
  <c r="C14" i="971"/>
  <c r="C13" i="971"/>
  <c r="C12" i="971"/>
  <c r="B11" i="971"/>
  <c r="B15" i="971" s="1"/>
  <c r="C10" i="971"/>
  <c r="C9" i="971"/>
  <c r="C8" i="971"/>
  <c r="C7" i="971"/>
  <c r="B6" i="971"/>
  <c r="B5" i="971"/>
  <c r="C11" i="971" l="1"/>
  <c r="B16" i="970" l="1"/>
  <c r="C14" i="970"/>
  <c r="C13" i="970"/>
  <c r="C12" i="970"/>
  <c r="B11" i="970"/>
  <c r="B15" i="970" s="1"/>
  <c r="C10" i="970"/>
  <c r="C9" i="970"/>
  <c r="C8" i="970"/>
  <c r="C7" i="970"/>
  <c r="B6" i="970"/>
  <c r="B5" i="970"/>
  <c r="B16" i="969"/>
  <c r="C14" i="969"/>
  <c r="C13" i="969"/>
  <c r="C12" i="969"/>
  <c r="B11" i="969"/>
  <c r="B15" i="969" s="1"/>
  <c r="C10" i="969"/>
  <c r="C9" i="969"/>
  <c r="C8" i="969"/>
  <c r="C7" i="969"/>
  <c r="B6" i="969"/>
  <c r="B5" i="969"/>
  <c r="C11" i="970" l="1"/>
  <c r="C11" i="969"/>
  <c r="B16" i="968" l="1"/>
  <c r="C14" i="968"/>
  <c r="C13" i="968"/>
  <c r="C12" i="968"/>
  <c r="B11" i="968"/>
  <c r="B15" i="968" s="1"/>
  <c r="C10" i="968"/>
  <c r="C9" i="968"/>
  <c r="C8" i="968"/>
  <c r="C7" i="968"/>
  <c r="B6" i="968"/>
  <c r="B5" i="968"/>
  <c r="C11" i="968" l="1"/>
  <c r="B16" i="967" l="1"/>
  <c r="C14" i="967"/>
  <c r="C13" i="967"/>
  <c r="C12" i="967"/>
  <c r="B11" i="967"/>
  <c r="B15" i="967" s="1"/>
  <c r="C10" i="967"/>
  <c r="C9" i="967"/>
  <c r="C8" i="967"/>
  <c r="C7" i="967"/>
  <c r="B6" i="967"/>
  <c r="B5" i="967"/>
  <c r="B16" i="966"/>
  <c r="C14" i="966"/>
  <c r="C13" i="966"/>
  <c r="C12" i="966"/>
  <c r="B11" i="966"/>
  <c r="B15" i="966" s="1"/>
  <c r="C10" i="966"/>
  <c r="C9" i="966"/>
  <c r="C8" i="966"/>
  <c r="C7" i="966"/>
  <c r="B6" i="966"/>
  <c r="B5" i="966"/>
  <c r="C11" i="967" l="1"/>
  <c r="C11" i="966"/>
  <c r="B16" i="965" l="1"/>
  <c r="C14" i="965"/>
  <c r="C13" i="965"/>
  <c r="C12" i="965"/>
  <c r="B11" i="965"/>
  <c r="B15" i="965" s="1"/>
  <c r="C10" i="965"/>
  <c r="C9" i="965"/>
  <c r="C8" i="965"/>
  <c r="C7" i="965"/>
  <c r="B6" i="965"/>
  <c r="B5" i="965"/>
  <c r="B16" i="964"/>
  <c r="C14" i="964"/>
  <c r="C13" i="964"/>
  <c r="C12" i="964"/>
  <c r="B11" i="964"/>
  <c r="B15" i="964" s="1"/>
  <c r="C10" i="964"/>
  <c r="C9" i="964"/>
  <c r="C8" i="964"/>
  <c r="C7" i="964"/>
  <c r="B6" i="964"/>
  <c r="B5" i="964"/>
  <c r="B16" i="963"/>
  <c r="C14" i="963"/>
  <c r="C13" i="963"/>
  <c r="C12" i="963"/>
  <c r="B11" i="963"/>
  <c r="B15" i="963" s="1"/>
  <c r="C10" i="963"/>
  <c r="C9" i="963"/>
  <c r="C8" i="963"/>
  <c r="C7" i="963"/>
  <c r="B6" i="963"/>
  <c r="B5" i="963"/>
  <c r="C11" i="965" l="1"/>
  <c r="C11" i="964"/>
  <c r="C11" i="963"/>
  <c r="C10" i="1" l="1"/>
  <c r="C7" i="1"/>
  <c r="C9" i="1" l="1"/>
  <c r="C8" i="1" l="1"/>
  <c r="C11" i="1"/>
  <c r="B16" i="1" l="1"/>
  <c r="B15" i="1"/>
  <c r="B11" i="1" l="1"/>
  <c r="C12" i="1" l="1"/>
  <c r="C14" i="1"/>
  <c r="C13" i="1"/>
  <c r="B5" i="1"/>
  <c r="B6" i="1"/>
</calcChain>
</file>

<file path=xl/sharedStrings.xml><?xml version="1.0" encoding="utf-8"?>
<sst xmlns="http://schemas.openxmlformats.org/spreadsheetml/2006/main" count="285" uniqueCount="40">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</sst>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23</v>
      </c>
      <c r="G1" s="39"/>
      <c r="H1" s="38" t="s">
        <v>22</v>
      </c>
      <c r="I1" s="39"/>
      <c r="J1" s="38" t="s">
        <v>33</v>
      </c>
      <c r="K1" s="39"/>
      <c r="L1" s="38" t="s">
        <v>24</v>
      </c>
      <c r="M1" s="39"/>
      <c r="N1" s="38" t="s">
        <v>25</v>
      </c>
      <c r="O1" s="39"/>
      <c r="P1" s="38" t="s">
        <v>5</v>
      </c>
      <c r="Q1" s="39"/>
      <c r="R1" s="38" t="s">
        <v>32</v>
      </c>
      <c r="S1" s="39"/>
    </row>
    <row r="2" spans="1:19" x14ac:dyDescent="0.4">
      <c r="A2" s="33">
        <v>1</v>
      </c>
      <c r="B2" s="32" t="s">
        <v>28</v>
      </c>
      <c r="C2" s="25">
        <v>229</v>
      </c>
      <c r="D2" s="20" t="s">
        <v>18</v>
      </c>
      <c r="E2" s="24">
        <v>7</v>
      </c>
      <c r="F2" s="20" t="s">
        <v>35</v>
      </c>
      <c r="G2" s="31">
        <v>1.75</v>
      </c>
      <c r="H2" s="20" t="s">
        <v>35</v>
      </c>
      <c r="I2" s="23">
        <v>0.5</v>
      </c>
      <c r="J2" s="20" t="s">
        <v>18</v>
      </c>
      <c r="K2" s="23">
        <v>0</v>
      </c>
      <c r="L2" s="20" t="s">
        <v>18</v>
      </c>
      <c r="M2" s="22">
        <v>0.4</v>
      </c>
      <c r="N2" s="20" t="s">
        <v>35</v>
      </c>
      <c r="O2" s="22">
        <v>0.13414634146341464</v>
      </c>
      <c r="P2" s="20" t="s">
        <v>27</v>
      </c>
      <c r="Q2" s="21">
        <v>11600</v>
      </c>
      <c r="R2" s="20" t="s">
        <v>30</v>
      </c>
      <c r="S2" s="21">
        <v>-8000</v>
      </c>
    </row>
    <row r="3" spans="1:19" x14ac:dyDescent="0.4">
      <c r="A3" s="33">
        <v>2</v>
      </c>
      <c r="B3" s="32" t="s">
        <v>26</v>
      </c>
      <c r="C3" s="25">
        <v>186</v>
      </c>
      <c r="D3" s="20" t="s">
        <v>35</v>
      </c>
      <c r="E3" s="24">
        <v>6.916666666666667</v>
      </c>
      <c r="F3" s="20" t="s">
        <v>28</v>
      </c>
      <c r="G3" s="31">
        <v>1.8421052631578947</v>
      </c>
      <c r="H3" s="20" t="s">
        <v>28</v>
      </c>
      <c r="I3" s="23">
        <v>0.36842105263157893</v>
      </c>
      <c r="J3" s="20" t="s">
        <v>31</v>
      </c>
      <c r="K3" s="23">
        <v>0.12</v>
      </c>
      <c r="L3" s="20" t="s">
        <v>28</v>
      </c>
      <c r="M3" s="22">
        <v>0.35820895522388058</v>
      </c>
      <c r="N3" s="20" t="s">
        <v>28</v>
      </c>
      <c r="O3" s="22">
        <v>0.13432835820895522</v>
      </c>
      <c r="P3" s="20" t="s">
        <v>29</v>
      </c>
      <c r="Q3" s="21">
        <v>11600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31</v>
      </c>
      <c r="C4" s="25">
        <v>117</v>
      </c>
      <c r="D4" s="20" t="s">
        <v>28</v>
      </c>
      <c r="E4" s="24">
        <v>6.0263157894736841</v>
      </c>
      <c r="F4" s="20" t="s">
        <v>26</v>
      </c>
      <c r="G4" s="31">
        <v>1.9189189189189189</v>
      </c>
      <c r="H4" s="20" t="s">
        <v>31</v>
      </c>
      <c r="I4" s="23">
        <v>0.36</v>
      </c>
      <c r="J4" s="20" t="s">
        <v>28</v>
      </c>
      <c r="K4" s="23">
        <v>0.13157894736842105</v>
      </c>
      <c r="L4" s="20" t="s">
        <v>35</v>
      </c>
      <c r="M4" s="22">
        <v>0.34146341463414637</v>
      </c>
      <c r="N4" s="20" t="s">
        <v>31</v>
      </c>
      <c r="O4" s="22">
        <v>0.14754098360655737</v>
      </c>
      <c r="P4" s="20" t="s">
        <v>30</v>
      </c>
      <c r="Q4" s="21">
        <v>11300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35</v>
      </c>
      <c r="C5" s="25">
        <v>83</v>
      </c>
      <c r="D5" s="20" t="s">
        <v>31</v>
      </c>
      <c r="E5" s="24">
        <v>4.68</v>
      </c>
      <c r="F5" s="20" t="s">
        <v>31</v>
      </c>
      <c r="G5" s="31">
        <v>1.92</v>
      </c>
      <c r="H5" s="20" t="s">
        <v>26</v>
      </c>
      <c r="I5" s="23">
        <v>0.35135135135135137</v>
      </c>
      <c r="J5" s="20" t="s">
        <v>26</v>
      </c>
      <c r="K5" s="23">
        <v>0.13513513513513514</v>
      </c>
      <c r="L5" s="20" t="s">
        <v>26</v>
      </c>
      <c r="M5" s="22">
        <v>0.33969465648854963</v>
      </c>
      <c r="N5" s="20" t="s">
        <v>26</v>
      </c>
      <c r="O5" s="22">
        <v>0.15839694656488548</v>
      </c>
      <c r="P5" s="20" t="s">
        <v>31</v>
      </c>
      <c r="Q5" s="21">
        <v>11300</v>
      </c>
      <c r="R5" s="20" t="s">
        <v>31</v>
      </c>
      <c r="S5" s="21">
        <v>-9400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26</v>
      </c>
      <c r="E6" s="24">
        <v>2.5135135135135136</v>
      </c>
      <c r="F6" s="20" t="s">
        <v>18</v>
      </c>
      <c r="G6" s="31">
        <v>2</v>
      </c>
      <c r="H6" s="20" t="s">
        <v>30</v>
      </c>
      <c r="I6" s="23">
        <v>0.32</v>
      </c>
      <c r="J6" s="20" t="s">
        <v>30</v>
      </c>
      <c r="K6" s="23">
        <v>0.16</v>
      </c>
      <c r="L6" s="20" t="s">
        <v>31</v>
      </c>
      <c r="M6" s="22">
        <v>0.30054644808743169</v>
      </c>
      <c r="N6" s="20" t="s">
        <v>18</v>
      </c>
      <c r="O6" s="22">
        <v>0.2</v>
      </c>
      <c r="P6" s="20" t="s">
        <v>35</v>
      </c>
      <c r="Q6" s="21">
        <v>10900</v>
      </c>
      <c r="R6" s="20" t="s">
        <v>28</v>
      </c>
      <c r="S6" s="21">
        <v>-9600</v>
      </c>
    </row>
    <row r="7" spans="1:19" x14ac:dyDescent="0.4">
      <c r="A7" s="33">
        <v>6</v>
      </c>
      <c r="B7" s="32" t="s">
        <v>30</v>
      </c>
      <c r="C7" s="25">
        <v>0</v>
      </c>
      <c r="D7" s="20" t="s">
        <v>30</v>
      </c>
      <c r="E7" s="24">
        <v>0</v>
      </c>
      <c r="F7" s="20" t="s">
        <v>21</v>
      </c>
      <c r="G7" s="31">
        <v>2</v>
      </c>
      <c r="H7" s="20" t="s">
        <v>27</v>
      </c>
      <c r="I7" s="23">
        <v>0.3</v>
      </c>
      <c r="J7" s="20" t="s">
        <v>35</v>
      </c>
      <c r="K7" s="23">
        <v>0.25</v>
      </c>
      <c r="L7" s="20" t="s">
        <v>30</v>
      </c>
      <c r="M7" s="22">
        <v>0.2857142857142857</v>
      </c>
      <c r="N7" s="20" t="s">
        <v>30</v>
      </c>
      <c r="O7" s="22">
        <v>0.20634920634920634</v>
      </c>
      <c r="P7" s="20" t="s">
        <v>26</v>
      </c>
      <c r="Q7" s="21">
        <v>10100</v>
      </c>
      <c r="R7" s="20" t="s">
        <v>35</v>
      </c>
      <c r="S7" s="21">
        <v>-9900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-7.05</v>
      </c>
      <c r="F8" s="20" t="s">
        <v>30</v>
      </c>
      <c r="G8" s="31">
        <v>2.04</v>
      </c>
      <c r="H8" s="20" t="s">
        <v>29</v>
      </c>
      <c r="I8" s="23">
        <v>0.18181818181818182</v>
      </c>
      <c r="J8" s="20" t="s">
        <v>27</v>
      </c>
      <c r="K8" s="23">
        <v>0.3</v>
      </c>
      <c r="L8" s="20" t="s">
        <v>29</v>
      </c>
      <c r="M8" s="22">
        <v>0.24285714285714285</v>
      </c>
      <c r="N8" s="20" t="s">
        <v>29</v>
      </c>
      <c r="O8" s="22">
        <v>0.21428571428571427</v>
      </c>
      <c r="P8" s="20" t="s">
        <v>28</v>
      </c>
      <c r="Q8" s="21">
        <v>9700</v>
      </c>
      <c r="R8" s="20" t="s">
        <v>26</v>
      </c>
      <c r="S8" s="21">
        <v>-10600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-15.545454545454545</v>
      </c>
      <c r="F9" s="20" t="s">
        <v>27</v>
      </c>
      <c r="G9" s="31">
        <v>2.1749999999999998</v>
      </c>
      <c r="H9" s="20" t="s">
        <v>37</v>
      </c>
      <c r="I9" s="23">
        <v>0</v>
      </c>
      <c r="J9" s="20" t="s">
        <v>29</v>
      </c>
      <c r="K9" s="23">
        <v>0.36363636363636365</v>
      </c>
      <c r="L9" s="20" t="s">
        <v>27</v>
      </c>
      <c r="M9" s="22">
        <v>0.22491349480968859</v>
      </c>
      <c r="N9" s="20" t="s">
        <v>27</v>
      </c>
      <c r="O9" s="22">
        <v>0.22145328719723184</v>
      </c>
      <c r="P9" s="20" t="s">
        <v>18</v>
      </c>
      <c r="Q9" s="21">
        <v>8000</v>
      </c>
      <c r="R9" s="20" t="s">
        <v>27</v>
      </c>
      <c r="S9" s="21">
        <v>-10700</v>
      </c>
    </row>
    <row r="10" spans="1:19" x14ac:dyDescent="0.4">
      <c r="A10" s="33">
        <v>9</v>
      </c>
      <c r="B10" s="32" t="s">
        <v>29</v>
      </c>
      <c r="C10" s="25">
        <v>-171</v>
      </c>
      <c r="D10" s="20" t="s">
        <v>37</v>
      </c>
      <c r="E10" s="24">
        <v>-33</v>
      </c>
      <c r="F10" s="20" t="s">
        <v>29</v>
      </c>
      <c r="G10" s="31">
        <v>2.4545454545454546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29</v>
      </c>
      <c r="S10" s="21">
        <v>-10800</v>
      </c>
    </row>
    <row r="11" spans="1:19" x14ac:dyDescent="0.4">
      <c r="A11" s="33">
        <v>10</v>
      </c>
      <c r="B11" s="32" t="s">
        <v>27</v>
      </c>
      <c r="C11" s="25">
        <v>-282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19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65E0B-A502-437D-AA6C-3F96B79B93CF}">
  <sheetPr codeName="Sheet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15</v>
      </c>
      <c r="C1" s="41"/>
    </row>
    <row r="2" spans="1:3" ht="19.5" thickTop="1" x14ac:dyDescent="0.4">
      <c r="A2" s="4" t="s">
        <v>9</v>
      </c>
      <c r="B2" s="9">
        <v>74</v>
      </c>
      <c r="C2" s="11"/>
    </row>
    <row r="3" spans="1:3" x14ac:dyDescent="0.4">
      <c r="A3" s="5" t="s">
        <v>8</v>
      </c>
      <c r="B3" s="1">
        <v>524</v>
      </c>
      <c r="C3" s="12"/>
    </row>
    <row r="4" spans="1:3" x14ac:dyDescent="0.4">
      <c r="A4" s="5" t="s">
        <v>6</v>
      </c>
      <c r="B4" s="2">
        <v>186</v>
      </c>
      <c r="C4" s="13"/>
    </row>
    <row r="5" spans="1:3" x14ac:dyDescent="0.4">
      <c r="A5" s="5" t="s">
        <v>7</v>
      </c>
      <c r="B5" s="10">
        <f>B4/B2</f>
        <v>2.5135135135135136</v>
      </c>
      <c r="C5" s="14"/>
    </row>
    <row r="6" spans="1:3" x14ac:dyDescent="0.4">
      <c r="A6" s="5" t="s">
        <v>1</v>
      </c>
      <c r="B6" s="30">
        <f>(B7*1+B8*2+B9*3)/B2</f>
        <v>1.9189189189189189</v>
      </c>
      <c r="C6" s="15"/>
    </row>
    <row r="7" spans="1:3" x14ac:dyDescent="0.4">
      <c r="A7" s="5" t="s">
        <v>2</v>
      </c>
      <c r="B7" s="1">
        <v>26</v>
      </c>
      <c r="C7" s="6">
        <f>B7/B2</f>
        <v>0.35135135135135137</v>
      </c>
    </row>
    <row r="8" spans="1:3" x14ac:dyDescent="0.4">
      <c r="A8" s="5" t="s">
        <v>3</v>
      </c>
      <c r="B8" s="1">
        <v>28</v>
      </c>
      <c r="C8" s="6">
        <f>B8/B2</f>
        <v>0.3783783783783784</v>
      </c>
    </row>
    <row r="9" spans="1:3" x14ac:dyDescent="0.4">
      <c r="A9" s="27" t="s">
        <v>4</v>
      </c>
      <c r="B9" s="28">
        <v>20</v>
      </c>
      <c r="C9" s="29">
        <f>B9/B2</f>
        <v>0.27027027027027029</v>
      </c>
    </row>
    <row r="10" spans="1:3" ht="19.5" thickBot="1" x14ac:dyDescent="0.45">
      <c r="A10" s="35" t="s">
        <v>34</v>
      </c>
      <c r="B10" s="36">
        <v>10</v>
      </c>
      <c r="C10" s="37">
        <f>B10/B2</f>
        <v>0.13513513513513514</v>
      </c>
    </row>
    <row r="11" spans="1:3" ht="19.5" thickTop="1" x14ac:dyDescent="0.4">
      <c r="A11" s="4" t="s">
        <v>10</v>
      </c>
      <c r="B11" s="9">
        <f>B12+B13</f>
        <v>178</v>
      </c>
      <c r="C11" s="16">
        <f>B11/B3</f>
        <v>0.33969465648854963</v>
      </c>
    </row>
    <row r="12" spans="1:3" x14ac:dyDescent="0.4">
      <c r="A12" s="5" t="s">
        <v>11</v>
      </c>
      <c r="B12" s="1">
        <v>114</v>
      </c>
      <c r="C12" s="6">
        <f>B12/B3</f>
        <v>0.21755725190839695</v>
      </c>
    </row>
    <row r="13" spans="1:3" x14ac:dyDescent="0.4">
      <c r="A13" s="5" t="s">
        <v>12</v>
      </c>
      <c r="B13" s="1">
        <v>64</v>
      </c>
      <c r="C13" s="6">
        <f>B13/B3</f>
        <v>0.12213740458015267</v>
      </c>
    </row>
    <row r="14" spans="1:3" x14ac:dyDescent="0.4">
      <c r="A14" s="5" t="s">
        <v>13</v>
      </c>
      <c r="B14" s="1">
        <v>83</v>
      </c>
      <c r="C14" s="6">
        <f>B14/B3</f>
        <v>0.15839694656488548</v>
      </c>
    </row>
    <row r="15" spans="1:3" x14ac:dyDescent="0.4">
      <c r="A15" s="5" t="s">
        <v>5</v>
      </c>
      <c r="B15" s="8">
        <f>IF(B11=0,0,ROUND(C15/B11,-2))</f>
        <v>10100</v>
      </c>
      <c r="C15" s="17">
        <v>1792700</v>
      </c>
    </row>
    <row r="16" spans="1:3" x14ac:dyDescent="0.4">
      <c r="A16" s="7" t="s">
        <v>14</v>
      </c>
      <c r="B16" s="18">
        <f>IF(B14=0,0,ROUND(C16/B14,-2))</f>
        <v>-10600</v>
      </c>
      <c r="C16" s="19">
        <v>-876500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3D3D5-DD1C-4042-AD31-F96835119AF5}">
  <sheetPr codeName="Sheet3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19</v>
      </c>
      <c r="C1" s="41"/>
    </row>
    <row r="2" spans="1:3" ht="19.5" thickTop="1" x14ac:dyDescent="0.4">
      <c r="A2" s="4" t="s">
        <v>9</v>
      </c>
      <c r="B2" s="9">
        <v>40</v>
      </c>
      <c r="C2" s="11"/>
    </row>
    <row r="3" spans="1:3" x14ac:dyDescent="0.4">
      <c r="A3" s="5" t="s">
        <v>8</v>
      </c>
      <c r="B3" s="1">
        <v>289</v>
      </c>
      <c r="C3" s="12"/>
    </row>
    <row r="4" spans="1:3" x14ac:dyDescent="0.4">
      <c r="A4" s="5" t="s">
        <v>6</v>
      </c>
      <c r="B4" s="2">
        <v>-282</v>
      </c>
      <c r="C4" s="13"/>
    </row>
    <row r="5" spans="1:3" x14ac:dyDescent="0.4">
      <c r="A5" s="5" t="s">
        <v>7</v>
      </c>
      <c r="B5" s="10">
        <f>B4/B2</f>
        <v>-7.05</v>
      </c>
      <c r="C5" s="14"/>
    </row>
    <row r="6" spans="1:3" x14ac:dyDescent="0.4">
      <c r="A6" s="5" t="s">
        <v>1</v>
      </c>
      <c r="B6" s="30">
        <f>(B7*1+B8*2+B9*3)/B2</f>
        <v>2.1749999999999998</v>
      </c>
      <c r="C6" s="15"/>
    </row>
    <row r="7" spans="1:3" x14ac:dyDescent="0.4">
      <c r="A7" s="5" t="s">
        <v>2</v>
      </c>
      <c r="B7" s="1">
        <v>12</v>
      </c>
      <c r="C7" s="6">
        <f>B7/B2</f>
        <v>0.3</v>
      </c>
    </row>
    <row r="8" spans="1:3" x14ac:dyDescent="0.4">
      <c r="A8" s="5" t="s">
        <v>3</v>
      </c>
      <c r="B8" s="1">
        <v>9</v>
      </c>
      <c r="C8" s="6">
        <f>B8/B2</f>
        <v>0.22500000000000001</v>
      </c>
    </row>
    <row r="9" spans="1:3" x14ac:dyDescent="0.4">
      <c r="A9" s="27" t="s">
        <v>4</v>
      </c>
      <c r="B9" s="28">
        <v>19</v>
      </c>
      <c r="C9" s="29">
        <f>B9/B2</f>
        <v>0.47499999999999998</v>
      </c>
    </row>
    <row r="10" spans="1:3" ht="19.5" thickBot="1" x14ac:dyDescent="0.45">
      <c r="A10" s="35" t="s">
        <v>34</v>
      </c>
      <c r="B10" s="36">
        <v>12</v>
      </c>
      <c r="C10" s="37">
        <f>B10/B2</f>
        <v>0.3</v>
      </c>
    </row>
    <row r="11" spans="1:3" ht="19.5" thickTop="1" x14ac:dyDescent="0.4">
      <c r="A11" s="4" t="s">
        <v>10</v>
      </c>
      <c r="B11" s="9">
        <f>B12+B13</f>
        <v>65</v>
      </c>
      <c r="C11" s="16">
        <f>B11/B3</f>
        <v>0.22491349480968859</v>
      </c>
    </row>
    <row r="12" spans="1:3" x14ac:dyDescent="0.4">
      <c r="A12" s="5" t="s">
        <v>11</v>
      </c>
      <c r="B12" s="1">
        <v>39</v>
      </c>
      <c r="C12" s="6">
        <f>B12/B3</f>
        <v>0.13494809688581316</v>
      </c>
    </row>
    <row r="13" spans="1:3" x14ac:dyDescent="0.4">
      <c r="A13" s="5" t="s">
        <v>12</v>
      </c>
      <c r="B13" s="1">
        <v>26</v>
      </c>
      <c r="C13" s="6">
        <f>B13/B3</f>
        <v>8.9965397923875437E-2</v>
      </c>
    </row>
    <row r="14" spans="1:3" x14ac:dyDescent="0.4">
      <c r="A14" s="5" t="s">
        <v>13</v>
      </c>
      <c r="B14" s="1">
        <v>64</v>
      </c>
      <c r="C14" s="6">
        <f>B14/B3</f>
        <v>0.22145328719723184</v>
      </c>
    </row>
    <row r="15" spans="1:3" x14ac:dyDescent="0.4">
      <c r="A15" s="5" t="s">
        <v>5</v>
      </c>
      <c r="B15" s="8">
        <f>IF(B11=0,0,ROUND(C15/B11,-2))</f>
        <v>11600</v>
      </c>
      <c r="C15" s="17">
        <v>756800</v>
      </c>
    </row>
    <row r="16" spans="1:3" x14ac:dyDescent="0.4">
      <c r="A16" s="7" t="s">
        <v>14</v>
      </c>
      <c r="B16" s="18">
        <f>IF(B14=0,0,ROUND(C16/B14,-2))</f>
        <v>-10700</v>
      </c>
      <c r="C16" s="19">
        <v>-684200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A8430-9F23-420C-BC84-680D72B5882A}">
  <sheetPr codeName="Sheet4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20</v>
      </c>
      <c r="C1" s="41"/>
    </row>
    <row r="2" spans="1:3" ht="19.5" thickTop="1" x14ac:dyDescent="0.4">
      <c r="A2" s="4" t="s">
        <v>9</v>
      </c>
      <c r="B2" s="9">
        <v>38</v>
      </c>
      <c r="C2" s="11"/>
    </row>
    <row r="3" spans="1:3" x14ac:dyDescent="0.4">
      <c r="A3" s="5" t="s">
        <v>8</v>
      </c>
      <c r="B3" s="1">
        <v>268</v>
      </c>
      <c r="C3" s="12"/>
    </row>
    <row r="4" spans="1:3" x14ac:dyDescent="0.4">
      <c r="A4" s="5" t="s">
        <v>6</v>
      </c>
      <c r="B4" s="2">
        <v>229</v>
      </c>
      <c r="C4" s="13"/>
    </row>
    <row r="5" spans="1:3" x14ac:dyDescent="0.4">
      <c r="A5" s="5" t="s">
        <v>7</v>
      </c>
      <c r="B5" s="10">
        <f>B4/B2</f>
        <v>6.0263157894736841</v>
      </c>
      <c r="C5" s="14"/>
    </row>
    <row r="6" spans="1:3" x14ac:dyDescent="0.4">
      <c r="A6" s="5" t="s">
        <v>1</v>
      </c>
      <c r="B6" s="30">
        <f>(B7*1+B8*2+B9*3)/B2</f>
        <v>1.8421052631578947</v>
      </c>
      <c r="C6" s="15"/>
    </row>
    <row r="7" spans="1:3" x14ac:dyDescent="0.4">
      <c r="A7" s="5" t="s">
        <v>2</v>
      </c>
      <c r="B7" s="1">
        <v>14</v>
      </c>
      <c r="C7" s="6">
        <f>B7/B2</f>
        <v>0.36842105263157893</v>
      </c>
    </row>
    <row r="8" spans="1:3" x14ac:dyDescent="0.4">
      <c r="A8" s="5" t="s">
        <v>3</v>
      </c>
      <c r="B8" s="1">
        <v>16</v>
      </c>
      <c r="C8" s="6">
        <f>B8/B2</f>
        <v>0.42105263157894735</v>
      </c>
    </row>
    <row r="9" spans="1:3" x14ac:dyDescent="0.4">
      <c r="A9" s="27" t="s">
        <v>4</v>
      </c>
      <c r="B9" s="28">
        <v>8</v>
      </c>
      <c r="C9" s="29">
        <f>B9/B2</f>
        <v>0.21052631578947367</v>
      </c>
    </row>
    <row r="10" spans="1:3" ht="19.5" thickBot="1" x14ac:dyDescent="0.45">
      <c r="A10" s="35" t="s">
        <v>34</v>
      </c>
      <c r="B10" s="36">
        <v>5</v>
      </c>
      <c r="C10" s="37">
        <f>B10/B2</f>
        <v>0.13157894736842105</v>
      </c>
    </row>
    <row r="11" spans="1:3" ht="19.5" thickTop="1" x14ac:dyDescent="0.4">
      <c r="A11" s="4" t="s">
        <v>10</v>
      </c>
      <c r="B11" s="9">
        <f>B12+B13</f>
        <v>96</v>
      </c>
      <c r="C11" s="16">
        <f>B11/B3</f>
        <v>0.35820895522388058</v>
      </c>
    </row>
    <row r="12" spans="1:3" x14ac:dyDescent="0.4">
      <c r="A12" s="5" t="s">
        <v>11</v>
      </c>
      <c r="B12" s="1">
        <v>52</v>
      </c>
      <c r="C12" s="6">
        <f>B12/B3</f>
        <v>0.19402985074626866</v>
      </c>
    </row>
    <row r="13" spans="1:3" x14ac:dyDescent="0.4">
      <c r="A13" s="5" t="s">
        <v>12</v>
      </c>
      <c r="B13" s="1">
        <v>44</v>
      </c>
      <c r="C13" s="6">
        <f>B13/B3</f>
        <v>0.16417910447761194</v>
      </c>
    </row>
    <row r="14" spans="1:3" x14ac:dyDescent="0.4">
      <c r="A14" s="5" t="s">
        <v>13</v>
      </c>
      <c r="B14" s="1">
        <v>36</v>
      </c>
      <c r="C14" s="6">
        <f>B14/B3</f>
        <v>0.13432835820895522</v>
      </c>
    </row>
    <row r="15" spans="1:3" x14ac:dyDescent="0.4">
      <c r="A15" s="5" t="s">
        <v>5</v>
      </c>
      <c r="B15" s="8">
        <f>IF(B11=0,0,ROUND(C15/B11,-2))</f>
        <v>9700</v>
      </c>
      <c r="C15" s="17">
        <v>930400</v>
      </c>
    </row>
    <row r="16" spans="1:3" x14ac:dyDescent="0.4">
      <c r="A16" s="7" t="s">
        <v>14</v>
      </c>
      <c r="B16" s="18">
        <f>IF(B14=0,0,ROUND(C16/B14,-2))</f>
        <v>-9600</v>
      </c>
      <c r="C16" s="19">
        <v>-346100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B0CD-75F9-4AE5-A17E-45A19E3D4ACE}">
  <sheetPr codeName="Sheet5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38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25</v>
      </c>
      <c r="C3" s="12"/>
    </row>
    <row r="4" spans="1:3" x14ac:dyDescent="0.4">
      <c r="A4" s="5" t="s">
        <v>6</v>
      </c>
      <c r="B4" s="2">
        <v>-132</v>
      </c>
      <c r="C4" s="13"/>
    </row>
    <row r="5" spans="1:3" x14ac:dyDescent="0.4">
      <c r="A5" s="5" t="s">
        <v>7</v>
      </c>
      <c r="B5" s="10">
        <f>B4/B2</f>
        <v>-33</v>
      </c>
      <c r="C5" s="14"/>
    </row>
    <row r="6" spans="1:3" x14ac:dyDescent="0.4">
      <c r="A6" s="5" t="s">
        <v>1</v>
      </c>
      <c r="B6" s="30">
        <f>(B7*1+B8*2+B9*3)/B2</f>
        <v>3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0</v>
      </c>
      <c r="C8" s="6">
        <f>B8/B2</f>
        <v>0</v>
      </c>
    </row>
    <row r="9" spans="1:3" x14ac:dyDescent="0.4">
      <c r="A9" s="27" t="s">
        <v>4</v>
      </c>
      <c r="B9" s="28">
        <v>4</v>
      </c>
      <c r="C9" s="29">
        <f>B9/B2</f>
        <v>1</v>
      </c>
    </row>
    <row r="10" spans="1:3" ht="19.5" thickBot="1" x14ac:dyDescent="0.45">
      <c r="A10" s="35" t="s">
        <v>34</v>
      </c>
      <c r="B10" s="36">
        <v>2</v>
      </c>
      <c r="C10" s="37">
        <f>B10/B2</f>
        <v>0.5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3" x14ac:dyDescent="0.4">
      <c r="A12" s="5" t="s">
        <v>11</v>
      </c>
      <c r="B12" s="1">
        <v>0</v>
      </c>
      <c r="C12" s="6">
        <f>B12/B3</f>
        <v>0</v>
      </c>
    </row>
    <row r="13" spans="1:3" x14ac:dyDescent="0.4">
      <c r="A13" s="5" t="s">
        <v>12</v>
      </c>
      <c r="B13" s="1">
        <v>1</v>
      </c>
      <c r="C13" s="6">
        <f>B13/B3</f>
        <v>0.04</v>
      </c>
    </row>
    <row r="14" spans="1:3" x14ac:dyDescent="0.4">
      <c r="A14" s="5" t="s">
        <v>13</v>
      </c>
      <c r="B14" s="1">
        <v>10</v>
      </c>
      <c r="C14" s="6">
        <f>B14/B3</f>
        <v>0.4</v>
      </c>
    </row>
    <row r="15" spans="1:3" x14ac:dyDescent="0.4">
      <c r="A15" s="5" t="s">
        <v>5</v>
      </c>
      <c r="B15" s="8">
        <f>IF(B11=0,0,ROUND(C15/B11,-2))</f>
        <v>7800</v>
      </c>
      <c r="C15" s="17">
        <v>7800</v>
      </c>
    </row>
    <row r="16" spans="1:3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5060A-1B72-4446-8962-FB238239819F}">
  <sheetPr codeName="Sheet6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18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5</v>
      </c>
      <c r="C3" s="12"/>
    </row>
    <row r="4" spans="1:3" x14ac:dyDescent="0.4">
      <c r="A4" s="5" t="s">
        <v>6</v>
      </c>
      <c r="B4" s="2">
        <v>7</v>
      </c>
      <c r="C4" s="13"/>
    </row>
    <row r="5" spans="1:3" x14ac:dyDescent="0.4">
      <c r="A5" s="5" t="s">
        <v>7</v>
      </c>
      <c r="B5" s="10">
        <f>B4/B2</f>
        <v>7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0</v>
      </c>
      <c r="C10" s="37">
        <f>B10/B2</f>
        <v>0</v>
      </c>
    </row>
    <row r="11" spans="1:3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3" x14ac:dyDescent="0.4">
      <c r="A12" s="5" t="s">
        <v>11</v>
      </c>
      <c r="B12" s="1">
        <v>2</v>
      </c>
      <c r="C12" s="6">
        <f>B12/B3</f>
        <v>0.4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1</v>
      </c>
      <c r="C14" s="6">
        <f>B14/B3</f>
        <v>0.2</v>
      </c>
    </row>
    <row r="15" spans="1:3" x14ac:dyDescent="0.4">
      <c r="A15" s="5" t="s">
        <v>5</v>
      </c>
      <c r="B15" s="8">
        <f>IF(B11=0,0,ROUND(C15/B11,-2))</f>
        <v>8000</v>
      </c>
      <c r="C15" s="17">
        <v>16000</v>
      </c>
    </row>
    <row r="16" spans="1:3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84066-21D7-4571-BECF-8DF2DBC4909D}">
  <sheetPr codeName="Sheet7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21</v>
      </c>
      <c r="C1" s="41"/>
    </row>
    <row r="2" spans="1:3" ht="19.5" thickTop="1" x14ac:dyDescent="0.4">
      <c r="A2" s="4" t="s">
        <v>9</v>
      </c>
      <c r="B2" s="9">
        <v>1</v>
      </c>
      <c r="C2" s="11"/>
    </row>
    <row r="3" spans="1:3" x14ac:dyDescent="0.4">
      <c r="A3" s="5" t="s">
        <v>8</v>
      </c>
      <c r="B3" s="1">
        <v>6</v>
      </c>
      <c r="C3" s="12"/>
    </row>
    <row r="4" spans="1:3" x14ac:dyDescent="0.4">
      <c r="A4" s="5" t="s">
        <v>6</v>
      </c>
      <c r="B4" s="2">
        <v>-41</v>
      </c>
      <c r="C4" s="13"/>
    </row>
    <row r="5" spans="1:3" x14ac:dyDescent="0.4">
      <c r="A5" s="5" t="s">
        <v>7</v>
      </c>
      <c r="B5" s="10">
        <f>B4/B2</f>
        <v>-41</v>
      </c>
      <c r="C5" s="14"/>
    </row>
    <row r="6" spans="1:3" x14ac:dyDescent="0.4">
      <c r="A6" s="5" t="s">
        <v>1</v>
      </c>
      <c r="B6" s="30">
        <f>(B7*1+B8*2+B9*3)/B2</f>
        <v>2</v>
      </c>
      <c r="C6" s="15"/>
    </row>
    <row r="7" spans="1:3" x14ac:dyDescent="0.4">
      <c r="A7" s="5" t="s">
        <v>2</v>
      </c>
      <c r="B7" s="1">
        <v>0</v>
      </c>
      <c r="C7" s="6">
        <f>B7/B2</f>
        <v>0</v>
      </c>
    </row>
    <row r="8" spans="1:3" x14ac:dyDescent="0.4">
      <c r="A8" s="5" t="s">
        <v>3</v>
      </c>
      <c r="B8" s="1">
        <v>1</v>
      </c>
      <c r="C8" s="6">
        <f>B8/B2</f>
        <v>1</v>
      </c>
    </row>
    <row r="9" spans="1:3" x14ac:dyDescent="0.4">
      <c r="A9" s="27" t="s">
        <v>4</v>
      </c>
      <c r="B9" s="28">
        <v>0</v>
      </c>
      <c r="C9" s="29">
        <f>B9/B2</f>
        <v>0</v>
      </c>
    </row>
    <row r="10" spans="1:3" ht="19.5" thickBot="1" x14ac:dyDescent="0.45">
      <c r="A10" s="35" t="s">
        <v>34</v>
      </c>
      <c r="B10" s="36">
        <v>1</v>
      </c>
      <c r="C10" s="37">
        <f>B10/B2</f>
        <v>1</v>
      </c>
    </row>
    <row r="11" spans="1:3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3" x14ac:dyDescent="0.4">
      <c r="A12" s="5" t="s">
        <v>11</v>
      </c>
      <c r="B12" s="1">
        <v>1</v>
      </c>
      <c r="C12" s="6">
        <f>B12/B3</f>
        <v>0.16666666666666666</v>
      </c>
    </row>
    <row r="13" spans="1:3" x14ac:dyDescent="0.4">
      <c r="A13" s="5" t="s">
        <v>12</v>
      </c>
      <c r="B13" s="1">
        <v>0</v>
      </c>
      <c r="C13" s="6">
        <f>B13/B3</f>
        <v>0</v>
      </c>
    </row>
    <row r="14" spans="1:3" x14ac:dyDescent="0.4">
      <c r="A14" s="5" t="s">
        <v>13</v>
      </c>
      <c r="B14" s="1">
        <v>2</v>
      </c>
      <c r="C14" s="6">
        <f>B14/B3</f>
        <v>0.33333333333333331</v>
      </c>
    </row>
    <row r="15" spans="1:3" x14ac:dyDescent="0.4">
      <c r="A15" s="5" t="s">
        <v>5</v>
      </c>
      <c r="B15" s="8">
        <f>IF(B11=0,0,ROUND(C15/B11,-2))</f>
        <v>1300</v>
      </c>
      <c r="C15" s="17">
        <v>1300</v>
      </c>
    </row>
    <row r="16" spans="1:3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5D726-D072-4A4F-B9B2-0B2BCC2A4F8E}">
  <sheetPr codeName="Sheet8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16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189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>
        <f>B4/B2</f>
        <v>0</v>
      </c>
      <c r="C5" s="14"/>
    </row>
    <row r="6" spans="1:3" x14ac:dyDescent="0.4">
      <c r="A6" s="5" t="s">
        <v>1</v>
      </c>
      <c r="B6" s="30">
        <f>(B7*1+B8*2+B9*3)/B2</f>
        <v>2.04</v>
      </c>
      <c r="C6" s="15"/>
    </row>
    <row r="7" spans="1:3" x14ac:dyDescent="0.4">
      <c r="A7" s="5" t="s">
        <v>2</v>
      </c>
      <c r="B7" s="1">
        <v>8</v>
      </c>
      <c r="C7" s="6">
        <f>B7/B2</f>
        <v>0.32</v>
      </c>
    </row>
    <row r="8" spans="1:3" x14ac:dyDescent="0.4">
      <c r="A8" s="5" t="s">
        <v>3</v>
      </c>
      <c r="B8" s="1">
        <v>8</v>
      </c>
      <c r="C8" s="6">
        <f>B8/B2</f>
        <v>0.32</v>
      </c>
    </row>
    <row r="9" spans="1:3" x14ac:dyDescent="0.4">
      <c r="A9" s="27" t="s">
        <v>4</v>
      </c>
      <c r="B9" s="28">
        <v>9</v>
      </c>
      <c r="C9" s="29">
        <f>B9/B2</f>
        <v>0.36</v>
      </c>
    </row>
    <row r="10" spans="1:3" ht="19.5" thickBot="1" x14ac:dyDescent="0.45">
      <c r="A10" s="35" t="s">
        <v>34</v>
      </c>
      <c r="B10" s="36">
        <v>4</v>
      </c>
      <c r="C10" s="37">
        <f>B10/B2</f>
        <v>0.16</v>
      </c>
    </row>
    <row r="11" spans="1:3" ht="19.5" thickTop="1" x14ac:dyDescent="0.4">
      <c r="A11" s="4" t="s">
        <v>10</v>
      </c>
      <c r="B11" s="9">
        <f>B12+B13</f>
        <v>54</v>
      </c>
      <c r="C11" s="16">
        <f>B11/B3</f>
        <v>0.2857142857142857</v>
      </c>
    </row>
    <row r="12" spans="1:3" x14ac:dyDescent="0.4">
      <c r="A12" s="5" t="s">
        <v>11</v>
      </c>
      <c r="B12" s="1">
        <v>30</v>
      </c>
      <c r="C12" s="6">
        <f>B12/B3</f>
        <v>0.15873015873015872</v>
      </c>
    </row>
    <row r="13" spans="1:3" x14ac:dyDescent="0.4">
      <c r="A13" s="5" t="s">
        <v>12</v>
      </c>
      <c r="B13" s="1">
        <v>24</v>
      </c>
      <c r="C13" s="6">
        <f>B13/B3</f>
        <v>0.12698412698412698</v>
      </c>
    </row>
    <row r="14" spans="1:3" x14ac:dyDescent="0.4">
      <c r="A14" s="5" t="s">
        <v>13</v>
      </c>
      <c r="B14" s="1">
        <v>39</v>
      </c>
      <c r="C14" s="6">
        <f>B14/B3</f>
        <v>0.20634920634920634</v>
      </c>
    </row>
    <row r="15" spans="1:3" x14ac:dyDescent="0.4">
      <c r="A15" s="5" t="s">
        <v>5</v>
      </c>
      <c r="B15" s="8">
        <f>IF(B11=0,0,ROUND(C15/B11,-2))</f>
        <v>11300</v>
      </c>
      <c r="C15" s="17">
        <v>610200</v>
      </c>
    </row>
    <row r="16" spans="1:3" x14ac:dyDescent="0.4">
      <c r="A16" s="7" t="s">
        <v>14</v>
      </c>
      <c r="B16" s="18">
        <f>IF(B14=0,0,ROUND(C16/B14,-2))</f>
        <v>-8000</v>
      </c>
      <c r="C16" s="19">
        <v>-310600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ED3D-501F-4D5D-8744-8AAADF2DFCEE}">
  <sheetPr codeName="Sheet9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17</v>
      </c>
      <c r="C1" s="41"/>
    </row>
    <row r="2" spans="1:3" ht="19.5" thickTop="1" x14ac:dyDescent="0.4">
      <c r="A2" s="4" t="s">
        <v>9</v>
      </c>
      <c r="B2" s="9">
        <v>25</v>
      </c>
      <c r="C2" s="11"/>
    </row>
    <row r="3" spans="1:3" x14ac:dyDescent="0.4">
      <c r="A3" s="5" t="s">
        <v>8</v>
      </c>
      <c r="B3" s="1">
        <v>183</v>
      </c>
      <c r="C3" s="12"/>
    </row>
    <row r="4" spans="1:3" x14ac:dyDescent="0.4">
      <c r="A4" s="5" t="s">
        <v>6</v>
      </c>
      <c r="B4" s="2">
        <v>117</v>
      </c>
      <c r="C4" s="13"/>
    </row>
    <row r="5" spans="1:3" x14ac:dyDescent="0.4">
      <c r="A5" s="5" t="s">
        <v>7</v>
      </c>
      <c r="B5" s="10">
        <f>B4/B2</f>
        <v>4.68</v>
      </c>
      <c r="C5" s="14"/>
    </row>
    <row r="6" spans="1:3" x14ac:dyDescent="0.4">
      <c r="A6" s="5" t="s">
        <v>1</v>
      </c>
      <c r="B6" s="30">
        <f>(B7*1+B8*2+B9*3)/B2</f>
        <v>1.92</v>
      </c>
      <c r="C6" s="15"/>
    </row>
    <row r="7" spans="1:3" x14ac:dyDescent="0.4">
      <c r="A7" s="5" t="s">
        <v>2</v>
      </c>
      <c r="B7" s="1">
        <v>9</v>
      </c>
      <c r="C7" s="6">
        <f>B7/B2</f>
        <v>0.36</v>
      </c>
    </row>
    <row r="8" spans="1:3" x14ac:dyDescent="0.4">
      <c r="A8" s="5" t="s">
        <v>3</v>
      </c>
      <c r="B8" s="1">
        <v>9</v>
      </c>
      <c r="C8" s="6">
        <f>B8/B2</f>
        <v>0.36</v>
      </c>
    </row>
    <row r="9" spans="1:3" x14ac:dyDescent="0.4">
      <c r="A9" s="27" t="s">
        <v>4</v>
      </c>
      <c r="B9" s="28">
        <v>7</v>
      </c>
      <c r="C9" s="29">
        <f>B9/B2</f>
        <v>0.28000000000000003</v>
      </c>
    </row>
    <row r="10" spans="1:3" ht="19.5" thickBot="1" x14ac:dyDescent="0.45">
      <c r="A10" s="35" t="s">
        <v>34</v>
      </c>
      <c r="B10" s="36">
        <v>3</v>
      </c>
      <c r="C10" s="37">
        <f>B10/B2</f>
        <v>0.12</v>
      </c>
    </row>
    <row r="11" spans="1:3" ht="19.5" thickTop="1" x14ac:dyDescent="0.4">
      <c r="A11" s="4" t="s">
        <v>10</v>
      </c>
      <c r="B11" s="9">
        <f>B12+B13</f>
        <v>55</v>
      </c>
      <c r="C11" s="16">
        <f>B11/B3</f>
        <v>0.30054644808743169</v>
      </c>
    </row>
    <row r="12" spans="1:3" x14ac:dyDescent="0.4">
      <c r="A12" s="5" t="s">
        <v>11</v>
      </c>
      <c r="B12" s="1">
        <v>35</v>
      </c>
      <c r="C12" s="6">
        <f>B12/B3</f>
        <v>0.19125683060109289</v>
      </c>
    </row>
    <row r="13" spans="1:3" x14ac:dyDescent="0.4">
      <c r="A13" s="5" t="s">
        <v>12</v>
      </c>
      <c r="B13" s="1">
        <v>20</v>
      </c>
      <c r="C13" s="6">
        <f>B13/B3</f>
        <v>0.10928961748633879</v>
      </c>
    </row>
    <row r="14" spans="1:3" x14ac:dyDescent="0.4">
      <c r="A14" s="5" t="s">
        <v>13</v>
      </c>
      <c r="B14" s="1">
        <v>27</v>
      </c>
      <c r="C14" s="6">
        <f>B14/B3</f>
        <v>0.14754098360655737</v>
      </c>
    </row>
    <row r="15" spans="1:3" x14ac:dyDescent="0.4">
      <c r="A15" s="5" t="s">
        <v>5</v>
      </c>
      <c r="B15" s="8">
        <f>IF(B11=0,0,ROUND(C15/B11,-2))</f>
        <v>11300</v>
      </c>
      <c r="C15" s="17">
        <v>621500</v>
      </c>
    </row>
    <row r="16" spans="1:3" x14ac:dyDescent="0.4">
      <c r="A16" s="7" t="s">
        <v>14</v>
      </c>
      <c r="B16" s="18">
        <f>IF(B14=0,0,ROUND(C16/B14,-2))</f>
        <v>-9400</v>
      </c>
      <c r="C16" s="19">
        <v>-253600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26EE7-B7F1-4E2C-A0D2-0DCE6B77D174}">
  <sheetPr codeName="Sheet1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12</v>
      </c>
      <c r="C2" s="11"/>
    </row>
    <row r="3" spans="1:3" x14ac:dyDescent="0.4">
      <c r="A3" s="5" t="s">
        <v>8</v>
      </c>
      <c r="B3" s="1">
        <v>82</v>
      </c>
      <c r="C3" s="12"/>
    </row>
    <row r="4" spans="1:3" x14ac:dyDescent="0.4">
      <c r="A4" s="5" t="s">
        <v>6</v>
      </c>
      <c r="B4" s="2">
        <v>83</v>
      </c>
      <c r="C4" s="13"/>
    </row>
    <row r="5" spans="1:3" x14ac:dyDescent="0.4">
      <c r="A5" s="5" t="s">
        <v>7</v>
      </c>
      <c r="B5" s="10">
        <f>B4/B2</f>
        <v>6.916666666666667</v>
      </c>
      <c r="C5" s="14"/>
    </row>
    <row r="6" spans="1:3" x14ac:dyDescent="0.4">
      <c r="A6" s="5" t="s">
        <v>1</v>
      </c>
      <c r="B6" s="30">
        <f>(B7*1+B8*2+B9*3)/B2</f>
        <v>1.75</v>
      </c>
      <c r="C6" s="15"/>
    </row>
    <row r="7" spans="1:3" x14ac:dyDescent="0.4">
      <c r="A7" s="5" t="s">
        <v>2</v>
      </c>
      <c r="B7" s="1">
        <v>6</v>
      </c>
      <c r="C7" s="6">
        <f>B7/B2</f>
        <v>0.5</v>
      </c>
    </row>
    <row r="8" spans="1:3" x14ac:dyDescent="0.4">
      <c r="A8" s="5" t="s">
        <v>3</v>
      </c>
      <c r="B8" s="1">
        <v>3</v>
      </c>
      <c r="C8" s="6">
        <f>B8/B2</f>
        <v>0.25</v>
      </c>
    </row>
    <row r="9" spans="1:3" x14ac:dyDescent="0.4">
      <c r="A9" s="27" t="s">
        <v>4</v>
      </c>
      <c r="B9" s="28">
        <v>3</v>
      </c>
      <c r="C9" s="29">
        <f>B9/B2</f>
        <v>0.25</v>
      </c>
    </row>
    <row r="10" spans="1:3" ht="19.5" thickBot="1" x14ac:dyDescent="0.45">
      <c r="A10" s="35" t="s">
        <v>34</v>
      </c>
      <c r="B10" s="36">
        <v>3</v>
      </c>
      <c r="C10" s="37">
        <f>B10/B2</f>
        <v>0.25</v>
      </c>
    </row>
    <row r="11" spans="1:3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</row>
    <row r="12" spans="1:3" x14ac:dyDescent="0.4">
      <c r="A12" s="5" t="s">
        <v>11</v>
      </c>
      <c r="B12" s="1">
        <v>15</v>
      </c>
      <c r="C12" s="6">
        <f>B12/B3</f>
        <v>0.18292682926829268</v>
      </c>
    </row>
    <row r="13" spans="1:3" x14ac:dyDescent="0.4">
      <c r="A13" s="5" t="s">
        <v>12</v>
      </c>
      <c r="B13" s="1">
        <v>13</v>
      </c>
      <c r="C13" s="6">
        <f>B13/B3</f>
        <v>0.15853658536585366</v>
      </c>
    </row>
    <row r="14" spans="1:3" x14ac:dyDescent="0.4">
      <c r="A14" s="5" t="s">
        <v>13</v>
      </c>
      <c r="B14" s="1">
        <v>11</v>
      </c>
      <c r="C14" s="6">
        <f>B14/B3</f>
        <v>0.13414634146341464</v>
      </c>
    </row>
    <row r="15" spans="1:3" x14ac:dyDescent="0.4">
      <c r="A15" s="5" t="s">
        <v>5</v>
      </c>
      <c r="B15" s="8">
        <f>IF(B11=0,0,ROUND(C15/B11,-2))</f>
        <v>10900</v>
      </c>
      <c r="C15" s="17">
        <v>304000</v>
      </c>
    </row>
    <row r="16" spans="1:3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3EC2-A2AA-4113-917E-8E836FC8A8C2}">
  <sheetPr codeName="Sheet12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39</v>
      </c>
      <c r="C1" s="41"/>
    </row>
    <row r="2" spans="1:3" ht="19.5" thickTop="1" x14ac:dyDescent="0.4">
      <c r="A2" s="4" t="s">
        <v>9</v>
      </c>
      <c r="B2" s="9">
        <v>11</v>
      </c>
      <c r="C2" s="11"/>
    </row>
    <row r="3" spans="1:3" x14ac:dyDescent="0.4">
      <c r="A3" s="5" t="s">
        <v>8</v>
      </c>
      <c r="B3" s="1">
        <v>70</v>
      </c>
      <c r="C3" s="12"/>
    </row>
    <row r="4" spans="1:3" x14ac:dyDescent="0.4">
      <c r="A4" s="5" t="s">
        <v>6</v>
      </c>
      <c r="B4" s="2">
        <v>-171</v>
      </c>
      <c r="C4" s="13"/>
    </row>
    <row r="5" spans="1:3" x14ac:dyDescent="0.4">
      <c r="A5" s="5" t="s">
        <v>7</v>
      </c>
      <c r="B5" s="10">
        <f>B4/B2</f>
        <v>-15.545454545454545</v>
      </c>
      <c r="C5" s="14"/>
    </row>
    <row r="6" spans="1:3" x14ac:dyDescent="0.4">
      <c r="A6" s="5" t="s">
        <v>1</v>
      </c>
      <c r="B6" s="30">
        <f>(B7*1+B8*2+B9*3)/B2</f>
        <v>2.4545454545454546</v>
      </c>
      <c r="C6" s="15"/>
    </row>
    <row r="7" spans="1:3" x14ac:dyDescent="0.4">
      <c r="A7" s="5" t="s">
        <v>2</v>
      </c>
      <c r="B7" s="1">
        <v>2</v>
      </c>
      <c r="C7" s="6">
        <f>B7/B2</f>
        <v>0.18181818181818182</v>
      </c>
    </row>
    <row r="8" spans="1:3" x14ac:dyDescent="0.4">
      <c r="A8" s="5" t="s">
        <v>3</v>
      </c>
      <c r="B8" s="1">
        <v>2</v>
      </c>
      <c r="C8" s="6">
        <f>B8/B2</f>
        <v>0.18181818181818182</v>
      </c>
    </row>
    <row r="9" spans="1:3" x14ac:dyDescent="0.4">
      <c r="A9" s="27" t="s">
        <v>4</v>
      </c>
      <c r="B9" s="28">
        <v>7</v>
      </c>
      <c r="C9" s="29">
        <f>B9/B2</f>
        <v>0.63636363636363635</v>
      </c>
    </row>
    <row r="10" spans="1:3" ht="19.5" thickBot="1" x14ac:dyDescent="0.45">
      <c r="A10" s="35" t="s">
        <v>34</v>
      </c>
      <c r="B10" s="36">
        <v>4</v>
      </c>
      <c r="C10" s="37">
        <f>B10/B2</f>
        <v>0.36363636363636365</v>
      </c>
    </row>
    <row r="11" spans="1:3" ht="19.5" thickTop="1" x14ac:dyDescent="0.4">
      <c r="A11" s="4" t="s">
        <v>10</v>
      </c>
      <c r="B11" s="9">
        <f>B12+B13</f>
        <v>17</v>
      </c>
      <c r="C11" s="16">
        <f>B11/B3</f>
        <v>0.24285714285714285</v>
      </c>
    </row>
    <row r="12" spans="1:3" x14ac:dyDescent="0.4">
      <c r="A12" s="5" t="s">
        <v>11</v>
      </c>
      <c r="B12" s="1">
        <v>7</v>
      </c>
      <c r="C12" s="6">
        <f>B12/B3</f>
        <v>0.1</v>
      </c>
    </row>
    <row r="13" spans="1:3" x14ac:dyDescent="0.4">
      <c r="A13" s="5" t="s">
        <v>12</v>
      </c>
      <c r="B13" s="1">
        <v>10</v>
      </c>
      <c r="C13" s="6">
        <f>B13/B3</f>
        <v>0.14285714285714285</v>
      </c>
    </row>
    <row r="14" spans="1:3" x14ac:dyDescent="0.4">
      <c r="A14" s="5" t="s">
        <v>13</v>
      </c>
      <c r="B14" s="1">
        <v>15</v>
      </c>
      <c r="C14" s="6">
        <f>B14/B3</f>
        <v>0.21428571428571427</v>
      </c>
    </row>
    <row r="15" spans="1:3" x14ac:dyDescent="0.4">
      <c r="A15" s="5" t="s">
        <v>5</v>
      </c>
      <c r="B15" s="8">
        <f>IF(B11=0,0,ROUND(C15/B11,-2))</f>
        <v>11600</v>
      </c>
      <c r="C15" s="17">
        <v>197200</v>
      </c>
    </row>
    <row r="16" spans="1:3" x14ac:dyDescent="0.4">
      <c r="A16" s="7" t="s">
        <v>14</v>
      </c>
      <c r="B16" s="18">
        <f>IF(B14=0,0,ROUND(C16/B14,-2))</f>
        <v>-10800</v>
      </c>
      <c r="C16" s="19">
        <v>-162500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6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B4/B2</f>
        <v>#DIV/0!</v>
      </c>
      <c r="C5" s="14"/>
    </row>
    <row r="6" spans="1:3" x14ac:dyDescent="0.4">
      <c r="A6" s="5" t="s">
        <v>1</v>
      </c>
      <c r="B6" s="30" t="e">
        <f>(B7*1+B8*2+B9*3)/B2</f>
        <v>#DIV/0!</v>
      </c>
      <c r="C6" s="15"/>
    </row>
    <row r="7" spans="1:3" x14ac:dyDescent="0.4">
      <c r="A7" s="5" t="s">
        <v>2</v>
      </c>
      <c r="B7" s="1">
        <v>0</v>
      </c>
      <c r="C7" s="6" t="e">
        <f>B7/B2</f>
        <v>#DIV/0!</v>
      </c>
    </row>
    <row r="8" spans="1:3" x14ac:dyDescent="0.4">
      <c r="A8" s="5" t="s">
        <v>3</v>
      </c>
      <c r="B8" s="1">
        <v>0</v>
      </c>
      <c r="C8" s="6" t="e">
        <f>B8/B2</f>
        <v>#DIV/0!</v>
      </c>
    </row>
    <row r="9" spans="1:3" x14ac:dyDescent="0.4">
      <c r="A9" s="27" t="s">
        <v>4</v>
      </c>
      <c r="B9" s="28">
        <v>0</v>
      </c>
      <c r="C9" s="29" t="e">
        <f>B9/B2</f>
        <v>#DIV/0!</v>
      </c>
    </row>
    <row r="10" spans="1:3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3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3" x14ac:dyDescent="0.4">
      <c r="A12" s="5" t="s">
        <v>11</v>
      </c>
      <c r="B12" s="1">
        <v>0</v>
      </c>
      <c r="C12" s="6" t="e">
        <f>B12/B3</f>
        <v>#DIV/0!</v>
      </c>
    </row>
    <row r="13" spans="1:3" x14ac:dyDescent="0.4">
      <c r="A13" s="5" t="s">
        <v>12</v>
      </c>
      <c r="B13" s="1">
        <v>0</v>
      </c>
      <c r="C13" s="6" t="e">
        <f>B13/B3</f>
        <v>#DIV/0!</v>
      </c>
    </row>
    <row r="14" spans="1:3" x14ac:dyDescent="0.4">
      <c r="A14" s="5" t="s">
        <v>13</v>
      </c>
      <c r="B14" s="1">
        <v>0</v>
      </c>
      <c r="C14" s="6" t="e">
        <f>B14/B3</f>
        <v>#DIV/0!</v>
      </c>
    </row>
    <row r="15" spans="1:3" x14ac:dyDescent="0.4">
      <c r="A15" s="5" t="s">
        <v>5</v>
      </c>
      <c r="B15" s="8">
        <f>IF(B11=0,0,ROUND(C15/B11,-2))</f>
        <v>0</v>
      </c>
      <c r="C15" s="17">
        <v>0</v>
      </c>
    </row>
    <row r="16" spans="1:3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りくと</vt:lpstr>
      <vt:lpstr>いっしー</vt:lpstr>
      <vt:lpstr>かこたろう</vt:lpstr>
      <vt:lpstr>ともき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2018-12-14T07:46:11Z</dcterms:modified>
</cp:coreProperties>
</file>