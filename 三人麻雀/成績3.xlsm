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CB78A79F-1A58-41E8-9BE0-0F80B41A9269}" xr6:coauthVersionLast="40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70" r:id="rId2"/>
    <sheet name="かこたろう" sheetId="2371" r:id="rId3"/>
    <sheet name="ともき" sheetId="2372" r:id="rId4"/>
    <sheet name="りくと" sheetId="2373" r:id="rId5"/>
    <sheet name="いっしー" sheetId="2374" r:id="rId6"/>
    <sheet name="がくと" sheetId="2375" r:id="rId7"/>
    <sheet name="たかの" sheetId="2376" r:id="rId8"/>
    <sheet name="ただ" sheetId="2377" r:id="rId9"/>
    <sheet name="やがさき" sheetId="2378" r:id="rId10"/>
    <sheet name="れんたろう" sheetId="2379" r:id="rId11"/>
    <sheet name="Template" sheetId="2228" state="hidden" r:id="rId12"/>
    <sheet name="Cache" sheetId="2227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1" i="2379" l="1"/>
  <c r="H50" i="2379"/>
  <c r="H49" i="2379"/>
  <c r="H48" i="2379"/>
  <c r="H47" i="2379"/>
  <c r="H46" i="2379"/>
  <c r="H45" i="2379"/>
  <c r="H44" i="2379"/>
  <c r="H43" i="2379"/>
  <c r="H42" i="2379"/>
  <c r="H41" i="2379"/>
  <c r="H40" i="2379"/>
  <c r="H39" i="2379"/>
  <c r="H38" i="2379"/>
  <c r="H37" i="2379"/>
  <c r="H36" i="2379"/>
  <c r="H35" i="2379"/>
  <c r="H34" i="2379"/>
  <c r="H18" i="2379"/>
  <c r="H33" i="2379"/>
  <c r="H32" i="2379"/>
  <c r="H31" i="2379"/>
  <c r="H8" i="2379"/>
  <c r="H30" i="2379"/>
  <c r="H29" i="2379"/>
  <c r="H17" i="2379"/>
  <c r="H28" i="2379"/>
  <c r="H27" i="2379"/>
  <c r="H14" i="2379"/>
  <c r="C23" i="2379"/>
  <c r="H26" i="2379"/>
  <c r="C22" i="2379"/>
  <c r="H16" i="2379"/>
  <c r="B21" i="2379"/>
  <c r="H25" i="2379"/>
  <c r="H24" i="2379"/>
  <c r="C19" i="2379"/>
  <c r="H23" i="2379"/>
  <c r="C18" i="2379"/>
  <c r="H11" i="2379"/>
  <c r="C17" i="2379"/>
  <c r="H22" i="2379"/>
  <c r="B16" i="2379"/>
  <c r="B20" i="2379" s="1"/>
  <c r="H21" i="2379"/>
  <c r="C15" i="2379"/>
  <c r="H15" i="2379"/>
  <c r="C14" i="2379"/>
  <c r="H20" i="2379"/>
  <c r="C13" i="2379"/>
  <c r="H13" i="2379"/>
  <c r="C12" i="2379"/>
  <c r="H3" i="2379"/>
  <c r="C11" i="2379"/>
  <c r="H19" i="2379"/>
  <c r="C10" i="2379"/>
  <c r="H10" i="2379"/>
  <c r="C9" i="2379"/>
  <c r="H9" i="2379"/>
  <c r="C8" i="2379"/>
  <c r="N7" i="2379"/>
  <c r="H6" i="2379"/>
  <c r="C7" i="2379"/>
  <c r="N6" i="2379"/>
  <c r="H2" i="2379"/>
  <c r="B6" i="2379"/>
  <c r="N5" i="2379"/>
  <c r="H7" i="2379"/>
  <c r="B5" i="2379"/>
  <c r="N4" i="2379"/>
  <c r="H4" i="2379"/>
  <c r="N3" i="2379"/>
  <c r="H12" i="2379"/>
  <c r="N2" i="2379"/>
  <c r="H5" i="2379"/>
  <c r="C16" i="2379" l="1"/>
  <c r="H51" i="2378"/>
  <c r="H50" i="2378"/>
  <c r="H49" i="2378"/>
  <c r="H48" i="2378"/>
  <c r="H47" i="2378"/>
  <c r="H46" i="2378"/>
  <c r="H45" i="2378"/>
  <c r="H44" i="2378"/>
  <c r="H43" i="2378"/>
  <c r="H42" i="2378"/>
  <c r="H41" i="2378"/>
  <c r="H40" i="2378"/>
  <c r="H39" i="2378"/>
  <c r="H38" i="2378"/>
  <c r="H37" i="2378"/>
  <c r="H36" i="2378"/>
  <c r="H35" i="2378"/>
  <c r="H34" i="2378"/>
  <c r="H33" i="2378"/>
  <c r="H32" i="2378"/>
  <c r="H31" i="2378"/>
  <c r="H30" i="2378"/>
  <c r="H29" i="2378"/>
  <c r="H28" i="2378"/>
  <c r="H27" i="2378"/>
  <c r="H26" i="2378"/>
  <c r="H25" i="2378"/>
  <c r="H24" i="2378"/>
  <c r="H23" i="2378"/>
  <c r="C23" i="2378"/>
  <c r="H22" i="2378"/>
  <c r="C22" i="2378"/>
  <c r="H21" i="2378"/>
  <c r="B21" i="2378"/>
  <c r="H20" i="2378"/>
  <c r="H19" i="2378"/>
  <c r="C19" i="2378"/>
  <c r="H18" i="2378"/>
  <c r="C18" i="2378"/>
  <c r="H17" i="2378"/>
  <c r="C17" i="2378"/>
  <c r="H16" i="2378"/>
  <c r="B16" i="2378"/>
  <c r="B20" i="2378" s="1"/>
  <c r="H15" i="2378"/>
  <c r="C15" i="2378"/>
  <c r="H14" i="2378"/>
  <c r="C14" i="2378"/>
  <c r="H13" i="2378"/>
  <c r="C13" i="2378"/>
  <c r="H12" i="2378"/>
  <c r="C12" i="2378"/>
  <c r="H11" i="2378"/>
  <c r="C11" i="2378"/>
  <c r="H10" i="2378"/>
  <c r="C10" i="2378"/>
  <c r="H9" i="2378"/>
  <c r="C9" i="2378"/>
  <c r="H8" i="2378"/>
  <c r="C8" i="2378"/>
  <c r="N7" i="2378"/>
  <c r="H7" i="2378"/>
  <c r="C7" i="2378"/>
  <c r="N6" i="2378"/>
  <c r="H6" i="2378"/>
  <c r="B6" i="2378"/>
  <c r="N5" i="2378"/>
  <c r="H5" i="2378"/>
  <c r="B5" i="2378"/>
  <c r="N4" i="2378"/>
  <c r="H4" i="2378"/>
  <c r="N3" i="2378"/>
  <c r="H3" i="2378"/>
  <c r="N2" i="2378"/>
  <c r="H2" i="2378"/>
  <c r="C16" i="2378" l="1"/>
  <c r="H51" i="2377" l="1"/>
  <c r="H50" i="2377"/>
  <c r="H49" i="2377"/>
  <c r="H48" i="2377"/>
  <c r="H47" i="2377"/>
  <c r="H46" i="2377"/>
  <c r="H45" i="2377"/>
  <c r="H44" i="2377"/>
  <c r="H43" i="2377"/>
  <c r="H42" i="2377"/>
  <c r="H41" i="2377"/>
  <c r="H40" i="2377"/>
  <c r="H39" i="2377"/>
  <c r="H38" i="2377"/>
  <c r="H37" i="2377"/>
  <c r="H36" i="2377"/>
  <c r="H35" i="2377"/>
  <c r="H34" i="2377"/>
  <c r="H33" i="2377"/>
  <c r="H32" i="2377"/>
  <c r="H18" i="2377"/>
  <c r="H31" i="2377"/>
  <c r="H9" i="2377"/>
  <c r="H30" i="2377"/>
  <c r="H29" i="2377"/>
  <c r="H13" i="2377"/>
  <c r="H28" i="2377"/>
  <c r="H27" i="2377"/>
  <c r="H17" i="2377"/>
  <c r="C23" i="2377"/>
  <c r="H26" i="2377"/>
  <c r="C22" i="2377"/>
  <c r="H16" i="2377"/>
  <c r="B21" i="2377"/>
  <c r="H25" i="2377"/>
  <c r="H24" i="2377"/>
  <c r="C19" i="2377"/>
  <c r="H23" i="2377"/>
  <c r="C18" i="2377"/>
  <c r="H14" i="2377"/>
  <c r="C17" i="2377"/>
  <c r="H22" i="2377"/>
  <c r="B16" i="2377"/>
  <c r="B20" i="2377" s="1"/>
  <c r="H21" i="2377"/>
  <c r="C15" i="2377"/>
  <c r="H20" i="2377"/>
  <c r="C14" i="2377"/>
  <c r="H15" i="2377"/>
  <c r="C13" i="2377"/>
  <c r="H19" i="2377"/>
  <c r="C12" i="2377"/>
  <c r="H5" i="2377"/>
  <c r="C11" i="2377"/>
  <c r="H12" i="2377"/>
  <c r="C10" i="2377"/>
  <c r="H11" i="2377"/>
  <c r="C9" i="2377"/>
  <c r="H8" i="2377"/>
  <c r="C8" i="2377"/>
  <c r="N7" i="2377"/>
  <c r="H7" i="2377"/>
  <c r="C7" i="2377"/>
  <c r="N6" i="2377"/>
  <c r="H3" i="2377"/>
  <c r="B6" i="2377"/>
  <c r="N5" i="2377"/>
  <c r="H6" i="2377"/>
  <c r="B5" i="2377"/>
  <c r="N4" i="2377"/>
  <c r="H2" i="2377"/>
  <c r="N3" i="2377"/>
  <c r="H10" i="2377"/>
  <c r="N2" i="2377"/>
  <c r="H4" i="2377"/>
  <c r="H51" i="2376"/>
  <c r="H50" i="2376"/>
  <c r="H49" i="2376"/>
  <c r="H48" i="2376"/>
  <c r="H47" i="2376"/>
  <c r="H46" i="2376"/>
  <c r="H45" i="2376"/>
  <c r="H44" i="2376"/>
  <c r="H43" i="2376"/>
  <c r="H42" i="2376"/>
  <c r="H41" i="2376"/>
  <c r="H40" i="2376"/>
  <c r="H39" i="2376"/>
  <c r="H38" i="2376"/>
  <c r="H37" i="2376"/>
  <c r="H36" i="2376"/>
  <c r="H35" i="2376"/>
  <c r="H34" i="2376"/>
  <c r="H33" i="2376"/>
  <c r="H32" i="2376"/>
  <c r="H31" i="2376"/>
  <c r="H30" i="2376"/>
  <c r="H8" i="2376"/>
  <c r="H29" i="2376"/>
  <c r="H28" i="2376"/>
  <c r="H10" i="2376"/>
  <c r="H27" i="2376"/>
  <c r="H26" i="2376"/>
  <c r="H16" i="2376"/>
  <c r="C23" i="2376"/>
  <c r="H25" i="2376"/>
  <c r="C22" i="2376"/>
  <c r="H15" i="2376"/>
  <c r="B21" i="2376"/>
  <c r="H24" i="2376"/>
  <c r="H23" i="2376"/>
  <c r="C19" i="2376"/>
  <c r="H9" i="2376"/>
  <c r="C18" i="2376"/>
  <c r="H14" i="2376"/>
  <c r="C17" i="2376"/>
  <c r="H22" i="2376"/>
  <c r="B16" i="2376"/>
  <c r="B20" i="2376" s="1"/>
  <c r="H21" i="2376"/>
  <c r="C15" i="2376"/>
  <c r="H13" i="2376"/>
  <c r="C14" i="2376"/>
  <c r="H20" i="2376"/>
  <c r="C13" i="2376"/>
  <c r="H19" i="2376"/>
  <c r="C12" i="2376"/>
  <c r="H4" i="2376"/>
  <c r="C11" i="2376"/>
  <c r="H18" i="2376"/>
  <c r="C10" i="2376"/>
  <c r="H12" i="2376"/>
  <c r="C9" i="2376"/>
  <c r="H11" i="2376"/>
  <c r="C8" i="2376"/>
  <c r="N7" i="2376"/>
  <c r="H7" i="2376"/>
  <c r="C7" i="2376"/>
  <c r="N6" i="2376"/>
  <c r="H2" i="2376"/>
  <c r="B6" i="2376"/>
  <c r="N5" i="2376"/>
  <c r="H17" i="2376"/>
  <c r="B5" i="2376"/>
  <c r="N4" i="2376"/>
  <c r="H3" i="2376"/>
  <c r="N3" i="2376"/>
  <c r="H6" i="2376"/>
  <c r="N2" i="2376"/>
  <c r="H5" i="2376"/>
  <c r="C16" i="2377" l="1"/>
  <c r="C16" i="2376"/>
  <c r="H51" i="2375" l="1"/>
  <c r="H50" i="2375"/>
  <c r="H49" i="2375"/>
  <c r="H48" i="2375"/>
  <c r="H47" i="2375"/>
  <c r="H46" i="2375"/>
  <c r="H45" i="2375"/>
  <c r="H44" i="2375"/>
  <c r="H43" i="2375"/>
  <c r="H42" i="2375"/>
  <c r="H41" i="2375"/>
  <c r="H40" i="2375"/>
  <c r="H39" i="2375"/>
  <c r="H38" i="2375"/>
  <c r="H37" i="2375"/>
  <c r="H36" i="2375"/>
  <c r="H35" i="2375"/>
  <c r="H34" i="2375"/>
  <c r="H33" i="2375"/>
  <c r="H32" i="2375"/>
  <c r="H31" i="2375"/>
  <c r="H30" i="2375"/>
  <c r="H29" i="2375"/>
  <c r="H28" i="2375"/>
  <c r="H27" i="2375"/>
  <c r="H26" i="2375"/>
  <c r="H25" i="2375"/>
  <c r="H24" i="2375"/>
  <c r="H23" i="2375"/>
  <c r="C23" i="2375"/>
  <c r="H22" i="2375"/>
  <c r="C22" i="2375"/>
  <c r="H21" i="2375"/>
  <c r="B21" i="2375"/>
  <c r="H20" i="2375"/>
  <c r="H19" i="2375"/>
  <c r="C19" i="2375"/>
  <c r="H18" i="2375"/>
  <c r="C18" i="2375"/>
  <c r="H17" i="2375"/>
  <c r="C17" i="2375"/>
  <c r="H16" i="2375"/>
  <c r="C16" i="2375"/>
  <c r="B16" i="2375"/>
  <c r="B20" i="2375" s="1"/>
  <c r="H15" i="2375"/>
  <c r="C15" i="2375"/>
  <c r="H14" i="2375"/>
  <c r="C14" i="2375"/>
  <c r="H13" i="2375"/>
  <c r="C13" i="2375"/>
  <c r="H12" i="2375"/>
  <c r="C12" i="2375"/>
  <c r="H11" i="2375"/>
  <c r="C11" i="2375"/>
  <c r="H10" i="2375"/>
  <c r="C10" i="2375"/>
  <c r="H9" i="2375"/>
  <c r="C9" i="2375"/>
  <c r="H8" i="2375"/>
  <c r="C8" i="2375"/>
  <c r="N7" i="2375"/>
  <c r="H7" i="2375"/>
  <c r="C7" i="2375"/>
  <c r="N6" i="2375"/>
  <c r="H6" i="2375"/>
  <c r="B6" i="2375"/>
  <c r="N5" i="2375"/>
  <c r="H5" i="2375"/>
  <c r="B5" i="2375"/>
  <c r="N4" i="2375"/>
  <c r="H4" i="2375"/>
  <c r="N3" i="2375"/>
  <c r="H3" i="2375"/>
  <c r="N2" i="2375"/>
  <c r="H2" i="2375"/>
  <c r="H51" i="2374" l="1"/>
  <c r="H50" i="2374"/>
  <c r="H49" i="2374"/>
  <c r="H48" i="2374"/>
  <c r="H47" i="2374"/>
  <c r="H46" i="2374"/>
  <c r="H45" i="2374"/>
  <c r="H44" i="2374"/>
  <c r="H43" i="2374"/>
  <c r="H42" i="2374"/>
  <c r="H41" i="2374"/>
  <c r="H40" i="2374"/>
  <c r="H39" i="2374"/>
  <c r="H38" i="2374"/>
  <c r="H37" i="2374"/>
  <c r="H36" i="2374"/>
  <c r="H35" i="2374"/>
  <c r="H34" i="2374"/>
  <c r="H33" i="2374"/>
  <c r="H32" i="2374"/>
  <c r="H31" i="2374"/>
  <c r="H30" i="2374"/>
  <c r="H29" i="2374"/>
  <c r="H28" i="2374"/>
  <c r="H27" i="2374"/>
  <c r="H26" i="2374"/>
  <c r="H25" i="2374"/>
  <c r="H24" i="2374"/>
  <c r="H11" i="2374"/>
  <c r="C23" i="2374"/>
  <c r="H23" i="2374"/>
  <c r="C22" i="2374"/>
  <c r="H10" i="2374"/>
  <c r="B21" i="2374"/>
  <c r="H22" i="2374"/>
  <c r="H21" i="2374"/>
  <c r="C19" i="2374"/>
  <c r="H20" i="2374"/>
  <c r="C18" i="2374"/>
  <c r="H19" i="2374"/>
  <c r="C17" i="2374"/>
  <c r="H18" i="2374"/>
  <c r="B16" i="2374"/>
  <c r="B20" i="2374" s="1"/>
  <c r="H17" i="2374"/>
  <c r="C15" i="2374"/>
  <c r="H16" i="2374"/>
  <c r="C14" i="2374"/>
  <c r="H15" i="2374"/>
  <c r="C13" i="2374"/>
  <c r="H14" i="2374"/>
  <c r="C12" i="2374"/>
  <c r="H4" i="2374"/>
  <c r="C11" i="2374"/>
  <c r="H13" i="2374"/>
  <c r="C10" i="2374"/>
  <c r="H12" i="2374"/>
  <c r="C9" i="2374"/>
  <c r="H9" i="2374"/>
  <c r="C8" i="2374"/>
  <c r="N7" i="2374"/>
  <c r="H7" i="2374"/>
  <c r="C7" i="2374"/>
  <c r="N6" i="2374"/>
  <c r="H3" i="2374"/>
  <c r="B6" i="2374"/>
  <c r="N5" i="2374"/>
  <c r="H6" i="2374"/>
  <c r="B5" i="2374"/>
  <c r="N4" i="2374"/>
  <c r="H2" i="2374"/>
  <c r="N3" i="2374"/>
  <c r="H8" i="2374"/>
  <c r="N2" i="2374"/>
  <c r="H5" i="2374"/>
  <c r="H51" i="2373"/>
  <c r="H50" i="2373"/>
  <c r="H49" i="2373"/>
  <c r="H48" i="2373"/>
  <c r="H47" i="2373"/>
  <c r="H46" i="2373"/>
  <c r="H45" i="2373"/>
  <c r="H44" i="2373"/>
  <c r="H43" i="2373"/>
  <c r="H42" i="2373"/>
  <c r="H41" i="2373"/>
  <c r="H40" i="2373"/>
  <c r="H39" i="2373"/>
  <c r="H38" i="2373"/>
  <c r="H37" i="2373"/>
  <c r="H36" i="2373"/>
  <c r="H35" i="2373"/>
  <c r="H34" i="2373"/>
  <c r="H33" i="2373"/>
  <c r="H17" i="2373"/>
  <c r="H16" i="2373"/>
  <c r="H32" i="2373"/>
  <c r="H8" i="2373"/>
  <c r="H22" i="2373"/>
  <c r="H21" i="2373"/>
  <c r="H10" i="2373"/>
  <c r="H20" i="2373"/>
  <c r="H19" i="2373"/>
  <c r="H13" i="2373"/>
  <c r="C23" i="2373"/>
  <c r="H31" i="2373"/>
  <c r="C22" i="2373"/>
  <c r="H15" i="2373"/>
  <c r="B21" i="2373"/>
  <c r="H30" i="2373"/>
  <c r="H29" i="2373"/>
  <c r="C19" i="2373"/>
  <c r="H18" i="2373"/>
  <c r="C18" i="2373"/>
  <c r="H28" i="2373"/>
  <c r="C17" i="2373"/>
  <c r="H27" i="2373"/>
  <c r="B16" i="2373"/>
  <c r="B20" i="2373" s="1"/>
  <c r="H26" i="2373"/>
  <c r="C15" i="2373"/>
  <c r="H25" i="2373"/>
  <c r="C14" i="2373"/>
  <c r="H24" i="2373"/>
  <c r="C13" i="2373"/>
  <c r="H23" i="2373"/>
  <c r="C12" i="2373"/>
  <c r="H4" i="2373"/>
  <c r="C11" i="2373"/>
  <c r="H14" i="2373"/>
  <c r="C10" i="2373"/>
  <c r="H9" i="2373"/>
  <c r="C9" i="2373"/>
  <c r="H12" i="2373"/>
  <c r="C8" i="2373"/>
  <c r="N7" i="2373"/>
  <c r="H6" i="2373"/>
  <c r="C7" i="2373"/>
  <c r="N6" i="2373"/>
  <c r="H2" i="2373"/>
  <c r="B6" i="2373"/>
  <c r="N5" i="2373"/>
  <c r="H7" i="2373"/>
  <c r="B5" i="2373"/>
  <c r="N4" i="2373"/>
  <c r="H5" i="2373"/>
  <c r="N3" i="2373"/>
  <c r="H11" i="2373"/>
  <c r="N2" i="2373"/>
  <c r="H3" i="2373"/>
  <c r="C16" i="2374" l="1"/>
  <c r="C16" i="2373"/>
  <c r="H51" i="2372" l="1"/>
  <c r="H50" i="2372"/>
  <c r="H49" i="2372"/>
  <c r="H48" i="2372"/>
  <c r="H47" i="2372"/>
  <c r="H46" i="2372"/>
  <c r="H45" i="2372"/>
  <c r="H44" i="2372"/>
  <c r="H43" i="2372"/>
  <c r="H42" i="2372"/>
  <c r="H41" i="2372"/>
  <c r="H40" i="2372"/>
  <c r="H39" i="2372"/>
  <c r="H38" i="2372"/>
  <c r="H37" i="2372"/>
  <c r="H36" i="2372"/>
  <c r="H35" i="2372"/>
  <c r="H34" i="2372"/>
  <c r="H33" i="2372"/>
  <c r="H32" i="2372"/>
  <c r="H31" i="2372"/>
  <c r="H30" i="2372"/>
  <c r="H29" i="2372"/>
  <c r="H28" i="2372"/>
  <c r="H27" i="2372"/>
  <c r="H26" i="2372"/>
  <c r="H25" i="2372"/>
  <c r="H24" i="2372"/>
  <c r="H23" i="2372"/>
  <c r="C23" i="2372"/>
  <c r="H22" i="2372"/>
  <c r="C22" i="2372"/>
  <c r="H21" i="2372"/>
  <c r="B21" i="2372"/>
  <c r="H20" i="2372"/>
  <c r="H19" i="2372"/>
  <c r="C19" i="2372"/>
  <c r="H18" i="2372"/>
  <c r="C18" i="2372"/>
  <c r="H17" i="2372"/>
  <c r="C17" i="2372"/>
  <c r="H16" i="2372"/>
  <c r="B16" i="2372"/>
  <c r="B20" i="2372" s="1"/>
  <c r="H15" i="2372"/>
  <c r="C15" i="2372"/>
  <c r="H14" i="2372"/>
  <c r="C14" i="2372"/>
  <c r="H13" i="2372"/>
  <c r="C13" i="2372"/>
  <c r="H12" i="2372"/>
  <c r="C12" i="2372"/>
  <c r="H11" i="2372"/>
  <c r="C11" i="2372"/>
  <c r="H10" i="2372"/>
  <c r="C10" i="2372"/>
  <c r="H9" i="2372"/>
  <c r="C9" i="2372"/>
  <c r="H8" i="2372"/>
  <c r="C8" i="2372"/>
  <c r="N7" i="2372"/>
  <c r="H7" i="2372"/>
  <c r="C7" i="2372"/>
  <c r="N6" i="2372"/>
  <c r="H6" i="2372"/>
  <c r="B6" i="2372"/>
  <c r="N5" i="2372"/>
  <c r="H5" i="2372"/>
  <c r="B5" i="2372"/>
  <c r="N4" i="2372"/>
  <c r="H4" i="2372"/>
  <c r="N3" i="2372"/>
  <c r="H3" i="2372"/>
  <c r="N2" i="2372"/>
  <c r="H2" i="2372"/>
  <c r="H51" i="2371"/>
  <c r="H50" i="2371"/>
  <c r="H49" i="2371"/>
  <c r="H48" i="2371"/>
  <c r="H47" i="2371"/>
  <c r="H46" i="2371"/>
  <c r="H45" i="2371"/>
  <c r="H44" i="2371"/>
  <c r="H43" i="2371"/>
  <c r="H42" i="2371"/>
  <c r="H41" i="2371"/>
  <c r="H40" i="2371"/>
  <c r="H39" i="2371"/>
  <c r="H38" i="2371"/>
  <c r="H37" i="2371"/>
  <c r="H36" i="2371"/>
  <c r="H35" i="2371"/>
  <c r="H34" i="2371"/>
  <c r="H33" i="2371"/>
  <c r="H32" i="2371"/>
  <c r="H31" i="2371"/>
  <c r="H30" i="2371"/>
  <c r="H29" i="2371"/>
  <c r="H28" i="2371"/>
  <c r="H27" i="2371"/>
  <c r="H26" i="2371"/>
  <c r="H25" i="2371"/>
  <c r="H24" i="2371"/>
  <c r="H23" i="2371"/>
  <c r="C23" i="2371"/>
  <c r="H22" i="2371"/>
  <c r="C22" i="2371"/>
  <c r="H21" i="2371"/>
  <c r="B21" i="2371"/>
  <c r="H20" i="2371"/>
  <c r="H19" i="2371"/>
  <c r="C19" i="2371"/>
  <c r="H18" i="2371"/>
  <c r="C18" i="2371"/>
  <c r="H17" i="2371"/>
  <c r="C17" i="2371"/>
  <c r="H16" i="2371"/>
  <c r="C16" i="2371"/>
  <c r="B16" i="2371"/>
  <c r="B20" i="2371" s="1"/>
  <c r="H15" i="2371"/>
  <c r="C15" i="2371"/>
  <c r="H14" i="2371"/>
  <c r="C14" i="2371"/>
  <c r="H13" i="2371"/>
  <c r="C13" i="2371"/>
  <c r="H12" i="2371"/>
  <c r="C12" i="2371"/>
  <c r="H11" i="2371"/>
  <c r="C11" i="2371"/>
  <c r="H10" i="2371"/>
  <c r="C10" i="2371"/>
  <c r="H9" i="2371"/>
  <c r="C9" i="2371"/>
  <c r="H8" i="2371"/>
  <c r="C8" i="2371"/>
  <c r="N7" i="2371"/>
  <c r="H7" i="2371"/>
  <c r="C7" i="2371"/>
  <c r="N6" i="2371"/>
  <c r="H6" i="2371"/>
  <c r="B6" i="2371"/>
  <c r="N5" i="2371"/>
  <c r="H5" i="2371"/>
  <c r="B5" i="2371"/>
  <c r="N4" i="2371"/>
  <c r="H4" i="2371"/>
  <c r="N3" i="2371"/>
  <c r="H3" i="2371"/>
  <c r="N2" i="2371"/>
  <c r="H2" i="2371"/>
  <c r="H51" i="2370"/>
  <c r="H50" i="2370"/>
  <c r="H49" i="2370"/>
  <c r="H48" i="2370"/>
  <c r="H47" i="2370"/>
  <c r="H20" i="2370"/>
  <c r="H46" i="2370"/>
  <c r="H45" i="2370"/>
  <c r="H44" i="2370"/>
  <c r="H43" i="2370"/>
  <c r="H42" i="2370"/>
  <c r="H41" i="2370"/>
  <c r="H40" i="2370"/>
  <c r="H39" i="2370"/>
  <c r="H38" i="2370"/>
  <c r="H37" i="2370"/>
  <c r="H36" i="2370"/>
  <c r="H35" i="2370"/>
  <c r="H34" i="2370"/>
  <c r="H17" i="2370"/>
  <c r="H19" i="2370"/>
  <c r="H33" i="2370"/>
  <c r="H9" i="2370"/>
  <c r="H32" i="2370"/>
  <c r="H31" i="2370"/>
  <c r="H11" i="2370"/>
  <c r="H30" i="2370"/>
  <c r="H29" i="2370"/>
  <c r="H14" i="2370"/>
  <c r="C23" i="2370"/>
  <c r="H28" i="2370"/>
  <c r="C22" i="2370"/>
  <c r="H15" i="2370"/>
  <c r="B21" i="2370"/>
  <c r="H27" i="2370"/>
  <c r="H26" i="2370"/>
  <c r="C19" i="2370"/>
  <c r="H18" i="2370"/>
  <c r="C18" i="2370"/>
  <c r="H25" i="2370"/>
  <c r="C17" i="2370"/>
  <c r="H16" i="2370"/>
  <c r="B16" i="2370"/>
  <c r="B20" i="2370" s="1"/>
  <c r="H24" i="2370"/>
  <c r="C15" i="2370"/>
  <c r="H23" i="2370"/>
  <c r="C14" i="2370"/>
  <c r="H22" i="2370"/>
  <c r="C13" i="2370"/>
  <c r="H21" i="2370"/>
  <c r="C12" i="2370"/>
  <c r="H3" i="2370"/>
  <c r="C11" i="2370"/>
  <c r="H10" i="2370"/>
  <c r="C10" i="2370"/>
  <c r="H12" i="2370"/>
  <c r="C9" i="2370"/>
  <c r="H8" i="2370"/>
  <c r="C8" i="2370"/>
  <c r="N7" i="2370"/>
  <c r="H7" i="2370"/>
  <c r="C7" i="2370"/>
  <c r="N6" i="2370"/>
  <c r="H2" i="2370"/>
  <c r="B6" i="2370"/>
  <c r="N5" i="2370"/>
  <c r="H6" i="2370"/>
  <c r="B5" i="2370"/>
  <c r="N4" i="2370"/>
  <c r="H5" i="2370"/>
  <c r="N3" i="2370"/>
  <c r="H13" i="2370"/>
  <c r="N2" i="2370"/>
  <c r="H4" i="2370"/>
  <c r="C16" i="2370" l="1"/>
  <c r="C16" i="2372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<sst xmlns="http://schemas.openxmlformats.org/spreadsheetml/2006/main" count="1869" uniqueCount="214">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</sst>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9" formatCode="\+0.0;\-0.0;\±0"/>
    <numFmt numFmtId="180" formatCode="0&quot;位&quot;"/>
    <numFmt numFmtId="181" formatCode="0.00\ &quot;位&quot;"/>
    <numFmt numFmtId="182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9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80" fontId="0" fillId="0" borderId="11" xfId="0" applyNumberFormat="1" applyBorder="1" applyAlignment="1">
      <alignment horizontal="center" vertical="center" shrinkToFit="1"/>
    </xf>
    <xf numFmtId="180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15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182" fontId="0" fillId="0" borderId="15" xfId="0" applyNumberFormat="1" applyBorder="1" applyAlignment="1">
      <alignment horizontal="center" vertical="center"/>
    </xf>
    <xf numFmtId="182" fontId="0" fillId="0" borderId="9" xfId="0" applyNumberFormat="1" applyBorder="1" applyAlignment="1">
      <alignment horizontal="center" vertical="center"/>
    </xf>
    <xf numFmtId="182" fontId="0" fillId="0" borderId="15" xfId="0" applyNumberFormat="1" applyBorder="1" applyAlignment="1">
      <alignment horizontal="center" vertical="center" shrinkToFit="1"/>
    </xf>
    <xf numFmtId="182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2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9" fontId="0" fillId="0" borderId="41" xfId="0" applyNumberFormat="1" applyBorder="1" applyAlignment="1">
      <alignment horizontal="center" vertical="center" shrinkToFit="1"/>
    </xf>
    <xf numFmtId="179" fontId="0" fillId="0" borderId="42" xfId="0" applyNumberFormat="1" applyBorder="1" applyAlignment="1">
      <alignment horizontal="center" vertical="center" shrinkToFit="1"/>
    </xf>
    <xf numFmtId="181" fontId="0" fillId="0" borderId="41" xfId="0" applyNumberFormat="1" applyBorder="1" applyAlignment="1">
      <alignment horizontal="center" vertical="center" shrinkToFit="1"/>
    </xf>
    <xf numFmtId="181" fontId="0" fillId="0" borderId="42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D-449A-9968-4F80FB4DD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381.18811881188117</c:v>
                </c:pt>
                <c:pt idx="1">
                  <c:v>2041.4893617021276</c:v>
                </c:pt>
                <c:pt idx="2">
                  <c:v>1260.4651162790697</c:v>
                </c:pt>
                <c:pt idx="3">
                  <c:v>642.10526315789468</c:v>
                </c:pt>
                <c:pt idx="4">
                  <c:v>-14.754098360655737</c:v>
                </c:pt>
                <c:pt idx="5">
                  <c:v>-841.8604651162791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1-4133-913B-63BB44A2E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E2-4BDE-8FE9-A08990FA6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F-4512-9CFD-CC659BD16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5-42D1-822F-0A0441E91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9000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8-4FA0-9C12-6F51B2333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りくと!$K$2:$K$70</c:f>
              <c:numCache>
                <c:formatCode>\+0;\-0;\±0</c:formatCode>
                <c:ptCount val="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F-4EE3-8DA4-94A4856B6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-671.64179104477614</c:v>
                </c:pt>
                <c:pt idx="1">
                  <c:v>-2565.0793650793653</c:v>
                </c:pt>
                <c:pt idx="2">
                  <c:v>2037.704918032787</c:v>
                </c:pt>
                <c:pt idx="3">
                  <c:v>-1531.4814814814815</c:v>
                </c:pt>
                <c:pt idx="4">
                  <c:v>-4525.5813953488368</c:v>
                </c:pt>
                <c:pt idx="5">
                  <c:v>-2764.516129032258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9-419D-9322-01B0F5C47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C-465A-9143-4EA8473EA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-651.28205128205127</c:v>
                </c:pt>
                <c:pt idx="1">
                  <c:v>3491.8918918918921</c:v>
                </c:pt>
                <c:pt idx="2">
                  <c:v>-1894.2857142857142</c:v>
                </c:pt>
                <c:pt idx="3">
                  <c:v>-533.33333333333337</c:v>
                </c:pt>
                <c:pt idx="4">
                  <c:v>7320.833333333333</c:v>
                </c:pt>
                <c:pt idx="5">
                  <c:v>2728.5714285714284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8-4DB4-9A4F-679C9CEE7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A-4B3B-BE40-83118086B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A-4707-89D2-B917B3B7A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1-474B-A0B5-37144072C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0-4BDF-89D4-B6B5BE3D3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1-4E3F-9BAC-39DEE8C1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3-4C39-AFC0-A5CB5E28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F-4D50-95B3-C14834088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F-4DE3-AAA3-70133A9A9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4-4CA7-BC4C-6003AE7C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-2963.6363636363635</c:v>
                </c:pt>
                <c:pt idx="1">
                  <c:v>-1850</c:v>
                </c:pt>
                <c:pt idx="2">
                  <c:v>-640.90909090909088</c:v>
                </c:pt>
                <c:pt idx="3">
                  <c:v>166.66666666666666</c:v>
                </c:pt>
                <c:pt idx="4">
                  <c:v>-1142.1052631578948</c:v>
                </c:pt>
                <c:pt idx="5">
                  <c:v>3054.5454545454545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2-47BF-95D9-76AD8CAB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DB8D5A-581E-436C-8E8F-A0003C01F9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40655F-0808-4B9D-A726-123CFC6FA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9CEBB1-4C74-4258-AE92-6C40144D5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192B82-C3C1-4FD1-99D9-4EDCB25A4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826FC9-35D5-4DF2-933E-6382FD9BA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771B9E-7088-4621-9F6B-949905F9D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533D17-EB6A-4994-98D7-D4618C356C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3F4808-7107-45FD-8748-BFBCA6304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E47BC1-498D-4ADD-9D39-97F734EA25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C9443D2-7F61-4F54-B273-4BA2DC872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76AA92D-3D24-4338-BD5C-E18180CB63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ECDB23-30D6-4125-9329-683897637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8C9E92-9F49-48FE-A7EF-59DBE2C595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2E6535-D6FE-49A8-ACAF-A2C1F99E5F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2295A9-4CC1-49C5-9F3F-DA59FC23D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CEB0E0-CF80-4452-BC2F-DC47B0A78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D338C5-5E31-4723-BEBD-F35E6557B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6CCE7A-E072-4B46-86CA-BE8B20DDF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0DCB46-1A83-4E52-A97D-7491F7B0E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EA17A5-D52B-4F2E-A5E1-3EFB965EB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61" t="s">
        <v>6</v>
      </c>
      <c r="C1" s="62"/>
      <c r="D1" s="61" t="s">
        <v>7</v>
      </c>
      <c r="E1" s="62"/>
      <c r="F1" s="61" t="s">
        <v>16</v>
      </c>
      <c r="G1" s="62"/>
      <c r="H1" s="61" t="s">
        <v>15</v>
      </c>
      <c r="I1" s="62"/>
      <c r="J1" s="61" t="s">
        <v>17</v>
      </c>
      <c r="K1" s="62"/>
      <c r="L1" s="61" t="s">
        <v>18</v>
      </c>
      <c r="M1" s="62"/>
      <c r="N1" s="61" t="s">
        <v>5</v>
      </c>
      <c r="O1" s="62"/>
      <c r="P1" s="61" t="s">
        <v>19</v>
      </c>
      <c r="Q1" s="62"/>
      <c r="R1" s="61" t="s">
        <v>20</v>
      </c>
      <c r="S1" s="62"/>
      <c r="T1" s="61" t="s">
        <v>212</v>
      </c>
      <c r="U1" s="62"/>
      <c r="V1" s="61" t="s">
        <v>131</v>
      </c>
      <c r="W1" s="62"/>
      <c r="X1" s="61" t="s">
        <v>126</v>
      </c>
      <c r="Y1" s="62"/>
      <c r="Z1" s="61" t="s">
        <v>134</v>
      </c>
      <c r="AA1" s="62"/>
      <c r="AB1" s="61" t="s">
        <v>135</v>
      </c>
      <c r="AC1" s="62"/>
      <c r="AD1" s="61" t="s">
        <v>200</v>
      </c>
      <c r="AE1" s="62"/>
    </row>
    <row r="2" spans="1:31" x14ac:dyDescent="0.4">
      <c r="A2" s="8">
        <v>1</v>
      </c>
      <c r="B2" s="9" t="s">
        <v>137</v>
      </c>
      <c r="C2" s="11">
        <v>386.50000000000006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5">
        <v>0.4</v>
      </c>
      <c r="L2" s="10" t="s">
        <v>142</v>
      </c>
      <c r="M2" s="15">
        <v>0.13284132841328414</v>
      </c>
      <c r="N2" s="10" t="s">
        <v>141</v>
      </c>
      <c r="O2" s="13">
        <v>11481.967213114754</v>
      </c>
      <c r="P2" s="10" t="s">
        <v>138</v>
      </c>
      <c r="Q2" s="13">
        <v>-8240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149</v>
      </c>
      <c r="W2" s="15">
        <v>0.3383838383838384</v>
      </c>
      <c r="X2" s="10" t="s">
        <v>142</v>
      </c>
      <c r="Y2" s="15">
        <v>0.33333333333333331</v>
      </c>
      <c r="Z2" s="10" t="s">
        <v>137</v>
      </c>
      <c r="AA2" s="15">
        <v>0.6987951807228916</v>
      </c>
      <c r="AB2" s="10" t="s">
        <v>137</v>
      </c>
      <c r="AC2" s="15">
        <v>0.44444444444444442</v>
      </c>
      <c r="AD2" s="10" t="s">
        <v>156</v>
      </c>
      <c r="AE2" s="15">
        <v>0.45454545454545453</v>
      </c>
    </row>
    <row r="3" spans="1:31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6">
        <v>0.35793357933579334</v>
      </c>
      <c r="L3" s="1" t="s">
        <v>156</v>
      </c>
      <c r="M3" s="16">
        <v>0.13414634146341464</v>
      </c>
      <c r="N3" s="1" t="s">
        <v>149</v>
      </c>
      <c r="O3" s="2">
        <v>11229.807692307691</v>
      </c>
      <c r="P3" s="1" t="s">
        <v>148</v>
      </c>
      <c r="Q3" s="2">
        <v>-8287.2727272727279</v>
      </c>
      <c r="R3" s="1" t="s">
        <v>142</v>
      </c>
      <c r="S3" s="18">
        <v>0.12820512820512819</v>
      </c>
      <c r="T3" s="1" t="s">
        <v>137</v>
      </c>
      <c r="U3" s="18">
        <v>0.23076923076923078</v>
      </c>
      <c r="V3" s="1" t="s">
        <v>137</v>
      </c>
      <c r="W3" s="16">
        <v>0.28719723183391005</v>
      </c>
      <c r="X3" s="1" t="s">
        <v>148</v>
      </c>
      <c r="Y3" s="16">
        <v>0.28735632183908044</v>
      </c>
      <c r="Z3" s="1" t="s">
        <v>160</v>
      </c>
      <c r="AA3" s="16">
        <v>0.61538461538461542</v>
      </c>
      <c r="AB3" s="1" t="s">
        <v>148</v>
      </c>
      <c r="AC3" s="16">
        <v>0.4</v>
      </c>
      <c r="AD3" s="1" t="s">
        <v>137</v>
      </c>
      <c r="AE3" s="16">
        <v>0.43018867924528303</v>
      </c>
    </row>
    <row r="4" spans="1:31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1.875</v>
      </c>
      <c r="H4" s="1" t="s">
        <v>137</v>
      </c>
      <c r="I4" s="18">
        <v>0.375</v>
      </c>
      <c r="J4" s="1" t="s">
        <v>137</v>
      </c>
      <c r="K4" s="16">
        <v>0.35372340425531917</v>
      </c>
      <c r="L4" s="1" t="s">
        <v>149</v>
      </c>
      <c r="M4" s="16">
        <v>0.15709969788519637</v>
      </c>
      <c r="N4" s="1" t="s">
        <v>156</v>
      </c>
      <c r="O4" s="2">
        <v>10857.142857142857</v>
      </c>
      <c r="P4" s="1" t="s">
        <v>145</v>
      </c>
      <c r="Q4" s="2">
        <v>-8500</v>
      </c>
      <c r="R4" s="1" t="s">
        <v>137</v>
      </c>
      <c r="S4" s="18">
        <v>0.13461538461538461</v>
      </c>
      <c r="T4" s="1" t="s">
        <v>142</v>
      </c>
      <c r="U4" s="18">
        <v>0.20512820512820512</v>
      </c>
      <c r="V4" s="1" t="s">
        <v>141</v>
      </c>
      <c r="W4" s="16">
        <v>0.28514056224899598</v>
      </c>
      <c r="X4" s="1" t="s">
        <v>149</v>
      </c>
      <c r="Y4" s="16">
        <v>0.25252525252525254</v>
      </c>
      <c r="Z4" s="1" t="s">
        <v>149</v>
      </c>
      <c r="AA4" s="16">
        <v>0.61194029850746268</v>
      </c>
      <c r="AB4" s="1" t="s">
        <v>149</v>
      </c>
      <c r="AC4" s="16">
        <v>0.38</v>
      </c>
      <c r="AD4" s="1" t="s">
        <v>149</v>
      </c>
      <c r="AE4" s="16">
        <v>0.41935483870967744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156</v>
      </c>
      <c r="K5" s="16">
        <v>0.34146341463414637</v>
      </c>
      <c r="L5" s="1" t="s">
        <v>137</v>
      </c>
      <c r="M5" s="16">
        <v>0.16090425531914893</v>
      </c>
      <c r="N5" s="1" t="s">
        <v>160</v>
      </c>
      <c r="O5" s="2">
        <v>10729.62962962963</v>
      </c>
      <c r="P5" s="1" t="s">
        <v>142</v>
      </c>
      <c r="Q5" s="2">
        <v>-9613.8888888888887</v>
      </c>
      <c r="R5" s="1" t="s">
        <v>149</v>
      </c>
      <c r="S5" s="18">
        <v>0.15909090909090909</v>
      </c>
      <c r="T5" s="1" t="s">
        <v>149</v>
      </c>
      <c r="U5" s="18">
        <v>0.20454545454545456</v>
      </c>
      <c r="V5" s="1" t="s">
        <v>160</v>
      </c>
      <c r="W5" s="16">
        <v>0.24223602484472051</v>
      </c>
      <c r="X5" s="1" t="s">
        <v>160</v>
      </c>
      <c r="Y5" s="16">
        <v>0.22981366459627328</v>
      </c>
      <c r="Z5" s="1" t="s">
        <v>141</v>
      </c>
      <c r="AA5" s="16">
        <v>0.52112676056338025</v>
      </c>
      <c r="AB5" s="1" t="s">
        <v>160</v>
      </c>
      <c r="AC5" s="16">
        <v>0.3783783783783784</v>
      </c>
      <c r="AD5" s="1" t="s">
        <v>148</v>
      </c>
      <c r="AE5" s="16">
        <v>0.41333333333333333</v>
      </c>
    </row>
    <row r="6" spans="1:31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3.7163461538461542</v>
      </c>
      <c r="F6" s="1" t="s">
        <v>139</v>
      </c>
      <c r="G6" s="5">
        <v>2</v>
      </c>
      <c r="H6" s="1" t="s">
        <v>141</v>
      </c>
      <c r="I6" s="18">
        <v>0.27941176470588236</v>
      </c>
      <c r="J6" s="1" t="s">
        <v>149</v>
      </c>
      <c r="K6" s="16">
        <v>0.31419939577039274</v>
      </c>
      <c r="L6" s="1" t="s">
        <v>139</v>
      </c>
      <c r="M6" s="16">
        <v>0.2</v>
      </c>
      <c r="N6" s="1" t="s">
        <v>148</v>
      </c>
      <c r="O6" s="2">
        <v>10240.25974025974</v>
      </c>
      <c r="P6" s="1" t="s">
        <v>149</v>
      </c>
      <c r="Q6" s="2">
        <v>-9665.3846153846152</v>
      </c>
      <c r="R6" s="1" t="s">
        <v>148</v>
      </c>
      <c r="S6" s="18">
        <v>0.17142857142857143</v>
      </c>
      <c r="T6" s="1" t="s">
        <v>148</v>
      </c>
      <c r="U6" s="18">
        <v>0.17142857142857143</v>
      </c>
      <c r="V6" s="1" t="s">
        <v>142</v>
      </c>
      <c r="W6" s="16">
        <v>0.21212121212121213</v>
      </c>
      <c r="X6" s="1" t="s">
        <v>137</v>
      </c>
      <c r="Y6" s="16">
        <v>0.2179930795847751</v>
      </c>
      <c r="Z6" s="1" t="s">
        <v>142</v>
      </c>
      <c r="AA6" s="16">
        <v>0.42857142857142855</v>
      </c>
      <c r="AB6" s="1" t="s">
        <v>142</v>
      </c>
      <c r="AC6" s="16">
        <v>0.36363636363636365</v>
      </c>
      <c r="AD6" s="1" t="s">
        <v>160</v>
      </c>
      <c r="AE6" s="16">
        <v>0.3559322033898305</v>
      </c>
    </row>
    <row r="7" spans="1:31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148</v>
      </c>
      <c r="K7" s="16">
        <v>0.28102189781021897</v>
      </c>
      <c r="L7" s="1" t="s">
        <v>148</v>
      </c>
      <c r="M7" s="16">
        <v>0.20072992700729927</v>
      </c>
      <c r="N7" s="1" t="s">
        <v>137</v>
      </c>
      <c r="O7" s="2">
        <v>9861.6541353383454</v>
      </c>
      <c r="P7" s="1" t="s">
        <v>160</v>
      </c>
      <c r="Q7" s="2">
        <v>-9697.5609756097565</v>
      </c>
      <c r="R7" s="1" t="s">
        <v>156</v>
      </c>
      <c r="S7" s="18">
        <v>0.25</v>
      </c>
      <c r="T7" s="1" t="s">
        <v>141</v>
      </c>
      <c r="U7" s="18">
        <v>0.16176470588235295</v>
      </c>
      <c r="V7" s="1" t="s">
        <v>148</v>
      </c>
      <c r="W7" s="16">
        <v>0.19540229885057472</v>
      </c>
      <c r="X7" s="1" t="s">
        <v>141</v>
      </c>
      <c r="Y7" s="16">
        <v>0.1606425702811245</v>
      </c>
      <c r="Z7" s="1" t="s">
        <v>148</v>
      </c>
      <c r="AA7" s="16">
        <v>0.41176470588235292</v>
      </c>
      <c r="AB7" s="1" t="s">
        <v>141</v>
      </c>
      <c r="AC7" s="16">
        <v>0.35</v>
      </c>
      <c r="AD7" s="1" t="s">
        <v>142</v>
      </c>
      <c r="AE7" s="16">
        <v>0.34693877551020408</v>
      </c>
    </row>
    <row r="8" spans="1:31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-5.9897058823529399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160</v>
      </c>
      <c r="K8" s="16">
        <v>0.27272727272727271</v>
      </c>
      <c r="L8" s="1" t="s">
        <v>141</v>
      </c>
      <c r="M8" s="16">
        <v>0.20392156862745098</v>
      </c>
      <c r="N8" s="1" t="s">
        <v>142</v>
      </c>
      <c r="O8" s="2">
        <v>9631.9587628865975</v>
      </c>
      <c r="P8" s="1" t="s">
        <v>156</v>
      </c>
      <c r="Q8" s="2">
        <v>-9927.2727272727279</v>
      </c>
      <c r="R8" s="1" t="s">
        <v>141</v>
      </c>
      <c r="S8" s="18">
        <v>0.27941176470588236</v>
      </c>
      <c r="T8" s="1" t="s">
        <v>160</v>
      </c>
      <c r="U8" s="18">
        <v>0.12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  <c r="AB8" s="1" t="s">
        <v>138</v>
      </c>
      <c r="AC8" s="16">
        <v>0</v>
      </c>
      <c r="AD8" s="1" t="s">
        <v>141</v>
      </c>
      <c r="AE8" s="16">
        <v>0.29677419354838708</v>
      </c>
    </row>
    <row r="9" spans="1:31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2.1764705882352939</v>
      </c>
      <c r="H9" s="1" t="s">
        <v>138</v>
      </c>
      <c r="I9" s="18">
        <v>0</v>
      </c>
      <c r="J9" s="1" t="s">
        <v>141</v>
      </c>
      <c r="K9" s="16">
        <v>0.23921568627450981</v>
      </c>
      <c r="L9" s="1" t="s">
        <v>160</v>
      </c>
      <c r="M9" s="16">
        <v>0.20707070707070707</v>
      </c>
      <c r="N9" s="1" t="s">
        <v>139</v>
      </c>
      <c r="O9" s="2">
        <v>8000</v>
      </c>
      <c r="P9" s="1" t="s">
        <v>137</v>
      </c>
      <c r="Q9" s="2">
        <v>-9957.0247933884293</v>
      </c>
      <c r="R9" s="1" t="s">
        <v>160</v>
      </c>
      <c r="S9" s="18">
        <v>0.28000000000000003</v>
      </c>
      <c r="T9" s="1" t="s">
        <v>138</v>
      </c>
      <c r="U9" s="18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  <c r="AB9" s="1" t="s">
        <v>139</v>
      </c>
      <c r="AC9" s="16">
        <v>0</v>
      </c>
      <c r="AD9" s="1" t="s">
        <v>138</v>
      </c>
      <c r="AE9" s="16">
        <v>0</v>
      </c>
    </row>
    <row r="10" spans="1:31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145</v>
      </c>
      <c r="K10" s="16">
        <v>0.16666666666666666</v>
      </c>
      <c r="L10" s="1" t="s">
        <v>145</v>
      </c>
      <c r="M10" s="16">
        <v>0.33333333333333331</v>
      </c>
      <c r="N10" s="1" t="s">
        <v>138</v>
      </c>
      <c r="O10" s="2">
        <v>7800</v>
      </c>
      <c r="P10" s="1" t="s">
        <v>141</v>
      </c>
      <c r="Q10" s="2">
        <v>-10577.884615384615</v>
      </c>
      <c r="R10" s="1" t="s">
        <v>138</v>
      </c>
      <c r="S10" s="18">
        <v>0.5</v>
      </c>
      <c r="T10" s="1" t="s">
        <v>139</v>
      </c>
      <c r="U10" s="18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  <c r="AB10" s="1" t="s">
        <v>145</v>
      </c>
      <c r="AC10" s="16">
        <v>0</v>
      </c>
      <c r="AD10" s="1" t="s">
        <v>139</v>
      </c>
      <c r="AE10" s="16">
        <v>0</v>
      </c>
    </row>
    <row r="11" spans="1:31" x14ac:dyDescent="0.4">
      <c r="A11" s="7">
        <v>10</v>
      </c>
      <c r="B11" s="6" t="s">
        <v>141</v>
      </c>
      <c r="C11" s="3">
        <v>-407.2999999999999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138</v>
      </c>
      <c r="K11" s="16">
        <v>0.04</v>
      </c>
      <c r="L11" s="1" t="s">
        <v>138</v>
      </c>
      <c r="M11" s="16">
        <v>0.4</v>
      </c>
      <c r="N11" s="1" t="s">
        <v>145</v>
      </c>
      <c r="O11" s="2">
        <v>1300</v>
      </c>
      <c r="P11" s="1" t="s">
        <v>139</v>
      </c>
      <c r="Q11" s="2">
        <v>-12000</v>
      </c>
      <c r="R11" s="1" t="s">
        <v>145</v>
      </c>
      <c r="S11" s="18">
        <v>1</v>
      </c>
      <c r="T11" s="1" t="s">
        <v>145</v>
      </c>
      <c r="U11" s="18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  <c r="AB11" s="1" t="s">
        <v>156</v>
      </c>
      <c r="AC11" s="16">
        <v>0</v>
      </c>
      <c r="AD11" s="1" t="s">
        <v>145</v>
      </c>
      <c r="AE11" s="16">
        <v>0</v>
      </c>
    </row>
  </sheetData>
  <sortState xmlns:xlrd2="http://schemas.microsoft.com/office/spreadsheetml/2017/richdata2" ref="AD2:AE25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870E-1069-479A-9869-E7FF7ADB5E2A}">
  <sheetPr codeName="Sheet4"/>
  <dimension ref="A1:P106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189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104</v>
      </c>
      <c r="C2" s="87"/>
      <c r="E2" s="83" t="s">
        <v>73</v>
      </c>
      <c r="F2" s="79" t="s">
        <v>27</v>
      </c>
      <c r="G2" s="65">
        <v>100</v>
      </c>
      <c r="H2" s="24">
        <f>IF(B$25=0,0,G2/B$25)</f>
        <v>0.93457943925233644</v>
      </c>
      <c r="J2" s="23">
        <v>0</v>
      </c>
      <c r="K2" s="25">
        <v>0</v>
      </c>
      <c r="M2" s="23" t="s">
        <v>201</v>
      </c>
      <c r="N2" s="56">
        <f t="shared" ref="N2:N7" si="0">IF(P2=0,0,O2/P2)</f>
        <v>381.18811881188117</v>
      </c>
      <c r="O2" s="53">
        <v>38500</v>
      </c>
      <c r="P2" s="51">
        <v>101</v>
      </c>
    </row>
    <row r="3" spans="1:16" x14ac:dyDescent="0.4">
      <c r="A3" s="74" t="s">
        <v>8</v>
      </c>
      <c r="B3" s="88">
        <v>752</v>
      </c>
      <c r="C3" s="89"/>
      <c r="E3" s="84" t="s">
        <v>78</v>
      </c>
      <c r="F3" s="80" t="s">
        <v>31</v>
      </c>
      <c r="G3" s="66">
        <v>60</v>
      </c>
      <c r="H3" s="27">
        <f>IF(B$25=0,0,G3/B$25)</f>
        <v>0.56074766355140182</v>
      </c>
      <c r="J3" s="26">
        <v>1</v>
      </c>
      <c r="K3" s="28">
        <v>15</v>
      </c>
      <c r="M3" s="26" t="s">
        <v>202</v>
      </c>
      <c r="N3" s="57">
        <f t="shared" si="0"/>
        <v>2041.4893617021276</v>
      </c>
      <c r="O3" s="54">
        <v>191900</v>
      </c>
      <c r="P3" s="49">
        <v>94</v>
      </c>
    </row>
    <row r="4" spans="1:16" x14ac:dyDescent="0.4">
      <c r="A4" s="74" t="s">
        <v>6</v>
      </c>
      <c r="B4" s="90">
        <v>386.50000000000006</v>
      </c>
      <c r="C4" s="91"/>
      <c r="E4" s="84" t="s">
        <v>69</v>
      </c>
      <c r="F4" s="80" t="s">
        <v>23</v>
      </c>
      <c r="G4" s="66">
        <v>55</v>
      </c>
      <c r="H4" s="27">
        <f>IF(B$25=0,0,G4/B$25)</f>
        <v>0.51401869158878499</v>
      </c>
      <c r="J4" s="26">
        <v>2</v>
      </c>
      <c r="K4" s="28">
        <v>14</v>
      </c>
      <c r="M4" s="26" t="s">
        <v>203</v>
      </c>
      <c r="N4" s="57">
        <f t="shared" si="0"/>
        <v>1260.4651162790697</v>
      </c>
      <c r="O4" s="54">
        <v>108400</v>
      </c>
      <c r="P4" s="49">
        <v>86</v>
      </c>
    </row>
    <row r="5" spans="1:16" x14ac:dyDescent="0.4">
      <c r="A5" s="74" t="s">
        <v>7</v>
      </c>
      <c r="B5" s="90">
        <f>IF(B$2=0,0,B$4/B$2)</f>
        <v>3.7163461538461542</v>
      </c>
      <c r="C5" s="91"/>
      <c r="E5" s="84" t="s">
        <v>71</v>
      </c>
      <c r="F5" s="80" t="s">
        <v>25</v>
      </c>
      <c r="G5" s="66">
        <v>54</v>
      </c>
      <c r="H5" s="27">
        <f>IF(B$25=0,0,G5/B$25)</f>
        <v>0.50467289719626163</v>
      </c>
      <c r="J5" s="26">
        <v>3</v>
      </c>
      <c r="K5" s="28">
        <v>29.1</v>
      </c>
      <c r="M5" s="26" t="s">
        <v>204</v>
      </c>
      <c r="N5" s="57">
        <f t="shared" si="0"/>
        <v>642.10526315789468</v>
      </c>
      <c r="O5" s="54">
        <v>48800</v>
      </c>
      <c r="P5" s="49">
        <v>76</v>
      </c>
    </row>
    <row r="6" spans="1:16" x14ac:dyDescent="0.4">
      <c r="A6" s="74" t="s">
        <v>1</v>
      </c>
      <c r="B6" s="92">
        <f>IF(B$2=0,0,(B$7*1+B$8*2+B$9*3)/B$2)</f>
        <v>1.875</v>
      </c>
      <c r="C6" s="93"/>
      <c r="E6" s="84" t="s">
        <v>72</v>
      </c>
      <c r="F6" s="80" t="s">
        <v>26</v>
      </c>
      <c r="G6" s="66">
        <v>28</v>
      </c>
      <c r="H6" s="27">
        <f>IF(B$25=0,0,G6/B$25)</f>
        <v>0.26168224299065418</v>
      </c>
      <c r="J6" s="26">
        <v>4</v>
      </c>
      <c r="K6" s="28">
        <v>114.30000000000001</v>
      </c>
      <c r="M6" s="26" t="s">
        <v>205</v>
      </c>
      <c r="N6" s="57">
        <f t="shared" si="0"/>
        <v>-14.754098360655737</v>
      </c>
      <c r="O6" s="54">
        <v>-900</v>
      </c>
      <c r="P6" s="49">
        <v>61</v>
      </c>
    </row>
    <row r="7" spans="1:16" x14ac:dyDescent="0.4">
      <c r="A7" s="74" t="s">
        <v>2</v>
      </c>
      <c r="B7" s="66">
        <v>39</v>
      </c>
      <c r="C7" s="27">
        <f>IF(B$2=0,0,B7/B$2)</f>
        <v>0.375</v>
      </c>
      <c r="E7" s="84" t="s">
        <v>74</v>
      </c>
      <c r="F7" s="80" t="s">
        <v>12</v>
      </c>
      <c r="G7" s="66">
        <v>28</v>
      </c>
      <c r="H7" s="27">
        <f>IF(B$25=0,0,G7/B$25)</f>
        <v>0.26168224299065418</v>
      </c>
      <c r="J7" s="26">
        <v>5</v>
      </c>
      <c r="K7" s="28">
        <v>145.80000000000001</v>
      </c>
      <c r="M7" s="31" t="s">
        <v>206</v>
      </c>
      <c r="N7" s="58">
        <f t="shared" si="0"/>
        <v>-841.8604651162791</v>
      </c>
      <c r="O7" s="55">
        <v>-36200</v>
      </c>
      <c r="P7" s="50">
        <v>43</v>
      </c>
    </row>
    <row r="8" spans="1:16" x14ac:dyDescent="0.4">
      <c r="A8" s="74" t="s">
        <v>3</v>
      </c>
      <c r="B8" s="66">
        <v>39</v>
      </c>
      <c r="C8" s="27">
        <f t="shared" ref="C8:C9" si="1">IF(B$2=0,0,B8/B$2)</f>
        <v>0.375</v>
      </c>
      <c r="E8" s="84" t="s">
        <v>75</v>
      </c>
      <c r="F8" s="80" t="s">
        <v>28</v>
      </c>
      <c r="G8" s="66">
        <v>15</v>
      </c>
      <c r="H8" s="27">
        <f>IF(B$25=0,0,G8/B$25)</f>
        <v>0.14018691588785046</v>
      </c>
      <c r="J8" s="26">
        <v>6</v>
      </c>
      <c r="K8" s="28">
        <v>97.800000000000011</v>
      </c>
    </row>
    <row r="9" spans="1:16" x14ac:dyDescent="0.4">
      <c r="A9" s="75" t="s">
        <v>4</v>
      </c>
      <c r="B9" s="67">
        <v>26</v>
      </c>
      <c r="C9" s="29">
        <f t="shared" si="1"/>
        <v>0.25</v>
      </c>
      <c r="E9" s="84" t="s">
        <v>96</v>
      </c>
      <c r="F9" s="80" t="s">
        <v>49</v>
      </c>
      <c r="G9" s="66">
        <v>14</v>
      </c>
      <c r="H9" s="27">
        <f>IF(B$25=0,0,G9/B$25)</f>
        <v>0.13084112149532709</v>
      </c>
      <c r="J9" s="26">
        <v>7</v>
      </c>
      <c r="K9" s="28">
        <v>91.700000000000017</v>
      </c>
    </row>
    <row r="10" spans="1:16" x14ac:dyDescent="0.4">
      <c r="A10" s="75" t="s">
        <v>21</v>
      </c>
      <c r="B10" s="67">
        <v>14</v>
      </c>
      <c r="C10" s="29">
        <f>IF(B$2=0,0,B10/B$2)</f>
        <v>0.13461538461538461</v>
      </c>
      <c r="E10" s="84" t="s">
        <v>77</v>
      </c>
      <c r="F10" s="80" t="s">
        <v>30</v>
      </c>
      <c r="G10" s="66">
        <v>7</v>
      </c>
      <c r="H10" s="27">
        <f>IF(B$25=0,0,G10/B$25)</f>
        <v>6.5420560747663545E-2</v>
      </c>
      <c r="J10" s="26">
        <v>8</v>
      </c>
      <c r="K10" s="28">
        <v>55.700000000000017</v>
      </c>
    </row>
    <row r="11" spans="1:16" x14ac:dyDescent="0.4">
      <c r="A11" s="76" t="s">
        <v>211</v>
      </c>
      <c r="B11" s="68">
        <v>24</v>
      </c>
      <c r="C11" s="32">
        <f>IF(B$2=0,0,B11/B$2)</f>
        <v>0.23076923076923078</v>
      </c>
      <c r="E11" s="84" t="s">
        <v>93</v>
      </c>
      <c r="F11" s="80" t="s">
        <v>46</v>
      </c>
      <c r="G11" s="66">
        <v>7</v>
      </c>
      <c r="H11" s="27">
        <f>IF(B$25=0,0,G11/B$25)</f>
        <v>6.5420560747663545E-2</v>
      </c>
      <c r="J11" s="26">
        <v>9</v>
      </c>
      <c r="K11" s="28">
        <v>14.700000000000017</v>
      </c>
    </row>
    <row r="12" spans="1:16" x14ac:dyDescent="0.4">
      <c r="A12" s="77" t="s">
        <v>130</v>
      </c>
      <c r="B12" s="69">
        <v>83</v>
      </c>
      <c r="C12" s="35">
        <f>IF(B$24=0,0,B12/B$24)</f>
        <v>0.28719723183391005</v>
      </c>
      <c r="E12" s="84" t="s">
        <v>76</v>
      </c>
      <c r="F12" s="80" t="s">
        <v>29</v>
      </c>
      <c r="G12" s="66">
        <v>5</v>
      </c>
      <c r="H12" s="27">
        <f>IF(B$25=0,0,G12/B$25)</f>
        <v>4.6728971962616821E-2</v>
      </c>
      <c r="J12" s="26">
        <v>10</v>
      </c>
      <c r="K12" s="28">
        <v>-16.799999999999983</v>
      </c>
    </row>
    <row r="13" spans="1:16" x14ac:dyDescent="0.4">
      <c r="A13" s="74" t="s">
        <v>125</v>
      </c>
      <c r="B13" s="66">
        <v>63</v>
      </c>
      <c r="C13" s="27">
        <f>IF(B$24=0,0,B13/B$24)</f>
        <v>0.2179930795847751</v>
      </c>
      <c r="E13" s="84" t="s">
        <v>70</v>
      </c>
      <c r="F13" s="80" t="s">
        <v>24</v>
      </c>
      <c r="G13" s="66">
        <v>4</v>
      </c>
      <c r="H13" s="27">
        <f>IF(B$25=0,0,G13/B$25)</f>
        <v>3.7383177570093455E-2</v>
      </c>
      <c r="J13" s="26">
        <v>11</v>
      </c>
      <c r="K13" s="28">
        <v>1.5000000000000178</v>
      </c>
    </row>
    <row r="14" spans="1:16" x14ac:dyDescent="0.4">
      <c r="A14" s="73" t="s">
        <v>132</v>
      </c>
      <c r="B14" s="65">
        <v>58</v>
      </c>
      <c r="C14" s="24">
        <f>IF(B$12=0,0,B14/B$12)</f>
        <v>0.6987951807228916</v>
      </c>
      <c r="E14" s="84" t="s">
        <v>90</v>
      </c>
      <c r="F14" s="80" t="s">
        <v>43</v>
      </c>
      <c r="G14" s="66">
        <v>4</v>
      </c>
      <c r="H14" s="27">
        <f>IF(B$25=0,0,G14/B$25)</f>
        <v>3.7383177570093455E-2</v>
      </c>
      <c r="J14" s="26">
        <v>12</v>
      </c>
      <c r="K14" s="28">
        <v>14.300000000000018</v>
      </c>
    </row>
    <row r="15" spans="1:16" x14ac:dyDescent="0.4">
      <c r="A15" s="73" t="s">
        <v>133</v>
      </c>
      <c r="B15" s="65">
        <v>28</v>
      </c>
      <c r="C15" s="24">
        <f>IF(B$13=0,0,B15/B$13)</f>
        <v>0.44444444444444442</v>
      </c>
      <c r="E15" s="84" t="s">
        <v>88</v>
      </c>
      <c r="F15" s="80" t="s">
        <v>41</v>
      </c>
      <c r="G15" s="66">
        <v>3</v>
      </c>
      <c r="H15" s="27">
        <f>IF(B$25=0,0,G15/B$25)</f>
        <v>2.8037383177570093E-2</v>
      </c>
      <c r="J15" s="26">
        <v>13</v>
      </c>
      <c r="K15" s="28">
        <v>71.300000000000011</v>
      </c>
    </row>
    <row r="16" spans="1:16" x14ac:dyDescent="0.4">
      <c r="A16" s="73" t="s">
        <v>10</v>
      </c>
      <c r="B16" s="65">
        <f>B17+B18</f>
        <v>266</v>
      </c>
      <c r="C16" s="24">
        <f>IF(B$3=0,0,B16/B$3)</f>
        <v>0.35372340425531917</v>
      </c>
      <c r="E16" s="84" t="s">
        <v>83</v>
      </c>
      <c r="F16" s="80" t="s">
        <v>36</v>
      </c>
      <c r="G16" s="66">
        <v>2</v>
      </c>
      <c r="H16" s="27">
        <f>IF(B$25=0,0,G16/B$25)</f>
        <v>1.8691588785046728E-2</v>
      </c>
      <c r="J16" s="26">
        <v>14</v>
      </c>
      <c r="K16" s="28">
        <v>27.300000000000011</v>
      </c>
    </row>
    <row r="17" spans="1:11" x14ac:dyDescent="0.4">
      <c r="A17" s="74" t="s">
        <v>11</v>
      </c>
      <c r="B17" s="66">
        <v>168</v>
      </c>
      <c r="C17" s="27">
        <f>IF(B$3=0,0,B17/B$3)</f>
        <v>0.22340425531914893</v>
      </c>
      <c r="E17" s="84" t="s">
        <v>99</v>
      </c>
      <c r="F17" s="80" t="s">
        <v>52</v>
      </c>
      <c r="G17" s="66">
        <v>2</v>
      </c>
      <c r="H17" s="27">
        <f>IF(B$25=0,0,G17/B$25)</f>
        <v>1.8691588785046728E-2</v>
      </c>
      <c r="J17" s="26">
        <v>15</v>
      </c>
      <c r="K17" s="28">
        <v>-9.6999999999999886</v>
      </c>
    </row>
    <row r="18" spans="1:11" x14ac:dyDescent="0.4">
      <c r="A18" s="74" t="s">
        <v>12</v>
      </c>
      <c r="B18" s="66">
        <v>98</v>
      </c>
      <c r="C18" s="27">
        <f>IF(B$3=0,0,B18/B$3)</f>
        <v>0.13031914893617022</v>
      </c>
      <c r="E18" s="84" t="s">
        <v>85</v>
      </c>
      <c r="F18" s="80" t="s">
        <v>38</v>
      </c>
      <c r="G18" s="66">
        <v>1</v>
      </c>
      <c r="H18" s="27">
        <f>IF(B$25=0,0,G18/B$25)</f>
        <v>9.3457943925233638E-3</v>
      </c>
      <c r="J18" s="26">
        <v>16</v>
      </c>
      <c r="K18" s="28">
        <v>-8.099999999999989</v>
      </c>
    </row>
    <row r="19" spans="1:11" x14ac:dyDescent="0.4">
      <c r="A19" s="74" t="s">
        <v>13</v>
      </c>
      <c r="B19" s="66">
        <v>121</v>
      </c>
      <c r="C19" s="27">
        <f>IF(B$3=0,0,B19/B$3)</f>
        <v>0.16090425531914893</v>
      </c>
      <c r="E19" s="84" t="s">
        <v>98</v>
      </c>
      <c r="F19" s="80" t="s">
        <v>51</v>
      </c>
      <c r="G19" s="66">
        <v>1</v>
      </c>
      <c r="H19" s="27">
        <f>IF(B$25=0,0,G19/B$25)</f>
        <v>9.3457943925233638E-3</v>
      </c>
      <c r="J19" s="26">
        <v>17</v>
      </c>
      <c r="K19" s="28">
        <v>-29.499999999999986</v>
      </c>
    </row>
    <row r="20" spans="1:11" x14ac:dyDescent="0.4">
      <c r="A20" s="74" t="s">
        <v>5</v>
      </c>
      <c r="B20" s="70">
        <f>IF(B$16=0,0,C20/B$16)</f>
        <v>9861.6541353383454</v>
      </c>
      <c r="C20" s="30">
        <v>2623200</v>
      </c>
      <c r="E20" s="84" t="s">
        <v>113</v>
      </c>
      <c r="F20" s="80" t="s">
        <v>120</v>
      </c>
      <c r="G20" s="66">
        <v>1</v>
      </c>
      <c r="H20" s="27">
        <f>IF(B$25=0,0,G20/B$25)</f>
        <v>9.3457943925233638E-3</v>
      </c>
      <c r="J20" s="26">
        <v>18</v>
      </c>
      <c r="K20" s="28">
        <v>-14.599999999999985</v>
      </c>
    </row>
    <row r="21" spans="1:11" x14ac:dyDescent="0.4">
      <c r="A21" s="76" t="s">
        <v>14</v>
      </c>
      <c r="B21" s="71">
        <f>IF(B$19=0,0,C21/B$19)</f>
        <v>-9957.0247933884293</v>
      </c>
      <c r="C21" s="60">
        <v>-1204800</v>
      </c>
      <c r="E21" s="84" t="s">
        <v>79</v>
      </c>
      <c r="F21" s="80" t="s">
        <v>32</v>
      </c>
      <c r="G21" s="66">
        <v>0</v>
      </c>
      <c r="H21" s="27">
        <f>IF(B$25=0,0,G21/B$25)</f>
        <v>0</v>
      </c>
      <c r="J21" s="26">
        <v>19</v>
      </c>
      <c r="K21" s="28">
        <v>42.600000000000016</v>
      </c>
    </row>
    <row r="22" spans="1:11" x14ac:dyDescent="0.4">
      <c r="A22" s="73" t="s">
        <v>198</v>
      </c>
      <c r="B22" s="65">
        <v>265</v>
      </c>
      <c r="C22" s="24">
        <f>IF(B$3=0,0,B22/B$3)</f>
        <v>0.35239361702127658</v>
      </c>
      <c r="E22" s="84" t="s">
        <v>80</v>
      </c>
      <c r="F22" s="80" t="s">
        <v>33</v>
      </c>
      <c r="G22" s="66">
        <v>0</v>
      </c>
      <c r="H22" s="27">
        <f>IF(B$25=0,0,G22/B$25)</f>
        <v>0</v>
      </c>
      <c r="J22" s="26">
        <v>20</v>
      </c>
      <c r="K22" s="28">
        <v>68.800000000000011</v>
      </c>
    </row>
    <row r="23" spans="1:11" x14ac:dyDescent="0.4">
      <c r="A23" s="76" t="s">
        <v>199</v>
      </c>
      <c r="B23" s="68">
        <v>114</v>
      </c>
      <c r="C23" s="32">
        <f>IF(B$22=0,0,B23/B$22)</f>
        <v>0.43018867924528303</v>
      </c>
      <c r="E23" s="84" t="s">
        <v>81</v>
      </c>
      <c r="F23" s="80" t="s">
        <v>34</v>
      </c>
      <c r="G23" s="66">
        <v>0</v>
      </c>
      <c r="H23" s="27">
        <f>IF(B$25=0,0,G23/B$25)</f>
        <v>0</v>
      </c>
      <c r="J23" s="26">
        <v>21</v>
      </c>
      <c r="K23" s="28">
        <v>125.30000000000001</v>
      </c>
    </row>
    <row r="24" spans="1:11" x14ac:dyDescent="0.4">
      <c r="A24" s="73" t="s">
        <v>128</v>
      </c>
      <c r="B24" s="86">
        <v>289</v>
      </c>
      <c r="C24" s="87"/>
      <c r="E24" s="84" t="s">
        <v>82</v>
      </c>
      <c r="F24" s="80" t="s">
        <v>35</v>
      </c>
      <c r="G24" s="66">
        <v>0</v>
      </c>
      <c r="H24" s="27">
        <f>IF(B$25=0,0,G24/B$25)</f>
        <v>0</v>
      </c>
      <c r="J24" s="26">
        <v>22</v>
      </c>
      <c r="K24" s="28">
        <v>99.800000000000011</v>
      </c>
    </row>
    <row r="25" spans="1:11" x14ac:dyDescent="0.4">
      <c r="A25" s="76" t="s">
        <v>129</v>
      </c>
      <c r="B25" s="94">
        <v>107</v>
      </c>
      <c r="C25" s="95"/>
      <c r="E25" s="84" t="s">
        <v>84</v>
      </c>
      <c r="F25" s="80" t="s">
        <v>37</v>
      </c>
      <c r="G25" s="66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4" t="s">
        <v>86</v>
      </c>
      <c r="F26" s="80" t="s">
        <v>39</v>
      </c>
      <c r="G26" s="66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4" t="s">
        <v>87</v>
      </c>
      <c r="F27" s="80" t="s">
        <v>40</v>
      </c>
      <c r="G27" s="66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4" t="s">
        <v>89</v>
      </c>
      <c r="F28" s="80" t="s">
        <v>42</v>
      </c>
      <c r="G28" s="66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4" t="s">
        <v>91</v>
      </c>
      <c r="F29" s="80" t="s">
        <v>44</v>
      </c>
      <c r="G29" s="66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4" t="s">
        <v>92</v>
      </c>
      <c r="F30" s="80" t="s">
        <v>45</v>
      </c>
      <c r="G30" s="66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4" t="s">
        <v>94</v>
      </c>
      <c r="F31" s="80" t="s">
        <v>47</v>
      </c>
      <c r="G31" s="66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4" t="s">
        <v>95</v>
      </c>
      <c r="F32" s="80" t="s">
        <v>48</v>
      </c>
      <c r="G32" s="66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4" t="s">
        <v>97</v>
      </c>
      <c r="F33" s="80" t="s">
        <v>50</v>
      </c>
      <c r="G33" s="66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4" t="s">
        <v>100</v>
      </c>
      <c r="F34" s="80" t="s">
        <v>53</v>
      </c>
      <c r="G34" s="66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4" t="s">
        <v>101</v>
      </c>
      <c r="F35" s="80" t="s">
        <v>54</v>
      </c>
      <c r="G35" s="66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4" t="s">
        <v>102</v>
      </c>
      <c r="F36" s="80" t="s">
        <v>55</v>
      </c>
      <c r="G36" s="66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4" t="s">
        <v>103</v>
      </c>
      <c r="F37" s="80" t="s">
        <v>56</v>
      </c>
      <c r="G37" s="66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4" t="s">
        <v>104</v>
      </c>
      <c r="F38" s="80" t="s">
        <v>57</v>
      </c>
      <c r="G38" s="66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4" t="s">
        <v>105</v>
      </c>
      <c r="F39" s="80" t="s">
        <v>58</v>
      </c>
      <c r="G39" s="66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4" t="s">
        <v>106</v>
      </c>
      <c r="F40" s="80" t="s">
        <v>59</v>
      </c>
      <c r="G40" s="66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4" t="s">
        <v>107</v>
      </c>
      <c r="F41" s="80" t="s">
        <v>60</v>
      </c>
      <c r="G41" s="66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4" t="s">
        <v>108</v>
      </c>
      <c r="F42" s="80" t="s">
        <v>61</v>
      </c>
      <c r="G42" s="66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4" t="s">
        <v>109</v>
      </c>
      <c r="F43" s="80" t="s">
        <v>62</v>
      </c>
      <c r="G43" s="66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4" t="s">
        <v>110</v>
      </c>
      <c r="F44" s="80" t="s">
        <v>63</v>
      </c>
      <c r="G44" s="66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4" t="s">
        <v>111</v>
      </c>
      <c r="F45" s="80" t="s">
        <v>64</v>
      </c>
      <c r="G45" s="66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4" t="s">
        <v>112</v>
      </c>
      <c r="F46" s="80" t="s">
        <v>119</v>
      </c>
      <c r="G46" s="66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</sheetData>
  <sortState xmlns:xlrd2="http://schemas.microsoft.com/office/spreadsheetml/2017/richdata2" ref="E2:H106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38152-1FBC-43CB-8363-56C395C1D3DA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194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4</v>
      </c>
      <c r="C2" s="87"/>
      <c r="E2" s="83" t="s">
        <v>69</v>
      </c>
      <c r="F2" s="79" t="s">
        <v>23</v>
      </c>
      <c r="G2" s="65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4" t="s">
        <v>8</v>
      </c>
      <c r="B3" s="88">
        <v>25</v>
      </c>
      <c r="C3" s="89"/>
      <c r="E3" s="84" t="s">
        <v>70</v>
      </c>
      <c r="F3" s="80" t="s">
        <v>24</v>
      </c>
      <c r="G3" s="66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4" t="s">
        <v>6</v>
      </c>
      <c r="B4" s="90">
        <v>-132.1</v>
      </c>
      <c r="C4" s="91"/>
      <c r="E4" s="84" t="s">
        <v>71</v>
      </c>
      <c r="F4" s="80" t="s">
        <v>25</v>
      </c>
      <c r="G4" s="66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4" t="s">
        <v>7</v>
      </c>
      <c r="B5" s="90">
        <f>IF(B$2=0,0,B$4/B$2)</f>
        <v>-33.024999999999999</v>
      </c>
      <c r="C5" s="91"/>
      <c r="E5" s="84" t="s">
        <v>72</v>
      </c>
      <c r="F5" s="80" t="s">
        <v>26</v>
      </c>
      <c r="G5" s="66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4" t="s">
        <v>1</v>
      </c>
      <c r="B6" s="92">
        <f>IF(B$2=0,0,(B$7*1+B$8*2+B$9*3)/B$2)</f>
        <v>3</v>
      </c>
      <c r="C6" s="93"/>
      <c r="E6" s="84" t="s">
        <v>73</v>
      </c>
      <c r="F6" s="80" t="s">
        <v>27</v>
      </c>
      <c r="G6" s="66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4" t="s">
        <v>2</v>
      </c>
      <c r="B7" s="66">
        <v>0</v>
      </c>
      <c r="C7" s="27">
        <f>IF(B$2=0,0,B7/B$2)</f>
        <v>0</v>
      </c>
      <c r="E7" s="84" t="s">
        <v>74</v>
      </c>
      <c r="F7" s="80" t="s">
        <v>12</v>
      </c>
      <c r="G7" s="66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4" t="s">
        <v>3</v>
      </c>
      <c r="B8" s="66">
        <v>0</v>
      </c>
      <c r="C8" s="27">
        <f t="shared" ref="C8:C9" si="1">IF(B$2=0,0,B8/B$2)</f>
        <v>0</v>
      </c>
      <c r="E8" s="84" t="s">
        <v>75</v>
      </c>
      <c r="F8" s="80" t="s">
        <v>28</v>
      </c>
      <c r="G8" s="66">
        <v>0</v>
      </c>
      <c r="H8" s="27">
        <f>IF(B$25=0,0,G8/B$25)</f>
        <v>0</v>
      </c>
    </row>
    <row r="9" spans="1:16" x14ac:dyDescent="0.4">
      <c r="A9" s="75" t="s">
        <v>4</v>
      </c>
      <c r="B9" s="67">
        <v>4</v>
      </c>
      <c r="C9" s="29">
        <f t="shared" si="1"/>
        <v>1</v>
      </c>
      <c r="E9" s="84" t="s">
        <v>76</v>
      </c>
      <c r="F9" s="80" t="s">
        <v>29</v>
      </c>
      <c r="G9" s="66">
        <v>0</v>
      </c>
      <c r="H9" s="27">
        <f>IF(B$25=0,0,G9/B$25)</f>
        <v>0</v>
      </c>
    </row>
    <row r="10" spans="1:16" x14ac:dyDescent="0.4">
      <c r="A10" s="75" t="s">
        <v>21</v>
      </c>
      <c r="B10" s="67">
        <v>2</v>
      </c>
      <c r="C10" s="29">
        <f>IF(B$2=0,0,B10/B$2)</f>
        <v>0.5</v>
      </c>
      <c r="E10" s="84" t="s">
        <v>77</v>
      </c>
      <c r="F10" s="80" t="s">
        <v>30</v>
      </c>
      <c r="G10" s="66">
        <v>0</v>
      </c>
      <c r="H10" s="27">
        <f>IF(B$25=0,0,G10/B$25)</f>
        <v>0</v>
      </c>
    </row>
    <row r="11" spans="1:16" x14ac:dyDescent="0.4">
      <c r="A11" s="76" t="s">
        <v>211</v>
      </c>
      <c r="B11" s="68">
        <v>0</v>
      </c>
      <c r="C11" s="32">
        <f>IF(B$2=0,0,B11/B$2)</f>
        <v>0</v>
      </c>
      <c r="E11" s="84" t="s">
        <v>78</v>
      </c>
      <c r="F11" s="80" t="s">
        <v>31</v>
      </c>
      <c r="G11" s="66">
        <v>0</v>
      </c>
      <c r="H11" s="27">
        <f>IF(B$25=0,0,G11/B$25)</f>
        <v>0</v>
      </c>
    </row>
    <row r="12" spans="1:16" x14ac:dyDescent="0.4">
      <c r="A12" s="77" t="s">
        <v>130</v>
      </c>
      <c r="B12" s="69">
        <v>0</v>
      </c>
      <c r="C12" s="35">
        <f>IF(B$24=0,0,B12/B$24)</f>
        <v>0</v>
      </c>
      <c r="E12" s="84" t="s">
        <v>79</v>
      </c>
      <c r="F12" s="80" t="s">
        <v>32</v>
      </c>
      <c r="G12" s="66">
        <v>0</v>
      </c>
      <c r="H12" s="27">
        <f>IF(B$25=0,0,G12/B$25)</f>
        <v>0</v>
      </c>
    </row>
    <row r="13" spans="1:16" x14ac:dyDescent="0.4">
      <c r="A13" s="74" t="s">
        <v>125</v>
      </c>
      <c r="B13" s="66">
        <v>0</v>
      </c>
      <c r="C13" s="27">
        <f>IF(B$24=0,0,B13/B$24)</f>
        <v>0</v>
      </c>
      <c r="E13" s="84" t="s">
        <v>80</v>
      </c>
      <c r="F13" s="80" t="s">
        <v>33</v>
      </c>
      <c r="G13" s="66">
        <v>0</v>
      </c>
      <c r="H13" s="27">
        <f>IF(B$25=0,0,G13/B$25)</f>
        <v>0</v>
      </c>
    </row>
    <row r="14" spans="1:16" x14ac:dyDescent="0.4">
      <c r="A14" s="73" t="s">
        <v>132</v>
      </c>
      <c r="B14" s="65">
        <v>0</v>
      </c>
      <c r="C14" s="24">
        <f>IF(B$12=0,0,B14/B$12)</f>
        <v>0</v>
      </c>
      <c r="E14" s="84" t="s">
        <v>81</v>
      </c>
      <c r="F14" s="80" t="s">
        <v>34</v>
      </c>
      <c r="G14" s="66">
        <v>0</v>
      </c>
      <c r="H14" s="27">
        <f>IF(B$25=0,0,G14/B$25)</f>
        <v>0</v>
      </c>
    </row>
    <row r="15" spans="1:16" x14ac:dyDescent="0.4">
      <c r="A15" s="73" t="s">
        <v>133</v>
      </c>
      <c r="B15" s="65">
        <v>0</v>
      </c>
      <c r="C15" s="24">
        <f>IF(B$13=0,0,B15/B$13)</f>
        <v>0</v>
      </c>
      <c r="E15" s="84" t="s">
        <v>82</v>
      </c>
      <c r="F15" s="80" t="s">
        <v>35</v>
      </c>
      <c r="G15" s="66">
        <v>0</v>
      </c>
      <c r="H15" s="27">
        <f>IF(B$25=0,0,G15/B$25)</f>
        <v>0</v>
      </c>
    </row>
    <row r="16" spans="1:16" x14ac:dyDescent="0.4">
      <c r="A16" s="73" t="s">
        <v>10</v>
      </c>
      <c r="B16" s="65">
        <f>B17+B18</f>
        <v>1</v>
      </c>
      <c r="C16" s="24">
        <f>IF(B$3=0,0,B16/B$3)</f>
        <v>0.04</v>
      </c>
      <c r="E16" s="84" t="s">
        <v>83</v>
      </c>
      <c r="F16" s="80" t="s">
        <v>36</v>
      </c>
      <c r="G16" s="66">
        <v>0</v>
      </c>
      <c r="H16" s="27">
        <f>IF(B$25=0,0,G16/B$25)</f>
        <v>0</v>
      </c>
    </row>
    <row r="17" spans="1:8" x14ac:dyDescent="0.4">
      <c r="A17" s="74" t="s">
        <v>11</v>
      </c>
      <c r="B17" s="66">
        <v>0</v>
      </c>
      <c r="C17" s="27">
        <f>IF(B$3=0,0,B17/B$3)</f>
        <v>0</v>
      </c>
      <c r="E17" s="84" t="s">
        <v>84</v>
      </c>
      <c r="F17" s="80" t="s">
        <v>37</v>
      </c>
      <c r="G17" s="66">
        <v>0</v>
      </c>
      <c r="H17" s="27">
        <f>IF(B$25=0,0,G17/B$25)</f>
        <v>0</v>
      </c>
    </row>
    <row r="18" spans="1:8" x14ac:dyDescent="0.4">
      <c r="A18" s="74" t="s">
        <v>12</v>
      </c>
      <c r="B18" s="66">
        <v>1</v>
      </c>
      <c r="C18" s="27">
        <f>IF(B$3=0,0,B18/B$3)</f>
        <v>0.04</v>
      </c>
      <c r="E18" s="84" t="s">
        <v>85</v>
      </c>
      <c r="F18" s="80" t="s">
        <v>38</v>
      </c>
      <c r="G18" s="66">
        <v>0</v>
      </c>
      <c r="H18" s="27">
        <f>IF(B$25=0,0,G18/B$25)</f>
        <v>0</v>
      </c>
    </row>
    <row r="19" spans="1:8" x14ac:dyDescent="0.4">
      <c r="A19" s="74" t="s">
        <v>13</v>
      </c>
      <c r="B19" s="66">
        <v>10</v>
      </c>
      <c r="C19" s="27">
        <f>IF(B$3=0,0,B19/B$3)</f>
        <v>0.4</v>
      </c>
      <c r="E19" s="84" t="s">
        <v>86</v>
      </c>
      <c r="F19" s="80" t="s">
        <v>39</v>
      </c>
      <c r="G19" s="66">
        <v>0</v>
      </c>
      <c r="H19" s="27">
        <f>IF(B$25=0,0,G19/B$25)</f>
        <v>0</v>
      </c>
    </row>
    <row r="20" spans="1:8" x14ac:dyDescent="0.4">
      <c r="A20" s="74" t="s">
        <v>5</v>
      </c>
      <c r="B20" s="70">
        <f>IF(B$16=0,0,C20/B$16)</f>
        <v>7800</v>
      </c>
      <c r="C20" s="30">
        <v>7800</v>
      </c>
      <c r="E20" s="84" t="s">
        <v>87</v>
      </c>
      <c r="F20" s="80" t="s">
        <v>40</v>
      </c>
      <c r="G20" s="66">
        <v>0</v>
      </c>
      <c r="H20" s="27">
        <f>IF(B$25=0,0,G20/B$25)</f>
        <v>0</v>
      </c>
    </row>
    <row r="21" spans="1:8" x14ac:dyDescent="0.4">
      <c r="A21" s="76" t="s">
        <v>14</v>
      </c>
      <c r="B21" s="71">
        <f>IF(B$19=0,0,C21/B$19)</f>
        <v>-8240</v>
      </c>
      <c r="C21" s="60">
        <v>-82400</v>
      </c>
      <c r="E21" s="84" t="s">
        <v>88</v>
      </c>
      <c r="F21" s="80" t="s">
        <v>41</v>
      </c>
      <c r="G21" s="66">
        <v>0</v>
      </c>
      <c r="H21" s="27">
        <f>IF(B$25=0,0,G21/B$25)</f>
        <v>0</v>
      </c>
    </row>
    <row r="22" spans="1:8" x14ac:dyDescent="0.4">
      <c r="A22" s="73" t="s">
        <v>198</v>
      </c>
      <c r="B22" s="65">
        <v>0</v>
      </c>
      <c r="C22" s="24">
        <f>IF(B$3=0,0,B22/B$3)</f>
        <v>0</v>
      </c>
      <c r="E22" s="84" t="s">
        <v>89</v>
      </c>
      <c r="F22" s="80" t="s">
        <v>42</v>
      </c>
      <c r="G22" s="66">
        <v>0</v>
      </c>
      <c r="H22" s="27">
        <f>IF(B$25=0,0,G22/B$25)</f>
        <v>0</v>
      </c>
    </row>
    <row r="23" spans="1:8" x14ac:dyDescent="0.4">
      <c r="A23" s="76" t="s">
        <v>199</v>
      </c>
      <c r="B23" s="68">
        <v>0</v>
      </c>
      <c r="C23" s="32">
        <f>IF(B$22=0,0,B23/B$22)</f>
        <v>0</v>
      </c>
      <c r="E23" s="84" t="s">
        <v>90</v>
      </c>
      <c r="F23" s="80" t="s">
        <v>43</v>
      </c>
      <c r="G23" s="66">
        <v>0</v>
      </c>
      <c r="H23" s="27">
        <f>IF(B$25=0,0,G23/B$25)</f>
        <v>0</v>
      </c>
    </row>
    <row r="24" spans="1:8" x14ac:dyDescent="0.4">
      <c r="A24" s="73" t="s">
        <v>128</v>
      </c>
      <c r="B24" s="86">
        <v>0</v>
      </c>
      <c r="C24" s="87"/>
      <c r="E24" s="84" t="s">
        <v>91</v>
      </c>
      <c r="F24" s="80" t="s">
        <v>44</v>
      </c>
      <c r="G24" s="66">
        <v>0</v>
      </c>
      <c r="H24" s="27">
        <f>IF(B$25=0,0,G24/B$25)</f>
        <v>0</v>
      </c>
    </row>
    <row r="25" spans="1:8" x14ac:dyDescent="0.4">
      <c r="A25" s="76" t="s">
        <v>129</v>
      </c>
      <c r="B25" s="94">
        <v>0</v>
      </c>
      <c r="C25" s="95"/>
      <c r="E25" s="84" t="s">
        <v>92</v>
      </c>
      <c r="F25" s="80" t="s">
        <v>45</v>
      </c>
      <c r="G25" s="66">
        <v>0</v>
      </c>
      <c r="H25" s="27">
        <f>IF(B$25=0,0,G25/B$25)</f>
        <v>0</v>
      </c>
    </row>
    <row r="26" spans="1:8" x14ac:dyDescent="0.4">
      <c r="E26" s="84" t="s">
        <v>93</v>
      </c>
      <c r="F26" s="80" t="s">
        <v>46</v>
      </c>
      <c r="G26" s="66">
        <v>0</v>
      </c>
      <c r="H26" s="27">
        <f>IF(B$25=0,0,G26/B$25)</f>
        <v>0</v>
      </c>
    </row>
    <row r="27" spans="1:8" x14ac:dyDescent="0.4">
      <c r="E27" s="84" t="s">
        <v>94</v>
      </c>
      <c r="F27" s="80" t="s">
        <v>47</v>
      </c>
      <c r="G27" s="66">
        <v>0</v>
      </c>
      <c r="H27" s="27">
        <f>IF(B$25=0,0,G27/B$25)</f>
        <v>0</v>
      </c>
    </row>
    <row r="28" spans="1:8" x14ac:dyDescent="0.4">
      <c r="E28" s="84" t="s">
        <v>95</v>
      </c>
      <c r="F28" s="80" t="s">
        <v>48</v>
      </c>
      <c r="G28" s="66">
        <v>0</v>
      </c>
      <c r="H28" s="27">
        <f>IF(B$25=0,0,G28/B$25)</f>
        <v>0</v>
      </c>
    </row>
    <row r="29" spans="1:8" x14ac:dyDescent="0.4">
      <c r="E29" s="84" t="s">
        <v>96</v>
      </c>
      <c r="F29" s="80" t="s">
        <v>49</v>
      </c>
      <c r="G29" s="66">
        <v>0</v>
      </c>
      <c r="H29" s="27">
        <f>IF(B$25=0,0,G29/B$25)</f>
        <v>0</v>
      </c>
    </row>
    <row r="30" spans="1:8" x14ac:dyDescent="0.4">
      <c r="E30" s="84" t="s">
        <v>97</v>
      </c>
      <c r="F30" s="80" t="s">
        <v>50</v>
      </c>
      <c r="G30" s="66">
        <v>0</v>
      </c>
      <c r="H30" s="27">
        <f>IF(B$25=0,0,G30/B$25)</f>
        <v>0</v>
      </c>
    </row>
    <row r="31" spans="1:8" x14ac:dyDescent="0.4">
      <c r="E31" s="84" t="s">
        <v>98</v>
      </c>
      <c r="F31" s="80" t="s">
        <v>51</v>
      </c>
      <c r="G31" s="66">
        <v>0</v>
      </c>
      <c r="H31" s="27">
        <f>IF(B$25=0,0,G31/B$25)</f>
        <v>0</v>
      </c>
    </row>
    <row r="32" spans="1:8" x14ac:dyDescent="0.4">
      <c r="E32" s="84" t="s">
        <v>99</v>
      </c>
      <c r="F32" s="80" t="s">
        <v>52</v>
      </c>
      <c r="G32" s="66">
        <v>0</v>
      </c>
      <c r="H32" s="27">
        <f>IF(B$25=0,0,G32/B$25)</f>
        <v>0</v>
      </c>
    </row>
    <row r="33" spans="5:8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</row>
    <row r="34" spans="5:8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</row>
    <row r="35" spans="5:8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</row>
    <row r="36" spans="5:8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</row>
    <row r="37" spans="5:8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</row>
    <row r="38" spans="5:8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</row>
    <row r="39" spans="5:8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</row>
    <row r="40" spans="5:8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</row>
    <row r="41" spans="5:8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</row>
    <row r="42" spans="5:8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</row>
    <row r="43" spans="5:8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</row>
    <row r="44" spans="5:8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</row>
    <row r="45" spans="5:8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</row>
    <row r="46" spans="5:8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</row>
    <row r="47" spans="5:8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8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51A55-0CC0-4637-B348-1DE923E99123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139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1</v>
      </c>
      <c r="C2" s="87"/>
      <c r="E2" s="83" t="s">
        <v>69</v>
      </c>
      <c r="F2" s="79" t="s">
        <v>23</v>
      </c>
      <c r="G2" s="65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9000</v>
      </c>
      <c r="O2" s="53">
        <v>9000</v>
      </c>
      <c r="P2" s="51">
        <v>1</v>
      </c>
    </row>
    <row r="3" spans="1:16" x14ac:dyDescent="0.4">
      <c r="A3" s="74" t="s">
        <v>8</v>
      </c>
      <c r="B3" s="88">
        <v>5</v>
      </c>
      <c r="C3" s="89"/>
      <c r="E3" s="84" t="s">
        <v>70</v>
      </c>
      <c r="F3" s="80" t="s">
        <v>24</v>
      </c>
      <c r="G3" s="66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4" t="s">
        <v>6</v>
      </c>
      <c r="B4" s="90">
        <v>7</v>
      </c>
      <c r="C4" s="91"/>
      <c r="E4" s="84" t="s">
        <v>71</v>
      </c>
      <c r="F4" s="80" t="s">
        <v>25</v>
      </c>
      <c r="G4" s="66">
        <v>0</v>
      </c>
      <c r="H4" s="27">
        <f>IF(B$25=0,0,G4/B$25)</f>
        <v>0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4" t="s">
        <v>7</v>
      </c>
      <c r="B5" s="90">
        <f>IF(B$2=0,0,B$4/B$2)</f>
        <v>7</v>
      </c>
      <c r="C5" s="91"/>
      <c r="E5" s="84" t="s">
        <v>72</v>
      </c>
      <c r="F5" s="80" t="s">
        <v>26</v>
      </c>
      <c r="G5" s="66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4" t="s">
        <v>1</v>
      </c>
      <c r="B6" s="92">
        <f>IF(B$2=0,0,(B$7*1+B$8*2+B$9*3)/B$2)</f>
        <v>2</v>
      </c>
      <c r="C6" s="93"/>
      <c r="E6" s="84" t="s">
        <v>73</v>
      </c>
      <c r="F6" s="80" t="s">
        <v>27</v>
      </c>
      <c r="G6" s="66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4" t="s">
        <v>2</v>
      </c>
      <c r="B7" s="66">
        <v>0</v>
      </c>
      <c r="C7" s="27">
        <f>IF(B$2=0,0,B7/B$2)</f>
        <v>0</v>
      </c>
      <c r="E7" s="84" t="s">
        <v>74</v>
      </c>
      <c r="F7" s="80" t="s">
        <v>12</v>
      </c>
      <c r="G7" s="66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4" t="s">
        <v>3</v>
      </c>
      <c r="B8" s="66">
        <v>1</v>
      </c>
      <c r="C8" s="27">
        <f t="shared" ref="C8:C9" si="1">IF(B$2=0,0,B8/B$2)</f>
        <v>1</v>
      </c>
      <c r="E8" s="84" t="s">
        <v>75</v>
      </c>
      <c r="F8" s="80" t="s">
        <v>28</v>
      </c>
      <c r="G8" s="66">
        <v>0</v>
      </c>
      <c r="H8" s="27">
        <f>IF(B$25=0,0,G8/B$25)</f>
        <v>0</v>
      </c>
    </row>
    <row r="9" spans="1:16" x14ac:dyDescent="0.4">
      <c r="A9" s="75" t="s">
        <v>4</v>
      </c>
      <c r="B9" s="67">
        <v>0</v>
      </c>
      <c r="C9" s="29">
        <f t="shared" si="1"/>
        <v>0</v>
      </c>
      <c r="E9" s="84" t="s">
        <v>76</v>
      </c>
      <c r="F9" s="80" t="s">
        <v>29</v>
      </c>
      <c r="G9" s="66">
        <v>0</v>
      </c>
      <c r="H9" s="27">
        <f>IF(B$25=0,0,G9/B$25)</f>
        <v>0</v>
      </c>
    </row>
    <row r="10" spans="1:16" x14ac:dyDescent="0.4">
      <c r="A10" s="75" t="s">
        <v>21</v>
      </c>
      <c r="B10" s="67">
        <v>0</v>
      </c>
      <c r="C10" s="29">
        <f>IF(B$2=0,0,B10/B$2)</f>
        <v>0</v>
      </c>
      <c r="E10" s="84" t="s">
        <v>77</v>
      </c>
      <c r="F10" s="80" t="s">
        <v>30</v>
      </c>
      <c r="G10" s="66">
        <v>0</v>
      </c>
      <c r="H10" s="27">
        <f>IF(B$25=0,0,G10/B$25)</f>
        <v>0</v>
      </c>
    </row>
    <row r="11" spans="1:16" x14ac:dyDescent="0.4">
      <c r="A11" s="76" t="s">
        <v>211</v>
      </c>
      <c r="B11" s="68">
        <v>0</v>
      </c>
      <c r="C11" s="32">
        <f>IF(B$2=0,0,B11/B$2)</f>
        <v>0</v>
      </c>
      <c r="E11" s="84" t="s">
        <v>78</v>
      </c>
      <c r="F11" s="80" t="s">
        <v>31</v>
      </c>
      <c r="G11" s="66">
        <v>0</v>
      </c>
      <c r="H11" s="27">
        <f>IF(B$25=0,0,G11/B$25)</f>
        <v>0</v>
      </c>
    </row>
    <row r="12" spans="1:16" x14ac:dyDescent="0.4">
      <c r="A12" s="77" t="s">
        <v>130</v>
      </c>
      <c r="B12" s="69">
        <v>0</v>
      </c>
      <c r="C12" s="35">
        <f>IF(B$24=0,0,B12/B$24)</f>
        <v>0</v>
      </c>
      <c r="E12" s="84" t="s">
        <v>79</v>
      </c>
      <c r="F12" s="80" t="s">
        <v>32</v>
      </c>
      <c r="G12" s="66">
        <v>0</v>
      </c>
      <c r="H12" s="27">
        <f>IF(B$25=0,0,G12/B$25)</f>
        <v>0</v>
      </c>
    </row>
    <row r="13" spans="1:16" x14ac:dyDescent="0.4">
      <c r="A13" s="74" t="s">
        <v>125</v>
      </c>
      <c r="B13" s="66">
        <v>0</v>
      </c>
      <c r="C13" s="27">
        <f>IF(B$24=0,0,B13/B$24)</f>
        <v>0</v>
      </c>
      <c r="E13" s="84" t="s">
        <v>80</v>
      </c>
      <c r="F13" s="80" t="s">
        <v>33</v>
      </c>
      <c r="G13" s="66">
        <v>0</v>
      </c>
      <c r="H13" s="27">
        <f>IF(B$25=0,0,G13/B$25)</f>
        <v>0</v>
      </c>
    </row>
    <row r="14" spans="1:16" x14ac:dyDescent="0.4">
      <c r="A14" s="73" t="s">
        <v>132</v>
      </c>
      <c r="B14" s="65">
        <v>0</v>
      </c>
      <c r="C14" s="24">
        <f>IF(B$12=0,0,B14/B$12)</f>
        <v>0</v>
      </c>
      <c r="E14" s="84" t="s">
        <v>81</v>
      </c>
      <c r="F14" s="80" t="s">
        <v>34</v>
      </c>
      <c r="G14" s="66">
        <v>0</v>
      </c>
      <c r="H14" s="27">
        <f>IF(B$25=0,0,G14/B$25)</f>
        <v>0</v>
      </c>
    </row>
    <row r="15" spans="1:16" x14ac:dyDescent="0.4">
      <c r="A15" s="73" t="s">
        <v>133</v>
      </c>
      <c r="B15" s="65">
        <v>0</v>
      </c>
      <c r="C15" s="24">
        <f>IF(B$13=0,0,B15/B$13)</f>
        <v>0</v>
      </c>
      <c r="E15" s="84" t="s">
        <v>82</v>
      </c>
      <c r="F15" s="80" t="s">
        <v>35</v>
      </c>
      <c r="G15" s="66">
        <v>0</v>
      </c>
      <c r="H15" s="27">
        <f>IF(B$25=0,0,G15/B$25)</f>
        <v>0</v>
      </c>
    </row>
    <row r="16" spans="1:16" x14ac:dyDescent="0.4">
      <c r="A16" s="73" t="s">
        <v>10</v>
      </c>
      <c r="B16" s="65">
        <f>B17+B18</f>
        <v>2</v>
      </c>
      <c r="C16" s="24">
        <f>IF(B$3=0,0,B16/B$3)</f>
        <v>0.4</v>
      </c>
      <c r="E16" s="84" t="s">
        <v>83</v>
      </c>
      <c r="F16" s="80" t="s">
        <v>36</v>
      </c>
      <c r="G16" s="66">
        <v>0</v>
      </c>
      <c r="H16" s="27">
        <f>IF(B$25=0,0,G16/B$25)</f>
        <v>0</v>
      </c>
    </row>
    <row r="17" spans="1:8" x14ac:dyDescent="0.4">
      <c r="A17" s="74" t="s">
        <v>11</v>
      </c>
      <c r="B17" s="66">
        <v>2</v>
      </c>
      <c r="C17" s="27">
        <f>IF(B$3=0,0,B17/B$3)</f>
        <v>0.4</v>
      </c>
      <c r="E17" s="84" t="s">
        <v>84</v>
      </c>
      <c r="F17" s="80" t="s">
        <v>37</v>
      </c>
      <c r="G17" s="66">
        <v>0</v>
      </c>
      <c r="H17" s="27">
        <f>IF(B$25=0,0,G17/B$25)</f>
        <v>0</v>
      </c>
    </row>
    <row r="18" spans="1:8" x14ac:dyDescent="0.4">
      <c r="A18" s="74" t="s">
        <v>12</v>
      </c>
      <c r="B18" s="66">
        <v>0</v>
      </c>
      <c r="C18" s="27">
        <f>IF(B$3=0,0,B18/B$3)</f>
        <v>0</v>
      </c>
      <c r="E18" s="84" t="s">
        <v>85</v>
      </c>
      <c r="F18" s="80" t="s">
        <v>38</v>
      </c>
      <c r="G18" s="66">
        <v>0</v>
      </c>
      <c r="H18" s="27">
        <f>IF(B$25=0,0,G18/B$25)</f>
        <v>0</v>
      </c>
    </row>
    <row r="19" spans="1:8" x14ac:dyDescent="0.4">
      <c r="A19" s="74" t="s">
        <v>13</v>
      </c>
      <c r="B19" s="66">
        <v>1</v>
      </c>
      <c r="C19" s="27">
        <f>IF(B$3=0,0,B19/B$3)</f>
        <v>0.2</v>
      </c>
      <c r="E19" s="84" t="s">
        <v>86</v>
      </c>
      <c r="F19" s="80" t="s">
        <v>39</v>
      </c>
      <c r="G19" s="66">
        <v>0</v>
      </c>
      <c r="H19" s="27">
        <f>IF(B$25=0,0,G19/B$25)</f>
        <v>0</v>
      </c>
    </row>
    <row r="20" spans="1:8" x14ac:dyDescent="0.4">
      <c r="A20" s="74" t="s">
        <v>5</v>
      </c>
      <c r="B20" s="70">
        <f>IF(B$16=0,0,C20/B$16)</f>
        <v>8000</v>
      </c>
      <c r="C20" s="30">
        <v>16000</v>
      </c>
      <c r="E20" s="84" t="s">
        <v>87</v>
      </c>
      <c r="F20" s="80" t="s">
        <v>40</v>
      </c>
      <c r="G20" s="66">
        <v>0</v>
      </c>
      <c r="H20" s="27">
        <f>IF(B$25=0,0,G20/B$25)</f>
        <v>0</v>
      </c>
    </row>
    <row r="21" spans="1:8" x14ac:dyDescent="0.4">
      <c r="A21" s="76" t="s">
        <v>14</v>
      </c>
      <c r="B21" s="71">
        <f>IF(B$19=0,0,C21/B$19)</f>
        <v>-12000</v>
      </c>
      <c r="C21" s="60">
        <v>-12000</v>
      </c>
      <c r="E21" s="84" t="s">
        <v>88</v>
      </c>
      <c r="F21" s="80" t="s">
        <v>41</v>
      </c>
      <c r="G21" s="66">
        <v>0</v>
      </c>
      <c r="H21" s="27">
        <f>IF(B$25=0,0,G21/B$25)</f>
        <v>0</v>
      </c>
    </row>
    <row r="22" spans="1:8" x14ac:dyDescent="0.4">
      <c r="A22" s="73" t="s">
        <v>198</v>
      </c>
      <c r="B22" s="65">
        <v>1</v>
      </c>
      <c r="C22" s="24">
        <f>IF(B$3=0,0,B22/B$3)</f>
        <v>0.2</v>
      </c>
      <c r="E22" s="84" t="s">
        <v>89</v>
      </c>
      <c r="F22" s="80" t="s">
        <v>42</v>
      </c>
      <c r="G22" s="66">
        <v>0</v>
      </c>
      <c r="H22" s="27">
        <f>IF(B$25=0,0,G22/B$25)</f>
        <v>0</v>
      </c>
    </row>
    <row r="23" spans="1:8" x14ac:dyDescent="0.4">
      <c r="A23" s="76" t="s">
        <v>199</v>
      </c>
      <c r="B23" s="68">
        <v>0</v>
      </c>
      <c r="C23" s="32">
        <f>IF(B$22=0,0,B23/B$22)</f>
        <v>0</v>
      </c>
      <c r="E23" s="84" t="s">
        <v>90</v>
      </c>
      <c r="F23" s="80" t="s">
        <v>43</v>
      </c>
      <c r="G23" s="66">
        <v>0</v>
      </c>
      <c r="H23" s="27">
        <f>IF(B$25=0,0,G23/B$25)</f>
        <v>0</v>
      </c>
    </row>
    <row r="24" spans="1:8" x14ac:dyDescent="0.4">
      <c r="A24" s="73" t="s">
        <v>128</v>
      </c>
      <c r="B24" s="86">
        <v>0</v>
      </c>
      <c r="C24" s="87"/>
      <c r="E24" s="84" t="s">
        <v>91</v>
      </c>
      <c r="F24" s="80" t="s">
        <v>44</v>
      </c>
      <c r="G24" s="66">
        <v>0</v>
      </c>
      <c r="H24" s="27">
        <f>IF(B$25=0,0,G24/B$25)</f>
        <v>0</v>
      </c>
    </row>
    <row r="25" spans="1:8" x14ac:dyDescent="0.4">
      <c r="A25" s="76" t="s">
        <v>129</v>
      </c>
      <c r="B25" s="94">
        <v>0</v>
      </c>
      <c r="C25" s="95"/>
      <c r="E25" s="84" t="s">
        <v>92</v>
      </c>
      <c r="F25" s="80" t="s">
        <v>45</v>
      </c>
      <c r="G25" s="66">
        <v>0</v>
      </c>
      <c r="H25" s="27">
        <f>IF(B$25=0,0,G25/B$25)</f>
        <v>0</v>
      </c>
    </row>
    <row r="26" spans="1:8" x14ac:dyDescent="0.4">
      <c r="E26" s="84" t="s">
        <v>93</v>
      </c>
      <c r="F26" s="80" t="s">
        <v>46</v>
      </c>
      <c r="G26" s="66">
        <v>0</v>
      </c>
      <c r="H26" s="27">
        <f>IF(B$25=0,0,G26/B$25)</f>
        <v>0</v>
      </c>
    </row>
    <row r="27" spans="1:8" x14ac:dyDescent="0.4">
      <c r="E27" s="84" t="s">
        <v>94</v>
      </c>
      <c r="F27" s="80" t="s">
        <v>47</v>
      </c>
      <c r="G27" s="66">
        <v>0</v>
      </c>
      <c r="H27" s="27">
        <f>IF(B$25=0,0,G27/B$25)</f>
        <v>0</v>
      </c>
    </row>
    <row r="28" spans="1:8" x14ac:dyDescent="0.4">
      <c r="E28" s="84" t="s">
        <v>95</v>
      </c>
      <c r="F28" s="80" t="s">
        <v>48</v>
      </c>
      <c r="G28" s="66">
        <v>0</v>
      </c>
      <c r="H28" s="27">
        <f>IF(B$25=0,0,G28/B$25)</f>
        <v>0</v>
      </c>
    </row>
    <row r="29" spans="1:8" x14ac:dyDescent="0.4">
      <c r="E29" s="84" t="s">
        <v>96</v>
      </c>
      <c r="F29" s="80" t="s">
        <v>49</v>
      </c>
      <c r="G29" s="66">
        <v>0</v>
      </c>
      <c r="H29" s="27">
        <f>IF(B$25=0,0,G29/B$25)</f>
        <v>0</v>
      </c>
    </row>
    <row r="30" spans="1:8" x14ac:dyDescent="0.4">
      <c r="E30" s="84" t="s">
        <v>97</v>
      </c>
      <c r="F30" s="80" t="s">
        <v>50</v>
      </c>
      <c r="G30" s="66">
        <v>0</v>
      </c>
      <c r="H30" s="27">
        <f>IF(B$25=0,0,G30/B$25)</f>
        <v>0</v>
      </c>
    </row>
    <row r="31" spans="1:8" x14ac:dyDescent="0.4">
      <c r="E31" s="84" t="s">
        <v>98</v>
      </c>
      <c r="F31" s="80" t="s">
        <v>51</v>
      </c>
      <c r="G31" s="66">
        <v>0</v>
      </c>
      <c r="H31" s="27">
        <f>IF(B$25=0,0,G31/B$25)</f>
        <v>0</v>
      </c>
    </row>
    <row r="32" spans="1:8" x14ac:dyDescent="0.4">
      <c r="E32" s="84" t="s">
        <v>99</v>
      </c>
      <c r="F32" s="80" t="s">
        <v>52</v>
      </c>
      <c r="G32" s="66">
        <v>0</v>
      </c>
      <c r="H32" s="27">
        <f>IF(B$25=0,0,G32/B$25)</f>
        <v>0</v>
      </c>
    </row>
    <row r="33" spans="5:8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</row>
    <row r="34" spans="5:8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</row>
    <row r="35" spans="5:8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</row>
    <row r="36" spans="5:8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</row>
    <row r="37" spans="5:8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</row>
    <row r="38" spans="5:8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</row>
    <row r="39" spans="5:8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</row>
    <row r="40" spans="5:8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</row>
    <row r="41" spans="5:8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</row>
    <row r="42" spans="5:8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</row>
    <row r="43" spans="5:8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</row>
    <row r="44" spans="5:8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</row>
    <row r="45" spans="5:8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</row>
    <row r="46" spans="5:8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</row>
    <row r="47" spans="5:8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8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E8519-737F-4CCB-B328-BB7038870E1E}">
  <sheetPr codeName="Sheet7"/>
  <dimension ref="A1:P70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190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68</v>
      </c>
      <c r="C2" s="87"/>
      <c r="E2" s="83" t="s">
        <v>73</v>
      </c>
      <c r="F2" s="79" t="s">
        <v>27</v>
      </c>
      <c r="G2" s="65">
        <v>46</v>
      </c>
      <c r="H2" s="24">
        <f>IF(B$25=0,0,G2/B$25)</f>
        <v>0.75409836065573765</v>
      </c>
      <c r="J2" s="23">
        <v>0</v>
      </c>
      <c r="K2" s="25">
        <v>0</v>
      </c>
      <c r="M2" s="23" t="s">
        <v>201</v>
      </c>
      <c r="N2" s="56">
        <f t="shared" ref="N2:N7" si="0">IF(P2=0,0,O2/P2)</f>
        <v>-671.64179104477614</v>
      </c>
      <c r="O2" s="53">
        <v>-45000</v>
      </c>
      <c r="P2" s="51">
        <v>67</v>
      </c>
    </row>
    <row r="3" spans="1:16" x14ac:dyDescent="0.4">
      <c r="A3" s="74" t="s">
        <v>8</v>
      </c>
      <c r="B3" s="88">
        <v>510</v>
      </c>
      <c r="C3" s="89"/>
      <c r="E3" s="84" t="s">
        <v>69</v>
      </c>
      <c r="F3" s="80" t="s">
        <v>23</v>
      </c>
      <c r="G3" s="66">
        <v>37</v>
      </c>
      <c r="H3" s="27">
        <f>IF(B$25=0,0,G3/B$25)</f>
        <v>0.60655737704918034</v>
      </c>
      <c r="J3" s="26">
        <v>1</v>
      </c>
      <c r="K3" s="28">
        <v>40.9</v>
      </c>
      <c r="M3" s="26" t="s">
        <v>202</v>
      </c>
      <c r="N3" s="57">
        <f t="shared" si="0"/>
        <v>-2565.0793650793653</v>
      </c>
      <c r="O3" s="54">
        <v>-161600</v>
      </c>
      <c r="P3" s="49">
        <v>63</v>
      </c>
    </row>
    <row r="4" spans="1:16" x14ac:dyDescent="0.4">
      <c r="A4" s="74" t="s">
        <v>6</v>
      </c>
      <c r="B4" s="90">
        <v>-407.2999999999999</v>
      </c>
      <c r="C4" s="91"/>
      <c r="E4" s="84" t="s">
        <v>78</v>
      </c>
      <c r="F4" s="80" t="s">
        <v>31</v>
      </c>
      <c r="G4" s="66">
        <v>34</v>
      </c>
      <c r="H4" s="27">
        <f>IF(B$25=0,0,G4/B$25)</f>
        <v>0.55737704918032782</v>
      </c>
      <c r="J4" s="26">
        <v>2</v>
      </c>
      <c r="K4" s="28">
        <v>-0.89999999999999858</v>
      </c>
      <c r="M4" s="26" t="s">
        <v>203</v>
      </c>
      <c r="N4" s="57">
        <f t="shared" si="0"/>
        <v>2037.704918032787</v>
      </c>
      <c r="O4" s="54">
        <v>124300</v>
      </c>
      <c r="P4" s="49">
        <v>61</v>
      </c>
    </row>
    <row r="5" spans="1:16" x14ac:dyDescent="0.4">
      <c r="A5" s="74" t="s">
        <v>7</v>
      </c>
      <c r="B5" s="90">
        <f>IF(B$2=0,0,B$4/B$2)</f>
        <v>-5.9897058823529399</v>
      </c>
      <c r="C5" s="91"/>
      <c r="E5" s="84" t="s">
        <v>71</v>
      </c>
      <c r="F5" s="80" t="s">
        <v>25</v>
      </c>
      <c r="G5" s="66">
        <v>32</v>
      </c>
      <c r="H5" s="27">
        <f>IF(B$25=0,0,G5/B$25)</f>
        <v>0.52459016393442626</v>
      </c>
      <c r="J5" s="26">
        <v>3</v>
      </c>
      <c r="K5" s="28">
        <v>-36.4</v>
      </c>
      <c r="M5" s="26" t="s">
        <v>204</v>
      </c>
      <c r="N5" s="57">
        <f t="shared" si="0"/>
        <v>-1531.4814814814815</v>
      </c>
      <c r="O5" s="54">
        <v>-82700</v>
      </c>
      <c r="P5" s="49">
        <v>54</v>
      </c>
    </row>
    <row r="6" spans="1:16" x14ac:dyDescent="0.4">
      <c r="A6" s="74" t="s">
        <v>1</v>
      </c>
      <c r="B6" s="92">
        <f>IF(B$2=0,0,(B$7*1+B$8*2+B$9*3)/B$2)</f>
        <v>2.1764705882352939</v>
      </c>
      <c r="C6" s="93"/>
      <c r="E6" s="84" t="s">
        <v>74</v>
      </c>
      <c r="F6" s="80" t="s">
        <v>12</v>
      </c>
      <c r="G6" s="66">
        <v>22</v>
      </c>
      <c r="H6" s="27">
        <f>IF(B$25=0,0,G6/B$25)</f>
        <v>0.36065573770491804</v>
      </c>
      <c r="J6" s="26">
        <v>4</v>
      </c>
      <c r="K6" s="28">
        <v>3.6000000000000014</v>
      </c>
      <c r="M6" s="26" t="s">
        <v>205</v>
      </c>
      <c r="N6" s="57">
        <f t="shared" si="0"/>
        <v>-4525.5813953488368</v>
      </c>
      <c r="O6" s="54">
        <v>-194600</v>
      </c>
      <c r="P6" s="49">
        <v>43</v>
      </c>
    </row>
    <row r="7" spans="1:16" x14ac:dyDescent="0.4">
      <c r="A7" s="74" t="s">
        <v>2</v>
      </c>
      <c r="B7" s="66">
        <v>19</v>
      </c>
      <c r="C7" s="27">
        <f>IF(B$2=0,0,B7/B$2)</f>
        <v>0.27941176470588236</v>
      </c>
      <c r="E7" s="84" t="s">
        <v>72</v>
      </c>
      <c r="F7" s="80" t="s">
        <v>26</v>
      </c>
      <c r="G7" s="66">
        <v>14</v>
      </c>
      <c r="H7" s="27">
        <f>IF(B$25=0,0,G7/B$25)</f>
        <v>0.22950819672131148</v>
      </c>
      <c r="J7" s="26">
        <v>5</v>
      </c>
      <c r="K7" s="28">
        <v>14.600000000000001</v>
      </c>
      <c r="M7" s="31" t="s">
        <v>206</v>
      </c>
      <c r="N7" s="58">
        <f t="shared" si="0"/>
        <v>-2764.516129032258</v>
      </c>
      <c r="O7" s="55">
        <v>-85700</v>
      </c>
      <c r="P7" s="50">
        <v>31</v>
      </c>
    </row>
    <row r="8" spans="1:16" x14ac:dyDescent="0.4">
      <c r="A8" s="74" t="s">
        <v>3</v>
      </c>
      <c r="B8" s="66">
        <v>18</v>
      </c>
      <c r="C8" s="27">
        <f t="shared" ref="C8:C9" si="1">IF(B$2=0,0,B8/B$2)</f>
        <v>0.26470588235294118</v>
      </c>
      <c r="E8" s="84" t="s">
        <v>96</v>
      </c>
      <c r="F8" s="80" t="s">
        <v>49</v>
      </c>
      <c r="G8" s="66">
        <v>12</v>
      </c>
      <c r="H8" s="27">
        <f>IF(B$25=0,0,G8/B$25)</f>
        <v>0.19672131147540983</v>
      </c>
      <c r="J8" s="26">
        <v>6</v>
      </c>
      <c r="K8" s="28">
        <v>47.6</v>
      </c>
    </row>
    <row r="9" spans="1:16" x14ac:dyDescent="0.4">
      <c r="A9" s="75" t="s">
        <v>4</v>
      </c>
      <c r="B9" s="67">
        <v>31</v>
      </c>
      <c r="C9" s="29">
        <f t="shared" si="1"/>
        <v>0.45588235294117646</v>
      </c>
      <c r="E9" s="84" t="s">
        <v>76</v>
      </c>
      <c r="F9" s="80" t="s">
        <v>29</v>
      </c>
      <c r="G9" s="66">
        <v>10</v>
      </c>
      <c r="H9" s="27">
        <f>IF(B$25=0,0,G9/B$25)</f>
        <v>0.16393442622950818</v>
      </c>
      <c r="J9" s="26">
        <v>7</v>
      </c>
      <c r="K9" s="28">
        <v>100.1</v>
      </c>
    </row>
    <row r="10" spans="1:16" x14ac:dyDescent="0.4">
      <c r="A10" s="75" t="s">
        <v>21</v>
      </c>
      <c r="B10" s="67">
        <v>19</v>
      </c>
      <c r="C10" s="29">
        <f>IF(B$2=0,0,B10/B$2)</f>
        <v>0.27941176470588236</v>
      </c>
      <c r="E10" s="84" t="s">
        <v>93</v>
      </c>
      <c r="F10" s="80" t="s">
        <v>46</v>
      </c>
      <c r="G10" s="66">
        <v>9</v>
      </c>
      <c r="H10" s="27">
        <f>IF(B$25=0,0,G10/B$25)</f>
        <v>0.14754098360655737</v>
      </c>
      <c r="J10" s="26">
        <v>8</v>
      </c>
      <c r="K10" s="28">
        <v>60.199999999999996</v>
      </c>
    </row>
    <row r="11" spans="1:16" x14ac:dyDescent="0.4">
      <c r="A11" s="76" t="s">
        <v>211</v>
      </c>
      <c r="B11" s="68">
        <v>11</v>
      </c>
      <c r="C11" s="32">
        <f>IF(B$2=0,0,B11/B$2)</f>
        <v>0.16176470588235295</v>
      </c>
      <c r="E11" s="84" t="s">
        <v>70</v>
      </c>
      <c r="F11" s="80" t="s">
        <v>24</v>
      </c>
      <c r="G11" s="66">
        <v>7</v>
      </c>
      <c r="H11" s="27">
        <f>IF(B$25=0,0,G11/B$25)</f>
        <v>0.11475409836065574</v>
      </c>
      <c r="J11" s="26">
        <v>9</v>
      </c>
      <c r="K11" s="28">
        <v>24.4</v>
      </c>
    </row>
    <row r="12" spans="1:16" x14ac:dyDescent="0.4">
      <c r="A12" s="77" t="s">
        <v>130</v>
      </c>
      <c r="B12" s="69">
        <v>71</v>
      </c>
      <c r="C12" s="35">
        <f>IF(B$24=0,0,B12/B$24)</f>
        <v>0.28514056224899598</v>
      </c>
      <c r="E12" s="84" t="s">
        <v>75</v>
      </c>
      <c r="F12" s="80" t="s">
        <v>28</v>
      </c>
      <c r="G12" s="66">
        <v>7</v>
      </c>
      <c r="H12" s="27">
        <f>IF(B$25=0,0,G12/B$25)</f>
        <v>0.11475409836065574</v>
      </c>
      <c r="J12" s="26">
        <v>10</v>
      </c>
      <c r="K12" s="28">
        <v>-20.100000000000001</v>
      </c>
    </row>
    <row r="13" spans="1:16" x14ac:dyDescent="0.4">
      <c r="A13" s="74" t="s">
        <v>125</v>
      </c>
      <c r="B13" s="66">
        <v>40</v>
      </c>
      <c r="C13" s="27">
        <f>IF(B$24=0,0,B13/B$24)</f>
        <v>0.1606425702811245</v>
      </c>
      <c r="E13" s="84" t="s">
        <v>90</v>
      </c>
      <c r="F13" s="80" t="s">
        <v>43</v>
      </c>
      <c r="G13" s="66">
        <v>5</v>
      </c>
      <c r="H13" s="27">
        <f>IF(B$25=0,0,G13/B$25)</f>
        <v>8.1967213114754092E-2</v>
      </c>
      <c r="J13" s="26">
        <v>11</v>
      </c>
      <c r="K13" s="28">
        <v>-3.6000000000000014</v>
      </c>
    </row>
    <row r="14" spans="1:16" x14ac:dyDescent="0.4">
      <c r="A14" s="73" t="s">
        <v>132</v>
      </c>
      <c r="B14" s="65">
        <v>37</v>
      </c>
      <c r="C14" s="24">
        <f>IF(B$12=0,0,B14/B$12)</f>
        <v>0.52112676056338025</v>
      </c>
      <c r="E14" s="84" t="s">
        <v>77</v>
      </c>
      <c r="F14" s="80" t="s">
        <v>30</v>
      </c>
      <c r="G14" s="66">
        <v>2</v>
      </c>
      <c r="H14" s="27">
        <f>IF(B$25=0,0,G14/B$25)</f>
        <v>3.2786885245901641E-2</v>
      </c>
      <c r="J14" s="26">
        <v>12</v>
      </c>
      <c r="K14" s="28">
        <v>-12.000000000000002</v>
      </c>
    </row>
    <row r="15" spans="1:16" x14ac:dyDescent="0.4">
      <c r="A15" s="73" t="s">
        <v>133</v>
      </c>
      <c r="B15" s="65">
        <v>14</v>
      </c>
      <c r="C15" s="24">
        <f>IF(B$13=0,0,B15/B$13)</f>
        <v>0.35</v>
      </c>
      <c r="E15" s="84" t="s">
        <v>88</v>
      </c>
      <c r="F15" s="80" t="s">
        <v>41</v>
      </c>
      <c r="G15" s="66">
        <v>2</v>
      </c>
      <c r="H15" s="27">
        <f>IF(B$25=0,0,G15/B$25)</f>
        <v>3.2786885245901641E-2</v>
      </c>
      <c r="J15" s="26">
        <v>13</v>
      </c>
      <c r="K15" s="28">
        <v>49.5</v>
      </c>
    </row>
    <row r="16" spans="1:16" x14ac:dyDescent="0.4">
      <c r="A16" s="73" t="s">
        <v>10</v>
      </c>
      <c r="B16" s="65">
        <f>B17+B18</f>
        <v>122</v>
      </c>
      <c r="C16" s="24">
        <f>IF(B$3=0,0,B16/B$3)</f>
        <v>0.23921568627450981</v>
      </c>
      <c r="E16" s="84" t="s">
        <v>98</v>
      </c>
      <c r="F16" s="80" t="s">
        <v>51</v>
      </c>
      <c r="G16" s="66">
        <v>2</v>
      </c>
      <c r="H16" s="27">
        <f>IF(B$25=0,0,G16/B$25)</f>
        <v>3.2786885245901641E-2</v>
      </c>
      <c r="J16" s="26">
        <v>14</v>
      </c>
      <c r="K16" s="28">
        <v>33</v>
      </c>
    </row>
    <row r="17" spans="1:11" x14ac:dyDescent="0.4">
      <c r="A17" s="74" t="s">
        <v>11</v>
      </c>
      <c r="B17" s="66">
        <v>71</v>
      </c>
      <c r="C17" s="27">
        <f>IF(B$3=0,0,B17/B$3)</f>
        <v>0.13921568627450981</v>
      </c>
      <c r="E17" s="84" t="s">
        <v>99</v>
      </c>
      <c r="F17" s="80" t="s">
        <v>52</v>
      </c>
      <c r="G17" s="66">
        <v>2</v>
      </c>
      <c r="H17" s="27">
        <f>IF(B$25=0,0,G17/B$25)</f>
        <v>3.2786885245901641E-2</v>
      </c>
      <c r="J17" s="26">
        <v>15</v>
      </c>
      <c r="K17" s="28">
        <v>38.5</v>
      </c>
    </row>
    <row r="18" spans="1:11" x14ac:dyDescent="0.4">
      <c r="A18" s="74" t="s">
        <v>12</v>
      </c>
      <c r="B18" s="66">
        <v>51</v>
      </c>
      <c r="C18" s="27">
        <f>IF(B$3=0,0,B18/B$3)</f>
        <v>0.1</v>
      </c>
      <c r="E18" s="84" t="s">
        <v>85</v>
      </c>
      <c r="F18" s="80" t="s">
        <v>38</v>
      </c>
      <c r="G18" s="66">
        <v>1</v>
      </c>
      <c r="H18" s="27">
        <f>IF(B$25=0,0,G18/B$25)</f>
        <v>1.6393442622950821E-2</v>
      </c>
      <c r="J18" s="26">
        <v>16</v>
      </c>
      <c r="K18" s="28">
        <v>14.600000000000001</v>
      </c>
    </row>
    <row r="19" spans="1:11" x14ac:dyDescent="0.4">
      <c r="A19" s="74" t="s">
        <v>13</v>
      </c>
      <c r="B19" s="66">
        <v>104</v>
      </c>
      <c r="C19" s="27">
        <f>IF(B$3=0,0,B19/B$3)</f>
        <v>0.20392156862745098</v>
      </c>
      <c r="E19" s="84" t="s">
        <v>91</v>
      </c>
      <c r="F19" s="80" t="s">
        <v>44</v>
      </c>
      <c r="G19" s="66">
        <v>1</v>
      </c>
      <c r="H19" s="27">
        <f>IF(B$25=0,0,G19/B$25)</f>
        <v>1.6393442622950821E-2</v>
      </c>
      <c r="J19" s="26">
        <v>17</v>
      </c>
      <c r="K19" s="28">
        <v>13.900000000000002</v>
      </c>
    </row>
    <row r="20" spans="1:11" x14ac:dyDescent="0.4">
      <c r="A20" s="74" t="s">
        <v>5</v>
      </c>
      <c r="B20" s="70">
        <f>IF(B$16=0,0,C20/B$16)</f>
        <v>11481.967213114754</v>
      </c>
      <c r="C20" s="30">
        <v>1400800</v>
      </c>
      <c r="E20" s="84" t="s">
        <v>92</v>
      </c>
      <c r="F20" s="80" t="s">
        <v>45</v>
      </c>
      <c r="G20" s="66">
        <v>1</v>
      </c>
      <c r="H20" s="27">
        <f>IF(B$25=0,0,G20/B$25)</f>
        <v>1.6393442622950821E-2</v>
      </c>
      <c r="J20" s="26">
        <v>18</v>
      </c>
      <c r="K20" s="28">
        <v>-21.999999999999996</v>
      </c>
    </row>
    <row r="21" spans="1:11" x14ac:dyDescent="0.4">
      <c r="A21" s="76" t="s">
        <v>14</v>
      </c>
      <c r="B21" s="71">
        <f>IF(B$19=0,0,C21/B$19)</f>
        <v>-10577.884615384615</v>
      </c>
      <c r="C21" s="60">
        <v>-1100100</v>
      </c>
      <c r="E21" s="84" t="s">
        <v>94</v>
      </c>
      <c r="F21" s="80" t="s">
        <v>47</v>
      </c>
      <c r="G21" s="66">
        <v>1</v>
      </c>
      <c r="H21" s="27">
        <f>IF(B$25=0,0,G21/B$25)</f>
        <v>1.6393442622950821E-2</v>
      </c>
      <c r="J21" s="26">
        <v>19</v>
      </c>
      <c r="K21" s="28">
        <v>-26.699999999999996</v>
      </c>
    </row>
    <row r="22" spans="1:11" x14ac:dyDescent="0.4">
      <c r="A22" s="73" t="s">
        <v>198</v>
      </c>
      <c r="B22" s="65">
        <v>155</v>
      </c>
      <c r="C22" s="24">
        <f>IF(B$3=0,0,B22/B$3)</f>
        <v>0.30392156862745096</v>
      </c>
      <c r="E22" s="84" t="s">
        <v>95</v>
      </c>
      <c r="F22" s="80" t="s">
        <v>48</v>
      </c>
      <c r="G22" s="66">
        <v>1</v>
      </c>
      <c r="H22" s="27">
        <f>IF(B$25=0,0,G22/B$25)</f>
        <v>1.6393442622950821E-2</v>
      </c>
      <c r="J22" s="26">
        <v>20</v>
      </c>
      <c r="K22" s="28">
        <v>-57.899999999999991</v>
      </c>
    </row>
    <row r="23" spans="1:11" x14ac:dyDescent="0.4">
      <c r="A23" s="76" t="s">
        <v>199</v>
      </c>
      <c r="B23" s="68">
        <v>46</v>
      </c>
      <c r="C23" s="32">
        <f>IF(B$22=0,0,B23/B$22)</f>
        <v>0.29677419354838708</v>
      </c>
      <c r="E23" s="84" t="s">
        <v>79</v>
      </c>
      <c r="F23" s="80" t="s">
        <v>32</v>
      </c>
      <c r="G23" s="66">
        <v>0</v>
      </c>
      <c r="H23" s="27">
        <f>IF(B$25=0,0,G23/B$25)</f>
        <v>0</v>
      </c>
      <c r="J23" s="26">
        <v>21</v>
      </c>
      <c r="K23" s="28">
        <v>-82.699999999999989</v>
      </c>
    </row>
    <row r="24" spans="1:11" x14ac:dyDescent="0.4">
      <c r="A24" s="73" t="s">
        <v>128</v>
      </c>
      <c r="B24" s="86">
        <v>249</v>
      </c>
      <c r="C24" s="87"/>
      <c r="E24" s="84" t="s">
        <v>80</v>
      </c>
      <c r="F24" s="80" t="s">
        <v>33</v>
      </c>
      <c r="G24" s="66">
        <v>0</v>
      </c>
      <c r="H24" s="27">
        <f>IF(B$25=0,0,G24/B$25)</f>
        <v>0</v>
      </c>
      <c r="J24" s="26">
        <v>22</v>
      </c>
      <c r="K24" s="28">
        <v>-94.6</v>
      </c>
    </row>
    <row r="25" spans="1:11" x14ac:dyDescent="0.4">
      <c r="A25" s="76" t="s">
        <v>129</v>
      </c>
      <c r="B25" s="94">
        <v>61</v>
      </c>
      <c r="C25" s="95"/>
      <c r="E25" s="84" t="s">
        <v>81</v>
      </c>
      <c r="F25" s="80" t="s">
        <v>34</v>
      </c>
      <c r="G25" s="66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4" t="s">
        <v>82</v>
      </c>
      <c r="F26" s="80" t="s">
        <v>35</v>
      </c>
      <c r="G26" s="66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4" t="s">
        <v>83</v>
      </c>
      <c r="F27" s="80" t="s">
        <v>36</v>
      </c>
      <c r="G27" s="66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4" t="s">
        <v>84</v>
      </c>
      <c r="F28" s="80" t="s">
        <v>37</v>
      </c>
      <c r="G28" s="66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4" t="s">
        <v>86</v>
      </c>
      <c r="F29" s="80" t="s">
        <v>39</v>
      </c>
      <c r="G29" s="66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4" t="s">
        <v>87</v>
      </c>
      <c r="F30" s="80" t="s">
        <v>40</v>
      </c>
      <c r="G30" s="66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4" t="s">
        <v>89</v>
      </c>
      <c r="F31" s="80" t="s">
        <v>42</v>
      </c>
      <c r="G31" s="66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4" t="s">
        <v>97</v>
      </c>
      <c r="F32" s="80" t="s">
        <v>50</v>
      </c>
      <c r="G32" s="66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</sheetData>
  <sortState xmlns:xlrd2="http://schemas.microsoft.com/office/spreadsheetml/2017/richdata2" ref="E2:H70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002E9-A21F-4A38-B498-D4F73EEF8BC4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191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39</v>
      </c>
      <c r="C2" s="87"/>
      <c r="E2" s="83" t="s">
        <v>71</v>
      </c>
      <c r="F2" s="79" t="s">
        <v>25</v>
      </c>
      <c r="G2" s="65">
        <v>8</v>
      </c>
      <c r="H2" s="24">
        <f>IF(B$25=0,0,G2/B$25)</f>
        <v>0.8</v>
      </c>
      <c r="J2" s="23">
        <v>0</v>
      </c>
      <c r="K2" s="25">
        <v>0</v>
      </c>
      <c r="M2" s="23" t="s">
        <v>201</v>
      </c>
      <c r="N2" s="56">
        <f t="shared" ref="N2:N7" si="0">IF(P2=0,0,O2/P2)</f>
        <v>-651.28205128205127</v>
      </c>
      <c r="O2" s="53">
        <v>-25400</v>
      </c>
      <c r="P2" s="51">
        <v>39</v>
      </c>
    </row>
    <row r="3" spans="1:16" x14ac:dyDescent="0.4">
      <c r="A3" s="74" t="s">
        <v>8</v>
      </c>
      <c r="B3" s="88">
        <v>271</v>
      </c>
      <c r="C3" s="89"/>
      <c r="E3" s="84" t="s">
        <v>73</v>
      </c>
      <c r="F3" s="80" t="s">
        <v>27</v>
      </c>
      <c r="G3" s="66">
        <v>8</v>
      </c>
      <c r="H3" s="27">
        <f>IF(B$25=0,0,G3/B$25)</f>
        <v>0.8</v>
      </c>
      <c r="J3" s="26">
        <v>1</v>
      </c>
      <c r="K3" s="28">
        <v>-39.9</v>
      </c>
      <c r="M3" s="26" t="s">
        <v>202</v>
      </c>
      <c r="N3" s="57">
        <f t="shared" si="0"/>
        <v>3491.8918918918921</v>
      </c>
      <c r="O3" s="54">
        <v>129200</v>
      </c>
      <c r="P3" s="49">
        <v>37</v>
      </c>
    </row>
    <row r="4" spans="1:16" x14ac:dyDescent="0.4">
      <c r="A4" s="74" t="s">
        <v>6</v>
      </c>
      <c r="B4" s="90">
        <v>233.00000000000003</v>
      </c>
      <c r="C4" s="91"/>
      <c r="E4" s="84" t="s">
        <v>78</v>
      </c>
      <c r="F4" s="80" t="s">
        <v>31</v>
      </c>
      <c r="G4" s="66">
        <v>8</v>
      </c>
      <c r="H4" s="27">
        <f>IF(B$25=0,0,G4/B$25)</f>
        <v>0.8</v>
      </c>
      <c r="J4" s="26">
        <v>2</v>
      </c>
      <c r="K4" s="28">
        <v>-13.2</v>
      </c>
      <c r="M4" s="26" t="s">
        <v>203</v>
      </c>
      <c r="N4" s="57">
        <f t="shared" si="0"/>
        <v>-1894.2857142857142</v>
      </c>
      <c r="O4" s="54">
        <v>-66300</v>
      </c>
      <c r="P4" s="49">
        <v>35</v>
      </c>
    </row>
    <row r="5" spans="1:16" x14ac:dyDescent="0.4">
      <c r="A5" s="74" t="s">
        <v>7</v>
      </c>
      <c r="B5" s="90">
        <f>IF(B$2=0,0,B$4/B$2)</f>
        <v>5.9743589743589753</v>
      </c>
      <c r="C5" s="91"/>
      <c r="E5" s="84" t="s">
        <v>69</v>
      </c>
      <c r="F5" s="80" t="s">
        <v>23</v>
      </c>
      <c r="G5" s="66">
        <v>3</v>
      </c>
      <c r="H5" s="27">
        <f>IF(B$25=0,0,G5/B$25)</f>
        <v>0.3</v>
      </c>
      <c r="J5" s="26">
        <v>3</v>
      </c>
      <c r="K5" s="28">
        <v>-57.7</v>
      </c>
      <c r="M5" s="26" t="s">
        <v>204</v>
      </c>
      <c r="N5" s="57">
        <f t="shared" si="0"/>
        <v>-533.33333333333337</v>
      </c>
      <c r="O5" s="54">
        <v>-16000</v>
      </c>
      <c r="P5" s="49">
        <v>30</v>
      </c>
    </row>
    <row r="6" spans="1:16" x14ac:dyDescent="0.4">
      <c r="A6" s="74" t="s">
        <v>1</v>
      </c>
      <c r="B6" s="92">
        <f>IF(B$2=0,0,(B$7*1+B$8*2+B$9*3)/B$2)</f>
        <v>1.8461538461538463</v>
      </c>
      <c r="C6" s="93"/>
      <c r="E6" s="84" t="s">
        <v>72</v>
      </c>
      <c r="F6" s="80" t="s">
        <v>26</v>
      </c>
      <c r="G6" s="66">
        <v>3</v>
      </c>
      <c r="H6" s="27">
        <f>IF(B$25=0,0,G6/B$25)</f>
        <v>0.3</v>
      </c>
      <c r="J6" s="26">
        <v>4</v>
      </c>
      <c r="K6" s="28">
        <v>-53.7</v>
      </c>
      <c r="M6" s="26" t="s">
        <v>205</v>
      </c>
      <c r="N6" s="57">
        <f t="shared" si="0"/>
        <v>7320.833333333333</v>
      </c>
      <c r="O6" s="54">
        <v>175700</v>
      </c>
      <c r="P6" s="49">
        <v>24</v>
      </c>
    </row>
    <row r="7" spans="1:16" x14ac:dyDescent="0.4">
      <c r="A7" s="74" t="s">
        <v>2</v>
      </c>
      <c r="B7" s="66">
        <v>14</v>
      </c>
      <c r="C7" s="27">
        <f>IF(B$2=0,0,B7/B$2)</f>
        <v>0.35897435897435898</v>
      </c>
      <c r="E7" s="84" t="s">
        <v>74</v>
      </c>
      <c r="F7" s="80" t="s">
        <v>12</v>
      </c>
      <c r="G7" s="66">
        <v>2</v>
      </c>
      <c r="H7" s="27">
        <f>IF(B$25=0,0,G7/B$25)</f>
        <v>0.2</v>
      </c>
      <c r="J7" s="26">
        <v>5</v>
      </c>
      <c r="K7" s="28">
        <v>-45.7</v>
      </c>
      <c r="M7" s="31" t="s">
        <v>206</v>
      </c>
      <c r="N7" s="58">
        <f t="shared" si="0"/>
        <v>2728.5714285714284</v>
      </c>
      <c r="O7" s="55">
        <v>38200</v>
      </c>
      <c r="P7" s="50">
        <v>14</v>
      </c>
    </row>
    <row r="8" spans="1:16" x14ac:dyDescent="0.4">
      <c r="A8" s="74" t="s">
        <v>3</v>
      </c>
      <c r="B8" s="66">
        <v>17</v>
      </c>
      <c r="C8" s="27">
        <f t="shared" ref="C8:C9" si="1">IF(B$2=0,0,B8/B$2)</f>
        <v>0.4358974358974359</v>
      </c>
      <c r="E8" s="84" t="s">
        <v>70</v>
      </c>
      <c r="F8" s="80" t="s">
        <v>24</v>
      </c>
      <c r="G8" s="66">
        <v>1</v>
      </c>
      <c r="H8" s="27">
        <f>IF(B$25=0,0,G8/B$25)</f>
        <v>0.1</v>
      </c>
      <c r="J8" s="26">
        <v>6</v>
      </c>
      <c r="K8" s="28">
        <v>-50.6</v>
      </c>
    </row>
    <row r="9" spans="1:16" x14ac:dyDescent="0.4">
      <c r="A9" s="75" t="s">
        <v>4</v>
      </c>
      <c r="B9" s="67">
        <v>8</v>
      </c>
      <c r="C9" s="29">
        <f t="shared" si="1"/>
        <v>0.20512820512820512</v>
      </c>
      <c r="E9" s="84" t="s">
        <v>75</v>
      </c>
      <c r="F9" s="80" t="s">
        <v>28</v>
      </c>
      <c r="G9" s="66">
        <v>1</v>
      </c>
      <c r="H9" s="27">
        <f>IF(B$25=0,0,G9/B$25)</f>
        <v>0.1</v>
      </c>
      <c r="J9" s="26">
        <v>7</v>
      </c>
      <c r="K9" s="28">
        <v>-47.6</v>
      </c>
    </row>
    <row r="10" spans="1:16" x14ac:dyDescent="0.4">
      <c r="A10" s="75" t="s">
        <v>21</v>
      </c>
      <c r="B10" s="67">
        <v>5</v>
      </c>
      <c r="C10" s="29">
        <f>IF(B$2=0,0,B10/B$2)</f>
        <v>0.12820512820512819</v>
      </c>
      <c r="E10" s="84" t="s">
        <v>88</v>
      </c>
      <c r="F10" s="80" t="s">
        <v>41</v>
      </c>
      <c r="G10" s="66">
        <v>1</v>
      </c>
      <c r="H10" s="27">
        <f>IF(B$25=0,0,G10/B$25)</f>
        <v>0.1</v>
      </c>
      <c r="J10" s="26">
        <v>8</v>
      </c>
      <c r="K10" s="28">
        <v>-59.1</v>
      </c>
    </row>
    <row r="11" spans="1:16" x14ac:dyDescent="0.4">
      <c r="A11" s="76" t="s">
        <v>211</v>
      </c>
      <c r="B11" s="68">
        <v>8</v>
      </c>
      <c r="C11" s="32">
        <f>IF(B$2=0,0,B11/B$2)</f>
        <v>0.20512820512820512</v>
      </c>
      <c r="E11" s="84" t="s">
        <v>90</v>
      </c>
      <c r="F11" s="80" t="s">
        <v>43</v>
      </c>
      <c r="G11" s="66">
        <v>1</v>
      </c>
      <c r="H11" s="27">
        <f>IF(B$25=0,0,G11/B$25)</f>
        <v>0.1</v>
      </c>
      <c r="J11" s="26">
        <v>9</v>
      </c>
      <c r="K11" s="28">
        <v>-77.900000000000006</v>
      </c>
    </row>
    <row r="12" spans="1:16" x14ac:dyDescent="0.4">
      <c r="A12" s="77" t="s">
        <v>130</v>
      </c>
      <c r="B12" s="69">
        <v>7</v>
      </c>
      <c r="C12" s="35">
        <f>IF(B$24=0,0,B12/B$24)</f>
        <v>0.21212121212121213</v>
      </c>
      <c r="E12" s="84" t="s">
        <v>76</v>
      </c>
      <c r="F12" s="80" t="s">
        <v>29</v>
      </c>
      <c r="G12" s="66">
        <v>0</v>
      </c>
      <c r="H12" s="27">
        <f>IF(B$25=0,0,G12/B$25)</f>
        <v>0</v>
      </c>
      <c r="J12" s="26">
        <v>10</v>
      </c>
      <c r="K12" s="28">
        <v>-78.900000000000006</v>
      </c>
    </row>
    <row r="13" spans="1:16" x14ac:dyDescent="0.4">
      <c r="A13" s="74" t="s">
        <v>125</v>
      </c>
      <c r="B13" s="66">
        <v>11</v>
      </c>
      <c r="C13" s="27">
        <f>IF(B$24=0,0,B13/B$24)</f>
        <v>0.33333333333333331</v>
      </c>
      <c r="E13" s="84" t="s">
        <v>77</v>
      </c>
      <c r="F13" s="80" t="s">
        <v>30</v>
      </c>
      <c r="G13" s="66">
        <v>0</v>
      </c>
      <c r="H13" s="27">
        <f>IF(B$25=0,0,G13/B$25)</f>
        <v>0</v>
      </c>
      <c r="J13" s="26">
        <v>11</v>
      </c>
      <c r="K13" s="28">
        <v>-88.9</v>
      </c>
    </row>
    <row r="14" spans="1:16" x14ac:dyDescent="0.4">
      <c r="A14" s="73" t="s">
        <v>132</v>
      </c>
      <c r="B14" s="65">
        <v>3</v>
      </c>
      <c r="C14" s="24">
        <f>IF(B$12=0,0,B14/B$12)</f>
        <v>0.42857142857142855</v>
      </c>
      <c r="E14" s="84" t="s">
        <v>79</v>
      </c>
      <c r="F14" s="80" t="s">
        <v>32</v>
      </c>
      <c r="G14" s="66">
        <v>0</v>
      </c>
      <c r="H14" s="27">
        <f>IF(B$25=0,0,G14/B$25)</f>
        <v>0</v>
      </c>
      <c r="J14" s="26">
        <v>12</v>
      </c>
      <c r="K14" s="28">
        <v>-23.5</v>
      </c>
    </row>
    <row r="15" spans="1:16" x14ac:dyDescent="0.4">
      <c r="A15" s="73" t="s">
        <v>133</v>
      </c>
      <c r="B15" s="65">
        <v>4</v>
      </c>
      <c r="C15" s="24">
        <f>IF(B$13=0,0,B15/B$13)</f>
        <v>0.36363636363636365</v>
      </c>
      <c r="E15" s="84" t="s">
        <v>80</v>
      </c>
      <c r="F15" s="80" t="s">
        <v>33</v>
      </c>
      <c r="G15" s="66">
        <v>0</v>
      </c>
      <c r="H15" s="27">
        <f>IF(B$25=0,0,G15/B$25)</f>
        <v>0</v>
      </c>
      <c r="J15" s="26">
        <v>13</v>
      </c>
      <c r="K15" s="28">
        <v>-12.4</v>
      </c>
    </row>
    <row r="16" spans="1:16" x14ac:dyDescent="0.4">
      <c r="A16" s="73" t="s">
        <v>10</v>
      </c>
      <c r="B16" s="65">
        <f>B17+B18</f>
        <v>97</v>
      </c>
      <c r="C16" s="24">
        <f>IF(B$3=0,0,B16/B$3)</f>
        <v>0.35793357933579334</v>
      </c>
      <c r="E16" s="84" t="s">
        <v>81</v>
      </c>
      <c r="F16" s="80" t="s">
        <v>34</v>
      </c>
      <c r="G16" s="66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4" t="s">
        <v>11</v>
      </c>
      <c r="B17" s="66">
        <v>53</v>
      </c>
      <c r="C17" s="27">
        <f>IF(B$3=0,0,B17/B$3)</f>
        <v>0.19557195571955718</v>
      </c>
      <c r="E17" s="84" t="s">
        <v>82</v>
      </c>
      <c r="F17" s="80" t="s">
        <v>35</v>
      </c>
      <c r="G17" s="66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4" t="s">
        <v>12</v>
      </c>
      <c r="B18" s="66">
        <v>44</v>
      </c>
      <c r="C18" s="27">
        <f>IF(B$3=0,0,B18/B$3)</f>
        <v>0.16236162361623616</v>
      </c>
      <c r="E18" s="84" t="s">
        <v>83</v>
      </c>
      <c r="F18" s="80" t="s">
        <v>36</v>
      </c>
      <c r="G18" s="66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4" t="s">
        <v>13</v>
      </c>
      <c r="B19" s="66">
        <v>36</v>
      </c>
      <c r="C19" s="27">
        <f>IF(B$3=0,0,B19/B$3)</f>
        <v>0.13284132841328414</v>
      </c>
      <c r="E19" s="84" t="s">
        <v>84</v>
      </c>
      <c r="F19" s="80" t="s">
        <v>37</v>
      </c>
      <c r="G19" s="66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4" t="s">
        <v>5</v>
      </c>
      <c r="B20" s="70">
        <f>IF(B$16=0,0,C20/B$16)</f>
        <v>9631.9587628865975</v>
      </c>
      <c r="C20" s="30">
        <v>934300</v>
      </c>
      <c r="E20" s="84" t="s">
        <v>85</v>
      </c>
      <c r="F20" s="80" t="s">
        <v>38</v>
      </c>
      <c r="G20" s="66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6" t="s">
        <v>14</v>
      </c>
      <c r="B21" s="71">
        <f>IF(B$19=0,0,C21/B$19)</f>
        <v>-9613.8888888888887</v>
      </c>
      <c r="C21" s="60">
        <v>-346100</v>
      </c>
      <c r="E21" s="84" t="s">
        <v>86</v>
      </c>
      <c r="F21" s="80" t="s">
        <v>39</v>
      </c>
      <c r="G21" s="66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73" t="s">
        <v>198</v>
      </c>
      <c r="B22" s="65">
        <v>98</v>
      </c>
      <c r="C22" s="24">
        <f>IF(B$3=0,0,B22/B$3)</f>
        <v>0.36162361623616235</v>
      </c>
      <c r="E22" s="84" t="s">
        <v>87</v>
      </c>
      <c r="F22" s="80" t="s">
        <v>40</v>
      </c>
      <c r="G22" s="66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6" t="s">
        <v>199</v>
      </c>
      <c r="B23" s="68">
        <v>34</v>
      </c>
      <c r="C23" s="32">
        <f>IF(B$22=0,0,B23/B$22)</f>
        <v>0.34693877551020408</v>
      </c>
      <c r="E23" s="84" t="s">
        <v>89</v>
      </c>
      <c r="F23" s="80" t="s">
        <v>42</v>
      </c>
      <c r="G23" s="66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73" t="s">
        <v>128</v>
      </c>
      <c r="B24" s="86">
        <v>33</v>
      </c>
      <c r="C24" s="87"/>
      <c r="E24" s="84" t="s">
        <v>91</v>
      </c>
      <c r="F24" s="80" t="s">
        <v>44</v>
      </c>
      <c r="G24" s="66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6" t="s">
        <v>129</v>
      </c>
      <c r="B25" s="94">
        <v>10</v>
      </c>
      <c r="C25" s="95"/>
      <c r="E25" s="84" t="s">
        <v>92</v>
      </c>
      <c r="F25" s="80" t="s">
        <v>45</v>
      </c>
      <c r="G25" s="66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4" t="s">
        <v>93</v>
      </c>
      <c r="F26" s="80" t="s">
        <v>46</v>
      </c>
      <c r="G26" s="66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4" t="s">
        <v>94</v>
      </c>
      <c r="F27" s="80" t="s">
        <v>47</v>
      </c>
      <c r="G27" s="66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4" t="s">
        <v>95</v>
      </c>
      <c r="F28" s="80" t="s">
        <v>48</v>
      </c>
      <c r="G28" s="66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4" t="s">
        <v>96</v>
      </c>
      <c r="F29" s="80" t="s">
        <v>49</v>
      </c>
      <c r="G29" s="66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4" t="s">
        <v>97</v>
      </c>
      <c r="F30" s="80" t="s">
        <v>50</v>
      </c>
      <c r="G30" s="66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4" t="s">
        <v>98</v>
      </c>
      <c r="F31" s="80" t="s">
        <v>51</v>
      </c>
      <c r="G31" s="66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4" t="s">
        <v>99</v>
      </c>
      <c r="F32" s="80" t="s">
        <v>52</v>
      </c>
      <c r="G32" s="66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</row>
    <row r="43" spans="5:11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</row>
    <row r="44" spans="5:11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</row>
    <row r="45" spans="5:11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</row>
    <row r="46" spans="5:11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</row>
    <row r="47" spans="5:11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11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B32B3-496E-464F-B59B-BB3C4CF57DAB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145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1</v>
      </c>
      <c r="C2" s="87"/>
      <c r="E2" s="83" t="s">
        <v>69</v>
      </c>
      <c r="F2" s="79" t="s">
        <v>23</v>
      </c>
      <c r="G2" s="65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300</v>
      </c>
      <c r="O2" s="53">
        <v>300</v>
      </c>
      <c r="P2" s="51">
        <v>1</v>
      </c>
    </row>
    <row r="3" spans="1:16" x14ac:dyDescent="0.4">
      <c r="A3" s="74" t="s">
        <v>8</v>
      </c>
      <c r="B3" s="88">
        <v>6</v>
      </c>
      <c r="C3" s="89"/>
      <c r="E3" s="84" t="s">
        <v>70</v>
      </c>
      <c r="F3" s="80" t="s">
        <v>24</v>
      </c>
      <c r="G3" s="66">
        <v>0</v>
      </c>
      <c r="H3" s="27">
        <f>IF(B$25=0,0,G3/B$25)</f>
        <v>0</v>
      </c>
      <c r="J3" s="26">
        <v>1</v>
      </c>
      <c r="K3" s="28">
        <v>-40.700000000000003</v>
      </c>
      <c r="M3" s="26" t="s">
        <v>202</v>
      </c>
      <c r="N3" s="57">
        <f t="shared" si="0"/>
        <v>-16000</v>
      </c>
      <c r="O3" s="54">
        <v>-16000</v>
      </c>
      <c r="P3" s="49">
        <v>1</v>
      </c>
    </row>
    <row r="4" spans="1:16" x14ac:dyDescent="0.4">
      <c r="A4" s="74" t="s">
        <v>6</v>
      </c>
      <c r="B4" s="90">
        <v>-40.700000000000003</v>
      </c>
      <c r="C4" s="91"/>
      <c r="E4" s="84" t="s">
        <v>71</v>
      </c>
      <c r="F4" s="80" t="s">
        <v>25</v>
      </c>
      <c r="G4" s="66">
        <v>0</v>
      </c>
      <c r="H4" s="27">
        <f>IF(B$25=0,0,G4/B$25)</f>
        <v>0</v>
      </c>
      <c r="M4" s="26" t="s">
        <v>203</v>
      </c>
      <c r="N4" s="57">
        <f t="shared" si="0"/>
        <v>-1000</v>
      </c>
      <c r="O4" s="54">
        <v>-1000</v>
      </c>
      <c r="P4" s="49">
        <v>1</v>
      </c>
    </row>
    <row r="5" spans="1:16" x14ac:dyDescent="0.4">
      <c r="A5" s="74" t="s">
        <v>7</v>
      </c>
      <c r="B5" s="90">
        <f>IF(B$2=0,0,B$4/B$2)</f>
        <v>-40.700000000000003</v>
      </c>
      <c r="C5" s="91"/>
      <c r="E5" s="84" t="s">
        <v>72</v>
      </c>
      <c r="F5" s="80" t="s">
        <v>26</v>
      </c>
      <c r="G5" s="66">
        <v>0</v>
      </c>
      <c r="H5" s="27">
        <f>IF(B$25=0,0,G5/B$25)</f>
        <v>0</v>
      </c>
      <c r="M5" s="26" t="s">
        <v>204</v>
      </c>
      <c r="N5" s="57">
        <f t="shared" si="0"/>
        <v>-24000</v>
      </c>
      <c r="O5" s="54">
        <v>-24000</v>
      </c>
      <c r="P5" s="49">
        <v>1</v>
      </c>
    </row>
    <row r="6" spans="1:16" x14ac:dyDescent="0.4">
      <c r="A6" s="74" t="s">
        <v>1</v>
      </c>
      <c r="B6" s="92">
        <f>IF(B$2=0,0,(B$7*1+B$8*2+B$9*3)/B$2)</f>
        <v>2</v>
      </c>
      <c r="C6" s="93"/>
      <c r="E6" s="84" t="s">
        <v>73</v>
      </c>
      <c r="F6" s="80" t="s">
        <v>27</v>
      </c>
      <c r="G6" s="66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4" t="s">
        <v>2</v>
      </c>
      <c r="B7" s="66">
        <v>0</v>
      </c>
      <c r="C7" s="27">
        <f>IF(B$2=0,0,B7/B$2)</f>
        <v>0</v>
      </c>
      <c r="E7" s="84" t="s">
        <v>74</v>
      </c>
      <c r="F7" s="80" t="s">
        <v>12</v>
      </c>
      <c r="G7" s="66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4" t="s">
        <v>3</v>
      </c>
      <c r="B8" s="66">
        <v>1</v>
      </c>
      <c r="C8" s="27">
        <f t="shared" ref="C8:C9" si="1">IF(B$2=0,0,B8/B$2)</f>
        <v>1</v>
      </c>
      <c r="E8" s="84" t="s">
        <v>75</v>
      </c>
      <c r="F8" s="80" t="s">
        <v>28</v>
      </c>
      <c r="G8" s="66">
        <v>0</v>
      </c>
      <c r="H8" s="27">
        <f>IF(B$25=0,0,G8/B$25)</f>
        <v>0</v>
      </c>
    </row>
    <row r="9" spans="1:16" x14ac:dyDescent="0.4">
      <c r="A9" s="75" t="s">
        <v>4</v>
      </c>
      <c r="B9" s="67">
        <v>0</v>
      </c>
      <c r="C9" s="29">
        <f t="shared" si="1"/>
        <v>0</v>
      </c>
      <c r="E9" s="84" t="s">
        <v>76</v>
      </c>
      <c r="F9" s="80" t="s">
        <v>29</v>
      </c>
      <c r="G9" s="66">
        <v>0</v>
      </c>
      <c r="H9" s="27">
        <f>IF(B$25=0,0,G9/B$25)</f>
        <v>0</v>
      </c>
    </row>
    <row r="10" spans="1:16" x14ac:dyDescent="0.4">
      <c r="A10" s="75" t="s">
        <v>21</v>
      </c>
      <c r="B10" s="67">
        <v>1</v>
      </c>
      <c r="C10" s="29">
        <f>IF(B$2=0,0,B10/B$2)</f>
        <v>1</v>
      </c>
      <c r="E10" s="84" t="s">
        <v>77</v>
      </c>
      <c r="F10" s="80" t="s">
        <v>30</v>
      </c>
      <c r="G10" s="66">
        <v>0</v>
      </c>
      <c r="H10" s="27">
        <f>IF(B$25=0,0,G10/B$25)</f>
        <v>0</v>
      </c>
    </row>
    <row r="11" spans="1:16" x14ac:dyDescent="0.4">
      <c r="A11" s="76" t="s">
        <v>211</v>
      </c>
      <c r="B11" s="68">
        <v>0</v>
      </c>
      <c r="C11" s="32">
        <f>IF(B$2=0,0,B11/B$2)</f>
        <v>0</v>
      </c>
      <c r="E11" s="84" t="s">
        <v>78</v>
      </c>
      <c r="F11" s="80" t="s">
        <v>31</v>
      </c>
      <c r="G11" s="66">
        <v>0</v>
      </c>
      <c r="H11" s="27">
        <f>IF(B$25=0,0,G11/B$25)</f>
        <v>0</v>
      </c>
    </row>
    <row r="12" spans="1:16" x14ac:dyDescent="0.4">
      <c r="A12" s="77" t="s">
        <v>130</v>
      </c>
      <c r="B12" s="69">
        <v>0</v>
      </c>
      <c r="C12" s="35">
        <f>IF(B$24=0,0,B12/B$24)</f>
        <v>0</v>
      </c>
      <c r="E12" s="84" t="s">
        <v>79</v>
      </c>
      <c r="F12" s="80" t="s">
        <v>32</v>
      </c>
      <c r="G12" s="66">
        <v>0</v>
      </c>
      <c r="H12" s="27">
        <f>IF(B$25=0,0,G12/B$25)</f>
        <v>0</v>
      </c>
    </row>
    <row r="13" spans="1:16" x14ac:dyDescent="0.4">
      <c r="A13" s="74" t="s">
        <v>125</v>
      </c>
      <c r="B13" s="66">
        <v>0</v>
      </c>
      <c r="C13" s="27">
        <f>IF(B$24=0,0,B13/B$24)</f>
        <v>0</v>
      </c>
      <c r="E13" s="84" t="s">
        <v>80</v>
      </c>
      <c r="F13" s="80" t="s">
        <v>33</v>
      </c>
      <c r="G13" s="66">
        <v>0</v>
      </c>
      <c r="H13" s="27">
        <f>IF(B$25=0,0,G13/B$25)</f>
        <v>0</v>
      </c>
    </row>
    <row r="14" spans="1:16" x14ac:dyDescent="0.4">
      <c r="A14" s="73" t="s">
        <v>132</v>
      </c>
      <c r="B14" s="65">
        <v>0</v>
      </c>
      <c r="C14" s="24">
        <f>IF(B$12=0,0,B14/B$12)</f>
        <v>0</v>
      </c>
      <c r="E14" s="84" t="s">
        <v>81</v>
      </c>
      <c r="F14" s="80" t="s">
        <v>34</v>
      </c>
      <c r="G14" s="66">
        <v>0</v>
      </c>
      <c r="H14" s="27">
        <f>IF(B$25=0,0,G14/B$25)</f>
        <v>0</v>
      </c>
    </row>
    <row r="15" spans="1:16" x14ac:dyDescent="0.4">
      <c r="A15" s="73" t="s">
        <v>133</v>
      </c>
      <c r="B15" s="65">
        <v>0</v>
      </c>
      <c r="C15" s="24">
        <f>IF(B$13=0,0,B15/B$13)</f>
        <v>0</v>
      </c>
      <c r="E15" s="84" t="s">
        <v>82</v>
      </c>
      <c r="F15" s="80" t="s">
        <v>35</v>
      </c>
      <c r="G15" s="66">
        <v>0</v>
      </c>
      <c r="H15" s="27">
        <f>IF(B$25=0,0,G15/B$25)</f>
        <v>0</v>
      </c>
    </row>
    <row r="16" spans="1:16" x14ac:dyDescent="0.4">
      <c r="A16" s="73" t="s">
        <v>10</v>
      </c>
      <c r="B16" s="65">
        <f>B17+B18</f>
        <v>1</v>
      </c>
      <c r="C16" s="24">
        <f>IF(B$3=0,0,B16/B$3)</f>
        <v>0.16666666666666666</v>
      </c>
      <c r="E16" s="84" t="s">
        <v>83</v>
      </c>
      <c r="F16" s="80" t="s">
        <v>36</v>
      </c>
      <c r="G16" s="66">
        <v>0</v>
      </c>
      <c r="H16" s="27">
        <f>IF(B$25=0,0,G16/B$25)</f>
        <v>0</v>
      </c>
    </row>
    <row r="17" spans="1:8" x14ac:dyDescent="0.4">
      <c r="A17" s="74" t="s">
        <v>11</v>
      </c>
      <c r="B17" s="66">
        <v>1</v>
      </c>
      <c r="C17" s="27">
        <f>IF(B$3=0,0,B17/B$3)</f>
        <v>0.16666666666666666</v>
      </c>
      <c r="E17" s="84" t="s">
        <v>84</v>
      </c>
      <c r="F17" s="80" t="s">
        <v>37</v>
      </c>
      <c r="G17" s="66">
        <v>0</v>
      </c>
      <c r="H17" s="27">
        <f>IF(B$25=0,0,G17/B$25)</f>
        <v>0</v>
      </c>
    </row>
    <row r="18" spans="1:8" x14ac:dyDescent="0.4">
      <c r="A18" s="74" t="s">
        <v>12</v>
      </c>
      <c r="B18" s="66">
        <v>0</v>
      </c>
      <c r="C18" s="27">
        <f>IF(B$3=0,0,B18/B$3)</f>
        <v>0</v>
      </c>
      <c r="E18" s="84" t="s">
        <v>85</v>
      </c>
      <c r="F18" s="80" t="s">
        <v>38</v>
      </c>
      <c r="G18" s="66">
        <v>0</v>
      </c>
      <c r="H18" s="27">
        <f>IF(B$25=0,0,G18/B$25)</f>
        <v>0</v>
      </c>
    </row>
    <row r="19" spans="1:8" x14ac:dyDescent="0.4">
      <c r="A19" s="74" t="s">
        <v>13</v>
      </c>
      <c r="B19" s="66">
        <v>2</v>
      </c>
      <c r="C19" s="27">
        <f>IF(B$3=0,0,B19/B$3)</f>
        <v>0.33333333333333331</v>
      </c>
      <c r="E19" s="84" t="s">
        <v>86</v>
      </c>
      <c r="F19" s="80" t="s">
        <v>39</v>
      </c>
      <c r="G19" s="66">
        <v>0</v>
      </c>
      <c r="H19" s="27">
        <f>IF(B$25=0,0,G19/B$25)</f>
        <v>0</v>
      </c>
    </row>
    <row r="20" spans="1:8" x14ac:dyDescent="0.4">
      <c r="A20" s="74" t="s">
        <v>5</v>
      </c>
      <c r="B20" s="70">
        <f>IF(B$16=0,0,C20/B$16)</f>
        <v>1300</v>
      </c>
      <c r="C20" s="30">
        <v>1300</v>
      </c>
      <c r="E20" s="84" t="s">
        <v>87</v>
      </c>
      <c r="F20" s="80" t="s">
        <v>40</v>
      </c>
      <c r="G20" s="66">
        <v>0</v>
      </c>
      <c r="H20" s="27">
        <f>IF(B$25=0,0,G20/B$25)</f>
        <v>0</v>
      </c>
    </row>
    <row r="21" spans="1:8" x14ac:dyDescent="0.4">
      <c r="A21" s="76" t="s">
        <v>14</v>
      </c>
      <c r="B21" s="71">
        <f>IF(B$19=0,0,C21/B$19)</f>
        <v>-8500</v>
      </c>
      <c r="C21" s="60">
        <v>-17000</v>
      </c>
      <c r="E21" s="84" t="s">
        <v>88</v>
      </c>
      <c r="F21" s="80" t="s">
        <v>41</v>
      </c>
      <c r="G21" s="66">
        <v>0</v>
      </c>
      <c r="H21" s="27">
        <f>IF(B$25=0,0,G21/B$25)</f>
        <v>0</v>
      </c>
    </row>
    <row r="22" spans="1:8" x14ac:dyDescent="0.4">
      <c r="A22" s="73" t="s">
        <v>198</v>
      </c>
      <c r="B22" s="65">
        <v>1</v>
      </c>
      <c r="C22" s="24">
        <f>IF(B$3=0,0,B22/B$3)</f>
        <v>0.16666666666666666</v>
      </c>
      <c r="E22" s="84" t="s">
        <v>89</v>
      </c>
      <c r="F22" s="80" t="s">
        <v>42</v>
      </c>
      <c r="G22" s="66">
        <v>0</v>
      </c>
      <c r="H22" s="27">
        <f>IF(B$25=0,0,G22/B$25)</f>
        <v>0</v>
      </c>
    </row>
    <row r="23" spans="1:8" x14ac:dyDescent="0.4">
      <c r="A23" s="76" t="s">
        <v>199</v>
      </c>
      <c r="B23" s="68">
        <v>0</v>
      </c>
      <c r="C23" s="32">
        <f>IF(B$22=0,0,B23/B$22)</f>
        <v>0</v>
      </c>
      <c r="E23" s="84" t="s">
        <v>90</v>
      </c>
      <c r="F23" s="80" t="s">
        <v>43</v>
      </c>
      <c r="G23" s="66">
        <v>0</v>
      </c>
      <c r="H23" s="27">
        <f>IF(B$25=0,0,G23/B$25)</f>
        <v>0</v>
      </c>
    </row>
    <row r="24" spans="1:8" x14ac:dyDescent="0.4">
      <c r="A24" s="73" t="s">
        <v>128</v>
      </c>
      <c r="B24" s="86">
        <v>0</v>
      </c>
      <c r="C24" s="87"/>
      <c r="E24" s="84" t="s">
        <v>91</v>
      </c>
      <c r="F24" s="80" t="s">
        <v>44</v>
      </c>
      <c r="G24" s="66">
        <v>0</v>
      </c>
      <c r="H24" s="27">
        <f>IF(B$25=0,0,G24/B$25)</f>
        <v>0</v>
      </c>
    </row>
    <row r="25" spans="1:8" x14ac:dyDescent="0.4">
      <c r="A25" s="76" t="s">
        <v>129</v>
      </c>
      <c r="B25" s="94">
        <v>0</v>
      </c>
      <c r="C25" s="95"/>
      <c r="E25" s="84" t="s">
        <v>92</v>
      </c>
      <c r="F25" s="80" t="s">
        <v>45</v>
      </c>
      <c r="G25" s="66">
        <v>0</v>
      </c>
      <c r="H25" s="27">
        <f>IF(B$25=0,0,G25/B$25)</f>
        <v>0</v>
      </c>
    </row>
    <row r="26" spans="1:8" x14ac:dyDescent="0.4">
      <c r="E26" s="84" t="s">
        <v>93</v>
      </c>
      <c r="F26" s="80" t="s">
        <v>46</v>
      </c>
      <c r="G26" s="66">
        <v>0</v>
      </c>
      <c r="H26" s="27">
        <f>IF(B$25=0,0,G26/B$25)</f>
        <v>0</v>
      </c>
    </row>
    <row r="27" spans="1:8" x14ac:dyDescent="0.4">
      <c r="E27" s="84" t="s">
        <v>94</v>
      </c>
      <c r="F27" s="80" t="s">
        <v>47</v>
      </c>
      <c r="G27" s="66">
        <v>0</v>
      </c>
      <c r="H27" s="27">
        <f>IF(B$25=0,0,G27/B$25)</f>
        <v>0</v>
      </c>
    </row>
    <row r="28" spans="1:8" x14ac:dyDescent="0.4">
      <c r="E28" s="84" t="s">
        <v>95</v>
      </c>
      <c r="F28" s="80" t="s">
        <v>48</v>
      </c>
      <c r="G28" s="66">
        <v>0</v>
      </c>
      <c r="H28" s="27">
        <f>IF(B$25=0,0,G28/B$25)</f>
        <v>0</v>
      </c>
    </row>
    <row r="29" spans="1:8" x14ac:dyDescent="0.4">
      <c r="E29" s="84" t="s">
        <v>96</v>
      </c>
      <c r="F29" s="80" t="s">
        <v>49</v>
      </c>
      <c r="G29" s="66">
        <v>0</v>
      </c>
      <c r="H29" s="27">
        <f>IF(B$25=0,0,G29/B$25)</f>
        <v>0</v>
      </c>
    </row>
    <row r="30" spans="1:8" x14ac:dyDescent="0.4">
      <c r="E30" s="84" t="s">
        <v>97</v>
      </c>
      <c r="F30" s="80" t="s">
        <v>50</v>
      </c>
      <c r="G30" s="66">
        <v>0</v>
      </c>
      <c r="H30" s="27">
        <f>IF(B$25=0,0,G30/B$25)</f>
        <v>0</v>
      </c>
    </row>
    <row r="31" spans="1:8" x14ac:dyDescent="0.4">
      <c r="E31" s="84" t="s">
        <v>98</v>
      </c>
      <c r="F31" s="80" t="s">
        <v>51</v>
      </c>
      <c r="G31" s="66">
        <v>0</v>
      </c>
      <c r="H31" s="27">
        <f>IF(B$25=0,0,G31/B$25)</f>
        <v>0</v>
      </c>
    </row>
    <row r="32" spans="1:8" x14ac:dyDescent="0.4">
      <c r="E32" s="84" t="s">
        <v>99</v>
      </c>
      <c r="F32" s="80" t="s">
        <v>52</v>
      </c>
      <c r="G32" s="66">
        <v>0</v>
      </c>
      <c r="H32" s="27">
        <f>IF(B$25=0,0,G32/B$25)</f>
        <v>0</v>
      </c>
    </row>
    <row r="33" spans="5:8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</row>
    <row r="34" spans="5:8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</row>
    <row r="35" spans="5:8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</row>
    <row r="36" spans="5:8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</row>
    <row r="37" spans="5:8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</row>
    <row r="38" spans="5:8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</row>
    <row r="39" spans="5:8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</row>
    <row r="40" spans="5:8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</row>
    <row r="41" spans="5:8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</row>
    <row r="42" spans="5:8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</row>
    <row r="43" spans="5:8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</row>
    <row r="44" spans="5:8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</row>
    <row r="45" spans="5:8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</row>
    <row r="46" spans="5:8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</row>
    <row r="47" spans="5:8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8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E35F-8677-438B-A167-D0E747804815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192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35</v>
      </c>
      <c r="C2" s="87"/>
      <c r="E2" s="83" t="s">
        <v>73</v>
      </c>
      <c r="F2" s="79" t="s">
        <v>27</v>
      </c>
      <c r="G2" s="65">
        <v>22</v>
      </c>
      <c r="H2" s="24">
        <f>IF(B$25=0,0,G2/B$25)</f>
        <v>0.95652173913043481</v>
      </c>
      <c r="J2" s="23">
        <v>0</v>
      </c>
      <c r="K2" s="25">
        <v>0</v>
      </c>
      <c r="M2" s="23" t="s">
        <v>201</v>
      </c>
      <c r="N2" s="56">
        <f t="shared" ref="N2:N7" si="0">IF(P2=0,0,O2/P2)</f>
        <v>-1391.4285714285713</v>
      </c>
      <c r="O2" s="53">
        <v>-48700</v>
      </c>
      <c r="P2" s="51">
        <v>35</v>
      </c>
    </row>
    <row r="3" spans="1:16" x14ac:dyDescent="0.4">
      <c r="A3" s="74" t="s">
        <v>8</v>
      </c>
      <c r="B3" s="88">
        <v>274</v>
      </c>
      <c r="C3" s="89"/>
      <c r="E3" s="84" t="s">
        <v>71</v>
      </c>
      <c r="F3" s="80" t="s">
        <v>25</v>
      </c>
      <c r="G3" s="66">
        <v>17</v>
      </c>
      <c r="H3" s="27">
        <f>IF(B$25=0,0,G3/B$25)</f>
        <v>0.73913043478260865</v>
      </c>
      <c r="J3" s="26">
        <v>1</v>
      </c>
      <c r="K3" s="28">
        <v>68.2</v>
      </c>
      <c r="M3" s="26" t="s">
        <v>202</v>
      </c>
      <c r="N3" s="57">
        <f t="shared" si="0"/>
        <v>-2903.125</v>
      </c>
      <c r="O3" s="54">
        <v>-92900</v>
      </c>
      <c r="P3" s="49">
        <v>32</v>
      </c>
    </row>
    <row r="4" spans="1:16" x14ac:dyDescent="0.4">
      <c r="A4" s="74" t="s">
        <v>6</v>
      </c>
      <c r="B4" s="90">
        <v>-106.10000000000001</v>
      </c>
      <c r="C4" s="91"/>
      <c r="E4" s="84" t="s">
        <v>78</v>
      </c>
      <c r="F4" s="80" t="s">
        <v>31</v>
      </c>
      <c r="G4" s="66">
        <v>15</v>
      </c>
      <c r="H4" s="27">
        <f>IF(B$25=0,0,G4/B$25)</f>
        <v>0.65217391304347827</v>
      </c>
      <c r="J4" s="26">
        <v>2</v>
      </c>
      <c r="K4" s="28">
        <v>58.5</v>
      </c>
      <c r="M4" s="26" t="s">
        <v>203</v>
      </c>
      <c r="N4" s="57">
        <f t="shared" si="0"/>
        <v>-2534.6153846153848</v>
      </c>
      <c r="O4" s="54">
        <v>-65900</v>
      </c>
      <c r="P4" s="49">
        <v>26</v>
      </c>
    </row>
    <row r="5" spans="1:16" x14ac:dyDescent="0.4">
      <c r="A5" s="74" t="s">
        <v>7</v>
      </c>
      <c r="B5" s="90">
        <f>IF(B$2=0,0,B$4/B$2)</f>
        <v>-3.0314285714285716</v>
      </c>
      <c r="C5" s="91"/>
      <c r="E5" s="84" t="s">
        <v>69</v>
      </c>
      <c r="F5" s="80" t="s">
        <v>23</v>
      </c>
      <c r="G5" s="66">
        <v>7</v>
      </c>
      <c r="H5" s="27">
        <f>IF(B$25=0,0,G5/B$25)</f>
        <v>0.30434782608695654</v>
      </c>
      <c r="J5" s="26">
        <v>3</v>
      </c>
      <c r="K5" s="28">
        <v>82.1</v>
      </c>
      <c r="M5" s="26" t="s">
        <v>204</v>
      </c>
      <c r="N5" s="57">
        <f t="shared" si="0"/>
        <v>4156</v>
      </c>
      <c r="O5" s="54">
        <v>103900</v>
      </c>
      <c r="P5" s="49">
        <v>25</v>
      </c>
    </row>
    <row r="6" spans="1:16" x14ac:dyDescent="0.4">
      <c r="A6" s="74" t="s">
        <v>1</v>
      </c>
      <c r="B6" s="92">
        <f>IF(B$2=0,0,(B$7*1+B$8*2+B$9*3)/B$2)</f>
        <v>2.1142857142857143</v>
      </c>
      <c r="C6" s="93"/>
      <c r="E6" s="84" t="s">
        <v>70</v>
      </c>
      <c r="F6" s="80" t="s">
        <v>24</v>
      </c>
      <c r="G6" s="66">
        <v>3</v>
      </c>
      <c r="H6" s="27">
        <f>IF(B$25=0,0,G6/B$25)</f>
        <v>0.13043478260869565</v>
      </c>
      <c r="J6" s="26">
        <v>4</v>
      </c>
      <c r="K6" s="28">
        <v>58.199999999999996</v>
      </c>
      <c r="M6" s="26" t="s">
        <v>205</v>
      </c>
      <c r="N6" s="57">
        <f t="shared" si="0"/>
        <v>-626.31578947368416</v>
      </c>
      <c r="O6" s="54">
        <v>-11900</v>
      </c>
      <c r="P6" s="49">
        <v>19</v>
      </c>
    </row>
    <row r="7" spans="1:16" x14ac:dyDescent="0.4">
      <c r="A7" s="74" t="s">
        <v>2</v>
      </c>
      <c r="B7" s="66">
        <v>9</v>
      </c>
      <c r="C7" s="27">
        <f>IF(B$2=0,0,B7/B$2)</f>
        <v>0.25714285714285712</v>
      </c>
      <c r="E7" s="84" t="s">
        <v>74</v>
      </c>
      <c r="F7" s="80" t="s">
        <v>12</v>
      </c>
      <c r="G7" s="66">
        <v>3</v>
      </c>
      <c r="H7" s="27">
        <f>IF(B$25=0,0,G7/B$25)</f>
        <v>0.13043478260869565</v>
      </c>
      <c r="J7" s="26">
        <v>5</v>
      </c>
      <c r="K7" s="28">
        <v>124.19999999999999</v>
      </c>
      <c r="M7" s="31" t="s">
        <v>206</v>
      </c>
      <c r="N7" s="58">
        <f t="shared" si="0"/>
        <v>587.5</v>
      </c>
      <c r="O7" s="55">
        <v>9400</v>
      </c>
      <c r="P7" s="50">
        <v>16</v>
      </c>
    </row>
    <row r="8" spans="1:16" x14ac:dyDescent="0.4">
      <c r="A8" s="74" t="s">
        <v>3</v>
      </c>
      <c r="B8" s="66">
        <v>13</v>
      </c>
      <c r="C8" s="27">
        <f t="shared" ref="C8:C9" si="1">IF(B$2=0,0,B8/B$2)</f>
        <v>0.37142857142857144</v>
      </c>
      <c r="E8" s="84" t="s">
        <v>96</v>
      </c>
      <c r="F8" s="80" t="s">
        <v>49</v>
      </c>
      <c r="G8" s="66">
        <v>3</v>
      </c>
      <c r="H8" s="27">
        <f>IF(B$25=0,0,G8/B$25)</f>
        <v>0.13043478260869565</v>
      </c>
      <c r="J8" s="26">
        <v>6</v>
      </c>
      <c r="K8" s="28">
        <v>125.69999999999999</v>
      </c>
    </row>
    <row r="9" spans="1:16" x14ac:dyDescent="0.4">
      <c r="A9" s="75" t="s">
        <v>4</v>
      </c>
      <c r="B9" s="67">
        <v>13</v>
      </c>
      <c r="C9" s="29">
        <f t="shared" si="1"/>
        <v>0.37142857142857144</v>
      </c>
      <c r="E9" s="84" t="s">
        <v>85</v>
      </c>
      <c r="F9" s="80" t="s">
        <v>38</v>
      </c>
      <c r="G9" s="66">
        <v>2</v>
      </c>
      <c r="H9" s="27">
        <f>IF(B$25=0,0,G9/B$25)</f>
        <v>8.6956521739130432E-2</v>
      </c>
      <c r="J9" s="26">
        <v>7</v>
      </c>
      <c r="K9" s="28">
        <v>129.5</v>
      </c>
    </row>
    <row r="10" spans="1:16" x14ac:dyDescent="0.4">
      <c r="A10" s="75" t="s">
        <v>21</v>
      </c>
      <c r="B10" s="67">
        <v>6</v>
      </c>
      <c r="C10" s="29">
        <f>IF(B$2=0,0,B10/B$2)</f>
        <v>0.17142857142857143</v>
      </c>
      <c r="E10" s="84" t="s">
        <v>93</v>
      </c>
      <c r="F10" s="80" t="s">
        <v>46</v>
      </c>
      <c r="G10" s="66">
        <v>2</v>
      </c>
      <c r="H10" s="27">
        <f>IF(B$25=0,0,G10/B$25)</f>
        <v>8.6956521739130432E-2</v>
      </c>
      <c r="J10" s="26">
        <v>8</v>
      </c>
      <c r="K10" s="28">
        <v>97</v>
      </c>
    </row>
    <row r="11" spans="1:16" x14ac:dyDescent="0.4">
      <c r="A11" s="76" t="s">
        <v>211</v>
      </c>
      <c r="B11" s="68">
        <v>6</v>
      </c>
      <c r="C11" s="32">
        <f>IF(B$2=0,0,B11/B$2)</f>
        <v>0.17142857142857143</v>
      </c>
      <c r="E11" s="84" t="s">
        <v>75</v>
      </c>
      <c r="F11" s="80" t="s">
        <v>28</v>
      </c>
      <c r="G11" s="66">
        <v>1</v>
      </c>
      <c r="H11" s="27">
        <f>IF(B$25=0,0,G11/B$25)</f>
        <v>4.3478260869565216E-2</v>
      </c>
      <c r="J11" s="26">
        <v>9</v>
      </c>
      <c r="K11" s="28">
        <v>83.3</v>
      </c>
    </row>
    <row r="12" spans="1:16" x14ac:dyDescent="0.4">
      <c r="A12" s="77" t="s">
        <v>130</v>
      </c>
      <c r="B12" s="69">
        <v>17</v>
      </c>
      <c r="C12" s="35">
        <f>IF(B$24=0,0,B12/B$24)</f>
        <v>0.19540229885057472</v>
      </c>
      <c r="E12" s="84" t="s">
        <v>76</v>
      </c>
      <c r="F12" s="80" t="s">
        <v>29</v>
      </c>
      <c r="G12" s="66">
        <v>1</v>
      </c>
      <c r="H12" s="27">
        <f>IF(B$25=0,0,G12/B$25)</f>
        <v>4.3478260869565216E-2</v>
      </c>
      <c r="J12" s="26">
        <v>10</v>
      </c>
      <c r="K12" s="28">
        <v>111</v>
      </c>
    </row>
    <row r="13" spans="1:16" x14ac:dyDescent="0.4">
      <c r="A13" s="74" t="s">
        <v>125</v>
      </c>
      <c r="B13" s="66">
        <v>25</v>
      </c>
      <c r="C13" s="27">
        <f>IF(B$24=0,0,B13/B$24)</f>
        <v>0.28735632183908044</v>
      </c>
      <c r="E13" s="84" t="s">
        <v>81</v>
      </c>
      <c r="F13" s="80" t="s">
        <v>34</v>
      </c>
      <c r="G13" s="66">
        <v>1</v>
      </c>
      <c r="H13" s="27">
        <f>IF(B$25=0,0,G13/B$25)</f>
        <v>4.3478260869565216E-2</v>
      </c>
      <c r="J13" s="26">
        <v>11</v>
      </c>
      <c r="K13" s="28">
        <v>138.69999999999999</v>
      </c>
    </row>
    <row r="14" spans="1:16" x14ac:dyDescent="0.4">
      <c r="A14" s="73" t="s">
        <v>132</v>
      </c>
      <c r="B14" s="65">
        <v>7</v>
      </c>
      <c r="C14" s="24">
        <f>IF(B$12=0,0,B14/B$12)</f>
        <v>0.41176470588235292</v>
      </c>
      <c r="E14" s="84" t="s">
        <v>84</v>
      </c>
      <c r="F14" s="80" t="s">
        <v>37</v>
      </c>
      <c r="G14" s="66">
        <v>1</v>
      </c>
      <c r="H14" s="27">
        <f>IF(B$25=0,0,G14/B$25)</f>
        <v>4.3478260869565216E-2</v>
      </c>
      <c r="J14" s="26">
        <v>12</v>
      </c>
      <c r="K14" s="28">
        <v>99.799999999999983</v>
      </c>
    </row>
    <row r="15" spans="1:16" x14ac:dyDescent="0.4">
      <c r="A15" s="73" t="s">
        <v>133</v>
      </c>
      <c r="B15" s="65">
        <v>10</v>
      </c>
      <c r="C15" s="24">
        <f>IF(B$13=0,0,B15/B$13)</f>
        <v>0.4</v>
      </c>
      <c r="E15" s="84" t="s">
        <v>88</v>
      </c>
      <c r="F15" s="80" t="s">
        <v>41</v>
      </c>
      <c r="G15" s="66">
        <v>1</v>
      </c>
      <c r="H15" s="27">
        <f>IF(B$25=0,0,G15/B$25)</f>
        <v>4.3478260869565216E-2</v>
      </c>
      <c r="J15" s="26">
        <v>13</v>
      </c>
      <c r="K15" s="28">
        <v>61.799999999999983</v>
      </c>
    </row>
    <row r="16" spans="1:16" x14ac:dyDescent="0.4">
      <c r="A16" s="73" t="s">
        <v>10</v>
      </c>
      <c r="B16" s="65">
        <f>B17+B18</f>
        <v>77</v>
      </c>
      <c r="C16" s="24">
        <f>IF(B$3=0,0,B16/B$3)</f>
        <v>0.28102189781021897</v>
      </c>
      <c r="E16" s="84" t="s">
        <v>90</v>
      </c>
      <c r="F16" s="80" t="s">
        <v>43</v>
      </c>
      <c r="G16" s="66">
        <v>1</v>
      </c>
      <c r="H16" s="27">
        <f>IF(B$25=0,0,G16/B$25)</f>
        <v>4.3478260869565216E-2</v>
      </c>
      <c r="J16" s="26">
        <v>14</v>
      </c>
      <c r="K16" s="28">
        <v>41.499999999999986</v>
      </c>
    </row>
    <row r="17" spans="1:11" x14ac:dyDescent="0.4">
      <c r="A17" s="74" t="s">
        <v>11</v>
      </c>
      <c r="B17" s="66">
        <v>46</v>
      </c>
      <c r="C17" s="27">
        <f>IF(B$3=0,0,B17/B$3)</f>
        <v>0.16788321167883211</v>
      </c>
      <c r="E17" s="84" t="s">
        <v>72</v>
      </c>
      <c r="F17" s="80" t="s">
        <v>26</v>
      </c>
      <c r="G17" s="66">
        <v>0</v>
      </c>
      <c r="H17" s="27">
        <f>IF(B$25=0,0,G17/B$25)</f>
        <v>0</v>
      </c>
      <c r="J17" s="26">
        <v>15</v>
      </c>
      <c r="K17" s="28">
        <v>32.999999999999986</v>
      </c>
    </row>
    <row r="18" spans="1:11" x14ac:dyDescent="0.4">
      <c r="A18" s="74" t="s">
        <v>12</v>
      </c>
      <c r="B18" s="66">
        <v>31</v>
      </c>
      <c r="C18" s="27">
        <f>IF(B$3=0,0,B18/B$3)</f>
        <v>0.11313868613138686</v>
      </c>
      <c r="E18" s="84" t="s">
        <v>77</v>
      </c>
      <c r="F18" s="80" t="s">
        <v>30</v>
      </c>
      <c r="G18" s="66">
        <v>0</v>
      </c>
      <c r="H18" s="27">
        <f>IF(B$25=0,0,G18/B$25)</f>
        <v>0</v>
      </c>
      <c r="J18" s="26">
        <v>16</v>
      </c>
      <c r="K18" s="28">
        <v>-5.5000000000000142</v>
      </c>
    </row>
    <row r="19" spans="1:11" x14ac:dyDescent="0.4">
      <c r="A19" s="74" t="s">
        <v>13</v>
      </c>
      <c r="B19" s="66">
        <v>55</v>
      </c>
      <c r="C19" s="27">
        <f>IF(B$3=0,0,B19/B$3)</f>
        <v>0.20072992700729927</v>
      </c>
      <c r="E19" s="84" t="s">
        <v>79</v>
      </c>
      <c r="F19" s="80" t="s">
        <v>32</v>
      </c>
      <c r="G19" s="66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4" t="s">
        <v>5</v>
      </c>
      <c r="B20" s="70">
        <f>IF(B$16=0,0,C20/B$16)</f>
        <v>10240.25974025974</v>
      </c>
      <c r="C20" s="30">
        <v>788500</v>
      </c>
      <c r="E20" s="84" t="s">
        <v>80</v>
      </c>
      <c r="F20" s="80" t="s">
        <v>33</v>
      </c>
      <c r="G20" s="66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6" t="s">
        <v>14</v>
      </c>
      <c r="B21" s="71">
        <f>IF(B$19=0,0,C21/B$19)</f>
        <v>-8287.2727272727279</v>
      </c>
      <c r="C21" s="60">
        <v>-455800</v>
      </c>
      <c r="E21" s="84" t="s">
        <v>82</v>
      </c>
      <c r="F21" s="80" t="s">
        <v>35</v>
      </c>
      <c r="G21" s="66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73" t="s">
        <v>198</v>
      </c>
      <c r="B22" s="65">
        <v>75</v>
      </c>
      <c r="C22" s="24">
        <f>IF(B$3=0,0,B22/B$3)</f>
        <v>0.27372262773722628</v>
      </c>
      <c r="E22" s="84" t="s">
        <v>83</v>
      </c>
      <c r="F22" s="80" t="s">
        <v>36</v>
      </c>
      <c r="G22" s="66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6" t="s">
        <v>199</v>
      </c>
      <c r="B23" s="68">
        <v>31</v>
      </c>
      <c r="C23" s="32">
        <f>IF(B$22=0,0,B23/B$22)</f>
        <v>0.41333333333333333</v>
      </c>
      <c r="E23" s="84" t="s">
        <v>86</v>
      </c>
      <c r="F23" s="80" t="s">
        <v>39</v>
      </c>
      <c r="G23" s="66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73" t="s">
        <v>128</v>
      </c>
      <c r="B24" s="86">
        <v>87</v>
      </c>
      <c r="C24" s="87"/>
      <c r="E24" s="84" t="s">
        <v>87</v>
      </c>
      <c r="F24" s="80" t="s">
        <v>40</v>
      </c>
      <c r="G24" s="66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6" t="s">
        <v>129</v>
      </c>
      <c r="B25" s="94">
        <v>23</v>
      </c>
      <c r="C25" s="95"/>
      <c r="E25" s="84" t="s">
        <v>89</v>
      </c>
      <c r="F25" s="80" t="s">
        <v>42</v>
      </c>
      <c r="G25" s="66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4" t="s">
        <v>91</v>
      </c>
      <c r="F26" s="80" t="s">
        <v>44</v>
      </c>
      <c r="G26" s="66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4" t="s">
        <v>92</v>
      </c>
      <c r="F27" s="80" t="s">
        <v>45</v>
      </c>
      <c r="G27" s="66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4" t="s">
        <v>94</v>
      </c>
      <c r="F28" s="80" t="s">
        <v>47</v>
      </c>
      <c r="G28" s="66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4" t="s">
        <v>95</v>
      </c>
      <c r="F29" s="80" t="s">
        <v>48</v>
      </c>
      <c r="G29" s="66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4" t="s">
        <v>97</v>
      </c>
      <c r="F30" s="80" t="s">
        <v>50</v>
      </c>
      <c r="G30" s="66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4" t="s">
        <v>98</v>
      </c>
      <c r="F31" s="80" t="s">
        <v>51</v>
      </c>
      <c r="G31" s="66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4" t="s">
        <v>99</v>
      </c>
      <c r="F32" s="80" t="s">
        <v>52</v>
      </c>
      <c r="G32" s="66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</row>
    <row r="39" spans="5:11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</row>
    <row r="40" spans="5:11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</row>
    <row r="41" spans="5:11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</row>
    <row r="42" spans="5:11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</row>
    <row r="43" spans="5:11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</row>
    <row r="44" spans="5:11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</row>
    <row r="45" spans="5:11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</row>
    <row r="46" spans="5:11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</row>
    <row r="47" spans="5:11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11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7E3F6-314F-413B-AD47-5FA983D8C1FD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193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44</v>
      </c>
      <c r="C2" s="87"/>
      <c r="E2" s="83" t="s">
        <v>71</v>
      </c>
      <c r="F2" s="79" t="s">
        <v>25</v>
      </c>
      <c r="G2" s="65">
        <v>68</v>
      </c>
      <c r="H2" s="24">
        <f>IF(B$25=0,0,G2/B$25)</f>
        <v>1.0303030303030303</v>
      </c>
      <c r="J2" s="23">
        <v>0</v>
      </c>
      <c r="K2" s="25">
        <v>0</v>
      </c>
      <c r="M2" s="23" t="s">
        <v>201</v>
      </c>
      <c r="N2" s="56">
        <f t="shared" ref="N2:N7" si="0">IF(P2=0,0,O2/P2)</f>
        <v>3242.8571428571427</v>
      </c>
      <c r="O2" s="53">
        <v>136200</v>
      </c>
      <c r="P2" s="51">
        <v>42</v>
      </c>
    </row>
    <row r="3" spans="1:16" x14ac:dyDescent="0.4">
      <c r="A3" s="74" t="s">
        <v>8</v>
      </c>
      <c r="B3" s="88">
        <v>331</v>
      </c>
      <c r="C3" s="89"/>
      <c r="E3" s="84" t="s">
        <v>73</v>
      </c>
      <c r="F3" s="80" t="s">
        <v>27</v>
      </c>
      <c r="G3" s="66">
        <v>59</v>
      </c>
      <c r="H3" s="27">
        <f>IF(B$25=0,0,G3/B$25)</f>
        <v>0.89393939393939392</v>
      </c>
      <c r="J3" s="26">
        <v>1</v>
      </c>
      <c r="K3" s="28">
        <v>-36.700000000000003</v>
      </c>
      <c r="M3" s="26" t="s">
        <v>202</v>
      </c>
      <c r="N3" s="57">
        <f t="shared" si="0"/>
        <v>-192.30769230769232</v>
      </c>
      <c r="O3" s="54">
        <v>-7500</v>
      </c>
      <c r="P3" s="49">
        <v>39</v>
      </c>
    </row>
    <row r="4" spans="1:16" x14ac:dyDescent="0.4">
      <c r="A4" s="74" t="s">
        <v>6</v>
      </c>
      <c r="B4" s="90">
        <v>193.79999999999995</v>
      </c>
      <c r="C4" s="91"/>
      <c r="E4" s="84" t="s">
        <v>69</v>
      </c>
      <c r="F4" s="80" t="s">
        <v>23</v>
      </c>
      <c r="G4" s="66">
        <v>40</v>
      </c>
      <c r="H4" s="27">
        <f>IF(B$25=0,0,G4/B$25)</f>
        <v>0.60606060606060608</v>
      </c>
      <c r="J4" s="26">
        <v>2</v>
      </c>
      <c r="K4" s="28">
        <v>-45.300000000000004</v>
      </c>
      <c r="M4" s="26" t="s">
        <v>203</v>
      </c>
      <c r="N4" s="57">
        <f t="shared" si="0"/>
        <v>-791.42857142857144</v>
      </c>
      <c r="O4" s="54">
        <v>-27700</v>
      </c>
      <c r="P4" s="49">
        <v>35</v>
      </c>
    </row>
    <row r="5" spans="1:16" x14ac:dyDescent="0.4">
      <c r="A5" s="74" t="s">
        <v>7</v>
      </c>
      <c r="B5" s="90">
        <f>IF(B$2=0,0,B$4/B$2)</f>
        <v>4.4045454545454534</v>
      </c>
      <c r="C5" s="91"/>
      <c r="E5" s="84" t="s">
        <v>78</v>
      </c>
      <c r="F5" s="80" t="s">
        <v>31</v>
      </c>
      <c r="G5" s="66">
        <v>40</v>
      </c>
      <c r="H5" s="27">
        <f>IF(B$25=0,0,G5/B$25)</f>
        <v>0.60606060606060608</v>
      </c>
      <c r="J5" s="26">
        <v>3</v>
      </c>
      <c r="K5" s="28">
        <v>-81.7</v>
      </c>
      <c r="M5" s="26" t="s">
        <v>204</v>
      </c>
      <c r="N5" s="57">
        <f t="shared" si="0"/>
        <v>-1353.125</v>
      </c>
      <c r="O5" s="54">
        <v>-43300</v>
      </c>
      <c r="P5" s="49">
        <v>32</v>
      </c>
    </row>
    <row r="6" spans="1:16" x14ac:dyDescent="0.4">
      <c r="A6" s="74" t="s">
        <v>1</v>
      </c>
      <c r="B6" s="92">
        <f>IF(B$2=0,0,(B$7*1+B$8*2+B$9*3)/B$2)</f>
        <v>1.8863636363636365</v>
      </c>
      <c r="C6" s="93"/>
      <c r="E6" s="84" t="s">
        <v>72</v>
      </c>
      <c r="F6" s="80" t="s">
        <v>26</v>
      </c>
      <c r="G6" s="66">
        <v>22</v>
      </c>
      <c r="H6" s="27">
        <f>IF(B$25=0,0,G6/B$25)</f>
        <v>0.33333333333333331</v>
      </c>
      <c r="J6" s="26">
        <v>4</v>
      </c>
      <c r="K6" s="28">
        <v>-113.80000000000001</v>
      </c>
      <c r="M6" s="26" t="s">
        <v>205</v>
      </c>
      <c r="N6" s="57">
        <f t="shared" si="0"/>
        <v>3000</v>
      </c>
      <c r="O6" s="54">
        <v>72000</v>
      </c>
      <c r="P6" s="49">
        <v>24</v>
      </c>
    </row>
    <row r="7" spans="1:16" x14ac:dyDescent="0.4">
      <c r="A7" s="74" t="s">
        <v>2</v>
      </c>
      <c r="B7" s="66">
        <v>18</v>
      </c>
      <c r="C7" s="27">
        <f>IF(B$2=0,0,B7/B$2)</f>
        <v>0.40909090909090912</v>
      </c>
      <c r="E7" s="84" t="s">
        <v>74</v>
      </c>
      <c r="F7" s="80" t="s">
        <v>12</v>
      </c>
      <c r="G7" s="66">
        <v>20</v>
      </c>
      <c r="H7" s="27">
        <f>IF(B$25=0,0,G7/B$25)</f>
        <v>0.30303030303030304</v>
      </c>
      <c r="J7" s="26">
        <v>5</v>
      </c>
      <c r="K7" s="28">
        <v>-135.80000000000001</v>
      </c>
      <c r="M7" s="31" t="s">
        <v>206</v>
      </c>
      <c r="N7" s="58">
        <f t="shared" si="0"/>
        <v>1114.2857142857142</v>
      </c>
      <c r="O7" s="55">
        <v>23400</v>
      </c>
      <c r="P7" s="50">
        <v>21</v>
      </c>
    </row>
    <row r="8" spans="1:16" x14ac:dyDescent="0.4">
      <c r="A8" s="74" t="s">
        <v>3</v>
      </c>
      <c r="B8" s="66">
        <v>13</v>
      </c>
      <c r="C8" s="27">
        <f t="shared" ref="C8:C9" si="1">IF(B$2=0,0,B8/B$2)</f>
        <v>0.29545454545454547</v>
      </c>
      <c r="E8" s="84" t="s">
        <v>75</v>
      </c>
      <c r="F8" s="80" t="s">
        <v>28</v>
      </c>
      <c r="G8" s="66">
        <v>11</v>
      </c>
      <c r="H8" s="27">
        <f>IF(B$25=0,0,G8/B$25)</f>
        <v>0.16666666666666666</v>
      </c>
      <c r="J8" s="26">
        <v>6</v>
      </c>
      <c r="K8" s="28">
        <v>-100.30000000000001</v>
      </c>
    </row>
    <row r="9" spans="1:16" x14ac:dyDescent="0.4">
      <c r="A9" s="75" t="s">
        <v>4</v>
      </c>
      <c r="B9" s="67">
        <v>13</v>
      </c>
      <c r="C9" s="29">
        <f t="shared" si="1"/>
        <v>0.29545454545454547</v>
      </c>
      <c r="E9" s="84" t="s">
        <v>96</v>
      </c>
      <c r="F9" s="80" t="s">
        <v>49</v>
      </c>
      <c r="G9" s="66">
        <v>10</v>
      </c>
      <c r="H9" s="27">
        <f>IF(B$25=0,0,G9/B$25)</f>
        <v>0.15151515151515152</v>
      </c>
      <c r="J9" s="26">
        <v>7</v>
      </c>
      <c r="K9" s="28">
        <v>-105.70000000000002</v>
      </c>
    </row>
    <row r="10" spans="1:16" x14ac:dyDescent="0.4">
      <c r="A10" s="75" t="s">
        <v>21</v>
      </c>
      <c r="B10" s="67">
        <v>7</v>
      </c>
      <c r="C10" s="29">
        <f>IF(B$2=0,0,B10/B$2)</f>
        <v>0.15909090909090909</v>
      </c>
      <c r="E10" s="84" t="s">
        <v>70</v>
      </c>
      <c r="F10" s="80" t="s">
        <v>24</v>
      </c>
      <c r="G10" s="66">
        <v>7</v>
      </c>
      <c r="H10" s="27">
        <f>IF(B$25=0,0,G10/B$25)</f>
        <v>0.10606060606060606</v>
      </c>
      <c r="J10" s="26">
        <v>8</v>
      </c>
      <c r="K10" s="28">
        <v>-51.800000000000018</v>
      </c>
    </row>
    <row r="11" spans="1:16" x14ac:dyDescent="0.4">
      <c r="A11" s="76" t="s">
        <v>211</v>
      </c>
      <c r="B11" s="68">
        <v>9</v>
      </c>
      <c r="C11" s="32">
        <f>IF(B$2=0,0,B11/B$2)</f>
        <v>0.20454545454545456</v>
      </c>
      <c r="E11" s="84" t="s">
        <v>76</v>
      </c>
      <c r="F11" s="80" t="s">
        <v>29</v>
      </c>
      <c r="G11" s="66">
        <v>6</v>
      </c>
      <c r="H11" s="27">
        <f>IF(B$25=0,0,G11/B$25)</f>
        <v>9.0909090909090912E-2</v>
      </c>
      <c r="J11" s="26">
        <v>9</v>
      </c>
      <c r="K11" s="28">
        <v>-53.000000000000021</v>
      </c>
    </row>
    <row r="12" spans="1:16" x14ac:dyDescent="0.4">
      <c r="A12" s="77" t="s">
        <v>130</v>
      </c>
      <c r="B12" s="69">
        <v>67</v>
      </c>
      <c r="C12" s="35">
        <f>IF(B$24=0,0,B12/B$24)</f>
        <v>0.3383838383838384</v>
      </c>
      <c r="E12" s="84" t="s">
        <v>77</v>
      </c>
      <c r="F12" s="80" t="s">
        <v>30</v>
      </c>
      <c r="G12" s="66">
        <v>5</v>
      </c>
      <c r="H12" s="27">
        <f>IF(B$25=0,0,G12/B$25)</f>
        <v>7.575757575757576E-2</v>
      </c>
      <c r="J12" s="26">
        <v>10</v>
      </c>
      <c r="K12" s="28">
        <v>-72.300000000000026</v>
      </c>
    </row>
    <row r="13" spans="1:16" x14ac:dyDescent="0.4">
      <c r="A13" s="74" t="s">
        <v>125</v>
      </c>
      <c r="B13" s="66">
        <v>50</v>
      </c>
      <c r="C13" s="27">
        <f>IF(B$24=0,0,B13/B$24)</f>
        <v>0.25252525252525254</v>
      </c>
      <c r="E13" s="84" t="s">
        <v>93</v>
      </c>
      <c r="F13" s="80" t="s">
        <v>46</v>
      </c>
      <c r="G13" s="66">
        <v>5</v>
      </c>
      <c r="H13" s="27">
        <f>IF(B$25=0,0,G13/B$25)</f>
        <v>7.575757575757576E-2</v>
      </c>
      <c r="J13" s="26">
        <v>11</v>
      </c>
      <c r="K13" s="28">
        <v>-91.600000000000023</v>
      </c>
    </row>
    <row r="14" spans="1:16" x14ac:dyDescent="0.4">
      <c r="A14" s="73" t="s">
        <v>132</v>
      </c>
      <c r="B14" s="65">
        <v>41</v>
      </c>
      <c r="C14" s="24">
        <f>IF(B$12=0,0,B14/B$12)</f>
        <v>0.61194029850746268</v>
      </c>
      <c r="E14" s="84" t="s">
        <v>84</v>
      </c>
      <c r="F14" s="80" t="s">
        <v>37</v>
      </c>
      <c r="G14" s="66">
        <v>2</v>
      </c>
      <c r="H14" s="27">
        <f>IF(B$25=0,0,G14/B$25)</f>
        <v>3.0303030303030304E-2</v>
      </c>
      <c r="J14" s="26">
        <v>12</v>
      </c>
      <c r="K14" s="28">
        <v>-88.600000000000023</v>
      </c>
    </row>
    <row r="15" spans="1:16" x14ac:dyDescent="0.4">
      <c r="A15" s="73" t="s">
        <v>133</v>
      </c>
      <c r="B15" s="65">
        <v>19</v>
      </c>
      <c r="C15" s="24">
        <f>IF(B$13=0,0,B15/B$13)</f>
        <v>0.38</v>
      </c>
      <c r="E15" s="84" t="s">
        <v>80</v>
      </c>
      <c r="F15" s="80" t="s">
        <v>33</v>
      </c>
      <c r="G15" s="66">
        <v>1</v>
      </c>
      <c r="H15" s="27">
        <f>IF(B$25=0,0,G15/B$25)</f>
        <v>1.5151515151515152E-2</v>
      </c>
      <c r="J15" s="26">
        <v>13</v>
      </c>
      <c r="K15" s="28">
        <v>-73.100000000000023</v>
      </c>
    </row>
    <row r="16" spans="1:16" x14ac:dyDescent="0.4">
      <c r="A16" s="73" t="s">
        <v>10</v>
      </c>
      <c r="B16" s="65">
        <f>B17+B18</f>
        <v>104</v>
      </c>
      <c r="C16" s="24">
        <f>IF(B$3=0,0,B16/B$3)</f>
        <v>0.31419939577039274</v>
      </c>
      <c r="E16" s="84" t="s">
        <v>88</v>
      </c>
      <c r="F16" s="80" t="s">
        <v>41</v>
      </c>
      <c r="G16" s="66">
        <v>1</v>
      </c>
      <c r="H16" s="27">
        <f>IF(B$25=0,0,G16/B$25)</f>
        <v>1.5151515151515152E-2</v>
      </c>
      <c r="J16" s="26">
        <v>14</v>
      </c>
      <c r="K16" s="28">
        <v>-62.000000000000021</v>
      </c>
    </row>
    <row r="17" spans="1:11" x14ac:dyDescent="0.4">
      <c r="A17" s="74" t="s">
        <v>11</v>
      </c>
      <c r="B17" s="66">
        <v>62</v>
      </c>
      <c r="C17" s="27">
        <f>IF(B$3=0,0,B17/B$3)</f>
        <v>0.18731117824773413</v>
      </c>
      <c r="E17" s="84" t="s">
        <v>90</v>
      </c>
      <c r="F17" s="80" t="s">
        <v>43</v>
      </c>
      <c r="G17" s="66">
        <v>1</v>
      </c>
      <c r="H17" s="27">
        <f>IF(B$25=0,0,G17/B$25)</f>
        <v>1.5151515151515152E-2</v>
      </c>
      <c r="J17" s="26">
        <v>15</v>
      </c>
      <c r="K17" s="28">
        <v>-69.200000000000017</v>
      </c>
    </row>
    <row r="18" spans="1:11" x14ac:dyDescent="0.4">
      <c r="A18" s="74" t="s">
        <v>12</v>
      </c>
      <c r="B18" s="66">
        <v>42</v>
      </c>
      <c r="C18" s="27">
        <f>IF(B$3=0,0,B18/B$3)</f>
        <v>0.12688821752265861</v>
      </c>
      <c r="E18" s="84" t="s">
        <v>98</v>
      </c>
      <c r="F18" s="80" t="s">
        <v>51</v>
      </c>
      <c r="G18" s="66">
        <v>1</v>
      </c>
      <c r="H18" s="27">
        <f>IF(B$25=0,0,G18/B$25)</f>
        <v>1.5151515151515152E-2</v>
      </c>
      <c r="J18" s="26">
        <v>16</v>
      </c>
      <c r="K18" s="28">
        <v>5.0999999999999801</v>
      </c>
    </row>
    <row r="19" spans="1:11" x14ac:dyDescent="0.4">
      <c r="A19" s="74" t="s">
        <v>13</v>
      </c>
      <c r="B19" s="66">
        <v>52</v>
      </c>
      <c r="C19" s="27">
        <f>IF(B$3=0,0,B19/B$3)</f>
        <v>0.15709969788519637</v>
      </c>
      <c r="E19" s="84" t="s">
        <v>79</v>
      </c>
      <c r="F19" s="80" t="s">
        <v>32</v>
      </c>
      <c r="G19" s="66">
        <v>0</v>
      </c>
      <c r="H19" s="27">
        <f>IF(B$25=0,0,G19/B$25)</f>
        <v>0</v>
      </c>
      <c r="J19" s="26">
        <v>17</v>
      </c>
      <c r="K19" s="28">
        <v>40.09999999999998</v>
      </c>
    </row>
    <row r="20" spans="1:11" x14ac:dyDescent="0.4">
      <c r="A20" s="74" t="s">
        <v>5</v>
      </c>
      <c r="B20" s="70">
        <f>IF(B$16=0,0,C20/B$16)</f>
        <v>11229.807692307691</v>
      </c>
      <c r="C20" s="30">
        <v>1167900</v>
      </c>
      <c r="E20" s="84" t="s">
        <v>81</v>
      </c>
      <c r="F20" s="80" t="s">
        <v>34</v>
      </c>
      <c r="G20" s="66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6" t="s">
        <v>14</v>
      </c>
      <c r="B21" s="71">
        <f>IF(B$19=0,0,C21/B$19)</f>
        <v>-9665.3846153846152</v>
      </c>
      <c r="C21" s="60">
        <v>-502600</v>
      </c>
      <c r="E21" s="84" t="s">
        <v>82</v>
      </c>
      <c r="F21" s="80" t="s">
        <v>35</v>
      </c>
      <c r="G21" s="66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73" t="s">
        <v>198</v>
      </c>
      <c r="B22" s="65">
        <v>124</v>
      </c>
      <c r="C22" s="24">
        <f>IF(B$3=0,0,B22/B$3)</f>
        <v>0.37462235649546827</v>
      </c>
      <c r="E22" s="84" t="s">
        <v>83</v>
      </c>
      <c r="F22" s="80" t="s">
        <v>36</v>
      </c>
      <c r="G22" s="66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6" t="s">
        <v>199</v>
      </c>
      <c r="B23" s="68">
        <v>52</v>
      </c>
      <c r="C23" s="32">
        <f>IF(B$22=0,0,B23/B$22)</f>
        <v>0.41935483870967744</v>
      </c>
      <c r="E23" s="84" t="s">
        <v>85</v>
      </c>
      <c r="F23" s="80" t="s">
        <v>38</v>
      </c>
      <c r="G23" s="66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73" t="s">
        <v>128</v>
      </c>
      <c r="B24" s="86">
        <v>198</v>
      </c>
      <c r="C24" s="87"/>
      <c r="E24" s="84" t="s">
        <v>86</v>
      </c>
      <c r="F24" s="80" t="s">
        <v>39</v>
      </c>
      <c r="G24" s="66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6" t="s">
        <v>129</v>
      </c>
      <c r="B25" s="94">
        <v>66</v>
      </c>
      <c r="C25" s="95"/>
      <c r="E25" s="84" t="s">
        <v>87</v>
      </c>
      <c r="F25" s="80" t="s">
        <v>40</v>
      </c>
      <c r="G25" s="66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4" t="s">
        <v>89</v>
      </c>
      <c r="F26" s="80" t="s">
        <v>42</v>
      </c>
      <c r="G26" s="66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4" t="s">
        <v>91</v>
      </c>
      <c r="F27" s="80" t="s">
        <v>44</v>
      </c>
      <c r="G27" s="66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4" t="s">
        <v>92</v>
      </c>
      <c r="F28" s="80" t="s">
        <v>45</v>
      </c>
      <c r="G28" s="66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4" t="s">
        <v>94</v>
      </c>
      <c r="F29" s="80" t="s">
        <v>47</v>
      </c>
      <c r="G29" s="66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4" t="s">
        <v>95</v>
      </c>
      <c r="F30" s="80" t="s">
        <v>48</v>
      </c>
      <c r="G30" s="66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4" t="s">
        <v>97</v>
      </c>
      <c r="F31" s="80" t="s">
        <v>50</v>
      </c>
      <c r="G31" s="66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4" t="s">
        <v>99</v>
      </c>
      <c r="F32" s="80" t="s">
        <v>52</v>
      </c>
      <c r="G32" s="66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11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7766-CDC5-4FF5-8EEA-43A54FB777DF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195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12</v>
      </c>
      <c r="C2" s="87"/>
      <c r="E2" s="83" t="s">
        <v>69</v>
      </c>
      <c r="F2" s="79" t="s">
        <v>23</v>
      </c>
      <c r="G2" s="65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4" t="s">
        <v>8</v>
      </c>
      <c r="B3" s="88">
        <v>82</v>
      </c>
      <c r="C3" s="89"/>
      <c r="E3" s="84" t="s">
        <v>70</v>
      </c>
      <c r="F3" s="80" t="s">
        <v>24</v>
      </c>
      <c r="G3" s="66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4" t="s">
        <v>6</v>
      </c>
      <c r="B4" s="90">
        <v>80.800000000000011</v>
      </c>
      <c r="C4" s="91"/>
      <c r="E4" s="84" t="s">
        <v>71</v>
      </c>
      <c r="F4" s="80" t="s">
        <v>25</v>
      </c>
      <c r="G4" s="66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4" t="s">
        <v>7</v>
      </c>
      <c r="B5" s="90">
        <f>IF(B$2=0,0,B$4/B$2)</f>
        <v>6.7333333333333343</v>
      </c>
      <c r="C5" s="91"/>
      <c r="E5" s="84" t="s">
        <v>72</v>
      </c>
      <c r="F5" s="80" t="s">
        <v>26</v>
      </c>
      <c r="G5" s="66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4" t="s">
        <v>1</v>
      </c>
      <c r="B6" s="92">
        <f>IF(B$2=0,0,(B$7*1+B$8*2+B$9*3)/B$2)</f>
        <v>1.75</v>
      </c>
      <c r="C6" s="93"/>
      <c r="E6" s="84" t="s">
        <v>73</v>
      </c>
      <c r="F6" s="80" t="s">
        <v>27</v>
      </c>
      <c r="G6" s="66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4" t="s">
        <v>2</v>
      </c>
      <c r="B7" s="66">
        <v>6</v>
      </c>
      <c r="C7" s="27">
        <f>IF(B$2=0,0,B7/B$2)</f>
        <v>0.5</v>
      </c>
      <c r="E7" s="84" t="s">
        <v>74</v>
      </c>
      <c r="F7" s="80" t="s">
        <v>12</v>
      </c>
      <c r="G7" s="66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4" t="s">
        <v>3</v>
      </c>
      <c r="B8" s="66">
        <v>3</v>
      </c>
      <c r="C8" s="27">
        <f t="shared" ref="C8:C9" si="1">IF(B$2=0,0,B8/B$2)</f>
        <v>0.25</v>
      </c>
      <c r="E8" s="84" t="s">
        <v>75</v>
      </c>
      <c r="F8" s="80" t="s">
        <v>28</v>
      </c>
      <c r="G8" s="66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5" t="s">
        <v>4</v>
      </c>
      <c r="B9" s="67">
        <v>3</v>
      </c>
      <c r="C9" s="29">
        <f t="shared" si="1"/>
        <v>0.25</v>
      </c>
      <c r="E9" s="84" t="s">
        <v>76</v>
      </c>
      <c r="F9" s="80" t="s">
        <v>29</v>
      </c>
      <c r="G9" s="66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5" t="s">
        <v>21</v>
      </c>
      <c r="B10" s="67">
        <v>3</v>
      </c>
      <c r="C10" s="29">
        <f>IF(B$2=0,0,B10/B$2)</f>
        <v>0.25</v>
      </c>
      <c r="E10" s="84" t="s">
        <v>77</v>
      </c>
      <c r="F10" s="80" t="s">
        <v>30</v>
      </c>
      <c r="G10" s="66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6" t="s">
        <v>211</v>
      </c>
      <c r="B11" s="68">
        <v>3</v>
      </c>
      <c r="C11" s="32">
        <f>IF(B$2=0,0,B11/B$2)</f>
        <v>0.25</v>
      </c>
      <c r="E11" s="84" t="s">
        <v>78</v>
      </c>
      <c r="F11" s="80" t="s">
        <v>31</v>
      </c>
      <c r="G11" s="66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7" t="s">
        <v>130</v>
      </c>
      <c r="B12" s="69">
        <v>0</v>
      </c>
      <c r="C12" s="35">
        <f>IF(B$24=0,0,B12/B$24)</f>
        <v>0</v>
      </c>
      <c r="E12" s="84" t="s">
        <v>79</v>
      </c>
      <c r="F12" s="80" t="s">
        <v>32</v>
      </c>
      <c r="G12" s="66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4" t="s">
        <v>125</v>
      </c>
      <c r="B13" s="66">
        <v>0</v>
      </c>
      <c r="C13" s="27">
        <f>IF(B$24=0,0,B13/B$24)</f>
        <v>0</v>
      </c>
      <c r="E13" s="84" t="s">
        <v>80</v>
      </c>
      <c r="F13" s="80" t="s">
        <v>33</v>
      </c>
      <c r="G13" s="66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73" t="s">
        <v>132</v>
      </c>
      <c r="B14" s="65">
        <v>0</v>
      </c>
      <c r="C14" s="24">
        <f>IF(B$12=0,0,B14/B$12)</f>
        <v>0</v>
      </c>
      <c r="E14" s="84" t="s">
        <v>81</v>
      </c>
      <c r="F14" s="80" t="s">
        <v>34</v>
      </c>
      <c r="G14" s="66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73" t="s">
        <v>133</v>
      </c>
      <c r="B15" s="65">
        <v>0</v>
      </c>
      <c r="C15" s="24">
        <f>IF(B$13=0,0,B15/B$13)</f>
        <v>0</v>
      </c>
      <c r="E15" s="84" t="s">
        <v>82</v>
      </c>
      <c r="F15" s="80" t="s">
        <v>35</v>
      </c>
      <c r="G15" s="66">
        <v>0</v>
      </c>
      <c r="H15" s="27">
        <f>IF(B$25=0,0,G15/B$25)</f>
        <v>0</v>
      </c>
    </row>
    <row r="16" spans="1:16" x14ac:dyDescent="0.4">
      <c r="A16" s="73" t="s">
        <v>10</v>
      </c>
      <c r="B16" s="65">
        <f>B17+B18</f>
        <v>28</v>
      </c>
      <c r="C16" s="24">
        <f>IF(B$3=0,0,B16/B$3)</f>
        <v>0.34146341463414637</v>
      </c>
      <c r="E16" s="84" t="s">
        <v>83</v>
      </c>
      <c r="F16" s="80" t="s">
        <v>36</v>
      </c>
      <c r="G16" s="66">
        <v>0</v>
      </c>
      <c r="H16" s="27">
        <f>IF(B$25=0,0,G16/B$25)</f>
        <v>0</v>
      </c>
    </row>
    <row r="17" spans="1:8" x14ac:dyDescent="0.4">
      <c r="A17" s="74" t="s">
        <v>11</v>
      </c>
      <c r="B17" s="66">
        <v>15</v>
      </c>
      <c r="C17" s="27">
        <f>IF(B$3=0,0,B17/B$3)</f>
        <v>0.18292682926829268</v>
      </c>
      <c r="E17" s="84" t="s">
        <v>84</v>
      </c>
      <c r="F17" s="80" t="s">
        <v>37</v>
      </c>
      <c r="G17" s="66">
        <v>0</v>
      </c>
      <c r="H17" s="27">
        <f>IF(B$25=0,0,G17/B$25)</f>
        <v>0</v>
      </c>
    </row>
    <row r="18" spans="1:8" x14ac:dyDescent="0.4">
      <c r="A18" s="74" t="s">
        <v>12</v>
      </c>
      <c r="B18" s="66">
        <v>13</v>
      </c>
      <c r="C18" s="27">
        <f>IF(B$3=0,0,B18/B$3)</f>
        <v>0.15853658536585366</v>
      </c>
      <c r="E18" s="84" t="s">
        <v>85</v>
      </c>
      <c r="F18" s="80" t="s">
        <v>38</v>
      </c>
      <c r="G18" s="66">
        <v>0</v>
      </c>
      <c r="H18" s="27">
        <f>IF(B$25=0,0,G18/B$25)</f>
        <v>0</v>
      </c>
    </row>
    <row r="19" spans="1:8" x14ac:dyDescent="0.4">
      <c r="A19" s="74" t="s">
        <v>13</v>
      </c>
      <c r="B19" s="66">
        <v>11</v>
      </c>
      <c r="C19" s="27">
        <f>IF(B$3=0,0,B19/B$3)</f>
        <v>0.13414634146341464</v>
      </c>
      <c r="E19" s="84" t="s">
        <v>86</v>
      </c>
      <c r="F19" s="80" t="s">
        <v>39</v>
      </c>
      <c r="G19" s="66">
        <v>0</v>
      </c>
      <c r="H19" s="27">
        <f>IF(B$25=0,0,G19/B$25)</f>
        <v>0</v>
      </c>
    </row>
    <row r="20" spans="1:8" x14ac:dyDescent="0.4">
      <c r="A20" s="74" t="s">
        <v>5</v>
      </c>
      <c r="B20" s="70">
        <f>IF(B$16=0,0,C20/B$16)</f>
        <v>10857.142857142857</v>
      </c>
      <c r="C20" s="30">
        <v>304000</v>
      </c>
      <c r="E20" s="84" t="s">
        <v>87</v>
      </c>
      <c r="F20" s="80" t="s">
        <v>40</v>
      </c>
      <c r="G20" s="66">
        <v>0</v>
      </c>
      <c r="H20" s="27">
        <f>IF(B$25=0,0,G20/B$25)</f>
        <v>0</v>
      </c>
    </row>
    <row r="21" spans="1:8" x14ac:dyDescent="0.4">
      <c r="A21" s="76" t="s">
        <v>14</v>
      </c>
      <c r="B21" s="71">
        <f>IF(B$19=0,0,C21/B$19)</f>
        <v>-9927.2727272727279</v>
      </c>
      <c r="C21" s="60">
        <v>-109200</v>
      </c>
      <c r="E21" s="84" t="s">
        <v>88</v>
      </c>
      <c r="F21" s="80" t="s">
        <v>41</v>
      </c>
      <c r="G21" s="66">
        <v>0</v>
      </c>
      <c r="H21" s="27">
        <f>IF(B$25=0,0,G21/B$25)</f>
        <v>0</v>
      </c>
    </row>
    <row r="22" spans="1:8" x14ac:dyDescent="0.4">
      <c r="A22" s="73" t="s">
        <v>198</v>
      </c>
      <c r="B22" s="65">
        <v>33</v>
      </c>
      <c r="C22" s="24">
        <f>IF(B$3=0,0,B22/B$3)</f>
        <v>0.40243902439024393</v>
      </c>
      <c r="E22" s="84" t="s">
        <v>89</v>
      </c>
      <c r="F22" s="80" t="s">
        <v>42</v>
      </c>
      <c r="G22" s="66">
        <v>0</v>
      </c>
      <c r="H22" s="27">
        <f>IF(B$25=0,0,G22/B$25)</f>
        <v>0</v>
      </c>
    </row>
    <row r="23" spans="1:8" x14ac:dyDescent="0.4">
      <c r="A23" s="76" t="s">
        <v>199</v>
      </c>
      <c r="B23" s="68">
        <v>15</v>
      </c>
      <c r="C23" s="32">
        <f>IF(B$22=0,0,B23/B$22)</f>
        <v>0.45454545454545453</v>
      </c>
      <c r="E23" s="84" t="s">
        <v>90</v>
      </c>
      <c r="F23" s="80" t="s">
        <v>43</v>
      </c>
      <c r="G23" s="66">
        <v>0</v>
      </c>
      <c r="H23" s="27">
        <f>IF(B$25=0,0,G23/B$25)</f>
        <v>0</v>
      </c>
    </row>
    <row r="24" spans="1:8" x14ac:dyDescent="0.4">
      <c r="A24" s="73" t="s">
        <v>128</v>
      </c>
      <c r="B24" s="86">
        <v>0</v>
      </c>
      <c r="C24" s="87"/>
      <c r="E24" s="84" t="s">
        <v>91</v>
      </c>
      <c r="F24" s="80" t="s">
        <v>44</v>
      </c>
      <c r="G24" s="66">
        <v>0</v>
      </c>
      <c r="H24" s="27">
        <f>IF(B$25=0,0,G24/B$25)</f>
        <v>0</v>
      </c>
    </row>
    <row r="25" spans="1:8" x14ac:dyDescent="0.4">
      <c r="A25" s="76" t="s">
        <v>129</v>
      </c>
      <c r="B25" s="94">
        <v>0</v>
      </c>
      <c r="C25" s="95"/>
      <c r="E25" s="84" t="s">
        <v>92</v>
      </c>
      <c r="F25" s="80" t="s">
        <v>45</v>
      </c>
      <c r="G25" s="66">
        <v>0</v>
      </c>
      <c r="H25" s="27">
        <f>IF(B$25=0,0,G25/B$25)</f>
        <v>0</v>
      </c>
    </row>
    <row r="26" spans="1:8" x14ac:dyDescent="0.4">
      <c r="E26" s="84" t="s">
        <v>93</v>
      </c>
      <c r="F26" s="80" t="s">
        <v>46</v>
      </c>
      <c r="G26" s="66">
        <v>0</v>
      </c>
      <c r="H26" s="27">
        <f>IF(B$25=0,0,G26/B$25)</f>
        <v>0</v>
      </c>
    </row>
    <row r="27" spans="1:8" x14ac:dyDescent="0.4">
      <c r="E27" s="84" t="s">
        <v>94</v>
      </c>
      <c r="F27" s="80" t="s">
        <v>47</v>
      </c>
      <c r="G27" s="66">
        <v>0</v>
      </c>
      <c r="H27" s="27">
        <f>IF(B$25=0,0,G27/B$25)</f>
        <v>0</v>
      </c>
    </row>
    <row r="28" spans="1:8" x14ac:dyDescent="0.4">
      <c r="E28" s="84" t="s">
        <v>95</v>
      </c>
      <c r="F28" s="80" t="s">
        <v>48</v>
      </c>
      <c r="G28" s="66">
        <v>0</v>
      </c>
      <c r="H28" s="27">
        <f>IF(B$25=0,0,G28/B$25)</f>
        <v>0</v>
      </c>
    </row>
    <row r="29" spans="1:8" x14ac:dyDescent="0.4">
      <c r="E29" s="84" t="s">
        <v>96</v>
      </c>
      <c r="F29" s="80" t="s">
        <v>49</v>
      </c>
      <c r="G29" s="66">
        <v>0</v>
      </c>
      <c r="H29" s="27">
        <f>IF(B$25=0,0,G29/B$25)</f>
        <v>0</v>
      </c>
    </row>
    <row r="30" spans="1:8" x14ac:dyDescent="0.4">
      <c r="E30" s="84" t="s">
        <v>97</v>
      </c>
      <c r="F30" s="80" t="s">
        <v>50</v>
      </c>
      <c r="G30" s="66">
        <v>0</v>
      </c>
      <c r="H30" s="27">
        <f>IF(B$25=0,0,G30/B$25)</f>
        <v>0</v>
      </c>
    </row>
    <row r="31" spans="1:8" x14ac:dyDescent="0.4">
      <c r="E31" s="84" t="s">
        <v>98</v>
      </c>
      <c r="F31" s="80" t="s">
        <v>51</v>
      </c>
      <c r="G31" s="66">
        <v>0</v>
      </c>
      <c r="H31" s="27">
        <f>IF(B$25=0,0,G31/B$25)</f>
        <v>0</v>
      </c>
    </row>
    <row r="32" spans="1:8" x14ac:dyDescent="0.4">
      <c r="E32" s="84" t="s">
        <v>99</v>
      </c>
      <c r="F32" s="80" t="s">
        <v>52</v>
      </c>
      <c r="G32" s="66">
        <v>0</v>
      </c>
      <c r="H32" s="27">
        <f>IF(B$25=0,0,G32/B$25)</f>
        <v>0</v>
      </c>
    </row>
    <row r="33" spans="5:8" x14ac:dyDescent="0.4">
      <c r="E33" s="84" t="s">
        <v>100</v>
      </c>
      <c r="F33" s="80" t="s">
        <v>53</v>
      </c>
      <c r="G33" s="66">
        <v>0</v>
      </c>
      <c r="H33" s="27">
        <f>IF(B$25=0,0,G33/B$25)</f>
        <v>0</v>
      </c>
    </row>
    <row r="34" spans="5:8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</row>
    <row r="35" spans="5:8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</row>
    <row r="36" spans="5:8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</row>
    <row r="37" spans="5:8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</row>
    <row r="38" spans="5:8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</row>
    <row r="39" spans="5:8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</row>
    <row r="40" spans="5:8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</row>
    <row r="41" spans="5:8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</row>
    <row r="42" spans="5:8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</row>
    <row r="43" spans="5:8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</row>
    <row r="44" spans="5:8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</row>
    <row r="45" spans="5:8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</row>
    <row r="46" spans="5:8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</row>
    <row r="47" spans="5:8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8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3C9B-B4E9-4DAD-8031-FFFB9280C5BF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 t="s">
        <v>196</v>
      </c>
      <c r="C1" s="63"/>
      <c r="E1" s="82" t="s">
        <v>213</v>
      </c>
      <c r="F1" s="59" t="s">
        <v>122</v>
      </c>
      <c r="G1" s="78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73" t="s">
        <v>9</v>
      </c>
      <c r="B2" s="86">
        <v>25</v>
      </c>
      <c r="C2" s="87"/>
      <c r="E2" s="83" t="s">
        <v>73</v>
      </c>
      <c r="F2" s="79" t="s">
        <v>27</v>
      </c>
      <c r="G2" s="65">
        <v>41</v>
      </c>
      <c r="H2" s="24">
        <f>IF(B$25=0,0,G2/B$25)</f>
        <v>0.93181818181818177</v>
      </c>
      <c r="J2" s="23">
        <v>0</v>
      </c>
      <c r="K2" s="25">
        <v>0</v>
      </c>
      <c r="M2" s="23" t="s">
        <v>201</v>
      </c>
      <c r="N2" s="56">
        <f t="shared" ref="N2:N7" si="0">IF(P2=0,0,O2/P2)</f>
        <v>-2963.6363636363635</v>
      </c>
      <c r="O2" s="53">
        <v>-65200</v>
      </c>
      <c r="P2" s="51">
        <v>22</v>
      </c>
    </row>
    <row r="3" spans="1:16" x14ac:dyDescent="0.4">
      <c r="A3" s="74" t="s">
        <v>8</v>
      </c>
      <c r="B3" s="88">
        <v>198</v>
      </c>
      <c r="C3" s="89"/>
      <c r="E3" s="84" t="s">
        <v>78</v>
      </c>
      <c r="F3" s="80" t="s">
        <v>31</v>
      </c>
      <c r="G3" s="66">
        <v>38</v>
      </c>
      <c r="H3" s="27">
        <f>IF(B$25=0,0,G3/B$25)</f>
        <v>0.86363636363636365</v>
      </c>
      <c r="J3" s="26">
        <v>1</v>
      </c>
      <c r="K3" s="28">
        <v>3.9</v>
      </c>
      <c r="M3" s="26" t="s">
        <v>202</v>
      </c>
      <c r="N3" s="57">
        <f t="shared" si="0"/>
        <v>-1850</v>
      </c>
      <c r="O3" s="54">
        <v>-40700</v>
      </c>
      <c r="P3" s="49">
        <v>22</v>
      </c>
    </row>
    <row r="4" spans="1:16" x14ac:dyDescent="0.4">
      <c r="A4" s="74" t="s">
        <v>6</v>
      </c>
      <c r="B4" s="90">
        <v>-216.89999999999998</v>
      </c>
      <c r="C4" s="91"/>
      <c r="E4" s="84" t="s">
        <v>71</v>
      </c>
      <c r="F4" s="80" t="s">
        <v>25</v>
      </c>
      <c r="G4" s="66">
        <v>27</v>
      </c>
      <c r="H4" s="27">
        <f>IF(B$25=0,0,G4/B$25)</f>
        <v>0.61363636363636365</v>
      </c>
      <c r="J4" s="26">
        <v>2</v>
      </c>
      <c r="K4" s="28">
        <v>-33.9</v>
      </c>
      <c r="M4" s="26" t="s">
        <v>203</v>
      </c>
      <c r="N4" s="57">
        <f t="shared" si="0"/>
        <v>-640.90909090909088</v>
      </c>
      <c r="O4" s="54">
        <v>-14100</v>
      </c>
      <c r="P4" s="49">
        <v>22</v>
      </c>
    </row>
    <row r="5" spans="1:16" x14ac:dyDescent="0.4">
      <c r="A5" s="74" t="s">
        <v>7</v>
      </c>
      <c r="B5" s="90">
        <f>IF(B$2=0,0,B$4/B$2)</f>
        <v>-8.6759999999999984</v>
      </c>
      <c r="C5" s="91"/>
      <c r="E5" s="84" t="s">
        <v>69</v>
      </c>
      <c r="F5" s="80" t="s">
        <v>23</v>
      </c>
      <c r="G5" s="66">
        <v>23</v>
      </c>
      <c r="H5" s="27">
        <f>IF(B$25=0,0,G5/B$25)</f>
        <v>0.52272727272727271</v>
      </c>
      <c r="J5" s="26">
        <v>3</v>
      </c>
      <c r="K5" s="28">
        <v>-70.099999999999994</v>
      </c>
      <c r="M5" s="26" t="s">
        <v>204</v>
      </c>
      <c r="N5" s="57">
        <f t="shared" si="0"/>
        <v>166.66666666666666</v>
      </c>
      <c r="O5" s="54">
        <v>3500</v>
      </c>
      <c r="P5" s="49">
        <v>21</v>
      </c>
    </row>
    <row r="6" spans="1:16" x14ac:dyDescent="0.4">
      <c r="A6" s="74" t="s">
        <v>1</v>
      </c>
      <c r="B6" s="92">
        <f>IF(B$2=0,0,(B$7*1+B$8*2+B$9*3)/B$2)</f>
        <v>2.2799999999999998</v>
      </c>
      <c r="C6" s="93"/>
      <c r="E6" s="84" t="s">
        <v>74</v>
      </c>
      <c r="F6" s="80" t="s">
        <v>12</v>
      </c>
      <c r="G6" s="66">
        <v>17</v>
      </c>
      <c r="H6" s="27">
        <f>IF(B$25=0,0,G6/B$25)</f>
        <v>0.38636363636363635</v>
      </c>
      <c r="J6" s="26">
        <v>4</v>
      </c>
      <c r="K6" s="28">
        <v>-35.099999999999994</v>
      </c>
      <c r="M6" s="26" t="s">
        <v>205</v>
      </c>
      <c r="N6" s="57">
        <f t="shared" si="0"/>
        <v>-1142.1052631578948</v>
      </c>
      <c r="O6" s="54">
        <v>-21700</v>
      </c>
      <c r="P6" s="49">
        <v>19</v>
      </c>
    </row>
    <row r="7" spans="1:16" x14ac:dyDescent="0.4">
      <c r="A7" s="74" t="s">
        <v>2</v>
      </c>
      <c r="B7" s="66">
        <v>6</v>
      </c>
      <c r="C7" s="27">
        <f>IF(B$2=0,0,B7/B$2)</f>
        <v>0.24</v>
      </c>
      <c r="E7" s="84" t="s">
        <v>72</v>
      </c>
      <c r="F7" s="80" t="s">
        <v>26</v>
      </c>
      <c r="G7" s="66">
        <v>14</v>
      </c>
      <c r="H7" s="27">
        <f>IF(B$25=0,0,G7/B$25)</f>
        <v>0.31818181818181818</v>
      </c>
      <c r="J7" s="26">
        <v>5</v>
      </c>
      <c r="K7" s="28">
        <v>-80.099999999999994</v>
      </c>
      <c r="M7" s="31" t="s">
        <v>206</v>
      </c>
      <c r="N7" s="58">
        <f t="shared" si="0"/>
        <v>3054.5454545454545</v>
      </c>
      <c r="O7" s="55">
        <v>33600</v>
      </c>
      <c r="P7" s="50">
        <v>11</v>
      </c>
    </row>
    <row r="8" spans="1:16" x14ac:dyDescent="0.4">
      <c r="A8" s="74" t="s">
        <v>3</v>
      </c>
      <c r="B8" s="66">
        <v>6</v>
      </c>
      <c r="C8" s="27">
        <f t="shared" ref="C8:C9" si="1">IF(B$2=0,0,B8/B$2)</f>
        <v>0.24</v>
      </c>
      <c r="E8" s="84" t="s">
        <v>96</v>
      </c>
      <c r="F8" s="80" t="s">
        <v>49</v>
      </c>
      <c r="G8" s="66">
        <v>8</v>
      </c>
      <c r="H8" s="27">
        <f>IF(B$25=0,0,G8/B$25)</f>
        <v>0.18181818181818182</v>
      </c>
      <c r="J8" s="26">
        <v>6</v>
      </c>
      <c r="K8" s="28">
        <v>-116.1</v>
      </c>
    </row>
    <row r="9" spans="1:16" x14ac:dyDescent="0.4">
      <c r="A9" s="75" t="s">
        <v>4</v>
      </c>
      <c r="B9" s="67">
        <v>13</v>
      </c>
      <c r="C9" s="29">
        <f t="shared" si="1"/>
        <v>0.52</v>
      </c>
      <c r="E9" s="84" t="s">
        <v>75</v>
      </c>
      <c r="F9" s="80" t="s">
        <v>28</v>
      </c>
      <c r="G9" s="66">
        <v>7</v>
      </c>
      <c r="H9" s="27">
        <f>IF(B$25=0,0,G9/B$25)</f>
        <v>0.15909090909090909</v>
      </c>
      <c r="J9" s="26">
        <v>7</v>
      </c>
      <c r="K9" s="28">
        <v>-147.4</v>
      </c>
    </row>
    <row r="10" spans="1:16" x14ac:dyDescent="0.4">
      <c r="A10" s="75" t="s">
        <v>21</v>
      </c>
      <c r="B10" s="67">
        <v>7</v>
      </c>
      <c r="C10" s="29">
        <f>IF(B$2=0,0,B10/B$2)</f>
        <v>0.28000000000000003</v>
      </c>
      <c r="E10" s="84" t="s">
        <v>76</v>
      </c>
      <c r="F10" s="80" t="s">
        <v>29</v>
      </c>
      <c r="G10" s="66">
        <v>4</v>
      </c>
      <c r="H10" s="27">
        <f>IF(B$25=0,0,G10/B$25)</f>
        <v>9.0909090909090912E-2</v>
      </c>
      <c r="J10" s="26">
        <v>8</v>
      </c>
      <c r="K10" s="28">
        <v>-146</v>
      </c>
    </row>
    <row r="11" spans="1:16" x14ac:dyDescent="0.4">
      <c r="A11" s="76" t="s">
        <v>211</v>
      </c>
      <c r="B11" s="68">
        <v>3</v>
      </c>
      <c r="C11" s="32">
        <f>IF(B$2=0,0,B11/B$2)</f>
        <v>0.12</v>
      </c>
      <c r="E11" s="84" t="s">
        <v>84</v>
      </c>
      <c r="F11" s="80" t="s">
        <v>37</v>
      </c>
      <c r="G11" s="66">
        <v>4</v>
      </c>
      <c r="H11" s="27">
        <f>IF(B$25=0,0,G11/B$25)</f>
        <v>9.0909090909090912E-2</v>
      </c>
      <c r="J11" s="26">
        <v>9</v>
      </c>
      <c r="K11" s="28">
        <v>-173</v>
      </c>
    </row>
    <row r="12" spans="1:16" x14ac:dyDescent="0.4">
      <c r="A12" s="77" t="s">
        <v>130</v>
      </c>
      <c r="B12" s="69">
        <v>39</v>
      </c>
      <c r="C12" s="35">
        <f>IF(B$24=0,0,B12/B$24)</f>
        <v>0.24223602484472051</v>
      </c>
      <c r="E12" s="84" t="s">
        <v>70</v>
      </c>
      <c r="F12" s="80" t="s">
        <v>24</v>
      </c>
      <c r="G12" s="66">
        <v>3</v>
      </c>
      <c r="H12" s="27">
        <f>IF(B$25=0,0,G12/B$25)</f>
        <v>6.8181818181818177E-2</v>
      </c>
      <c r="J12" s="26">
        <v>10</v>
      </c>
      <c r="K12" s="28">
        <v>-206.1</v>
      </c>
    </row>
    <row r="13" spans="1:16" x14ac:dyDescent="0.4">
      <c r="A13" s="74" t="s">
        <v>125</v>
      </c>
      <c r="B13" s="66">
        <v>37</v>
      </c>
      <c r="C13" s="27">
        <f>IF(B$24=0,0,B13/B$24)</f>
        <v>0.22981366459627328</v>
      </c>
      <c r="E13" s="84" t="s">
        <v>79</v>
      </c>
      <c r="F13" s="80" t="s">
        <v>32</v>
      </c>
      <c r="G13" s="66">
        <v>2</v>
      </c>
      <c r="H13" s="27">
        <f>IF(B$25=0,0,G13/B$25)</f>
        <v>4.5454545454545456E-2</v>
      </c>
      <c r="J13" s="26">
        <v>11</v>
      </c>
      <c r="K13" s="28">
        <v>-174</v>
      </c>
    </row>
    <row r="14" spans="1:16" x14ac:dyDescent="0.4">
      <c r="A14" s="73" t="s">
        <v>132</v>
      </c>
      <c r="B14" s="65">
        <v>24</v>
      </c>
      <c r="C14" s="24">
        <f>IF(B$12=0,0,B14/B$12)</f>
        <v>0.61538461538461542</v>
      </c>
      <c r="E14" s="84" t="s">
        <v>90</v>
      </c>
      <c r="F14" s="80" t="s">
        <v>43</v>
      </c>
      <c r="G14" s="66">
        <v>2</v>
      </c>
      <c r="H14" s="27">
        <f>IF(B$25=0,0,G14/B$25)</f>
        <v>4.5454545454545456E-2</v>
      </c>
      <c r="J14" s="26">
        <v>12</v>
      </c>
      <c r="K14" s="28">
        <v>-197</v>
      </c>
    </row>
    <row r="15" spans="1:16" x14ac:dyDescent="0.4">
      <c r="A15" s="73" t="s">
        <v>133</v>
      </c>
      <c r="B15" s="65">
        <v>14</v>
      </c>
      <c r="C15" s="24">
        <f>IF(B$13=0,0,B15/B$13)</f>
        <v>0.3783783783783784</v>
      </c>
      <c r="E15" s="84" t="s">
        <v>81</v>
      </c>
      <c r="F15" s="80" t="s">
        <v>34</v>
      </c>
      <c r="G15" s="66">
        <v>1</v>
      </c>
      <c r="H15" s="27">
        <f>IF(B$25=0,0,G15/B$25)</f>
        <v>2.2727272727272728E-2</v>
      </c>
      <c r="J15" s="26">
        <v>13</v>
      </c>
      <c r="K15" s="28">
        <v>-235</v>
      </c>
    </row>
    <row r="16" spans="1:16" x14ac:dyDescent="0.4">
      <c r="A16" s="73" t="s">
        <v>10</v>
      </c>
      <c r="B16" s="65">
        <f>B17+B18</f>
        <v>54</v>
      </c>
      <c r="C16" s="24">
        <f>IF(B$3=0,0,B16/B$3)</f>
        <v>0.27272727272727271</v>
      </c>
      <c r="E16" s="84" t="s">
        <v>88</v>
      </c>
      <c r="F16" s="80" t="s">
        <v>41</v>
      </c>
      <c r="G16" s="66">
        <v>1</v>
      </c>
      <c r="H16" s="27">
        <f>IF(B$25=0,0,G16/B$25)</f>
        <v>2.2727272727272728E-2</v>
      </c>
      <c r="J16" s="26">
        <v>14</v>
      </c>
      <c r="K16" s="28">
        <v>-231</v>
      </c>
    </row>
    <row r="17" spans="1:11" x14ac:dyDescent="0.4">
      <c r="A17" s="74" t="s">
        <v>11</v>
      </c>
      <c r="B17" s="66">
        <v>27</v>
      </c>
      <c r="C17" s="27">
        <f>IF(B$3=0,0,B17/B$3)</f>
        <v>0.13636363636363635</v>
      </c>
      <c r="E17" s="84" t="s">
        <v>93</v>
      </c>
      <c r="F17" s="80" t="s">
        <v>46</v>
      </c>
      <c r="G17" s="66">
        <v>1</v>
      </c>
      <c r="H17" s="27">
        <f>IF(B$25=0,0,G17/B$25)</f>
        <v>2.2727272727272728E-2</v>
      </c>
      <c r="J17" s="26">
        <v>15</v>
      </c>
      <c r="K17" s="28">
        <v>-212.5</v>
      </c>
    </row>
    <row r="18" spans="1:11" x14ac:dyDescent="0.4">
      <c r="A18" s="74" t="s">
        <v>12</v>
      </c>
      <c r="B18" s="66">
        <v>27</v>
      </c>
      <c r="C18" s="27">
        <f>IF(B$3=0,0,B18/B$3)</f>
        <v>0.13636363636363635</v>
      </c>
      <c r="E18" s="84" t="s">
        <v>100</v>
      </c>
      <c r="F18" s="80" t="s">
        <v>53</v>
      </c>
      <c r="G18" s="66">
        <v>1</v>
      </c>
      <c r="H18" s="27">
        <f>IF(B$25=0,0,G18/B$25)</f>
        <v>2.2727272727272728E-2</v>
      </c>
      <c r="J18" s="26">
        <v>16</v>
      </c>
      <c r="K18" s="28">
        <v>-233.2</v>
      </c>
    </row>
    <row r="19" spans="1:11" x14ac:dyDescent="0.4">
      <c r="A19" s="74" t="s">
        <v>13</v>
      </c>
      <c r="B19" s="66">
        <v>41</v>
      </c>
      <c r="C19" s="27">
        <f>IF(B$3=0,0,B19/B$3)</f>
        <v>0.20707070707070707</v>
      </c>
      <c r="E19" s="84" t="s">
        <v>77</v>
      </c>
      <c r="F19" s="80" t="s">
        <v>30</v>
      </c>
      <c r="G19" s="66">
        <v>0</v>
      </c>
      <c r="H19" s="27">
        <f>IF(B$25=0,0,G19/B$25)</f>
        <v>0</v>
      </c>
      <c r="J19" s="26">
        <v>17</v>
      </c>
      <c r="K19" s="28">
        <v>-268.7</v>
      </c>
    </row>
    <row r="20" spans="1:11" x14ac:dyDescent="0.4">
      <c r="A20" s="74" t="s">
        <v>5</v>
      </c>
      <c r="B20" s="70">
        <f>IF(B$16=0,0,C20/B$16)</f>
        <v>10729.62962962963</v>
      </c>
      <c r="C20" s="30">
        <v>579400</v>
      </c>
      <c r="E20" s="84" t="s">
        <v>80</v>
      </c>
      <c r="F20" s="80" t="s">
        <v>33</v>
      </c>
      <c r="G20" s="66">
        <v>0</v>
      </c>
      <c r="H20" s="27">
        <f>IF(B$25=0,0,G20/B$25)</f>
        <v>0</v>
      </c>
      <c r="J20" s="26">
        <v>18</v>
      </c>
      <c r="K20" s="28">
        <v>-295.8</v>
      </c>
    </row>
    <row r="21" spans="1:11" x14ac:dyDescent="0.4">
      <c r="A21" s="76" t="s">
        <v>14</v>
      </c>
      <c r="B21" s="71">
        <f>IF(B$19=0,0,C21/B$19)</f>
        <v>-9697.5609756097565</v>
      </c>
      <c r="C21" s="60">
        <v>-397600</v>
      </c>
      <c r="E21" s="84" t="s">
        <v>82</v>
      </c>
      <c r="F21" s="80" t="s">
        <v>35</v>
      </c>
      <c r="G21" s="66">
        <v>0</v>
      </c>
      <c r="H21" s="27">
        <f>IF(B$25=0,0,G21/B$25)</f>
        <v>0</v>
      </c>
      <c r="J21" s="26">
        <v>19</v>
      </c>
      <c r="K21" s="28">
        <v>-273.2</v>
      </c>
    </row>
    <row r="22" spans="1:11" x14ac:dyDescent="0.4">
      <c r="A22" s="73" t="s">
        <v>198</v>
      </c>
      <c r="B22" s="65">
        <v>59</v>
      </c>
      <c r="C22" s="24">
        <f>IF(B$3=0,0,B22/B$3)</f>
        <v>0.29797979797979796</v>
      </c>
      <c r="E22" s="84" t="s">
        <v>83</v>
      </c>
      <c r="F22" s="80" t="s">
        <v>36</v>
      </c>
      <c r="G22" s="66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6" t="s">
        <v>199</v>
      </c>
      <c r="B23" s="68">
        <v>21</v>
      </c>
      <c r="C23" s="32">
        <f>IF(B$22=0,0,B23/B$22)</f>
        <v>0.3559322033898305</v>
      </c>
      <c r="E23" s="84" t="s">
        <v>85</v>
      </c>
      <c r="F23" s="80" t="s">
        <v>38</v>
      </c>
      <c r="G23" s="66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73" t="s">
        <v>128</v>
      </c>
      <c r="B24" s="86">
        <v>161</v>
      </c>
      <c r="C24" s="87"/>
      <c r="E24" s="84" t="s">
        <v>86</v>
      </c>
      <c r="F24" s="80" t="s">
        <v>39</v>
      </c>
      <c r="G24" s="66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6" t="s">
        <v>129</v>
      </c>
      <c r="B25" s="94">
        <v>44</v>
      </c>
      <c r="C25" s="95"/>
      <c r="E25" s="84" t="s">
        <v>87</v>
      </c>
      <c r="F25" s="80" t="s">
        <v>40</v>
      </c>
      <c r="G25" s="66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4" t="s">
        <v>89</v>
      </c>
      <c r="F26" s="80" t="s">
        <v>42</v>
      </c>
      <c r="G26" s="66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4" t="s">
        <v>91</v>
      </c>
      <c r="F27" s="80" t="s">
        <v>44</v>
      </c>
      <c r="G27" s="66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4" t="s">
        <v>92</v>
      </c>
      <c r="F28" s="80" t="s">
        <v>45</v>
      </c>
      <c r="G28" s="66">
        <v>0</v>
      </c>
      <c r="H28" s="27">
        <f>IF(B$25=0,0,G28/B$25)</f>
        <v>0</v>
      </c>
    </row>
    <row r="29" spans="1:11" x14ac:dyDescent="0.4">
      <c r="E29" s="84" t="s">
        <v>94</v>
      </c>
      <c r="F29" s="80" t="s">
        <v>47</v>
      </c>
      <c r="G29" s="66">
        <v>0</v>
      </c>
      <c r="H29" s="27">
        <f>IF(B$25=0,0,G29/B$25)</f>
        <v>0</v>
      </c>
    </row>
    <row r="30" spans="1:11" x14ac:dyDescent="0.4">
      <c r="E30" s="84" t="s">
        <v>95</v>
      </c>
      <c r="F30" s="80" t="s">
        <v>48</v>
      </c>
      <c r="G30" s="66">
        <v>0</v>
      </c>
      <c r="H30" s="27">
        <f>IF(B$25=0,0,G30/B$25)</f>
        <v>0</v>
      </c>
    </row>
    <row r="31" spans="1:11" x14ac:dyDescent="0.4">
      <c r="E31" s="84" t="s">
        <v>97</v>
      </c>
      <c r="F31" s="80" t="s">
        <v>50</v>
      </c>
      <c r="G31" s="66">
        <v>0</v>
      </c>
      <c r="H31" s="27">
        <f>IF(B$25=0,0,G31/B$25)</f>
        <v>0</v>
      </c>
    </row>
    <row r="32" spans="1:11" x14ac:dyDescent="0.4">
      <c r="E32" s="84" t="s">
        <v>98</v>
      </c>
      <c r="F32" s="80" t="s">
        <v>51</v>
      </c>
      <c r="G32" s="66">
        <v>0</v>
      </c>
      <c r="H32" s="27">
        <f>IF(B$25=0,0,G32/B$25)</f>
        <v>0</v>
      </c>
    </row>
    <row r="33" spans="5:8" x14ac:dyDescent="0.4">
      <c r="E33" s="84" t="s">
        <v>99</v>
      </c>
      <c r="F33" s="80" t="s">
        <v>52</v>
      </c>
      <c r="G33" s="66">
        <v>0</v>
      </c>
      <c r="H33" s="27">
        <f>IF(B$25=0,0,G33/B$25)</f>
        <v>0</v>
      </c>
    </row>
    <row r="34" spans="5:8" x14ac:dyDescent="0.4">
      <c r="E34" s="84" t="s">
        <v>101</v>
      </c>
      <c r="F34" s="80" t="s">
        <v>54</v>
      </c>
      <c r="G34" s="66">
        <v>0</v>
      </c>
      <c r="H34" s="27">
        <f>IF(B$25=0,0,G34/B$25)</f>
        <v>0</v>
      </c>
    </row>
    <row r="35" spans="5:8" x14ac:dyDescent="0.4">
      <c r="E35" s="84" t="s">
        <v>102</v>
      </c>
      <c r="F35" s="80" t="s">
        <v>55</v>
      </c>
      <c r="G35" s="66">
        <v>0</v>
      </c>
      <c r="H35" s="27">
        <f>IF(B$25=0,0,G35/B$25)</f>
        <v>0</v>
      </c>
    </row>
    <row r="36" spans="5:8" x14ac:dyDescent="0.4">
      <c r="E36" s="84" t="s">
        <v>103</v>
      </c>
      <c r="F36" s="80" t="s">
        <v>56</v>
      </c>
      <c r="G36" s="66">
        <v>0</v>
      </c>
      <c r="H36" s="27">
        <f>IF(B$25=0,0,G36/B$25)</f>
        <v>0</v>
      </c>
    </row>
    <row r="37" spans="5:8" x14ac:dyDescent="0.4">
      <c r="E37" s="84" t="s">
        <v>104</v>
      </c>
      <c r="F37" s="80" t="s">
        <v>57</v>
      </c>
      <c r="G37" s="66">
        <v>0</v>
      </c>
      <c r="H37" s="27">
        <f>IF(B$25=0,0,G37/B$25)</f>
        <v>0</v>
      </c>
    </row>
    <row r="38" spans="5:8" x14ac:dyDescent="0.4">
      <c r="E38" s="84" t="s">
        <v>105</v>
      </c>
      <c r="F38" s="80" t="s">
        <v>58</v>
      </c>
      <c r="G38" s="66">
        <v>0</v>
      </c>
      <c r="H38" s="27">
        <f>IF(B$25=0,0,G38/B$25)</f>
        <v>0</v>
      </c>
    </row>
    <row r="39" spans="5:8" x14ac:dyDescent="0.4">
      <c r="E39" s="84" t="s">
        <v>106</v>
      </c>
      <c r="F39" s="80" t="s">
        <v>59</v>
      </c>
      <c r="G39" s="66">
        <v>0</v>
      </c>
      <c r="H39" s="27">
        <f>IF(B$25=0,0,G39/B$25)</f>
        <v>0</v>
      </c>
    </row>
    <row r="40" spans="5:8" x14ac:dyDescent="0.4">
      <c r="E40" s="84" t="s">
        <v>107</v>
      </c>
      <c r="F40" s="80" t="s">
        <v>60</v>
      </c>
      <c r="G40" s="66">
        <v>0</v>
      </c>
      <c r="H40" s="27">
        <f>IF(B$25=0,0,G40/B$25)</f>
        <v>0</v>
      </c>
    </row>
    <row r="41" spans="5:8" x14ac:dyDescent="0.4">
      <c r="E41" s="84" t="s">
        <v>108</v>
      </c>
      <c r="F41" s="80" t="s">
        <v>61</v>
      </c>
      <c r="G41" s="66">
        <v>0</v>
      </c>
      <c r="H41" s="27">
        <f>IF(B$25=0,0,G41/B$25)</f>
        <v>0</v>
      </c>
    </row>
    <row r="42" spans="5:8" x14ac:dyDescent="0.4">
      <c r="E42" s="84" t="s">
        <v>109</v>
      </c>
      <c r="F42" s="80" t="s">
        <v>62</v>
      </c>
      <c r="G42" s="66">
        <v>0</v>
      </c>
      <c r="H42" s="27">
        <f>IF(B$25=0,0,G42/B$25)</f>
        <v>0</v>
      </c>
    </row>
    <row r="43" spans="5:8" x14ac:dyDescent="0.4">
      <c r="E43" s="84" t="s">
        <v>110</v>
      </c>
      <c r="F43" s="80" t="s">
        <v>63</v>
      </c>
      <c r="G43" s="66">
        <v>0</v>
      </c>
      <c r="H43" s="27">
        <f>IF(B$25=0,0,G43/B$25)</f>
        <v>0</v>
      </c>
    </row>
    <row r="44" spans="5:8" x14ac:dyDescent="0.4">
      <c r="E44" s="84" t="s">
        <v>111</v>
      </c>
      <c r="F44" s="80" t="s">
        <v>64</v>
      </c>
      <c r="G44" s="66">
        <v>0</v>
      </c>
      <c r="H44" s="27">
        <f>IF(B$25=0,0,G44/B$25)</f>
        <v>0</v>
      </c>
    </row>
    <row r="45" spans="5:8" x14ac:dyDescent="0.4">
      <c r="E45" s="84" t="s">
        <v>112</v>
      </c>
      <c r="F45" s="80" t="s">
        <v>119</v>
      </c>
      <c r="G45" s="66">
        <v>0</v>
      </c>
      <c r="H45" s="27">
        <f>IF(B$25=0,0,G45/B$25)</f>
        <v>0</v>
      </c>
    </row>
    <row r="46" spans="5:8" x14ac:dyDescent="0.4">
      <c r="E46" s="84" t="s">
        <v>113</v>
      </c>
      <c r="F46" s="80" t="s">
        <v>120</v>
      </c>
      <c r="G46" s="66">
        <v>0</v>
      </c>
      <c r="H46" s="27">
        <f>IF(B$25=0,0,G46/B$25)</f>
        <v>0</v>
      </c>
    </row>
    <row r="47" spans="5:8" x14ac:dyDescent="0.4">
      <c r="E47" s="84" t="s">
        <v>114</v>
      </c>
      <c r="F47" s="80" t="s">
        <v>121</v>
      </c>
      <c r="G47" s="66">
        <v>0</v>
      </c>
      <c r="H47" s="27">
        <f>IF(B$25=0,0,G47/B$25)</f>
        <v>0</v>
      </c>
    </row>
    <row r="48" spans="5:8" x14ac:dyDescent="0.4">
      <c r="E48" s="84" t="s">
        <v>115</v>
      </c>
      <c r="F48" s="80" t="s">
        <v>65</v>
      </c>
      <c r="G48" s="66">
        <v>0</v>
      </c>
      <c r="H48" s="27">
        <f>IF(B$25=0,0,G48/B$25)</f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>IF(B$25=0,0,G49/B$25)</f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>IF(B$25=0,0,G50/B$25)</f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>IF(B$25=0,0,G51/B$25)</f>
        <v>0</v>
      </c>
    </row>
  </sheetData>
  <sortState xmlns:xlrd2="http://schemas.microsoft.com/office/spreadsheetml/2017/richdata2"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72" t="s">
        <v>0</v>
      </c>
      <c r="B1" s="64"/>
      <c r="C1" s="63"/>
      <c r="E1" s="82" t="s">
        <v>213</v>
      </c>
      <c r="F1" s="59" t="s">
        <v>122</v>
      </c>
      <c r="G1" s="78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73" t="s">
        <v>9</v>
      </c>
      <c r="B2" s="86">
        <v>0</v>
      </c>
      <c r="C2" s="87"/>
      <c r="E2" s="83" t="s">
        <v>69</v>
      </c>
      <c r="F2" s="79" t="s">
        <v>23</v>
      </c>
      <c r="G2" s="65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4" t="s">
        <v>8</v>
      </c>
      <c r="B3" s="88">
        <v>0</v>
      </c>
      <c r="C3" s="89"/>
      <c r="E3" s="84" t="s">
        <v>70</v>
      </c>
      <c r="F3" s="80" t="s">
        <v>24</v>
      </c>
      <c r="G3" s="66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4" t="s">
        <v>6</v>
      </c>
      <c r="B4" s="90">
        <v>0</v>
      </c>
      <c r="C4" s="91"/>
      <c r="E4" s="84" t="s">
        <v>71</v>
      </c>
      <c r="F4" s="80" t="s">
        <v>25</v>
      </c>
      <c r="G4" s="66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4" t="s">
        <v>7</v>
      </c>
      <c r="B5" s="90">
        <f>IF(B$2=0,0,B$4/B$2)</f>
        <v>0</v>
      </c>
      <c r="C5" s="91"/>
      <c r="E5" s="84" t="s">
        <v>72</v>
      </c>
      <c r="F5" s="80" t="s">
        <v>26</v>
      </c>
      <c r="G5" s="66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4" t="s">
        <v>1</v>
      </c>
      <c r="B6" s="92">
        <f>IF(B$2=0,0,(B$7*1+B$8*2+B$9*3)/B$2)</f>
        <v>0</v>
      </c>
      <c r="C6" s="93"/>
      <c r="E6" s="84" t="s">
        <v>73</v>
      </c>
      <c r="F6" s="80" t="s">
        <v>27</v>
      </c>
      <c r="G6" s="66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4" t="s">
        <v>2</v>
      </c>
      <c r="B7" s="66">
        <v>0</v>
      </c>
      <c r="C7" s="27">
        <f>IF(B$2=0,0,B7/B$2)</f>
        <v>0</v>
      </c>
      <c r="E7" s="84" t="s">
        <v>74</v>
      </c>
      <c r="F7" s="80" t="s">
        <v>12</v>
      </c>
      <c r="G7" s="66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4" t="s">
        <v>3</v>
      </c>
      <c r="B8" s="66">
        <v>0</v>
      </c>
      <c r="C8" s="27">
        <f t="shared" ref="C8:C9" si="2">IF(B$2=0,0,B8/B$2)</f>
        <v>0</v>
      </c>
      <c r="E8" s="84" t="s">
        <v>75</v>
      </c>
      <c r="F8" s="80" t="s">
        <v>28</v>
      </c>
      <c r="G8" s="66">
        <v>0</v>
      </c>
      <c r="H8" s="27">
        <f t="shared" si="0"/>
        <v>0</v>
      </c>
    </row>
    <row r="9" spans="1:16" x14ac:dyDescent="0.4">
      <c r="A9" s="75" t="s">
        <v>4</v>
      </c>
      <c r="B9" s="67">
        <v>0</v>
      </c>
      <c r="C9" s="29">
        <f t="shared" si="2"/>
        <v>0</v>
      </c>
      <c r="E9" s="84" t="s">
        <v>76</v>
      </c>
      <c r="F9" s="80" t="s">
        <v>29</v>
      </c>
      <c r="G9" s="66">
        <v>0</v>
      </c>
      <c r="H9" s="27">
        <f t="shared" si="0"/>
        <v>0</v>
      </c>
    </row>
    <row r="10" spans="1:16" x14ac:dyDescent="0.4">
      <c r="A10" s="75" t="s">
        <v>21</v>
      </c>
      <c r="B10" s="67">
        <v>0</v>
      </c>
      <c r="C10" s="29">
        <f>IF(B$2=0,0,B10/B$2)</f>
        <v>0</v>
      </c>
      <c r="E10" s="84" t="s">
        <v>77</v>
      </c>
      <c r="F10" s="80" t="s">
        <v>30</v>
      </c>
      <c r="G10" s="66">
        <v>0</v>
      </c>
      <c r="H10" s="27">
        <f t="shared" si="0"/>
        <v>0</v>
      </c>
    </row>
    <row r="11" spans="1:16" x14ac:dyDescent="0.4">
      <c r="A11" s="76" t="s">
        <v>211</v>
      </c>
      <c r="B11" s="68">
        <v>0</v>
      </c>
      <c r="C11" s="32">
        <f>IF(B$2=0,0,B11/B$2)</f>
        <v>0</v>
      </c>
      <c r="E11" s="84" t="s">
        <v>78</v>
      </c>
      <c r="F11" s="80" t="s">
        <v>31</v>
      </c>
      <c r="G11" s="66">
        <v>0</v>
      </c>
      <c r="H11" s="27">
        <f t="shared" si="0"/>
        <v>0</v>
      </c>
    </row>
    <row r="12" spans="1:16" x14ac:dyDescent="0.4">
      <c r="A12" s="77" t="s">
        <v>130</v>
      </c>
      <c r="B12" s="69">
        <v>0</v>
      </c>
      <c r="C12" s="35">
        <f>IF(B$24=0,0,B12/B$24)</f>
        <v>0</v>
      </c>
      <c r="E12" s="84" t="s">
        <v>79</v>
      </c>
      <c r="F12" s="80" t="s">
        <v>32</v>
      </c>
      <c r="G12" s="66">
        <v>0</v>
      </c>
      <c r="H12" s="27">
        <f t="shared" si="0"/>
        <v>0</v>
      </c>
    </row>
    <row r="13" spans="1:16" x14ac:dyDescent="0.4">
      <c r="A13" s="74" t="s">
        <v>125</v>
      </c>
      <c r="B13" s="66">
        <v>0</v>
      </c>
      <c r="C13" s="27">
        <f>IF(B$24=0,0,B13/B$24)</f>
        <v>0</v>
      </c>
      <c r="E13" s="84" t="s">
        <v>80</v>
      </c>
      <c r="F13" s="80" t="s">
        <v>33</v>
      </c>
      <c r="G13" s="66">
        <v>0</v>
      </c>
      <c r="H13" s="27">
        <f t="shared" si="0"/>
        <v>0</v>
      </c>
    </row>
    <row r="14" spans="1:16" x14ac:dyDescent="0.4">
      <c r="A14" s="73" t="s">
        <v>132</v>
      </c>
      <c r="B14" s="65">
        <v>0</v>
      </c>
      <c r="C14" s="24">
        <f>IF(B$12=0,0,B14/B$12)</f>
        <v>0</v>
      </c>
      <c r="E14" s="84" t="s">
        <v>81</v>
      </c>
      <c r="F14" s="80" t="s">
        <v>34</v>
      </c>
      <c r="G14" s="66">
        <v>0</v>
      </c>
      <c r="H14" s="27">
        <f t="shared" si="0"/>
        <v>0</v>
      </c>
    </row>
    <row r="15" spans="1:16" x14ac:dyDescent="0.4">
      <c r="A15" s="73" t="s">
        <v>133</v>
      </c>
      <c r="B15" s="65">
        <v>0</v>
      </c>
      <c r="C15" s="24">
        <f>IF(B$13=0,0,B15/B$13)</f>
        <v>0</v>
      </c>
      <c r="E15" s="84" t="s">
        <v>82</v>
      </c>
      <c r="F15" s="80" t="s">
        <v>35</v>
      </c>
      <c r="G15" s="66">
        <v>0</v>
      </c>
      <c r="H15" s="27">
        <f t="shared" si="0"/>
        <v>0</v>
      </c>
    </row>
    <row r="16" spans="1:16" x14ac:dyDescent="0.4">
      <c r="A16" s="73" t="s">
        <v>10</v>
      </c>
      <c r="B16" s="65">
        <f>B17+B18</f>
        <v>0</v>
      </c>
      <c r="C16" s="24">
        <f>IF(B$3=0,0,B16/B$3)</f>
        <v>0</v>
      </c>
      <c r="E16" s="84" t="s">
        <v>83</v>
      </c>
      <c r="F16" s="80" t="s">
        <v>36</v>
      </c>
      <c r="G16" s="66">
        <v>0</v>
      </c>
      <c r="H16" s="27">
        <f t="shared" si="0"/>
        <v>0</v>
      </c>
    </row>
    <row r="17" spans="1:8" x14ac:dyDescent="0.4">
      <c r="A17" s="74" t="s">
        <v>11</v>
      </c>
      <c r="B17" s="66">
        <v>0</v>
      </c>
      <c r="C17" s="27">
        <f>IF(B$3=0,0,B17/B$3)</f>
        <v>0</v>
      </c>
      <c r="E17" s="84" t="s">
        <v>84</v>
      </c>
      <c r="F17" s="80" t="s">
        <v>37</v>
      </c>
      <c r="G17" s="66">
        <v>0</v>
      </c>
      <c r="H17" s="27">
        <f t="shared" si="0"/>
        <v>0</v>
      </c>
    </row>
    <row r="18" spans="1:8" x14ac:dyDescent="0.4">
      <c r="A18" s="74" t="s">
        <v>12</v>
      </c>
      <c r="B18" s="66">
        <v>0</v>
      </c>
      <c r="C18" s="27">
        <f>IF(B$3=0,0,B18/B$3)</f>
        <v>0</v>
      </c>
      <c r="E18" s="84" t="s">
        <v>85</v>
      </c>
      <c r="F18" s="80" t="s">
        <v>38</v>
      </c>
      <c r="G18" s="66">
        <v>0</v>
      </c>
      <c r="H18" s="27">
        <f t="shared" si="0"/>
        <v>0</v>
      </c>
    </row>
    <row r="19" spans="1:8" x14ac:dyDescent="0.4">
      <c r="A19" s="74" t="s">
        <v>13</v>
      </c>
      <c r="B19" s="66">
        <v>0</v>
      </c>
      <c r="C19" s="27">
        <f>IF(B$3=0,0,B19/B$3)</f>
        <v>0</v>
      </c>
      <c r="E19" s="84" t="s">
        <v>86</v>
      </c>
      <c r="F19" s="80" t="s">
        <v>39</v>
      </c>
      <c r="G19" s="66">
        <v>0</v>
      </c>
      <c r="H19" s="27">
        <f t="shared" si="0"/>
        <v>0</v>
      </c>
    </row>
    <row r="20" spans="1:8" x14ac:dyDescent="0.4">
      <c r="A20" s="74" t="s">
        <v>5</v>
      </c>
      <c r="B20" s="70">
        <f>IF(B$16=0,0,C20/B$16)</f>
        <v>0</v>
      </c>
      <c r="C20" s="30">
        <v>0</v>
      </c>
      <c r="E20" s="84" t="s">
        <v>87</v>
      </c>
      <c r="F20" s="80" t="s">
        <v>40</v>
      </c>
      <c r="G20" s="66">
        <v>0</v>
      </c>
      <c r="H20" s="27">
        <f t="shared" si="0"/>
        <v>0</v>
      </c>
    </row>
    <row r="21" spans="1:8" x14ac:dyDescent="0.4">
      <c r="A21" s="76" t="s">
        <v>14</v>
      </c>
      <c r="B21" s="71">
        <f>IF(B$19=0,0,C21/B$19)</f>
        <v>0</v>
      </c>
      <c r="C21" s="60">
        <v>0</v>
      </c>
      <c r="E21" s="84" t="s">
        <v>88</v>
      </c>
      <c r="F21" s="80" t="s">
        <v>41</v>
      </c>
      <c r="G21" s="66">
        <v>0</v>
      </c>
      <c r="H21" s="27">
        <f t="shared" si="0"/>
        <v>0</v>
      </c>
    </row>
    <row r="22" spans="1:8" x14ac:dyDescent="0.4">
      <c r="A22" s="73" t="s">
        <v>198</v>
      </c>
      <c r="B22" s="65">
        <v>0</v>
      </c>
      <c r="C22" s="24">
        <f>IF(B$3=0,0,B22/B$3)</f>
        <v>0</v>
      </c>
      <c r="E22" s="84" t="s">
        <v>89</v>
      </c>
      <c r="F22" s="80" t="s">
        <v>42</v>
      </c>
      <c r="G22" s="66">
        <v>0</v>
      </c>
      <c r="H22" s="27">
        <f t="shared" si="0"/>
        <v>0</v>
      </c>
    </row>
    <row r="23" spans="1:8" x14ac:dyDescent="0.4">
      <c r="A23" s="76" t="s">
        <v>199</v>
      </c>
      <c r="B23" s="68">
        <v>0</v>
      </c>
      <c r="C23" s="32">
        <f>IF(B$22=0,0,B23/B$22)</f>
        <v>0</v>
      </c>
      <c r="E23" s="84" t="s">
        <v>90</v>
      </c>
      <c r="F23" s="80" t="s">
        <v>43</v>
      </c>
      <c r="G23" s="66">
        <v>0</v>
      </c>
      <c r="H23" s="27">
        <f t="shared" si="0"/>
        <v>0</v>
      </c>
    </row>
    <row r="24" spans="1:8" x14ac:dyDescent="0.4">
      <c r="A24" s="73" t="s">
        <v>128</v>
      </c>
      <c r="B24" s="86">
        <v>0</v>
      </c>
      <c r="C24" s="87"/>
      <c r="E24" s="84" t="s">
        <v>91</v>
      </c>
      <c r="F24" s="80" t="s">
        <v>44</v>
      </c>
      <c r="G24" s="66">
        <v>0</v>
      </c>
      <c r="H24" s="27">
        <f t="shared" si="0"/>
        <v>0</v>
      </c>
    </row>
    <row r="25" spans="1:8" x14ac:dyDescent="0.4">
      <c r="A25" s="76" t="s">
        <v>129</v>
      </c>
      <c r="B25" s="94">
        <v>0</v>
      </c>
      <c r="C25" s="95"/>
      <c r="E25" s="84" t="s">
        <v>92</v>
      </c>
      <c r="F25" s="80" t="s">
        <v>45</v>
      </c>
      <c r="G25" s="66">
        <v>0</v>
      </c>
      <c r="H25" s="27">
        <f t="shared" si="0"/>
        <v>0</v>
      </c>
    </row>
    <row r="26" spans="1:8" x14ac:dyDescent="0.4">
      <c r="E26" s="84" t="s">
        <v>93</v>
      </c>
      <c r="F26" s="80" t="s">
        <v>46</v>
      </c>
      <c r="G26" s="66">
        <v>0</v>
      </c>
      <c r="H26" s="27">
        <f t="shared" si="0"/>
        <v>0</v>
      </c>
    </row>
    <row r="27" spans="1:8" x14ac:dyDescent="0.4">
      <c r="E27" s="84" t="s">
        <v>94</v>
      </c>
      <c r="F27" s="80" t="s">
        <v>47</v>
      </c>
      <c r="G27" s="66">
        <v>0</v>
      </c>
      <c r="H27" s="27">
        <f t="shared" si="0"/>
        <v>0</v>
      </c>
    </row>
    <row r="28" spans="1:8" x14ac:dyDescent="0.4">
      <c r="E28" s="84" t="s">
        <v>95</v>
      </c>
      <c r="F28" s="80" t="s">
        <v>48</v>
      </c>
      <c r="G28" s="66">
        <v>0</v>
      </c>
      <c r="H28" s="27">
        <f t="shared" si="0"/>
        <v>0</v>
      </c>
    </row>
    <row r="29" spans="1:8" x14ac:dyDescent="0.4">
      <c r="E29" s="84" t="s">
        <v>96</v>
      </c>
      <c r="F29" s="80" t="s">
        <v>49</v>
      </c>
      <c r="G29" s="66">
        <v>0</v>
      </c>
      <c r="H29" s="27">
        <f t="shared" si="0"/>
        <v>0</v>
      </c>
    </row>
    <row r="30" spans="1:8" x14ac:dyDescent="0.4">
      <c r="E30" s="84" t="s">
        <v>97</v>
      </c>
      <c r="F30" s="80" t="s">
        <v>50</v>
      </c>
      <c r="G30" s="66">
        <v>0</v>
      </c>
      <c r="H30" s="27">
        <f t="shared" si="0"/>
        <v>0</v>
      </c>
    </row>
    <row r="31" spans="1:8" x14ac:dyDescent="0.4">
      <c r="E31" s="84" t="s">
        <v>98</v>
      </c>
      <c r="F31" s="80" t="s">
        <v>51</v>
      </c>
      <c r="G31" s="66">
        <v>0</v>
      </c>
      <c r="H31" s="27">
        <f t="shared" si="0"/>
        <v>0</v>
      </c>
    </row>
    <row r="32" spans="1:8" x14ac:dyDescent="0.4">
      <c r="E32" s="84" t="s">
        <v>99</v>
      </c>
      <c r="F32" s="80" t="s">
        <v>52</v>
      </c>
      <c r="G32" s="66">
        <v>0</v>
      </c>
      <c r="H32" s="27">
        <f t="shared" si="0"/>
        <v>0</v>
      </c>
    </row>
    <row r="33" spans="5:8" x14ac:dyDescent="0.4">
      <c r="E33" s="84" t="s">
        <v>100</v>
      </c>
      <c r="F33" s="80" t="s">
        <v>53</v>
      </c>
      <c r="G33" s="66">
        <v>0</v>
      </c>
      <c r="H33" s="27">
        <f t="shared" si="0"/>
        <v>0</v>
      </c>
    </row>
    <row r="34" spans="5:8" x14ac:dyDescent="0.4">
      <c r="E34" s="84" t="s">
        <v>101</v>
      </c>
      <c r="F34" s="80" t="s">
        <v>54</v>
      </c>
      <c r="G34" s="66">
        <v>0</v>
      </c>
      <c r="H34" s="27">
        <f t="shared" ref="H34:H65" si="3">IF(B$25=0,0,G34/B$25)</f>
        <v>0</v>
      </c>
    </row>
    <row r="35" spans="5:8" x14ac:dyDescent="0.4">
      <c r="E35" s="84" t="s">
        <v>102</v>
      </c>
      <c r="F35" s="80" t="s">
        <v>55</v>
      </c>
      <c r="G35" s="66">
        <v>0</v>
      </c>
      <c r="H35" s="27">
        <f t="shared" si="3"/>
        <v>0</v>
      </c>
    </row>
    <row r="36" spans="5:8" x14ac:dyDescent="0.4">
      <c r="E36" s="84" t="s">
        <v>103</v>
      </c>
      <c r="F36" s="80" t="s">
        <v>56</v>
      </c>
      <c r="G36" s="66">
        <v>0</v>
      </c>
      <c r="H36" s="27">
        <f t="shared" si="3"/>
        <v>0</v>
      </c>
    </row>
    <row r="37" spans="5:8" x14ac:dyDescent="0.4">
      <c r="E37" s="84" t="s">
        <v>104</v>
      </c>
      <c r="F37" s="80" t="s">
        <v>57</v>
      </c>
      <c r="G37" s="66">
        <v>0</v>
      </c>
      <c r="H37" s="27">
        <f t="shared" si="3"/>
        <v>0</v>
      </c>
    </row>
    <row r="38" spans="5:8" x14ac:dyDescent="0.4">
      <c r="E38" s="84" t="s">
        <v>105</v>
      </c>
      <c r="F38" s="80" t="s">
        <v>58</v>
      </c>
      <c r="G38" s="66">
        <v>0</v>
      </c>
      <c r="H38" s="27">
        <f t="shared" si="3"/>
        <v>0</v>
      </c>
    </row>
    <row r="39" spans="5:8" x14ac:dyDescent="0.4">
      <c r="E39" s="84" t="s">
        <v>106</v>
      </c>
      <c r="F39" s="80" t="s">
        <v>59</v>
      </c>
      <c r="G39" s="66">
        <v>0</v>
      </c>
      <c r="H39" s="27">
        <f t="shared" si="3"/>
        <v>0</v>
      </c>
    </row>
    <row r="40" spans="5:8" x14ac:dyDescent="0.4">
      <c r="E40" s="84" t="s">
        <v>107</v>
      </c>
      <c r="F40" s="80" t="s">
        <v>60</v>
      </c>
      <c r="G40" s="66">
        <v>0</v>
      </c>
      <c r="H40" s="27">
        <f t="shared" si="3"/>
        <v>0</v>
      </c>
    </row>
    <row r="41" spans="5:8" x14ac:dyDescent="0.4">
      <c r="E41" s="84" t="s">
        <v>108</v>
      </c>
      <c r="F41" s="80" t="s">
        <v>61</v>
      </c>
      <c r="G41" s="66">
        <v>0</v>
      </c>
      <c r="H41" s="27">
        <f t="shared" si="3"/>
        <v>0</v>
      </c>
    </row>
    <row r="42" spans="5:8" x14ac:dyDescent="0.4">
      <c r="E42" s="84" t="s">
        <v>109</v>
      </c>
      <c r="F42" s="80" t="s">
        <v>62</v>
      </c>
      <c r="G42" s="66">
        <v>0</v>
      </c>
      <c r="H42" s="27">
        <f t="shared" si="3"/>
        <v>0</v>
      </c>
    </row>
    <row r="43" spans="5:8" x14ac:dyDescent="0.4">
      <c r="E43" s="84" t="s">
        <v>110</v>
      </c>
      <c r="F43" s="80" t="s">
        <v>63</v>
      </c>
      <c r="G43" s="66">
        <v>0</v>
      </c>
      <c r="H43" s="27">
        <f t="shared" si="3"/>
        <v>0</v>
      </c>
    </row>
    <row r="44" spans="5:8" x14ac:dyDescent="0.4">
      <c r="E44" s="84" t="s">
        <v>111</v>
      </c>
      <c r="F44" s="80" t="s">
        <v>64</v>
      </c>
      <c r="G44" s="66">
        <v>0</v>
      </c>
      <c r="H44" s="27">
        <f t="shared" si="3"/>
        <v>0</v>
      </c>
    </row>
    <row r="45" spans="5:8" x14ac:dyDescent="0.4">
      <c r="E45" s="84" t="s">
        <v>112</v>
      </c>
      <c r="F45" s="80" t="s">
        <v>119</v>
      </c>
      <c r="G45" s="66">
        <v>0</v>
      </c>
      <c r="H45" s="27">
        <f t="shared" si="3"/>
        <v>0</v>
      </c>
    </row>
    <row r="46" spans="5:8" x14ac:dyDescent="0.4">
      <c r="E46" s="84" t="s">
        <v>113</v>
      </c>
      <c r="F46" s="80" t="s">
        <v>120</v>
      </c>
      <c r="G46" s="66">
        <v>0</v>
      </c>
      <c r="H46" s="27">
        <f t="shared" si="3"/>
        <v>0</v>
      </c>
    </row>
    <row r="47" spans="5:8" x14ac:dyDescent="0.4">
      <c r="E47" s="84" t="s">
        <v>114</v>
      </c>
      <c r="F47" s="80" t="s">
        <v>121</v>
      </c>
      <c r="G47" s="66">
        <v>0</v>
      </c>
      <c r="H47" s="27">
        <f t="shared" si="3"/>
        <v>0</v>
      </c>
    </row>
    <row r="48" spans="5:8" x14ac:dyDescent="0.4">
      <c r="E48" s="84" t="s">
        <v>115</v>
      </c>
      <c r="F48" s="80" t="s">
        <v>65</v>
      </c>
      <c r="G48" s="66">
        <v>0</v>
      </c>
      <c r="H48" s="27">
        <f t="shared" si="3"/>
        <v>0</v>
      </c>
    </row>
    <row r="49" spans="5:8" x14ac:dyDescent="0.4">
      <c r="E49" s="84" t="s">
        <v>116</v>
      </c>
      <c r="F49" s="80" t="s">
        <v>66</v>
      </c>
      <c r="G49" s="66">
        <v>0</v>
      </c>
      <c r="H49" s="27">
        <f t="shared" si="3"/>
        <v>0</v>
      </c>
    </row>
    <row r="50" spans="5:8" x14ac:dyDescent="0.4">
      <c r="E50" s="84" t="s">
        <v>117</v>
      </c>
      <c r="F50" s="80" t="s">
        <v>67</v>
      </c>
      <c r="G50" s="66">
        <v>0</v>
      </c>
      <c r="H50" s="27">
        <f t="shared" si="3"/>
        <v>0</v>
      </c>
    </row>
    <row r="51" spans="5:8" x14ac:dyDescent="0.4">
      <c r="E51" s="85" t="s">
        <v>118</v>
      </c>
      <c r="F51" s="81" t="s">
        <v>68</v>
      </c>
      <c r="G51" s="68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0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43458.861041666663</v>
      </c>
      <c r="C2" s="46" t="s">
        <v>174</v>
      </c>
    </row>
    <row r="3" spans="1:14" x14ac:dyDescent="0.4">
      <c r="A3" s="41" t="s">
        <v>140</v>
      </c>
      <c r="B3" s="44">
        <v>43458.861041666663</v>
      </c>
      <c r="C3" s="47" t="s">
        <v>174</v>
      </c>
    </row>
    <row r="4" spans="1:14" x14ac:dyDescent="0.4">
      <c r="A4" s="41" t="s">
        <v>143</v>
      </c>
      <c r="B4" s="44">
        <v>43458.861041666663</v>
      </c>
      <c r="C4" s="47" t="s">
        <v>174</v>
      </c>
    </row>
    <row r="5" spans="1:14" x14ac:dyDescent="0.4">
      <c r="A5" s="41" t="s">
        <v>144</v>
      </c>
      <c r="B5" s="44">
        <v>43458.861041666663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43458.861041666663</v>
      </c>
      <c r="C6" s="47" t="s">
        <v>174</v>
      </c>
    </row>
    <row r="7" spans="1:14" x14ac:dyDescent="0.4">
      <c r="A7" s="41" t="s">
        <v>147</v>
      </c>
      <c r="B7" s="44">
        <v>43458.861041666663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43458.861041666663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43458.861041666663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43458.861041666663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43458.861041666663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43458.861041666663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43458.861041666663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43458.861041666663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43458.861041666663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43458.861041666663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43458.934837962966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43458.861041666663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43458.861041666663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43458.936701388891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43458.861041666663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43458.861041666663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43458.861041666663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43458.861041666663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43458.861041666663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43458.861041666663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43458.861041666663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43458.861041666663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43458.861041666663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43458.861041666663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2019-01-01T14:57:36Z</dcterms:modified>
</cp:coreProperties>
</file>