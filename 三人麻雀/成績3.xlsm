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6F7553D5-2BFE-45D9-8430-46B055FB9DD6}" xr6:coauthVersionLast="31" xr6:coauthVersionMax="40" xr10:uidLastSave="{00000000-0000-0000-0000-000000000000}"/>
  <bookViews>
    <workbookView xWindow="0" yWindow="0" windowWidth="28800" windowHeight="12288" xr2:uid="{4FDB0271-42AC-4C1F-BA12-2E989A379038}"/>
  </bookViews>
  <sheets>
    <sheet name="ランキング" sheetId="137" r:id="rId1"/>
    <sheet name="役" sheetId="2416" r:id="rId2"/>
    <sheet name="だいち" sheetId="2641" r:id="rId3"/>
    <sheet name="かこたろう" sheetId="2642" r:id="rId4"/>
    <sheet name="ともき" sheetId="2643" r:id="rId5"/>
    <sheet name="りくと" sheetId="2644" r:id="rId6"/>
    <sheet name="いっしー" sheetId="2645" r:id="rId7"/>
    <sheet name="がくと" sheetId="2646" r:id="rId8"/>
    <sheet name="たかの" sheetId="2647" r:id="rId9"/>
    <sheet name="ただ" sheetId="2648" r:id="rId10"/>
    <sheet name="やがさき" sheetId="2649" r:id="rId11"/>
    <sheet name="れんたろう" sheetId="2650" r:id="rId12"/>
    <sheet name="あさひ" sheetId="2651" r:id="rId13"/>
    <sheet name="まっつん" sheetId="2652" r:id="rId14"/>
    <sheet name="Template" sheetId="2228" state="hidden" r:id="rId15"/>
    <sheet name="Cache" sheetId="2227" state="hidden" r:id="rId16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2652" l="1"/>
  <c r="H50" i="2652"/>
  <c r="H49" i="2652"/>
  <c r="H48" i="2652"/>
  <c r="H47" i="2652"/>
  <c r="H46" i="2652"/>
  <c r="H45" i="2652"/>
  <c r="H44" i="2652"/>
  <c r="H43" i="2652"/>
  <c r="H42" i="2652"/>
  <c r="H41" i="2652"/>
  <c r="H40" i="2652"/>
  <c r="H39" i="2652"/>
  <c r="H38" i="2652"/>
  <c r="H37" i="2652"/>
  <c r="H36" i="2652"/>
  <c r="H35" i="2652"/>
  <c r="H34" i="2652"/>
  <c r="H33" i="2652"/>
  <c r="H32" i="2652"/>
  <c r="H31" i="2652"/>
  <c r="H30" i="2652"/>
  <c r="H6" i="2652"/>
  <c r="H29" i="2652"/>
  <c r="H28" i="2652"/>
  <c r="H27" i="2652"/>
  <c r="H10" i="2652"/>
  <c r="H26" i="2652"/>
  <c r="H5" i="2652"/>
  <c r="C23" i="2652"/>
  <c r="H25" i="2652"/>
  <c r="C22" i="2652"/>
  <c r="H24" i="2652"/>
  <c r="B21" i="2652"/>
  <c r="H23" i="2652"/>
  <c r="H22" i="2652"/>
  <c r="C19" i="2652"/>
  <c r="H9" i="2652"/>
  <c r="C18" i="2652"/>
  <c r="H21" i="2652"/>
  <c r="C17" i="2652"/>
  <c r="H20" i="2652"/>
  <c r="B16" i="2652"/>
  <c r="B20" i="2652" s="1"/>
  <c r="H19" i="2652"/>
  <c r="C15" i="2652"/>
  <c r="H18" i="2652"/>
  <c r="C14" i="2652"/>
  <c r="H17" i="2652"/>
  <c r="C13" i="2652"/>
  <c r="H16" i="2652"/>
  <c r="C12" i="2652"/>
  <c r="H4" i="2652"/>
  <c r="C11" i="2652"/>
  <c r="H15" i="2652"/>
  <c r="C10" i="2652"/>
  <c r="H8" i="2652"/>
  <c r="C9" i="2652"/>
  <c r="H14" i="2652"/>
  <c r="C8" i="2652"/>
  <c r="N7" i="2652"/>
  <c r="H13" i="2652"/>
  <c r="C7" i="2652"/>
  <c r="N6" i="2652"/>
  <c r="H2" i="2652"/>
  <c r="B6" i="2652"/>
  <c r="N5" i="2652"/>
  <c r="H12" i="2652"/>
  <c r="B5" i="2652"/>
  <c r="N4" i="2652"/>
  <c r="H3" i="2652"/>
  <c r="N3" i="2652"/>
  <c r="H11" i="2652"/>
  <c r="N2" i="2652"/>
  <c r="H7" i="2652"/>
  <c r="C16" i="2652" l="1"/>
  <c r="H51" i="2651" l="1"/>
  <c r="H50" i="2651"/>
  <c r="H49" i="2651"/>
  <c r="H48" i="2651"/>
  <c r="H47" i="2651"/>
  <c r="H46" i="2651"/>
  <c r="H45" i="2651"/>
  <c r="H44" i="2651"/>
  <c r="H43" i="2651"/>
  <c r="H42" i="2651"/>
  <c r="H41" i="2651"/>
  <c r="H40" i="2651"/>
  <c r="H39" i="2651"/>
  <c r="H38" i="2651"/>
  <c r="H37" i="2651"/>
  <c r="H36" i="2651"/>
  <c r="H35" i="2651"/>
  <c r="H34" i="2651"/>
  <c r="H33" i="2651"/>
  <c r="H32" i="2651"/>
  <c r="H14" i="2651"/>
  <c r="H31" i="2651"/>
  <c r="H11" i="2651"/>
  <c r="H30" i="2651"/>
  <c r="H29" i="2651"/>
  <c r="H10" i="2651"/>
  <c r="H28" i="2651"/>
  <c r="H27" i="2651"/>
  <c r="H26" i="2651"/>
  <c r="C23" i="2651"/>
  <c r="H25" i="2651"/>
  <c r="C22" i="2651"/>
  <c r="H24" i="2651"/>
  <c r="B21" i="2651"/>
  <c r="H23" i="2651"/>
  <c r="H22" i="2651"/>
  <c r="C19" i="2651"/>
  <c r="H21" i="2651"/>
  <c r="C18" i="2651"/>
  <c r="H20" i="2651"/>
  <c r="C17" i="2651"/>
  <c r="H19" i="2651"/>
  <c r="B16" i="2651"/>
  <c r="B20" i="2651" s="1"/>
  <c r="H18" i="2651"/>
  <c r="C15" i="2651"/>
  <c r="H17" i="2651"/>
  <c r="C14" i="2651"/>
  <c r="H16" i="2651"/>
  <c r="C13" i="2651"/>
  <c r="H15" i="2651"/>
  <c r="C12" i="2651"/>
  <c r="H5" i="2651"/>
  <c r="C11" i="2651"/>
  <c r="H13" i="2651"/>
  <c r="C10" i="2651"/>
  <c r="H7" i="2651"/>
  <c r="C9" i="2651"/>
  <c r="H9" i="2651"/>
  <c r="C8" i="2651"/>
  <c r="N7" i="2651"/>
  <c r="H8" i="2651"/>
  <c r="C7" i="2651"/>
  <c r="N6" i="2651"/>
  <c r="H3" i="2651"/>
  <c r="B6" i="2651"/>
  <c r="N5" i="2651"/>
  <c r="H6" i="2651"/>
  <c r="B5" i="2651"/>
  <c r="N4" i="2651"/>
  <c r="H2" i="2651"/>
  <c r="N3" i="2651"/>
  <c r="H12" i="2651"/>
  <c r="N2" i="2651"/>
  <c r="H4" i="2651"/>
  <c r="C16" i="2651" l="1"/>
  <c r="H51" i="2650" l="1"/>
  <c r="H50" i="2650"/>
  <c r="H49" i="2650"/>
  <c r="H48" i="2650"/>
  <c r="H47" i="2650"/>
  <c r="H46" i="2650"/>
  <c r="H45" i="2650"/>
  <c r="H44" i="2650"/>
  <c r="H43" i="2650"/>
  <c r="H42" i="2650"/>
  <c r="H41" i="2650"/>
  <c r="H40" i="2650"/>
  <c r="H39" i="2650"/>
  <c r="H38" i="2650"/>
  <c r="H37" i="2650"/>
  <c r="H36" i="2650"/>
  <c r="H35" i="2650"/>
  <c r="H34" i="2650"/>
  <c r="H21" i="2650"/>
  <c r="H33" i="2650"/>
  <c r="H32" i="2650"/>
  <c r="H31" i="2650"/>
  <c r="H8" i="2650"/>
  <c r="H30" i="2650"/>
  <c r="H29" i="2650"/>
  <c r="H13" i="2650"/>
  <c r="H28" i="2650"/>
  <c r="H20" i="2650"/>
  <c r="H15" i="2650"/>
  <c r="C23" i="2650"/>
  <c r="H27" i="2650"/>
  <c r="C22" i="2650"/>
  <c r="H17" i="2650"/>
  <c r="B21" i="2650"/>
  <c r="H26" i="2650"/>
  <c r="H25" i="2650"/>
  <c r="C19" i="2650"/>
  <c r="H19" i="2650"/>
  <c r="C18" i="2650"/>
  <c r="H12" i="2650"/>
  <c r="C17" i="2650"/>
  <c r="H24" i="2650"/>
  <c r="B16" i="2650"/>
  <c r="B20" i="2650" s="1"/>
  <c r="H23" i="2650"/>
  <c r="C15" i="2650"/>
  <c r="H18" i="2650"/>
  <c r="C14" i="2650"/>
  <c r="H22" i="2650"/>
  <c r="C13" i="2650"/>
  <c r="H14" i="2650"/>
  <c r="C12" i="2650"/>
  <c r="H3" i="2650"/>
  <c r="C11" i="2650"/>
  <c r="H16" i="2650"/>
  <c r="C10" i="2650"/>
  <c r="H10" i="2650"/>
  <c r="C9" i="2650"/>
  <c r="H9" i="2650"/>
  <c r="C8" i="2650"/>
  <c r="N7" i="2650"/>
  <c r="H7" i="2650"/>
  <c r="C7" i="2650"/>
  <c r="N6" i="2650"/>
  <c r="H2" i="2650"/>
  <c r="B6" i="2650"/>
  <c r="N5" i="2650"/>
  <c r="H6" i="2650"/>
  <c r="B5" i="2650"/>
  <c r="N4" i="2650"/>
  <c r="H4" i="2650"/>
  <c r="N3" i="2650"/>
  <c r="H11" i="2650"/>
  <c r="N2" i="2650"/>
  <c r="H5" i="2650"/>
  <c r="C16" i="2650" l="1"/>
  <c r="H51" i="2649" l="1"/>
  <c r="H50" i="2649"/>
  <c r="H49" i="2649"/>
  <c r="H48" i="2649"/>
  <c r="H47" i="2649"/>
  <c r="H46" i="2649"/>
  <c r="H45" i="2649"/>
  <c r="H44" i="2649"/>
  <c r="H43" i="2649"/>
  <c r="H42" i="2649"/>
  <c r="H41" i="2649"/>
  <c r="H40" i="2649"/>
  <c r="H39" i="2649"/>
  <c r="H38" i="2649"/>
  <c r="H37" i="2649"/>
  <c r="H36" i="2649"/>
  <c r="H35" i="2649"/>
  <c r="H34" i="2649"/>
  <c r="H33" i="2649"/>
  <c r="H32" i="2649"/>
  <c r="H31" i="2649"/>
  <c r="H30" i="2649"/>
  <c r="H29" i="2649"/>
  <c r="H28" i="2649"/>
  <c r="H27" i="2649"/>
  <c r="H26" i="2649"/>
  <c r="H25" i="2649"/>
  <c r="H24" i="2649"/>
  <c r="H23" i="2649"/>
  <c r="C23" i="2649"/>
  <c r="H22" i="2649"/>
  <c r="C22" i="2649"/>
  <c r="H21" i="2649"/>
  <c r="B21" i="2649"/>
  <c r="H20" i="2649"/>
  <c r="H19" i="2649"/>
  <c r="C19" i="2649"/>
  <c r="H18" i="2649"/>
  <c r="C18" i="2649"/>
  <c r="H17" i="2649"/>
  <c r="C17" i="2649"/>
  <c r="H16" i="2649"/>
  <c r="B16" i="2649"/>
  <c r="B20" i="2649" s="1"/>
  <c r="H15" i="2649"/>
  <c r="C15" i="2649"/>
  <c r="H14" i="2649"/>
  <c r="C14" i="2649"/>
  <c r="H13" i="2649"/>
  <c r="C13" i="2649"/>
  <c r="H12" i="2649"/>
  <c r="C12" i="2649"/>
  <c r="H11" i="2649"/>
  <c r="C11" i="2649"/>
  <c r="H10" i="2649"/>
  <c r="C10" i="2649"/>
  <c r="H9" i="2649"/>
  <c r="C9" i="2649"/>
  <c r="H8" i="2649"/>
  <c r="C8" i="2649"/>
  <c r="N7" i="2649"/>
  <c r="H7" i="2649"/>
  <c r="C7" i="2649"/>
  <c r="N6" i="2649"/>
  <c r="H6" i="2649"/>
  <c r="B6" i="2649"/>
  <c r="N5" i="2649"/>
  <c r="H5" i="2649"/>
  <c r="B5" i="2649"/>
  <c r="N4" i="2649"/>
  <c r="H4" i="2649"/>
  <c r="N3" i="2649"/>
  <c r="H3" i="2649"/>
  <c r="N2" i="2649"/>
  <c r="H2" i="2649"/>
  <c r="C16" i="2649" l="1"/>
  <c r="H51" i="2648" l="1"/>
  <c r="H50" i="2648"/>
  <c r="H49" i="2648"/>
  <c r="H48" i="2648"/>
  <c r="H47" i="2648"/>
  <c r="H46" i="2648"/>
  <c r="H45" i="2648"/>
  <c r="H44" i="2648"/>
  <c r="H43" i="2648"/>
  <c r="H42" i="2648"/>
  <c r="H41" i="2648"/>
  <c r="H40" i="2648"/>
  <c r="H39" i="2648"/>
  <c r="H38" i="2648"/>
  <c r="H37" i="2648"/>
  <c r="H36" i="2648"/>
  <c r="H35" i="2648"/>
  <c r="H34" i="2648"/>
  <c r="H33" i="2648"/>
  <c r="H32" i="2648"/>
  <c r="H19" i="2648"/>
  <c r="H31" i="2648"/>
  <c r="H10" i="2648"/>
  <c r="H30" i="2648"/>
  <c r="H29" i="2648"/>
  <c r="H13" i="2648"/>
  <c r="H28" i="2648"/>
  <c r="H18" i="2648"/>
  <c r="H17" i="2648"/>
  <c r="C23" i="2648"/>
  <c r="H27" i="2648"/>
  <c r="C22" i="2648"/>
  <c r="H15" i="2648"/>
  <c r="B21" i="2648"/>
  <c r="H26" i="2648"/>
  <c r="H25" i="2648"/>
  <c r="C19" i="2648"/>
  <c r="H24" i="2648"/>
  <c r="C18" i="2648"/>
  <c r="H14" i="2648"/>
  <c r="C17" i="2648"/>
  <c r="H23" i="2648"/>
  <c r="B16" i="2648"/>
  <c r="B20" i="2648" s="1"/>
  <c r="H22" i="2648"/>
  <c r="C15" i="2648"/>
  <c r="H21" i="2648"/>
  <c r="C14" i="2648"/>
  <c r="H16" i="2648"/>
  <c r="C13" i="2648"/>
  <c r="H20" i="2648"/>
  <c r="C12" i="2648"/>
  <c r="H5" i="2648"/>
  <c r="C11" i="2648"/>
  <c r="H12" i="2648"/>
  <c r="C10" i="2648"/>
  <c r="H11" i="2648"/>
  <c r="C9" i="2648"/>
  <c r="H8" i="2648"/>
  <c r="C8" i="2648"/>
  <c r="N7" i="2648"/>
  <c r="H7" i="2648"/>
  <c r="C7" i="2648"/>
  <c r="N6" i="2648"/>
  <c r="H2" i="2648"/>
  <c r="B6" i="2648"/>
  <c r="N5" i="2648"/>
  <c r="H6" i="2648"/>
  <c r="B5" i="2648"/>
  <c r="N4" i="2648"/>
  <c r="H3" i="2648"/>
  <c r="N3" i="2648"/>
  <c r="H9" i="2648"/>
  <c r="N2" i="2648"/>
  <c r="H4" i="2648"/>
  <c r="H51" i="2647"/>
  <c r="H50" i="2647"/>
  <c r="H49" i="2647"/>
  <c r="H48" i="2647"/>
  <c r="H47" i="2647"/>
  <c r="H46" i="2647"/>
  <c r="H45" i="2647"/>
  <c r="H44" i="2647"/>
  <c r="H43" i="2647"/>
  <c r="H42" i="2647"/>
  <c r="H41" i="2647"/>
  <c r="H40" i="2647"/>
  <c r="H39" i="2647"/>
  <c r="H38" i="2647"/>
  <c r="H37" i="2647"/>
  <c r="H36" i="2647"/>
  <c r="H35" i="2647"/>
  <c r="H34" i="2647"/>
  <c r="H33" i="2647"/>
  <c r="H32" i="2647"/>
  <c r="H31" i="2647"/>
  <c r="H30" i="2647"/>
  <c r="H10" i="2647"/>
  <c r="H29" i="2647"/>
  <c r="H28" i="2647"/>
  <c r="H13" i="2647"/>
  <c r="H27" i="2647"/>
  <c r="H26" i="2647"/>
  <c r="H18" i="2647"/>
  <c r="C23" i="2647"/>
  <c r="H25" i="2647"/>
  <c r="C22" i="2647"/>
  <c r="H17" i="2647"/>
  <c r="B21" i="2647"/>
  <c r="H24" i="2647"/>
  <c r="H23" i="2647"/>
  <c r="C19" i="2647"/>
  <c r="H12" i="2647"/>
  <c r="C18" i="2647"/>
  <c r="H11" i="2647"/>
  <c r="C17" i="2647"/>
  <c r="H22" i="2647"/>
  <c r="B16" i="2647"/>
  <c r="B20" i="2647" s="1"/>
  <c r="H21" i="2647"/>
  <c r="C15" i="2647"/>
  <c r="H16" i="2647"/>
  <c r="C14" i="2647"/>
  <c r="H20" i="2647"/>
  <c r="C13" i="2647"/>
  <c r="H19" i="2647"/>
  <c r="C12" i="2647"/>
  <c r="H3" i="2647"/>
  <c r="C11" i="2647"/>
  <c r="H15" i="2647"/>
  <c r="C10" i="2647"/>
  <c r="H14" i="2647"/>
  <c r="C9" i="2647"/>
  <c r="H9" i="2647"/>
  <c r="C8" i="2647"/>
  <c r="N7" i="2647"/>
  <c r="H8" i="2647"/>
  <c r="C7" i="2647"/>
  <c r="N6" i="2647"/>
  <c r="H2" i="2647"/>
  <c r="B6" i="2647"/>
  <c r="N5" i="2647"/>
  <c r="H7" i="2647"/>
  <c r="B5" i="2647"/>
  <c r="N4" i="2647"/>
  <c r="H4" i="2647"/>
  <c r="N3" i="2647"/>
  <c r="H6" i="2647"/>
  <c r="N2" i="2647"/>
  <c r="H5" i="2647"/>
  <c r="C16" i="2648" l="1"/>
  <c r="C16" i="2647"/>
  <c r="H51" i="2646" l="1"/>
  <c r="H50" i="2646"/>
  <c r="H49" i="2646"/>
  <c r="H48" i="2646"/>
  <c r="H47" i="2646"/>
  <c r="H46" i="2646"/>
  <c r="H45" i="2646"/>
  <c r="H44" i="2646"/>
  <c r="H43" i="2646"/>
  <c r="H42" i="2646"/>
  <c r="H41" i="2646"/>
  <c r="H40" i="2646"/>
  <c r="H39" i="2646"/>
  <c r="H38" i="2646"/>
  <c r="H37" i="2646"/>
  <c r="H36" i="2646"/>
  <c r="H35" i="2646"/>
  <c r="H34" i="2646"/>
  <c r="H33" i="2646"/>
  <c r="H32" i="2646"/>
  <c r="H31" i="2646"/>
  <c r="H30" i="2646"/>
  <c r="H29" i="2646"/>
  <c r="H28" i="2646"/>
  <c r="H27" i="2646"/>
  <c r="H11" i="2646"/>
  <c r="H26" i="2646"/>
  <c r="H25" i="2646"/>
  <c r="H24" i="2646"/>
  <c r="C23" i="2646"/>
  <c r="H23" i="2646"/>
  <c r="C22" i="2646"/>
  <c r="H22" i="2646"/>
  <c r="B21" i="2646"/>
  <c r="H21" i="2646"/>
  <c r="H20" i="2646"/>
  <c r="C19" i="2646"/>
  <c r="H8" i="2646"/>
  <c r="C18" i="2646"/>
  <c r="H19" i="2646"/>
  <c r="C17" i="2646"/>
  <c r="H18" i="2646"/>
  <c r="B16" i="2646"/>
  <c r="B20" i="2646" s="1"/>
  <c r="H17" i="2646"/>
  <c r="C15" i="2646"/>
  <c r="H16" i="2646"/>
  <c r="C14" i="2646"/>
  <c r="H15" i="2646"/>
  <c r="C13" i="2646"/>
  <c r="H14" i="2646"/>
  <c r="C12" i="2646"/>
  <c r="H5" i="2646"/>
  <c r="C11" i="2646"/>
  <c r="H13" i="2646"/>
  <c r="C10" i="2646"/>
  <c r="H12" i="2646"/>
  <c r="C9" i="2646"/>
  <c r="H10" i="2646"/>
  <c r="C8" i="2646"/>
  <c r="N7" i="2646"/>
  <c r="H6" i="2646"/>
  <c r="C7" i="2646"/>
  <c r="N6" i="2646"/>
  <c r="H3" i="2646"/>
  <c r="B6" i="2646"/>
  <c r="N5" i="2646"/>
  <c r="H7" i="2646"/>
  <c r="B5" i="2646"/>
  <c r="N4" i="2646"/>
  <c r="H9" i="2646"/>
  <c r="N3" i="2646"/>
  <c r="H4" i="2646"/>
  <c r="N2" i="2646"/>
  <c r="H2" i="2646"/>
  <c r="C16" i="2646" l="1"/>
  <c r="H51" i="2645" l="1"/>
  <c r="H50" i="2645"/>
  <c r="H49" i="2645"/>
  <c r="H48" i="2645"/>
  <c r="H47" i="2645"/>
  <c r="H46" i="2645"/>
  <c r="H45" i="2645"/>
  <c r="H44" i="2645"/>
  <c r="H43" i="2645"/>
  <c r="H42" i="2645"/>
  <c r="H41" i="2645"/>
  <c r="H40" i="2645"/>
  <c r="H39" i="2645"/>
  <c r="H38" i="2645"/>
  <c r="H37" i="2645"/>
  <c r="H36" i="2645"/>
  <c r="H35" i="2645"/>
  <c r="H34" i="2645"/>
  <c r="H33" i="2645"/>
  <c r="H32" i="2645"/>
  <c r="H31" i="2645"/>
  <c r="H30" i="2645"/>
  <c r="H13" i="2645"/>
  <c r="H29" i="2645"/>
  <c r="H28" i="2645"/>
  <c r="H15" i="2645"/>
  <c r="H27" i="2645"/>
  <c r="H26" i="2645"/>
  <c r="H9" i="2645"/>
  <c r="C23" i="2645"/>
  <c r="H25" i="2645"/>
  <c r="C22" i="2645"/>
  <c r="H12" i="2645"/>
  <c r="B21" i="2645"/>
  <c r="H24" i="2645"/>
  <c r="H23" i="2645"/>
  <c r="C19" i="2645"/>
  <c r="H22" i="2645"/>
  <c r="C18" i="2645"/>
  <c r="H14" i="2645"/>
  <c r="C17" i="2645"/>
  <c r="H21" i="2645"/>
  <c r="B16" i="2645"/>
  <c r="B20" i="2645" s="1"/>
  <c r="H20" i="2645"/>
  <c r="C15" i="2645"/>
  <c r="H19" i="2645"/>
  <c r="C14" i="2645"/>
  <c r="H18" i="2645"/>
  <c r="C13" i="2645"/>
  <c r="H17" i="2645"/>
  <c r="C12" i="2645"/>
  <c r="H4" i="2645"/>
  <c r="C11" i="2645"/>
  <c r="H16" i="2645"/>
  <c r="C10" i="2645"/>
  <c r="H11" i="2645"/>
  <c r="C9" i="2645"/>
  <c r="H10" i="2645"/>
  <c r="C8" i="2645"/>
  <c r="N7" i="2645"/>
  <c r="H7" i="2645"/>
  <c r="C7" i="2645"/>
  <c r="N6" i="2645"/>
  <c r="H3" i="2645"/>
  <c r="B6" i="2645"/>
  <c r="N5" i="2645"/>
  <c r="H6" i="2645"/>
  <c r="B5" i="2645"/>
  <c r="N4" i="2645"/>
  <c r="H2" i="2645"/>
  <c r="N3" i="2645"/>
  <c r="H8" i="2645"/>
  <c r="N2" i="2645"/>
  <c r="H5" i="2645"/>
  <c r="H51" i="2644"/>
  <c r="H50" i="2644"/>
  <c r="H49" i="2644"/>
  <c r="H48" i="2644"/>
  <c r="H47" i="2644"/>
  <c r="H46" i="2644"/>
  <c r="H45" i="2644"/>
  <c r="H44" i="2644"/>
  <c r="H43" i="2644"/>
  <c r="H42" i="2644"/>
  <c r="H41" i="2644"/>
  <c r="H40" i="2644"/>
  <c r="H39" i="2644"/>
  <c r="H38" i="2644"/>
  <c r="H37" i="2644"/>
  <c r="H36" i="2644"/>
  <c r="H35" i="2644"/>
  <c r="H34" i="2644"/>
  <c r="H33" i="2644"/>
  <c r="H20" i="2644"/>
  <c r="H14" i="2644"/>
  <c r="H32" i="2644"/>
  <c r="H10" i="2644"/>
  <c r="H24" i="2644"/>
  <c r="H23" i="2644"/>
  <c r="H12" i="2644"/>
  <c r="H19" i="2644"/>
  <c r="H22" i="2644"/>
  <c r="H13" i="2644"/>
  <c r="C23" i="2644"/>
  <c r="H31" i="2644"/>
  <c r="C22" i="2644"/>
  <c r="H16" i="2644"/>
  <c r="B21" i="2644"/>
  <c r="H21" i="2644"/>
  <c r="H30" i="2644"/>
  <c r="C19" i="2644"/>
  <c r="H18" i="2644"/>
  <c r="C18" i="2644"/>
  <c r="H17" i="2644"/>
  <c r="C17" i="2644"/>
  <c r="H29" i="2644"/>
  <c r="B16" i="2644"/>
  <c r="B20" i="2644" s="1"/>
  <c r="H28" i="2644"/>
  <c r="C15" i="2644"/>
  <c r="H27" i="2644"/>
  <c r="C14" i="2644"/>
  <c r="H26" i="2644"/>
  <c r="C13" i="2644"/>
  <c r="H25" i="2644"/>
  <c r="C12" i="2644"/>
  <c r="H5" i="2644"/>
  <c r="C11" i="2644"/>
  <c r="H15" i="2644"/>
  <c r="C10" i="2644"/>
  <c r="H9" i="2644"/>
  <c r="C9" i="2644"/>
  <c r="H8" i="2644"/>
  <c r="C8" i="2644"/>
  <c r="N7" i="2644"/>
  <c r="H6" i="2644"/>
  <c r="C7" i="2644"/>
  <c r="N6" i="2644"/>
  <c r="H2" i="2644"/>
  <c r="B6" i="2644"/>
  <c r="N5" i="2644"/>
  <c r="H7" i="2644"/>
  <c r="B5" i="2644"/>
  <c r="N4" i="2644"/>
  <c r="H3" i="2644"/>
  <c r="N3" i="2644"/>
  <c r="H11" i="2644"/>
  <c r="N2" i="2644"/>
  <c r="H4" i="2644"/>
  <c r="C16" i="2645" l="1"/>
  <c r="C16" i="2644"/>
  <c r="H51" i="2643" l="1"/>
  <c r="H50" i="2643"/>
  <c r="H49" i="2643"/>
  <c r="H48" i="2643"/>
  <c r="H47" i="2643"/>
  <c r="H46" i="2643"/>
  <c r="H45" i="2643"/>
  <c r="H44" i="2643"/>
  <c r="H43" i="2643"/>
  <c r="H42" i="2643"/>
  <c r="H41" i="2643"/>
  <c r="H40" i="2643"/>
  <c r="H39" i="2643"/>
  <c r="H38" i="2643"/>
  <c r="H37" i="2643"/>
  <c r="H36" i="2643"/>
  <c r="H35" i="2643"/>
  <c r="H34" i="2643"/>
  <c r="H33" i="2643"/>
  <c r="H32" i="2643"/>
  <c r="H31" i="2643"/>
  <c r="H30" i="2643"/>
  <c r="H29" i="2643"/>
  <c r="H28" i="2643"/>
  <c r="H27" i="2643"/>
  <c r="H26" i="2643"/>
  <c r="H25" i="2643"/>
  <c r="H24" i="2643"/>
  <c r="H23" i="2643"/>
  <c r="C23" i="2643"/>
  <c r="H22" i="2643"/>
  <c r="C22" i="2643"/>
  <c r="H21" i="2643"/>
  <c r="B21" i="2643"/>
  <c r="H20" i="2643"/>
  <c r="H19" i="2643"/>
  <c r="C19" i="2643"/>
  <c r="H18" i="2643"/>
  <c r="C18" i="2643"/>
  <c r="H17" i="2643"/>
  <c r="C17" i="2643"/>
  <c r="H16" i="2643"/>
  <c r="B16" i="2643"/>
  <c r="B20" i="2643" s="1"/>
  <c r="H15" i="2643"/>
  <c r="C15" i="2643"/>
  <c r="H14" i="2643"/>
  <c r="C14" i="2643"/>
  <c r="H13" i="2643"/>
  <c r="C13" i="2643"/>
  <c r="H12" i="2643"/>
  <c r="C12" i="2643"/>
  <c r="H11" i="2643"/>
  <c r="C11" i="2643"/>
  <c r="H10" i="2643"/>
  <c r="C10" i="2643"/>
  <c r="H9" i="2643"/>
  <c r="C9" i="2643"/>
  <c r="H8" i="2643"/>
  <c r="C8" i="2643"/>
  <c r="N7" i="2643"/>
  <c r="H7" i="2643"/>
  <c r="C7" i="2643"/>
  <c r="N6" i="2643"/>
  <c r="H6" i="2643"/>
  <c r="B6" i="2643"/>
  <c r="N5" i="2643"/>
  <c r="H5" i="2643"/>
  <c r="B5" i="2643"/>
  <c r="N4" i="2643"/>
  <c r="H4" i="2643"/>
  <c r="N3" i="2643"/>
  <c r="H3" i="2643"/>
  <c r="N2" i="2643"/>
  <c r="H2" i="2643"/>
  <c r="H51" i="2642"/>
  <c r="H50" i="2642"/>
  <c r="H49" i="2642"/>
  <c r="H48" i="2642"/>
  <c r="H47" i="2642"/>
  <c r="H46" i="2642"/>
  <c r="H45" i="2642"/>
  <c r="H44" i="2642"/>
  <c r="H43" i="2642"/>
  <c r="H42" i="2642"/>
  <c r="H41" i="2642"/>
  <c r="H40" i="2642"/>
  <c r="H39" i="2642"/>
  <c r="H38" i="2642"/>
  <c r="H37" i="2642"/>
  <c r="H36" i="2642"/>
  <c r="H35" i="2642"/>
  <c r="H34" i="2642"/>
  <c r="H33" i="2642"/>
  <c r="H32" i="2642"/>
  <c r="H31" i="2642"/>
  <c r="H30" i="2642"/>
  <c r="H29" i="2642"/>
  <c r="H28" i="2642"/>
  <c r="H27" i="2642"/>
  <c r="H26" i="2642"/>
  <c r="H25" i="2642"/>
  <c r="H24" i="2642"/>
  <c r="H23" i="2642"/>
  <c r="C23" i="2642"/>
  <c r="H22" i="2642"/>
  <c r="C22" i="2642"/>
  <c r="H21" i="2642"/>
  <c r="B21" i="2642"/>
  <c r="H20" i="2642"/>
  <c r="H19" i="2642"/>
  <c r="C19" i="2642"/>
  <c r="H18" i="2642"/>
  <c r="C18" i="2642"/>
  <c r="H17" i="2642"/>
  <c r="C17" i="2642"/>
  <c r="H16" i="2642"/>
  <c r="B16" i="2642"/>
  <c r="B20" i="2642" s="1"/>
  <c r="H15" i="2642"/>
  <c r="C15" i="2642"/>
  <c r="H14" i="2642"/>
  <c r="C14" i="2642"/>
  <c r="H13" i="2642"/>
  <c r="C13" i="2642"/>
  <c r="H12" i="2642"/>
  <c r="C12" i="2642"/>
  <c r="H11" i="2642"/>
  <c r="C11" i="2642"/>
  <c r="H10" i="2642"/>
  <c r="C10" i="2642"/>
  <c r="H9" i="2642"/>
  <c r="C9" i="2642"/>
  <c r="H8" i="2642"/>
  <c r="C8" i="2642"/>
  <c r="N7" i="2642"/>
  <c r="H7" i="2642"/>
  <c r="C7" i="2642"/>
  <c r="N6" i="2642"/>
  <c r="H6" i="2642"/>
  <c r="B6" i="2642"/>
  <c r="N5" i="2642"/>
  <c r="H5" i="2642"/>
  <c r="B5" i="2642"/>
  <c r="N4" i="2642"/>
  <c r="H4" i="2642"/>
  <c r="N3" i="2642"/>
  <c r="H3" i="2642"/>
  <c r="N2" i="2642"/>
  <c r="H2" i="2642"/>
  <c r="H51" i="2641"/>
  <c r="H50" i="2641"/>
  <c r="H49" i="2641"/>
  <c r="H48" i="2641"/>
  <c r="H47" i="2641"/>
  <c r="H26" i="2641"/>
  <c r="H46" i="2641"/>
  <c r="H45" i="2641"/>
  <c r="H44" i="2641"/>
  <c r="H43" i="2641"/>
  <c r="H42" i="2641"/>
  <c r="H41" i="2641"/>
  <c r="H40" i="2641"/>
  <c r="H39" i="2641"/>
  <c r="H38" i="2641"/>
  <c r="H37" i="2641"/>
  <c r="H36" i="2641"/>
  <c r="H35" i="2641"/>
  <c r="H34" i="2641"/>
  <c r="H18" i="2641"/>
  <c r="H25" i="2641"/>
  <c r="H24" i="2641"/>
  <c r="H9" i="2641"/>
  <c r="H33" i="2641"/>
  <c r="H23" i="2641"/>
  <c r="H13" i="2641"/>
  <c r="H22" i="2641"/>
  <c r="H32" i="2641"/>
  <c r="H14" i="2641"/>
  <c r="C23" i="2641"/>
  <c r="H31" i="2641"/>
  <c r="C22" i="2641"/>
  <c r="H16" i="2641"/>
  <c r="B21" i="2641"/>
  <c r="H30" i="2641"/>
  <c r="H29" i="2641"/>
  <c r="C19" i="2641"/>
  <c r="H21" i="2641"/>
  <c r="C18" i="2641"/>
  <c r="H20" i="2641"/>
  <c r="C17" i="2641"/>
  <c r="H15" i="2641"/>
  <c r="B16" i="2641"/>
  <c r="B20" i="2641" s="1"/>
  <c r="H28" i="2641"/>
  <c r="C15" i="2641"/>
  <c r="H19" i="2641"/>
  <c r="C14" i="2641"/>
  <c r="H27" i="2641"/>
  <c r="C13" i="2641"/>
  <c r="H17" i="2641"/>
  <c r="C12" i="2641"/>
  <c r="H4" i="2641"/>
  <c r="C11" i="2641"/>
  <c r="H12" i="2641"/>
  <c r="C10" i="2641"/>
  <c r="H11" i="2641"/>
  <c r="C9" i="2641"/>
  <c r="H8" i="2641"/>
  <c r="C8" i="2641"/>
  <c r="N7" i="2641"/>
  <c r="H6" i="2641"/>
  <c r="C7" i="2641"/>
  <c r="N6" i="2641"/>
  <c r="H2" i="2641"/>
  <c r="B6" i="2641"/>
  <c r="N5" i="2641"/>
  <c r="H7" i="2641"/>
  <c r="B5" i="2641"/>
  <c r="N4" i="2641"/>
  <c r="H3" i="2641"/>
  <c r="N3" i="2641"/>
  <c r="H10" i="2641"/>
  <c r="N2" i="2641"/>
  <c r="H5" i="2641"/>
  <c r="C16" i="2642" l="1"/>
  <c r="C16" i="2643"/>
  <c r="C16" i="2641"/>
  <c r="D2" i="2416" l="1"/>
  <c r="D5" i="2416" l="1"/>
  <c r="D10" i="2416"/>
  <c r="D51" i="2416"/>
  <c r="D50" i="2416"/>
  <c r="D49" i="2416"/>
  <c r="D48" i="2416"/>
  <c r="D47" i="2416"/>
  <c r="D31" i="2416"/>
  <c r="D46" i="2416"/>
  <c r="D45" i="2416"/>
  <c r="D44" i="2416"/>
  <c r="D43" i="2416"/>
  <c r="D42" i="2416"/>
  <c r="D41" i="2416"/>
  <c r="D40" i="2416"/>
  <c r="D39" i="2416"/>
  <c r="D38" i="2416"/>
  <c r="D37" i="2416"/>
  <c r="D36" i="2416"/>
  <c r="D35" i="2416"/>
  <c r="D30" i="2416"/>
  <c r="D21" i="2416"/>
  <c r="D18" i="2416"/>
  <c r="D27" i="2416"/>
  <c r="D9" i="2416"/>
  <c r="D29" i="2416"/>
  <c r="D25" i="2416"/>
  <c r="D12" i="2416"/>
  <c r="D20" i="2416"/>
  <c r="D22" i="2416"/>
  <c r="D13" i="2416"/>
  <c r="D34" i="2416"/>
  <c r="D16" i="2416"/>
  <c r="D26" i="2416"/>
  <c r="D33" i="2416"/>
  <c r="D17" i="2416"/>
  <c r="D15" i="2416"/>
  <c r="D24" i="2416"/>
  <c r="D32" i="2416"/>
  <c r="D23" i="2416"/>
  <c r="D28" i="2416"/>
  <c r="D19" i="2416"/>
  <c r="D4" i="2416"/>
  <c r="D14" i="2416"/>
  <c r="D11" i="2416"/>
  <c r="D8" i="2416"/>
  <c r="D7" i="2416"/>
  <c r="D6" i="2416"/>
  <c r="D3" i="2416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C19" i="2228"/>
  <c r="H17" i="2228"/>
  <c r="C18" i="2228"/>
  <c r="H16" i="2228"/>
  <c r="C17" i="2228"/>
  <c r="H15" i="2228"/>
  <c r="C16" i="2228"/>
  <c r="B16" i="2228"/>
  <c r="B20" i="2228" s="1"/>
  <c r="H14" i="2228"/>
  <c r="C15" i="2228"/>
  <c r="H13" i="2228"/>
  <c r="C14" i="2228"/>
  <c r="H12" i="2228"/>
  <c r="C13" i="2228"/>
  <c r="H11" i="2228"/>
  <c r="C12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<sst xmlns="http://schemas.openxmlformats.org/spreadsheetml/2006/main" count="2353" uniqueCount="233">
  <si>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</si>
  <si>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</si>
  <si>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</si>
  <si>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</si>
  <si>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</si>
  <si>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</si>
  <si>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</si>
  <si>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</si>
  <si>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</si>
  <si>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</si>
  <si>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</si>
  <si>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</si>
  <si>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</si>
  <si>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</si>
  <si>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</si>
  <si>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</si>
  <si>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</si>
  <si>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</si>
  <si>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</si>
  <si>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</si>
  <si>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</si>
  <si>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</si>
  <si>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</si>
  <si>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</si>
  <si>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</si>
  <si>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</si>
  <si>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</si>
  <si>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</si>
  <si>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</si>
  <si>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</si>
  <si>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</si>
  <si>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</si>
  <si>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</si>
  <si>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</si>
  <si>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</si>
  <si>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</si>
  <si>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</si>
  <si>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</si>
  <si>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</si>
  <si>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</si>
  <si>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</si>
  <si>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</si>
  <si>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</si>
  <si>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</si>
  <si>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</si>
  <si>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</si>
  <si>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</si>
  <si>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</si>
  <si>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</si>
  <si>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</si>
  <si>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</si>
  <si>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</si>
  <si>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</si>
  <si>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</si>
  <si>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</si>
  <si>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</si>
  <si>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</si>
  <si>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</si>
  <si>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</si>
  <si>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</si>
  <si>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</si>
  <si>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</si>
  <si>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</si>
  <si>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</si>
  <si>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</si>
  <si>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</si>
  <si>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</si>
  <si>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</si>
  <si>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</si>
  <si>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</si>
  <si>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</si>
  <si>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</si>
  <si>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</si>
  <si>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</si>
  <si>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</si>
  <si>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</si>
  <si>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</si>
  <si>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</si>
  <si>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</si>
  <si>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</si>
  <si>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</si>
  <si>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</si>
  <si>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</si>
  <si>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</si>
  <si>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</si>
  <si>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</si>
  <si>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</si>
  <si>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</si>
  <si>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</si>
  <si>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</si>
  <si>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</si>
  <si>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</si>
  <si>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</si>
  <si>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</si>
  <si>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</si>
  <si>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</si>
  <si>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</si>
  <si>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</si>
  <si>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</si>
  <si>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</si>
  <si>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</si>
  <si>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</si>
  <si>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</si>
  <si>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</si>
  <si>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</si>
  <si>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</si>
  <si>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</si>
  <si>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</si>
  <si>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</si>
  <si>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</si>
  <si>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</si>
  <si>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</si>
  <si>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</si>
  <si>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</si>
  <si>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</si>
  <si>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</si>
  <si>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</si>
  <si>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</si>
  <si>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</si>
  <si>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</si>
  <si>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</si>
  <si>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</si>
  <si>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</si>
  <si>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</si>
  <si>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</si>
  <si>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</si>
  <si>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</si>
  <si>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</si>
  <si>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</si>
  <si>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</si>
  <si>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</si>
  <si>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</si>
  <si>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</si>
  <si>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</si>
  <si>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</si>
  <si>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</si>
  <si>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</si>
  <si>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</si>
  <si>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</si>
  <si>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</si>
  <si>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</si>
  <si>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</si>
  <si>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</si>
  <si>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</si>
  <si>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</si>
  <si>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</si>
  <si>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</si>
  <si>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</si>
  <si>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</si>
  <si>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</si>
  <si>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</si>
  <si>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</si>
  <si>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</si>
  <si>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</si>
  <si>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</si>
  <si>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</si>
  <si>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</si>
  <si>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</si>
  <si>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</si>
  <si>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</si>
  <si>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</si>
  <si>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</si>
  <si>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</si>
  <si>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</si>
  <si>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</si>
  <si>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</si>
  <si>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</si>
  <si>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</si>
  <si>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</si>
  <si>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</si>
  <si>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</si>
  <si>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</si>
  <si>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</si>
  <si>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</si>
  <si>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</si>
  <si>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</si>
  <si>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</si>
  <si>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</si>
  <si>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</si>
  <si>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</si>
  <si>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</si>
  <si>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</si>
  <si>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</si>
  <si>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</si>
  <si>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</si>
  <si>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</si>
  <si>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</si>
  <si>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</si>
  <si>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</si>
  <si>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</si>
  <si>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</si>
  <si>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</si>
  <si>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</si>
  <si>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</si>
  <si>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</si>
  <si>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</si>
  <si>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</si>
  <si>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</si>
  <si>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</si>
  <si>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</si>
  <si>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</si>
  <si>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</si>
  <si>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</si>
  <si>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</si>
  <si>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</si>
  <si>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</si>
  <si>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</si>
  <si>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</si>
  <si>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</si>
  <si>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</si>
  <si>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</si>
  <si>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2019-01-06.xlsm</t>
  </si>
  <si>
    <t>2019-01-09.xlsm</t>
  </si>
  <si>
    <t>2019-01-12.xlsm</t>
  </si>
  <si>
    <t>あさひ</t>
  </si>
  <si>
    <t>ともき</t>
    <phoneticPr fontId="1"/>
  </si>
  <si>
    <t>2019-01-13.xlsm</t>
  </si>
  <si>
    <t>あさひ</t>
    <phoneticPr fontId="1"/>
  </si>
  <si>
    <t>がくと</t>
    <phoneticPr fontId="1"/>
  </si>
  <si>
    <t>まっつん</t>
  </si>
  <si>
    <t>まっつん</t>
    <phoneticPr fontId="1"/>
  </si>
  <si>
    <t>2019-01-14.xlsm</t>
  </si>
  <si>
    <t>ツモ</t>
  </si>
  <si>
    <t>国士13面</t>
  </si>
  <si>
    <t>四暗刻単騎</t>
  </si>
  <si>
    <t>純正九蓮</t>
  </si>
  <si>
    <t>01</t>
  </si>
  <si>
    <t>02</t>
  </si>
  <si>
    <t>2019-01-15.xlsm</t>
  </si>
  <si>
    <t>2019-01-16.xlsm</t>
  </si>
  <si>
    <t>2019-01-17.xlsm</t>
  </si>
  <si>
    <t>最大ドラ数</t>
    <rPh sb="0" eb="2">
      <t>サイダイ</t>
    </rPh>
    <rPh sb="4" eb="5">
      <t>スウ</t>
    </rPh>
    <phoneticPr fontId="1"/>
  </si>
  <si>
    <t>最大ドラ数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</si>
</sst>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2" formatCode="yyyy/mm/dd"/>
    <numFmt numFmtId="183" formatCode="yyyy/mm/dd\ hh:mm"/>
    <numFmt numFmtId="184" formatCode="0\ &quot;個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184" fontId="0" fillId="0" borderId="15" xfId="0" applyNumberFormat="1" applyBorder="1" applyAlignment="1">
      <alignment horizontal="center" vertical="center"/>
    </xf>
    <xf numFmtId="184" fontId="0" fillId="0" borderId="9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184" fontId="0" fillId="0" borderId="36" xfId="0" applyNumberFormat="1" applyBorder="1" applyAlignment="1">
      <alignment horizontal="center" vertical="center" shrinkToFit="1"/>
    </xf>
    <xf numFmtId="184" fontId="0" fillId="0" borderId="37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だいち!$J$2:$J$129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だいち!$K$2:$K$129</c:f>
              <c:numCache>
                <c:formatCode>\+0;\-0;\±0</c:formatCode>
                <c:ptCount val="12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DC-495B-BE07-7965B517C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774.79674796747963</c:v>
                </c:pt>
                <c:pt idx="1">
                  <c:v>1382.9059829059829</c:v>
                </c:pt>
                <c:pt idx="2">
                  <c:v>939.25233644859816</c:v>
                </c:pt>
                <c:pt idx="3">
                  <c:v>1392.5531914893618</c:v>
                </c:pt>
                <c:pt idx="4">
                  <c:v>216.88311688311688</c:v>
                </c:pt>
                <c:pt idx="5">
                  <c:v>166.66666666666666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E-4386-8300-508ABEC63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1-4A3C-B393-5C0E1150B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50-493D-AB1C-B45B37CB8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ともき!$K$2:$K$4</c:f>
              <c:numCache>
                <c:formatCode>\+0;\-0;\±0</c:formatCode>
                <c:ptCount val="3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5-4755-B2E2-181C39097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-11250</c:v>
                </c:pt>
                <c:pt idx="1">
                  <c:v>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4B-447E-9A39-13BC52126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りくと!$K$2:$K$90</c:f>
              <c:numCache>
                <c:formatCode>\+0;\-0;\±0</c:formatCode>
                <c:ptCount val="8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CD-4829-9575-379A2CC54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-79.069767441860463</c:v>
                </c:pt>
                <c:pt idx="1">
                  <c:v>-1764.6341463414635</c:v>
                </c:pt>
                <c:pt idx="2">
                  <c:v>1831.6455696202531</c:v>
                </c:pt>
                <c:pt idx="3">
                  <c:v>-2222.8571428571427</c:v>
                </c:pt>
                <c:pt idx="4">
                  <c:v>-2552.6315789473683</c:v>
                </c:pt>
                <c:pt idx="5">
                  <c:v>-2445.4545454545455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95-4797-B63F-E1BC4C364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いっしー!$K$2:$K$47</c:f>
              <c:numCache>
                <c:formatCode>\+0;\-0;\±0</c:formatCode>
                <c:ptCount val="4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27-45F2-BC6D-C33BD955C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-895.55555555555554</c:v>
                </c:pt>
                <c:pt idx="1">
                  <c:v>3279.0697674418607</c:v>
                </c:pt>
                <c:pt idx="2">
                  <c:v>-307.3170731707317</c:v>
                </c:pt>
                <c:pt idx="3">
                  <c:v>-1417.6470588235295</c:v>
                </c:pt>
                <c:pt idx="4">
                  <c:v>7442.8571428571431</c:v>
                </c:pt>
                <c:pt idx="5">
                  <c:v>122.22222222222223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77-48E7-9C5D-DA1258231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00-40F5-A46D-6CBE53426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49-4A11-AA6C-236D4A400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たかの!$K$2:$K$45</c:f>
              <c:numCache>
                <c:formatCode>\+0;\-0;\±0</c:formatCode>
                <c:ptCount val="44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  <c:pt idx="36">
                  <c:v>-72.700000000000017</c:v>
                </c:pt>
                <c:pt idx="37">
                  <c:v>-78.300000000000011</c:v>
                </c:pt>
                <c:pt idx="38">
                  <c:v>-105.30000000000001</c:v>
                </c:pt>
                <c:pt idx="39">
                  <c:v>-100.10000000000001</c:v>
                </c:pt>
                <c:pt idx="40">
                  <c:v>-107.80000000000001</c:v>
                </c:pt>
                <c:pt idx="41">
                  <c:v>-122.80000000000001</c:v>
                </c:pt>
                <c:pt idx="42">
                  <c:v>-173.4</c:v>
                </c:pt>
                <c:pt idx="43">
                  <c:v>-168.6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24-48CC-B619-3FB70EA5E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-2123.2558139534885</c:v>
                </c:pt>
                <c:pt idx="1">
                  <c:v>-2702.5</c:v>
                </c:pt>
                <c:pt idx="2">
                  <c:v>-1311.7647058823529</c:v>
                </c:pt>
                <c:pt idx="3">
                  <c:v>3137.5</c:v>
                </c:pt>
                <c:pt idx="4">
                  <c:v>-1216</c:v>
                </c:pt>
                <c:pt idx="5">
                  <c:v>257.14285714285717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16-4D69-93E5-BE6F932EC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ただ!$K$2:$K$53</c:f>
              <c:numCache>
                <c:formatCode>\+0;\-0;\±0</c:formatCode>
                <c:ptCount val="5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  <c:pt idx="45">
                  <c:v>145.39999999999995</c:v>
                </c:pt>
                <c:pt idx="46">
                  <c:v>190.29999999999995</c:v>
                </c:pt>
                <c:pt idx="47">
                  <c:v>200.19999999999996</c:v>
                </c:pt>
                <c:pt idx="48">
                  <c:v>180.19999999999996</c:v>
                </c:pt>
                <c:pt idx="49">
                  <c:v>175.29999999999995</c:v>
                </c:pt>
                <c:pt idx="50">
                  <c:v>193.09999999999997</c:v>
                </c:pt>
                <c:pt idx="51">
                  <c:v>166.69999999999996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6-4FC8-9F4D-C2AB77A12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3357.1428571428573</c:v>
                </c:pt>
                <c:pt idx="1">
                  <c:v>-45.652173913043477</c:v>
                </c:pt>
                <c:pt idx="2">
                  <c:v>-26.19047619047619</c:v>
                </c:pt>
                <c:pt idx="3">
                  <c:v>-1146.1538461538462</c:v>
                </c:pt>
                <c:pt idx="4">
                  <c:v>1250</c:v>
                </c:pt>
                <c:pt idx="5">
                  <c:v>-1080.7692307692307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47-4668-B129-A7CB51549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B3-40D6-A13F-A439CEA74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C9-4B72-B00D-B880A0326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れんたろう!$K$2:$K$49</c:f>
              <c:numCache>
                <c:formatCode>\+0;\-0;\±0</c:formatCode>
                <c:ptCount val="48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67-4DCD-BE7C-08417EE2C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-3048.8372093023254</c:v>
                </c:pt>
                <c:pt idx="1">
                  <c:v>-1379.0697674418604</c:v>
                </c:pt>
                <c:pt idx="2">
                  <c:v>-2247.5</c:v>
                </c:pt>
                <c:pt idx="3">
                  <c:v>-235.13513513513513</c:v>
                </c:pt>
                <c:pt idx="4">
                  <c:v>-1800</c:v>
                </c:pt>
                <c:pt idx="5">
                  <c:v>4752.173913043478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95-4C5A-AB61-229E16072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1A-41A4-93C7-B7F3EFBE1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F1-43CB-99A9-7B9E0BA5C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まっつん!$K$2:$K$8</c:f>
              <c:numCache>
                <c:formatCode>\+0;\-0;\±0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1F-4049-8547-62249586B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-550</c:v>
                </c:pt>
                <c:pt idx="1">
                  <c:v>4833.333333333333</c:v>
                </c:pt>
                <c:pt idx="2">
                  <c:v>-2575</c:v>
                </c:pt>
                <c:pt idx="3">
                  <c:v>2575</c:v>
                </c:pt>
                <c:pt idx="4">
                  <c:v>-4833.333333333333</c:v>
                </c:pt>
                <c:pt idx="5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53-4F83-8994-2421E0999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5EE7D9A-C61C-4464-B350-88AAB1FEB0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5E0BAC8-E64A-4F1E-99FF-EB48CF2E17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6174068-305B-48DF-A495-0E621C862E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F148B1E-F6C4-4A13-A962-29EC0CAA15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9C0D82-F699-40B7-BA43-2F62B0BA9D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15DAD4E-3CA2-4BE0-ABF6-CA7EBB23A9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45B04CD-E983-4AB4-9E30-F13AAB9045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54830CF-6C4D-483C-B7E5-919560038F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946B88E-80C5-41CB-A10F-E5E54841EF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874D9B5-2712-48D4-A692-F23D4C530C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970E94A-D2FF-40C5-93F9-30118BEE93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928F568-A28E-46C8-B826-3CC612B572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9586F2-A67A-469D-A7C7-63CB77DDE7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AFBCF55-1CB6-43B8-8C83-70505D9925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A22333-865A-4E52-BBB1-DE5BE8D311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B0391A5-5632-4ECC-8240-D1EA05F99B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4E8624-04E0-41F2-8050-8F97A08F48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9BF7DA7-4F6B-4A55-976A-44FA8880AE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826FEF8-E71C-49A3-9FFD-1CC7E38CC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CCE9916-0211-4D69-B8F2-6C6F4BA8DC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FC7D731-1285-424B-AC24-40D53647FF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D5DD73A-C321-4FED-86F1-9C699DB297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B0F03E-96FC-4174-AAAA-E31B69DB58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D14C388-4CC9-480B-B6AB-2D71AC1FBC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G13"/>
  <sheetViews>
    <sheetView showGridLines="0" tabSelected="1" zoomScale="200" zoomScaleNormal="200" workbookViewId="0"/>
  </sheetViews>
  <sheetFormatPr defaultColWidth="9" defaultRowHeight="18" x14ac:dyDescent="0.45"/>
  <cols>
    <col min="1" max="1" width="6" style="7" customWidth="1"/>
    <col min="2" max="2" width="10.69921875" style="6" customWidth="1"/>
    <col min="3" max="3" width="10.69921875" style="3" customWidth="1"/>
    <col min="4" max="4" width="10.69921875" style="1" customWidth="1"/>
    <col min="5" max="5" width="10.69921875" style="3" customWidth="1"/>
    <col min="6" max="6" width="10.69921875" style="1" customWidth="1"/>
    <col min="7" max="7" width="10.69921875" style="5" customWidth="1"/>
    <col min="8" max="8" width="10.69921875" style="1" customWidth="1"/>
    <col min="9" max="9" width="10.69921875" style="18" customWidth="1"/>
    <col min="10" max="10" width="10.69921875" style="1" customWidth="1"/>
    <col min="11" max="11" width="10.69921875" style="16" customWidth="1"/>
    <col min="12" max="12" width="10.69921875" style="1" customWidth="1"/>
    <col min="13" max="13" width="10.69921875" style="16" customWidth="1"/>
    <col min="14" max="14" width="10.69921875" style="1" customWidth="1"/>
    <col min="15" max="15" width="10.69921875" style="2" customWidth="1"/>
    <col min="16" max="16" width="10.69921875" style="1" customWidth="1"/>
    <col min="17" max="17" width="10.69921875" style="2" customWidth="1"/>
    <col min="18" max="18" width="10.69921875" style="1" customWidth="1"/>
    <col min="19" max="19" width="10.69921875" style="18" customWidth="1"/>
    <col min="20" max="20" width="10.69921875" style="1" customWidth="1"/>
    <col min="21" max="21" width="10.69921875" style="18" customWidth="1"/>
    <col min="22" max="22" width="10.69921875" style="1" customWidth="1"/>
    <col min="23" max="23" width="10.69921875" style="16" customWidth="1"/>
    <col min="24" max="24" width="10.69921875" style="1" customWidth="1"/>
    <col min="25" max="25" width="10.69921875" style="16" customWidth="1"/>
    <col min="26" max="26" width="10.69921875" style="1" customWidth="1"/>
    <col min="27" max="27" width="10.69921875" style="16" customWidth="1"/>
    <col min="28" max="28" width="10.69921875" style="1" customWidth="1"/>
    <col min="29" max="29" width="10.69921875" style="16" customWidth="1"/>
    <col min="30" max="30" width="10.69921875" style="1" customWidth="1"/>
    <col min="31" max="31" width="10.69921875" style="16" customWidth="1"/>
    <col min="32" max="32" width="10.69921875" style="1" customWidth="1"/>
    <col min="33" max="33" width="10.69921875" style="77" customWidth="1"/>
    <col min="34" max="16384" width="9" style="4"/>
  </cols>
  <sheetData>
    <row r="1" spans="1:33" x14ac:dyDescent="0.45">
      <c r="A1" s="14"/>
      <c r="B1" s="80" t="s">
        <v>6</v>
      </c>
      <c r="C1" s="81"/>
      <c r="D1" s="80" t="s">
        <v>7</v>
      </c>
      <c r="E1" s="81"/>
      <c r="F1" s="80" t="s">
        <v>16</v>
      </c>
      <c r="G1" s="81"/>
      <c r="H1" s="80" t="s">
        <v>15</v>
      </c>
      <c r="I1" s="81"/>
      <c r="J1" s="80" t="s">
        <v>17</v>
      </c>
      <c r="K1" s="81"/>
      <c r="L1" s="80" t="s">
        <v>18</v>
      </c>
      <c r="M1" s="81"/>
      <c r="N1" s="80" t="s">
        <v>5</v>
      </c>
      <c r="O1" s="81"/>
      <c r="P1" s="80" t="s">
        <v>19</v>
      </c>
      <c r="Q1" s="81"/>
      <c r="R1" s="80" t="s">
        <v>20</v>
      </c>
      <c r="S1" s="81"/>
      <c r="T1" s="80" t="s">
        <v>209</v>
      </c>
      <c r="U1" s="81"/>
      <c r="V1" s="80" t="s">
        <v>131</v>
      </c>
      <c r="W1" s="81"/>
      <c r="X1" s="80" t="s">
        <v>126</v>
      </c>
      <c r="Y1" s="81"/>
      <c r="Z1" s="80" t="s">
        <v>134</v>
      </c>
      <c r="AA1" s="81"/>
      <c r="AB1" s="80" t="s">
        <v>135</v>
      </c>
      <c r="AC1" s="81"/>
      <c r="AD1" s="80" t="s">
        <v>197</v>
      </c>
      <c r="AE1" s="81"/>
      <c r="AF1" s="80" t="s">
        <v>232</v>
      </c>
      <c r="AG1" s="81"/>
    </row>
    <row r="2" spans="1:33" x14ac:dyDescent="0.45">
      <c r="A2" s="8">
        <v>1</v>
      </c>
      <c r="B2" s="9" t="s">
        <v>137</v>
      </c>
      <c r="C2" s="11">
        <v>550.70000000000016</v>
      </c>
      <c r="D2" s="10" t="s">
        <v>214</v>
      </c>
      <c r="E2" s="11">
        <v>17.8</v>
      </c>
      <c r="F2" s="10" t="s">
        <v>214</v>
      </c>
      <c r="G2" s="12">
        <v>1.6</v>
      </c>
      <c r="H2" s="10" t="s">
        <v>214</v>
      </c>
      <c r="I2" s="17">
        <v>0.6</v>
      </c>
      <c r="J2" s="10" t="s">
        <v>214</v>
      </c>
      <c r="K2" s="15">
        <v>0.39130434782608697</v>
      </c>
      <c r="L2" s="10" t="s">
        <v>214</v>
      </c>
      <c r="M2" s="15">
        <v>6.5217391304347824E-2</v>
      </c>
      <c r="N2" s="10" t="s">
        <v>141</v>
      </c>
      <c r="O2" s="13">
        <v>11335.294117647059</v>
      </c>
      <c r="P2" s="10" t="s">
        <v>214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139</v>
      </c>
      <c r="W2" s="15">
        <v>0.5</v>
      </c>
      <c r="X2" s="10" t="s">
        <v>219</v>
      </c>
      <c r="Y2" s="15">
        <v>0.48837209302325579</v>
      </c>
      <c r="Z2" s="10" t="s">
        <v>145</v>
      </c>
      <c r="AA2" s="15">
        <v>0.75</v>
      </c>
      <c r="AB2" s="10" t="s">
        <v>214</v>
      </c>
      <c r="AC2" s="15">
        <v>0.5</v>
      </c>
      <c r="AD2" s="10" t="s">
        <v>214</v>
      </c>
      <c r="AE2" s="15">
        <v>0.46666666666666667</v>
      </c>
      <c r="AF2" s="10" t="s">
        <v>141</v>
      </c>
      <c r="AG2" s="76">
        <v>10</v>
      </c>
    </row>
    <row r="3" spans="1:33" x14ac:dyDescent="0.45">
      <c r="A3" s="7">
        <v>2</v>
      </c>
      <c r="B3" s="6" t="s">
        <v>142</v>
      </c>
      <c r="C3" s="3">
        <v>248.10000000000002</v>
      </c>
      <c r="D3" s="1" t="s">
        <v>156</v>
      </c>
      <c r="E3" s="3">
        <v>6.7333333333333343</v>
      </c>
      <c r="F3" s="1" t="s">
        <v>156</v>
      </c>
      <c r="G3" s="5">
        <v>1.75</v>
      </c>
      <c r="H3" s="1" t="s">
        <v>156</v>
      </c>
      <c r="I3" s="18">
        <v>0.5</v>
      </c>
      <c r="J3" s="1" t="s">
        <v>137</v>
      </c>
      <c r="K3" s="16">
        <v>0.35146898803046789</v>
      </c>
      <c r="L3" s="1" t="s">
        <v>156</v>
      </c>
      <c r="M3" s="16">
        <v>0.13414634146341464</v>
      </c>
      <c r="N3" s="1" t="s">
        <v>149</v>
      </c>
      <c r="O3" s="2">
        <v>10903.27868852459</v>
      </c>
      <c r="P3" s="1" t="s">
        <v>219</v>
      </c>
      <c r="Q3" s="2">
        <v>-6914.2857142857147</v>
      </c>
      <c r="R3" s="1" t="s">
        <v>214</v>
      </c>
      <c r="S3" s="18">
        <v>0</v>
      </c>
      <c r="T3" s="1" t="s">
        <v>137</v>
      </c>
      <c r="U3" s="18">
        <v>0.22047244094488189</v>
      </c>
      <c r="V3" s="1" t="s">
        <v>214</v>
      </c>
      <c r="W3" s="16">
        <v>0.43478260869565216</v>
      </c>
      <c r="X3" s="1" t="s">
        <v>142</v>
      </c>
      <c r="Y3" s="16">
        <v>0.35443037974683544</v>
      </c>
      <c r="Z3" s="1" t="s">
        <v>137</v>
      </c>
      <c r="AA3" s="16">
        <v>0.68217054263565891</v>
      </c>
      <c r="AB3" s="1" t="s">
        <v>137</v>
      </c>
      <c r="AC3" s="16">
        <v>0.46464646464646464</v>
      </c>
      <c r="AD3" s="1" t="s">
        <v>145</v>
      </c>
      <c r="AE3" s="16">
        <v>0.46153846153846156</v>
      </c>
      <c r="AF3" s="1" t="s">
        <v>149</v>
      </c>
      <c r="AG3" s="77">
        <v>9</v>
      </c>
    </row>
    <row r="4" spans="1:33" x14ac:dyDescent="0.45">
      <c r="A4" s="7">
        <v>3</v>
      </c>
      <c r="B4" s="6" t="s">
        <v>149</v>
      </c>
      <c r="C4" s="3">
        <v>166.69999999999996</v>
      </c>
      <c r="D4" s="1" t="s">
        <v>142</v>
      </c>
      <c r="E4" s="3">
        <v>5.5133333333333336</v>
      </c>
      <c r="F4" s="1" t="s">
        <v>137</v>
      </c>
      <c r="G4" s="5">
        <v>1.8503937007874016</v>
      </c>
      <c r="H4" s="1" t="s">
        <v>137</v>
      </c>
      <c r="I4" s="18">
        <v>0.40157480314960631</v>
      </c>
      <c r="J4" s="1" t="s">
        <v>142</v>
      </c>
      <c r="K4" s="16">
        <v>0.35015772870662459</v>
      </c>
      <c r="L4" s="1" t="s">
        <v>142</v>
      </c>
      <c r="M4" s="16">
        <v>0.15457413249211358</v>
      </c>
      <c r="N4" s="1" t="s">
        <v>156</v>
      </c>
      <c r="O4" s="2">
        <v>10857.142857142857</v>
      </c>
      <c r="P4" s="1" t="s">
        <v>148</v>
      </c>
      <c r="Q4" s="2">
        <v>-8125.757575757576</v>
      </c>
      <c r="R4" s="1" t="s">
        <v>142</v>
      </c>
      <c r="S4" s="18">
        <v>0.1111111111111111</v>
      </c>
      <c r="T4" s="1" t="s">
        <v>142</v>
      </c>
      <c r="U4" s="18">
        <v>0.2</v>
      </c>
      <c r="V4" s="1" t="s">
        <v>149</v>
      </c>
      <c r="W4" s="16">
        <v>0.33852140077821014</v>
      </c>
      <c r="X4" s="1" t="s">
        <v>148</v>
      </c>
      <c r="Y4" s="16">
        <v>0.30344827586206896</v>
      </c>
      <c r="Z4" s="1" t="s">
        <v>149</v>
      </c>
      <c r="AA4" s="16">
        <v>0.60919540229885061</v>
      </c>
      <c r="AB4" s="1" t="s">
        <v>148</v>
      </c>
      <c r="AC4" s="16">
        <v>0.38636363636363635</v>
      </c>
      <c r="AD4" s="1" t="s">
        <v>156</v>
      </c>
      <c r="AE4" s="16">
        <v>0.45454545454545453</v>
      </c>
      <c r="AF4" s="1" t="s">
        <v>137</v>
      </c>
      <c r="AG4" s="77">
        <v>7</v>
      </c>
    </row>
    <row r="5" spans="1:33" x14ac:dyDescent="0.45">
      <c r="A5" s="7">
        <v>4</v>
      </c>
      <c r="B5" s="6" t="s">
        <v>214</v>
      </c>
      <c r="C5" s="3">
        <v>89</v>
      </c>
      <c r="D5" s="1" t="s">
        <v>137</v>
      </c>
      <c r="E5" s="3">
        <v>4.3362204724409459</v>
      </c>
      <c r="F5" s="1" t="s">
        <v>142</v>
      </c>
      <c r="G5" s="5">
        <v>1.8666666666666667</v>
      </c>
      <c r="H5" s="1" t="s">
        <v>149</v>
      </c>
      <c r="I5" s="18">
        <v>0.39215686274509803</v>
      </c>
      <c r="J5" s="1" t="s">
        <v>156</v>
      </c>
      <c r="K5" s="16">
        <v>0.34146341463414637</v>
      </c>
      <c r="L5" s="1" t="s">
        <v>137</v>
      </c>
      <c r="M5" s="16">
        <v>0.15669205658324264</v>
      </c>
      <c r="N5" s="1" t="s">
        <v>160</v>
      </c>
      <c r="O5" s="2">
        <v>10674.757281553399</v>
      </c>
      <c r="P5" s="1" t="s">
        <v>138</v>
      </c>
      <c r="Q5" s="2">
        <v>-8240</v>
      </c>
      <c r="R5" s="1" t="s">
        <v>137</v>
      </c>
      <c r="S5" s="18">
        <v>0.13385826771653545</v>
      </c>
      <c r="T5" s="1" t="s">
        <v>145</v>
      </c>
      <c r="U5" s="18">
        <v>0.2</v>
      </c>
      <c r="V5" s="1" t="s">
        <v>160</v>
      </c>
      <c r="W5" s="16">
        <v>0.29153605015673983</v>
      </c>
      <c r="X5" s="1" t="s">
        <v>149</v>
      </c>
      <c r="Y5" s="16">
        <v>0.23346303501945526</v>
      </c>
      <c r="Z5" s="1" t="s">
        <v>160</v>
      </c>
      <c r="AA5" s="16">
        <v>0.60215053763440862</v>
      </c>
      <c r="AB5" s="1" t="s">
        <v>160</v>
      </c>
      <c r="AC5" s="16">
        <v>0.38571428571428573</v>
      </c>
      <c r="AD5" s="1" t="s">
        <v>137</v>
      </c>
      <c r="AE5" s="16">
        <v>0.4174454828660436</v>
      </c>
      <c r="AF5" s="1" t="s">
        <v>160</v>
      </c>
      <c r="AG5" s="77">
        <v>7</v>
      </c>
    </row>
    <row r="6" spans="1:33" x14ac:dyDescent="0.45">
      <c r="A6" s="7">
        <v>5</v>
      </c>
      <c r="B6" s="6" t="s">
        <v>156</v>
      </c>
      <c r="C6" s="3">
        <v>80.800000000000011</v>
      </c>
      <c r="D6" s="1" t="s">
        <v>149</v>
      </c>
      <c r="E6" s="3">
        <v>3.2686274509803912</v>
      </c>
      <c r="F6" s="1" t="s">
        <v>149</v>
      </c>
      <c r="G6" s="5">
        <v>1.9215686274509804</v>
      </c>
      <c r="H6" s="1" t="s">
        <v>142</v>
      </c>
      <c r="I6" s="18">
        <v>0.35555555555555557</v>
      </c>
      <c r="J6" s="1" t="s">
        <v>149</v>
      </c>
      <c r="K6" s="16">
        <v>0.31282051282051282</v>
      </c>
      <c r="L6" s="1" t="s">
        <v>219</v>
      </c>
      <c r="M6" s="16">
        <v>0.16279069767441862</v>
      </c>
      <c r="N6" s="1" t="s">
        <v>219</v>
      </c>
      <c r="O6" s="2">
        <v>9988.8888888888887</v>
      </c>
      <c r="P6" s="1" t="s">
        <v>142</v>
      </c>
      <c r="Q6" s="2">
        <v>-9134.6938775510207</v>
      </c>
      <c r="R6" s="1" t="s">
        <v>149</v>
      </c>
      <c r="S6" s="18">
        <v>0.15686274509803921</v>
      </c>
      <c r="T6" s="1" t="s">
        <v>214</v>
      </c>
      <c r="U6" s="18">
        <v>0.2</v>
      </c>
      <c r="V6" s="1" t="s">
        <v>141</v>
      </c>
      <c r="W6" s="16">
        <v>0.28678304239401498</v>
      </c>
      <c r="X6" s="1" t="s">
        <v>160</v>
      </c>
      <c r="Y6" s="16">
        <v>0.21943573667711599</v>
      </c>
      <c r="Z6" s="1" t="s">
        <v>214</v>
      </c>
      <c r="AA6" s="16">
        <v>0.6</v>
      </c>
      <c r="AB6" s="1" t="s">
        <v>149</v>
      </c>
      <c r="AC6" s="16">
        <v>0.38333333333333336</v>
      </c>
      <c r="AD6" s="1" t="s">
        <v>149</v>
      </c>
      <c r="AE6" s="16">
        <v>0.39860139860139859</v>
      </c>
      <c r="AF6" s="1" t="s">
        <v>142</v>
      </c>
      <c r="AG6" s="77">
        <v>6</v>
      </c>
    </row>
    <row r="7" spans="1:33" x14ac:dyDescent="0.45">
      <c r="A7" s="7">
        <v>6</v>
      </c>
      <c r="B7" s="6" t="s">
        <v>219</v>
      </c>
      <c r="C7" s="3">
        <v>2.2000000000000011</v>
      </c>
      <c r="D7" s="1" t="s">
        <v>219</v>
      </c>
      <c r="E7" s="3">
        <v>0.36666666666666686</v>
      </c>
      <c r="F7" s="1" t="s">
        <v>148</v>
      </c>
      <c r="G7" s="5">
        <v>2.1162790697674421</v>
      </c>
      <c r="H7" s="1" t="s">
        <v>141</v>
      </c>
      <c r="I7" s="18">
        <v>0.29545454545454547</v>
      </c>
      <c r="J7" s="1" t="s">
        <v>160</v>
      </c>
      <c r="K7" s="16">
        <v>0.2893258426966292</v>
      </c>
      <c r="L7" s="1" t="s">
        <v>149</v>
      </c>
      <c r="M7" s="16">
        <v>0.1641025641025641</v>
      </c>
      <c r="N7" s="1" t="s">
        <v>137</v>
      </c>
      <c r="O7" s="2">
        <v>9932.1981424148598</v>
      </c>
      <c r="P7" s="1" t="s">
        <v>137</v>
      </c>
      <c r="Q7" s="2">
        <v>-9804.1666666666661</v>
      </c>
      <c r="R7" s="1" t="s">
        <v>148</v>
      </c>
      <c r="S7" s="18">
        <v>0.16279069767441862</v>
      </c>
      <c r="T7" s="1" t="s">
        <v>149</v>
      </c>
      <c r="U7" s="18">
        <v>0.19607843137254902</v>
      </c>
      <c r="V7" s="1" t="s">
        <v>137</v>
      </c>
      <c r="W7" s="16">
        <v>0.28289473684210525</v>
      </c>
      <c r="X7" s="1" t="s">
        <v>137</v>
      </c>
      <c r="Y7" s="16">
        <v>0.21710526315789475</v>
      </c>
      <c r="Z7" s="1" t="s">
        <v>141</v>
      </c>
      <c r="AA7" s="16">
        <v>0.57391304347826089</v>
      </c>
      <c r="AB7" s="1" t="s">
        <v>219</v>
      </c>
      <c r="AC7" s="16">
        <v>0.38095238095238093</v>
      </c>
      <c r="AD7" s="1" t="s">
        <v>148</v>
      </c>
      <c r="AE7" s="16">
        <v>0.37634408602150538</v>
      </c>
      <c r="AF7" s="1" t="s">
        <v>148</v>
      </c>
      <c r="AG7" s="77">
        <v>5</v>
      </c>
    </row>
    <row r="8" spans="1:33" x14ac:dyDescent="0.45">
      <c r="A8" s="7">
        <v>7</v>
      </c>
      <c r="B8" s="6" t="s">
        <v>139</v>
      </c>
      <c r="C8" s="3">
        <v>-24.5</v>
      </c>
      <c r="D8" s="1" t="s">
        <v>148</v>
      </c>
      <c r="E8" s="3">
        <v>-3.9209302325581392</v>
      </c>
      <c r="F8" s="1" t="s">
        <v>141</v>
      </c>
      <c r="G8" s="5">
        <v>2.125</v>
      </c>
      <c r="H8" s="1" t="s">
        <v>160</v>
      </c>
      <c r="I8" s="18">
        <v>0.25531914893617019</v>
      </c>
      <c r="J8" s="1" t="s">
        <v>139</v>
      </c>
      <c r="K8" s="16">
        <v>0.2857142857142857</v>
      </c>
      <c r="L8" s="1" t="s">
        <v>141</v>
      </c>
      <c r="M8" s="16">
        <v>0.19637462235649547</v>
      </c>
      <c r="N8" s="1" t="s">
        <v>148</v>
      </c>
      <c r="O8" s="2">
        <v>9872.7272727272721</v>
      </c>
      <c r="P8" s="1" t="s">
        <v>149</v>
      </c>
      <c r="Q8" s="2">
        <v>-9809.375</v>
      </c>
      <c r="R8" s="1" t="s">
        <v>219</v>
      </c>
      <c r="S8" s="18">
        <v>0.16666666666666666</v>
      </c>
      <c r="T8" s="1" t="s">
        <v>148</v>
      </c>
      <c r="U8" s="18">
        <v>0.16279069767441862</v>
      </c>
      <c r="V8" s="1" t="s">
        <v>145</v>
      </c>
      <c r="W8" s="16">
        <v>0.25806451612903225</v>
      </c>
      <c r="X8" s="1" t="s">
        <v>141</v>
      </c>
      <c r="Y8" s="16">
        <v>0.18453865336658354</v>
      </c>
      <c r="Z8" s="1" t="s">
        <v>142</v>
      </c>
      <c r="AA8" s="16">
        <v>0.5625</v>
      </c>
      <c r="AB8" s="1" t="s">
        <v>141</v>
      </c>
      <c r="AC8" s="16">
        <v>0.3783783783783784</v>
      </c>
      <c r="AD8" s="1" t="s">
        <v>142</v>
      </c>
      <c r="AE8" s="16">
        <v>0.35652173913043478</v>
      </c>
      <c r="AF8" s="1" t="s">
        <v>214</v>
      </c>
      <c r="AG8" s="77">
        <v>5</v>
      </c>
    </row>
    <row r="9" spans="1:33" x14ac:dyDescent="0.45">
      <c r="A9" s="7">
        <v>8</v>
      </c>
      <c r="B9" s="6" t="s">
        <v>145</v>
      </c>
      <c r="C9" s="3">
        <v>-86.4</v>
      </c>
      <c r="D9" s="1" t="s">
        <v>141</v>
      </c>
      <c r="E9" s="3">
        <v>-4.2897727272727266</v>
      </c>
      <c r="F9" s="1" t="s">
        <v>145</v>
      </c>
      <c r="G9" s="5">
        <v>2.2000000000000002</v>
      </c>
      <c r="H9" s="1" t="s">
        <v>148</v>
      </c>
      <c r="I9" s="18">
        <v>0.23255813953488372</v>
      </c>
      <c r="J9" s="1" t="s">
        <v>145</v>
      </c>
      <c r="K9" s="16">
        <v>0.27027027027027029</v>
      </c>
      <c r="L9" s="1" t="s">
        <v>148</v>
      </c>
      <c r="M9" s="16">
        <v>0.19879518072289157</v>
      </c>
      <c r="N9" s="1" t="s">
        <v>142</v>
      </c>
      <c r="O9" s="2">
        <v>9851.3513513513517</v>
      </c>
      <c r="P9" s="1" t="s">
        <v>160</v>
      </c>
      <c r="Q9" s="2">
        <v>-9866.6666666666661</v>
      </c>
      <c r="R9" s="1" t="s">
        <v>160</v>
      </c>
      <c r="S9" s="18">
        <v>0.23404255319148937</v>
      </c>
      <c r="T9" s="1" t="s">
        <v>141</v>
      </c>
      <c r="U9" s="18">
        <v>0.14772727272727273</v>
      </c>
      <c r="V9" s="1" t="s">
        <v>148</v>
      </c>
      <c r="W9" s="16">
        <v>0.21379310344827587</v>
      </c>
      <c r="X9" s="1" t="s">
        <v>145</v>
      </c>
      <c r="Y9" s="16">
        <v>0.16129032258064516</v>
      </c>
      <c r="Z9" s="1" t="s">
        <v>148</v>
      </c>
      <c r="AA9" s="16">
        <v>0.35483870967741937</v>
      </c>
      <c r="AB9" s="1" t="s">
        <v>142</v>
      </c>
      <c r="AC9" s="16">
        <v>0.35714285714285715</v>
      </c>
      <c r="AD9" s="1" t="s">
        <v>160</v>
      </c>
      <c r="AE9" s="16">
        <v>0.34513274336283184</v>
      </c>
      <c r="AF9" s="1" t="s">
        <v>219</v>
      </c>
      <c r="AG9" s="77">
        <v>5</v>
      </c>
    </row>
    <row r="10" spans="1:33" x14ac:dyDescent="0.45">
      <c r="A10" s="7">
        <v>9</v>
      </c>
      <c r="B10" s="6" t="s">
        <v>138</v>
      </c>
      <c r="C10" s="3">
        <v>-132.1</v>
      </c>
      <c r="D10" s="1" t="s">
        <v>160</v>
      </c>
      <c r="E10" s="3">
        <v>-7.4765957446808491</v>
      </c>
      <c r="F10" s="1" t="s">
        <v>160</v>
      </c>
      <c r="G10" s="5">
        <v>2.2127659574468086</v>
      </c>
      <c r="H10" s="1" t="s">
        <v>145</v>
      </c>
      <c r="I10" s="18">
        <v>0.2</v>
      </c>
      <c r="J10" s="1" t="s">
        <v>148</v>
      </c>
      <c r="K10" s="16">
        <v>0.26506024096385544</v>
      </c>
      <c r="L10" s="1" t="s">
        <v>145</v>
      </c>
      <c r="M10" s="16">
        <v>0.21621621621621623</v>
      </c>
      <c r="N10" s="1" t="s">
        <v>214</v>
      </c>
      <c r="O10" s="2">
        <v>9227.7777777777774</v>
      </c>
      <c r="P10" s="1" t="s">
        <v>156</v>
      </c>
      <c r="Q10" s="2">
        <v>-9927.2727272727279</v>
      </c>
      <c r="R10" s="1" t="s">
        <v>141</v>
      </c>
      <c r="S10" s="18">
        <v>0.23863636363636365</v>
      </c>
      <c r="T10" s="1" t="s">
        <v>160</v>
      </c>
      <c r="U10" s="18">
        <v>0.10638297872340426</v>
      </c>
      <c r="V10" s="1" t="s">
        <v>142</v>
      </c>
      <c r="W10" s="16">
        <v>0.20253164556962025</v>
      </c>
      <c r="X10" s="1" t="s">
        <v>214</v>
      </c>
      <c r="Y10" s="16">
        <v>0.13043478260869565</v>
      </c>
      <c r="Z10" s="1" t="s">
        <v>219</v>
      </c>
      <c r="AA10" s="16">
        <v>0.33333333333333331</v>
      </c>
      <c r="AB10" s="1" t="s">
        <v>145</v>
      </c>
      <c r="AC10" s="16">
        <v>0.2</v>
      </c>
      <c r="AD10" s="1" t="s">
        <v>141</v>
      </c>
      <c r="AE10" s="16">
        <v>0.3125</v>
      </c>
      <c r="AF10" s="1" t="s">
        <v>145</v>
      </c>
      <c r="AG10" s="77">
        <v>3</v>
      </c>
    </row>
    <row r="11" spans="1:33" x14ac:dyDescent="0.45">
      <c r="A11" s="7">
        <v>10</v>
      </c>
      <c r="B11" s="6" t="s">
        <v>148</v>
      </c>
      <c r="C11" s="3">
        <v>-168.6</v>
      </c>
      <c r="D11" s="1" t="s">
        <v>139</v>
      </c>
      <c r="E11" s="3">
        <v>-12.25</v>
      </c>
      <c r="F11" s="1" t="s">
        <v>219</v>
      </c>
      <c r="G11" s="5">
        <v>2.3333333333333335</v>
      </c>
      <c r="H11" s="1" t="s">
        <v>138</v>
      </c>
      <c r="I11" s="18">
        <v>0</v>
      </c>
      <c r="J11" s="1" t="s">
        <v>141</v>
      </c>
      <c r="K11" s="16">
        <v>0.25679758308157102</v>
      </c>
      <c r="L11" s="1" t="s">
        <v>160</v>
      </c>
      <c r="M11" s="16">
        <v>0.23595505617977527</v>
      </c>
      <c r="N11" s="1" t="s">
        <v>139</v>
      </c>
      <c r="O11" s="2">
        <v>8000</v>
      </c>
      <c r="P11" s="1" t="s">
        <v>141</v>
      </c>
      <c r="Q11" s="2">
        <v>-10336.153846153846</v>
      </c>
      <c r="R11" s="1" t="s">
        <v>156</v>
      </c>
      <c r="S11" s="18">
        <v>0.25</v>
      </c>
      <c r="T11" s="1" t="s">
        <v>138</v>
      </c>
      <c r="U11" s="18">
        <v>0</v>
      </c>
      <c r="V11" s="1" t="s">
        <v>219</v>
      </c>
      <c r="W11" s="16">
        <v>6.9767441860465115E-2</v>
      </c>
      <c r="X11" s="1" t="s">
        <v>138</v>
      </c>
      <c r="Y11" s="16">
        <v>0</v>
      </c>
      <c r="Z11" s="1" t="s">
        <v>138</v>
      </c>
      <c r="AA11" s="16">
        <v>0</v>
      </c>
      <c r="AB11" s="1" t="s">
        <v>138</v>
      </c>
      <c r="AC11" s="16">
        <v>0</v>
      </c>
      <c r="AD11" s="1" t="s">
        <v>219</v>
      </c>
      <c r="AE11" s="16">
        <v>0.1</v>
      </c>
      <c r="AF11" s="1" t="s">
        <v>138</v>
      </c>
      <c r="AG11" s="77">
        <v>0</v>
      </c>
    </row>
    <row r="12" spans="1:33" x14ac:dyDescent="0.45">
      <c r="A12" s="7">
        <v>11</v>
      </c>
      <c r="B12" s="6" t="s">
        <v>160</v>
      </c>
      <c r="C12" s="3">
        <v>-351.39999999999992</v>
      </c>
      <c r="D12" s="1" t="s">
        <v>145</v>
      </c>
      <c r="E12" s="3">
        <v>-17.28</v>
      </c>
      <c r="F12" s="1" t="s">
        <v>139</v>
      </c>
      <c r="G12" s="5">
        <v>2.5</v>
      </c>
      <c r="H12" s="1" t="s">
        <v>139</v>
      </c>
      <c r="I12" s="18">
        <v>0</v>
      </c>
      <c r="J12" s="1" t="s">
        <v>219</v>
      </c>
      <c r="K12" s="16">
        <v>0.20930232558139536</v>
      </c>
      <c r="L12" s="1" t="s">
        <v>139</v>
      </c>
      <c r="M12" s="16">
        <v>0.2857142857142857</v>
      </c>
      <c r="N12" s="1" t="s">
        <v>138</v>
      </c>
      <c r="O12" s="2">
        <v>7800</v>
      </c>
      <c r="P12" s="1" t="s">
        <v>139</v>
      </c>
      <c r="Q12" s="2">
        <v>-12000</v>
      </c>
      <c r="R12" s="1" t="s">
        <v>145</v>
      </c>
      <c r="S12" s="18">
        <v>0.4</v>
      </c>
      <c r="T12" s="1" t="s">
        <v>139</v>
      </c>
      <c r="U12" s="18">
        <v>0</v>
      </c>
      <c r="V12" s="1" t="s">
        <v>138</v>
      </c>
      <c r="W12" s="16">
        <v>0</v>
      </c>
      <c r="X12" s="1" t="s">
        <v>139</v>
      </c>
      <c r="Y12" s="16">
        <v>0</v>
      </c>
      <c r="Z12" s="1" t="s">
        <v>139</v>
      </c>
      <c r="AA12" s="16">
        <v>0</v>
      </c>
      <c r="AB12" s="1" t="s">
        <v>139</v>
      </c>
      <c r="AC12" s="16">
        <v>0</v>
      </c>
      <c r="AD12" s="1" t="s">
        <v>138</v>
      </c>
      <c r="AE12" s="16">
        <v>0</v>
      </c>
      <c r="AF12" s="1" t="s">
        <v>139</v>
      </c>
      <c r="AG12" s="77">
        <v>0</v>
      </c>
    </row>
    <row r="13" spans="1:33" x14ac:dyDescent="0.45">
      <c r="A13" s="7">
        <v>12</v>
      </c>
      <c r="B13" s="6" t="s">
        <v>141</v>
      </c>
      <c r="C13" s="3">
        <v>-377.49999999999994</v>
      </c>
      <c r="D13" s="1" t="s">
        <v>138</v>
      </c>
      <c r="E13" s="3">
        <v>-33.024999999999999</v>
      </c>
      <c r="F13" s="1" t="s">
        <v>138</v>
      </c>
      <c r="G13" s="5">
        <v>3</v>
      </c>
      <c r="H13" s="1" t="s">
        <v>219</v>
      </c>
      <c r="I13" s="18">
        <v>0</v>
      </c>
      <c r="J13" s="1" t="s">
        <v>138</v>
      </c>
      <c r="K13" s="16">
        <v>0.04</v>
      </c>
      <c r="L13" s="1" t="s">
        <v>138</v>
      </c>
      <c r="M13" s="16">
        <v>0.4</v>
      </c>
      <c r="N13" s="1" t="s">
        <v>145</v>
      </c>
      <c r="O13" s="2">
        <v>7100</v>
      </c>
      <c r="P13" s="1" t="s">
        <v>145</v>
      </c>
      <c r="Q13" s="2">
        <v>-12487.5</v>
      </c>
      <c r="R13" s="1" t="s">
        <v>138</v>
      </c>
      <c r="S13" s="18">
        <v>0.5</v>
      </c>
      <c r="T13" s="1" t="s">
        <v>219</v>
      </c>
      <c r="U13" s="18">
        <v>0</v>
      </c>
      <c r="V13" s="1" t="s">
        <v>156</v>
      </c>
      <c r="W13" s="16">
        <v>0</v>
      </c>
      <c r="X13" s="1" t="s">
        <v>156</v>
      </c>
      <c r="Y13" s="16">
        <v>0</v>
      </c>
      <c r="Z13" s="1" t="s">
        <v>156</v>
      </c>
      <c r="AA13" s="16">
        <v>0</v>
      </c>
      <c r="AB13" s="1" t="s">
        <v>156</v>
      </c>
      <c r="AC13" s="16">
        <v>0</v>
      </c>
      <c r="AD13" s="1" t="s">
        <v>139</v>
      </c>
      <c r="AE13" s="16">
        <v>0</v>
      </c>
      <c r="AF13" s="1" t="s">
        <v>156</v>
      </c>
      <c r="AG13" s="77">
        <v>0</v>
      </c>
    </row>
  </sheetData>
  <sortState ref="AF2:AG28">
    <sortCondition descending="1" ref="AG1"/>
  </sortState>
  <mergeCells count="16">
    <mergeCell ref="AF1:AG1"/>
    <mergeCell ref="AD1:AE1"/>
    <mergeCell ref="AB1:AC1"/>
    <mergeCell ref="D1:E1"/>
    <mergeCell ref="B1:C1"/>
    <mergeCell ref="P1:Q1"/>
    <mergeCell ref="N1:O1"/>
    <mergeCell ref="L1:M1"/>
    <mergeCell ref="J1:K1"/>
    <mergeCell ref="R1:S1"/>
    <mergeCell ref="H1:I1"/>
    <mergeCell ref="F1:G1"/>
    <mergeCell ref="V1:W1"/>
    <mergeCell ref="X1:Y1"/>
    <mergeCell ref="Z1:AA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C80F-68BC-41C5-981C-2B566112A171}">
  <sheetPr codeName="Sheet16"/>
  <dimension ref="A1:G51"/>
  <sheetViews>
    <sheetView showGridLines="0" zoomScale="120" zoomScaleNormal="120" workbookViewId="0"/>
  </sheetViews>
  <sheetFormatPr defaultColWidth="9" defaultRowHeight="18" x14ac:dyDescent="0.45"/>
  <cols>
    <col min="1" max="1" width="3.5" style="33" bestFit="1" customWidth="1"/>
    <col min="2" max="2" width="11" style="34" bestFit="1" customWidth="1"/>
    <col min="3" max="4" width="9" style="19" customWidth="1"/>
    <col min="5" max="5" width="3.5" style="19" customWidth="1"/>
    <col min="6" max="6" width="13" style="19" customWidth="1"/>
    <col min="7" max="16384" width="9" style="19"/>
  </cols>
  <sheetData>
    <row r="1" spans="1:7" x14ac:dyDescent="0.45">
      <c r="A1" s="66" t="s">
        <v>210</v>
      </c>
      <c r="B1" s="71" t="s">
        <v>122</v>
      </c>
      <c r="C1" s="70" t="s">
        <v>123</v>
      </c>
      <c r="D1" s="71" t="s">
        <v>124</v>
      </c>
      <c r="F1" s="56" t="s">
        <v>129</v>
      </c>
      <c r="G1" s="72">
        <v>544</v>
      </c>
    </row>
    <row r="2" spans="1:7" x14ac:dyDescent="0.45">
      <c r="A2" s="67" t="s">
        <v>73</v>
      </c>
      <c r="B2" s="63" t="s">
        <v>27</v>
      </c>
      <c r="C2" s="49">
        <v>484</v>
      </c>
      <c r="D2" s="24">
        <f>IF(G$1=0,0,C2/G$1)</f>
        <v>0.88970588235294112</v>
      </c>
    </row>
    <row r="3" spans="1:7" x14ac:dyDescent="0.45">
      <c r="A3" s="68" t="s">
        <v>71</v>
      </c>
      <c r="B3" s="64" t="s">
        <v>25</v>
      </c>
      <c r="C3" s="50">
        <v>386</v>
      </c>
      <c r="D3" s="27">
        <f>IF(G$1=0,0,C3/G$1)</f>
        <v>0.7095588235294118</v>
      </c>
    </row>
    <row r="4" spans="1:7" x14ac:dyDescent="0.45">
      <c r="A4" s="68" t="s">
        <v>78</v>
      </c>
      <c r="B4" s="64" t="s">
        <v>31</v>
      </c>
      <c r="C4" s="50">
        <v>332</v>
      </c>
      <c r="D4" s="27">
        <f>IF(G$1=0,0,C4/G$1)</f>
        <v>0.61029411764705888</v>
      </c>
    </row>
    <row r="5" spans="1:7" x14ac:dyDescent="0.45">
      <c r="A5" s="68" t="s">
        <v>226</v>
      </c>
      <c r="B5" s="64" t="s">
        <v>23</v>
      </c>
      <c r="C5" s="50">
        <v>293</v>
      </c>
      <c r="D5" s="27">
        <f>IF(G$1=0,0,C5/G$1)</f>
        <v>0.53860294117647056</v>
      </c>
    </row>
    <row r="6" spans="1:7" x14ac:dyDescent="0.45">
      <c r="A6" s="68" t="s">
        <v>72</v>
      </c>
      <c r="B6" s="64" t="s">
        <v>26</v>
      </c>
      <c r="C6" s="50">
        <v>155</v>
      </c>
      <c r="D6" s="27">
        <f>IF(G$1=0,0,C6/G$1)</f>
        <v>0.28492647058823528</v>
      </c>
    </row>
    <row r="7" spans="1:7" x14ac:dyDescent="0.45">
      <c r="A7" s="68" t="s">
        <v>74</v>
      </c>
      <c r="B7" s="64" t="s">
        <v>222</v>
      </c>
      <c r="C7" s="50">
        <v>151</v>
      </c>
      <c r="D7" s="27">
        <f>IF(G$1=0,0,C7/G$1)</f>
        <v>0.27757352941176472</v>
      </c>
    </row>
    <row r="8" spans="1:7" x14ac:dyDescent="0.45">
      <c r="A8" s="68" t="s">
        <v>75</v>
      </c>
      <c r="B8" s="64" t="s">
        <v>28</v>
      </c>
      <c r="C8" s="50">
        <v>85</v>
      </c>
      <c r="D8" s="27">
        <f>IF(G$1=0,0,C8/G$1)</f>
        <v>0.15625</v>
      </c>
    </row>
    <row r="9" spans="1:7" x14ac:dyDescent="0.45">
      <c r="A9" s="68" t="s">
        <v>96</v>
      </c>
      <c r="B9" s="64" t="s">
        <v>49</v>
      </c>
      <c r="C9" s="50">
        <v>79</v>
      </c>
      <c r="D9" s="27">
        <f>IF(G$1=0,0,C9/G$1)</f>
        <v>0.14522058823529413</v>
      </c>
    </row>
    <row r="10" spans="1:7" x14ac:dyDescent="0.45">
      <c r="A10" s="68" t="s">
        <v>227</v>
      </c>
      <c r="B10" s="64" t="s">
        <v>24</v>
      </c>
      <c r="C10" s="50">
        <v>62</v>
      </c>
      <c r="D10" s="27">
        <f>IF(G$1=0,0,C10/G$1)</f>
        <v>0.11397058823529412</v>
      </c>
    </row>
    <row r="11" spans="1:7" x14ac:dyDescent="0.45">
      <c r="A11" s="68" t="s">
        <v>76</v>
      </c>
      <c r="B11" s="64" t="s">
        <v>29</v>
      </c>
      <c r="C11" s="50">
        <v>55</v>
      </c>
      <c r="D11" s="27">
        <f>IF(G$1=0,0,C11/G$1)</f>
        <v>0.10110294117647059</v>
      </c>
    </row>
    <row r="12" spans="1:7" x14ac:dyDescent="0.45">
      <c r="A12" s="68" t="s">
        <v>93</v>
      </c>
      <c r="B12" s="64" t="s">
        <v>46</v>
      </c>
      <c r="C12" s="50">
        <v>40</v>
      </c>
      <c r="D12" s="27">
        <f>IF(G$1=0,0,C12/G$1)</f>
        <v>7.3529411764705885E-2</v>
      </c>
    </row>
    <row r="13" spans="1:7" x14ac:dyDescent="0.45">
      <c r="A13" s="68" t="s">
        <v>90</v>
      </c>
      <c r="B13" s="64" t="s">
        <v>43</v>
      </c>
      <c r="C13" s="50">
        <v>28</v>
      </c>
      <c r="D13" s="27">
        <f>IF(G$1=0,0,C13/G$1)</f>
        <v>5.1470588235294115E-2</v>
      </c>
    </row>
    <row r="14" spans="1:7" x14ac:dyDescent="0.45">
      <c r="A14" s="68" t="s">
        <v>77</v>
      </c>
      <c r="B14" s="64" t="s">
        <v>30</v>
      </c>
      <c r="C14" s="50">
        <v>26</v>
      </c>
      <c r="D14" s="27">
        <f>IF(G$1=0,0,C14/G$1)</f>
        <v>4.779411764705882E-2</v>
      </c>
    </row>
    <row r="15" spans="1:7" x14ac:dyDescent="0.45">
      <c r="A15" s="68" t="s">
        <v>84</v>
      </c>
      <c r="B15" s="64" t="s">
        <v>37</v>
      </c>
      <c r="C15" s="50">
        <v>16</v>
      </c>
      <c r="D15" s="27">
        <f>IF(G$1=0,0,C15/G$1)</f>
        <v>2.9411764705882353E-2</v>
      </c>
    </row>
    <row r="16" spans="1:7" x14ac:dyDescent="0.45">
      <c r="A16" s="68" t="s">
        <v>88</v>
      </c>
      <c r="B16" s="64" t="s">
        <v>41</v>
      </c>
      <c r="C16" s="50">
        <v>14</v>
      </c>
      <c r="D16" s="27">
        <f>IF(G$1=0,0,C16/G$1)</f>
        <v>2.5735294117647058E-2</v>
      </c>
    </row>
    <row r="17" spans="1:4" x14ac:dyDescent="0.45">
      <c r="A17" s="68" t="s">
        <v>85</v>
      </c>
      <c r="B17" s="64" t="s">
        <v>38</v>
      </c>
      <c r="C17" s="50">
        <v>9</v>
      </c>
      <c r="D17" s="27">
        <f>IF(G$1=0,0,C17/G$1)</f>
        <v>1.6544117647058824E-2</v>
      </c>
    </row>
    <row r="18" spans="1:4" x14ac:dyDescent="0.45">
      <c r="A18" s="68" t="s">
        <v>98</v>
      </c>
      <c r="B18" s="64" t="s">
        <v>51</v>
      </c>
      <c r="C18" s="50">
        <v>9</v>
      </c>
      <c r="D18" s="27">
        <f>IF(G$1=0,0,C18/G$1)</f>
        <v>1.6544117647058824E-2</v>
      </c>
    </row>
    <row r="19" spans="1:4" x14ac:dyDescent="0.45">
      <c r="A19" s="68" t="s">
        <v>79</v>
      </c>
      <c r="B19" s="64" t="s">
        <v>32</v>
      </c>
      <c r="C19" s="50">
        <v>5</v>
      </c>
      <c r="D19" s="27">
        <f>IF(G$1=0,0,C19/G$1)</f>
        <v>9.1911764705882356E-3</v>
      </c>
    </row>
    <row r="20" spans="1:4" x14ac:dyDescent="0.45">
      <c r="A20" s="68" t="s">
        <v>92</v>
      </c>
      <c r="B20" s="64" t="s">
        <v>45</v>
      </c>
      <c r="C20" s="50">
        <v>4</v>
      </c>
      <c r="D20" s="27">
        <f>IF(G$1=0,0,C20/G$1)</f>
        <v>7.3529411764705881E-3</v>
      </c>
    </row>
    <row r="21" spans="1:4" x14ac:dyDescent="0.45">
      <c r="A21" s="68" t="s">
        <v>99</v>
      </c>
      <c r="B21" s="64" t="s">
        <v>52</v>
      </c>
      <c r="C21" s="50">
        <v>4</v>
      </c>
      <c r="D21" s="27">
        <f>IF(G$1=0,0,C21/G$1)</f>
        <v>7.3529411764705881E-3</v>
      </c>
    </row>
    <row r="22" spans="1:4" x14ac:dyDescent="0.45">
      <c r="A22" s="68" t="s">
        <v>91</v>
      </c>
      <c r="B22" s="64" t="s">
        <v>44</v>
      </c>
      <c r="C22" s="50">
        <v>3</v>
      </c>
      <c r="D22" s="27">
        <f>IF(G$1=0,0,C22/G$1)</f>
        <v>5.5147058823529415E-3</v>
      </c>
    </row>
    <row r="23" spans="1:4" x14ac:dyDescent="0.45">
      <c r="A23" s="68" t="s">
        <v>81</v>
      </c>
      <c r="B23" s="64" t="s">
        <v>34</v>
      </c>
      <c r="C23" s="50">
        <v>3</v>
      </c>
      <c r="D23" s="27">
        <f>IF(G$1=0,0,C23/G$1)</f>
        <v>5.5147058823529415E-3</v>
      </c>
    </row>
    <row r="24" spans="1:4" x14ac:dyDescent="0.45">
      <c r="A24" s="68" t="s">
        <v>83</v>
      </c>
      <c r="B24" s="64" t="s">
        <v>36</v>
      </c>
      <c r="C24" s="50">
        <v>3</v>
      </c>
      <c r="D24" s="27">
        <f>IF(G$1=0,0,C24/G$1)</f>
        <v>5.5147058823529415E-3</v>
      </c>
    </row>
    <row r="25" spans="1:4" x14ac:dyDescent="0.45">
      <c r="A25" s="68" t="s">
        <v>94</v>
      </c>
      <c r="B25" s="64" t="s">
        <v>47</v>
      </c>
      <c r="C25" s="50">
        <v>2</v>
      </c>
      <c r="D25" s="27">
        <f>IF(G$1=0,0,C25/G$1)</f>
        <v>3.6764705882352941E-3</v>
      </c>
    </row>
    <row r="26" spans="1:4" x14ac:dyDescent="0.45">
      <c r="A26" s="68" t="s">
        <v>87</v>
      </c>
      <c r="B26" s="64" t="s">
        <v>40</v>
      </c>
      <c r="C26" s="50">
        <v>1</v>
      </c>
      <c r="D26" s="27">
        <f>IF(G$1=0,0,C26/G$1)</f>
        <v>1.838235294117647E-3</v>
      </c>
    </row>
    <row r="27" spans="1:4" x14ac:dyDescent="0.45">
      <c r="A27" s="68" t="s">
        <v>97</v>
      </c>
      <c r="B27" s="64" t="s">
        <v>50</v>
      </c>
      <c r="C27" s="50">
        <v>1</v>
      </c>
      <c r="D27" s="27">
        <f>IF(G$1=0,0,C27/G$1)</f>
        <v>1.838235294117647E-3</v>
      </c>
    </row>
    <row r="28" spans="1:4" x14ac:dyDescent="0.45">
      <c r="A28" s="68" t="s">
        <v>80</v>
      </c>
      <c r="B28" s="64" t="s">
        <v>33</v>
      </c>
      <c r="C28" s="50">
        <v>1</v>
      </c>
      <c r="D28" s="27">
        <f>IF(G$1=0,0,C28/G$1)</f>
        <v>1.838235294117647E-3</v>
      </c>
    </row>
    <row r="29" spans="1:4" x14ac:dyDescent="0.45">
      <c r="A29" s="68" t="s">
        <v>95</v>
      </c>
      <c r="B29" s="64" t="s">
        <v>48</v>
      </c>
      <c r="C29" s="50">
        <v>1</v>
      </c>
      <c r="D29" s="27">
        <f>IF(G$1=0,0,C29/G$1)</f>
        <v>1.838235294117647E-3</v>
      </c>
    </row>
    <row r="30" spans="1:4" x14ac:dyDescent="0.45">
      <c r="A30" s="68" t="s">
        <v>100</v>
      </c>
      <c r="B30" s="64" t="s">
        <v>53</v>
      </c>
      <c r="C30" s="50">
        <v>1</v>
      </c>
      <c r="D30" s="27">
        <f>IF(G$1=0,0,C30/G$1)</f>
        <v>1.838235294117647E-3</v>
      </c>
    </row>
    <row r="31" spans="1:4" x14ac:dyDescent="0.45">
      <c r="A31" s="68" t="s">
        <v>113</v>
      </c>
      <c r="B31" s="64" t="s">
        <v>224</v>
      </c>
      <c r="C31" s="50">
        <v>1</v>
      </c>
      <c r="D31" s="27">
        <f>IF(G$1=0,0,C31/G$1)</f>
        <v>1.838235294117647E-3</v>
      </c>
    </row>
    <row r="32" spans="1:4" x14ac:dyDescent="0.45">
      <c r="A32" s="68" t="s">
        <v>82</v>
      </c>
      <c r="B32" s="64" t="s">
        <v>35</v>
      </c>
      <c r="C32" s="50">
        <v>0</v>
      </c>
      <c r="D32" s="27">
        <f>IF(G$1=0,0,C32/G$1)</f>
        <v>0</v>
      </c>
    </row>
    <row r="33" spans="1:4" x14ac:dyDescent="0.45">
      <c r="A33" s="68" t="s">
        <v>86</v>
      </c>
      <c r="B33" s="64" t="s">
        <v>39</v>
      </c>
      <c r="C33" s="50">
        <v>0</v>
      </c>
      <c r="D33" s="27">
        <f>IF(G$1=0,0,C33/G$1)</f>
        <v>0</v>
      </c>
    </row>
    <row r="34" spans="1:4" x14ac:dyDescent="0.45">
      <c r="A34" s="68" t="s">
        <v>89</v>
      </c>
      <c r="B34" s="64" t="s">
        <v>42</v>
      </c>
      <c r="C34" s="50">
        <v>0</v>
      </c>
      <c r="D34" s="27">
        <f>IF(G$1=0,0,C34/G$1)</f>
        <v>0</v>
      </c>
    </row>
    <row r="35" spans="1:4" x14ac:dyDescent="0.45">
      <c r="A35" s="68" t="s">
        <v>101</v>
      </c>
      <c r="B35" s="64" t="s">
        <v>54</v>
      </c>
      <c r="C35" s="50">
        <v>0</v>
      </c>
      <c r="D35" s="27">
        <f>IF(G$1=0,0,C35/G$1)</f>
        <v>0</v>
      </c>
    </row>
    <row r="36" spans="1:4" x14ac:dyDescent="0.45">
      <c r="A36" s="68" t="s">
        <v>102</v>
      </c>
      <c r="B36" s="64" t="s">
        <v>55</v>
      </c>
      <c r="C36" s="50">
        <v>0</v>
      </c>
      <c r="D36" s="27">
        <f>IF(G$1=0,0,C36/G$1)</f>
        <v>0</v>
      </c>
    </row>
    <row r="37" spans="1:4" x14ac:dyDescent="0.45">
      <c r="A37" s="68" t="s">
        <v>103</v>
      </c>
      <c r="B37" s="64" t="s">
        <v>56</v>
      </c>
      <c r="C37" s="50">
        <v>0</v>
      </c>
      <c r="D37" s="27">
        <f>IF(G$1=0,0,C37/G$1)</f>
        <v>0</v>
      </c>
    </row>
    <row r="38" spans="1:4" x14ac:dyDescent="0.45">
      <c r="A38" s="68" t="s">
        <v>104</v>
      </c>
      <c r="B38" s="64" t="s">
        <v>57</v>
      </c>
      <c r="C38" s="50">
        <v>0</v>
      </c>
      <c r="D38" s="27">
        <f>IF(G$1=0,0,C38/G$1)</f>
        <v>0</v>
      </c>
    </row>
    <row r="39" spans="1:4" x14ac:dyDescent="0.45">
      <c r="A39" s="68" t="s">
        <v>105</v>
      </c>
      <c r="B39" s="64" t="s">
        <v>58</v>
      </c>
      <c r="C39" s="50">
        <v>0</v>
      </c>
      <c r="D39" s="27">
        <f>IF(G$1=0,0,C39/G$1)</f>
        <v>0</v>
      </c>
    </row>
    <row r="40" spans="1:4" x14ac:dyDescent="0.45">
      <c r="A40" s="68" t="s">
        <v>106</v>
      </c>
      <c r="B40" s="64" t="s">
        <v>59</v>
      </c>
      <c r="C40" s="50">
        <v>0</v>
      </c>
      <c r="D40" s="27">
        <f>IF(G$1=0,0,C40/G$1)</f>
        <v>0</v>
      </c>
    </row>
    <row r="41" spans="1:4" x14ac:dyDescent="0.45">
      <c r="A41" s="68" t="s">
        <v>107</v>
      </c>
      <c r="B41" s="64" t="s">
        <v>60</v>
      </c>
      <c r="C41" s="50">
        <v>0</v>
      </c>
      <c r="D41" s="27">
        <f>IF(G$1=0,0,C41/G$1)</f>
        <v>0</v>
      </c>
    </row>
    <row r="42" spans="1:4" x14ac:dyDescent="0.45">
      <c r="A42" s="68" t="s">
        <v>108</v>
      </c>
      <c r="B42" s="64" t="s">
        <v>61</v>
      </c>
      <c r="C42" s="50">
        <v>0</v>
      </c>
      <c r="D42" s="27">
        <f>IF(G$1=0,0,C42/G$1)</f>
        <v>0</v>
      </c>
    </row>
    <row r="43" spans="1:4" x14ac:dyDescent="0.45">
      <c r="A43" s="68" t="s">
        <v>109</v>
      </c>
      <c r="B43" s="64" t="s">
        <v>62</v>
      </c>
      <c r="C43" s="50">
        <v>0</v>
      </c>
      <c r="D43" s="27">
        <f>IF(G$1=0,0,C43/G$1)</f>
        <v>0</v>
      </c>
    </row>
    <row r="44" spans="1:4" x14ac:dyDescent="0.45">
      <c r="A44" s="68" t="s">
        <v>110</v>
      </c>
      <c r="B44" s="64" t="s">
        <v>63</v>
      </c>
      <c r="C44" s="50">
        <v>0</v>
      </c>
      <c r="D44" s="27">
        <f>IF(G$1=0,0,C44/G$1)</f>
        <v>0</v>
      </c>
    </row>
    <row r="45" spans="1:4" x14ac:dyDescent="0.45">
      <c r="A45" s="68" t="s">
        <v>111</v>
      </c>
      <c r="B45" s="64" t="s">
        <v>64</v>
      </c>
      <c r="C45" s="50">
        <v>0</v>
      </c>
      <c r="D45" s="27">
        <f>IF(G$1=0,0,C45/G$1)</f>
        <v>0</v>
      </c>
    </row>
    <row r="46" spans="1:4" x14ac:dyDescent="0.45">
      <c r="A46" s="68" t="s">
        <v>112</v>
      </c>
      <c r="B46" s="64" t="s">
        <v>223</v>
      </c>
      <c r="C46" s="50">
        <v>0</v>
      </c>
      <c r="D46" s="27">
        <f>IF(G$1=0,0,C46/G$1)</f>
        <v>0</v>
      </c>
    </row>
    <row r="47" spans="1:4" x14ac:dyDescent="0.45">
      <c r="A47" s="68" t="s">
        <v>114</v>
      </c>
      <c r="B47" s="64" t="s">
        <v>225</v>
      </c>
      <c r="C47" s="50">
        <v>0</v>
      </c>
      <c r="D47" s="27">
        <f>IF(G$1=0,0,C47/G$1)</f>
        <v>0</v>
      </c>
    </row>
    <row r="48" spans="1:4" x14ac:dyDescent="0.45">
      <c r="A48" s="68" t="s">
        <v>115</v>
      </c>
      <c r="B48" s="64" t="s">
        <v>65</v>
      </c>
      <c r="C48" s="50">
        <v>0</v>
      </c>
      <c r="D48" s="27">
        <f>IF(G$1=0,0,C48/G$1)</f>
        <v>0</v>
      </c>
    </row>
    <row r="49" spans="1:4" x14ac:dyDescent="0.45">
      <c r="A49" s="68" t="s">
        <v>116</v>
      </c>
      <c r="B49" s="64" t="s">
        <v>66</v>
      </c>
      <c r="C49" s="50">
        <v>0</v>
      </c>
      <c r="D49" s="27">
        <f>IF(G$1=0,0,C49/G$1)</f>
        <v>0</v>
      </c>
    </row>
    <row r="50" spans="1:4" x14ac:dyDescent="0.45">
      <c r="A50" s="68" t="s">
        <v>117</v>
      </c>
      <c r="B50" s="64" t="s">
        <v>67</v>
      </c>
      <c r="C50" s="50">
        <v>0</v>
      </c>
      <c r="D50" s="27">
        <f>IF(G$1=0,0,C50/G$1)</f>
        <v>0</v>
      </c>
    </row>
    <row r="51" spans="1:4" x14ac:dyDescent="0.45">
      <c r="A51" s="69" t="s">
        <v>118</v>
      </c>
      <c r="B51" s="65" t="s">
        <v>68</v>
      </c>
      <c r="C51" s="52">
        <v>0</v>
      </c>
      <c r="D51" s="32">
        <f>IF(G$1=0,0,C51/G$1)</f>
        <v>0</v>
      </c>
    </row>
  </sheetData>
  <sortState ref="A2:D51">
    <sortCondition descending="1" ref="D1"/>
  </sortState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F65BB-F289-45B3-BB18-9210B1E304DC}">
  <sheetPr codeName="Sheet4"/>
  <dimension ref="A1:P129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 t="s">
        <v>186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2">
        <v>127</v>
      </c>
      <c r="C2" s="83"/>
      <c r="E2" s="67" t="s">
        <v>73</v>
      </c>
      <c r="F2" s="63" t="s">
        <v>27</v>
      </c>
      <c r="G2" s="49">
        <v>154</v>
      </c>
      <c r="H2" s="24">
        <f>IF(B$25=0,0,G2/B$25)</f>
        <v>0.93902439024390238</v>
      </c>
      <c r="J2" s="23">
        <v>0</v>
      </c>
      <c r="K2" s="25">
        <v>0</v>
      </c>
      <c r="M2" s="23" t="s">
        <v>198</v>
      </c>
      <c r="N2" s="44">
        <f t="shared" ref="N2:N7" si="0">IF(P2=0,0,O2/P2)</f>
        <v>774.79674796747963</v>
      </c>
      <c r="O2" s="41">
        <v>95300</v>
      </c>
      <c r="P2" s="39">
        <v>123</v>
      </c>
    </row>
    <row r="3" spans="1:16" x14ac:dyDescent="0.45">
      <c r="A3" s="58" t="s">
        <v>8</v>
      </c>
      <c r="B3" s="90">
        <v>919</v>
      </c>
      <c r="C3" s="91"/>
      <c r="E3" s="68" t="s">
        <v>71</v>
      </c>
      <c r="F3" s="64" t="s">
        <v>25</v>
      </c>
      <c r="G3" s="50">
        <v>102</v>
      </c>
      <c r="H3" s="27">
        <f>IF(B$25=0,0,G3/B$25)</f>
        <v>0.62195121951219512</v>
      </c>
      <c r="J3" s="26">
        <v>1</v>
      </c>
      <c r="K3" s="28">
        <v>15</v>
      </c>
      <c r="M3" s="26" t="s">
        <v>199</v>
      </c>
      <c r="N3" s="45">
        <f t="shared" si="0"/>
        <v>1382.9059829059829</v>
      </c>
      <c r="O3" s="42">
        <v>161800</v>
      </c>
      <c r="P3" s="37">
        <v>117</v>
      </c>
    </row>
    <row r="4" spans="1:16" x14ac:dyDescent="0.45">
      <c r="A4" s="58" t="s">
        <v>6</v>
      </c>
      <c r="B4" s="92">
        <v>550.70000000000016</v>
      </c>
      <c r="C4" s="93"/>
      <c r="E4" s="68" t="s">
        <v>78</v>
      </c>
      <c r="F4" s="64" t="s">
        <v>31</v>
      </c>
      <c r="G4" s="50">
        <v>91</v>
      </c>
      <c r="H4" s="27">
        <f>IF(B$25=0,0,G4/B$25)</f>
        <v>0.55487804878048785</v>
      </c>
      <c r="J4" s="26">
        <v>2</v>
      </c>
      <c r="K4" s="28">
        <v>14</v>
      </c>
      <c r="M4" s="26" t="s">
        <v>200</v>
      </c>
      <c r="N4" s="45">
        <f t="shared" si="0"/>
        <v>939.25233644859816</v>
      </c>
      <c r="O4" s="42">
        <v>100500</v>
      </c>
      <c r="P4" s="37">
        <v>107</v>
      </c>
    </row>
    <row r="5" spans="1:16" x14ac:dyDescent="0.45">
      <c r="A5" s="58" t="s">
        <v>7</v>
      </c>
      <c r="B5" s="92">
        <f>IF(B$2=0,0,B$4/B$2)</f>
        <v>4.3362204724409459</v>
      </c>
      <c r="C5" s="93"/>
      <c r="E5" s="68" t="s">
        <v>69</v>
      </c>
      <c r="F5" s="64" t="s">
        <v>23</v>
      </c>
      <c r="G5" s="50">
        <v>84</v>
      </c>
      <c r="H5" s="27">
        <f>IF(B$25=0,0,G5/B$25)</f>
        <v>0.51219512195121952</v>
      </c>
      <c r="J5" s="26">
        <v>3</v>
      </c>
      <c r="K5" s="28">
        <v>29.1</v>
      </c>
      <c r="M5" s="26" t="s">
        <v>201</v>
      </c>
      <c r="N5" s="45">
        <f t="shared" si="0"/>
        <v>1392.5531914893618</v>
      </c>
      <c r="O5" s="42">
        <v>130900</v>
      </c>
      <c r="P5" s="37">
        <v>94</v>
      </c>
    </row>
    <row r="6" spans="1:16" x14ac:dyDescent="0.45">
      <c r="A6" s="58" t="s">
        <v>1</v>
      </c>
      <c r="B6" s="94">
        <f>IF(B$2=0,0,(B$7*1+B$8*2+B$9*3)/B$2)</f>
        <v>1.8503937007874016</v>
      </c>
      <c r="C6" s="95"/>
      <c r="E6" s="68" t="s">
        <v>74</v>
      </c>
      <c r="F6" s="64" t="s">
        <v>12</v>
      </c>
      <c r="G6" s="50">
        <v>42</v>
      </c>
      <c r="H6" s="27">
        <f>IF(B$25=0,0,G6/B$25)</f>
        <v>0.25609756097560976</v>
      </c>
      <c r="J6" s="26">
        <v>4</v>
      </c>
      <c r="K6" s="28">
        <v>114.30000000000001</v>
      </c>
      <c r="M6" s="26" t="s">
        <v>202</v>
      </c>
      <c r="N6" s="45">
        <f t="shared" si="0"/>
        <v>216.88311688311688</v>
      </c>
      <c r="O6" s="42">
        <v>16700</v>
      </c>
      <c r="P6" s="37">
        <v>77</v>
      </c>
    </row>
    <row r="7" spans="1:16" x14ac:dyDescent="0.45">
      <c r="A7" s="58" t="s">
        <v>2</v>
      </c>
      <c r="B7" s="50">
        <v>51</v>
      </c>
      <c r="C7" s="27">
        <f>IF(B$2=0,0,B7/B$2)</f>
        <v>0.40157480314960631</v>
      </c>
      <c r="E7" s="68" t="s">
        <v>72</v>
      </c>
      <c r="F7" s="64" t="s">
        <v>26</v>
      </c>
      <c r="G7" s="50">
        <v>39</v>
      </c>
      <c r="H7" s="27">
        <f>IF(B$25=0,0,G7/B$25)</f>
        <v>0.23780487804878048</v>
      </c>
      <c r="J7" s="26">
        <v>5</v>
      </c>
      <c r="K7" s="28">
        <v>145.80000000000001</v>
      </c>
      <c r="M7" s="31" t="s">
        <v>203</v>
      </c>
      <c r="N7" s="46">
        <f t="shared" si="0"/>
        <v>166.66666666666666</v>
      </c>
      <c r="O7" s="43">
        <v>9500</v>
      </c>
      <c r="P7" s="38">
        <v>57</v>
      </c>
    </row>
    <row r="8" spans="1:16" x14ac:dyDescent="0.45">
      <c r="A8" s="58" t="s">
        <v>3</v>
      </c>
      <c r="B8" s="50">
        <v>44</v>
      </c>
      <c r="C8" s="27">
        <f t="shared" ref="C8:C9" si="1">IF(B$2=0,0,B8/B$2)</f>
        <v>0.34645669291338582</v>
      </c>
      <c r="E8" s="68" t="s">
        <v>75</v>
      </c>
      <c r="F8" s="64" t="s">
        <v>28</v>
      </c>
      <c r="G8" s="50">
        <v>28</v>
      </c>
      <c r="H8" s="27">
        <f>IF(B$25=0,0,G8/B$25)</f>
        <v>0.17073170731707318</v>
      </c>
      <c r="J8" s="26">
        <v>6</v>
      </c>
      <c r="K8" s="28">
        <v>97.800000000000011</v>
      </c>
    </row>
    <row r="9" spans="1:16" x14ac:dyDescent="0.45">
      <c r="A9" s="59" t="s">
        <v>4</v>
      </c>
      <c r="B9" s="51">
        <v>32</v>
      </c>
      <c r="C9" s="29">
        <f t="shared" si="1"/>
        <v>0.25196850393700787</v>
      </c>
      <c r="E9" s="68" t="s">
        <v>96</v>
      </c>
      <c r="F9" s="64" t="s">
        <v>49</v>
      </c>
      <c r="G9" s="50">
        <v>27</v>
      </c>
      <c r="H9" s="27">
        <f>IF(B$25=0,0,G9/B$25)</f>
        <v>0.16463414634146342</v>
      </c>
      <c r="J9" s="26">
        <v>7</v>
      </c>
      <c r="K9" s="28">
        <v>91.700000000000017</v>
      </c>
    </row>
    <row r="10" spans="1:16" x14ac:dyDescent="0.45">
      <c r="A10" s="59" t="s">
        <v>21</v>
      </c>
      <c r="B10" s="51">
        <v>17</v>
      </c>
      <c r="C10" s="29">
        <f>IF(B$2=0,0,B10/B$2)</f>
        <v>0.13385826771653545</v>
      </c>
      <c r="E10" s="68" t="s">
        <v>70</v>
      </c>
      <c r="F10" s="64" t="s">
        <v>24</v>
      </c>
      <c r="G10" s="50">
        <v>14</v>
      </c>
      <c r="H10" s="27">
        <f>IF(B$25=0,0,G10/B$25)</f>
        <v>8.5365853658536592E-2</v>
      </c>
      <c r="J10" s="26">
        <v>8</v>
      </c>
      <c r="K10" s="28">
        <v>55.700000000000017</v>
      </c>
    </row>
    <row r="11" spans="1:16" x14ac:dyDescent="0.45">
      <c r="A11" s="60" t="s">
        <v>208</v>
      </c>
      <c r="B11" s="52">
        <v>28</v>
      </c>
      <c r="C11" s="32">
        <f>IF(B$2=0,0,B11/B$2)</f>
        <v>0.22047244094488189</v>
      </c>
      <c r="E11" s="68" t="s">
        <v>76</v>
      </c>
      <c r="F11" s="64" t="s">
        <v>29</v>
      </c>
      <c r="G11" s="50">
        <v>13</v>
      </c>
      <c r="H11" s="27">
        <f>IF(B$25=0,0,G11/B$25)</f>
        <v>7.926829268292683E-2</v>
      </c>
      <c r="J11" s="26">
        <v>9</v>
      </c>
      <c r="K11" s="28">
        <v>14.700000000000017</v>
      </c>
    </row>
    <row r="12" spans="1:16" x14ac:dyDescent="0.45">
      <c r="A12" s="61" t="s">
        <v>130</v>
      </c>
      <c r="B12" s="53">
        <v>129</v>
      </c>
      <c r="C12" s="35">
        <f>IF(B$24=0,0,B12/B$24)</f>
        <v>0.28289473684210525</v>
      </c>
      <c r="E12" s="68" t="s">
        <v>77</v>
      </c>
      <c r="F12" s="64" t="s">
        <v>30</v>
      </c>
      <c r="G12" s="50">
        <v>12</v>
      </c>
      <c r="H12" s="27">
        <f>IF(B$25=0,0,G12/B$25)</f>
        <v>7.3170731707317069E-2</v>
      </c>
      <c r="J12" s="26">
        <v>10</v>
      </c>
      <c r="K12" s="28">
        <v>-16.799999999999983</v>
      </c>
    </row>
    <row r="13" spans="1:16" x14ac:dyDescent="0.45">
      <c r="A13" s="58" t="s">
        <v>125</v>
      </c>
      <c r="B13" s="50">
        <v>99</v>
      </c>
      <c r="C13" s="27">
        <f>IF(B$24=0,0,B13/B$24)</f>
        <v>0.21710526315789475</v>
      </c>
      <c r="E13" s="68" t="s">
        <v>93</v>
      </c>
      <c r="F13" s="64" t="s">
        <v>46</v>
      </c>
      <c r="G13" s="50">
        <v>9</v>
      </c>
      <c r="H13" s="27">
        <f>IF(B$25=0,0,G13/B$25)</f>
        <v>5.4878048780487805E-2</v>
      </c>
      <c r="J13" s="26">
        <v>11</v>
      </c>
      <c r="K13" s="28">
        <v>1.5000000000000178</v>
      </c>
    </row>
    <row r="14" spans="1:16" x14ac:dyDescent="0.45">
      <c r="A14" s="57" t="s">
        <v>132</v>
      </c>
      <c r="B14" s="49">
        <v>88</v>
      </c>
      <c r="C14" s="24">
        <f>IF(B$12=0,0,B14/B$12)</f>
        <v>0.68217054263565891</v>
      </c>
      <c r="E14" s="68" t="s">
        <v>90</v>
      </c>
      <c r="F14" s="64" t="s">
        <v>43</v>
      </c>
      <c r="G14" s="50">
        <v>6</v>
      </c>
      <c r="H14" s="27">
        <f>IF(B$25=0,0,G14/B$25)</f>
        <v>3.6585365853658534E-2</v>
      </c>
      <c r="J14" s="26">
        <v>12</v>
      </c>
      <c r="K14" s="28">
        <v>14.300000000000018</v>
      </c>
    </row>
    <row r="15" spans="1:16" x14ac:dyDescent="0.45">
      <c r="A15" s="57" t="s">
        <v>133</v>
      </c>
      <c r="B15" s="49">
        <v>46</v>
      </c>
      <c r="C15" s="24">
        <f>IF(B$13=0,0,B15/B$13)</f>
        <v>0.46464646464646464</v>
      </c>
      <c r="E15" s="68" t="s">
        <v>83</v>
      </c>
      <c r="F15" s="64" t="s">
        <v>36</v>
      </c>
      <c r="G15" s="50">
        <v>3</v>
      </c>
      <c r="H15" s="27">
        <f>IF(B$25=0,0,G15/B$25)</f>
        <v>1.8292682926829267E-2</v>
      </c>
      <c r="J15" s="26">
        <v>13</v>
      </c>
      <c r="K15" s="28">
        <v>71.300000000000011</v>
      </c>
    </row>
    <row r="16" spans="1:16" x14ac:dyDescent="0.45">
      <c r="A16" s="57" t="s">
        <v>10</v>
      </c>
      <c r="B16" s="49">
        <f>B17+B18</f>
        <v>323</v>
      </c>
      <c r="C16" s="24">
        <f>IF(B$3=0,0,B16/B$3)</f>
        <v>0.35146898803046789</v>
      </c>
      <c r="E16" s="68" t="s">
        <v>88</v>
      </c>
      <c r="F16" s="64" t="s">
        <v>41</v>
      </c>
      <c r="G16" s="50">
        <v>3</v>
      </c>
      <c r="H16" s="27">
        <f>IF(B$25=0,0,G16/B$25)</f>
        <v>1.8292682926829267E-2</v>
      </c>
      <c r="J16" s="26">
        <v>14</v>
      </c>
      <c r="K16" s="28">
        <v>27.300000000000011</v>
      </c>
    </row>
    <row r="17" spans="1:11" x14ac:dyDescent="0.45">
      <c r="A17" s="58" t="s">
        <v>11</v>
      </c>
      <c r="B17" s="50">
        <v>204</v>
      </c>
      <c r="C17" s="27">
        <f>IF(B$3=0,0,B17/B$3)</f>
        <v>0.2219804134929271</v>
      </c>
      <c r="E17" s="68" t="s">
        <v>79</v>
      </c>
      <c r="F17" s="64" t="s">
        <v>32</v>
      </c>
      <c r="G17" s="50">
        <v>2</v>
      </c>
      <c r="H17" s="27">
        <f>IF(B$25=0,0,G17/B$25)</f>
        <v>1.2195121951219513E-2</v>
      </c>
      <c r="J17" s="26">
        <v>15</v>
      </c>
      <c r="K17" s="28">
        <v>-9.6999999999999886</v>
      </c>
    </row>
    <row r="18" spans="1:11" x14ac:dyDescent="0.45">
      <c r="A18" s="58" t="s">
        <v>12</v>
      </c>
      <c r="B18" s="50">
        <v>119</v>
      </c>
      <c r="C18" s="27">
        <f>IF(B$3=0,0,B18/B$3)</f>
        <v>0.12948857453754081</v>
      </c>
      <c r="E18" s="68" t="s">
        <v>99</v>
      </c>
      <c r="F18" s="64" t="s">
        <v>52</v>
      </c>
      <c r="G18" s="50">
        <v>2</v>
      </c>
      <c r="H18" s="27">
        <f>IF(B$25=0,0,G18/B$25)</f>
        <v>1.2195121951219513E-2</v>
      </c>
      <c r="J18" s="26">
        <v>16</v>
      </c>
      <c r="K18" s="28">
        <v>-8.099999999999989</v>
      </c>
    </row>
    <row r="19" spans="1:11" x14ac:dyDescent="0.45">
      <c r="A19" s="58" t="s">
        <v>13</v>
      </c>
      <c r="B19" s="50">
        <v>144</v>
      </c>
      <c r="C19" s="27">
        <f>IF(B$3=0,0,B19/B$3)</f>
        <v>0.15669205658324264</v>
      </c>
      <c r="E19" s="68" t="s">
        <v>81</v>
      </c>
      <c r="F19" s="64" t="s">
        <v>34</v>
      </c>
      <c r="G19" s="50">
        <v>1</v>
      </c>
      <c r="H19" s="27">
        <f>IF(B$25=0,0,G19/B$25)</f>
        <v>6.0975609756097563E-3</v>
      </c>
      <c r="J19" s="26">
        <v>17</v>
      </c>
      <c r="K19" s="28">
        <v>-29.499999999999986</v>
      </c>
    </row>
    <row r="20" spans="1:11" x14ac:dyDescent="0.45">
      <c r="A20" s="58" t="s">
        <v>5</v>
      </c>
      <c r="B20" s="54">
        <f>IF(B$16=0,0,C20/B$16)</f>
        <v>9932.1981424148598</v>
      </c>
      <c r="C20" s="30">
        <v>3208100</v>
      </c>
      <c r="E20" s="68" t="s">
        <v>84</v>
      </c>
      <c r="F20" s="64" t="s">
        <v>37</v>
      </c>
      <c r="G20" s="50">
        <v>1</v>
      </c>
      <c r="H20" s="27">
        <f>IF(B$25=0,0,G20/B$25)</f>
        <v>6.0975609756097563E-3</v>
      </c>
      <c r="J20" s="26">
        <v>18</v>
      </c>
      <c r="K20" s="28">
        <v>-14.599999999999985</v>
      </c>
    </row>
    <row r="21" spans="1:11" x14ac:dyDescent="0.45">
      <c r="A21" s="60" t="s">
        <v>14</v>
      </c>
      <c r="B21" s="55">
        <f>IF(B$19=0,0,C21/B$19)</f>
        <v>-9804.1666666666661</v>
      </c>
      <c r="C21" s="48">
        <v>-1411800</v>
      </c>
      <c r="E21" s="68" t="s">
        <v>85</v>
      </c>
      <c r="F21" s="64" t="s">
        <v>38</v>
      </c>
      <c r="G21" s="50">
        <v>1</v>
      </c>
      <c r="H21" s="27">
        <f>IF(B$25=0,0,G21/B$25)</f>
        <v>6.0975609756097563E-3</v>
      </c>
      <c r="J21" s="26">
        <v>19</v>
      </c>
      <c r="K21" s="28">
        <v>42.600000000000016</v>
      </c>
    </row>
    <row r="22" spans="1:11" x14ac:dyDescent="0.45">
      <c r="A22" s="57" t="s">
        <v>195</v>
      </c>
      <c r="B22" s="49">
        <v>321</v>
      </c>
      <c r="C22" s="24">
        <f>IF(B$3=0,0,B22/B$3)</f>
        <v>0.34929270946681173</v>
      </c>
      <c r="E22" s="68" t="s">
        <v>92</v>
      </c>
      <c r="F22" s="64" t="s">
        <v>45</v>
      </c>
      <c r="G22" s="50">
        <v>1</v>
      </c>
      <c r="H22" s="27">
        <f>IF(B$25=0,0,G22/B$25)</f>
        <v>6.0975609756097563E-3</v>
      </c>
      <c r="J22" s="26">
        <v>20</v>
      </c>
      <c r="K22" s="28">
        <v>68.800000000000011</v>
      </c>
    </row>
    <row r="23" spans="1:11" x14ac:dyDescent="0.45">
      <c r="A23" s="60" t="s">
        <v>196</v>
      </c>
      <c r="B23" s="52">
        <v>134</v>
      </c>
      <c r="C23" s="32">
        <f>IF(B$22=0,0,B23/B$22)</f>
        <v>0.4174454828660436</v>
      </c>
      <c r="E23" s="68" t="s">
        <v>94</v>
      </c>
      <c r="F23" s="64" t="s">
        <v>47</v>
      </c>
      <c r="G23" s="50">
        <v>1</v>
      </c>
      <c r="H23" s="27">
        <f>IF(B$25=0,0,G23/B$25)</f>
        <v>6.0975609756097563E-3</v>
      </c>
      <c r="J23" s="26">
        <v>21</v>
      </c>
      <c r="K23" s="28">
        <v>125.30000000000001</v>
      </c>
    </row>
    <row r="24" spans="1:11" x14ac:dyDescent="0.45">
      <c r="A24" s="57" t="s">
        <v>128</v>
      </c>
      <c r="B24" s="82">
        <v>456</v>
      </c>
      <c r="C24" s="83"/>
      <c r="E24" s="68" t="s">
        <v>97</v>
      </c>
      <c r="F24" s="64" t="s">
        <v>50</v>
      </c>
      <c r="G24" s="50">
        <v>1</v>
      </c>
      <c r="H24" s="27">
        <f>IF(B$25=0,0,G24/B$25)</f>
        <v>6.0975609756097563E-3</v>
      </c>
      <c r="J24" s="26">
        <v>22</v>
      </c>
      <c r="K24" s="28">
        <v>99.800000000000011</v>
      </c>
    </row>
    <row r="25" spans="1:11" x14ac:dyDescent="0.45">
      <c r="A25" s="60" t="s">
        <v>129</v>
      </c>
      <c r="B25" s="84">
        <v>164</v>
      </c>
      <c r="C25" s="85"/>
      <c r="E25" s="68" t="s">
        <v>98</v>
      </c>
      <c r="F25" s="64" t="s">
        <v>51</v>
      </c>
      <c r="G25" s="50">
        <v>1</v>
      </c>
      <c r="H25" s="27">
        <f>IF(B$25=0,0,G25/B$25)</f>
        <v>6.0975609756097563E-3</v>
      </c>
      <c r="J25" s="26">
        <v>23</v>
      </c>
      <c r="K25" s="28">
        <v>124.50000000000001</v>
      </c>
    </row>
    <row r="26" spans="1:11" x14ac:dyDescent="0.45">
      <c r="A26" s="56" t="s">
        <v>231</v>
      </c>
      <c r="B26" s="86">
        <v>7</v>
      </c>
      <c r="C26" s="87"/>
      <c r="E26" s="68" t="s">
        <v>113</v>
      </c>
      <c r="F26" s="64" t="s">
        <v>120</v>
      </c>
      <c r="G26" s="50">
        <v>1</v>
      </c>
      <c r="H26" s="27">
        <f>IF(B$25=0,0,G26/B$25)</f>
        <v>6.0975609756097563E-3</v>
      </c>
      <c r="J26" s="26">
        <v>24</v>
      </c>
      <c r="K26" s="28">
        <v>118.00000000000001</v>
      </c>
    </row>
    <row r="27" spans="1:11" x14ac:dyDescent="0.45">
      <c r="E27" s="68" t="s">
        <v>80</v>
      </c>
      <c r="F27" s="64" t="s">
        <v>33</v>
      </c>
      <c r="G27" s="50">
        <v>0</v>
      </c>
      <c r="H27" s="27">
        <f>IF(B$25=0,0,G27/B$25)</f>
        <v>0</v>
      </c>
      <c r="J27" s="26">
        <v>25</v>
      </c>
      <c r="K27" s="28">
        <v>84.300000000000011</v>
      </c>
    </row>
    <row r="28" spans="1:11" x14ac:dyDescent="0.45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108.20000000000002</v>
      </c>
    </row>
    <row r="29" spans="1:11" x14ac:dyDescent="0.45">
      <c r="E29" s="68" t="s">
        <v>86</v>
      </c>
      <c r="F29" s="64" t="s">
        <v>39</v>
      </c>
      <c r="G29" s="50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5">
      <c r="E30" s="68" t="s">
        <v>87</v>
      </c>
      <c r="F30" s="64" t="s">
        <v>40</v>
      </c>
      <c r="G30" s="50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5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5">
      <c r="E32" s="68" t="s">
        <v>91</v>
      </c>
      <c r="F32" s="64" t="s">
        <v>44</v>
      </c>
      <c r="G32" s="50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5">
      <c r="E33" s="68" t="s">
        <v>95</v>
      </c>
      <c r="F33" s="64" t="s">
        <v>48</v>
      </c>
      <c r="G33" s="50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5">
      <c r="E34" s="68" t="s">
        <v>100</v>
      </c>
      <c r="F34" s="64" t="s">
        <v>53</v>
      </c>
      <c r="G34" s="50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5">
      <c r="E35" s="68" t="s">
        <v>101</v>
      </c>
      <c r="F35" s="64" t="s">
        <v>54</v>
      </c>
      <c r="G35" s="50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5">
      <c r="E36" s="68" t="s">
        <v>102</v>
      </c>
      <c r="F36" s="64" t="s">
        <v>55</v>
      </c>
      <c r="G36" s="50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5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5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5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5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5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5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5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5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5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5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5">
      <c r="J52" s="26">
        <v>50</v>
      </c>
      <c r="K52" s="28">
        <v>123.89999999999998</v>
      </c>
    </row>
    <row r="53" spans="5:11" x14ac:dyDescent="0.45">
      <c r="J53" s="26">
        <v>51</v>
      </c>
      <c r="K53" s="28">
        <v>136.69999999999999</v>
      </c>
    </row>
    <row r="54" spans="5:11" x14ac:dyDescent="0.45">
      <c r="J54" s="26">
        <v>52</v>
      </c>
      <c r="K54" s="28">
        <v>137.39999999999998</v>
      </c>
    </row>
    <row r="55" spans="5:11" x14ac:dyDescent="0.45">
      <c r="J55" s="26">
        <v>53</v>
      </c>
      <c r="K55" s="28">
        <v>130.69999999999999</v>
      </c>
    </row>
    <row r="56" spans="5:11" x14ac:dyDescent="0.45">
      <c r="J56" s="26">
        <v>54</v>
      </c>
      <c r="K56" s="28">
        <v>102.69999999999999</v>
      </c>
    </row>
    <row r="57" spans="5:11" x14ac:dyDescent="0.45">
      <c r="J57" s="26">
        <v>55</v>
      </c>
      <c r="K57" s="28">
        <v>119.39999999999999</v>
      </c>
    </row>
    <row r="58" spans="5:11" x14ac:dyDescent="0.45">
      <c r="J58" s="26">
        <v>56</v>
      </c>
      <c r="K58" s="28">
        <v>112.39999999999999</v>
      </c>
    </row>
    <row r="59" spans="5:11" x14ac:dyDescent="0.45">
      <c r="J59" s="26">
        <v>57</v>
      </c>
      <c r="K59" s="28">
        <v>144</v>
      </c>
    </row>
    <row r="60" spans="5:11" x14ac:dyDescent="0.45">
      <c r="J60" s="26">
        <v>58</v>
      </c>
      <c r="K60" s="28">
        <v>159.80000000000001</v>
      </c>
    </row>
    <row r="61" spans="5:11" x14ac:dyDescent="0.45">
      <c r="J61" s="26">
        <v>59</v>
      </c>
      <c r="K61" s="28">
        <v>216.8</v>
      </c>
    </row>
    <row r="62" spans="5:11" x14ac:dyDescent="0.45">
      <c r="J62" s="26">
        <v>60</v>
      </c>
      <c r="K62" s="28">
        <v>222.10000000000002</v>
      </c>
    </row>
    <row r="63" spans="5:11" x14ac:dyDescent="0.45">
      <c r="J63" s="26">
        <v>61</v>
      </c>
      <c r="K63" s="28">
        <v>176.00000000000003</v>
      </c>
    </row>
    <row r="64" spans="5:11" x14ac:dyDescent="0.45">
      <c r="J64" s="26">
        <v>62</v>
      </c>
      <c r="K64" s="28">
        <v>197.10000000000002</v>
      </c>
    </row>
    <row r="65" spans="10:11" x14ac:dyDescent="0.45">
      <c r="J65" s="26">
        <v>63</v>
      </c>
      <c r="K65" s="28">
        <v>131.10000000000002</v>
      </c>
    </row>
    <row r="66" spans="10:11" x14ac:dyDescent="0.45">
      <c r="J66" s="26">
        <v>64</v>
      </c>
      <c r="K66" s="28">
        <v>126.10000000000002</v>
      </c>
    </row>
    <row r="67" spans="10:11" x14ac:dyDescent="0.45">
      <c r="J67" s="26">
        <v>65</v>
      </c>
      <c r="K67" s="28">
        <v>127.10000000000002</v>
      </c>
    </row>
    <row r="68" spans="10:11" x14ac:dyDescent="0.45">
      <c r="J68" s="26">
        <v>66</v>
      </c>
      <c r="K68" s="28">
        <v>158.70000000000002</v>
      </c>
    </row>
    <row r="69" spans="10:11" x14ac:dyDescent="0.45">
      <c r="J69" s="26">
        <v>67</v>
      </c>
      <c r="K69" s="28">
        <v>139.70000000000002</v>
      </c>
    </row>
    <row r="70" spans="10:11" x14ac:dyDescent="0.45">
      <c r="J70" s="26">
        <v>68</v>
      </c>
      <c r="K70" s="28">
        <v>129.80000000000001</v>
      </c>
    </row>
    <row r="71" spans="10:11" x14ac:dyDescent="0.45">
      <c r="J71" s="26">
        <v>69</v>
      </c>
      <c r="K71" s="28">
        <v>130.70000000000002</v>
      </c>
    </row>
    <row r="72" spans="10:11" x14ac:dyDescent="0.45">
      <c r="J72" s="26">
        <v>70</v>
      </c>
      <c r="K72" s="28">
        <v>163</v>
      </c>
    </row>
    <row r="73" spans="10:11" x14ac:dyDescent="0.45">
      <c r="J73" s="26">
        <v>71</v>
      </c>
      <c r="K73" s="28">
        <v>191.4</v>
      </c>
    </row>
    <row r="74" spans="10:11" x14ac:dyDescent="0.45">
      <c r="J74" s="26">
        <v>72</v>
      </c>
      <c r="K74" s="28">
        <v>184</v>
      </c>
    </row>
    <row r="75" spans="10:11" x14ac:dyDescent="0.45">
      <c r="J75" s="26">
        <v>73</v>
      </c>
      <c r="K75" s="28">
        <v>202.3</v>
      </c>
    </row>
    <row r="76" spans="10:11" x14ac:dyDescent="0.45">
      <c r="J76" s="26">
        <v>74</v>
      </c>
      <c r="K76" s="28">
        <v>188.4</v>
      </c>
    </row>
    <row r="77" spans="10:11" x14ac:dyDescent="0.45">
      <c r="J77" s="26">
        <v>75</v>
      </c>
      <c r="K77" s="28">
        <v>228.4</v>
      </c>
    </row>
    <row r="78" spans="10:11" x14ac:dyDescent="0.45">
      <c r="J78" s="26">
        <v>76</v>
      </c>
      <c r="K78" s="28">
        <v>233.6</v>
      </c>
    </row>
    <row r="79" spans="10:11" x14ac:dyDescent="0.45">
      <c r="J79" s="26">
        <v>77</v>
      </c>
      <c r="K79" s="28">
        <v>219.9</v>
      </c>
    </row>
    <row r="80" spans="10:11" x14ac:dyDescent="0.45">
      <c r="J80" s="26">
        <v>78</v>
      </c>
      <c r="K80" s="28">
        <v>225</v>
      </c>
    </row>
    <row r="81" spans="10:11" x14ac:dyDescent="0.45">
      <c r="J81" s="26">
        <v>79</v>
      </c>
      <c r="K81" s="28">
        <v>256.89999999999998</v>
      </c>
    </row>
    <row r="82" spans="10:11" x14ac:dyDescent="0.45">
      <c r="J82" s="26">
        <v>80</v>
      </c>
      <c r="K82" s="28">
        <v>296.89999999999998</v>
      </c>
    </row>
    <row r="83" spans="10:11" x14ac:dyDescent="0.45">
      <c r="J83" s="26">
        <v>81</v>
      </c>
      <c r="K83" s="28">
        <v>319.39999999999998</v>
      </c>
    </row>
    <row r="84" spans="10:11" x14ac:dyDescent="0.45">
      <c r="J84" s="26">
        <v>82</v>
      </c>
      <c r="K84" s="28">
        <v>350.9</v>
      </c>
    </row>
    <row r="85" spans="10:11" x14ac:dyDescent="0.45">
      <c r="J85" s="26">
        <v>83</v>
      </c>
      <c r="K85" s="28">
        <v>410.7</v>
      </c>
    </row>
    <row r="86" spans="10:11" x14ac:dyDescent="0.45">
      <c r="J86" s="26">
        <v>84</v>
      </c>
      <c r="K86" s="28">
        <v>421.8</v>
      </c>
    </row>
    <row r="87" spans="10:11" x14ac:dyDescent="0.45">
      <c r="J87" s="26">
        <v>85</v>
      </c>
      <c r="K87" s="28">
        <v>423.40000000000003</v>
      </c>
    </row>
    <row r="88" spans="10:11" x14ac:dyDescent="0.45">
      <c r="J88" s="26">
        <v>86</v>
      </c>
      <c r="K88" s="28">
        <v>402.00000000000006</v>
      </c>
    </row>
    <row r="89" spans="10:11" x14ac:dyDescent="0.45">
      <c r="J89" s="26">
        <v>87</v>
      </c>
      <c r="K89" s="28">
        <v>405.50000000000006</v>
      </c>
    </row>
    <row r="90" spans="10:11" x14ac:dyDescent="0.45">
      <c r="J90" s="26">
        <v>88</v>
      </c>
      <c r="K90" s="28">
        <v>360.00000000000006</v>
      </c>
    </row>
    <row r="91" spans="10:11" x14ac:dyDescent="0.45">
      <c r="J91" s="26">
        <v>89</v>
      </c>
      <c r="K91" s="28">
        <v>359.40000000000003</v>
      </c>
    </row>
    <row r="92" spans="10:11" x14ac:dyDescent="0.45">
      <c r="J92" s="26">
        <v>90</v>
      </c>
      <c r="K92" s="28">
        <v>385.8</v>
      </c>
    </row>
    <row r="93" spans="10:11" x14ac:dyDescent="0.45">
      <c r="J93" s="26">
        <v>91</v>
      </c>
      <c r="K93" s="28">
        <v>395.5</v>
      </c>
    </row>
    <row r="94" spans="10:11" x14ac:dyDescent="0.45">
      <c r="J94" s="26">
        <v>92</v>
      </c>
      <c r="K94" s="28">
        <v>416.6</v>
      </c>
    </row>
    <row r="95" spans="10:11" x14ac:dyDescent="0.45">
      <c r="J95" s="26">
        <v>93</v>
      </c>
      <c r="K95" s="28">
        <v>459.70000000000005</v>
      </c>
    </row>
    <row r="96" spans="10:11" x14ac:dyDescent="0.45">
      <c r="J96" s="26">
        <v>94</v>
      </c>
      <c r="K96" s="28">
        <v>453.70000000000005</v>
      </c>
    </row>
    <row r="97" spans="10:11" x14ac:dyDescent="0.45">
      <c r="J97" s="26">
        <v>95</v>
      </c>
      <c r="K97" s="28">
        <v>416.20000000000005</v>
      </c>
    </row>
    <row r="98" spans="10:11" x14ac:dyDescent="0.45">
      <c r="J98" s="26">
        <v>96</v>
      </c>
      <c r="K98" s="28">
        <v>376.70000000000005</v>
      </c>
    </row>
    <row r="99" spans="10:11" x14ac:dyDescent="0.45">
      <c r="J99" s="26">
        <v>97</v>
      </c>
      <c r="K99" s="28">
        <v>387.80000000000007</v>
      </c>
    </row>
    <row r="100" spans="10:11" x14ac:dyDescent="0.45">
      <c r="J100" s="26">
        <v>98</v>
      </c>
      <c r="K100" s="28">
        <v>385.80000000000007</v>
      </c>
    </row>
    <row r="101" spans="10:11" x14ac:dyDescent="0.45">
      <c r="J101" s="26">
        <v>99</v>
      </c>
      <c r="K101" s="28">
        <v>429.30000000000007</v>
      </c>
    </row>
    <row r="102" spans="10:11" x14ac:dyDescent="0.45">
      <c r="J102" s="26">
        <v>100</v>
      </c>
      <c r="K102" s="28">
        <v>423.70000000000005</v>
      </c>
    </row>
    <row r="103" spans="10:11" x14ac:dyDescent="0.45">
      <c r="J103" s="26">
        <v>101</v>
      </c>
      <c r="K103" s="28">
        <v>416.30000000000007</v>
      </c>
    </row>
    <row r="104" spans="10:11" x14ac:dyDescent="0.45">
      <c r="J104" s="26">
        <v>102</v>
      </c>
      <c r="K104" s="28">
        <v>378.30000000000007</v>
      </c>
    </row>
    <row r="105" spans="10:11" x14ac:dyDescent="0.45">
      <c r="J105" s="26">
        <v>103</v>
      </c>
      <c r="K105" s="28">
        <v>359.50000000000006</v>
      </c>
    </row>
    <row r="106" spans="10:11" x14ac:dyDescent="0.45">
      <c r="J106" s="26">
        <v>104</v>
      </c>
      <c r="K106" s="28">
        <v>386.50000000000006</v>
      </c>
    </row>
    <row r="107" spans="10:11" x14ac:dyDescent="0.45">
      <c r="J107" s="26">
        <v>105</v>
      </c>
      <c r="K107" s="28">
        <v>431.10000000000008</v>
      </c>
    </row>
    <row r="108" spans="10:11" x14ac:dyDescent="0.45">
      <c r="J108" s="26">
        <v>106</v>
      </c>
      <c r="K108" s="28">
        <v>438.10000000000008</v>
      </c>
    </row>
    <row r="109" spans="10:11" x14ac:dyDescent="0.45">
      <c r="J109" s="26">
        <v>107</v>
      </c>
      <c r="K109" s="28">
        <v>426.80000000000007</v>
      </c>
    </row>
    <row r="110" spans="10:11" x14ac:dyDescent="0.45">
      <c r="J110" s="26">
        <v>108</v>
      </c>
      <c r="K110" s="28">
        <v>411.30000000000007</v>
      </c>
    </row>
    <row r="111" spans="10:11" x14ac:dyDescent="0.45">
      <c r="J111" s="26">
        <v>109</v>
      </c>
      <c r="K111" s="28">
        <v>392.00000000000006</v>
      </c>
    </row>
    <row r="112" spans="10:11" x14ac:dyDescent="0.45">
      <c r="J112" s="26">
        <v>110</v>
      </c>
      <c r="K112" s="28">
        <v>416.00000000000006</v>
      </c>
    </row>
    <row r="113" spans="10:11" x14ac:dyDescent="0.45">
      <c r="J113" s="26">
        <v>111</v>
      </c>
      <c r="K113" s="28">
        <v>435.50000000000006</v>
      </c>
    </row>
    <row r="114" spans="10:11" x14ac:dyDescent="0.45">
      <c r="J114" s="26">
        <v>112</v>
      </c>
      <c r="K114" s="28">
        <v>430.10000000000008</v>
      </c>
    </row>
    <row r="115" spans="10:11" x14ac:dyDescent="0.45">
      <c r="J115" s="26">
        <v>113</v>
      </c>
      <c r="K115" s="28">
        <v>486.10000000000008</v>
      </c>
    </row>
    <row r="116" spans="10:11" x14ac:dyDescent="0.45">
      <c r="J116" s="26">
        <v>114</v>
      </c>
      <c r="K116" s="28">
        <v>503.2000000000001</v>
      </c>
    </row>
    <row r="117" spans="10:11" x14ac:dyDescent="0.45">
      <c r="J117" s="26">
        <v>115</v>
      </c>
      <c r="K117" s="28">
        <v>465.2000000000001</v>
      </c>
    </row>
    <row r="118" spans="10:11" x14ac:dyDescent="0.45">
      <c r="J118" s="26">
        <v>116</v>
      </c>
      <c r="K118" s="28">
        <v>481.7000000000001</v>
      </c>
    </row>
    <row r="119" spans="10:11" x14ac:dyDescent="0.45">
      <c r="J119" s="26">
        <v>117</v>
      </c>
      <c r="K119" s="28">
        <v>497.00000000000011</v>
      </c>
    </row>
    <row r="120" spans="10:11" x14ac:dyDescent="0.45">
      <c r="J120" s="26">
        <v>118</v>
      </c>
      <c r="K120" s="28">
        <v>508.60000000000014</v>
      </c>
    </row>
    <row r="121" spans="10:11" x14ac:dyDescent="0.45">
      <c r="J121" s="26">
        <v>119</v>
      </c>
      <c r="K121" s="28">
        <v>525.50000000000011</v>
      </c>
    </row>
    <row r="122" spans="10:11" x14ac:dyDescent="0.45">
      <c r="J122" s="26">
        <v>120</v>
      </c>
      <c r="K122" s="28">
        <v>488.00000000000011</v>
      </c>
    </row>
    <row r="123" spans="10:11" x14ac:dyDescent="0.45">
      <c r="J123" s="26">
        <v>121</v>
      </c>
      <c r="K123" s="28">
        <v>526.50000000000011</v>
      </c>
    </row>
    <row r="124" spans="10:11" x14ac:dyDescent="0.45">
      <c r="J124" s="26">
        <v>122</v>
      </c>
      <c r="K124" s="28">
        <v>480.00000000000011</v>
      </c>
    </row>
    <row r="125" spans="10:11" x14ac:dyDescent="0.45">
      <c r="J125" s="26">
        <v>123</v>
      </c>
      <c r="K125" s="28">
        <v>493.2000000000001</v>
      </c>
    </row>
    <row r="126" spans="10:11" x14ac:dyDescent="0.45">
      <c r="J126" s="26">
        <v>124</v>
      </c>
      <c r="K126" s="28">
        <v>473.7000000000001</v>
      </c>
    </row>
    <row r="127" spans="10:11" x14ac:dyDescent="0.45">
      <c r="J127" s="26">
        <v>125</v>
      </c>
      <c r="K127" s="28">
        <v>515.10000000000014</v>
      </c>
    </row>
    <row r="128" spans="10:11" x14ac:dyDescent="0.45">
      <c r="J128" s="26">
        <v>126</v>
      </c>
      <c r="K128" s="28">
        <v>542.20000000000016</v>
      </c>
    </row>
    <row r="129" spans="10:11" x14ac:dyDescent="0.45">
      <c r="J129" s="26">
        <v>127</v>
      </c>
      <c r="K129" s="28">
        <v>550.70000000000016</v>
      </c>
    </row>
  </sheetData>
  <sortState ref="E2:H129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A663F-BEAB-4DD3-817B-6D2A0C7E95BE}">
  <sheetPr codeName="Sheet5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 t="s">
        <v>191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2">
        <v>4</v>
      </c>
      <c r="C2" s="83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-9250</v>
      </c>
      <c r="O2" s="41">
        <v>-37000</v>
      </c>
      <c r="P2" s="39">
        <v>4</v>
      </c>
    </row>
    <row r="3" spans="1:16" x14ac:dyDescent="0.45">
      <c r="A3" s="58" t="s">
        <v>8</v>
      </c>
      <c r="B3" s="90">
        <v>25</v>
      </c>
      <c r="C3" s="91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-22</v>
      </c>
      <c r="M3" s="26" t="s">
        <v>199</v>
      </c>
      <c r="N3" s="45">
        <f t="shared" si="0"/>
        <v>-7225</v>
      </c>
      <c r="O3" s="42">
        <v>-28900</v>
      </c>
      <c r="P3" s="37">
        <v>4</v>
      </c>
    </row>
    <row r="4" spans="1:16" x14ac:dyDescent="0.45">
      <c r="A4" s="58" t="s">
        <v>6</v>
      </c>
      <c r="B4" s="92">
        <v>-132.1</v>
      </c>
      <c r="C4" s="93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-60.4</v>
      </c>
      <c r="M4" s="26" t="s">
        <v>200</v>
      </c>
      <c r="N4" s="45">
        <f t="shared" si="0"/>
        <v>-10875</v>
      </c>
      <c r="O4" s="42">
        <v>-43500</v>
      </c>
      <c r="P4" s="37">
        <v>4</v>
      </c>
    </row>
    <row r="5" spans="1:16" x14ac:dyDescent="0.45">
      <c r="A5" s="58" t="s">
        <v>7</v>
      </c>
      <c r="B5" s="92">
        <f>IF(B$2=0,0,B$4/B$2)</f>
        <v>-33.024999999999999</v>
      </c>
      <c r="C5" s="93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-85.6</v>
      </c>
      <c r="M5" s="26" t="s">
        <v>201</v>
      </c>
      <c r="N5" s="45">
        <f t="shared" si="0"/>
        <v>-2850</v>
      </c>
      <c r="O5" s="42">
        <v>-5700</v>
      </c>
      <c r="P5" s="37">
        <v>2</v>
      </c>
    </row>
    <row r="6" spans="1:16" x14ac:dyDescent="0.45">
      <c r="A6" s="58" t="s">
        <v>1</v>
      </c>
      <c r="B6" s="94">
        <f>IF(B$2=0,0,(B$7*1+B$8*2+B$9*3)/B$2)</f>
        <v>3</v>
      </c>
      <c r="C6" s="95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-132.1</v>
      </c>
      <c r="M6" s="26" t="s">
        <v>202</v>
      </c>
      <c r="N6" s="45">
        <f t="shared" si="0"/>
        <v>-6000</v>
      </c>
      <c r="O6" s="42">
        <v>-12000</v>
      </c>
      <c r="P6" s="37">
        <v>2</v>
      </c>
    </row>
    <row r="7" spans="1:16" x14ac:dyDescent="0.45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203</v>
      </c>
      <c r="N7" s="46">
        <f t="shared" si="0"/>
        <v>-5000</v>
      </c>
      <c r="O7" s="43">
        <v>-5000</v>
      </c>
      <c r="P7" s="38">
        <v>1</v>
      </c>
    </row>
    <row r="8" spans="1:16" x14ac:dyDescent="0.45">
      <c r="A8" s="58" t="s">
        <v>3</v>
      </c>
      <c r="B8" s="50">
        <v>0</v>
      </c>
      <c r="C8" s="27">
        <f t="shared" ref="C8:C9" si="1">IF(B$2=0,0,B8/B$2)</f>
        <v>0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5">
      <c r="A9" s="59" t="s">
        <v>4</v>
      </c>
      <c r="B9" s="51">
        <v>4</v>
      </c>
      <c r="C9" s="29">
        <f t="shared" si="1"/>
        <v>1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5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5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5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5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5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5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5">
      <c r="A16" s="57" t="s">
        <v>10</v>
      </c>
      <c r="B16" s="49">
        <f>B17+B18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5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5">
      <c r="A18" s="58" t="s">
        <v>12</v>
      </c>
      <c r="B18" s="50">
        <v>1</v>
      </c>
      <c r="C18" s="27">
        <f>IF(B$3=0,0,B18/B$3)</f>
        <v>0.04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5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5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5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5">
      <c r="A22" s="57" t="s">
        <v>195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5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5">
      <c r="A24" s="57" t="s">
        <v>128</v>
      </c>
      <c r="B24" s="82">
        <v>0</v>
      </c>
      <c r="C24" s="83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5">
      <c r="A25" s="60" t="s">
        <v>129</v>
      </c>
      <c r="B25" s="84">
        <v>0</v>
      </c>
      <c r="C25" s="85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5">
      <c r="A26" s="56" t="s">
        <v>231</v>
      </c>
      <c r="B26" s="86">
        <v>0</v>
      </c>
      <c r="C26" s="87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5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46CE5-6B47-4CB2-984D-436FCBE38FA0}">
  <sheetPr codeName="Sheet6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 t="s">
        <v>215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2">
        <v>2</v>
      </c>
      <c r="C2" s="83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-11250</v>
      </c>
      <c r="O2" s="41">
        <v>-22500</v>
      </c>
      <c r="P2" s="39">
        <v>2</v>
      </c>
    </row>
    <row r="3" spans="1:16" x14ac:dyDescent="0.45">
      <c r="A3" s="58" t="s">
        <v>8</v>
      </c>
      <c r="B3" s="90">
        <v>7</v>
      </c>
      <c r="C3" s="91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7</v>
      </c>
      <c r="M3" s="26" t="s">
        <v>199</v>
      </c>
      <c r="N3" s="45">
        <f t="shared" si="0"/>
        <v>0</v>
      </c>
      <c r="O3" s="42">
        <v>0</v>
      </c>
      <c r="P3" s="37">
        <v>1</v>
      </c>
    </row>
    <row r="4" spans="1:16" x14ac:dyDescent="0.45">
      <c r="A4" s="58" t="s">
        <v>6</v>
      </c>
      <c r="B4" s="92">
        <v>-24.5</v>
      </c>
      <c r="C4" s="93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-24.5</v>
      </c>
      <c r="M4" s="26" t="s">
        <v>200</v>
      </c>
      <c r="N4" s="45">
        <f t="shared" si="0"/>
        <v>-2000</v>
      </c>
      <c r="O4" s="42">
        <v>-2000</v>
      </c>
      <c r="P4" s="37">
        <v>1</v>
      </c>
    </row>
    <row r="5" spans="1:16" x14ac:dyDescent="0.45">
      <c r="A5" s="58" t="s">
        <v>7</v>
      </c>
      <c r="B5" s="92">
        <f>IF(B$2=0,0,B$4/B$2)</f>
        <v>-12.25</v>
      </c>
      <c r="C5" s="93"/>
      <c r="E5" s="68" t="s">
        <v>72</v>
      </c>
      <c r="F5" s="64" t="s">
        <v>26</v>
      </c>
      <c r="G5" s="50">
        <v>0</v>
      </c>
      <c r="H5" s="27">
        <f>IF(B$25=0,0,G5/B$25)</f>
        <v>0</v>
      </c>
      <c r="M5" s="26" t="s">
        <v>201</v>
      </c>
      <c r="N5" s="45">
        <f t="shared" si="0"/>
        <v>0</v>
      </c>
      <c r="O5" s="42">
        <v>0</v>
      </c>
      <c r="P5" s="37">
        <v>0</v>
      </c>
    </row>
    <row r="6" spans="1:16" x14ac:dyDescent="0.45">
      <c r="A6" s="58" t="s">
        <v>1</v>
      </c>
      <c r="B6" s="94">
        <f>IF(B$2=0,0,(B$7*1+B$8*2+B$9*3)/B$2)</f>
        <v>2.5</v>
      </c>
      <c r="C6" s="95"/>
      <c r="E6" s="68" t="s">
        <v>73</v>
      </c>
      <c r="F6" s="64" t="s">
        <v>27</v>
      </c>
      <c r="G6" s="50">
        <v>0</v>
      </c>
      <c r="H6" s="27">
        <f>IF(B$25=0,0,G6/B$25)</f>
        <v>0</v>
      </c>
      <c r="M6" s="26" t="s">
        <v>202</v>
      </c>
      <c r="N6" s="45">
        <f t="shared" si="0"/>
        <v>0</v>
      </c>
      <c r="O6" s="42">
        <v>0</v>
      </c>
      <c r="P6" s="37">
        <v>0</v>
      </c>
    </row>
    <row r="7" spans="1:16" x14ac:dyDescent="0.45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203</v>
      </c>
      <c r="N7" s="46">
        <f t="shared" si="0"/>
        <v>0</v>
      </c>
      <c r="O7" s="43">
        <v>0</v>
      </c>
      <c r="P7" s="38">
        <v>0</v>
      </c>
    </row>
    <row r="8" spans="1:16" x14ac:dyDescent="0.45">
      <c r="A8" s="58" t="s">
        <v>3</v>
      </c>
      <c r="B8" s="50">
        <v>1</v>
      </c>
      <c r="C8" s="27">
        <f t="shared" ref="C8:C9" si="1">IF(B$2=0,0,B8/B$2)</f>
        <v>0.5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5">
      <c r="A9" s="59" t="s">
        <v>4</v>
      </c>
      <c r="B9" s="51">
        <v>1</v>
      </c>
      <c r="C9" s="29">
        <f t="shared" si="1"/>
        <v>0.5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5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5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5">
      <c r="A12" s="61" t="s">
        <v>130</v>
      </c>
      <c r="B12" s="53">
        <v>1</v>
      </c>
      <c r="C12" s="35">
        <f>IF(B$24=0,0,B12/B$24)</f>
        <v>0.5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5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5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5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5">
      <c r="A16" s="57" t="s">
        <v>10</v>
      </c>
      <c r="B16" s="49">
        <f>B17+B18</f>
        <v>2</v>
      </c>
      <c r="C16" s="24">
        <f>IF(B$3=0,0,B16/B$3)</f>
        <v>0.2857142857142857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5">
      <c r="A17" s="58" t="s">
        <v>11</v>
      </c>
      <c r="B17" s="50">
        <v>2</v>
      </c>
      <c r="C17" s="27">
        <f>IF(B$3=0,0,B17/B$3)</f>
        <v>0.2857142857142857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5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5">
      <c r="A19" s="58" t="s">
        <v>13</v>
      </c>
      <c r="B19" s="50">
        <v>2</v>
      </c>
      <c r="C19" s="27">
        <f>IF(B$3=0,0,B19/B$3)</f>
        <v>0.2857142857142857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5">
      <c r="A20" s="58" t="s">
        <v>5</v>
      </c>
      <c r="B20" s="54">
        <f>IF(B$16=0,0,C20/B$16)</f>
        <v>8000</v>
      </c>
      <c r="C20" s="30">
        <v>16000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5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5">
      <c r="A22" s="57" t="s">
        <v>195</v>
      </c>
      <c r="B22" s="49">
        <v>1</v>
      </c>
      <c r="C22" s="24">
        <f>IF(B$3=0,0,B22/B$3)</f>
        <v>0.14285714285714285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5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5">
      <c r="A24" s="57" t="s">
        <v>128</v>
      </c>
      <c r="B24" s="82">
        <v>2</v>
      </c>
      <c r="C24" s="83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5">
      <c r="A25" s="60" t="s">
        <v>129</v>
      </c>
      <c r="B25" s="84">
        <v>0</v>
      </c>
      <c r="C25" s="85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5">
      <c r="A26" s="56" t="s">
        <v>231</v>
      </c>
      <c r="B26" s="86">
        <v>0</v>
      </c>
      <c r="C26" s="87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5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A6E86-A548-4F4D-8691-9D8BFA24FC86}">
  <sheetPr codeName="Sheet7"/>
  <dimension ref="A1:P90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 t="s">
        <v>187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2">
        <v>88</v>
      </c>
      <c r="C2" s="83"/>
      <c r="E2" s="67" t="s">
        <v>73</v>
      </c>
      <c r="F2" s="63" t="s">
        <v>27</v>
      </c>
      <c r="G2" s="49">
        <v>81</v>
      </c>
      <c r="H2" s="24">
        <f>IF(B$25=0,0,G2/B$25)</f>
        <v>0.74311926605504586</v>
      </c>
      <c r="J2" s="23">
        <v>0</v>
      </c>
      <c r="K2" s="25">
        <v>0</v>
      </c>
      <c r="M2" s="23" t="s">
        <v>198</v>
      </c>
      <c r="N2" s="44">
        <f t="shared" ref="N2:N7" si="0">IF(P2=0,0,O2/P2)</f>
        <v>-79.069767441860463</v>
      </c>
      <c r="O2" s="41">
        <v>-6800</v>
      </c>
      <c r="P2" s="39">
        <v>86</v>
      </c>
    </row>
    <row r="3" spans="1:16" x14ac:dyDescent="0.45">
      <c r="A3" s="58" t="s">
        <v>8</v>
      </c>
      <c r="B3" s="90">
        <v>662</v>
      </c>
      <c r="C3" s="91"/>
      <c r="E3" s="68" t="s">
        <v>71</v>
      </c>
      <c r="F3" s="64" t="s">
        <v>25</v>
      </c>
      <c r="G3" s="50">
        <v>74</v>
      </c>
      <c r="H3" s="27">
        <f>IF(B$25=0,0,G3/B$25)</f>
        <v>0.67889908256880738</v>
      </c>
      <c r="J3" s="26">
        <v>1</v>
      </c>
      <c r="K3" s="28">
        <v>40.9</v>
      </c>
      <c r="M3" s="26" t="s">
        <v>199</v>
      </c>
      <c r="N3" s="45">
        <f t="shared" si="0"/>
        <v>-1764.6341463414635</v>
      </c>
      <c r="O3" s="42">
        <v>-144700</v>
      </c>
      <c r="P3" s="37">
        <v>82</v>
      </c>
    </row>
    <row r="4" spans="1:16" x14ac:dyDescent="0.45">
      <c r="A4" s="58" t="s">
        <v>6</v>
      </c>
      <c r="B4" s="92">
        <v>-377.49999999999994</v>
      </c>
      <c r="C4" s="93"/>
      <c r="E4" s="68" t="s">
        <v>69</v>
      </c>
      <c r="F4" s="64" t="s">
        <v>23</v>
      </c>
      <c r="G4" s="50">
        <v>65</v>
      </c>
      <c r="H4" s="27">
        <f>IF(B$25=0,0,G4/B$25)</f>
        <v>0.59633027522935778</v>
      </c>
      <c r="J4" s="26">
        <v>2</v>
      </c>
      <c r="K4" s="28">
        <v>-0.89999999999999858</v>
      </c>
      <c r="M4" s="26" t="s">
        <v>200</v>
      </c>
      <c r="N4" s="45">
        <f t="shared" si="0"/>
        <v>1831.6455696202531</v>
      </c>
      <c r="O4" s="42">
        <v>144700</v>
      </c>
      <c r="P4" s="37">
        <v>79</v>
      </c>
    </row>
    <row r="5" spans="1:16" x14ac:dyDescent="0.45">
      <c r="A5" s="58" t="s">
        <v>7</v>
      </c>
      <c r="B5" s="92">
        <f>IF(B$2=0,0,B$4/B$2)</f>
        <v>-4.2897727272727266</v>
      </c>
      <c r="C5" s="93"/>
      <c r="E5" s="68" t="s">
        <v>78</v>
      </c>
      <c r="F5" s="64" t="s">
        <v>31</v>
      </c>
      <c r="G5" s="50">
        <v>58</v>
      </c>
      <c r="H5" s="27">
        <f>IF(B$25=0,0,G5/B$25)</f>
        <v>0.5321100917431193</v>
      </c>
      <c r="J5" s="26">
        <v>3</v>
      </c>
      <c r="K5" s="28">
        <v>-36.4</v>
      </c>
      <c r="M5" s="26" t="s">
        <v>201</v>
      </c>
      <c r="N5" s="45">
        <f t="shared" si="0"/>
        <v>-2222.8571428571427</v>
      </c>
      <c r="O5" s="42">
        <v>-155600</v>
      </c>
      <c r="P5" s="37">
        <v>70</v>
      </c>
    </row>
    <row r="6" spans="1:16" x14ac:dyDescent="0.45">
      <c r="A6" s="58" t="s">
        <v>1</v>
      </c>
      <c r="B6" s="94">
        <f>IF(B$2=0,0,(B$7*1+B$8*2+B$9*3)/B$2)</f>
        <v>2.125</v>
      </c>
      <c r="C6" s="95"/>
      <c r="E6" s="68" t="s">
        <v>74</v>
      </c>
      <c r="F6" s="64" t="s">
        <v>12</v>
      </c>
      <c r="G6" s="50">
        <v>37</v>
      </c>
      <c r="H6" s="27">
        <f>IF(B$25=0,0,G6/B$25)</f>
        <v>0.33944954128440369</v>
      </c>
      <c r="J6" s="26">
        <v>4</v>
      </c>
      <c r="K6" s="28">
        <v>3.6000000000000014</v>
      </c>
      <c r="M6" s="26" t="s">
        <v>202</v>
      </c>
      <c r="N6" s="45">
        <f t="shared" si="0"/>
        <v>-2552.6315789473683</v>
      </c>
      <c r="O6" s="42">
        <v>-145500</v>
      </c>
      <c r="P6" s="37">
        <v>57</v>
      </c>
    </row>
    <row r="7" spans="1:16" x14ac:dyDescent="0.45">
      <c r="A7" s="58" t="s">
        <v>2</v>
      </c>
      <c r="B7" s="50">
        <v>26</v>
      </c>
      <c r="C7" s="27">
        <f>IF(B$2=0,0,B7/B$2)</f>
        <v>0.29545454545454547</v>
      </c>
      <c r="E7" s="68" t="s">
        <v>72</v>
      </c>
      <c r="F7" s="64" t="s">
        <v>26</v>
      </c>
      <c r="G7" s="50">
        <v>26</v>
      </c>
      <c r="H7" s="27">
        <f>IF(B$25=0,0,G7/B$25)</f>
        <v>0.23853211009174313</v>
      </c>
      <c r="J7" s="26">
        <v>5</v>
      </c>
      <c r="K7" s="28">
        <v>14.600000000000001</v>
      </c>
      <c r="M7" s="31" t="s">
        <v>203</v>
      </c>
      <c r="N7" s="46">
        <f t="shared" si="0"/>
        <v>-2445.4545454545455</v>
      </c>
      <c r="O7" s="43">
        <v>-107600</v>
      </c>
      <c r="P7" s="38">
        <v>44</v>
      </c>
    </row>
    <row r="8" spans="1:16" x14ac:dyDescent="0.45">
      <c r="A8" s="58" t="s">
        <v>3</v>
      </c>
      <c r="B8" s="50">
        <v>25</v>
      </c>
      <c r="C8" s="27">
        <f t="shared" ref="C8:C9" si="1">IF(B$2=0,0,B8/B$2)</f>
        <v>0.28409090909090912</v>
      </c>
      <c r="E8" s="68" t="s">
        <v>75</v>
      </c>
      <c r="F8" s="64" t="s">
        <v>28</v>
      </c>
      <c r="G8" s="50">
        <v>17</v>
      </c>
      <c r="H8" s="27">
        <f>IF(B$25=0,0,G8/B$25)</f>
        <v>0.15596330275229359</v>
      </c>
      <c r="J8" s="26">
        <v>6</v>
      </c>
      <c r="K8" s="28">
        <v>47.6</v>
      </c>
    </row>
    <row r="9" spans="1:16" x14ac:dyDescent="0.45">
      <c r="A9" s="59" t="s">
        <v>4</v>
      </c>
      <c r="B9" s="51">
        <v>37</v>
      </c>
      <c r="C9" s="29">
        <f t="shared" si="1"/>
        <v>0.42045454545454547</v>
      </c>
      <c r="E9" s="68" t="s">
        <v>76</v>
      </c>
      <c r="F9" s="64" t="s">
        <v>29</v>
      </c>
      <c r="G9" s="50">
        <v>17</v>
      </c>
      <c r="H9" s="27">
        <f>IF(B$25=0,0,G9/B$25)</f>
        <v>0.15596330275229359</v>
      </c>
      <c r="J9" s="26">
        <v>7</v>
      </c>
      <c r="K9" s="28">
        <v>100.1</v>
      </c>
    </row>
    <row r="10" spans="1:16" x14ac:dyDescent="0.45">
      <c r="A10" s="59" t="s">
        <v>21</v>
      </c>
      <c r="B10" s="51">
        <v>21</v>
      </c>
      <c r="C10" s="29">
        <f>IF(B$2=0,0,B10/B$2)</f>
        <v>0.23863636363636365</v>
      </c>
      <c r="E10" s="68" t="s">
        <v>96</v>
      </c>
      <c r="F10" s="64" t="s">
        <v>49</v>
      </c>
      <c r="G10" s="50">
        <v>16</v>
      </c>
      <c r="H10" s="27">
        <f>IF(B$25=0,0,G10/B$25)</f>
        <v>0.14678899082568808</v>
      </c>
      <c r="J10" s="26">
        <v>8</v>
      </c>
      <c r="K10" s="28">
        <v>60.199999999999996</v>
      </c>
    </row>
    <row r="11" spans="1:16" x14ac:dyDescent="0.45">
      <c r="A11" s="60" t="s">
        <v>208</v>
      </c>
      <c r="B11" s="52">
        <v>13</v>
      </c>
      <c r="C11" s="32">
        <f>IF(B$2=0,0,B11/B$2)</f>
        <v>0.14772727272727273</v>
      </c>
      <c r="E11" s="68" t="s">
        <v>70</v>
      </c>
      <c r="F11" s="64" t="s">
        <v>24</v>
      </c>
      <c r="G11" s="50">
        <v>13</v>
      </c>
      <c r="H11" s="27">
        <f>IF(B$25=0,0,G11/B$25)</f>
        <v>0.11926605504587157</v>
      </c>
      <c r="J11" s="26">
        <v>9</v>
      </c>
      <c r="K11" s="28">
        <v>24.4</v>
      </c>
    </row>
    <row r="12" spans="1:16" x14ac:dyDescent="0.45">
      <c r="A12" s="61" t="s">
        <v>130</v>
      </c>
      <c r="B12" s="53">
        <v>115</v>
      </c>
      <c r="C12" s="35">
        <f>IF(B$24=0,0,B12/B$24)</f>
        <v>0.28678304239401498</v>
      </c>
      <c r="E12" s="68" t="s">
        <v>93</v>
      </c>
      <c r="F12" s="64" t="s">
        <v>46</v>
      </c>
      <c r="G12" s="50">
        <v>13</v>
      </c>
      <c r="H12" s="27">
        <f>IF(B$25=0,0,G12/B$25)</f>
        <v>0.11926605504587157</v>
      </c>
      <c r="J12" s="26">
        <v>10</v>
      </c>
      <c r="K12" s="28">
        <v>-20.100000000000001</v>
      </c>
    </row>
    <row r="13" spans="1:16" x14ac:dyDescent="0.45">
      <c r="A13" s="58" t="s">
        <v>125</v>
      </c>
      <c r="B13" s="50">
        <v>74</v>
      </c>
      <c r="C13" s="27">
        <f>IF(B$24=0,0,B13/B$24)</f>
        <v>0.18453865336658354</v>
      </c>
      <c r="E13" s="68" t="s">
        <v>90</v>
      </c>
      <c r="F13" s="64" t="s">
        <v>43</v>
      </c>
      <c r="G13" s="50">
        <v>10</v>
      </c>
      <c r="H13" s="27">
        <f>IF(B$25=0,0,G13/B$25)</f>
        <v>9.1743119266055051E-2</v>
      </c>
      <c r="J13" s="26">
        <v>11</v>
      </c>
      <c r="K13" s="28">
        <v>-3.6000000000000014</v>
      </c>
    </row>
    <row r="14" spans="1:16" x14ac:dyDescent="0.45">
      <c r="A14" s="57" t="s">
        <v>132</v>
      </c>
      <c r="B14" s="49">
        <v>66</v>
      </c>
      <c r="C14" s="24">
        <f>IF(B$12=0,0,B14/B$12)</f>
        <v>0.57391304347826089</v>
      </c>
      <c r="E14" s="68" t="s">
        <v>98</v>
      </c>
      <c r="F14" s="64" t="s">
        <v>51</v>
      </c>
      <c r="G14" s="50">
        <v>6</v>
      </c>
      <c r="H14" s="27">
        <f>IF(B$25=0,0,G14/B$25)</f>
        <v>5.5045871559633031E-2</v>
      </c>
      <c r="J14" s="26">
        <v>12</v>
      </c>
      <c r="K14" s="28">
        <v>-12.000000000000002</v>
      </c>
    </row>
    <row r="15" spans="1:16" x14ac:dyDescent="0.45">
      <c r="A15" s="57" t="s">
        <v>133</v>
      </c>
      <c r="B15" s="49">
        <v>28</v>
      </c>
      <c r="C15" s="24">
        <f>IF(B$13=0,0,B15/B$13)</f>
        <v>0.3783783783783784</v>
      </c>
      <c r="E15" s="68" t="s">
        <v>77</v>
      </c>
      <c r="F15" s="64" t="s">
        <v>30</v>
      </c>
      <c r="G15" s="50">
        <v>4</v>
      </c>
      <c r="H15" s="27">
        <f>IF(B$25=0,0,G15/B$25)</f>
        <v>3.669724770642202E-2</v>
      </c>
      <c r="J15" s="26">
        <v>13</v>
      </c>
      <c r="K15" s="28">
        <v>49.5</v>
      </c>
    </row>
    <row r="16" spans="1:16" x14ac:dyDescent="0.45">
      <c r="A16" s="57" t="s">
        <v>10</v>
      </c>
      <c r="B16" s="49">
        <f>B17+B18</f>
        <v>170</v>
      </c>
      <c r="C16" s="24">
        <f>IF(B$3=0,0,B16/B$3)</f>
        <v>0.25679758308157102</v>
      </c>
      <c r="E16" s="68" t="s">
        <v>88</v>
      </c>
      <c r="F16" s="64" t="s">
        <v>41</v>
      </c>
      <c r="G16" s="50">
        <v>4</v>
      </c>
      <c r="H16" s="27">
        <f>IF(B$25=0,0,G16/B$25)</f>
        <v>3.669724770642202E-2</v>
      </c>
      <c r="J16" s="26">
        <v>14</v>
      </c>
      <c r="K16" s="28">
        <v>33</v>
      </c>
    </row>
    <row r="17" spans="1:11" x14ac:dyDescent="0.45">
      <c r="A17" s="58" t="s">
        <v>11</v>
      </c>
      <c r="B17" s="50">
        <v>99</v>
      </c>
      <c r="C17" s="27">
        <f>IF(B$3=0,0,B17/B$3)</f>
        <v>0.14954682779456194</v>
      </c>
      <c r="E17" s="68" t="s">
        <v>84</v>
      </c>
      <c r="F17" s="64" t="s">
        <v>37</v>
      </c>
      <c r="G17" s="50">
        <v>2</v>
      </c>
      <c r="H17" s="27">
        <f>IF(B$25=0,0,G17/B$25)</f>
        <v>1.834862385321101E-2</v>
      </c>
      <c r="J17" s="26">
        <v>15</v>
      </c>
      <c r="K17" s="28">
        <v>38.5</v>
      </c>
    </row>
    <row r="18" spans="1:11" x14ac:dyDescent="0.45">
      <c r="A18" s="58" t="s">
        <v>12</v>
      </c>
      <c r="B18" s="50">
        <v>71</v>
      </c>
      <c r="C18" s="27">
        <f>IF(B$3=0,0,B18/B$3)</f>
        <v>0.10725075528700906</v>
      </c>
      <c r="E18" s="68" t="s">
        <v>85</v>
      </c>
      <c r="F18" s="64" t="s">
        <v>38</v>
      </c>
      <c r="G18" s="50">
        <v>2</v>
      </c>
      <c r="H18" s="27">
        <f>IF(B$25=0,0,G18/B$25)</f>
        <v>1.834862385321101E-2</v>
      </c>
      <c r="J18" s="26">
        <v>16</v>
      </c>
      <c r="K18" s="28">
        <v>14.600000000000001</v>
      </c>
    </row>
    <row r="19" spans="1:11" x14ac:dyDescent="0.45">
      <c r="A19" s="58" t="s">
        <v>13</v>
      </c>
      <c r="B19" s="50">
        <v>130</v>
      </c>
      <c r="C19" s="27">
        <f>IF(B$3=0,0,B19/B$3)</f>
        <v>0.19637462235649547</v>
      </c>
      <c r="E19" s="68" t="s">
        <v>92</v>
      </c>
      <c r="F19" s="64" t="s">
        <v>45</v>
      </c>
      <c r="G19" s="50">
        <v>2</v>
      </c>
      <c r="H19" s="27">
        <f>IF(B$25=0,0,G19/B$25)</f>
        <v>1.834862385321101E-2</v>
      </c>
      <c r="J19" s="26">
        <v>17</v>
      </c>
      <c r="K19" s="28">
        <v>13.900000000000002</v>
      </c>
    </row>
    <row r="20" spans="1:11" x14ac:dyDescent="0.45">
      <c r="A20" s="58" t="s">
        <v>5</v>
      </c>
      <c r="B20" s="54">
        <f>IF(B$16=0,0,C20/B$16)</f>
        <v>11335.294117647059</v>
      </c>
      <c r="C20" s="30">
        <v>1927000</v>
      </c>
      <c r="E20" s="68" t="s">
        <v>99</v>
      </c>
      <c r="F20" s="64" t="s">
        <v>52</v>
      </c>
      <c r="G20" s="50">
        <v>2</v>
      </c>
      <c r="H20" s="27">
        <f>IF(B$25=0,0,G20/B$25)</f>
        <v>1.834862385321101E-2</v>
      </c>
      <c r="J20" s="26">
        <v>18</v>
      </c>
      <c r="K20" s="28">
        <v>-21.999999999999996</v>
      </c>
    </row>
    <row r="21" spans="1:11" x14ac:dyDescent="0.45">
      <c r="A21" s="60" t="s">
        <v>14</v>
      </c>
      <c r="B21" s="55">
        <f>IF(B$19=0,0,C21/B$19)</f>
        <v>-10336.153846153846</v>
      </c>
      <c r="C21" s="48">
        <v>-1343700</v>
      </c>
      <c r="E21" s="68" t="s">
        <v>87</v>
      </c>
      <c r="F21" s="64" t="s">
        <v>40</v>
      </c>
      <c r="G21" s="50">
        <v>1</v>
      </c>
      <c r="H21" s="27">
        <f>IF(B$25=0,0,G21/B$25)</f>
        <v>9.1743119266055051E-3</v>
      </c>
      <c r="J21" s="26">
        <v>19</v>
      </c>
      <c r="K21" s="28">
        <v>-26.699999999999996</v>
      </c>
    </row>
    <row r="22" spans="1:11" x14ac:dyDescent="0.45">
      <c r="A22" s="57" t="s">
        <v>195</v>
      </c>
      <c r="B22" s="49">
        <v>208</v>
      </c>
      <c r="C22" s="24">
        <f>IF(B$3=0,0,B22/B$3)</f>
        <v>0.31419939577039274</v>
      </c>
      <c r="E22" s="68" t="s">
        <v>91</v>
      </c>
      <c r="F22" s="64" t="s">
        <v>44</v>
      </c>
      <c r="G22" s="50">
        <v>1</v>
      </c>
      <c r="H22" s="27">
        <f>IF(B$25=0,0,G22/B$25)</f>
        <v>9.1743119266055051E-3</v>
      </c>
      <c r="J22" s="26">
        <v>20</v>
      </c>
      <c r="K22" s="28">
        <v>-57.899999999999991</v>
      </c>
    </row>
    <row r="23" spans="1:11" x14ac:dyDescent="0.45">
      <c r="A23" s="60" t="s">
        <v>196</v>
      </c>
      <c r="B23" s="52">
        <v>65</v>
      </c>
      <c r="C23" s="32">
        <f>IF(B$22=0,0,B23/B$22)</f>
        <v>0.3125</v>
      </c>
      <c r="E23" s="68" t="s">
        <v>94</v>
      </c>
      <c r="F23" s="64" t="s">
        <v>47</v>
      </c>
      <c r="G23" s="50">
        <v>1</v>
      </c>
      <c r="H23" s="27">
        <f>IF(B$25=0,0,G23/B$25)</f>
        <v>9.1743119266055051E-3</v>
      </c>
      <c r="J23" s="26">
        <v>21</v>
      </c>
      <c r="K23" s="28">
        <v>-82.699999999999989</v>
      </c>
    </row>
    <row r="24" spans="1:11" x14ac:dyDescent="0.45">
      <c r="A24" s="57" t="s">
        <v>128</v>
      </c>
      <c r="B24" s="82">
        <v>401</v>
      </c>
      <c r="C24" s="83"/>
      <c r="E24" s="68" t="s">
        <v>95</v>
      </c>
      <c r="F24" s="64" t="s">
        <v>48</v>
      </c>
      <c r="G24" s="50">
        <v>1</v>
      </c>
      <c r="H24" s="27">
        <f>IF(B$25=0,0,G24/B$25)</f>
        <v>9.1743119266055051E-3</v>
      </c>
      <c r="J24" s="26">
        <v>22</v>
      </c>
      <c r="K24" s="28">
        <v>-94.6</v>
      </c>
    </row>
    <row r="25" spans="1:11" x14ac:dyDescent="0.45">
      <c r="A25" s="60" t="s">
        <v>129</v>
      </c>
      <c r="B25" s="84">
        <v>109</v>
      </c>
      <c r="C25" s="85"/>
      <c r="E25" s="68" t="s">
        <v>79</v>
      </c>
      <c r="F25" s="64" t="s">
        <v>32</v>
      </c>
      <c r="G25" s="50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5">
      <c r="A26" s="56" t="s">
        <v>231</v>
      </c>
      <c r="B26" s="86">
        <v>10</v>
      </c>
      <c r="C26" s="87"/>
      <c r="E26" s="68" t="s">
        <v>80</v>
      </c>
      <c r="F26" s="64" t="s">
        <v>33</v>
      </c>
      <c r="G26" s="50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5">
      <c r="E27" s="68" t="s">
        <v>81</v>
      </c>
      <c r="F27" s="64" t="s">
        <v>34</v>
      </c>
      <c r="G27" s="50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5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5">
      <c r="E29" s="68" t="s">
        <v>83</v>
      </c>
      <c r="F29" s="64" t="s">
        <v>36</v>
      </c>
      <c r="G29" s="50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5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5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5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5">
      <c r="J52" s="26">
        <v>50</v>
      </c>
      <c r="K52" s="28">
        <v>-287.09999999999997</v>
      </c>
    </row>
    <row r="53" spans="5:11" x14ac:dyDescent="0.45">
      <c r="J53" s="26">
        <v>51</v>
      </c>
      <c r="K53" s="28">
        <v>-269.59999999999997</v>
      </c>
    </row>
    <row r="54" spans="5:11" x14ac:dyDescent="0.45">
      <c r="J54" s="26">
        <v>52</v>
      </c>
      <c r="K54" s="28">
        <v>-308.09999999999997</v>
      </c>
    </row>
    <row r="55" spans="5:11" x14ac:dyDescent="0.45">
      <c r="J55" s="26">
        <v>53</v>
      </c>
      <c r="K55" s="28">
        <v>-336.49999999999994</v>
      </c>
    </row>
    <row r="56" spans="5:11" x14ac:dyDescent="0.45">
      <c r="J56" s="26">
        <v>54</v>
      </c>
      <c r="K56" s="28">
        <v>-378.89999999999992</v>
      </c>
    </row>
    <row r="57" spans="5:11" x14ac:dyDescent="0.45">
      <c r="J57" s="26">
        <v>55</v>
      </c>
      <c r="K57" s="28">
        <v>-364.2999999999999</v>
      </c>
    </row>
    <row r="58" spans="5:11" x14ac:dyDescent="0.45">
      <c r="J58" s="26">
        <v>56</v>
      </c>
      <c r="K58" s="28">
        <v>-316.2999999999999</v>
      </c>
    </row>
    <row r="59" spans="5:11" x14ac:dyDescent="0.45">
      <c r="J59" s="26">
        <v>57</v>
      </c>
      <c r="K59" s="28">
        <v>-312.49999999999989</v>
      </c>
    </row>
    <row r="60" spans="5:11" x14ac:dyDescent="0.45">
      <c r="J60" s="26">
        <v>58</v>
      </c>
      <c r="K60" s="28">
        <v>-254.59999999999988</v>
      </c>
    </row>
    <row r="61" spans="5:11" x14ac:dyDescent="0.45">
      <c r="J61" s="26">
        <v>59</v>
      </c>
      <c r="K61" s="28">
        <v>-205.09999999999988</v>
      </c>
    </row>
    <row r="62" spans="5:11" x14ac:dyDescent="0.45">
      <c r="J62" s="26">
        <v>60</v>
      </c>
      <c r="K62" s="28">
        <v>-214.59999999999988</v>
      </c>
    </row>
    <row r="63" spans="5:11" x14ac:dyDescent="0.45">
      <c r="J63" s="26">
        <v>61</v>
      </c>
      <c r="K63" s="28">
        <v>-211.89999999999989</v>
      </c>
    </row>
    <row r="64" spans="5:11" x14ac:dyDescent="0.45">
      <c r="J64" s="26">
        <v>62</v>
      </c>
      <c r="K64" s="28">
        <v>-250.89999999999989</v>
      </c>
    </row>
    <row r="65" spans="10:11" x14ac:dyDescent="0.45">
      <c r="J65" s="26">
        <v>63</v>
      </c>
      <c r="K65" s="28">
        <v>-290.99999999999989</v>
      </c>
    </row>
    <row r="66" spans="10:11" x14ac:dyDescent="0.45">
      <c r="J66" s="26">
        <v>64</v>
      </c>
      <c r="K66" s="28">
        <v>-356.99999999999989</v>
      </c>
    </row>
    <row r="67" spans="10:11" x14ac:dyDescent="0.45">
      <c r="J67" s="26">
        <v>65</v>
      </c>
      <c r="K67" s="28">
        <v>-381.09999999999991</v>
      </c>
    </row>
    <row r="68" spans="10:11" x14ac:dyDescent="0.45">
      <c r="J68" s="26">
        <v>66</v>
      </c>
      <c r="K68" s="28">
        <v>-378.49999999999989</v>
      </c>
    </row>
    <row r="69" spans="10:11" x14ac:dyDescent="0.45">
      <c r="J69" s="26">
        <v>67</v>
      </c>
      <c r="K69" s="28">
        <v>-371.19999999999987</v>
      </c>
    </row>
    <row r="70" spans="10:11" x14ac:dyDescent="0.45">
      <c r="J70" s="26">
        <v>68</v>
      </c>
      <c r="K70" s="28">
        <v>-407.2999999999999</v>
      </c>
    </row>
    <row r="71" spans="10:11" x14ac:dyDescent="0.45">
      <c r="J71" s="26">
        <v>69</v>
      </c>
      <c r="K71" s="28">
        <v>-412.49999999999989</v>
      </c>
    </row>
    <row r="72" spans="10:11" x14ac:dyDescent="0.45">
      <c r="J72" s="26">
        <v>70</v>
      </c>
      <c r="K72" s="28">
        <v>-379.49999999999989</v>
      </c>
    </row>
    <row r="73" spans="10:11" x14ac:dyDescent="0.45">
      <c r="J73" s="26">
        <v>71</v>
      </c>
      <c r="K73" s="28">
        <v>-374.2999999999999</v>
      </c>
    </row>
    <row r="74" spans="10:11" x14ac:dyDescent="0.45">
      <c r="J74" s="26">
        <v>72</v>
      </c>
      <c r="K74" s="28">
        <v>-409.7999999999999</v>
      </c>
    </row>
    <row r="75" spans="10:11" x14ac:dyDescent="0.45">
      <c r="J75" s="26">
        <v>73</v>
      </c>
      <c r="K75" s="28">
        <v>-393.59999999999991</v>
      </c>
    </row>
    <row r="76" spans="10:11" x14ac:dyDescent="0.45">
      <c r="J76" s="26">
        <v>74</v>
      </c>
      <c r="K76" s="28">
        <v>-399.49999999999989</v>
      </c>
    </row>
    <row r="77" spans="10:11" x14ac:dyDescent="0.45">
      <c r="J77" s="26">
        <v>75</v>
      </c>
      <c r="K77" s="28">
        <v>-419.69999999999987</v>
      </c>
    </row>
    <row r="78" spans="10:11" x14ac:dyDescent="0.45">
      <c r="J78" s="26">
        <v>76</v>
      </c>
      <c r="K78" s="28">
        <v>-369.69999999999987</v>
      </c>
    </row>
    <row r="79" spans="10:11" x14ac:dyDescent="0.45">
      <c r="J79" s="26">
        <v>77</v>
      </c>
      <c r="K79" s="28">
        <v>-381.7999999999999</v>
      </c>
    </row>
    <row r="80" spans="10:11" x14ac:dyDescent="0.45">
      <c r="J80" s="26">
        <v>78</v>
      </c>
      <c r="K80" s="28">
        <v>-365.99999999999989</v>
      </c>
    </row>
    <row r="81" spans="10:11" x14ac:dyDescent="0.45">
      <c r="J81" s="26">
        <v>79</v>
      </c>
      <c r="K81" s="28">
        <v>-383.99999999999989</v>
      </c>
    </row>
    <row r="82" spans="10:11" x14ac:dyDescent="0.45">
      <c r="J82" s="26">
        <v>80</v>
      </c>
      <c r="K82" s="28">
        <v>-390.7999999999999</v>
      </c>
    </row>
    <row r="83" spans="10:11" x14ac:dyDescent="0.45">
      <c r="J83" s="26">
        <v>81</v>
      </c>
      <c r="K83" s="28">
        <v>-378.99999999999989</v>
      </c>
    </row>
    <row r="84" spans="10:11" x14ac:dyDescent="0.45">
      <c r="J84" s="26">
        <v>82</v>
      </c>
      <c r="K84" s="28">
        <v>-398.59999999999991</v>
      </c>
    </row>
    <row r="85" spans="10:11" x14ac:dyDescent="0.45">
      <c r="J85" s="26">
        <v>83</v>
      </c>
      <c r="K85" s="28">
        <v>-397.39999999999992</v>
      </c>
    </row>
    <row r="86" spans="10:11" x14ac:dyDescent="0.45">
      <c r="J86" s="26">
        <v>84</v>
      </c>
      <c r="K86" s="28">
        <v>-371.89999999999992</v>
      </c>
    </row>
    <row r="87" spans="10:11" x14ac:dyDescent="0.45">
      <c r="J87" s="26">
        <v>85</v>
      </c>
      <c r="K87" s="28">
        <v>-409.89999999999992</v>
      </c>
    </row>
    <row r="88" spans="10:11" x14ac:dyDescent="0.45">
      <c r="J88" s="26">
        <v>86</v>
      </c>
      <c r="K88" s="28">
        <v>-386.39999999999992</v>
      </c>
    </row>
    <row r="89" spans="10:11" x14ac:dyDescent="0.45">
      <c r="J89" s="26">
        <v>87</v>
      </c>
      <c r="K89" s="28">
        <v>-360.69999999999993</v>
      </c>
    </row>
    <row r="90" spans="10:11" x14ac:dyDescent="0.45">
      <c r="J90" s="26">
        <v>88</v>
      </c>
      <c r="K90" s="28">
        <v>-377.49999999999994</v>
      </c>
    </row>
  </sheetData>
  <sortState ref="E2:H90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B5169-5A3A-4088-B31D-D0A25CC19485}">
  <sheetPr codeName="Sheet8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 t="s">
        <v>188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2">
        <v>45</v>
      </c>
      <c r="C2" s="83"/>
      <c r="E2" s="67" t="s">
        <v>71</v>
      </c>
      <c r="F2" s="63" t="s">
        <v>25</v>
      </c>
      <c r="G2" s="49">
        <v>23</v>
      </c>
      <c r="H2" s="24">
        <f>IF(B$25=0,0,G2/B$25)</f>
        <v>0.95833333333333337</v>
      </c>
      <c r="J2" s="23">
        <v>0</v>
      </c>
      <c r="K2" s="25">
        <v>0</v>
      </c>
      <c r="M2" s="23" t="s">
        <v>198</v>
      </c>
      <c r="N2" s="44">
        <f t="shared" ref="N2:N7" si="0">IF(P2=0,0,O2/P2)</f>
        <v>-895.55555555555554</v>
      </c>
      <c r="O2" s="41">
        <v>-40300</v>
      </c>
      <c r="P2" s="39">
        <v>45</v>
      </c>
    </row>
    <row r="3" spans="1:16" x14ac:dyDescent="0.45">
      <c r="A3" s="58" t="s">
        <v>8</v>
      </c>
      <c r="B3" s="90">
        <v>317</v>
      </c>
      <c r="C3" s="91"/>
      <c r="E3" s="68" t="s">
        <v>73</v>
      </c>
      <c r="F3" s="64" t="s">
        <v>27</v>
      </c>
      <c r="G3" s="50">
        <v>22</v>
      </c>
      <c r="H3" s="27">
        <f>IF(B$25=0,0,G3/B$25)</f>
        <v>0.91666666666666663</v>
      </c>
      <c r="J3" s="26">
        <v>1</v>
      </c>
      <c r="K3" s="28">
        <v>-39.9</v>
      </c>
      <c r="M3" s="26" t="s">
        <v>199</v>
      </c>
      <c r="N3" s="45">
        <f t="shared" si="0"/>
        <v>3279.0697674418607</v>
      </c>
      <c r="O3" s="42">
        <v>141000</v>
      </c>
      <c r="P3" s="37">
        <v>43</v>
      </c>
    </row>
    <row r="4" spans="1:16" x14ac:dyDescent="0.45">
      <c r="A4" s="58" t="s">
        <v>6</v>
      </c>
      <c r="B4" s="92">
        <v>248.10000000000002</v>
      </c>
      <c r="C4" s="93"/>
      <c r="E4" s="68" t="s">
        <v>78</v>
      </c>
      <c r="F4" s="64" t="s">
        <v>31</v>
      </c>
      <c r="G4" s="50">
        <v>18</v>
      </c>
      <c r="H4" s="27">
        <f>IF(B$25=0,0,G4/B$25)</f>
        <v>0.75</v>
      </c>
      <c r="J4" s="26">
        <v>2</v>
      </c>
      <c r="K4" s="28">
        <v>-13.2</v>
      </c>
      <c r="M4" s="26" t="s">
        <v>200</v>
      </c>
      <c r="N4" s="45">
        <f t="shared" si="0"/>
        <v>-307.3170731707317</v>
      </c>
      <c r="O4" s="42">
        <v>-12600</v>
      </c>
      <c r="P4" s="37">
        <v>41</v>
      </c>
    </row>
    <row r="5" spans="1:16" x14ac:dyDescent="0.45">
      <c r="A5" s="58" t="s">
        <v>7</v>
      </c>
      <c r="B5" s="92">
        <f>IF(B$2=0,0,B$4/B$2)</f>
        <v>5.5133333333333336</v>
      </c>
      <c r="C5" s="93"/>
      <c r="E5" s="68" t="s">
        <v>69</v>
      </c>
      <c r="F5" s="64" t="s">
        <v>23</v>
      </c>
      <c r="G5" s="50">
        <v>9</v>
      </c>
      <c r="H5" s="27">
        <f>IF(B$25=0,0,G5/B$25)</f>
        <v>0.375</v>
      </c>
      <c r="J5" s="26">
        <v>3</v>
      </c>
      <c r="K5" s="28">
        <v>-57.7</v>
      </c>
      <c r="M5" s="26" t="s">
        <v>201</v>
      </c>
      <c r="N5" s="45">
        <f t="shared" si="0"/>
        <v>-1417.6470588235295</v>
      </c>
      <c r="O5" s="42">
        <v>-48200</v>
      </c>
      <c r="P5" s="37">
        <v>34</v>
      </c>
    </row>
    <row r="6" spans="1:16" x14ac:dyDescent="0.45">
      <c r="A6" s="58" t="s">
        <v>1</v>
      </c>
      <c r="B6" s="94">
        <f>IF(B$2=0,0,(B$7*1+B$8*2+B$9*3)/B$2)</f>
        <v>1.8666666666666667</v>
      </c>
      <c r="C6" s="95"/>
      <c r="E6" s="68" t="s">
        <v>72</v>
      </c>
      <c r="F6" s="64" t="s">
        <v>26</v>
      </c>
      <c r="G6" s="50">
        <v>8</v>
      </c>
      <c r="H6" s="27">
        <f>IF(B$25=0,0,G6/B$25)</f>
        <v>0.33333333333333331</v>
      </c>
      <c r="J6" s="26">
        <v>4</v>
      </c>
      <c r="K6" s="28">
        <v>-53.7</v>
      </c>
      <c r="M6" s="26" t="s">
        <v>202</v>
      </c>
      <c r="N6" s="45">
        <f t="shared" si="0"/>
        <v>7442.8571428571431</v>
      </c>
      <c r="O6" s="42">
        <v>208400</v>
      </c>
      <c r="P6" s="37">
        <v>28</v>
      </c>
    </row>
    <row r="7" spans="1:16" x14ac:dyDescent="0.45">
      <c r="A7" s="58" t="s">
        <v>2</v>
      </c>
      <c r="B7" s="50">
        <v>16</v>
      </c>
      <c r="C7" s="27">
        <f>IF(B$2=0,0,B7/B$2)</f>
        <v>0.35555555555555557</v>
      </c>
      <c r="E7" s="68" t="s">
        <v>74</v>
      </c>
      <c r="F7" s="64" t="s">
        <v>12</v>
      </c>
      <c r="G7" s="50">
        <v>6</v>
      </c>
      <c r="H7" s="27">
        <f>IF(B$25=0,0,G7/B$25)</f>
        <v>0.25</v>
      </c>
      <c r="J7" s="26">
        <v>5</v>
      </c>
      <c r="K7" s="28">
        <v>-45.7</v>
      </c>
      <c r="M7" s="31" t="s">
        <v>203</v>
      </c>
      <c r="N7" s="46">
        <f t="shared" si="0"/>
        <v>122.22222222222223</v>
      </c>
      <c r="O7" s="43">
        <v>2200</v>
      </c>
      <c r="P7" s="38">
        <v>18</v>
      </c>
    </row>
    <row r="8" spans="1:16" x14ac:dyDescent="0.45">
      <c r="A8" s="58" t="s">
        <v>3</v>
      </c>
      <c r="B8" s="50">
        <v>19</v>
      </c>
      <c r="C8" s="27">
        <f t="shared" ref="C8:C9" si="1">IF(B$2=0,0,B8/B$2)</f>
        <v>0.42222222222222222</v>
      </c>
      <c r="E8" s="68" t="s">
        <v>70</v>
      </c>
      <c r="F8" s="64" t="s">
        <v>24</v>
      </c>
      <c r="G8" s="50">
        <v>3</v>
      </c>
      <c r="H8" s="27">
        <f>IF(B$25=0,0,G8/B$25)</f>
        <v>0.125</v>
      </c>
      <c r="J8" s="26">
        <v>6</v>
      </c>
      <c r="K8" s="28">
        <v>-50.6</v>
      </c>
    </row>
    <row r="9" spans="1:16" x14ac:dyDescent="0.45">
      <c r="A9" s="59" t="s">
        <v>4</v>
      </c>
      <c r="B9" s="51">
        <v>10</v>
      </c>
      <c r="C9" s="29">
        <f t="shared" si="1"/>
        <v>0.22222222222222221</v>
      </c>
      <c r="E9" s="68" t="s">
        <v>90</v>
      </c>
      <c r="F9" s="64" t="s">
        <v>43</v>
      </c>
      <c r="G9" s="50">
        <v>3</v>
      </c>
      <c r="H9" s="27">
        <f>IF(B$25=0,0,G9/B$25)</f>
        <v>0.125</v>
      </c>
      <c r="J9" s="26">
        <v>7</v>
      </c>
      <c r="K9" s="28">
        <v>-47.6</v>
      </c>
    </row>
    <row r="10" spans="1:16" x14ac:dyDescent="0.45">
      <c r="A10" s="59" t="s">
        <v>21</v>
      </c>
      <c r="B10" s="51">
        <v>5</v>
      </c>
      <c r="C10" s="29">
        <f>IF(B$2=0,0,B10/B$2)</f>
        <v>0.1111111111111111</v>
      </c>
      <c r="E10" s="68" t="s">
        <v>75</v>
      </c>
      <c r="F10" s="64" t="s">
        <v>28</v>
      </c>
      <c r="G10" s="50">
        <v>2</v>
      </c>
      <c r="H10" s="27">
        <f>IF(B$25=0,0,G10/B$25)</f>
        <v>8.3333333333333329E-2</v>
      </c>
      <c r="J10" s="26">
        <v>8</v>
      </c>
      <c r="K10" s="28">
        <v>-59.1</v>
      </c>
    </row>
    <row r="11" spans="1:16" x14ac:dyDescent="0.45">
      <c r="A11" s="60" t="s">
        <v>208</v>
      </c>
      <c r="B11" s="52">
        <v>9</v>
      </c>
      <c r="C11" s="32">
        <f>IF(B$2=0,0,B11/B$2)</f>
        <v>0.2</v>
      </c>
      <c r="E11" s="68" t="s">
        <v>76</v>
      </c>
      <c r="F11" s="64" t="s">
        <v>29</v>
      </c>
      <c r="G11" s="50">
        <v>2</v>
      </c>
      <c r="H11" s="27">
        <f>IF(B$25=0,0,G11/B$25)</f>
        <v>8.3333333333333329E-2</v>
      </c>
      <c r="J11" s="26">
        <v>9</v>
      </c>
      <c r="K11" s="28">
        <v>-77.900000000000006</v>
      </c>
    </row>
    <row r="12" spans="1:16" x14ac:dyDescent="0.45">
      <c r="A12" s="61" t="s">
        <v>130</v>
      </c>
      <c r="B12" s="53">
        <v>16</v>
      </c>
      <c r="C12" s="35">
        <f>IF(B$24=0,0,B12/B$24)</f>
        <v>0.20253164556962025</v>
      </c>
      <c r="E12" s="68" t="s">
        <v>88</v>
      </c>
      <c r="F12" s="64" t="s">
        <v>41</v>
      </c>
      <c r="G12" s="50">
        <v>2</v>
      </c>
      <c r="H12" s="27">
        <f>IF(B$25=0,0,G12/B$25)</f>
        <v>8.3333333333333329E-2</v>
      </c>
      <c r="J12" s="26">
        <v>10</v>
      </c>
      <c r="K12" s="28">
        <v>-78.900000000000006</v>
      </c>
    </row>
    <row r="13" spans="1:16" x14ac:dyDescent="0.45">
      <c r="A13" s="58" t="s">
        <v>125</v>
      </c>
      <c r="B13" s="50">
        <v>28</v>
      </c>
      <c r="C13" s="27">
        <f>IF(B$24=0,0,B13/B$24)</f>
        <v>0.35443037974683544</v>
      </c>
      <c r="E13" s="68" t="s">
        <v>96</v>
      </c>
      <c r="F13" s="64" t="s">
        <v>49</v>
      </c>
      <c r="G13" s="50">
        <v>2</v>
      </c>
      <c r="H13" s="27">
        <f>IF(B$25=0,0,G13/B$25)</f>
        <v>8.3333333333333329E-2</v>
      </c>
      <c r="J13" s="26">
        <v>11</v>
      </c>
      <c r="K13" s="28">
        <v>-88.9</v>
      </c>
    </row>
    <row r="14" spans="1:16" x14ac:dyDescent="0.45">
      <c r="A14" s="57" t="s">
        <v>132</v>
      </c>
      <c r="B14" s="49">
        <v>9</v>
      </c>
      <c r="C14" s="24">
        <f>IF(B$12=0,0,B14/B$12)</f>
        <v>0.5625</v>
      </c>
      <c r="E14" s="68" t="s">
        <v>84</v>
      </c>
      <c r="F14" s="64" t="s">
        <v>37</v>
      </c>
      <c r="G14" s="50">
        <v>1</v>
      </c>
      <c r="H14" s="27">
        <f>IF(B$25=0,0,G14/B$25)</f>
        <v>4.1666666666666664E-2</v>
      </c>
      <c r="J14" s="26">
        <v>12</v>
      </c>
      <c r="K14" s="28">
        <v>-23.5</v>
      </c>
    </row>
    <row r="15" spans="1:16" x14ac:dyDescent="0.45">
      <c r="A15" s="57" t="s">
        <v>133</v>
      </c>
      <c r="B15" s="49">
        <v>10</v>
      </c>
      <c r="C15" s="24">
        <f>IF(B$13=0,0,B15/B$13)</f>
        <v>0.35714285714285715</v>
      </c>
      <c r="E15" s="68" t="s">
        <v>93</v>
      </c>
      <c r="F15" s="64" t="s">
        <v>46</v>
      </c>
      <c r="G15" s="50">
        <v>1</v>
      </c>
      <c r="H15" s="27">
        <f>IF(B$25=0,0,G15/B$25)</f>
        <v>4.1666666666666664E-2</v>
      </c>
      <c r="J15" s="26">
        <v>13</v>
      </c>
      <c r="K15" s="28">
        <v>-12.4</v>
      </c>
    </row>
    <row r="16" spans="1:16" x14ac:dyDescent="0.45">
      <c r="A16" s="57" t="s">
        <v>10</v>
      </c>
      <c r="B16" s="49">
        <f>B17+B18</f>
        <v>111</v>
      </c>
      <c r="C16" s="24">
        <f>IF(B$3=0,0,B16/B$3)</f>
        <v>0.35015772870662459</v>
      </c>
      <c r="E16" s="68" t="s">
        <v>77</v>
      </c>
      <c r="F16" s="64" t="s">
        <v>30</v>
      </c>
      <c r="G16" s="50">
        <v>0</v>
      </c>
      <c r="H16" s="27">
        <f>IF(B$25=0,0,G16/B$25)</f>
        <v>0</v>
      </c>
      <c r="J16" s="26">
        <v>14</v>
      </c>
      <c r="K16" s="28">
        <v>38.6</v>
      </c>
    </row>
    <row r="17" spans="1:11" x14ac:dyDescent="0.45">
      <c r="A17" s="58" t="s">
        <v>11</v>
      </c>
      <c r="B17" s="50">
        <v>61</v>
      </c>
      <c r="C17" s="27">
        <f>IF(B$3=0,0,B17/B$3)</f>
        <v>0.19242902208201892</v>
      </c>
      <c r="E17" s="68" t="s">
        <v>79</v>
      </c>
      <c r="F17" s="64" t="s">
        <v>32</v>
      </c>
      <c r="G17" s="50">
        <v>0</v>
      </c>
      <c r="H17" s="27">
        <f>IF(B$25=0,0,G17/B$25)</f>
        <v>0</v>
      </c>
      <c r="J17" s="26">
        <v>15</v>
      </c>
      <c r="K17" s="28">
        <v>55.8</v>
      </c>
    </row>
    <row r="18" spans="1:11" x14ac:dyDescent="0.45">
      <c r="A18" s="58" t="s">
        <v>12</v>
      </c>
      <c r="B18" s="50">
        <v>50</v>
      </c>
      <c r="C18" s="27">
        <f>IF(B$3=0,0,B18/B$3)</f>
        <v>0.15772870662460567</v>
      </c>
      <c r="E18" s="68" t="s">
        <v>80</v>
      </c>
      <c r="F18" s="64" t="s">
        <v>33</v>
      </c>
      <c r="G18" s="50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5">
      <c r="A19" s="58" t="s">
        <v>13</v>
      </c>
      <c r="B19" s="50">
        <v>49</v>
      </c>
      <c r="C19" s="27">
        <f>IF(B$3=0,0,B19/B$3)</f>
        <v>0.15457413249211358</v>
      </c>
      <c r="E19" s="68" t="s">
        <v>81</v>
      </c>
      <c r="F19" s="64" t="s">
        <v>34</v>
      </c>
      <c r="G19" s="50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5">
      <c r="A20" s="58" t="s">
        <v>5</v>
      </c>
      <c r="B20" s="54">
        <f>IF(B$16=0,0,C20/B$16)</f>
        <v>9851.3513513513517</v>
      </c>
      <c r="C20" s="30">
        <v>1093500</v>
      </c>
      <c r="E20" s="68" t="s">
        <v>82</v>
      </c>
      <c r="F20" s="64" t="s">
        <v>35</v>
      </c>
      <c r="G20" s="50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5">
      <c r="A21" s="60" t="s">
        <v>14</v>
      </c>
      <c r="B21" s="55">
        <f>IF(B$19=0,0,C21/B$19)</f>
        <v>-9134.6938775510207</v>
      </c>
      <c r="C21" s="48">
        <v>-447600</v>
      </c>
      <c r="E21" s="68" t="s">
        <v>83</v>
      </c>
      <c r="F21" s="64" t="s">
        <v>36</v>
      </c>
      <c r="G21" s="50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5">
      <c r="A22" s="57" t="s">
        <v>195</v>
      </c>
      <c r="B22" s="49">
        <v>115</v>
      </c>
      <c r="C22" s="24">
        <f>IF(B$3=0,0,B22/B$3)</f>
        <v>0.36277602523659308</v>
      </c>
      <c r="E22" s="68" t="s">
        <v>85</v>
      </c>
      <c r="F22" s="64" t="s">
        <v>38</v>
      </c>
      <c r="G22" s="50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5">
      <c r="A23" s="60" t="s">
        <v>196</v>
      </c>
      <c r="B23" s="52">
        <v>41</v>
      </c>
      <c r="C23" s="32">
        <f>IF(B$22=0,0,B23/B$22)</f>
        <v>0.35652173913043478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5">
      <c r="A24" s="57" t="s">
        <v>128</v>
      </c>
      <c r="B24" s="82">
        <v>79</v>
      </c>
      <c r="C24" s="83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5">
      <c r="A25" s="60" t="s">
        <v>129</v>
      </c>
      <c r="B25" s="84">
        <v>24</v>
      </c>
      <c r="C25" s="85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5">
      <c r="A26" s="56" t="s">
        <v>231</v>
      </c>
      <c r="B26" s="86">
        <v>6</v>
      </c>
      <c r="C26" s="87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5"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5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5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5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5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236.10000000000002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234.10000000000002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255.3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288.10000000000002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279.3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248.10000000000002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3BAC5-C4CF-4F02-A5B3-468C221177B9}">
  <sheetPr codeName="Sheet9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 t="s">
        <v>218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2">
        <v>5</v>
      </c>
      <c r="C2" s="83"/>
      <c r="E2" s="67" t="s">
        <v>69</v>
      </c>
      <c r="F2" s="63" t="s">
        <v>23</v>
      </c>
      <c r="G2" s="49">
        <v>6</v>
      </c>
      <c r="H2" s="24">
        <f>IF(B$25=0,0,G2/B$25)</f>
        <v>0.66666666666666663</v>
      </c>
      <c r="J2" s="23">
        <v>0</v>
      </c>
      <c r="K2" s="25">
        <v>0</v>
      </c>
      <c r="M2" s="23" t="s">
        <v>198</v>
      </c>
      <c r="N2" s="44">
        <f t="shared" ref="N2:N7" si="0">IF(P2=0,0,O2/P2)</f>
        <v>-2740</v>
      </c>
      <c r="O2" s="41">
        <v>-13700</v>
      </c>
      <c r="P2" s="39">
        <v>5</v>
      </c>
    </row>
    <row r="3" spans="1:16" x14ac:dyDescent="0.45">
      <c r="A3" s="58" t="s">
        <v>8</v>
      </c>
      <c r="B3" s="90">
        <v>37</v>
      </c>
      <c r="C3" s="91"/>
      <c r="E3" s="68" t="s">
        <v>73</v>
      </c>
      <c r="F3" s="64" t="s">
        <v>27</v>
      </c>
      <c r="G3" s="50">
        <v>6</v>
      </c>
      <c r="H3" s="27">
        <f>IF(B$25=0,0,G3/B$25)</f>
        <v>0.66666666666666663</v>
      </c>
      <c r="J3" s="26">
        <v>1</v>
      </c>
      <c r="K3" s="28">
        <v>-40.700000000000003</v>
      </c>
      <c r="M3" s="26" t="s">
        <v>199</v>
      </c>
      <c r="N3" s="45">
        <f t="shared" si="0"/>
        <v>1500</v>
      </c>
      <c r="O3" s="42">
        <v>7500</v>
      </c>
      <c r="P3" s="37">
        <v>5</v>
      </c>
    </row>
    <row r="4" spans="1:16" x14ac:dyDescent="0.45">
      <c r="A4" s="58" t="s">
        <v>6</v>
      </c>
      <c r="B4" s="92">
        <v>-86.4</v>
      </c>
      <c r="C4" s="93"/>
      <c r="E4" s="68" t="s">
        <v>70</v>
      </c>
      <c r="F4" s="64" t="s">
        <v>24</v>
      </c>
      <c r="G4" s="50">
        <v>4</v>
      </c>
      <c r="H4" s="27">
        <f>IF(B$25=0,0,G4/B$25)</f>
        <v>0.44444444444444442</v>
      </c>
      <c r="J4" s="26">
        <v>2</v>
      </c>
      <c r="K4" s="28">
        <v>-81.7</v>
      </c>
      <c r="M4" s="26" t="s">
        <v>200</v>
      </c>
      <c r="N4" s="45">
        <f t="shared" si="0"/>
        <v>-11250</v>
      </c>
      <c r="O4" s="42">
        <v>-45000</v>
      </c>
      <c r="P4" s="37">
        <v>4</v>
      </c>
    </row>
    <row r="5" spans="1:16" x14ac:dyDescent="0.45">
      <c r="A5" s="58" t="s">
        <v>7</v>
      </c>
      <c r="B5" s="92">
        <f>IF(B$2=0,0,B$4/B$2)</f>
        <v>-17.28</v>
      </c>
      <c r="C5" s="93"/>
      <c r="E5" s="68" t="s">
        <v>78</v>
      </c>
      <c r="F5" s="64" t="s">
        <v>31</v>
      </c>
      <c r="G5" s="50">
        <v>4</v>
      </c>
      <c r="H5" s="27">
        <f>IF(B$25=0,0,G5/B$25)</f>
        <v>0.44444444444444442</v>
      </c>
      <c r="J5" s="26">
        <v>3</v>
      </c>
      <c r="K5" s="28">
        <v>-88.9</v>
      </c>
      <c r="M5" s="26" t="s">
        <v>201</v>
      </c>
      <c r="N5" s="45">
        <f t="shared" si="0"/>
        <v>-12000</v>
      </c>
      <c r="O5" s="42">
        <v>-36000</v>
      </c>
      <c r="P5" s="37">
        <v>3</v>
      </c>
    </row>
    <row r="6" spans="1:16" x14ac:dyDescent="0.45">
      <c r="A6" s="58" t="s">
        <v>1</v>
      </c>
      <c r="B6" s="94">
        <f>IF(B$2=0,0,(B$7*1+B$8*2+B$9*3)/B$2)</f>
        <v>2.2000000000000002</v>
      </c>
      <c r="C6" s="95"/>
      <c r="E6" s="68" t="s">
        <v>74</v>
      </c>
      <c r="F6" s="64" t="s">
        <v>12</v>
      </c>
      <c r="G6" s="50">
        <v>3</v>
      </c>
      <c r="H6" s="27">
        <f>IF(B$25=0,0,G6/B$25)</f>
        <v>0.33333333333333331</v>
      </c>
      <c r="J6" s="26">
        <v>4</v>
      </c>
      <c r="K6" s="28">
        <v>-109.2</v>
      </c>
      <c r="M6" s="26" t="s">
        <v>202</v>
      </c>
      <c r="N6" s="45">
        <f t="shared" si="0"/>
        <v>5400</v>
      </c>
      <c r="O6" s="42">
        <v>10800</v>
      </c>
      <c r="P6" s="37">
        <v>2</v>
      </c>
    </row>
    <row r="7" spans="1:16" x14ac:dyDescent="0.45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>IF(B$25=0,0,G7/B$25)</f>
        <v>0.22222222222222221</v>
      </c>
      <c r="J7" s="26">
        <v>5</v>
      </c>
      <c r="K7" s="28">
        <v>-86.4</v>
      </c>
      <c r="M7" s="31" t="s">
        <v>203</v>
      </c>
      <c r="N7" s="46">
        <f t="shared" si="0"/>
        <v>-5000</v>
      </c>
      <c r="O7" s="43">
        <v>-10000</v>
      </c>
      <c r="P7" s="38">
        <v>2</v>
      </c>
    </row>
    <row r="8" spans="1:16" x14ac:dyDescent="0.45">
      <c r="A8" s="58" t="s">
        <v>3</v>
      </c>
      <c r="B8" s="50">
        <v>2</v>
      </c>
      <c r="C8" s="27">
        <f t="shared" ref="C8:C9" si="1">IF(B$2=0,0,B8/B$2)</f>
        <v>0.4</v>
      </c>
      <c r="E8" s="68" t="s">
        <v>85</v>
      </c>
      <c r="F8" s="64" t="s">
        <v>38</v>
      </c>
      <c r="G8" s="50">
        <v>2</v>
      </c>
      <c r="H8" s="27">
        <f>IF(B$25=0,0,G8/B$25)</f>
        <v>0.22222222222222221</v>
      </c>
    </row>
    <row r="9" spans="1:16" x14ac:dyDescent="0.45">
      <c r="A9" s="59" t="s">
        <v>4</v>
      </c>
      <c r="B9" s="51">
        <v>2</v>
      </c>
      <c r="C9" s="29">
        <f t="shared" si="1"/>
        <v>0.4</v>
      </c>
      <c r="E9" s="68" t="s">
        <v>71</v>
      </c>
      <c r="F9" s="64" t="s">
        <v>25</v>
      </c>
      <c r="G9" s="50">
        <v>1</v>
      </c>
      <c r="H9" s="27">
        <f>IF(B$25=0,0,G9/B$25)</f>
        <v>0.1111111111111111</v>
      </c>
    </row>
    <row r="10" spans="1:16" x14ac:dyDescent="0.45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>IF(B$25=0,0,G10/B$25)</f>
        <v>0.1111111111111111</v>
      </c>
    </row>
    <row r="11" spans="1:16" x14ac:dyDescent="0.45">
      <c r="A11" s="60" t="s">
        <v>208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>IF(B$25=0,0,G11/B$25)</f>
        <v>0.1111111111111111</v>
      </c>
    </row>
    <row r="12" spans="1:16" x14ac:dyDescent="0.45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>IF(B$25=0,0,G12/B$25)</f>
        <v>0</v>
      </c>
    </row>
    <row r="13" spans="1:16" x14ac:dyDescent="0.45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>IF(B$25=0,0,G13/B$25)</f>
        <v>0</v>
      </c>
    </row>
    <row r="14" spans="1:16" x14ac:dyDescent="0.45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>IF(B$25=0,0,G14/B$25)</f>
        <v>0</v>
      </c>
    </row>
    <row r="15" spans="1:16" x14ac:dyDescent="0.45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>IF(B$25=0,0,G15/B$25)</f>
        <v>0</v>
      </c>
    </row>
    <row r="16" spans="1:16" x14ac:dyDescent="0.45">
      <c r="A16" s="57" t="s">
        <v>10</v>
      </c>
      <c r="B16" s="49">
        <f>B17+B18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>IF(B$25=0,0,G16/B$25)</f>
        <v>0</v>
      </c>
    </row>
    <row r="17" spans="1:8" x14ac:dyDescent="0.45">
      <c r="A17" s="58" t="s">
        <v>11</v>
      </c>
      <c r="B17" s="50">
        <v>7</v>
      </c>
      <c r="C17" s="27">
        <f>IF(B$3=0,0,B17/B$3)</f>
        <v>0.1891891891891892</v>
      </c>
      <c r="E17" s="68" t="s">
        <v>82</v>
      </c>
      <c r="F17" s="64" t="s">
        <v>35</v>
      </c>
      <c r="G17" s="50">
        <v>0</v>
      </c>
      <c r="H17" s="27">
        <f>IF(B$25=0,0,G17/B$25)</f>
        <v>0</v>
      </c>
    </row>
    <row r="18" spans="1:8" x14ac:dyDescent="0.45">
      <c r="A18" s="58" t="s">
        <v>12</v>
      </c>
      <c r="B18" s="50">
        <v>3</v>
      </c>
      <c r="C18" s="27">
        <f>IF(B$3=0,0,B18/B$3)</f>
        <v>8.1081081081081086E-2</v>
      </c>
      <c r="E18" s="68" t="s">
        <v>83</v>
      </c>
      <c r="F18" s="64" t="s">
        <v>36</v>
      </c>
      <c r="G18" s="50">
        <v>0</v>
      </c>
      <c r="H18" s="27">
        <f>IF(B$25=0,0,G18/B$25)</f>
        <v>0</v>
      </c>
    </row>
    <row r="19" spans="1:8" x14ac:dyDescent="0.45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>IF(B$25=0,0,G19/B$25)</f>
        <v>0</v>
      </c>
    </row>
    <row r="20" spans="1:8" x14ac:dyDescent="0.45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>IF(B$25=0,0,G20/B$25)</f>
        <v>0</v>
      </c>
    </row>
    <row r="21" spans="1:8" x14ac:dyDescent="0.45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>IF(B$25=0,0,G21/B$25)</f>
        <v>0</v>
      </c>
    </row>
    <row r="22" spans="1:8" x14ac:dyDescent="0.45">
      <c r="A22" s="57" t="s">
        <v>195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>IF(B$25=0,0,G22/B$25)</f>
        <v>0</v>
      </c>
    </row>
    <row r="23" spans="1:8" x14ac:dyDescent="0.45">
      <c r="A23" s="60" t="s">
        <v>196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>IF(B$25=0,0,G23/B$25)</f>
        <v>0</v>
      </c>
    </row>
    <row r="24" spans="1:8" x14ac:dyDescent="0.45">
      <c r="A24" s="57" t="s">
        <v>128</v>
      </c>
      <c r="B24" s="82">
        <v>31</v>
      </c>
      <c r="C24" s="83"/>
      <c r="E24" s="68" t="s">
        <v>90</v>
      </c>
      <c r="F24" s="64" t="s">
        <v>43</v>
      </c>
      <c r="G24" s="50">
        <v>0</v>
      </c>
      <c r="H24" s="27">
        <f>IF(B$25=0,0,G24/B$25)</f>
        <v>0</v>
      </c>
    </row>
    <row r="25" spans="1:8" x14ac:dyDescent="0.45">
      <c r="A25" s="60" t="s">
        <v>129</v>
      </c>
      <c r="B25" s="84">
        <v>9</v>
      </c>
      <c r="C25" s="85"/>
      <c r="E25" s="68" t="s">
        <v>91</v>
      </c>
      <c r="F25" s="64" t="s">
        <v>44</v>
      </c>
      <c r="G25" s="50">
        <v>0</v>
      </c>
      <c r="H25" s="27">
        <f>IF(B$25=0,0,G25/B$25)</f>
        <v>0</v>
      </c>
    </row>
    <row r="26" spans="1:8" x14ac:dyDescent="0.45">
      <c r="A26" s="56" t="s">
        <v>231</v>
      </c>
      <c r="B26" s="86">
        <v>3</v>
      </c>
      <c r="C26" s="87"/>
      <c r="E26" s="68" t="s">
        <v>92</v>
      </c>
      <c r="F26" s="64" t="s">
        <v>45</v>
      </c>
      <c r="G26" s="50">
        <v>0</v>
      </c>
      <c r="H26" s="27">
        <f>IF(B$25=0,0,G26/B$25)</f>
        <v>0</v>
      </c>
    </row>
    <row r="27" spans="1:8" x14ac:dyDescent="0.45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B0E31-44D8-42C0-A0EF-6D5F9105FF44}">
  <sheetPr codeName="Sheet10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 t="s">
        <v>189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2">
        <v>43</v>
      </c>
      <c r="C2" s="83"/>
      <c r="E2" s="67" t="s">
        <v>73</v>
      </c>
      <c r="F2" s="63" t="s">
        <v>27</v>
      </c>
      <c r="G2" s="49">
        <v>31</v>
      </c>
      <c r="H2" s="24">
        <f>IF(B$25=0,0,G2/B$25)</f>
        <v>0.91176470588235292</v>
      </c>
      <c r="J2" s="23">
        <v>0</v>
      </c>
      <c r="K2" s="25">
        <v>0</v>
      </c>
      <c r="M2" s="23" t="s">
        <v>198</v>
      </c>
      <c r="N2" s="44">
        <f t="shared" ref="N2:N7" si="0">IF(P2=0,0,O2/P2)</f>
        <v>-2123.2558139534885</v>
      </c>
      <c r="O2" s="41">
        <v>-91300</v>
      </c>
      <c r="P2" s="39">
        <v>43</v>
      </c>
    </row>
    <row r="3" spans="1:16" x14ac:dyDescent="0.45">
      <c r="A3" s="58" t="s">
        <v>8</v>
      </c>
      <c r="B3" s="90">
        <v>332</v>
      </c>
      <c r="C3" s="91"/>
      <c r="E3" s="68" t="s">
        <v>78</v>
      </c>
      <c r="F3" s="64" t="s">
        <v>31</v>
      </c>
      <c r="G3" s="50">
        <v>25</v>
      </c>
      <c r="H3" s="27">
        <f>IF(B$25=0,0,G3/B$25)</f>
        <v>0.73529411764705888</v>
      </c>
      <c r="J3" s="26">
        <v>1</v>
      </c>
      <c r="K3" s="28">
        <v>68.2</v>
      </c>
      <c r="M3" s="26" t="s">
        <v>199</v>
      </c>
      <c r="N3" s="45">
        <f t="shared" si="0"/>
        <v>-2702.5</v>
      </c>
      <c r="O3" s="42">
        <v>-108100</v>
      </c>
      <c r="P3" s="37">
        <v>40</v>
      </c>
    </row>
    <row r="4" spans="1:16" x14ac:dyDescent="0.45">
      <c r="A4" s="58" t="s">
        <v>6</v>
      </c>
      <c r="B4" s="92">
        <v>-168.6</v>
      </c>
      <c r="C4" s="93"/>
      <c r="E4" s="68" t="s">
        <v>71</v>
      </c>
      <c r="F4" s="64" t="s">
        <v>25</v>
      </c>
      <c r="G4" s="50">
        <v>23</v>
      </c>
      <c r="H4" s="27">
        <f>IF(B$25=0,0,G4/B$25)</f>
        <v>0.67647058823529416</v>
      </c>
      <c r="J4" s="26">
        <v>2</v>
      </c>
      <c r="K4" s="28">
        <v>58.5</v>
      </c>
      <c r="M4" s="26" t="s">
        <v>200</v>
      </c>
      <c r="N4" s="45">
        <f t="shared" si="0"/>
        <v>-1311.7647058823529</v>
      </c>
      <c r="O4" s="42">
        <v>-44600</v>
      </c>
      <c r="P4" s="37">
        <v>34</v>
      </c>
    </row>
    <row r="5" spans="1:16" x14ac:dyDescent="0.45">
      <c r="A5" s="58" t="s">
        <v>7</v>
      </c>
      <c r="B5" s="92">
        <f>IF(B$2=0,0,B$4/B$2)</f>
        <v>-3.9209302325581392</v>
      </c>
      <c r="C5" s="93"/>
      <c r="E5" s="68" t="s">
        <v>69</v>
      </c>
      <c r="F5" s="64" t="s">
        <v>23</v>
      </c>
      <c r="G5" s="50">
        <v>12</v>
      </c>
      <c r="H5" s="27">
        <f>IF(B$25=0,0,G5/B$25)</f>
        <v>0.35294117647058826</v>
      </c>
      <c r="J5" s="26">
        <v>3</v>
      </c>
      <c r="K5" s="28">
        <v>82.1</v>
      </c>
      <c r="M5" s="26" t="s">
        <v>201</v>
      </c>
      <c r="N5" s="45">
        <f t="shared" si="0"/>
        <v>3137.5</v>
      </c>
      <c r="O5" s="42">
        <v>100400</v>
      </c>
      <c r="P5" s="37">
        <v>32</v>
      </c>
    </row>
    <row r="6" spans="1:16" x14ac:dyDescent="0.45">
      <c r="A6" s="58" t="s">
        <v>1</v>
      </c>
      <c r="B6" s="94">
        <f>IF(B$2=0,0,(B$7*1+B$8*2+B$9*3)/B$2)</f>
        <v>2.1162790697674421</v>
      </c>
      <c r="C6" s="95"/>
      <c r="E6" s="68" t="s">
        <v>70</v>
      </c>
      <c r="F6" s="64" t="s">
        <v>24</v>
      </c>
      <c r="G6" s="50">
        <v>6</v>
      </c>
      <c r="H6" s="27">
        <f>IF(B$25=0,0,G6/B$25)</f>
        <v>0.17647058823529413</v>
      </c>
      <c r="J6" s="26">
        <v>4</v>
      </c>
      <c r="K6" s="28">
        <v>58.199999999999996</v>
      </c>
      <c r="M6" s="26" t="s">
        <v>202</v>
      </c>
      <c r="N6" s="45">
        <f t="shared" si="0"/>
        <v>-1216</v>
      </c>
      <c r="O6" s="42">
        <v>-30400</v>
      </c>
      <c r="P6" s="37">
        <v>25</v>
      </c>
    </row>
    <row r="7" spans="1:16" x14ac:dyDescent="0.45">
      <c r="A7" s="58" t="s">
        <v>2</v>
      </c>
      <c r="B7" s="50">
        <v>10</v>
      </c>
      <c r="C7" s="27">
        <f>IF(B$2=0,0,B7/B$2)</f>
        <v>0.23255813953488372</v>
      </c>
      <c r="E7" s="68" t="s">
        <v>72</v>
      </c>
      <c r="F7" s="64" t="s">
        <v>26</v>
      </c>
      <c r="G7" s="50">
        <v>4</v>
      </c>
      <c r="H7" s="27">
        <f>IF(B$25=0,0,G7/B$25)</f>
        <v>0.11764705882352941</v>
      </c>
      <c r="J7" s="26">
        <v>5</v>
      </c>
      <c r="K7" s="28">
        <v>124.19999999999999</v>
      </c>
      <c r="M7" s="31" t="s">
        <v>203</v>
      </c>
      <c r="N7" s="46">
        <f t="shared" si="0"/>
        <v>257.14285714285717</v>
      </c>
      <c r="O7" s="43">
        <v>5400</v>
      </c>
      <c r="P7" s="38">
        <v>21</v>
      </c>
    </row>
    <row r="8" spans="1:16" x14ac:dyDescent="0.45">
      <c r="A8" s="58" t="s">
        <v>3</v>
      </c>
      <c r="B8" s="50">
        <v>18</v>
      </c>
      <c r="C8" s="27">
        <f t="shared" ref="C8:C9" si="1">IF(B$2=0,0,B8/B$2)</f>
        <v>0.41860465116279072</v>
      </c>
      <c r="E8" s="68" t="s">
        <v>74</v>
      </c>
      <c r="F8" s="64" t="s">
        <v>12</v>
      </c>
      <c r="G8" s="50">
        <v>4</v>
      </c>
      <c r="H8" s="27">
        <f>IF(B$25=0,0,G8/B$25)</f>
        <v>0.11764705882352941</v>
      </c>
      <c r="J8" s="26">
        <v>6</v>
      </c>
      <c r="K8" s="28">
        <v>125.69999999999999</v>
      </c>
    </row>
    <row r="9" spans="1:16" x14ac:dyDescent="0.45">
      <c r="A9" s="59" t="s">
        <v>4</v>
      </c>
      <c r="B9" s="51">
        <v>15</v>
      </c>
      <c r="C9" s="29">
        <f t="shared" si="1"/>
        <v>0.34883720930232559</v>
      </c>
      <c r="E9" s="68" t="s">
        <v>75</v>
      </c>
      <c r="F9" s="64" t="s">
        <v>28</v>
      </c>
      <c r="G9" s="50">
        <v>3</v>
      </c>
      <c r="H9" s="27">
        <f>IF(B$25=0,0,G9/B$25)</f>
        <v>8.8235294117647065E-2</v>
      </c>
      <c r="J9" s="26">
        <v>7</v>
      </c>
      <c r="K9" s="28">
        <v>129.5</v>
      </c>
    </row>
    <row r="10" spans="1:16" x14ac:dyDescent="0.45">
      <c r="A10" s="59" t="s">
        <v>21</v>
      </c>
      <c r="B10" s="51">
        <v>7</v>
      </c>
      <c r="C10" s="29">
        <f>IF(B$2=0,0,B10/B$2)</f>
        <v>0.16279069767441862</v>
      </c>
      <c r="E10" s="68" t="s">
        <v>96</v>
      </c>
      <c r="F10" s="64" t="s">
        <v>49</v>
      </c>
      <c r="G10" s="50">
        <v>3</v>
      </c>
      <c r="H10" s="27">
        <f>IF(B$25=0,0,G10/B$25)</f>
        <v>8.8235294117647065E-2</v>
      </c>
      <c r="J10" s="26">
        <v>8</v>
      </c>
      <c r="K10" s="28">
        <v>97</v>
      </c>
    </row>
    <row r="11" spans="1:16" x14ac:dyDescent="0.45">
      <c r="A11" s="60" t="s">
        <v>208</v>
      </c>
      <c r="B11" s="52">
        <v>7</v>
      </c>
      <c r="C11" s="32">
        <f>IF(B$2=0,0,B11/B$2)</f>
        <v>0.16279069767441862</v>
      </c>
      <c r="E11" s="68" t="s">
        <v>84</v>
      </c>
      <c r="F11" s="64" t="s">
        <v>37</v>
      </c>
      <c r="G11" s="50">
        <v>2</v>
      </c>
      <c r="H11" s="27">
        <f>IF(B$25=0,0,G11/B$25)</f>
        <v>5.8823529411764705E-2</v>
      </c>
      <c r="J11" s="26">
        <v>9</v>
      </c>
      <c r="K11" s="28">
        <v>83.3</v>
      </c>
    </row>
    <row r="12" spans="1:16" x14ac:dyDescent="0.45">
      <c r="A12" s="61" t="s">
        <v>130</v>
      </c>
      <c r="B12" s="53">
        <v>31</v>
      </c>
      <c r="C12" s="35">
        <f>IF(B$24=0,0,B12/B$24)</f>
        <v>0.21379310344827587</v>
      </c>
      <c r="E12" s="68" t="s">
        <v>85</v>
      </c>
      <c r="F12" s="64" t="s">
        <v>38</v>
      </c>
      <c r="G12" s="50">
        <v>2</v>
      </c>
      <c r="H12" s="27">
        <f>IF(B$25=0,0,G12/B$25)</f>
        <v>5.8823529411764705E-2</v>
      </c>
      <c r="J12" s="26">
        <v>10</v>
      </c>
      <c r="K12" s="28">
        <v>111</v>
      </c>
    </row>
    <row r="13" spans="1:16" x14ac:dyDescent="0.45">
      <c r="A13" s="58" t="s">
        <v>125</v>
      </c>
      <c r="B13" s="50">
        <v>44</v>
      </c>
      <c r="C13" s="27">
        <f>IF(B$24=0,0,B13/B$24)</f>
        <v>0.30344827586206896</v>
      </c>
      <c r="E13" s="68" t="s">
        <v>93</v>
      </c>
      <c r="F13" s="64" t="s">
        <v>46</v>
      </c>
      <c r="G13" s="50">
        <v>2</v>
      </c>
      <c r="H13" s="27">
        <f>IF(B$25=0,0,G13/B$25)</f>
        <v>5.8823529411764705E-2</v>
      </c>
      <c r="J13" s="26">
        <v>11</v>
      </c>
      <c r="K13" s="28">
        <v>138.69999999999999</v>
      </c>
    </row>
    <row r="14" spans="1:16" x14ac:dyDescent="0.45">
      <c r="A14" s="57" t="s">
        <v>132</v>
      </c>
      <c r="B14" s="49">
        <v>11</v>
      </c>
      <c r="C14" s="24">
        <f>IF(B$12=0,0,B14/B$12)</f>
        <v>0.35483870967741937</v>
      </c>
      <c r="E14" s="68" t="s">
        <v>76</v>
      </c>
      <c r="F14" s="64" t="s">
        <v>29</v>
      </c>
      <c r="G14" s="50">
        <v>1</v>
      </c>
      <c r="H14" s="27">
        <f>IF(B$25=0,0,G14/B$25)</f>
        <v>2.9411764705882353E-2</v>
      </c>
      <c r="J14" s="26">
        <v>12</v>
      </c>
      <c r="K14" s="28">
        <v>99.799999999999983</v>
      </c>
    </row>
    <row r="15" spans="1:16" x14ac:dyDescent="0.45">
      <c r="A15" s="57" t="s">
        <v>133</v>
      </c>
      <c r="B15" s="49">
        <v>17</v>
      </c>
      <c r="C15" s="24">
        <f>IF(B$13=0,0,B15/B$13)</f>
        <v>0.38636363636363635</v>
      </c>
      <c r="E15" s="68" t="s">
        <v>77</v>
      </c>
      <c r="F15" s="64" t="s">
        <v>30</v>
      </c>
      <c r="G15" s="50">
        <v>1</v>
      </c>
      <c r="H15" s="27">
        <f>IF(B$25=0,0,G15/B$25)</f>
        <v>2.9411764705882353E-2</v>
      </c>
      <c r="J15" s="26">
        <v>13</v>
      </c>
      <c r="K15" s="28">
        <v>61.799999999999983</v>
      </c>
    </row>
    <row r="16" spans="1:16" x14ac:dyDescent="0.45">
      <c r="A16" s="57" t="s">
        <v>10</v>
      </c>
      <c r="B16" s="49">
        <f>B17+B18</f>
        <v>88</v>
      </c>
      <c r="C16" s="24">
        <f>IF(B$3=0,0,B16/B$3)</f>
        <v>0.26506024096385544</v>
      </c>
      <c r="E16" s="68" t="s">
        <v>81</v>
      </c>
      <c r="F16" s="64" t="s">
        <v>34</v>
      </c>
      <c r="G16" s="50">
        <v>1</v>
      </c>
      <c r="H16" s="27">
        <f>IF(B$25=0,0,G16/B$25)</f>
        <v>2.9411764705882353E-2</v>
      </c>
      <c r="J16" s="26">
        <v>14</v>
      </c>
      <c r="K16" s="28">
        <v>41.499999999999986</v>
      </c>
    </row>
    <row r="17" spans="1:11" x14ac:dyDescent="0.45">
      <c r="A17" s="58" t="s">
        <v>11</v>
      </c>
      <c r="B17" s="50">
        <v>53</v>
      </c>
      <c r="C17" s="27">
        <f>IF(B$3=0,0,B17/B$3)</f>
        <v>0.15963855421686746</v>
      </c>
      <c r="E17" s="68" t="s">
        <v>88</v>
      </c>
      <c r="F17" s="64" t="s">
        <v>41</v>
      </c>
      <c r="G17" s="50">
        <v>1</v>
      </c>
      <c r="H17" s="27">
        <f>IF(B$25=0,0,G17/B$25)</f>
        <v>2.9411764705882353E-2</v>
      </c>
      <c r="J17" s="26">
        <v>15</v>
      </c>
      <c r="K17" s="28">
        <v>32.999999999999986</v>
      </c>
    </row>
    <row r="18" spans="1:11" x14ac:dyDescent="0.45">
      <c r="A18" s="58" t="s">
        <v>12</v>
      </c>
      <c r="B18" s="50">
        <v>35</v>
      </c>
      <c r="C18" s="27">
        <f>IF(B$3=0,0,B18/B$3)</f>
        <v>0.10542168674698796</v>
      </c>
      <c r="E18" s="68" t="s">
        <v>90</v>
      </c>
      <c r="F18" s="64" t="s">
        <v>43</v>
      </c>
      <c r="G18" s="50">
        <v>1</v>
      </c>
      <c r="H18" s="27">
        <f>IF(B$25=0,0,G18/B$25)</f>
        <v>2.9411764705882353E-2</v>
      </c>
      <c r="J18" s="26">
        <v>16</v>
      </c>
      <c r="K18" s="28">
        <v>-5.5000000000000142</v>
      </c>
    </row>
    <row r="19" spans="1:11" x14ac:dyDescent="0.45">
      <c r="A19" s="58" t="s">
        <v>13</v>
      </c>
      <c r="B19" s="50">
        <v>66</v>
      </c>
      <c r="C19" s="27">
        <f>IF(B$3=0,0,B19/B$3)</f>
        <v>0.19879518072289157</v>
      </c>
      <c r="E19" s="68" t="s">
        <v>79</v>
      </c>
      <c r="F19" s="64" t="s">
        <v>32</v>
      </c>
      <c r="G19" s="50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5">
      <c r="A20" s="58" t="s">
        <v>5</v>
      </c>
      <c r="B20" s="54">
        <f>IF(B$16=0,0,C20/B$16)</f>
        <v>9872.7272727272721</v>
      </c>
      <c r="C20" s="30">
        <v>868800</v>
      </c>
      <c r="E20" s="68" t="s">
        <v>80</v>
      </c>
      <c r="F20" s="64" t="s">
        <v>33</v>
      </c>
      <c r="G20" s="50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5">
      <c r="A21" s="60" t="s">
        <v>14</v>
      </c>
      <c r="B21" s="55">
        <f>IF(B$19=0,0,C21/B$19)</f>
        <v>-8125.757575757576</v>
      </c>
      <c r="C21" s="48">
        <v>-536300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5">
      <c r="A22" s="57" t="s">
        <v>195</v>
      </c>
      <c r="B22" s="49">
        <v>93</v>
      </c>
      <c r="C22" s="24">
        <f>IF(B$3=0,0,B22/B$3)</f>
        <v>0.28012048192771083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5">
      <c r="A23" s="60" t="s">
        <v>196</v>
      </c>
      <c r="B23" s="52">
        <v>35</v>
      </c>
      <c r="C23" s="32">
        <f>IF(B$22=0,0,B23/B$22)</f>
        <v>0.37634408602150538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5">
      <c r="A24" s="57" t="s">
        <v>128</v>
      </c>
      <c r="B24" s="82">
        <v>145</v>
      </c>
      <c r="C24" s="83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5">
      <c r="A25" s="60" t="s">
        <v>129</v>
      </c>
      <c r="B25" s="84">
        <v>34</v>
      </c>
      <c r="C25" s="85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5">
      <c r="A26" s="56" t="s">
        <v>231</v>
      </c>
      <c r="B26" s="86">
        <v>5</v>
      </c>
      <c r="C26" s="87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5"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5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5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5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5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-72.700000000000017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-78.300000000000011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-105.30000000000001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-100.10000000000001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-107.80000000000001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-122.80000000000001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-173.4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-168.6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2CF2E-6913-4F96-BDDD-93A77B0DBDDE}">
  <sheetPr codeName="Sheet11"/>
  <dimension ref="A1:P53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 t="s">
        <v>190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2">
        <v>51</v>
      </c>
      <c r="C2" s="83"/>
      <c r="E2" s="67" t="s">
        <v>73</v>
      </c>
      <c r="F2" s="63" t="s">
        <v>27</v>
      </c>
      <c r="G2" s="49">
        <v>76</v>
      </c>
      <c r="H2" s="24">
        <f>IF(B$25=0,0,G2/B$25)</f>
        <v>0.90476190476190477</v>
      </c>
      <c r="J2" s="23">
        <v>0</v>
      </c>
      <c r="K2" s="25">
        <v>0</v>
      </c>
      <c r="M2" s="23" t="s">
        <v>198</v>
      </c>
      <c r="N2" s="44">
        <f t="shared" ref="N2:N7" si="0">IF(P2=0,0,O2/P2)</f>
        <v>3357.1428571428573</v>
      </c>
      <c r="O2" s="41">
        <v>164500</v>
      </c>
      <c r="P2" s="39">
        <v>49</v>
      </c>
    </row>
    <row r="3" spans="1:16" x14ac:dyDescent="0.45">
      <c r="A3" s="58" t="s">
        <v>8</v>
      </c>
      <c r="B3" s="90">
        <v>390</v>
      </c>
      <c r="C3" s="91"/>
      <c r="E3" s="68" t="s">
        <v>71</v>
      </c>
      <c r="F3" s="64" t="s">
        <v>25</v>
      </c>
      <c r="G3" s="50">
        <v>75</v>
      </c>
      <c r="H3" s="27">
        <f>IF(B$25=0,0,G3/B$25)</f>
        <v>0.8928571428571429</v>
      </c>
      <c r="J3" s="26">
        <v>1</v>
      </c>
      <c r="K3" s="28">
        <v>-36.700000000000003</v>
      </c>
      <c r="M3" s="26" t="s">
        <v>199</v>
      </c>
      <c r="N3" s="45">
        <f t="shared" si="0"/>
        <v>-45.652173913043477</v>
      </c>
      <c r="O3" s="42">
        <v>-2100</v>
      </c>
      <c r="P3" s="37">
        <v>46</v>
      </c>
    </row>
    <row r="4" spans="1:16" x14ac:dyDescent="0.45">
      <c r="A4" s="58" t="s">
        <v>6</v>
      </c>
      <c r="B4" s="92">
        <v>166.69999999999996</v>
      </c>
      <c r="C4" s="93"/>
      <c r="E4" s="68" t="s">
        <v>69</v>
      </c>
      <c r="F4" s="64" t="s">
        <v>23</v>
      </c>
      <c r="G4" s="50">
        <v>52</v>
      </c>
      <c r="H4" s="27">
        <f>IF(B$25=0,0,G4/B$25)</f>
        <v>0.61904761904761907</v>
      </c>
      <c r="J4" s="26">
        <v>2</v>
      </c>
      <c r="K4" s="28">
        <v>-45.300000000000004</v>
      </c>
      <c r="M4" s="26" t="s">
        <v>200</v>
      </c>
      <c r="N4" s="45">
        <f t="shared" si="0"/>
        <v>-26.19047619047619</v>
      </c>
      <c r="O4" s="42">
        <v>-1100</v>
      </c>
      <c r="P4" s="37">
        <v>42</v>
      </c>
    </row>
    <row r="5" spans="1:16" x14ac:dyDescent="0.45">
      <c r="A5" s="58" t="s">
        <v>7</v>
      </c>
      <c r="B5" s="92">
        <f>IF(B$2=0,0,B$4/B$2)</f>
        <v>3.2686274509803912</v>
      </c>
      <c r="C5" s="93"/>
      <c r="E5" s="68" t="s">
        <v>78</v>
      </c>
      <c r="F5" s="64" t="s">
        <v>31</v>
      </c>
      <c r="G5" s="50">
        <v>49</v>
      </c>
      <c r="H5" s="27">
        <f>IF(B$25=0,0,G5/B$25)</f>
        <v>0.58333333333333337</v>
      </c>
      <c r="J5" s="26">
        <v>3</v>
      </c>
      <c r="K5" s="28">
        <v>-81.7</v>
      </c>
      <c r="M5" s="26" t="s">
        <v>201</v>
      </c>
      <c r="N5" s="45">
        <f t="shared" si="0"/>
        <v>-1146.1538461538462</v>
      </c>
      <c r="O5" s="42">
        <v>-44700</v>
      </c>
      <c r="P5" s="37">
        <v>39</v>
      </c>
    </row>
    <row r="6" spans="1:16" x14ac:dyDescent="0.45">
      <c r="A6" s="58" t="s">
        <v>1</v>
      </c>
      <c r="B6" s="94">
        <f>IF(B$2=0,0,(B$7*1+B$8*2+B$9*3)/B$2)</f>
        <v>1.9215686274509804</v>
      </c>
      <c r="C6" s="95"/>
      <c r="E6" s="68" t="s">
        <v>72</v>
      </c>
      <c r="F6" s="64" t="s">
        <v>26</v>
      </c>
      <c r="G6" s="50">
        <v>29</v>
      </c>
      <c r="H6" s="27">
        <f>IF(B$25=0,0,G6/B$25)</f>
        <v>0.34523809523809523</v>
      </c>
      <c r="J6" s="26">
        <v>4</v>
      </c>
      <c r="K6" s="28">
        <v>-113.80000000000001</v>
      </c>
      <c r="M6" s="26" t="s">
        <v>202</v>
      </c>
      <c r="N6" s="45">
        <f t="shared" si="0"/>
        <v>1250</v>
      </c>
      <c r="O6" s="42">
        <v>37500</v>
      </c>
      <c r="P6" s="37">
        <v>30</v>
      </c>
    </row>
    <row r="7" spans="1:16" x14ac:dyDescent="0.45">
      <c r="A7" s="58" t="s">
        <v>2</v>
      </c>
      <c r="B7" s="50">
        <v>20</v>
      </c>
      <c r="C7" s="27">
        <f>IF(B$2=0,0,B7/B$2)</f>
        <v>0.39215686274509803</v>
      </c>
      <c r="E7" s="68" t="s">
        <v>74</v>
      </c>
      <c r="F7" s="64" t="s">
        <v>12</v>
      </c>
      <c r="G7" s="50">
        <v>26</v>
      </c>
      <c r="H7" s="27">
        <f>IF(B$25=0,0,G7/B$25)</f>
        <v>0.30952380952380953</v>
      </c>
      <c r="J7" s="26">
        <v>5</v>
      </c>
      <c r="K7" s="28">
        <v>-135.80000000000001</v>
      </c>
      <c r="M7" s="31" t="s">
        <v>203</v>
      </c>
      <c r="N7" s="46">
        <f t="shared" si="0"/>
        <v>-1080.7692307692307</v>
      </c>
      <c r="O7" s="43">
        <v>-28100</v>
      </c>
      <c r="P7" s="38">
        <v>26</v>
      </c>
    </row>
    <row r="8" spans="1:16" x14ac:dyDescent="0.45">
      <c r="A8" s="58" t="s">
        <v>3</v>
      </c>
      <c r="B8" s="50">
        <v>15</v>
      </c>
      <c r="C8" s="27">
        <f t="shared" ref="C8:C9" si="1">IF(B$2=0,0,B8/B$2)</f>
        <v>0.29411764705882354</v>
      </c>
      <c r="E8" s="68" t="s">
        <v>75</v>
      </c>
      <c r="F8" s="64" t="s">
        <v>28</v>
      </c>
      <c r="G8" s="50">
        <v>17</v>
      </c>
      <c r="H8" s="27">
        <f>IF(B$25=0,0,G8/B$25)</f>
        <v>0.20238095238095238</v>
      </c>
      <c r="J8" s="26">
        <v>6</v>
      </c>
      <c r="K8" s="28">
        <v>-100.30000000000001</v>
      </c>
    </row>
    <row r="9" spans="1:16" x14ac:dyDescent="0.45">
      <c r="A9" s="59" t="s">
        <v>4</v>
      </c>
      <c r="B9" s="51">
        <v>16</v>
      </c>
      <c r="C9" s="29">
        <f t="shared" si="1"/>
        <v>0.31372549019607843</v>
      </c>
      <c r="E9" s="68" t="s">
        <v>70</v>
      </c>
      <c r="F9" s="64" t="s">
        <v>24</v>
      </c>
      <c r="G9" s="50">
        <v>12</v>
      </c>
      <c r="H9" s="27">
        <f>IF(B$25=0,0,G9/B$25)</f>
        <v>0.14285714285714285</v>
      </c>
      <c r="J9" s="26">
        <v>7</v>
      </c>
      <c r="K9" s="28">
        <v>-105.70000000000002</v>
      </c>
    </row>
    <row r="10" spans="1:16" x14ac:dyDescent="0.45">
      <c r="A10" s="59" t="s">
        <v>21</v>
      </c>
      <c r="B10" s="51">
        <v>8</v>
      </c>
      <c r="C10" s="29">
        <f>IF(B$2=0,0,B10/B$2)</f>
        <v>0.15686274509803921</v>
      </c>
      <c r="E10" s="68" t="s">
        <v>96</v>
      </c>
      <c r="F10" s="64" t="s">
        <v>49</v>
      </c>
      <c r="G10" s="50">
        <v>11</v>
      </c>
      <c r="H10" s="27">
        <f>IF(B$25=0,0,G10/B$25)</f>
        <v>0.13095238095238096</v>
      </c>
      <c r="J10" s="26">
        <v>8</v>
      </c>
      <c r="K10" s="28">
        <v>-51.800000000000018</v>
      </c>
    </row>
    <row r="11" spans="1:16" x14ac:dyDescent="0.45">
      <c r="A11" s="60" t="s">
        <v>208</v>
      </c>
      <c r="B11" s="52">
        <v>10</v>
      </c>
      <c r="C11" s="32">
        <f>IF(B$2=0,0,B11/B$2)</f>
        <v>0.19607843137254902</v>
      </c>
      <c r="E11" s="68" t="s">
        <v>76</v>
      </c>
      <c r="F11" s="64" t="s">
        <v>29</v>
      </c>
      <c r="G11" s="50">
        <v>7</v>
      </c>
      <c r="H11" s="27">
        <f>IF(B$25=0,0,G11/B$25)</f>
        <v>8.3333333333333329E-2</v>
      </c>
      <c r="J11" s="26">
        <v>9</v>
      </c>
      <c r="K11" s="28">
        <v>-53.000000000000021</v>
      </c>
    </row>
    <row r="12" spans="1:16" x14ac:dyDescent="0.45">
      <c r="A12" s="61" t="s">
        <v>130</v>
      </c>
      <c r="B12" s="53">
        <v>87</v>
      </c>
      <c r="C12" s="35">
        <f>IF(B$24=0,0,B12/B$24)</f>
        <v>0.33852140077821014</v>
      </c>
      <c r="E12" s="68" t="s">
        <v>77</v>
      </c>
      <c r="F12" s="64" t="s">
        <v>30</v>
      </c>
      <c r="G12" s="50">
        <v>6</v>
      </c>
      <c r="H12" s="27">
        <f>IF(B$25=0,0,G12/B$25)</f>
        <v>7.1428571428571425E-2</v>
      </c>
      <c r="J12" s="26">
        <v>10</v>
      </c>
      <c r="K12" s="28">
        <v>-72.300000000000026</v>
      </c>
    </row>
    <row r="13" spans="1:16" x14ac:dyDescent="0.45">
      <c r="A13" s="58" t="s">
        <v>125</v>
      </c>
      <c r="B13" s="50">
        <v>60</v>
      </c>
      <c r="C13" s="27">
        <f>IF(B$24=0,0,B13/B$24)</f>
        <v>0.23346303501945526</v>
      </c>
      <c r="E13" s="68" t="s">
        <v>93</v>
      </c>
      <c r="F13" s="64" t="s">
        <v>46</v>
      </c>
      <c r="G13" s="50">
        <v>5</v>
      </c>
      <c r="H13" s="27">
        <f>IF(B$25=0,0,G13/B$25)</f>
        <v>5.9523809523809521E-2</v>
      </c>
      <c r="J13" s="26">
        <v>11</v>
      </c>
      <c r="K13" s="28">
        <v>-91.600000000000023</v>
      </c>
    </row>
    <row r="14" spans="1:16" x14ac:dyDescent="0.45">
      <c r="A14" s="57" t="s">
        <v>132</v>
      </c>
      <c r="B14" s="49">
        <v>53</v>
      </c>
      <c r="C14" s="24">
        <f>IF(B$12=0,0,B14/B$12)</f>
        <v>0.60919540229885061</v>
      </c>
      <c r="E14" s="68" t="s">
        <v>84</v>
      </c>
      <c r="F14" s="64" t="s">
        <v>37</v>
      </c>
      <c r="G14" s="50">
        <v>4</v>
      </c>
      <c r="H14" s="27">
        <f>IF(B$25=0,0,G14/B$25)</f>
        <v>4.7619047619047616E-2</v>
      </c>
      <c r="J14" s="26">
        <v>12</v>
      </c>
      <c r="K14" s="28">
        <v>-88.600000000000023</v>
      </c>
    </row>
    <row r="15" spans="1:16" x14ac:dyDescent="0.45">
      <c r="A15" s="57" t="s">
        <v>133</v>
      </c>
      <c r="B15" s="49">
        <v>23</v>
      </c>
      <c r="C15" s="24">
        <f>IF(B$13=0,0,B15/B$13)</f>
        <v>0.38333333333333336</v>
      </c>
      <c r="E15" s="68" t="s">
        <v>88</v>
      </c>
      <c r="F15" s="64" t="s">
        <v>41</v>
      </c>
      <c r="G15" s="50">
        <v>2</v>
      </c>
      <c r="H15" s="27">
        <f>IF(B$25=0,0,G15/B$25)</f>
        <v>2.3809523809523808E-2</v>
      </c>
      <c r="J15" s="26">
        <v>13</v>
      </c>
      <c r="K15" s="28">
        <v>-73.100000000000023</v>
      </c>
    </row>
    <row r="16" spans="1:16" x14ac:dyDescent="0.45">
      <c r="A16" s="57" t="s">
        <v>10</v>
      </c>
      <c r="B16" s="49">
        <f>B17+B18</f>
        <v>122</v>
      </c>
      <c r="C16" s="24">
        <f>IF(B$3=0,0,B16/B$3)</f>
        <v>0.31282051282051282</v>
      </c>
      <c r="E16" s="68" t="s">
        <v>80</v>
      </c>
      <c r="F16" s="64" t="s">
        <v>33</v>
      </c>
      <c r="G16" s="50">
        <v>1</v>
      </c>
      <c r="H16" s="27">
        <f>IF(B$25=0,0,G16/B$25)</f>
        <v>1.1904761904761904E-2</v>
      </c>
      <c r="J16" s="26">
        <v>14</v>
      </c>
      <c r="K16" s="28">
        <v>-62.000000000000021</v>
      </c>
    </row>
    <row r="17" spans="1:11" x14ac:dyDescent="0.45">
      <c r="A17" s="58" t="s">
        <v>11</v>
      </c>
      <c r="B17" s="50">
        <v>73</v>
      </c>
      <c r="C17" s="27">
        <f>IF(B$3=0,0,B17/B$3)</f>
        <v>0.18717948717948718</v>
      </c>
      <c r="E17" s="68" t="s">
        <v>90</v>
      </c>
      <c r="F17" s="64" t="s">
        <v>43</v>
      </c>
      <c r="G17" s="50">
        <v>1</v>
      </c>
      <c r="H17" s="27">
        <f>IF(B$25=0,0,G17/B$25)</f>
        <v>1.1904761904761904E-2</v>
      </c>
      <c r="J17" s="26">
        <v>15</v>
      </c>
      <c r="K17" s="28">
        <v>-69.200000000000017</v>
      </c>
    </row>
    <row r="18" spans="1:11" x14ac:dyDescent="0.45">
      <c r="A18" s="58" t="s">
        <v>12</v>
      </c>
      <c r="B18" s="50">
        <v>49</v>
      </c>
      <c r="C18" s="27">
        <f>IF(B$3=0,0,B18/B$3)</f>
        <v>0.12564102564102564</v>
      </c>
      <c r="E18" s="68" t="s">
        <v>91</v>
      </c>
      <c r="F18" s="64" t="s">
        <v>44</v>
      </c>
      <c r="G18" s="50">
        <v>1</v>
      </c>
      <c r="H18" s="27">
        <f>IF(B$25=0,0,G18/B$25)</f>
        <v>1.1904761904761904E-2</v>
      </c>
      <c r="J18" s="26">
        <v>16</v>
      </c>
      <c r="K18" s="28">
        <v>5.0999999999999801</v>
      </c>
    </row>
    <row r="19" spans="1:11" x14ac:dyDescent="0.45">
      <c r="A19" s="58" t="s">
        <v>13</v>
      </c>
      <c r="B19" s="50">
        <v>64</v>
      </c>
      <c r="C19" s="27">
        <f>IF(B$3=0,0,B19/B$3)</f>
        <v>0.1641025641025641</v>
      </c>
      <c r="E19" s="68" t="s">
        <v>98</v>
      </c>
      <c r="F19" s="64" t="s">
        <v>51</v>
      </c>
      <c r="G19" s="50">
        <v>1</v>
      </c>
      <c r="H19" s="27">
        <f>IF(B$25=0,0,G19/B$25)</f>
        <v>1.1904761904761904E-2</v>
      </c>
      <c r="J19" s="26">
        <v>17</v>
      </c>
      <c r="K19" s="28">
        <v>40.09999999999998</v>
      </c>
    </row>
    <row r="20" spans="1:11" x14ac:dyDescent="0.45">
      <c r="A20" s="58" t="s">
        <v>5</v>
      </c>
      <c r="B20" s="54">
        <f>IF(B$16=0,0,C20/B$16)</f>
        <v>10903.27868852459</v>
      </c>
      <c r="C20" s="30">
        <v>1330200</v>
      </c>
      <c r="E20" s="68" t="s">
        <v>79</v>
      </c>
      <c r="F20" s="64" t="s">
        <v>32</v>
      </c>
      <c r="G20" s="50">
        <v>0</v>
      </c>
      <c r="H20" s="27">
        <f>IF(B$25=0,0,G20/B$25)</f>
        <v>0</v>
      </c>
      <c r="J20" s="26">
        <v>18</v>
      </c>
      <c r="K20" s="28">
        <v>39.799999999999983</v>
      </c>
    </row>
    <row r="21" spans="1:11" x14ac:dyDescent="0.45">
      <c r="A21" s="60" t="s">
        <v>14</v>
      </c>
      <c r="B21" s="55">
        <f>IF(B$19=0,0,C21/B$19)</f>
        <v>-9809.375</v>
      </c>
      <c r="C21" s="48">
        <v>-627800</v>
      </c>
      <c r="E21" s="68" t="s">
        <v>81</v>
      </c>
      <c r="F21" s="64" t="s">
        <v>34</v>
      </c>
      <c r="G21" s="50">
        <v>0</v>
      </c>
      <c r="H21" s="27">
        <f>IF(B$25=0,0,G21/B$25)</f>
        <v>0</v>
      </c>
      <c r="J21" s="26">
        <v>19</v>
      </c>
      <c r="K21" s="28">
        <v>103.79999999999998</v>
      </c>
    </row>
    <row r="22" spans="1:11" x14ac:dyDescent="0.45">
      <c r="A22" s="57" t="s">
        <v>195</v>
      </c>
      <c r="B22" s="49">
        <v>143</v>
      </c>
      <c r="C22" s="24">
        <f>IF(B$3=0,0,B22/B$3)</f>
        <v>0.36666666666666664</v>
      </c>
      <c r="E22" s="68" t="s">
        <v>82</v>
      </c>
      <c r="F22" s="64" t="s">
        <v>35</v>
      </c>
      <c r="G22" s="50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5">
      <c r="A23" s="60" t="s">
        <v>196</v>
      </c>
      <c r="B23" s="52">
        <v>57</v>
      </c>
      <c r="C23" s="32">
        <f>IF(B$22=0,0,B23/B$22)</f>
        <v>0.39860139860139859</v>
      </c>
      <c r="E23" s="68" t="s">
        <v>83</v>
      </c>
      <c r="F23" s="64" t="s">
        <v>36</v>
      </c>
      <c r="G23" s="50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5">
      <c r="A24" s="57" t="s">
        <v>128</v>
      </c>
      <c r="B24" s="82">
        <v>257</v>
      </c>
      <c r="C24" s="83"/>
      <c r="E24" s="68" t="s">
        <v>85</v>
      </c>
      <c r="F24" s="64" t="s">
        <v>38</v>
      </c>
      <c r="G24" s="50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5">
      <c r="A25" s="60" t="s">
        <v>129</v>
      </c>
      <c r="B25" s="84">
        <v>84</v>
      </c>
      <c r="C25" s="85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5">
      <c r="A26" s="56" t="s">
        <v>231</v>
      </c>
      <c r="B26" s="86">
        <v>9</v>
      </c>
      <c r="C26" s="87"/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5"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5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5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5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5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145.39999999999995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190.29999999999995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200.19999999999996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180.19999999999996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175.29999999999995</v>
      </c>
    </row>
    <row r="52" spans="5:11" x14ac:dyDescent="0.45">
      <c r="J52" s="26">
        <v>50</v>
      </c>
      <c r="K52" s="28">
        <v>193.09999999999997</v>
      </c>
    </row>
    <row r="53" spans="5:11" x14ac:dyDescent="0.45">
      <c r="J53" s="26">
        <v>51</v>
      </c>
      <c r="K53" s="28">
        <v>166.69999999999996</v>
      </c>
    </row>
  </sheetData>
  <sortState ref="E2:H53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378FA-EB9F-42B9-913D-2CAE5553BB19}">
  <sheetPr codeName="Sheet12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 t="s">
        <v>192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2">
        <v>12</v>
      </c>
      <c r="C2" s="83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2608.3333333333335</v>
      </c>
      <c r="O2" s="41">
        <v>31300</v>
      </c>
      <c r="P2" s="39">
        <v>12</v>
      </c>
    </row>
    <row r="3" spans="1:16" x14ac:dyDescent="0.45">
      <c r="A3" s="58" t="s">
        <v>8</v>
      </c>
      <c r="B3" s="90">
        <v>82</v>
      </c>
      <c r="C3" s="91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-14.4</v>
      </c>
      <c r="M3" s="26" t="s">
        <v>199</v>
      </c>
      <c r="N3" s="45">
        <f t="shared" si="0"/>
        <v>2650</v>
      </c>
      <c r="O3" s="42">
        <v>26500</v>
      </c>
      <c r="P3" s="37">
        <v>10</v>
      </c>
    </row>
    <row r="4" spans="1:16" x14ac:dyDescent="0.45">
      <c r="A4" s="58" t="s">
        <v>6</v>
      </c>
      <c r="B4" s="92">
        <v>80.800000000000011</v>
      </c>
      <c r="C4" s="93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37.6</v>
      </c>
      <c r="M4" s="26" t="s">
        <v>200</v>
      </c>
      <c r="N4" s="45">
        <f t="shared" si="0"/>
        <v>-900</v>
      </c>
      <c r="O4" s="42">
        <v>-7200</v>
      </c>
      <c r="P4" s="37">
        <v>8</v>
      </c>
    </row>
    <row r="5" spans="1:16" x14ac:dyDescent="0.45">
      <c r="A5" s="58" t="s">
        <v>7</v>
      </c>
      <c r="B5" s="92">
        <f>IF(B$2=0,0,B$4/B$2)</f>
        <v>6.7333333333333343</v>
      </c>
      <c r="C5" s="93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-2.7999999999999972</v>
      </c>
      <c r="M5" s="26" t="s">
        <v>201</v>
      </c>
      <c r="N5" s="45">
        <f t="shared" si="0"/>
        <v>2062.5</v>
      </c>
      <c r="O5" s="42">
        <v>16500</v>
      </c>
      <c r="P5" s="37">
        <v>8</v>
      </c>
    </row>
    <row r="6" spans="1:16" x14ac:dyDescent="0.45">
      <c r="A6" s="58" t="s">
        <v>1</v>
      </c>
      <c r="B6" s="94">
        <f>IF(B$2=0,0,(B$7*1+B$8*2+B$9*3)/B$2)</f>
        <v>1.75</v>
      </c>
      <c r="C6" s="95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-44.3</v>
      </c>
      <c r="M6" s="26" t="s">
        <v>202</v>
      </c>
      <c r="N6" s="45">
        <f t="shared" si="0"/>
        <v>-1266.6666666666667</v>
      </c>
      <c r="O6" s="42">
        <v>-7600</v>
      </c>
      <c r="P6" s="37">
        <v>6</v>
      </c>
    </row>
    <row r="7" spans="1:16" x14ac:dyDescent="0.45">
      <c r="A7" s="58" t="s">
        <v>2</v>
      </c>
      <c r="B7" s="50">
        <v>6</v>
      </c>
      <c r="C7" s="27">
        <f>IF(B$2=0,0,B7/B$2)</f>
        <v>0.5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J7" s="26">
        <v>5</v>
      </c>
      <c r="K7" s="28">
        <v>8.2000000000000028</v>
      </c>
      <c r="M7" s="31" t="s">
        <v>203</v>
      </c>
      <c r="N7" s="46">
        <f t="shared" si="0"/>
        <v>5325</v>
      </c>
      <c r="O7" s="43">
        <v>21300</v>
      </c>
      <c r="P7" s="38">
        <v>4</v>
      </c>
    </row>
    <row r="8" spans="1:16" x14ac:dyDescent="0.45">
      <c r="A8" s="58" t="s">
        <v>3</v>
      </c>
      <c r="B8" s="50">
        <v>3</v>
      </c>
      <c r="C8" s="27">
        <f t="shared" ref="C8:C9" si="1">IF(B$2=0,0,B8/B$2)</f>
        <v>0.25</v>
      </c>
      <c r="E8" s="68" t="s">
        <v>75</v>
      </c>
      <c r="F8" s="64" t="s">
        <v>28</v>
      </c>
      <c r="G8" s="50">
        <v>0</v>
      </c>
      <c r="H8" s="27">
        <f>IF(B$25=0,0,G8/B$25)</f>
        <v>0</v>
      </c>
      <c r="J8" s="26">
        <v>6</v>
      </c>
      <c r="K8" s="28">
        <v>23.200000000000003</v>
      </c>
    </row>
    <row r="9" spans="1:16" x14ac:dyDescent="0.45">
      <c r="A9" s="59" t="s">
        <v>4</v>
      </c>
      <c r="B9" s="51">
        <v>3</v>
      </c>
      <c r="C9" s="29">
        <f t="shared" si="1"/>
        <v>0.25</v>
      </c>
      <c r="E9" s="68" t="s">
        <v>76</v>
      </c>
      <c r="F9" s="64" t="s">
        <v>29</v>
      </c>
      <c r="G9" s="50">
        <v>0</v>
      </c>
      <c r="H9" s="27">
        <f>IF(B$25=0,0,G9/B$25)</f>
        <v>0</v>
      </c>
      <c r="J9" s="26">
        <v>7</v>
      </c>
      <c r="K9" s="28">
        <v>40</v>
      </c>
    </row>
    <row r="10" spans="1:16" x14ac:dyDescent="0.45">
      <c r="A10" s="59" t="s">
        <v>21</v>
      </c>
      <c r="B10" s="51">
        <v>3</v>
      </c>
      <c r="C10" s="29">
        <f>IF(B$2=0,0,B10/B$2)</f>
        <v>0.25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  <c r="J10" s="26">
        <v>8</v>
      </c>
      <c r="K10" s="28">
        <v>4.2000000000000028</v>
      </c>
    </row>
    <row r="11" spans="1:16" x14ac:dyDescent="0.45">
      <c r="A11" s="60" t="s">
        <v>208</v>
      </c>
      <c r="B11" s="52">
        <v>3</v>
      </c>
      <c r="C11" s="32">
        <f>IF(B$2=0,0,B11/B$2)</f>
        <v>0.25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  <c r="J11" s="26">
        <v>9</v>
      </c>
      <c r="K11" s="28">
        <v>6.8000000000000025</v>
      </c>
    </row>
    <row r="12" spans="1:16" x14ac:dyDescent="0.45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  <c r="J12" s="26">
        <v>10</v>
      </c>
      <c r="K12" s="28">
        <v>56.800000000000004</v>
      </c>
    </row>
    <row r="13" spans="1:16" x14ac:dyDescent="0.45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  <c r="J13" s="26">
        <v>11</v>
      </c>
      <c r="K13" s="28">
        <v>69.300000000000011</v>
      </c>
    </row>
    <row r="14" spans="1:16" x14ac:dyDescent="0.45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5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5">
      <c r="A16" s="57" t="s">
        <v>10</v>
      </c>
      <c r="B16" s="49">
        <f>B17+B18</f>
        <v>28</v>
      </c>
      <c r="C16" s="24">
        <f>IF(B$3=0,0,B16/B$3)</f>
        <v>0.34146341463414637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5">
      <c r="A17" s="58" t="s">
        <v>11</v>
      </c>
      <c r="B17" s="50">
        <v>15</v>
      </c>
      <c r="C17" s="27">
        <f>IF(B$3=0,0,B17/B$3)</f>
        <v>0.18292682926829268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5">
      <c r="A18" s="58" t="s">
        <v>12</v>
      </c>
      <c r="B18" s="50">
        <v>13</v>
      </c>
      <c r="C18" s="27">
        <f>IF(B$3=0,0,B18/B$3)</f>
        <v>0.15853658536585366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5">
      <c r="A19" s="58" t="s">
        <v>13</v>
      </c>
      <c r="B19" s="50">
        <v>11</v>
      </c>
      <c r="C19" s="27">
        <f>IF(B$3=0,0,B19/B$3)</f>
        <v>0.13414634146341464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5">
      <c r="A20" s="58" t="s">
        <v>5</v>
      </c>
      <c r="B20" s="54">
        <f>IF(B$16=0,0,C20/B$16)</f>
        <v>10857.142857142857</v>
      </c>
      <c r="C20" s="30">
        <v>304000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5">
      <c r="A21" s="60" t="s">
        <v>14</v>
      </c>
      <c r="B21" s="55">
        <f>IF(B$19=0,0,C21/B$19)</f>
        <v>-9927.2727272727279</v>
      </c>
      <c r="C21" s="48">
        <v>-109200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5">
      <c r="A22" s="57" t="s">
        <v>195</v>
      </c>
      <c r="B22" s="49">
        <v>33</v>
      </c>
      <c r="C22" s="24">
        <f>IF(B$3=0,0,B22/B$3)</f>
        <v>0.40243902439024393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5">
      <c r="A23" s="60" t="s">
        <v>196</v>
      </c>
      <c r="B23" s="52">
        <v>15</v>
      </c>
      <c r="C23" s="32">
        <f>IF(B$22=0,0,B23/B$22)</f>
        <v>0.45454545454545453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5">
      <c r="A24" s="57" t="s">
        <v>128</v>
      </c>
      <c r="B24" s="82">
        <v>0</v>
      </c>
      <c r="C24" s="83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5">
      <c r="A25" s="60" t="s">
        <v>129</v>
      </c>
      <c r="B25" s="84">
        <v>0</v>
      </c>
      <c r="C25" s="85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5">
      <c r="A26" s="56" t="s">
        <v>231</v>
      </c>
      <c r="B26" s="86">
        <v>0</v>
      </c>
      <c r="C26" s="87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5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13571-B869-4634-A6AD-FD0FCE98B755}">
  <sheetPr codeName="Sheet13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 t="s">
        <v>193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2">
        <v>47</v>
      </c>
      <c r="C2" s="83"/>
      <c r="E2" s="67" t="s">
        <v>73</v>
      </c>
      <c r="F2" s="63" t="s">
        <v>27</v>
      </c>
      <c r="G2" s="49">
        <v>87</v>
      </c>
      <c r="H2" s="24">
        <f>IF(B$25=0,0,G2/B$25)</f>
        <v>0.93548387096774188</v>
      </c>
      <c r="J2" s="23">
        <v>0</v>
      </c>
      <c r="K2" s="25">
        <v>0</v>
      </c>
      <c r="M2" s="23" t="s">
        <v>198</v>
      </c>
      <c r="N2" s="44">
        <f t="shared" ref="N2:N7" si="0">IF(P2=0,0,O2/P2)</f>
        <v>-3048.8372093023254</v>
      </c>
      <c r="O2" s="41">
        <v>-131100</v>
      </c>
      <c r="P2" s="39">
        <v>43</v>
      </c>
    </row>
    <row r="3" spans="1:16" x14ac:dyDescent="0.45">
      <c r="A3" s="58" t="s">
        <v>8</v>
      </c>
      <c r="B3" s="90">
        <v>356</v>
      </c>
      <c r="C3" s="91"/>
      <c r="E3" s="68" t="s">
        <v>78</v>
      </c>
      <c r="F3" s="64" t="s">
        <v>31</v>
      </c>
      <c r="G3" s="50">
        <v>70</v>
      </c>
      <c r="H3" s="27">
        <f>IF(B$25=0,0,G3/B$25)</f>
        <v>0.75268817204301075</v>
      </c>
      <c r="J3" s="26">
        <v>1</v>
      </c>
      <c r="K3" s="28">
        <v>3.9</v>
      </c>
      <c r="M3" s="26" t="s">
        <v>199</v>
      </c>
      <c r="N3" s="45">
        <f t="shared" si="0"/>
        <v>-1379.0697674418604</v>
      </c>
      <c r="O3" s="42">
        <v>-59300</v>
      </c>
      <c r="P3" s="37">
        <v>43</v>
      </c>
    </row>
    <row r="4" spans="1:16" x14ac:dyDescent="0.45">
      <c r="A4" s="58" t="s">
        <v>6</v>
      </c>
      <c r="B4" s="92">
        <v>-351.39999999999992</v>
      </c>
      <c r="C4" s="93"/>
      <c r="E4" s="68" t="s">
        <v>71</v>
      </c>
      <c r="F4" s="64" t="s">
        <v>25</v>
      </c>
      <c r="G4" s="50">
        <v>67</v>
      </c>
      <c r="H4" s="27">
        <f>IF(B$25=0,0,G4/B$25)</f>
        <v>0.72043010752688175</v>
      </c>
      <c r="J4" s="26">
        <v>2</v>
      </c>
      <c r="K4" s="28">
        <v>-33.9</v>
      </c>
      <c r="M4" s="26" t="s">
        <v>200</v>
      </c>
      <c r="N4" s="45">
        <f t="shared" si="0"/>
        <v>-2247.5</v>
      </c>
      <c r="O4" s="42">
        <v>-89900</v>
      </c>
      <c r="P4" s="37">
        <v>40</v>
      </c>
    </row>
    <row r="5" spans="1:16" x14ac:dyDescent="0.45">
      <c r="A5" s="58" t="s">
        <v>7</v>
      </c>
      <c r="B5" s="92">
        <f>IF(B$2=0,0,B$4/B$2)</f>
        <v>-7.4765957446808491</v>
      </c>
      <c r="C5" s="93"/>
      <c r="E5" s="68" t="s">
        <v>69</v>
      </c>
      <c r="F5" s="64" t="s">
        <v>23</v>
      </c>
      <c r="G5" s="50">
        <v>53</v>
      </c>
      <c r="H5" s="27">
        <f>IF(B$25=0,0,G5/B$25)</f>
        <v>0.56989247311827962</v>
      </c>
      <c r="J5" s="26">
        <v>3</v>
      </c>
      <c r="K5" s="28">
        <v>-70.099999999999994</v>
      </c>
      <c r="M5" s="26" t="s">
        <v>201</v>
      </c>
      <c r="N5" s="45">
        <f t="shared" si="0"/>
        <v>-235.13513513513513</v>
      </c>
      <c r="O5" s="42">
        <v>-8700</v>
      </c>
      <c r="P5" s="37">
        <v>37</v>
      </c>
    </row>
    <row r="6" spans="1:16" x14ac:dyDescent="0.45">
      <c r="A6" s="58" t="s">
        <v>1</v>
      </c>
      <c r="B6" s="94">
        <f>IF(B$2=0,0,(B$7*1+B$8*2+B$9*3)/B$2)</f>
        <v>2.2127659574468086</v>
      </c>
      <c r="C6" s="95"/>
      <c r="E6" s="68" t="s">
        <v>72</v>
      </c>
      <c r="F6" s="64" t="s">
        <v>26</v>
      </c>
      <c r="G6" s="50">
        <v>41</v>
      </c>
      <c r="H6" s="27">
        <f>IF(B$25=0,0,G6/B$25)</f>
        <v>0.44086021505376344</v>
      </c>
      <c r="J6" s="26">
        <v>4</v>
      </c>
      <c r="K6" s="28">
        <v>-35.099999999999994</v>
      </c>
      <c r="M6" s="26" t="s">
        <v>202</v>
      </c>
      <c r="N6" s="45">
        <f t="shared" si="0"/>
        <v>-1800</v>
      </c>
      <c r="O6" s="42">
        <v>-59400</v>
      </c>
      <c r="P6" s="37">
        <v>33</v>
      </c>
    </row>
    <row r="7" spans="1:16" x14ac:dyDescent="0.45">
      <c r="A7" s="58" t="s">
        <v>2</v>
      </c>
      <c r="B7" s="50">
        <v>12</v>
      </c>
      <c r="C7" s="27">
        <f>IF(B$2=0,0,B7/B$2)</f>
        <v>0.25531914893617019</v>
      </c>
      <c r="E7" s="68" t="s">
        <v>74</v>
      </c>
      <c r="F7" s="64" t="s">
        <v>12</v>
      </c>
      <c r="G7" s="50">
        <v>30</v>
      </c>
      <c r="H7" s="27">
        <f>IF(B$25=0,0,G7/B$25)</f>
        <v>0.32258064516129031</v>
      </c>
      <c r="J7" s="26">
        <v>5</v>
      </c>
      <c r="K7" s="28">
        <v>-80.099999999999994</v>
      </c>
      <c r="M7" s="31" t="s">
        <v>203</v>
      </c>
      <c r="N7" s="46">
        <f t="shared" si="0"/>
        <v>4752.173913043478</v>
      </c>
      <c r="O7" s="43">
        <v>109300</v>
      </c>
      <c r="P7" s="38">
        <v>23</v>
      </c>
    </row>
    <row r="8" spans="1:16" x14ac:dyDescent="0.45">
      <c r="A8" s="58" t="s">
        <v>3</v>
      </c>
      <c r="B8" s="50">
        <v>13</v>
      </c>
      <c r="C8" s="27">
        <f t="shared" ref="C8:C9" si="1">IF(B$2=0,0,B8/B$2)</f>
        <v>0.27659574468085107</v>
      </c>
      <c r="E8" s="68" t="s">
        <v>96</v>
      </c>
      <c r="F8" s="64" t="s">
        <v>49</v>
      </c>
      <c r="G8" s="50">
        <v>15</v>
      </c>
      <c r="H8" s="27">
        <f>IF(B$25=0,0,G8/B$25)</f>
        <v>0.16129032258064516</v>
      </c>
      <c r="J8" s="26">
        <v>6</v>
      </c>
      <c r="K8" s="28">
        <v>-116.1</v>
      </c>
    </row>
    <row r="9" spans="1:16" x14ac:dyDescent="0.45">
      <c r="A9" s="59" t="s">
        <v>4</v>
      </c>
      <c r="B9" s="51">
        <v>22</v>
      </c>
      <c r="C9" s="29">
        <f t="shared" si="1"/>
        <v>0.46808510638297873</v>
      </c>
      <c r="E9" s="68" t="s">
        <v>75</v>
      </c>
      <c r="F9" s="64" t="s">
        <v>28</v>
      </c>
      <c r="G9" s="50">
        <v>14</v>
      </c>
      <c r="H9" s="27">
        <f>IF(B$25=0,0,G9/B$25)</f>
        <v>0.15053763440860216</v>
      </c>
      <c r="J9" s="26">
        <v>7</v>
      </c>
      <c r="K9" s="28">
        <v>-147.4</v>
      </c>
    </row>
    <row r="10" spans="1:16" x14ac:dyDescent="0.45">
      <c r="A10" s="59" t="s">
        <v>21</v>
      </c>
      <c r="B10" s="51">
        <v>11</v>
      </c>
      <c r="C10" s="29">
        <f>IF(B$2=0,0,B10/B$2)</f>
        <v>0.23404255319148937</v>
      </c>
      <c r="E10" s="68" t="s">
        <v>76</v>
      </c>
      <c r="F10" s="64" t="s">
        <v>29</v>
      </c>
      <c r="G10" s="50">
        <v>10</v>
      </c>
      <c r="H10" s="27">
        <f>IF(B$25=0,0,G10/B$25)</f>
        <v>0.10752688172043011</v>
      </c>
      <c r="J10" s="26">
        <v>8</v>
      </c>
      <c r="K10" s="28">
        <v>-146</v>
      </c>
    </row>
    <row r="11" spans="1:16" x14ac:dyDescent="0.45">
      <c r="A11" s="60" t="s">
        <v>208</v>
      </c>
      <c r="B11" s="52">
        <v>5</v>
      </c>
      <c r="C11" s="32">
        <f>IF(B$2=0,0,B11/B$2)</f>
        <v>0.10638297872340426</v>
      </c>
      <c r="E11" s="68" t="s">
        <v>70</v>
      </c>
      <c r="F11" s="64" t="s">
        <v>24</v>
      </c>
      <c r="G11" s="50">
        <v>8</v>
      </c>
      <c r="H11" s="27">
        <f>IF(B$25=0,0,G11/B$25)</f>
        <v>8.6021505376344093E-2</v>
      </c>
      <c r="J11" s="26">
        <v>9</v>
      </c>
      <c r="K11" s="28">
        <v>-173</v>
      </c>
    </row>
    <row r="12" spans="1:16" x14ac:dyDescent="0.45">
      <c r="A12" s="61" t="s">
        <v>130</v>
      </c>
      <c r="B12" s="53">
        <v>93</v>
      </c>
      <c r="C12" s="35">
        <f>IF(B$24=0,0,B12/B$24)</f>
        <v>0.29153605015673983</v>
      </c>
      <c r="E12" s="68" t="s">
        <v>84</v>
      </c>
      <c r="F12" s="64" t="s">
        <v>37</v>
      </c>
      <c r="G12" s="50">
        <v>6</v>
      </c>
      <c r="H12" s="27">
        <f>IF(B$25=0,0,G12/B$25)</f>
        <v>6.4516129032258063E-2</v>
      </c>
      <c r="J12" s="26">
        <v>10</v>
      </c>
      <c r="K12" s="28">
        <v>-206.1</v>
      </c>
    </row>
    <row r="13" spans="1:16" x14ac:dyDescent="0.45">
      <c r="A13" s="58" t="s">
        <v>125</v>
      </c>
      <c r="B13" s="50">
        <v>70</v>
      </c>
      <c r="C13" s="27">
        <f>IF(B$24=0,0,B13/B$24)</f>
        <v>0.21943573667711599</v>
      </c>
      <c r="E13" s="68" t="s">
        <v>93</v>
      </c>
      <c r="F13" s="64" t="s">
        <v>46</v>
      </c>
      <c r="G13" s="50">
        <v>6</v>
      </c>
      <c r="H13" s="27">
        <f>IF(B$25=0,0,G13/B$25)</f>
        <v>6.4516129032258063E-2</v>
      </c>
      <c r="J13" s="26">
        <v>11</v>
      </c>
      <c r="K13" s="28">
        <v>-174</v>
      </c>
    </row>
    <row r="14" spans="1:16" x14ac:dyDescent="0.45">
      <c r="A14" s="57" t="s">
        <v>132</v>
      </c>
      <c r="B14" s="49">
        <v>56</v>
      </c>
      <c r="C14" s="24">
        <f>IF(B$12=0,0,B14/B$12)</f>
        <v>0.60215053763440862</v>
      </c>
      <c r="E14" s="68" t="s">
        <v>79</v>
      </c>
      <c r="F14" s="64" t="s">
        <v>32</v>
      </c>
      <c r="G14" s="50">
        <v>3</v>
      </c>
      <c r="H14" s="27">
        <f>IF(B$25=0,0,G14/B$25)</f>
        <v>3.2258064516129031E-2</v>
      </c>
      <c r="J14" s="26">
        <v>12</v>
      </c>
      <c r="K14" s="28">
        <v>-197</v>
      </c>
    </row>
    <row r="15" spans="1:16" x14ac:dyDescent="0.45">
      <c r="A15" s="57" t="s">
        <v>133</v>
      </c>
      <c r="B15" s="49">
        <v>27</v>
      </c>
      <c r="C15" s="24">
        <f>IF(B$13=0,0,B15/B$13)</f>
        <v>0.38571428571428573</v>
      </c>
      <c r="E15" s="68" t="s">
        <v>90</v>
      </c>
      <c r="F15" s="64" t="s">
        <v>43</v>
      </c>
      <c r="G15" s="50">
        <v>3</v>
      </c>
      <c r="H15" s="27">
        <f>IF(B$25=0,0,G15/B$25)</f>
        <v>3.2258064516129031E-2</v>
      </c>
      <c r="J15" s="26">
        <v>13</v>
      </c>
      <c r="K15" s="28">
        <v>-235</v>
      </c>
    </row>
    <row r="16" spans="1:16" x14ac:dyDescent="0.45">
      <c r="A16" s="57" t="s">
        <v>10</v>
      </c>
      <c r="B16" s="49">
        <f>B17+B18</f>
        <v>103</v>
      </c>
      <c r="C16" s="24">
        <f>IF(B$3=0,0,B16/B$3)</f>
        <v>0.2893258426966292</v>
      </c>
      <c r="E16" s="68" t="s">
        <v>77</v>
      </c>
      <c r="F16" s="64" t="s">
        <v>30</v>
      </c>
      <c r="G16" s="50">
        <v>2</v>
      </c>
      <c r="H16" s="27">
        <f>IF(B$25=0,0,G16/B$25)</f>
        <v>2.1505376344086023E-2</v>
      </c>
      <c r="J16" s="26">
        <v>14</v>
      </c>
      <c r="K16" s="28">
        <v>-231</v>
      </c>
    </row>
    <row r="17" spans="1:11" x14ac:dyDescent="0.45">
      <c r="A17" s="58" t="s">
        <v>11</v>
      </c>
      <c r="B17" s="50">
        <v>57</v>
      </c>
      <c r="C17" s="27">
        <f>IF(B$3=0,0,B17/B$3)</f>
        <v>0.1601123595505618</v>
      </c>
      <c r="E17" s="68" t="s">
        <v>88</v>
      </c>
      <c r="F17" s="64" t="s">
        <v>41</v>
      </c>
      <c r="G17" s="50">
        <v>2</v>
      </c>
      <c r="H17" s="27">
        <f>IF(B$25=0,0,G17/B$25)</f>
        <v>2.1505376344086023E-2</v>
      </c>
      <c r="J17" s="26">
        <v>15</v>
      </c>
      <c r="K17" s="28">
        <v>-212.5</v>
      </c>
    </row>
    <row r="18" spans="1:11" x14ac:dyDescent="0.45">
      <c r="A18" s="58" t="s">
        <v>12</v>
      </c>
      <c r="B18" s="50">
        <v>46</v>
      </c>
      <c r="C18" s="27">
        <f>IF(B$3=0,0,B18/B$3)</f>
        <v>0.12921348314606743</v>
      </c>
      <c r="E18" s="68" t="s">
        <v>81</v>
      </c>
      <c r="F18" s="64" t="s">
        <v>34</v>
      </c>
      <c r="G18" s="50">
        <v>1</v>
      </c>
      <c r="H18" s="27">
        <f>IF(B$25=0,0,G18/B$25)</f>
        <v>1.0752688172043012E-2</v>
      </c>
      <c r="J18" s="26">
        <v>16</v>
      </c>
      <c r="K18" s="28">
        <v>-233.2</v>
      </c>
    </row>
    <row r="19" spans="1:11" x14ac:dyDescent="0.45">
      <c r="A19" s="58" t="s">
        <v>13</v>
      </c>
      <c r="B19" s="50">
        <v>84</v>
      </c>
      <c r="C19" s="27">
        <f>IF(B$3=0,0,B19/B$3)</f>
        <v>0.23595505617977527</v>
      </c>
      <c r="E19" s="68" t="s">
        <v>85</v>
      </c>
      <c r="F19" s="64" t="s">
        <v>38</v>
      </c>
      <c r="G19" s="50">
        <v>1</v>
      </c>
      <c r="H19" s="27">
        <f>IF(B$25=0,0,G19/B$25)</f>
        <v>1.0752688172043012E-2</v>
      </c>
      <c r="J19" s="26">
        <v>17</v>
      </c>
      <c r="K19" s="28">
        <v>-268.7</v>
      </c>
    </row>
    <row r="20" spans="1:11" x14ac:dyDescent="0.45">
      <c r="A20" s="58" t="s">
        <v>5</v>
      </c>
      <c r="B20" s="54">
        <f>IF(B$16=0,0,C20/B$16)</f>
        <v>10674.757281553399</v>
      </c>
      <c r="C20" s="30">
        <v>1099500</v>
      </c>
      <c r="E20" s="68" t="s">
        <v>91</v>
      </c>
      <c r="F20" s="64" t="s">
        <v>44</v>
      </c>
      <c r="G20" s="50">
        <v>1</v>
      </c>
      <c r="H20" s="27">
        <f>IF(B$25=0,0,G20/B$25)</f>
        <v>1.0752688172043012E-2</v>
      </c>
      <c r="J20" s="26">
        <v>18</v>
      </c>
      <c r="K20" s="28">
        <v>-295.8</v>
      </c>
    </row>
    <row r="21" spans="1:11" x14ac:dyDescent="0.45">
      <c r="A21" s="60" t="s">
        <v>14</v>
      </c>
      <c r="B21" s="55">
        <f>IF(B$19=0,0,C21/B$19)</f>
        <v>-9866.6666666666661</v>
      </c>
      <c r="C21" s="48">
        <v>-828800</v>
      </c>
      <c r="E21" s="68" t="s">
        <v>100</v>
      </c>
      <c r="F21" s="64" t="s">
        <v>53</v>
      </c>
      <c r="G21" s="50">
        <v>1</v>
      </c>
      <c r="H21" s="27">
        <f>IF(B$25=0,0,G21/B$25)</f>
        <v>1.0752688172043012E-2</v>
      </c>
      <c r="J21" s="26">
        <v>19</v>
      </c>
      <c r="K21" s="28">
        <v>-273.2</v>
      </c>
    </row>
    <row r="22" spans="1:11" x14ac:dyDescent="0.45">
      <c r="A22" s="57" t="s">
        <v>195</v>
      </c>
      <c r="B22" s="49">
        <v>113</v>
      </c>
      <c r="C22" s="24">
        <f>IF(B$3=0,0,B22/B$3)</f>
        <v>0.31741573033707865</v>
      </c>
      <c r="E22" s="68" t="s">
        <v>80</v>
      </c>
      <c r="F22" s="64" t="s">
        <v>33</v>
      </c>
      <c r="G22" s="50">
        <v>0</v>
      </c>
      <c r="H22" s="27">
        <f>IF(B$25=0,0,G22/B$25)</f>
        <v>0</v>
      </c>
      <c r="J22" s="26">
        <v>20</v>
      </c>
      <c r="K22" s="28">
        <v>-270</v>
      </c>
    </row>
    <row r="23" spans="1:11" x14ac:dyDescent="0.45">
      <c r="A23" s="60" t="s">
        <v>196</v>
      </c>
      <c r="B23" s="52">
        <v>39</v>
      </c>
      <c r="C23" s="32">
        <f>IF(B$22=0,0,B23/B$22)</f>
        <v>0.34513274336283184</v>
      </c>
      <c r="E23" s="68" t="s">
        <v>82</v>
      </c>
      <c r="F23" s="64" t="s">
        <v>35</v>
      </c>
      <c r="G23" s="50">
        <v>0</v>
      </c>
      <c r="H23" s="27">
        <f>IF(B$25=0,0,G23/B$25)</f>
        <v>0</v>
      </c>
      <c r="J23" s="26">
        <v>21</v>
      </c>
      <c r="K23" s="28">
        <v>-242</v>
      </c>
    </row>
    <row r="24" spans="1:11" x14ac:dyDescent="0.45">
      <c r="A24" s="57" t="s">
        <v>128</v>
      </c>
      <c r="B24" s="82">
        <v>319</v>
      </c>
      <c r="C24" s="83"/>
      <c r="E24" s="68" t="s">
        <v>83</v>
      </c>
      <c r="F24" s="64" t="s">
        <v>36</v>
      </c>
      <c r="G24" s="50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5">
      <c r="A25" s="60" t="s">
        <v>129</v>
      </c>
      <c r="B25" s="84">
        <v>93</v>
      </c>
      <c r="C25" s="85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5">
      <c r="A26" s="56" t="s">
        <v>231</v>
      </c>
      <c r="B26" s="86">
        <v>7</v>
      </c>
      <c r="C26" s="87"/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5"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5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5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5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5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5">
      <c r="E32" s="68" t="s">
        <v>98</v>
      </c>
      <c r="F32" s="64" t="s">
        <v>51</v>
      </c>
      <c r="G32" s="50">
        <v>0</v>
      </c>
      <c r="H32" s="27">
        <f>IF(B$25=0,0,G32/B$25)</f>
        <v>0</v>
      </c>
      <c r="J32" s="26">
        <v>30</v>
      </c>
      <c r="K32" s="28">
        <v>-257.29999999999995</v>
      </c>
    </row>
    <row r="33" spans="5:11" x14ac:dyDescent="0.45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-265.39999999999998</v>
      </c>
    </row>
    <row r="34" spans="5:11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-283.89999999999998</v>
      </c>
    </row>
    <row r="35" spans="5:11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-291.29999999999995</v>
      </c>
    </row>
    <row r="36" spans="5:11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-301.69999999999993</v>
      </c>
    </row>
    <row r="37" spans="5:11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-339.69999999999993</v>
      </c>
    </row>
    <row r="38" spans="5:11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-328.09999999999991</v>
      </c>
    </row>
    <row r="39" spans="5:11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-371.59999999999991</v>
      </c>
    </row>
    <row r="40" spans="5:11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-380.09999999999991</v>
      </c>
    </row>
    <row r="41" spans="5:11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-360.49999999999989</v>
      </c>
    </row>
    <row r="42" spans="5:11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-378.59999999999991</v>
      </c>
    </row>
    <row r="43" spans="5:11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-366.59999999999991</v>
      </c>
    </row>
    <row r="44" spans="5:11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-367.09999999999991</v>
      </c>
    </row>
    <row r="45" spans="5:11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-325.09999999999991</v>
      </c>
    </row>
    <row r="46" spans="5:11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-330.89999999999992</v>
      </c>
    </row>
    <row r="47" spans="5:11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-329.19999999999993</v>
      </c>
    </row>
    <row r="48" spans="5:11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-363.39999999999992</v>
      </c>
    </row>
    <row r="49" spans="5:11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-351.39999999999992</v>
      </c>
    </row>
    <row r="50" spans="5:11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11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9EC1E-7224-4A1C-A8F5-9B196EC8E168}">
  <sheetPr codeName="Sheet14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 t="s">
        <v>217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2">
        <v>5</v>
      </c>
      <c r="C2" s="83"/>
      <c r="E2" s="67" t="s">
        <v>71</v>
      </c>
      <c r="F2" s="63" t="s">
        <v>25</v>
      </c>
      <c r="G2" s="49">
        <v>12</v>
      </c>
      <c r="H2" s="24">
        <f>IF(B$25=0,0,G2/B$25)</f>
        <v>0.66666666666666663</v>
      </c>
      <c r="J2" s="23">
        <v>0</v>
      </c>
      <c r="K2" s="25">
        <v>0</v>
      </c>
      <c r="M2" s="23" t="s">
        <v>198</v>
      </c>
      <c r="N2" s="44">
        <f t="shared" ref="N2:N7" si="0">IF(P2=0,0,O2/P2)</f>
        <v>9780</v>
      </c>
      <c r="O2" s="41">
        <v>48900</v>
      </c>
      <c r="P2" s="39">
        <v>5</v>
      </c>
    </row>
    <row r="3" spans="1:16" x14ac:dyDescent="0.45">
      <c r="A3" s="58" t="s">
        <v>8</v>
      </c>
      <c r="B3" s="90">
        <v>46</v>
      </c>
      <c r="C3" s="91"/>
      <c r="E3" s="68" t="s">
        <v>73</v>
      </c>
      <c r="F3" s="64" t="s">
        <v>27</v>
      </c>
      <c r="G3" s="50">
        <v>12</v>
      </c>
      <c r="H3" s="27">
        <f>IF(B$25=0,0,G3/B$25)</f>
        <v>0.66666666666666663</v>
      </c>
      <c r="J3" s="26">
        <v>1</v>
      </c>
      <c r="K3" s="28">
        <v>28.3</v>
      </c>
      <c r="M3" s="26" t="s">
        <v>199</v>
      </c>
      <c r="N3" s="45">
        <f t="shared" si="0"/>
        <v>-4740</v>
      </c>
      <c r="O3" s="42">
        <v>-23700</v>
      </c>
      <c r="P3" s="37">
        <v>5</v>
      </c>
    </row>
    <row r="4" spans="1:16" x14ac:dyDescent="0.45">
      <c r="A4" s="58" t="s">
        <v>6</v>
      </c>
      <c r="B4" s="92">
        <v>89</v>
      </c>
      <c r="C4" s="93"/>
      <c r="E4" s="68" t="s">
        <v>69</v>
      </c>
      <c r="F4" s="64" t="s">
        <v>23</v>
      </c>
      <c r="G4" s="50">
        <v>11</v>
      </c>
      <c r="H4" s="27">
        <f>IF(B$25=0,0,G4/B$25)</f>
        <v>0.61111111111111116</v>
      </c>
      <c r="J4" s="26">
        <v>2</v>
      </c>
      <c r="K4" s="28">
        <v>71.3</v>
      </c>
      <c r="M4" s="26" t="s">
        <v>200</v>
      </c>
      <c r="N4" s="45">
        <f t="shared" si="0"/>
        <v>3000</v>
      </c>
      <c r="O4" s="42">
        <v>15000</v>
      </c>
      <c r="P4" s="37">
        <v>5</v>
      </c>
    </row>
    <row r="5" spans="1:16" x14ac:dyDescent="0.45">
      <c r="A5" s="58" t="s">
        <v>7</v>
      </c>
      <c r="B5" s="92">
        <f>IF(B$2=0,0,B$4/B$2)</f>
        <v>17.8</v>
      </c>
      <c r="C5" s="93"/>
      <c r="E5" s="68" t="s">
        <v>78</v>
      </c>
      <c r="F5" s="64" t="s">
        <v>31</v>
      </c>
      <c r="G5" s="50">
        <v>10</v>
      </c>
      <c r="H5" s="27">
        <f>IF(B$25=0,0,G5/B$25)</f>
        <v>0.55555555555555558</v>
      </c>
      <c r="J5" s="26">
        <v>3</v>
      </c>
      <c r="K5" s="28">
        <v>57.3</v>
      </c>
      <c r="M5" s="26" t="s">
        <v>201</v>
      </c>
      <c r="N5" s="45">
        <f t="shared" si="0"/>
        <v>10700</v>
      </c>
      <c r="O5" s="42">
        <v>42800</v>
      </c>
      <c r="P5" s="37">
        <v>4</v>
      </c>
    </row>
    <row r="6" spans="1:16" x14ac:dyDescent="0.45">
      <c r="A6" s="58" t="s">
        <v>1</v>
      </c>
      <c r="B6" s="94">
        <f>IF(B$2=0,0,(B$7*1+B$8*2+B$9*3)/B$2)</f>
        <v>1.6</v>
      </c>
      <c r="C6" s="95"/>
      <c r="E6" s="68" t="s">
        <v>72</v>
      </c>
      <c r="F6" s="64" t="s">
        <v>26</v>
      </c>
      <c r="G6" s="50">
        <v>6</v>
      </c>
      <c r="H6" s="27">
        <f>IF(B$25=0,0,G6/B$25)</f>
        <v>0.33333333333333331</v>
      </c>
      <c r="J6" s="26">
        <v>4</v>
      </c>
      <c r="K6" s="28">
        <v>64.5</v>
      </c>
      <c r="M6" s="26" t="s">
        <v>202</v>
      </c>
      <c r="N6" s="45">
        <f t="shared" si="0"/>
        <v>-1000</v>
      </c>
      <c r="O6" s="42">
        <v>-4000</v>
      </c>
      <c r="P6" s="37">
        <v>4</v>
      </c>
    </row>
    <row r="7" spans="1:16" x14ac:dyDescent="0.45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>IF(B$25=0,0,G7/B$25)</f>
        <v>0.22222222222222221</v>
      </c>
      <c r="J7" s="26">
        <v>5</v>
      </c>
      <c r="K7" s="28">
        <v>89</v>
      </c>
      <c r="M7" s="31" t="s">
        <v>203</v>
      </c>
      <c r="N7" s="46">
        <f t="shared" si="0"/>
        <v>2500</v>
      </c>
      <c r="O7" s="43">
        <v>10000</v>
      </c>
      <c r="P7" s="38">
        <v>4</v>
      </c>
    </row>
    <row r="8" spans="1:16" x14ac:dyDescent="0.45">
      <c r="A8" s="58" t="s">
        <v>3</v>
      </c>
      <c r="B8" s="50">
        <v>1</v>
      </c>
      <c r="C8" s="27">
        <f t="shared" ref="C8:C9" si="1">IF(B$2=0,0,B8/B$2)</f>
        <v>0.2</v>
      </c>
      <c r="E8" s="68" t="s">
        <v>74</v>
      </c>
      <c r="F8" s="64" t="s">
        <v>12</v>
      </c>
      <c r="G8" s="50">
        <v>3</v>
      </c>
      <c r="H8" s="27">
        <f>IF(B$25=0,0,G8/B$25)</f>
        <v>0.16666666666666666</v>
      </c>
    </row>
    <row r="9" spans="1:16" x14ac:dyDescent="0.45">
      <c r="A9" s="59" t="s">
        <v>4</v>
      </c>
      <c r="B9" s="51">
        <v>1</v>
      </c>
      <c r="C9" s="29">
        <f t="shared" si="1"/>
        <v>0.2</v>
      </c>
      <c r="E9" s="68" t="s">
        <v>75</v>
      </c>
      <c r="F9" s="64" t="s">
        <v>28</v>
      </c>
      <c r="G9" s="50">
        <v>3</v>
      </c>
      <c r="H9" s="27">
        <f>IF(B$25=0,0,G9/B$25)</f>
        <v>0.16666666666666666</v>
      </c>
    </row>
    <row r="10" spans="1:16" x14ac:dyDescent="0.45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>IF(B$25=0,0,G10/B$25)</f>
        <v>0.16666666666666666</v>
      </c>
    </row>
    <row r="11" spans="1:16" x14ac:dyDescent="0.45">
      <c r="A11" s="60" t="s">
        <v>208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>IF(B$25=0,0,G11/B$25)</f>
        <v>0.16666666666666666</v>
      </c>
    </row>
    <row r="12" spans="1:16" x14ac:dyDescent="0.45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>IF(B$25=0,0,G12/B$25)</f>
        <v>0.1111111111111111</v>
      </c>
    </row>
    <row r="13" spans="1:16" x14ac:dyDescent="0.45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>IF(B$25=0,0,G13/B$25)</f>
        <v>5.5555555555555552E-2</v>
      </c>
    </row>
    <row r="14" spans="1:16" x14ac:dyDescent="0.45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>IF(B$25=0,0,G14/B$25)</f>
        <v>5.5555555555555552E-2</v>
      </c>
    </row>
    <row r="15" spans="1:16" x14ac:dyDescent="0.45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>IF(B$25=0,0,G15/B$25)</f>
        <v>0</v>
      </c>
    </row>
    <row r="16" spans="1:16" x14ac:dyDescent="0.45">
      <c r="A16" s="57" t="s">
        <v>10</v>
      </c>
      <c r="B16" s="49">
        <f>B17+B18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>IF(B$25=0,0,G16/B$25)</f>
        <v>0</v>
      </c>
    </row>
    <row r="17" spans="1:8" x14ac:dyDescent="0.45">
      <c r="A17" s="58" t="s">
        <v>11</v>
      </c>
      <c r="B17" s="50">
        <v>13</v>
      </c>
      <c r="C17" s="27">
        <f>IF(B$3=0,0,B17/B$3)</f>
        <v>0.28260869565217389</v>
      </c>
      <c r="E17" s="68" t="s">
        <v>81</v>
      </c>
      <c r="F17" s="64" t="s">
        <v>34</v>
      </c>
      <c r="G17" s="50">
        <v>0</v>
      </c>
      <c r="H17" s="27">
        <f>IF(B$25=0,0,G17/B$25)</f>
        <v>0</v>
      </c>
    </row>
    <row r="18" spans="1:8" x14ac:dyDescent="0.45">
      <c r="A18" s="58" t="s">
        <v>12</v>
      </c>
      <c r="B18" s="50">
        <v>5</v>
      </c>
      <c r="C18" s="27">
        <f>IF(B$3=0,0,B18/B$3)</f>
        <v>0.10869565217391304</v>
      </c>
      <c r="E18" s="68" t="s">
        <v>82</v>
      </c>
      <c r="F18" s="64" t="s">
        <v>35</v>
      </c>
      <c r="G18" s="50">
        <v>0</v>
      </c>
      <c r="H18" s="27">
        <f>IF(B$25=0,0,G18/B$25)</f>
        <v>0</v>
      </c>
    </row>
    <row r="19" spans="1:8" x14ac:dyDescent="0.45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>IF(B$25=0,0,G19/B$25)</f>
        <v>0</v>
      </c>
    </row>
    <row r="20" spans="1:8" x14ac:dyDescent="0.45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>IF(B$25=0,0,G20/B$25)</f>
        <v>0</v>
      </c>
    </row>
    <row r="21" spans="1:8" x14ac:dyDescent="0.45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</row>
    <row r="22" spans="1:8" x14ac:dyDescent="0.45">
      <c r="A22" s="57" t="s">
        <v>195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5">
      <c r="A23" s="60" t="s">
        <v>196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5">
      <c r="A24" s="57" t="s">
        <v>128</v>
      </c>
      <c r="B24" s="82">
        <v>46</v>
      </c>
      <c r="C24" s="83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5">
      <c r="A25" s="60" t="s">
        <v>129</v>
      </c>
      <c r="B25" s="84">
        <v>18</v>
      </c>
      <c r="C25" s="85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5">
      <c r="A26" s="56" t="s">
        <v>231</v>
      </c>
      <c r="B26" s="86">
        <v>5</v>
      </c>
      <c r="C26" s="87"/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8" x14ac:dyDescent="0.45"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8" x14ac:dyDescent="0.45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8" x14ac:dyDescent="0.45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8" x14ac:dyDescent="0.45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8" x14ac:dyDescent="0.45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EB6E8-9A3F-4420-81BE-05E82D283FE1}">
  <sheetPr codeName="Sheet15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 t="s">
        <v>220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5">
      <c r="A2" s="57" t="s">
        <v>9</v>
      </c>
      <c r="B2" s="82">
        <v>6</v>
      </c>
      <c r="C2" s="83"/>
      <c r="E2" s="67" t="s">
        <v>73</v>
      </c>
      <c r="F2" s="63" t="s">
        <v>27</v>
      </c>
      <c r="G2" s="49">
        <v>15</v>
      </c>
      <c r="H2" s="24">
        <f>IF(B$25=0,0,G2/B$25)</f>
        <v>1.6666666666666667</v>
      </c>
      <c r="J2" s="23">
        <v>0</v>
      </c>
      <c r="K2" s="25">
        <v>0</v>
      </c>
      <c r="M2" s="23" t="s">
        <v>198</v>
      </c>
      <c r="N2" s="44">
        <f t="shared" ref="N2:N7" si="0">IF(P2=0,0,O2/P2)</f>
        <v>-550</v>
      </c>
      <c r="O2" s="41">
        <v>-3300</v>
      </c>
      <c r="P2" s="39">
        <v>6</v>
      </c>
    </row>
    <row r="3" spans="1:16" x14ac:dyDescent="0.45">
      <c r="A3" s="58" t="s">
        <v>8</v>
      </c>
      <c r="B3" s="90">
        <v>43</v>
      </c>
      <c r="C3" s="91"/>
      <c r="E3" s="68" t="s">
        <v>71</v>
      </c>
      <c r="F3" s="64" t="s">
        <v>25</v>
      </c>
      <c r="G3" s="50">
        <v>9</v>
      </c>
      <c r="H3" s="27">
        <f>IF(B$25=0,0,G3/B$25)</f>
        <v>1</v>
      </c>
      <c r="J3" s="26">
        <v>1</v>
      </c>
      <c r="K3" s="28">
        <v>15</v>
      </c>
      <c r="M3" s="26" t="s">
        <v>199</v>
      </c>
      <c r="N3" s="45">
        <f t="shared" si="0"/>
        <v>4833.333333333333</v>
      </c>
      <c r="O3" s="42">
        <v>29000</v>
      </c>
      <c r="P3" s="37">
        <v>6</v>
      </c>
    </row>
    <row r="4" spans="1:16" x14ac:dyDescent="0.45">
      <c r="A4" s="58" t="s">
        <v>6</v>
      </c>
      <c r="B4" s="92">
        <v>2.2000000000000011</v>
      </c>
      <c r="C4" s="93"/>
      <c r="E4" s="68" t="s">
        <v>78</v>
      </c>
      <c r="F4" s="64" t="s">
        <v>31</v>
      </c>
      <c r="G4" s="50">
        <v>7</v>
      </c>
      <c r="H4" s="27">
        <f>IF(B$25=0,0,G4/B$25)</f>
        <v>0.77777777777777779</v>
      </c>
      <c r="J4" s="26">
        <v>2</v>
      </c>
      <c r="K4" s="28">
        <v>-24.299999999999997</v>
      </c>
      <c r="M4" s="26" t="s">
        <v>200</v>
      </c>
      <c r="N4" s="45">
        <f t="shared" si="0"/>
        <v>-2575</v>
      </c>
      <c r="O4" s="42">
        <v>-10300</v>
      </c>
      <c r="P4" s="37">
        <v>4</v>
      </c>
    </row>
    <row r="5" spans="1:16" x14ac:dyDescent="0.45">
      <c r="A5" s="58" t="s">
        <v>7</v>
      </c>
      <c r="B5" s="92">
        <f>IF(B$2=0,0,B$4/B$2)</f>
        <v>0.36666666666666686</v>
      </c>
      <c r="C5" s="93"/>
      <c r="E5" s="68" t="s">
        <v>90</v>
      </c>
      <c r="F5" s="64" t="s">
        <v>43</v>
      </c>
      <c r="G5" s="50">
        <v>4</v>
      </c>
      <c r="H5" s="27">
        <f>IF(B$25=0,0,G5/B$25)</f>
        <v>0.44444444444444442</v>
      </c>
      <c r="J5" s="26">
        <v>3</v>
      </c>
      <c r="K5" s="28">
        <v>-15.599999999999998</v>
      </c>
      <c r="M5" s="26" t="s">
        <v>201</v>
      </c>
      <c r="N5" s="45">
        <f t="shared" si="0"/>
        <v>2575</v>
      </c>
      <c r="O5" s="42">
        <v>10300</v>
      </c>
      <c r="P5" s="37">
        <v>4</v>
      </c>
    </row>
    <row r="6" spans="1:16" x14ac:dyDescent="0.45">
      <c r="A6" s="58" t="s">
        <v>1</v>
      </c>
      <c r="B6" s="94">
        <f>IF(B$2=0,0,(B$7*1+B$8*2+B$9*3)/B$2)</f>
        <v>2.3333333333333335</v>
      </c>
      <c r="C6" s="95"/>
      <c r="E6" s="68" t="s">
        <v>96</v>
      </c>
      <c r="F6" s="64" t="s">
        <v>49</v>
      </c>
      <c r="G6" s="50">
        <v>2</v>
      </c>
      <c r="H6" s="27">
        <f>IF(B$25=0,0,G6/B$25)</f>
        <v>0.22222222222222221</v>
      </c>
      <c r="J6" s="26">
        <v>4</v>
      </c>
      <c r="K6" s="28">
        <v>5.1000000000000014</v>
      </c>
      <c r="M6" s="26" t="s">
        <v>202</v>
      </c>
      <c r="N6" s="45">
        <f t="shared" si="0"/>
        <v>-4833.333333333333</v>
      </c>
      <c r="O6" s="42">
        <v>-14500</v>
      </c>
      <c r="P6" s="37">
        <v>3</v>
      </c>
    </row>
    <row r="7" spans="1:16" x14ac:dyDescent="0.45">
      <c r="A7" s="58" t="s">
        <v>2</v>
      </c>
      <c r="B7" s="50">
        <v>0</v>
      </c>
      <c r="C7" s="27">
        <f>IF(B$2=0,0,B7/B$2)</f>
        <v>0</v>
      </c>
      <c r="E7" s="68" t="s">
        <v>69</v>
      </c>
      <c r="F7" s="64" t="s">
        <v>23</v>
      </c>
      <c r="G7" s="50">
        <v>1</v>
      </c>
      <c r="H7" s="27">
        <f>IF(B$25=0,0,G7/B$25)</f>
        <v>0.1111111111111111</v>
      </c>
      <c r="J7" s="26">
        <v>5</v>
      </c>
      <c r="K7" s="28">
        <v>9.6000000000000014</v>
      </c>
      <c r="M7" s="31" t="s">
        <v>203</v>
      </c>
      <c r="N7" s="46">
        <f t="shared" si="0"/>
        <v>-9000</v>
      </c>
      <c r="O7" s="43">
        <v>-9000</v>
      </c>
      <c r="P7" s="38">
        <v>1</v>
      </c>
    </row>
    <row r="8" spans="1:16" x14ac:dyDescent="0.45">
      <c r="A8" s="58" t="s">
        <v>3</v>
      </c>
      <c r="B8" s="50">
        <v>4</v>
      </c>
      <c r="C8" s="27">
        <f t="shared" ref="C8:C9" si="1">IF(B$2=0,0,B8/B$2)</f>
        <v>0.66666666666666663</v>
      </c>
      <c r="E8" s="68" t="s">
        <v>76</v>
      </c>
      <c r="F8" s="64" t="s">
        <v>29</v>
      </c>
      <c r="G8" s="50">
        <v>1</v>
      </c>
      <c r="H8" s="27">
        <f>IF(B$25=0,0,G8/B$25)</f>
        <v>0.1111111111111111</v>
      </c>
      <c r="J8" s="26">
        <v>6</v>
      </c>
      <c r="K8" s="28">
        <v>2.2000000000000011</v>
      </c>
    </row>
    <row r="9" spans="1:16" x14ac:dyDescent="0.45">
      <c r="A9" s="59" t="s">
        <v>4</v>
      </c>
      <c r="B9" s="51">
        <v>2</v>
      </c>
      <c r="C9" s="29">
        <f t="shared" si="1"/>
        <v>0.33333333333333331</v>
      </c>
      <c r="E9" s="68" t="s">
        <v>85</v>
      </c>
      <c r="F9" s="64" t="s">
        <v>38</v>
      </c>
      <c r="G9" s="50">
        <v>1</v>
      </c>
      <c r="H9" s="27">
        <f>IF(B$25=0,0,G9/B$25)</f>
        <v>0.1111111111111111</v>
      </c>
    </row>
    <row r="10" spans="1:16" x14ac:dyDescent="0.45">
      <c r="A10" s="59" t="s">
        <v>21</v>
      </c>
      <c r="B10" s="51">
        <v>1</v>
      </c>
      <c r="C10" s="29">
        <f>IF(B$2=0,0,B10/B$2)</f>
        <v>0.16666666666666666</v>
      </c>
      <c r="E10" s="68" t="s">
        <v>92</v>
      </c>
      <c r="F10" s="64" t="s">
        <v>45</v>
      </c>
      <c r="G10" s="50">
        <v>1</v>
      </c>
      <c r="H10" s="27">
        <f>IF(B$25=0,0,G10/B$25)</f>
        <v>0.1111111111111111</v>
      </c>
    </row>
    <row r="11" spans="1:16" x14ac:dyDescent="0.45">
      <c r="A11" s="60" t="s">
        <v>208</v>
      </c>
      <c r="B11" s="52">
        <v>0</v>
      </c>
      <c r="C11" s="32">
        <f>IF(B$2=0,0,B11/B$2)</f>
        <v>0</v>
      </c>
      <c r="E11" s="68" t="s">
        <v>70</v>
      </c>
      <c r="F11" s="64" t="s">
        <v>24</v>
      </c>
      <c r="G11" s="50">
        <v>0</v>
      </c>
      <c r="H11" s="27">
        <f>IF(B$25=0,0,G11/B$25)</f>
        <v>0</v>
      </c>
    </row>
    <row r="12" spans="1:16" x14ac:dyDescent="0.45">
      <c r="A12" s="61" t="s">
        <v>130</v>
      </c>
      <c r="B12" s="53">
        <v>3</v>
      </c>
      <c r="C12" s="35">
        <f>IF(B$24=0,0,B12/B$24)</f>
        <v>6.9767441860465115E-2</v>
      </c>
      <c r="E12" s="68" t="s">
        <v>72</v>
      </c>
      <c r="F12" s="64" t="s">
        <v>26</v>
      </c>
      <c r="G12" s="50">
        <v>0</v>
      </c>
      <c r="H12" s="27">
        <f>IF(B$25=0,0,G12/B$25)</f>
        <v>0</v>
      </c>
    </row>
    <row r="13" spans="1:16" x14ac:dyDescent="0.45">
      <c r="A13" s="58" t="s">
        <v>125</v>
      </c>
      <c r="B13" s="50">
        <v>21</v>
      </c>
      <c r="C13" s="27">
        <f>IF(B$24=0,0,B13/B$24)</f>
        <v>0.48837209302325579</v>
      </c>
      <c r="E13" s="68" t="s">
        <v>74</v>
      </c>
      <c r="F13" s="64" t="s">
        <v>12</v>
      </c>
      <c r="G13" s="50">
        <v>0</v>
      </c>
      <c r="H13" s="27">
        <f>IF(B$25=0,0,G13/B$25)</f>
        <v>0</v>
      </c>
    </row>
    <row r="14" spans="1:16" x14ac:dyDescent="0.45">
      <c r="A14" s="57" t="s">
        <v>132</v>
      </c>
      <c r="B14" s="49">
        <v>1</v>
      </c>
      <c r="C14" s="24">
        <f>IF(B$12=0,0,B14/B$12)</f>
        <v>0.33333333333333331</v>
      </c>
      <c r="E14" s="68" t="s">
        <v>75</v>
      </c>
      <c r="F14" s="64" t="s">
        <v>28</v>
      </c>
      <c r="G14" s="50">
        <v>0</v>
      </c>
      <c r="H14" s="27">
        <f>IF(B$25=0,0,G14/B$25)</f>
        <v>0</v>
      </c>
    </row>
    <row r="15" spans="1:16" x14ac:dyDescent="0.45">
      <c r="A15" s="57" t="s">
        <v>133</v>
      </c>
      <c r="B15" s="49">
        <v>8</v>
      </c>
      <c r="C15" s="24">
        <f>IF(B$13=0,0,B15/B$13)</f>
        <v>0.38095238095238093</v>
      </c>
      <c r="E15" s="68" t="s">
        <v>77</v>
      </c>
      <c r="F15" s="64" t="s">
        <v>30</v>
      </c>
      <c r="G15" s="50">
        <v>0</v>
      </c>
      <c r="H15" s="27">
        <f>IF(B$25=0,0,G15/B$25)</f>
        <v>0</v>
      </c>
    </row>
    <row r="16" spans="1:16" x14ac:dyDescent="0.45">
      <c r="A16" s="57" t="s">
        <v>10</v>
      </c>
      <c r="B16" s="49">
        <f>B17+B18</f>
        <v>9</v>
      </c>
      <c r="C16" s="24">
        <f>IF(B$3=0,0,B16/B$3)</f>
        <v>0.20930232558139536</v>
      </c>
      <c r="E16" s="68" t="s">
        <v>79</v>
      </c>
      <c r="F16" s="64" t="s">
        <v>32</v>
      </c>
      <c r="G16" s="50">
        <v>0</v>
      </c>
      <c r="H16" s="27">
        <f>IF(B$25=0,0,G16/B$25)</f>
        <v>0</v>
      </c>
    </row>
    <row r="17" spans="1:8" x14ac:dyDescent="0.45">
      <c r="A17" s="58" t="s">
        <v>11</v>
      </c>
      <c r="B17" s="50">
        <v>9</v>
      </c>
      <c r="C17" s="27">
        <f>IF(B$3=0,0,B17/B$3)</f>
        <v>0.20930232558139536</v>
      </c>
      <c r="E17" s="68" t="s">
        <v>80</v>
      </c>
      <c r="F17" s="64" t="s">
        <v>33</v>
      </c>
      <c r="G17" s="50">
        <v>0</v>
      </c>
      <c r="H17" s="27">
        <f>IF(B$25=0,0,G17/B$25)</f>
        <v>0</v>
      </c>
    </row>
    <row r="18" spans="1:8" x14ac:dyDescent="0.45">
      <c r="A18" s="58" t="s">
        <v>12</v>
      </c>
      <c r="B18" s="50">
        <v>0</v>
      </c>
      <c r="C18" s="27">
        <f>IF(B$3=0,0,B18/B$3)</f>
        <v>0</v>
      </c>
      <c r="E18" s="68" t="s">
        <v>81</v>
      </c>
      <c r="F18" s="64" t="s">
        <v>34</v>
      </c>
      <c r="G18" s="50">
        <v>0</v>
      </c>
      <c r="H18" s="27">
        <f>IF(B$25=0,0,G18/B$25)</f>
        <v>0</v>
      </c>
    </row>
    <row r="19" spans="1:8" x14ac:dyDescent="0.45">
      <c r="A19" s="58" t="s">
        <v>13</v>
      </c>
      <c r="B19" s="50">
        <v>7</v>
      </c>
      <c r="C19" s="27">
        <f>IF(B$3=0,0,B19/B$3)</f>
        <v>0.16279069767441862</v>
      </c>
      <c r="E19" s="68" t="s">
        <v>82</v>
      </c>
      <c r="F19" s="64" t="s">
        <v>35</v>
      </c>
      <c r="G19" s="50">
        <v>0</v>
      </c>
      <c r="H19" s="27">
        <f>IF(B$25=0,0,G19/B$25)</f>
        <v>0</v>
      </c>
    </row>
    <row r="20" spans="1:8" x14ac:dyDescent="0.45">
      <c r="A20" s="58" t="s">
        <v>5</v>
      </c>
      <c r="B20" s="54">
        <f>IF(B$16=0,0,C20/B$16)</f>
        <v>9988.8888888888887</v>
      </c>
      <c r="C20" s="30">
        <v>89900</v>
      </c>
      <c r="E20" s="68" t="s">
        <v>83</v>
      </c>
      <c r="F20" s="64" t="s">
        <v>36</v>
      </c>
      <c r="G20" s="50">
        <v>0</v>
      </c>
      <c r="H20" s="27">
        <f>IF(B$25=0,0,G20/B$25)</f>
        <v>0</v>
      </c>
    </row>
    <row r="21" spans="1:8" x14ac:dyDescent="0.45">
      <c r="A21" s="60" t="s">
        <v>14</v>
      </c>
      <c r="B21" s="55">
        <f>IF(B$19=0,0,C21/B$19)</f>
        <v>-6914.2857142857147</v>
      </c>
      <c r="C21" s="48">
        <v>-48400</v>
      </c>
      <c r="E21" s="68" t="s">
        <v>84</v>
      </c>
      <c r="F21" s="64" t="s">
        <v>37</v>
      </c>
      <c r="G21" s="50">
        <v>0</v>
      </c>
      <c r="H21" s="27">
        <f>IF(B$25=0,0,G21/B$25)</f>
        <v>0</v>
      </c>
    </row>
    <row r="22" spans="1:8" x14ac:dyDescent="0.45">
      <c r="A22" s="57" t="s">
        <v>195</v>
      </c>
      <c r="B22" s="49">
        <v>10</v>
      </c>
      <c r="C22" s="24">
        <f>IF(B$3=0,0,B22/B$3)</f>
        <v>0.23255813953488372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5">
      <c r="A23" s="60" t="s">
        <v>196</v>
      </c>
      <c r="B23" s="52">
        <v>1</v>
      </c>
      <c r="C23" s="32">
        <f>IF(B$22=0,0,B23/B$22)</f>
        <v>0.1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5">
      <c r="A24" s="57" t="s">
        <v>128</v>
      </c>
      <c r="B24" s="82">
        <v>43</v>
      </c>
      <c r="C24" s="83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5">
      <c r="A25" s="60" t="s">
        <v>129</v>
      </c>
      <c r="B25" s="84">
        <v>9</v>
      </c>
      <c r="C25" s="85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5">
      <c r="A26" s="56" t="s">
        <v>231</v>
      </c>
      <c r="B26" s="86">
        <v>5</v>
      </c>
      <c r="C26" s="87"/>
      <c r="E26" s="68" t="s">
        <v>91</v>
      </c>
      <c r="F26" s="64" t="s">
        <v>44</v>
      </c>
      <c r="G26" s="50">
        <v>0</v>
      </c>
      <c r="H26" s="27">
        <f>IF(B$25=0,0,G26/B$25)</f>
        <v>0</v>
      </c>
    </row>
    <row r="27" spans="1:8" x14ac:dyDescent="0.45">
      <c r="E27" s="68" t="s">
        <v>93</v>
      </c>
      <c r="F27" s="64" t="s">
        <v>46</v>
      </c>
      <c r="G27" s="50">
        <v>0</v>
      </c>
      <c r="H27" s="27">
        <f>IF(B$25=0,0,G27/B$25)</f>
        <v>0</v>
      </c>
    </row>
    <row r="28" spans="1:8" x14ac:dyDescent="0.45">
      <c r="E28" s="68" t="s">
        <v>94</v>
      </c>
      <c r="F28" s="64" t="s">
        <v>47</v>
      </c>
      <c r="G28" s="50">
        <v>0</v>
      </c>
      <c r="H28" s="27">
        <f>IF(B$25=0,0,G28/B$25)</f>
        <v>0</v>
      </c>
    </row>
    <row r="29" spans="1:8" x14ac:dyDescent="0.45">
      <c r="E29" s="68" t="s">
        <v>95</v>
      </c>
      <c r="F29" s="64" t="s">
        <v>48</v>
      </c>
      <c r="G29" s="50">
        <v>0</v>
      </c>
      <c r="H29" s="27">
        <f>IF(B$25=0,0,G29/B$25)</f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" x14ac:dyDescent="0.45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5">
      <c r="A1" s="56" t="s">
        <v>0</v>
      </c>
      <c r="B1" s="88"/>
      <c r="C1" s="89"/>
      <c r="E1" s="66" t="s">
        <v>210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204</v>
      </c>
      <c r="N1" s="20" t="s">
        <v>206</v>
      </c>
      <c r="O1" s="40" t="s">
        <v>207</v>
      </c>
      <c r="P1" s="36" t="s">
        <v>205</v>
      </c>
    </row>
    <row r="2" spans="1:16" x14ac:dyDescent="0.45">
      <c r="A2" s="57" t="s">
        <v>9</v>
      </c>
      <c r="B2" s="82">
        <v>0</v>
      </c>
      <c r="C2" s="83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1">IF(P2=0,0,O2/P2)</f>
        <v>0</v>
      </c>
      <c r="O2" s="41">
        <v>0</v>
      </c>
      <c r="P2" s="39">
        <v>0</v>
      </c>
    </row>
    <row r="3" spans="1:16" x14ac:dyDescent="0.45">
      <c r="A3" s="58" t="s">
        <v>8</v>
      </c>
      <c r="B3" s="90">
        <v>0</v>
      </c>
      <c r="C3" s="91"/>
      <c r="E3" s="68" t="s">
        <v>70</v>
      </c>
      <c r="F3" s="64" t="s">
        <v>24</v>
      </c>
      <c r="G3" s="50">
        <v>0</v>
      </c>
      <c r="H3" s="27">
        <f t="shared" si="0"/>
        <v>0</v>
      </c>
      <c r="M3" s="26" t="s">
        <v>199</v>
      </c>
      <c r="N3" s="45">
        <f t="shared" si="1"/>
        <v>0</v>
      </c>
      <c r="O3" s="42">
        <v>0</v>
      </c>
      <c r="P3" s="37">
        <v>0</v>
      </c>
    </row>
    <row r="4" spans="1:16" x14ac:dyDescent="0.45">
      <c r="A4" s="58" t="s">
        <v>6</v>
      </c>
      <c r="B4" s="92">
        <v>0</v>
      </c>
      <c r="C4" s="93"/>
      <c r="E4" s="68" t="s">
        <v>71</v>
      </c>
      <c r="F4" s="64" t="s">
        <v>25</v>
      </c>
      <c r="G4" s="50">
        <v>0</v>
      </c>
      <c r="H4" s="27">
        <f t="shared" si="0"/>
        <v>0</v>
      </c>
      <c r="M4" s="26" t="s">
        <v>200</v>
      </c>
      <c r="N4" s="45">
        <f t="shared" si="1"/>
        <v>0</v>
      </c>
      <c r="O4" s="42">
        <v>0</v>
      </c>
      <c r="P4" s="37">
        <v>0</v>
      </c>
    </row>
    <row r="5" spans="1:16" x14ac:dyDescent="0.45">
      <c r="A5" s="58" t="s">
        <v>7</v>
      </c>
      <c r="B5" s="92">
        <f>IF(B$2=0,0,B$4/B$2)</f>
        <v>0</v>
      </c>
      <c r="C5" s="93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201</v>
      </c>
      <c r="N5" s="45">
        <f t="shared" si="1"/>
        <v>0</v>
      </c>
      <c r="O5" s="42">
        <v>0</v>
      </c>
      <c r="P5" s="37">
        <v>0</v>
      </c>
    </row>
    <row r="6" spans="1:16" x14ac:dyDescent="0.45">
      <c r="A6" s="58" t="s">
        <v>1</v>
      </c>
      <c r="B6" s="94">
        <f>IF(B$2=0,0,(B$7*1+B$8*2+B$9*3)/B$2)</f>
        <v>0</v>
      </c>
      <c r="C6" s="95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202</v>
      </c>
      <c r="N6" s="45">
        <f t="shared" si="1"/>
        <v>0</v>
      </c>
      <c r="O6" s="42">
        <v>0</v>
      </c>
      <c r="P6" s="37">
        <v>0</v>
      </c>
    </row>
    <row r="7" spans="1:16" x14ac:dyDescent="0.45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203</v>
      </c>
      <c r="N7" s="46">
        <f t="shared" si="1"/>
        <v>0</v>
      </c>
      <c r="O7" s="43">
        <v>0</v>
      </c>
      <c r="P7" s="38">
        <v>0</v>
      </c>
    </row>
    <row r="8" spans="1:16" x14ac:dyDescent="0.45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5">
      <c r="A9" s="59" t="s">
        <v>4</v>
      </c>
      <c r="B9" s="51">
        <v>0</v>
      </c>
      <c r="C9" s="29">
        <f t="shared" si="2"/>
        <v>0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5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5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5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5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5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5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5">
      <c r="A16" s="57" t="s">
        <v>10</v>
      </c>
      <c r="B16" s="49">
        <f>B17+B18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5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5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5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5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5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5">
      <c r="A22" s="57" t="s">
        <v>195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5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5">
      <c r="A24" s="57" t="s">
        <v>128</v>
      </c>
      <c r="B24" s="82">
        <v>0</v>
      </c>
      <c r="C24" s="83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5">
      <c r="A25" s="60" t="s">
        <v>129</v>
      </c>
      <c r="B25" s="84">
        <v>0</v>
      </c>
      <c r="C25" s="85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5">
      <c r="A26" s="56" t="s">
        <v>231</v>
      </c>
      <c r="B26" s="86">
        <v>0</v>
      </c>
      <c r="C26" s="87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5"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5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5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5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5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5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5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5">
      <c r="E34" s="68" t="s">
        <v>101</v>
      </c>
      <c r="F34" s="64" t="s">
        <v>54</v>
      </c>
      <c r="G34" s="50">
        <v>0</v>
      </c>
      <c r="H34" s="27">
        <f t="shared" ref="H34:H51" si="3">IF(B$25=0,0,G34/B$25)</f>
        <v>0</v>
      </c>
    </row>
    <row r="35" spans="5:8" x14ac:dyDescent="0.45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5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5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5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5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5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5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5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5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5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5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5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5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5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5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5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5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8"/>
  <sheetViews>
    <sheetView workbookViewId="0"/>
  </sheetViews>
  <sheetFormatPr defaultColWidth="9" defaultRowHeight="18" x14ac:dyDescent="0.45"/>
  <cols>
    <col min="1" max="1" width="16.3984375" style="74" bestFit="1" customWidth="1"/>
    <col min="2" max="2" width="16.8984375" style="75" bestFit="1" customWidth="1"/>
    <col min="3" max="16384" width="9" style="74"/>
  </cols>
  <sheetData>
    <row r="1" spans="1:14" x14ac:dyDescent="0.45">
      <c r="A1" s="73">
        <v>32874</v>
      </c>
      <c r="B1" s="73">
        <v>2958465</v>
      </c>
    </row>
    <row r="2" spans="1:14" x14ac:dyDescent="0.45">
      <c r="A2" s="74" t="s">
        <v>136</v>
      </c>
      <c r="B2" s="75">
        <v>43472.765682870369</v>
      </c>
      <c r="C2" s="74" t="s">
        <v>174</v>
      </c>
    </row>
    <row r="3" spans="1:14" x14ac:dyDescent="0.45">
      <c r="A3" s="74" t="s">
        <v>140</v>
      </c>
      <c r="B3" s="75">
        <v>43472.765682870369</v>
      </c>
      <c r="C3" s="74" t="s">
        <v>174</v>
      </c>
    </row>
    <row r="4" spans="1:14" x14ac:dyDescent="0.45">
      <c r="A4" s="74" t="s">
        <v>143</v>
      </c>
      <c r="B4" s="75">
        <v>43472.765682870369</v>
      </c>
      <c r="C4" s="74" t="s">
        <v>174</v>
      </c>
    </row>
    <row r="5" spans="1:14" x14ac:dyDescent="0.45">
      <c r="A5" s="74" t="s">
        <v>144</v>
      </c>
      <c r="B5" s="75">
        <v>43472.765682870369</v>
      </c>
      <c r="C5" s="74" t="s">
        <v>174</v>
      </c>
      <c r="D5" s="74" t="s">
        <v>175</v>
      </c>
      <c r="E5" s="74" t="s">
        <v>176</v>
      </c>
      <c r="F5" s="74" t="s">
        <v>177</v>
      </c>
      <c r="G5" s="74" t="s">
        <v>178</v>
      </c>
    </row>
    <row r="6" spans="1:14" x14ac:dyDescent="0.45">
      <c r="A6" s="74" t="s">
        <v>146</v>
      </c>
      <c r="B6" s="75">
        <v>43472.765682870369</v>
      </c>
      <c r="C6" s="74" t="s">
        <v>174</v>
      </c>
    </row>
    <row r="7" spans="1:14" x14ac:dyDescent="0.45">
      <c r="A7" s="74" t="s">
        <v>147</v>
      </c>
      <c r="B7" s="75">
        <v>43472.765682870369</v>
      </c>
      <c r="C7" s="74" t="s">
        <v>174</v>
      </c>
      <c r="D7" s="74" t="s">
        <v>175</v>
      </c>
      <c r="E7" s="74" t="s">
        <v>176</v>
      </c>
    </row>
    <row r="8" spans="1:14" x14ac:dyDescent="0.45">
      <c r="A8" s="74" t="s">
        <v>150</v>
      </c>
      <c r="B8" s="75">
        <v>43472.765682870369</v>
      </c>
      <c r="C8" s="74" t="s">
        <v>174</v>
      </c>
      <c r="D8" s="74" t="s">
        <v>175</v>
      </c>
    </row>
    <row r="9" spans="1:14" x14ac:dyDescent="0.45">
      <c r="A9" s="74" t="s">
        <v>151</v>
      </c>
      <c r="B9" s="75">
        <v>43472.765682870369</v>
      </c>
      <c r="C9" s="74" t="s">
        <v>174</v>
      </c>
      <c r="D9" s="74" t="s">
        <v>175</v>
      </c>
      <c r="E9" s="74" t="s">
        <v>176</v>
      </c>
      <c r="F9" s="74" t="s">
        <v>177</v>
      </c>
    </row>
    <row r="10" spans="1:14" x14ac:dyDescent="0.45">
      <c r="A10" s="74" t="s">
        <v>152</v>
      </c>
      <c r="B10" s="75">
        <v>43472.765682870369</v>
      </c>
      <c r="C10" s="74" t="s">
        <v>174</v>
      </c>
      <c r="D10" s="74" t="s">
        <v>175</v>
      </c>
      <c r="E10" s="74" t="s">
        <v>176</v>
      </c>
    </row>
    <row r="11" spans="1:14" x14ac:dyDescent="0.45">
      <c r="A11" s="74" t="s">
        <v>153</v>
      </c>
      <c r="B11" s="75">
        <v>43472.765682870369</v>
      </c>
      <c r="C11" s="74" t="s">
        <v>174</v>
      </c>
      <c r="D11" s="74" t="s">
        <v>175</v>
      </c>
      <c r="E11" s="74" t="s">
        <v>176</v>
      </c>
      <c r="F11" s="74" t="s">
        <v>177</v>
      </c>
      <c r="G11" s="74" t="s">
        <v>178</v>
      </c>
      <c r="H11" s="74" t="s">
        <v>179</v>
      </c>
      <c r="I11" s="74" t="s">
        <v>180</v>
      </c>
    </row>
    <row r="12" spans="1:14" x14ac:dyDescent="0.45">
      <c r="A12" s="74" t="s">
        <v>154</v>
      </c>
      <c r="B12" s="75">
        <v>43472.765682870369</v>
      </c>
      <c r="C12" s="74" t="s">
        <v>174</v>
      </c>
      <c r="D12" s="74" t="s">
        <v>175</v>
      </c>
    </row>
    <row r="13" spans="1:14" x14ac:dyDescent="0.45">
      <c r="A13" s="74" t="s">
        <v>155</v>
      </c>
      <c r="B13" s="75">
        <v>43472.765682870369</v>
      </c>
      <c r="C13" s="74" t="s">
        <v>174</v>
      </c>
      <c r="D13" s="74" t="s">
        <v>175</v>
      </c>
      <c r="E13" s="74" t="s">
        <v>176</v>
      </c>
      <c r="F13" s="74" t="s">
        <v>177</v>
      </c>
      <c r="G13" s="74" t="s">
        <v>178</v>
      </c>
      <c r="H13" s="74" t="s">
        <v>179</v>
      </c>
      <c r="I13" s="74" t="s">
        <v>180</v>
      </c>
      <c r="J13" s="74" t="s">
        <v>181</v>
      </c>
      <c r="K13" s="74" t="s">
        <v>182</v>
      </c>
      <c r="L13" s="74" t="s">
        <v>183</v>
      </c>
      <c r="M13" s="74" t="s">
        <v>184</v>
      </c>
      <c r="N13" s="74" t="s">
        <v>185</v>
      </c>
    </row>
    <row r="14" spans="1:14" x14ac:dyDescent="0.45">
      <c r="A14" s="74" t="s">
        <v>157</v>
      </c>
      <c r="B14" s="75">
        <v>43472.765682870369</v>
      </c>
      <c r="C14" s="74" t="s">
        <v>174</v>
      </c>
      <c r="D14" s="74" t="s">
        <v>175</v>
      </c>
      <c r="E14" s="74" t="s">
        <v>176</v>
      </c>
    </row>
    <row r="15" spans="1:14" x14ac:dyDescent="0.45">
      <c r="A15" s="74" t="s">
        <v>158</v>
      </c>
      <c r="B15" s="75">
        <v>43472.765682870369</v>
      </c>
      <c r="C15" s="74" t="s">
        <v>174</v>
      </c>
      <c r="D15" s="74" t="s">
        <v>175</v>
      </c>
      <c r="E15" s="74" t="s">
        <v>176</v>
      </c>
    </row>
    <row r="16" spans="1:14" x14ac:dyDescent="0.45">
      <c r="A16" s="74" t="s">
        <v>159</v>
      </c>
      <c r="B16" s="75">
        <v>43472.765682870369</v>
      </c>
      <c r="C16" s="74" t="s">
        <v>174</v>
      </c>
      <c r="D16" s="74" t="s">
        <v>175</v>
      </c>
      <c r="E16" s="74" t="s">
        <v>176</v>
      </c>
    </row>
    <row r="17" spans="1:9" x14ac:dyDescent="0.45">
      <c r="A17" s="74" t="s">
        <v>161</v>
      </c>
      <c r="B17" s="75">
        <v>43472.765682870369</v>
      </c>
      <c r="C17" s="74" t="s">
        <v>174</v>
      </c>
      <c r="D17" s="74" t="s">
        <v>175</v>
      </c>
      <c r="E17" s="74" t="s">
        <v>176</v>
      </c>
      <c r="F17" s="74" t="s">
        <v>177</v>
      </c>
      <c r="G17" s="74" t="s">
        <v>178</v>
      </c>
      <c r="H17" s="74" t="s">
        <v>179</v>
      </c>
    </row>
    <row r="18" spans="1:9" x14ac:dyDescent="0.45">
      <c r="A18" s="74" t="s">
        <v>162</v>
      </c>
      <c r="B18" s="75">
        <v>43472.765682870369</v>
      </c>
      <c r="C18" s="74" t="s">
        <v>174</v>
      </c>
      <c r="D18" s="74" t="s">
        <v>175</v>
      </c>
      <c r="E18" s="74" t="s">
        <v>176</v>
      </c>
      <c r="F18" s="74" t="s">
        <v>177</v>
      </c>
      <c r="G18" s="74" t="s">
        <v>178</v>
      </c>
      <c r="H18" s="74" t="s">
        <v>179</v>
      </c>
    </row>
    <row r="19" spans="1:9" x14ac:dyDescent="0.45">
      <c r="A19" s="74" t="s">
        <v>163</v>
      </c>
      <c r="B19" s="75">
        <v>43472.765682870369</v>
      </c>
      <c r="C19" s="74" t="s">
        <v>174</v>
      </c>
      <c r="D19" s="74" t="s">
        <v>175</v>
      </c>
    </row>
    <row r="20" spans="1:9" x14ac:dyDescent="0.45">
      <c r="A20" s="74" t="s">
        <v>164</v>
      </c>
      <c r="B20" s="75">
        <v>43472.765682870369</v>
      </c>
      <c r="C20" s="74" t="s">
        <v>174</v>
      </c>
      <c r="D20" s="74" t="s">
        <v>175</v>
      </c>
      <c r="E20" s="74" t="s">
        <v>176</v>
      </c>
    </row>
    <row r="21" spans="1:9" x14ac:dyDescent="0.45">
      <c r="A21" s="74" t="s">
        <v>165</v>
      </c>
      <c r="B21" s="75">
        <v>43472.765682870369</v>
      </c>
      <c r="C21" s="74" t="s">
        <v>174</v>
      </c>
      <c r="D21" s="74" t="s">
        <v>175</v>
      </c>
      <c r="E21" s="74" t="s">
        <v>176</v>
      </c>
      <c r="F21" s="74" t="s">
        <v>177</v>
      </c>
    </row>
    <row r="22" spans="1:9" x14ac:dyDescent="0.45">
      <c r="A22" s="74" t="s">
        <v>166</v>
      </c>
      <c r="B22" s="75">
        <v>43472.765682870369</v>
      </c>
      <c r="C22" s="74" t="s">
        <v>174</v>
      </c>
      <c r="D22" s="74" t="s">
        <v>175</v>
      </c>
      <c r="E22" s="74" t="s">
        <v>176</v>
      </c>
      <c r="F22" s="74" t="s">
        <v>177</v>
      </c>
    </row>
    <row r="23" spans="1:9" x14ac:dyDescent="0.45">
      <c r="A23" s="74" t="s">
        <v>167</v>
      </c>
      <c r="B23" s="75">
        <v>43472.765682870369</v>
      </c>
      <c r="C23" s="74" t="s">
        <v>174</v>
      </c>
      <c r="D23" s="74" t="s">
        <v>175</v>
      </c>
      <c r="E23" s="74" t="s">
        <v>176</v>
      </c>
      <c r="F23" s="74" t="s">
        <v>177</v>
      </c>
      <c r="G23" s="74" t="s">
        <v>178</v>
      </c>
      <c r="H23" s="74" t="s">
        <v>179</v>
      </c>
      <c r="I23" s="74" t="s">
        <v>180</v>
      </c>
    </row>
    <row r="24" spans="1:9" x14ac:dyDescent="0.45">
      <c r="A24" s="74" t="s">
        <v>168</v>
      </c>
      <c r="B24" s="75">
        <v>43472.765682870369</v>
      </c>
      <c r="C24" s="74" t="s">
        <v>174</v>
      </c>
      <c r="D24" s="74" t="s">
        <v>175</v>
      </c>
      <c r="E24" s="74" t="s">
        <v>176</v>
      </c>
    </row>
    <row r="25" spans="1:9" x14ac:dyDescent="0.45">
      <c r="A25" s="74" t="s">
        <v>169</v>
      </c>
      <c r="B25" s="75">
        <v>43472.765682870369</v>
      </c>
      <c r="C25" s="74" t="s">
        <v>174</v>
      </c>
      <c r="D25" s="74" t="s">
        <v>175</v>
      </c>
      <c r="E25" s="74" t="s">
        <v>176</v>
      </c>
      <c r="F25" s="74" t="s">
        <v>177</v>
      </c>
      <c r="G25" s="74" t="s">
        <v>178</v>
      </c>
      <c r="H25" s="74" t="s">
        <v>179</v>
      </c>
    </row>
    <row r="26" spans="1:9" x14ac:dyDescent="0.45">
      <c r="A26" s="74" t="s">
        <v>170</v>
      </c>
      <c r="B26" s="75">
        <v>43472.765682870369</v>
      </c>
      <c r="C26" s="74" t="s">
        <v>174</v>
      </c>
      <c r="D26" s="74" t="s">
        <v>175</v>
      </c>
    </row>
    <row r="27" spans="1:9" x14ac:dyDescent="0.45">
      <c r="A27" s="74" t="s">
        <v>171</v>
      </c>
      <c r="B27" s="75">
        <v>43472.765682870369</v>
      </c>
      <c r="C27" s="74" t="s">
        <v>174</v>
      </c>
      <c r="D27" s="74" t="s">
        <v>175</v>
      </c>
    </row>
    <row r="28" spans="1:9" x14ac:dyDescent="0.45">
      <c r="A28" s="74" t="s">
        <v>172</v>
      </c>
      <c r="B28" s="75">
        <v>43472.765682870369</v>
      </c>
      <c r="C28" s="74" t="s">
        <v>174</v>
      </c>
      <c r="D28" s="74" t="s">
        <v>175</v>
      </c>
      <c r="E28" s="74" t="s">
        <v>176</v>
      </c>
      <c r="F28" s="74" t="s">
        <v>177</v>
      </c>
    </row>
    <row r="29" spans="1:9" x14ac:dyDescent="0.45">
      <c r="A29" s="74" t="s">
        <v>173</v>
      </c>
      <c r="B29" s="75">
        <v>43472.765682870369</v>
      </c>
      <c r="C29" s="74" t="s">
        <v>174</v>
      </c>
      <c r="D29" s="74" t="s">
        <v>175</v>
      </c>
      <c r="E29" s="74" t="s">
        <v>176</v>
      </c>
      <c r="F29" s="74" t="s">
        <v>177</v>
      </c>
      <c r="G29" s="74" t="s">
        <v>178</v>
      </c>
      <c r="H29" s="74" t="s">
        <v>179</v>
      </c>
    </row>
    <row r="30" spans="1:9" x14ac:dyDescent="0.45">
      <c r="A30" s="74" t="s">
        <v>194</v>
      </c>
      <c r="B30" s="75">
        <v>43472.765682870369</v>
      </c>
      <c r="C30" s="74" t="s">
        <v>174</v>
      </c>
      <c r="D30" s="74" t="s">
        <v>175</v>
      </c>
      <c r="E30" s="74" t="s">
        <v>176</v>
      </c>
      <c r="F30" s="74" t="s">
        <v>177</v>
      </c>
      <c r="G30" s="74" t="s">
        <v>178</v>
      </c>
    </row>
    <row r="31" spans="1:9" x14ac:dyDescent="0.45">
      <c r="A31" s="74" t="s">
        <v>211</v>
      </c>
      <c r="B31" s="75">
        <v>43472.765682870369</v>
      </c>
      <c r="C31" s="74" t="s">
        <v>174</v>
      </c>
      <c r="D31" s="74" t="s">
        <v>175</v>
      </c>
      <c r="E31" s="74" t="s">
        <v>176</v>
      </c>
      <c r="F31" s="74" t="s">
        <v>177</v>
      </c>
    </row>
    <row r="32" spans="1:9" x14ac:dyDescent="0.45">
      <c r="A32" s="74" t="s">
        <v>212</v>
      </c>
      <c r="B32" s="75">
        <v>43476.556539351855</v>
      </c>
      <c r="C32" s="74" t="s">
        <v>174</v>
      </c>
    </row>
    <row r="33" spans="1:10" x14ac:dyDescent="0.45">
      <c r="A33" s="74" t="s">
        <v>213</v>
      </c>
      <c r="B33" s="75">
        <v>43480.364594907405</v>
      </c>
      <c r="C33" s="74" t="s">
        <v>174</v>
      </c>
      <c r="D33" s="74" t="s">
        <v>175</v>
      </c>
      <c r="E33" s="74" t="s">
        <v>176</v>
      </c>
    </row>
    <row r="34" spans="1:10" x14ac:dyDescent="0.45">
      <c r="A34" s="74" t="s">
        <v>216</v>
      </c>
      <c r="B34" s="75">
        <v>43480.364594907405</v>
      </c>
      <c r="C34" s="74" t="s">
        <v>174</v>
      </c>
      <c r="D34" s="74" t="s">
        <v>175</v>
      </c>
      <c r="E34" s="74" t="s">
        <v>176</v>
      </c>
      <c r="F34" s="74" t="s">
        <v>177</v>
      </c>
      <c r="G34" s="74" t="s">
        <v>178</v>
      </c>
      <c r="H34" s="74" t="s">
        <v>179</v>
      </c>
      <c r="I34" s="74" t="s">
        <v>180</v>
      </c>
      <c r="J34" s="74" t="s">
        <v>181</v>
      </c>
    </row>
    <row r="35" spans="1:10" x14ac:dyDescent="0.45">
      <c r="A35" s="74" t="s">
        <v>221</v>
      </c>
      <c r="B35" s="75">
        <v>43480.364594907405</v>
      </c>
      <c r="C35" s="74" t="s">
        <v>174</v>
      </c>
      <c r="D35" s="74" t="s">
        <v>175</v>
      </c>
      <c r="E35" s="74" t="s">
        <v>176</v>
      </c>
      <c r="F35" s="74" t="s">
        <v>177</v>
      </c>
      <c r="G35" s="74" t="s">
        <v>178</v>
      </c>
      <c r="H35" s="74" t="s">
        <v>179</v>
      </c>
      <c r="I35" s="74" t="s">
        <v>180</v>
      </c>
      <c r="J35" s="74" t="s">
        <v>181</v>
      </c>
    </row>
    <row r="36" spans="1:10" x14ac:dyDescent="0.45">
      <c r="A36" s="74" t="s">
        <v>228</v>
      </c>
      <c r="B36" s="75">
        <v>43483.396608796298</v>
      </c>
      <c r="C36" s="74" t="s">
        <v>174</v>
      </c>
      <c r="D36" s="74" t="s">
        <v>175</v>
      </c>
      <c r="E36" s="74" t="s">
        <v>176</v>
      </c>
    </row>
    <row r="37" spans="1:10" x14ac:dyDescent="0.45">
      <c r="A37" s="74" t="s">
        <v>229</v>
      </c>
      <c r="B37" s="75">
        <v>43483.396608796298</v>
      </c>
      <c r="C37" s="74" t="s">
        <v>174</v>
      </c>
      <c r="D37" s="74" t="s">
        <v>175</v>
      </c>
    </row>
    <row r="38" spans="1:10" x14ac:dyDescent="0.45">
      <c r="A38" s="74" t="s">
        <v>230</v>
      </c>
      <c r="B38" s="75">
        <v>43483.396608796298</v>
      </c>
      <c r="C38" s="74" t="s">
        <v>174</v>
      </c>
      <c r="D38" s="74" t="s">
        <v>175</v>
      </c>
      <c r="E38" s="74" t="s">
        <v>176</v>
      </c>
      <c r="F38" s="74" t="s">
        <v>177</v>
      </c>
      <c r="G38" s="74" t="s">
        <v>178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役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2019-01-18T00:50:46Z</dcterms:modified>
</cp:coreProperties>
</file>