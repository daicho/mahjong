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4AB6A5B-8BC4-40F3-8F24-9DBC299A8D90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476" r:id="rId2"/>
    <sheet name="かこたろう" sheetId="1477" r:id="rId3"/>
    <sheet name="ともき" sheetId="1478" r:id="rId4"/>
    <sheet name="りくと" sheetId="1479" r:id="rId5"/>
    <sheet name="いっしー" sheetId="1480" r:id="rId6"/>
    <sheet name="がくと" sheetId="1481" r:id="rId7"/>
    <sheet name="たかの" sheetId="1482" r:id="rId8"/>
    <sheet name="ただ" sheetId="1483" r:id="rId9"/>
    <sheet name="やがさき" sheetId="1484" r:id="rId10"/>
    <sheet name="れんたろう" sheetId="148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485" l="1"/>
  <c r="C14" i="1485"/>
  <c r="C13" i="1485"/>
  <c r="C12" i="1485"/>
  <c r="B11" i="1485"/>
  <c r="B15" i="1485" s="1"/>
  <c r="C10" i="1485"/>
  <c r="C9" i="1485"/>
  <c r="C8" i="1485"/>
  <c r="C7" i="1485"/>
  <c r="B6" i="1485"/>
  <c r="B5" i="1485"/>
  <c r="C11" i="1485" l="1"/>
  <c r="B16" i="1484" l="1"/>
  <c r="C14" i="1484"/>
  <c r="C13" i="1484"/>
  <c r="C12" i="1484"/>
  <c r="B11" i="1484"/>
  <c r="B15" i="1484" s="1"/>
  <c r="C10" i="1484"/>
  <c r="C9" i="1484"/>
  <c r="C8" i="1484"/>
  <c r="C7" i="1484"/>
  <c r="B6" i="1484"/>
  <c r="B5" i="1484"/>
  <c r="C11" i="1484" l="1"/>
  <c r="B16" i="1483" l="1"/>
  <c r="C14" i="1483"/>
  <c r="C13" i="1483"/>
  <c r="C12" i="1483"/>
  <c r="B11" i="1483"/>
  <c r="B15" i="1483" s="1"/>
  <c r="C10" i="1483"/>
  <c r="C9" i="1483"/>
  <c r="C8" i="1483"/>
  <c r="C7" i="1483"/>
  <c r="B6" i="1483"/>
  <c r="B5" i="1483"/>
  <c r="B16" i="1482"/>
  <c r="C14" i="1482"/>
  <c r="C13" i="1482"/>
  <c r="C12" i="1482"/>
  <c r="B11" i="1482"/>
  <c r="B15" i="1482" s="1"/>
  <c r="C10" i="1482"/>
  <c r="C9" i="1482"/>
  <c r="C8" i="1482"/>
  <c r="C7" i="1482"/>
  <c r="B6" i="1482"/>
  <c r="B5" i="1482"/>
  <c r="C11" i="1483" l="1"/>
  <c r="C11" i="1482"/>
  <c r="B16" i="1481" l="1"/>
  <c r="C14" i="1481"/>
  <c r="C13" i="1481"/>
  <c r="C12" i="1481"/>
  <c r="B11" i="1481"/>
  <c r="B15" i="1481" s="1"/>
  <c r="C10" i="1481"/>
  <c r="C9" i="1481"/>
  <c r="C8" i="1481"/>
  <c r="C7" i="1481"/>
  <c r="B6" i="1481"/>
  <c r="B5" i="1481"/>
  <c r="C11" i="1481" l="1"/>
  <c r="B16" i="1480" l="1"/>
  <c r="C14" i="1480"/>
  <c r="C13" i="1480"/>
  <c r="C12" i="1480"/>
  <c r="B11" i="1480"/>
  <c r="B15" i="1480" s="1"/>
  <c r="C10" i="1480"/>
  <c r="C9" i="1480"/>
  <c r="C8" i="1480"/>
  <c r="C7" i="1480"/>
  <c r="B6" i="1480"/>
  <c r="B5" i="1480"/>
  <c r="B16" i="1479"/>
  <c r="C14" i="1479"/>
  <c r="C13" i="1479"/>
  <c r="C12" i="1479"/>
  <c r="B11" i="1479"/>
  <c r="B15" i="1479" s="1"/>
  <c r="C10" i="1479"/>
  <c r="C9" i="1479"/>
  <c r="C8" i="1479"/>
  <c r="C7" i="1479"/>
  <c r="B6" i="1479"/>
  <c r="B5" i="1479"/>
  <c r="C11" i="1480" l="1"/>
  <c r="C11" i="1479"/>
  <c r="B16" i="1478" l="1"/>
  <c r="C14" i="1478"/>
  <c r="C13" i="1478"/>
  <c r="C12" i="1478"/>
  <c r="B11" i="1478"/>
  <c r="B15" i="1478" s="1"/>
  <c r="C10" i="1478"/>
  <c r="C9" i="1478"/>
  <c r="C8" i="1478"/>
  <c r="C7" i="1478"/>
  <c r="B6" i="1478"/>
  <c r="B5" i="1478"/>
  <c r="B16" i="1477"/>
  <c r="C14" i="1477"/>
  <c r="C13" i="1477"/>
  <c r="C12" i="1477"/>
  <c r="B11" i="1477"/>
  <c r="B15" i="1477" s="1"/>
  <c r="C10" i="1477"/>
  <c r="C9" i="1477"/>
  <c r="C8" i="1477"/>
  <c r="C7" i="1477"/>
  <c r="B6" i="1477"/>
  <c r="B5" i="1477"/>
  <c r="B16" i="1476"/>
  <c r="C14" i="1476"/>
  <c r="C13" i="1476"/>
  <c r="C12" i="1476"/>
  <c r="B11" i="1476"/>
  <c r="B15" i="1476" s="1"/>
  <c r="C10" i="1476"/>
  <c r="C9" i="1476"/>
  <c r="C8" i="1476"/>
  <c r="C7" i="1476"/>
  <c r="B6" i="1476"/>
  <c r="B5" i="1476"/>
  <c r="C11" i="1478" l="1"/>
  <c r="C11" i="1477"/>
  <c r="C11" i="1476"/>
  <c r="C12" i="1" l="1"/>
  <c r="C14" i="1"/>
  <c r="C13" i="1"/>
  <c r="C10" i="1" l="1"/>
  <c r="C7" i="1"/>
  <c r="C9" i="1" l="1"/>
  <c r="C8" i="1" l="1"/>
  <c r="B16" i="1" l="1"/>
  <c r="B11" i="1" l="1"/>
  <c r="C11" i="1" l="1"/>
  <c r="B15" i="1"/>
  <c r="B5" i="1"/>
  <c r="B6" i="1"/>
</calcChain>
</file>

<file path=xl/sharedStrings.xml><?xml version="1.0" encoding="utf-8"?>
<sst xmlns="http://schemas.openxmlformats.org/spreadsheetml/2006/main" count="357" uniqueCount="92">
  <si>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</si>
  <si>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</si>
  <si>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</si>
  <si>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</si>
  <si>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</si>
  <si>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</si>
  <si>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</si>
  <si>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</si>
  <si>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</si>
  <si>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</si>
  <si>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</si>
  <si>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</si>
  <si>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</si>
  <si>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</si>
  <si>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</si>
  <si>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</si>
  <si>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</si>
  <si>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</si>
  <si>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</si>
  <si>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</si>
  <si>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</si>
  <si>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</si>
  <si>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</si>
  <si>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</si>
  <si>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</si>
  <si>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</si>
  <si>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</si>
  <si>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</si>
  <si>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</si>
  <si>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</si>
  <si>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</si>
  <si>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</si>
  <si>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</si>
  <si>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</si>
  <si>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</si>
  <si>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</si>
  <si>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</si>
  <si>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</si>
  <si>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</si>
  <si>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</si>
  <si>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</si>
  <si>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</si>
  <si>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</si>
  <si>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</si>
  <si>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</si>
  <si>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</si>
  <si>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</si>
  <si>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門前清自摸和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</si>
  <si>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</si>
  <si>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</si>
  <si>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</si>
  <si>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</si>
  <si>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</si>
  <si>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</si>
  <si>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</si>
  <si>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</si>
  <si>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</si>
  <si>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</si>
  <si>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</si>
  <si>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</si>
  <si>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</si>
  <si>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</si>
  <si>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</si>
  <si>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</si>
  <si>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</si>
  <si>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</si>
  <si>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</si>
  <si>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</si>
  <si>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</si>
  <si>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</si>
  <si>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</si>
  <si>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</si>
  <si>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</si>
  <si>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</si>
  <si>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</si>
  <si>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</si>
  <si>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</si>
  <si>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</si>
  <si>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</si>
  <si>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</si>
  <si>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</si>
  <si>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</si>
  <si>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</si>
  <si>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</si>
  <si>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</si>
  <si>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国士無双十三面待ち</t>
  </si>
  <si>
    <t>四暗刻単騎待ち</t>
    <rPh sb="5" eb="6">
      <t>マ</t>
    </rPh>
    <phoneticPr fontId="1"/>
  </si>
  <si>
    <t>純正九蓮宝燈</t>
  </si>
  <si>
    <t>大車輪</t>
  </si>
  <si>
    <t>大竹林</t>
  </si>
  <si>
    <t>大数隣</t>
  </si>
  <si>
    <t>八連荘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</si>
</sst>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だいち!$I$1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だいち!$H$2:$H$93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だいち!$I$2:$I$93</c:f>
              <c:numCache>
                <c:formatCode>\+0;\-0;\±0</c:formatCode>
                <c:ptCount val="9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89-456C-A0AD-26FF37844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かこたろう!$E$2:$E$6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かこたろう!$F$2:$F$6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5-4538-9FE3-130D9D168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ともき!$F$2:$F$3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1-4329-A3BF-E002492E3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りくと!$E$2:$E$56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りくと!$F$2:$F$56</c:f>
              <c:numCache>
                <c:formatCode>\+0;\-0;\±0</c:formatCode>
                <c:ptCount val="55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0-4531-AB09-F8B732357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いっしー!$E$2:$E$41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いっしー!$F$2:$F$41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4-46B2-9582-144B29D29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がくと!$F$1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がくと!$F$2:$F$3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A2-4262-90A7-0FD557B99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たかの!$E$2:$E$32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たかの!$F$2:$F$32</c:f>
              <c:numCache>
                <c:formatCode>\+0;\-0;\±0</c:formatCode>
                <c:ptCount val="31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0-48F2-821A-F1948D51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ただ!$E$2:$E$34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ただ!$F$2:$F$34</c:f>
              <c:numCache>
                <c:formatCode>\+0;\-0;\±0</c:formatCode>
                <c:ptCount val="33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DD-4934-9240-16688DB4B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やがさき!$E$2:$E$14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やがさき!$F$2:$F$14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2-4E81-ABE8-2A40C90DD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れんたろう!$E$2:$E$26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れんたろう!$F$2:$F$26</c:f>
              <c:numCache>
                <c:formatCode>\+0;\-0;\±0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7-49EC-90FF-99FBCBEE9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Template!$F$1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Template!$E$2:$E$9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Template!$F$2:$F$9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1</xdr:row>
      <xdr:rowOff>27215</xdr:rowOff>
    </xdr:from>
    <xdr:to>
      <xdr:col>16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D0D6BC-D9D0-4CFD-8232-8107BA8C7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DC4CC0-2DF9-4540-8D08-770CB01A0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D52DD9-C4DA-4950-B176-EBE652395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2FD986-58A1-4FC2-960D-1181703CF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D620A8-A151-4CFF-8777-A5C989964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13696A-C454-4D6F-87FF-554277985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28FF8A-C6C8-4CBF-A4A5-4CCF7E727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ED2F6B-3D03-4B2A-A202-2D2A7BDD6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2BBD1B-7BE0-4257-8BA8-EEF9AD465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A3DCC8-614A-410C-AC9C-901D3F9C7C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4" customWidth="1"/>
    <col min="10" max="10" width="10.75" style="18" customWidth="1"/>
    <col min="11" max="11" width="10.75" style="54" customWidth="1"/>
    <col min="12" max="12" width="10.75" style="18" customWidth="1"/>
    <col min="13" max="13" width="10.75" style="52" customWidth="1"/>
    <col min="14" max="14" width="10.75" style="18" customWidth="1"/>
    <col min="15" max="15" width="10.75" style="52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16384" width="9" style="22"/>
  </cols>
  <sheetData>
    <row r="1" spans="1:19" x14ac:dyDescent="0.4">
      <c r="A1" s="39"/>
      <c r="B1" s="43" t="s">
        <v>6</v>
      </c>
      <c r="C1" s="44"/>
      <c r="D1" s="43" t="s">
        <v>7</v>
      </c>
      <c r="E1" s="44"/>
      <c r="F1" s="43" t="s">
        <v>23</v>
      </c>
      <c r="G1" s="44"/>
      <c r="H1" s="43" t="s">
        <v>22</v>
      </c>
      <c r="I1" s="44"/>
      <c r="J1" s="43" t="s">
        <v>33</v>
      </c>
      <c r="K1" s="44"/>
      <c r="L1" s="43" t="s">
        <v>24</v>
      </c>
      <c r="M1" s="44"/>
      <c r="N1" s="43" t="s">
        <v>25</v>
      </c>
      <c r="O1" s="44"/>
      <c r="P1" s="43" t="s">
        <v>5</v>
      </c>
      <c r="Q1" s="44"/>
      <c r="R1" s="43" t="s">
        <v>32</v>
      </c>
      <c r="S1" s="44"/>
    </row>
    <row r="2" spans="1:19" x14ac:dyDescent="0.4">
      <c r="A2" s="32">
        <v>1</v>
      </c>
      <c r="B2" s="33" t="s">
        <v>26</v>
      </c>
      <c r="C2" s="34">
        <v>397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53">
        <v>0.5</v>
      </c>
      <c r="J2" s="35" t="s">
        <v>18</v>
      </c>
      <c r="K2" s="53">
        <v>0</v>
      </c>
      <c r="L2" s="35" t="s">
        <v>18</v>
      </c>
      <c r="M2" s="51">
        <v>0.4</v>
      </c>
      <c r="N2" s="35" t="s">
        <v>28</v>
      </c>
      <c r="O2" s="51">
        <v>0.13284132841328414</v>
      </c>
      <c r="P2" s="35" t="s">
        <v>27</v>
      </c>
      <c r="Q2" s="38">
        <v>11200</v>
      </c>
      <c r="R2" s="35" t="s">
        <v>30</v>
      </c>
      <c r="S2" s="38">
        <v>-7400</v>
      </c>
    </row>
    <row r="3" spans="1:19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4">
        <v>0.37362637362637363</v>
      </c>
      <c r="J3" s="18" t="s">
        <v>26</v>
      </c>
      <c r="K3" s="54">
        <v>0.12087912087912088</v>
      </c>
      <c r="L3" s="18" t="s">
        <v>28</v>
      </c>
      <c r="M3" s="52">
        <v>0.35793357933579334</v>
      </c>
      <c r="N3" s="18" t="s">
        <v>35</v>
      </c>
      <c r="O3" s="52">
        <v>0.13414634146341464</v>
      </c>
      <c r="P3" s="18" t="s">
        <v>29</v>
      </c>
      <c r="Q3" s="19">
        <v>11100</v>
      </c>
      <c r="R3" s="18" t="s">
        <v>37</v>
      </c>
      <c r="S3" s="19">
        <v>-8200</v>
      </c>
    </row>
    <row r="4" spans="1:19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1.8681318681318682</v>
      </c>
      <c r="H4" s="18" t="s">
        <v>28</v>
      </c>
      <c r="I4" s="54">
        <v>0.35897435897435898</v>
      </c>
      <c r="J4" s="18" t="s">
        <v>28</v>
      </c>
      <c r="K4" s="54">
        <v>0.12820512820512819</v>
      </c>
      <c r="L4" s="18" t="s">
        <v>26</v>
      </c>
      <c r="M4" s="52">
        <v>0.35375191424196017</v>
      </c>
      <c r="N4" s="18" t="s">
        <v>31</v>
      </c>
      <c r="O4" s="52">
        <v>0.15879828326180256</v>
      </c>
      <c r="P4" s="18" t="s">
        <v>35</v>
      </c>
      <c r="Q4" s="19">
        <v>10900</v>
      </c>
      <c r="R4" s="18" t="s">
        <v>21</v>
      </c>
      <c r="S4" s="19">
        <v>-8500</v>
      </c>
    </row>
    <row r="5" spans="1:19" x14ac:dyDescent="0.4">
      <c r="A5" s="28">
        <v>4</v>
      </c>
      <c r="B5" s="27" t="s">
        <v>30</v>
      </c>
      <c r="C5" s="21">
        <v>14</v>
      </c>
      <c r="D5" s="18" t="s">
        <v>26</v>
      </c>
      <c r="E5" s="20">
        <v>4.3626373626373622</v>
      </c>
      <c r="F5" s="18" t="s">
        <v>18</v>
      </c>
      <c r="G5" s="26">
        <v>2</v>
      </c>
      <c r="H5" s="18" t="s">
        <v>31</v>
      </c>
      <c r="I5" s="54">
        <v>0.34375</v>
      </c>
      <c r="J5" s="18" t="s">
        <v>30</v>
      </c>
      <c r="K5" s="54">
        <v>0.13333333333333333</v>
      </c>
      <c r="L5" s="18" t="s">
        <v>35</v>
      </c>
      <c r="M5" s="52">
        <v>0.34146341463414637</v>
      </c>
      <c r="N5" s="18" t="s">
        <v>26</v>
      </c>
      <c r="O5" s="52">
        <v>0.15926493108728942</v>
      </c>
      <c r="P5" s="18" t="s">
        <v>31</v>
      </c>
      <c r="Q5" s="19">
        <v>10800</v>
      </c>
      <c r="R5" s="18" t="s">
        <v>28</v>
      </c>
      <c r="S5" s="19">
        <v>-9600</v>
      </c>
    </row>
    <row r="6" spans="1:19" x14ac:dyDescent="0.4">
      <c r="A6" s="28">
        <v>5</v>
      </c>
      <c r="B6" s="27" t="s">
        <v>18</v>
      </c>
      <c r="C6" s="21">
        <v>7</v>
      </c>
      <c r="D6" s="18" t="s">
        <v>30</v>
      </c>
      <c r="E6" s="20">
        <v>0.46666666666666667</v>
      </c>
      <c r="F6" s="18" t="s">
        <v>21</v>
      </c>
      <c r="G6" s="26">
        <v>2</v>
      </c>
      <c r="H6" s="18" t="s">
        <v>30</v>
      </c>
      <c r="I6" s="54">
        <v>0.3</v>
      </c>
      <c r="J6" s="18" t="s">
        <v>31</v>
      </c>
      <c r="K6" s="54">
        <v>0.1875</v>
      </c>
      <c r="L6" s="18" t="s">
        <v>30</v>
      </c>
      <c r="M6" s="52">
        <v>0.29411764705882354</v>
      </c>
      <c r="N6" s="18" t="s">
        <v>18</v>
      </c>
      <c r="O6" s="52">
        <v>0.2</v>
      </c>
      <c r="P6" s="18" t="s">
        <v>30</v>
      </c>
      <c r="Q6" s="19">
        <v>10600</v>
      </c>
      <c r="R6" s="18" t="s">
        <v>29</v>
      </c>
      <c r="S6" s="19">
        <v>-9600</v>
      </c>
    </row>
    <row r="7" spans="1:19" x14ac:dyDescent="0.4">
      <c r="A7" s="28">
        <v>6</v>
      </c>
      <c r="B7" s="27" t="s">
        <v>31</v>
      </c>
      <c r="C7" s="21">
        <v>-11</v>
      </c>
      <c r="D7" s="18" t="s">
        <v>31</v>
      </c>
      <c r="E7" s="20">
        <v>-0.34375</v>
      </c>
      <c r="F7" s="18" t="s">
        <v>31</v>
      </c>
      <c r="G7" s="26">
        <v>2</v>
      </c>
      <c r="H7" s="18" t="s">
        <v>27</v>
      </c>
      <c r="I7" s="54">
        <v>0.29629629629629628</v>
      </c>
      <c r="J7" s="18" t="s">
        <v>35</v>
      </c>
      <c r="K7" s="54">
        <v>0.25</v>
      </c>
      <c r="L7" s="18" t="s">
        <v>31</v>
      </c>
      <c r="M7" s="52">
        <v>0.29184549356223177</v>
      </c>
      <c r="N7" s="18" t="s">
        <v>30</v>
      </c>
      <c r="O7" s="52">
        <v>0.20168067226890757</v>
      </c>
      <c r="P7" s="18" t="s">
        <v>26</v>
      </c>
      <c r="Q7" s="19">
        <v>10100</v>
      </c>
      <c r="R7" s="18" t="s">
        <v>35</v>
      </c>
      <c r="S7" s="19">
        <v>-9900</v>
      </c>
    </row>
    <row r="8" spans="1:19" x14ac:dyDescent="0.4">
      <c r="A8" s="28">
        <v>7</v>
      </c>
      <c r="B8" s="27" t="s">
        <v>21</v>
      </c>
      <c r="C8" s="21">
        <v>-41</v>
      </c>
      <c r="D8" s="18" t="s">
        <v>27</v>
      </c>
      <c r="E8" s="20">
        <v>-7</v>
      </c>
      <c r="F8" s="18" t="s">
        <v>30</v>
      </c>
      <c r="G8" s="26">
        <v>2.0333333333333332</v>
      </c>
      <c r="H8" s="18" t="s">
        <v>29</v>
      </c>
      <c r="I8" s="54">
        <v>0.25</v>
      </c>
      <c r="J8" s="18" t="s">
        <v>29</v>
      </c>
      <c r="K8" s="54">
        <v>0.25</v>
      </c>
      <c r="L8" s="18" t="s">
        <v>29</v>
      </c>
      <c r="M8" s="52">
        <v>0.27659574468085107</v>
      </c>
      <c r="N8" s="18" t="s">
        <v>29</v>
      </c>
      <c r="O8" s="52">
        <v>0.20212765957446807</v>
      </c>
      <c r="P8" s="18" t="s">
        <v>28</v>
      </c>
      <c r="Q8" s="19">
        <v>9600</v>
      </c>
      <c r="R8" s="18" t="s">
        <v>26</v>
      </c>
      <c r="S8" s="19">
        <v>-10000</v>
      </c>
    </row>
    <row r="9" spans="1:19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-7</v>
      </c>
      <c r="F9" s="18" t="s">
        <v>27</v>
      </c>
      <c r="G9" s="26">
        <v>2.1851851851851851</v>
      </c>
      <c r="H9" s="18" t="s">
        <v>37</v>
      </c>
      <c r="I9" s="54">
        <v>0</v>
      </c>
      <c r="J9" s="18" t="s">
        <v>27</v>
      </c>
      <c r="K9" s="54">
        <v>0.27777777777777779</v>
      </c>
      <c r="L9" s="18" t="s">
        <v>27</v>
      </c>
      <c r="M9" s="52">
        <v>0.23558897243107768</v>
      </c>
      <c r="N9" s="18" t="s">
        <v>27</v>
      </c>
      <c r="O9" s="52">
        <v>0.21303258145363407</v>
      </c>
      <c r="P9" s="18" t="s">
        <v>18</v>
      </c>
      <c r="Q9" s="19">
        <v>8000</v>
      </c>
      <c r="R9" s="18" t="s">
        <v>31</v>
      </c>
      <c r="S9" s="19">
        <v>-10200</v>
      </c>
    </row>
    <row r="10" spans="1:19" x14ac:dyDescent="0.4">
      <c r="A10" s="28">
        <v>9</v>
      </c>
      <c r="B10" s="27" t="s">
        <v>29</v>
      </c>
      <c r="C10" s="21">
        <v>-168</v>
      </c>
      <c r="D10" s="18" t="s">
        <v>37</v>
      </c>
      <c r="E10" s="20">
        <v>-33</v>
      </c>
      <c r="F10" s="18" t="s">
        <v>29</v>
      </c>
      <c r="G10" s="26">
        <v>2.25</v>
      </c>
      <c r="H10" s="18" t="s">
        <v>18</v>
      </c>
      <c r="I10" s="54">
        <v>0</v>
      </c>
      <c r="J10" s="18" t="s">
        <v>37</v>
      </c>
      <c r="K10" s="54">
        <v>0.5</v>
      </c>
      <c r="L10" s="18" t="s">
        <v>21</v>
      </c>
      <c r="M10" s="52">
        <v>0.16666666666666666</v>
      </c>
      <c r="N10" s="18" t="s">
        <v>21</v>
      </c>
      <c r="O10" s="52">
        <v>0.33333333333333331</v>
      </c>
      <c r="P10" s="18" t="s">
        <v>37</v>
      </c>
      <c r="Q10" s="19">
        <v>7800</v>
      </c>
      <c r="R10" s="18" t="s">
        <v>27</v>
      </c>
      <c r="S10" s="19">
        <v>-10400</v>
      </c>
    </row>
    <row r="11" spans="1:19" x14ac:dyDescent="0.4">
      <c r="A11" s="28">
        <v>10</v>
      </c>
      <c r="B11" s="27" t="s">
        <v>27</v>
      </c>
      <c r="C11" s="21">
        <v>-378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4">
        <v>0</v>
      </c>
      <c r="J11" s="18" t="s">
        <v>21</v>
      </c>
      <c r="K11" s="54">
        <v>1</v>
      </c>
      <c r="L11" s="18" t="s">
        <v>37</v>
      </c>
      <c r="M11" s="52">
        <v>0.04</v>
      </c>
      <c r="N11" s="18" t="s">
        <v>37</v>
      </c>
      <c r="O11" s="52">
        <v>0.4</v>
      </c>
      <c r="P11" s="18" t="s">
        <v>21</v>
      </c>
      <c r="Q11" s="19">
        <v>1300</v>
      </c>
      <c r="R11" s="18" t="s">
        <v>18</v>
      </c>
      <c r="S11" s="19">
        <v>-12000</v>
      </c>
    </row>
  </sheetData>
  <sortState ref="R2:S28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B8AD-5468-4A64-BCE3-CFEA14A6CEF0}">
  <sheetPr codeName="Sheet2"/>
  <dimension ref="A1:I93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19.25" style="3" bestFit="1" customWidth="1"/>
    <col min="6" max="7" width="3.375" style="3" customWidth="1"/>
    <col min="8" max="8" width="3.375" style="5" bestFit="1" customWidth="1"/>
    <col min="9" max="9" width="11" style="12" bestFit="1" customWidth="1"/>
    <col min="10" max="16384" width="9" style="3"/>
  </cols>
  <sheetData>
    <row r="1" spans="1:9" ht="19.5" thickBot="1" x14ac:dyDescent="0.45">
      <c r="A1" s="29" t="s">
        <v>0</v>
      </c>
      <c r="B1" s="45" t="s">
        <v>15</v>
      </c>
      <c r="C1" s="46"/>
      <c r="E1" s="3" t="s">
        <v>42</v>
      </c>
      <c r="H1" s="41" t="s">
        <v>41</v>
      </c>
      <c r="I1" s="42" t="s">
        <v>6</v>
      </c>
    </row>
    <row r="2" spans="1:9" ht="19.5" thickTop="1" x14ac:dyDescent="0.4">
      <c r="A2" s="4" t="s">
        <v>9</v>
      </c>
      <c r="B2" s="8">
        <v>91</v>
      </c>
      <c r="C2" s="10"/>
      <c r="E2" s="3" t="s">
        <v>43</v>
      </c>
      <c r="H2" s="4">
        <v>0</v>
      </c>
      <c r="I2" s="40">
        <v>0</v>
      </c>
    </row>
    <row r="3" spans="1:9" x14ac:dyDescent="0.4">
      <c r="A3" s="5" t="s">
        <v>8</v>
      </c>
      <c r="B3" s="1">
        <v>653</v>
      </c>
      <c r="C3" s="11"/>
      <c r="E3" s="3" t="s">
        <v>44</v>
      </c>
      <c r="H3" s="5">
        <v>1</v>
      </c>
      <c r="I3" s="12">
        <v>15</v>
      </c>
    </row>
    <row r="4" spans="1:9" x14ac:dyDescent="0.4">
      <c r="A4" s="5" t="s">
        <v>6</v>
      </c>
      <c r="B4" s="2">
        <v>397</v>
      </c>
      <c r="C4" s="12"/>
      <c r="E4" s="3" t="s">
        <v>45</v>
      </c>
      <c r="H4" s="5">
        <v>2</v>
      </c>
      <c r="I4" s="12">
        <v>14</v>
      </c>
    </row>
    <row r="5" spans="1:9" x14ac:dyDescent="0.4">
      <c r="A5" s="5" t="s">
        <v>7</v>
      </c>
      <c r="B5" s="9">
        <f>B4/B2</f>
        <v>4.3626373626373622</v>
      </c>
      <c r="C5" s="13"/>
      <c r="E5" s="3" t="s">
        <v>46</v>
      </c>
      <c r="H5" s="5">
        <v>3</v>
      </c>
      <c r="I5" s="12">
        <v>29</v>
      </c>
    </row>
    <row r="6" spans="1:9" x14ac:dyDescent="0.4">
      <c r="A6" s="5" t="s">
        <v>1</v>
      </c>
      <c r="B6" s="25">
        <f>(B7*1+B8*2+B9*3)/B2</f>
        <v>1.8681318681318682</v>
      </c>
      <c r="C6" s="14"/>
      <c r="E6" s="3" t="s">
        <v>47</v>
      </c>
      <c r="H6" s="5">
        <v>4</v>
      </c>
      <c r="I6" s="12">
        <v>114</v>
      </c>
    </row>
    <row r="7" spans="1:9" x14ac:dyDescent="0.4">
      <c r="A7" s="5" t="s">
        <v>2</v>
      </c>
      <c r="B7" s="1">
        <v>34</v>
      </c>
      <c r="C7" s="47">
        <f>B7/B2</f>
        <v>0.37362637362637363</v>
      </c>
      <c r="E7" s="3" t="s">
        <v>48</v>
      </c>
      <c r="H7" s="5">
        <v>5</v>
      </c>
      <c r="I7" s="12">
        <v>146</v>
      </c>
    </row>
    <row r="8" spans="1:9" x14ac:dyDescent="0.4">
      <c r="A8" s="5" t="s">
        <v>3</v>
      </c>
      <c r="B8" s="1">
        <v>35</v>
      </c>
      <c r="C8" s="47">
        <f>B8/B2</f>
        <v>0.38461538461538464</v>
      </c>
      <c r="E8" s="3" t="s">
        <v>49</v>
      </c>
      <c r="H8" s="5">
        <v>6</v>
      </c>
      <c r="I8" s="12">
        <v>98</v>
      </c>
    </row>
    <row r="9" spans="1:9" x14ac:dyDescent="0.4">
      <c r="A9" s="23" t="s">
        <v>4</v>
      </c>
      <c r="B9" s="24">
        <v>22</v>
      </c>
      <c r="C9" s="48">
        <f>B9/B2</f>
        <v>0.24175824175824176</v>
      </c>
      <c r="E9" s="3" t="s">
        <v>50</v>
      </c>
      <c r="H9" s="5">
        <v>7</v>
      </c>
      <c r="I9" s="12">
        <v>92</v>
      </c>
    </row>
    <row r="10" spans="1:9" ht="19.5" thickBot="1" x14ac:dyDescent="0.45">
      <c r="A10" s="30" t="s">
        <v>34</v>
      </c>
      <c r="B10" s="31">
        <v>11</v>
      </c>
      <c r="C10" s="49">
        <f>B10/B2</f>
        <v>0.12087912087912088</v>
      </c>
      <c r="E10" s="3" t="s">
        <v>51</v>
      </c>
      <c r="H10" s="5">
        <v>8</v>
      </c>
      <c r="I10" s="12">
        <v>56</v>
      </c>
    </row>
    <row r="11" spans="1:9" ht="19.5" thickTop="1" x14ac:dyDescent="0.4">
      <c r="A11" s="4" t="s">
        <v>10</v>
      </c>
      <c r="B11" s="8">
        <f>B12+B13</f>
        <v>231</v>
      </c>
      <c r="C11" s="50">
        <f>B11/B3</f>
        <v>0.35375191424196017</v>
      </c>
      <c r="E11" s="3" t="s">
        <v>52</v>
      </c>
      <c r="H11" s="5">
        <v>9</v>
      </c>
      <c r="I11" s="12">
        <v>15</v>
      </c>
    </row>
    <row r="12" spans="1:9" x14ac:dyDescent="0.4">
      <c r="A12" s="5" t="s">
        <v>11</v>
      </c>
      <c r="B12" s="1">
        <v>149</v>
      </c>
      <c r="C12" s="47">
        <f>B12/B3</f>
        <v>0.22817764165390506</v>
      </c>
      <c r="E12" s="3" t="s">
        <v>53</v>
      </c>
      <c r="H12" s="5">
        <v>10</v>
      </c>
      <c r="I12" s="12">
        <v>-17</v>
      </c>
    </row>
    <row r="13" spans="1:9" x14ac:dyDescent="0.4">
      <c r="A13" s="5" t="s">
        <v>12</v>
      </c>
      <c r="B13" s="1">
        <v>82</v>
      </c>
      <c r="C13" s="47">
        <f>B13/B3</f>
        <v>0.12557427258805512</v>
      </c>
      <c r="E13" s="3" t="s">
        <v>54</v>
      </c>
      <c r="H13" s="5">
        <v>11</v>
      </c>
      <c r="I13" s="12">
        <v>1</v>
      </c>
    </row>
    <row r="14" spans="1:9" x14ac:dyDescent="0.4">
      <c r="A14" s="5" t="s">
        <v>13</v>
      </c>
      <c r="B14" s="1">
        <v>104</v>
      </c>
      <c r="C14" s="47">
        <f>B14/B3</f>
        <v>0.15926493108728942</v>
      </c>
      <c r="E14" s="3" t="s">
        <v>55</v>
      </c>
      <c r="H14" s="5">
        <v>12</v>
      </c>
      <c r="I14" s="12">
        <v>14</v>
      </c>
    </row>
    <row r="15" spans="1:9" x14ac:dyDescent="0.4">
      <c r="A15" s="5" t="s">
        <v>5</v>
      </c>
      <c r="B15" s="7">
        <f>IF(B11=0,0,ROUND(C15/B11,-2))</f>
        <v>10100</v>
      </c>
      <c r="C15" s="15">
        <v>2323200</v>
      </c>
      <c r="E15" s="3" t="s">
        <v>56</v>
      </c>
      <c r="H15" s="5">
        <v>13</v>
      </c>
      <c r="I15" s="12">
        <v>71</v>
      </c>
    </row>
    <row r="16" spans="1:9" x14ac:dyDescent="0.4">
      <c r="A16" s="6" t="s">
        <v>14</v>
      </c>
      <c r="B16" s="16">
        <f>IF(B14=0,0,ROUND(C16/B14,-2))</f>
        <v>-10000</v>
      </c>
      <c r="C16" s="17">
        <v>-1039300</v>
      </c>
      <c r="E16" s="3" t="s">
        <v>57</v>
      </c>
      <c r="H16" s="5">
        <v>14</v>
      </c>
      <c r="I16" s="12">
        <v>27</v>
      </c>
    </row>
    <row r="17" spans="5:9" x14ac:dyDescent="0.4">
      <c r="E17" s="3" t="s">
        <v>58</v>
      </c>
      <c r="H17" s="5">
        <v>15</v>
      </c>
      <c r="I17" s="12">
        <v>-10</v>
      </c>
    </row>
    <row r="18" spans="5:9" x14ac:dyDescent="0.4">
      <c r="E18" s="3" t="s">
        <v>59</v>
      </c>
      <c r="H18" s="5">
        <v>16</v>
      </c>
      <c r="I18" s="12">
        <v>-8</v>
      </c>
    </row>
    <row r="19" spans="5:9" x14ac:dyDescent="0.4">
      <c r="E19" s="3" t="s">
        <v>60</v>
      </c>
      <c r="H19" s="5">
        <v>17</v>
      </c>
      <c r="I19" s="12">
        <v>-29</v>
      </c>
    </row>
    <row r="20" spans="5:9" x14ac:dyDescent="0.4">
      <c r="E20" s="3" t="s">
        <v>61</v>
      </c>
      <c r="H20" s="5">
        <v>18</v>
      </c>
      <c r="I20" s="12">
        <v>-14</v>
      </c>
    </row>
    <row r="21" spans="5:9" x14ac:dyDescent="0.4">
      <c r="E21" s="3" t="s">
        <v>62</v>
      </c>
      <c r="H21" s="5">
        <v>19</v>
      </c>
      <c r="I21" s="12">
        <v>43</v>
      </c>
    </row>
    <row r="22" spans="5:9" x14ac:dyDescent="0.4">
      <c r="E22" s="3" t="s">
        <v>63</v>
      </c>
      <c r="H22" s="5">
        <v>20</v>
      </c>
      <c r="I22" s="12">
        <v>69</v>
      </c>
    </row>
    <row r="23" spans="5:9" x14ac:dyDescent="0.4">
      <c r="E23" s="3" t="s">
        <v>64</v>
      </c>
      <c r="H23" s="5">
        <v>21</v>
      </c>
      <c r="I23" s="12">
        <v>126</v>
      </c>
    </row>
    <row r="24" spans="5:9" x14ac:dyDescent="0.4">
      <c r="E24" s="3" t="s">
        <v>65</v>
      </c>
      <c r="H24" s="5">
        <v>22</v>
      </c>
      <c r="I24" s="12">
        <v>100</v>
      </c>
    </row>
    <row r="25" spans="5:9" x14ac:dyDescent="0.4">
      <c r="E25" s="3" t="s">
        <v>66</v>
      </c>
      <c r="H25" s="5">
        <v>23</v>
      </c>
      <c r="I25" s="12">
        <v>125</v>
      </c>
    </row>
    <row r="26" spans="5:9" x14ac:dyDescent="0.4">
      <c r="E26" s="3" t="s">
        <v>67</v>
      </c>
      <c r="H26" s="5">
        <v>24</v>
      </c>
      <c r="I26" s="12">
        <v>118</v>
      </c>
    </row>
    <row r="27" spans="5:9" x14ac:dyDescent="0.4">
      <c r="E27" s="3" t="s">
        <v>68</v>
      </c>
      <c r="H27" s="5">
        <v>25</v>
      </c>
      <c r="I27" s="12">
        <v>84</v>
      </c>
    </row>
    <row r="28" spans="5:9" x14ac:dyDescent="0.4">
      <c r="E28" s="3" t="s">
        <v>69</v>
      </c>
      <c r="H28" s="5">
        <v>26</v>
      </c>
      <c r="I28" s="12">
        <v>108</v>
      </c>
    </row>
    <row r="29" spans="5:9" x14ac:dyDescent="0.4">
      <c r="E29" s="3" t="s">
        <v>70</v>
      </c>
      <c r="H29" s="5">
        <v>27</v>
      </c>
      <c r="I29" s="12">
        <v>71</v>
      </c>
    </row>
    <row r="30" spans="5:9" x14ac:dyDescent="0.4">
      <c r="E30" s="3" t="s">
        <v>71</v>
      </c>
      <c r="H30" s="5">
        <v>28</v>
      </c>
      <c r="I30" s="12">
        <v>129</v>
      </c>
    </row>
    <row r="31" spans="5:9" x14ac:dyDescent="0.4">
      <c r="E31" s="3" t="s">
        <v>72</v>
      </c>
      <c r="H31" s="5">
        <v>29</v>
      </c>
      <c r="I31" s="12">
        <v>121</v>
      </c>
    </row>
    <row r="32" spans="5:9" x14ac:dyDescent="0.4">
      <c r="E32" s="3" t="s">
        <v>73</v>
      </c>
      <c r="H32" s="5">
        <v>30</v>
      </c>
      <c r="I32" s="12">
        <v>113</v>
      </c>
    </row>
    <row r="33" spans="5:9" x14ac:dyDescent="0.4">
      <c r="E33" s="3" t="s">
        <v>74</v>
      </c>
      <c r="H33" s="5">
        <v>31</v>
      </c>
      <c r="I33" s="12">
        <v>166</v>
      </c>
    </row>
    <row r="34" spans="5:9" x14ac:dyDescent="0.4">
      <c r="E34" s="3" t="s">
        <v>75</v>
      </c>
      <c r="H34" s="5">
        <v>32</v>
      </c>
      <c r="I34" s="12">
        <v>152</v>
      </c>
    </row>
    <row r="35" spans="5:9" x14ac:dyDescent="0.4">
      <c r="E35" s="3" t="s">
        <v>76</v>
      </c>
      <c r="H35" s="5">
        <v>33</v>
      </c>
      <c r="I35" s="12">
        <v>213</v>
      </c>
    </row>
    <row r="36" spans="5:9" x14ac:dyDescent="0.4">
      <c r="E36" s="3" t="s">
        <v>77</v>
      </c>
      <c r="H36" s="5">
        <v>34</v>
      </c>
      <c r="I36" s="12">
        <v>263</v>
      </c>
    </row>
    <row r="37" spans="5:9" x14ac:dyDescent="0.4">
      <c r="E37" s="3" t="s">
        <v>78</v>
      </c>
      <c r="H37" s="5">
        <v>35</v>
      </c>
      <c r="I37" s="12">
        <v>249</v>
      </c>
    </row>
    <row r="38" spans="5:9" x14ac:dyDescent="0.4">
      <c r="E38" s="3" t="s">
        <v>79</v>
      </c>
      <c r="H38" s="5">
        <v>36</v>
      </c>
      <c r="I38" s="12">
        <v>246</v>
      </c>
    </row>
    <row r="39" spans="5:9" x14ac:dyDescent="0.4">
      <c r="E39" s="3" t="s">
        <v>80</v>
      </c>
      <c r="H39" s="5">
        <v>37</v>
      </c>
      <c r="I39" s="12">
        <v>229</v>
      </c>
    </row>
    <row r="40" spans="5:9" x14ac:dyDescent="0.4">
      <c r="E40" s="3" t="s">
        <v>81</v>
      </c>
      <c r="H40" s="5">
        <v>38</v>
      </c>
      <c r="I40" s="12">
        <v>250</v>
      </c>
    </row>
    <row r="41" spans="5:9" x14ac:dyDescent="0.4">
      <c r="E41" s="3" t="s">
        <v>82</v>
      </c>
      <c r="H41" s="5">
        <v>39</v>
      </c>
      <c r="I41" s="12">
        <v>199</v>
      </c>
    </row>
    <row r="42" spans="5:9" x14ac:dyDescent="0.4">
      <c r="E42" s="3" t="s">
        <v>83</v>
      </c>
      <c r="H42" s="5">
        <v>40</v>
      </c>
      <c r="I42" s="12">
        <v>191</v>
      </c>
    </row>
    <row r="43" spans="5:9" x14ac:dyDescent="0.4">
      <c r="E43" s="3" t="s">
        <v>84</v>
      </c>
      <c r="H43" s="5">
        <v>41</v>
      </c>
      <c r="I43" s="12">
        <v>184</v>
      </c>
    </row>
    <row r="44" spans="5:9" x14ac:dyDescent="0.4">
      <c r="E44" s="3" t="s">
        <v>85</v>
      </c>
      <c r="H44" s="5">
        <v>42</v>
      </c>
      <c r="I44" s="12">
        <v>148</v>
      </c>
    </row>
    <row r="45" spans="5:9" x14ac:dyDescent="0.4">
      <c r="E45" s="3" t="s">
        <v>86</v>
      </c>
      <c r="H45" s="5">
        <v>43</v>
      </c>
      <c r="I45" s="12">
        <v>139</v>
      </c>
    </row>
    <row r="46" spans="5:9" x14ac:dyDescent="0.4">
      <c r="E46" s="3" t="s">
        <v>87</v>
      </c>
      <c r="H46" s="5">
        <v>44</v>
      </c>
      <c r="I46" s="12">
        <v>147</v>
      </c>
    </row>
    <row r="47" spans="5:9" x14ac:dyDescent="0.4">
      <c r="E47" s="3" t="s">
        <v>88</v>
      </c>
      <c r="H47" s="5">
        <v>45</v>
      </c>
      <c r="I47" s="12">
        <v>137</v>
      </c>
    </row>
    <row r="48" spans="5:9" x14ac:dyDescent="0.4">
      <c r="E48" s="3" t="s">
        <v>89</v>
      </c>
      <c r="H48" s="5">
        <v>46</v>
      </c>
      <c r="I48" s="12">
        <v>165</v>
      </c>
    </row>
    <row r="49" spans="5:9" x14ac:dyDescent="0.4">
      <c r="E49" s="3" t="s">
        <v>90</v>
      </c>
      <c r="H49" s="5">
        <v>47</v>
      </c>
      <c r="I49" s="12">
        <v>144</v>
      </c>
    </row>
    <row r="50" spans="5:9" x14ac:dyDescent="0.4">
      <c r="E50" s="3" t="s">
        <v>91</v>
      </c>
      <c r="H50" s="5">
        <v>48</v>
      </c>
      <c r="I50" s="12">
        <v>113</v>
      </c>
    </row>
    <row r="51" spans="5:9" x14ac:dyDescent="0.4">
      <c r="H51" s="5">
        <v>49</v>
      </c>
      <c r="I51" s="12">
        <v>129</v>
      </c>
    </row>
    <row r="52" spans="5:9" x14ac:dyDescent="0.4">
      <c r="H52" s="5">
        <v>50</v>
      </c>
      <c r="I52" s="12">
        <v>124</v>
      </c>
    </row>
    <row r="53" spans="5:9" x14ac:dyDescent="0.4">
      <c r="H53" s="5">
        <v>51</v>
      </c>
      <c r="I53" s="12">
        <v>137</v>
      </c>
    </row>
    <row r="54" spans="5:9" x14ac:dyDescent="0.4">
      <c r="H54" s="5">
        <v>52</v>
      </c>
      <c r="I54" s="12">
        <v>138</v>
      </c>
    </row>
    <row r="55" spans="5:9" x14ac:dyDescent="0.4">
      <c r="H55" s="5">
        <v>53</v>
      </c>
      <c r="I55" s="12">
        <v>131</v>
      </c>
    </row>
    <row r="56" spans="5:9" x14ac:dyDescent="0.4">
      <c r="H56" s="5">
        <v>54</v>
      </c>
      <c r="I56" s="12">
        <v>103</v>
      </c>
    </row>
    <row r="57" spans="5:9" x14ac:dyDescent="0.4">
      <c r="H57" s="5">
        <v>55</v>
      </c>
      <c r="I57" s="12">
        <v>120</v>
      </c>
    </row>
    <row r="58" spans="5:9" x14ac:dyDescent="0.4">
      <c r="H58" s="5">
        <v>56</v>
      </c>
      <c r="I58" s="12">
        <v>113</v>
      </c>
    </row>
    <row r="59" spans="5:9" x14ac:dyDescent="0.4">
      <c r="H59" s="5">
        <v>57</v>
      </c>
      <c r="I59" s="12">
        <v>145</v>
      </c>
    </row>
    <row r="60" spans="5:9" x14ac:dyDescent="0.4">
      <c r="H60" s="5">
        <v>58</v>
      </c>
      <c r="I60" s="12">
        <v>161</v>
      </c>
    </row>
    <row r="61" spans="5:9" x14ac:dyDescent="0.4">
      <c r="H61" s="5">
        <v>59</v>
      </c>
      <c r="I61" s="12">
        <v>218</v>
      </c>
    </row>
    <row r="62" spans="5:9" x14ac:dyDescent="0.4">
      <c r="H62" s="5">
        <v>60</v>
      </c>
      <c r="I62" s="12">
        <v>223</v>
      </c>
    </row>
    <row r="63" spans="5:9" x14ac:dyDescent="0.4">
      <c r="H63" s="5">
        <v>61</v>
      </c>
      <c r="I63" s="12">
        <v>177</v>
      </c>
    </row>
    <row r="64" spans="5:9" x14ac:dyDescent="0.4">
      <c r="H64" s="5">
        <v>62</v>
      </c>
      <c r="I64" s="12">
        <v>198</v>
      </c>
    </row>
    <row r="65" spans="8:9" x14ac:dyDescent="0.4">
      <c r="H65" s="5">
        <v>63</v>
      </c>
      <c r="I65" s="12">
        <v>132</v>
      </c>
    </row>
    <row r="66" spans="8:9" x14ac:dyDescent="0.4">
      <c r="H66" s="5">
        <v>64</v>
      </c>
      <c r="I66" s="12">
        <v>127</v>
      </c>
    </row>
    <row r="67" spans="8:9" x14ac:dyDescent="0.4">
      <c r="H67" s="5">
        <v>65</v>
      </c>
      <c r="I67" s="12">
        <v>128</v>
      </c>
    </row>
    <row r="68" spans="8:9" x14ac:dyDescent="0.4">
      <c r="H68" s="5">
        <v>66</v>
      </c>
      <c r="I68" s="12">
        <v>160</v>
      </c>
    </row>
    <row r="69" spans="8:9" x14ac:dyDescent="0.4">
      <c r="H69" s="5">
        <v>67</v>
      </c>
      <c r="I69" s="12">
        <v>141</v>
      </c>
    </row>
    <row r="70" spans="8:9" x14ac:dyDescent="0.4">
      <c r="H70" s="5">
        <v>68</v>
      </c>
      <c r="I70" s="12">
        <v>131</v>
      </c>
    </row>
    <row r="71" spans="8:9" x14ac:dyDescent="0.4">
      <c r="H71" s="5">
        <v>69</v>
      </c>
      <c r="I71" s="12">
        <v>132</v>
      </c>
    </row>
    <row r="72" spans="8:9" x14ac:dyDescent="0.4">
      <c r="H72" s="5">
        <v>70</v>
      </c>
      <c r="I72" s="12">
        <v>164</v>
      </c>
    </row>
    <row r="73" spans="8:9" x14ac:dyDescent="0.4">
      <c r="H73" s="5">
        <v>71</v>
      </c>
      <c r="I73" s="12">
        <v>192</v>
      </c>
    </row>
    <row r="74" spans="8:9" x14ac:dyDescent="0.4">
      <c r="H74" s="5">
        <v>72</v>
      </c>
      <c r="I74" s="12">
        <v>185</v>
      </c>
    </row>
    <row r="75" spans="8:9" x14ac:dyDescent="0.4">
      <c r="H75" s="5">
        <v>73</v>
      </c>
      <c r="I75" s="12">
        <v>203</v>
      </c>
    </row>
    <row r="76" spans="8:9" x14ac:dyDescent="0.4">
      <c r="H76" s="5">
        <v>74</v>
      </c>
      <c r="I76" s="12">
        <v>189</v>
      </c>
    </row>
    <row r="77" spans="8:9" x14ac:dyDescent="0.4">
      <c r="H77" s="5">
        <v>75</v>
      </c>
      <c r="I77" s="12">
        <v>229</v>
      </c>
    </row>
    <row r="78" spans="8:9" x14ac:dyDescent="0.4">
      <c r="H78" s="5">
        <v>76</v>
      </c>
      <c r="I78" s="12">
        <v>234</v>
      </c>
    </row>
    <row r="79" spans="8:9" x14ac:dyDescent="0.4">
      <c r="H79" s="5">
        <v>77</v>
      </c>
      <c r="I79" s="12">
        <v>220</v>
      </c>
    </row>
    <row r="80" spans="8:9" x14ac:dyDescent="0.4">
      <c r="H80" s="5">
        <v>78</v>
      </c>
      <c r="I80" s="12">
        <v>225</v>
      </c>
    </row>
    <row r="81" spans="8:9" x14ac:dyDescent="0.4">
      <c r="H81" s="5">
        <v>79</v>
      </c>
      <c r="I81" s="12">
        <v>257</v>
      </c>
    </row>
    <row r="82" spans="8:9" x14ac:dyDescent="0.4">
      <c r="H82" s="5">
        <v>80</v>
      </c>
      <c r="I82" s="12">
        <v>297</v>
      </c>
    </row>
    <row r="83" spans="8:9" x14ac:dyDescent="0.4">
      <c r="H83" s="5">
        <v>81</v>
      </c>
      <c r="I83" s="12">
        <v>320</v>
      </c>
    </row>
    <row r="84" spans="8:9" x14ac:dyDescent="0.4">
      <c r="H84" s="5">
        <v>82</v>
      </c>
      <c r="I84" s="12">
        <v>352</v>
      </c>
    </row>
    <row r="85" spans="8:9" x14ac:dyDescent="0.4">
      <c r="H85" s="5">
        <v>83</v>
      </c>
      <c r="I85" s="12">
        <v>412</v>
      </c>
    </row>
    <row r="86" spans="8:9" x14ac:dyDescent="0.4">
      <c r="H86" s="5">
        <v>84</v>
      </c>
      <c r="I86" s="12">
        <v>423</v>
      </c>
    </row>
    <row r="87" spans="8:9" x14ac:dyDescent="0.4">
      <c r="H87" s="5">
        <v>85</v>
      </c>
      <c r="I87" s="12">
        <v>425</v>
      </c>
    </row>
    <row r="88" spans="8:9" x14ac:dyDescent="0.4">
      <c r="H88" s="5">
        <v>86</v>
      </c>
      <c r="I88" s="12">
        <v>404</v>
      </c>
    </row>
    <row r="89" spans="8:9" x14ac:dyDescent="0.4">
      <c r="H89" s="5">
        <v>87</v>
      </c>
      <c r="I89" s="12">
        <v>408</v>
      </c>
    </row>
    <row r="90" spans="8:9" x14ac:dyDescent="0.4">
      <c r="H90" s="5">
        <v>88</v>
      </c>
      <c r="I90" s="12">
        <v>362</v>
      </c>
    </row>
    <row r="91" spans="8:9" x14ac:dyDescent="0.4">
      <c r="H91" s="5">
        <v>89</v>
      </c>
      <c r="I91" s="12">
        <v>361</v>
      </c>
    </row>
    <row r="92" spans="8:9" x14ac:dyDescent="0.4">
      <c r="H92" s="5">
        <v>90</v>
      </c>
      <c r="I92" s="12">
        <v>387</v>
      </c>
    </row>
    <row r="93" spans="8:9" x14ac:dyDescent="0.4">
      <c r="H93" s="5">
        <v>91</v>
      </c>
      <c r="I93" s="12">
        <v>397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A8A0-F55C-4FF0-9D5F-D838A8F449B9}">
  <sheetPr codeName="Sheet3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38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4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25</v>
      </c>
      <c r="C3" s="11"/>
      <c r="E3" s="5">
        <v>1</v>
      </c>
      <c r="F3" s="12">
        <v>-22</v>
      </c>
    </row>
    <row r="4" spans="1:6" x14ac:dyDescent="0.4">
      <c r="A4" s="5" t="s">
        <v>6</v>
      </c>
      <c r="B4" s="2">
        <v>-132</v>
      </c>
      <c r="C4" s="12"/>
      <c r="E4" s="5">
        <v>2</v>
      </c>
      <c r="F4" s="12">
        <v>-60</v>
      </c>
    </row>
    <row r="5" spans="1:6" x14ac:dyDescent="0.4">
      <c r="A5" s="5" t="s">
        <v>7</v>
      </c>
      <c r="B5" s="9">
        <f>B4/B2</f>
        <v>-33</v>
      </c>
      <c r="C5" s="13"/>
      <c r="E5" s="5">
        <v>3</v>
      </c>
      <c r="F5" s="12">
        <v>-85</v>
      </c>
    </row>
    <row r="6" spans="1:6" x14ac:dyDescent="0.4">
      <c r="A6" s="5" t="s">
        <v>1</v>
      </c>
      <c r="B6" s="25">
        <f>(B7*1+B8*2+B9*3)/B2</f>
        <v>3</v>
      </c>
      <c r="C6" s="14"/>
      <c r="E6" s="5">
        <v>4</v>
      </c>
      <c r="F6" s="12">
        <v>-132</v>
      </c>
    </row>
    <row r="7" spans="1:6" x14ac:dyDescent="0.4">
      <c r="A7" s="5" t="s">
        <v>2</v>
      </c>
      <c r="B7" s="1">
        <v>0</v>
      </c>
      <c r="C7" s="47">
        <f>B7/B2</f>
        <v>0</v>
      </c>
    </row>
    <row r="8" spans="1:6" x14ac:dyDescent="0.4">
      <c r="A8" s="5" t="s">
        <v>3</v>
      </c>
      <c r="B8" s="1">
        <v>0</v>
      </c>
      <c r="C8" s="47">
        <f>B8/B2</f>
        <v>0</v>
      </c>
    </row>
    <row r="9" spans="1:6" x14ac:dyDescent="0.4">
      <c r="A9" s="23" t="s">
        <v>4</v>
      </c>
      <c r="B9" s="24">
        <v>4</v>
      </c>
      <c r="C9" s="48">
        <f>B9/B2</f>
        <v>1</v>
      </c>
    </row>
    <row r="10" spans="1:6" ht="19.5" thickBot="1" x14ac:dyDescent="0.45">
      <c r="A10" s="30" t="s">
        <v>34</v>
      </c>
      <c r="B10" s="31">
        <v>2</v>
      </c>
      <c r="C10" s="49">
        <f>B10/B2</f>
        <v>0.5</v>
      </c>
    </row>
    <row r="11" spans="1:6" ht="19.5" thickTop="1" x14ac:dyDescent="0.4">
      <c r="A11" s="4" t="s">
        <v>10</v>
      </c>
      <c r="B11" s="8">
        <f>B12+B13</f>
        <v>1</v>
      </c>
      <c r="C11" s="50">
        <f>B11/B3</f>
        <v>0.04</v>
      </c>
    </row>
    <row r="12" spans="1:6" x14ac:dyDescent="0.4">
      <c r="A12" s="5" t="s">
        <v>11</v>
      </c>
      <c r="B12" s="1">
        <v>0</v>
      </c>
      <c r="C12" s="47">
        <f>B12/B3</f>
        <v>0</v>
      </c>
    </row>
    <row r="13" spans="1:6" x14ac:dyDescent="0.4">
      <c r="A13" s="5" t="s">
        <v>12</v>
      </c>
      <c r="B13" s="1">
        <v>1</v>
      </c>
      <c r="C13" s="47">
        <f>B13/B3</f>
        <v>0.04</v>
      </c>
    </row>
    <row r="14" spans="1:6" x14ac:dyDescent="0.4">
      <c r="A14" s="5" t="s">
        <v>13</v>
      </c>
      <c r="B14" s="1">
        <v>10</v>
      </c>
      <c r="C14" s="47">
        <f>B14/B3</f>
        <v>0.4</v>
      </c>
    </row>
    <row r="15" spans="1:6" x14ac:dyDescent="0.4">
      <c r="A15" s="5" t="s">
        <v>5</v>
      </c>
      <c r="B15" s="7">
        <f>IF(B11=0,0,ROUND(C15/B11,-2))</f>
        <v>7800</v>
      </c>
      <c r="C15" s="15">
        <v>7800</v>
      </c>
    </row>
    <row r="16" spans="1:6" x14ac:dyDescent="0.4">
      <c r="A16" s="6" t="s">
        <v>14</v>
      </c>
      <c r="B16" s="16">
        <f>IF(B14=0,0,ROUND(C16/B14,-2))</f>
        <v>-8200</v>
      </c>
      <c r="C16" s="17">
        <v>-82400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0BE7-753E-4B80-BA1D-50B25837A478}">
  <sheetPr codeName="Sheet4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18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1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5</v>
      </c>
      <c r="C3" s="11"/>
      <c r="E3" s="5">
        <v>1</v>
      </c>
      <c r="F3" s="12">
        <v>7</v>
      </c>
    </row>
    <row r="4" spans="1:6" x14ac:dyDescent="0.4">
      <c r="A4" s="5" t="s">
        <v>6</v>
      </c>
      <c r="B4" s="2">
        <v>7</v>
      </c>
      <c r="C4" s="12"/>
    </row>
    <row r="5" spans="1:6" x14ac:dyDescent="0.4">
      <c r="A5" s="5" t="s">
        <v>7</v>
      </c>
      <c r="B5" s="9">
        <f>B4/B2</f>
        <v>7</v>
      </c>
      <c r="C5" s="13"/>
    </row>
    <row r="6" spans="1:6" x14ac:dyDescent="0.4">
      <c r="A6" s="5" t="s">
        <v>1</v>
      </c>
      <c r="B6" s="25">
        <f>(B7*1+B8*2+B9*3)/B2</f>
        <v>2</v>
      </c>
      <c r="C6" s="14"/>
    </row>
    <row r="7" spans="1:6" x14ac:dyDescent="0.4">
      <c r="A7" s="5" t="s">
        <v>2</v>
      </c>
      <c r="B7" s="1">
        <v>0</v>
      </c>
      <c r="C7" s="47">
        <f>B7/B2</f>
        <v>0</v>
      </c>
    </row>
    <row r="8" spans="1:6" x14ac:dyDescent="0.4">
      <c r="A8" s="5" t="s">
        <v>3</v>
      </c>
      <c r="B8" s="1">
        <v>1</v>
      </c>
      <c r="C8" s="47">
        <f>B8/B2</f>
        <v>1</v>
      </c>
    </row>
    <row r="9" spans="1:6" x14ac:dyDescent="0.4">
      <c r="A9" s="23" t="s">
        <v>4</v>
      </c>
      <c r="B9" s="24">
        <v>0</v>
      </c>
      <c r="C9" s="48">
        <f>B9/B2</f>
        <v>0</v>
      </c>
    </row>
    <row r="10" spans="1:6" ht="19.5" thickBot="1" x14ac:dyDescent="0.45">
      <c r="A10" s="30" t="s">
        <v>34</v>
      </c>
      <c r="B10" s="31">
        <v>0</v>
      </c>
      <c r="C10" s="49">
        <f>B10/B2</f>
        <v>0</v>
      </c>
    </row>
    <row r="11" spans="1:6" ht="19.5" thickTop="1" x14ac:dyDescent="0.4">
      <c r="A11" s="4" t="s">
        <v>10</v>
      </c>
      <c r="B11" s="8">
        <f>B12+B13</f>
        <v>2</v>
      </c>
      <c r="C11" s="50">
        <f>B11/B3</f>
        <v>0.4</v>
      </c>
    </row>
    <row r="12" spans="1:6" x14ac:dyDescent="0.4">
      <c r="A12" s="5" t="s">
        <v>11</v>
      </c>
      <c r="B12" s="1">
        <v>2</v>
      </c>
      <c r="C12" s="47">
        <f>B12/B3</f>
        <v>0.4</v>
      </c>
    </row>
    <row r="13" spans="1:6" x14ac:dyDescent="0.4">
      <c r="A13" s="5" t="s">
        <v>12</v>
      </c>
      <c r="B13" s="1">
        <v>0</v>
      </c>
      <c r="C13" s="47">
        <f>B13/B3</f>
        <v>0</v>
      </c>
    </row>
    <row r="14" spans="1:6" x14ac:dyDescent="0.4">
      <c r="A14" s="5" t="s">
        <v>13</v>
      </c>
      <c r="B14" s="1">
        <v>1</v>
      </c>
      <c r="C14" s="47">
        <f>B14/B3</f>
        <v>0.2</v>
      </c>
    </row>
    <row r="15" spans="1:6" x14ac:dyDescent="0.4">
      <c r="A15" s="5" t="s">
        <v>5</v>
      </c>
      <c r="B15" s="7">
        <f>IF(B11=0,0,ROUND(C15/B11,-2))</f>
        <v>8000</v>
      </c>
      <c r="C15" s="15">
        <v>16000</v>
      </c>
    </row>
    <row r="16" spans="1:6" x14ac:dyDescent="0.4">
      <c r="A16" s="6" t="s">
        <v>14</v>
      </c>
      <c r="B16" s="16">
        <f>IF(B14=0,0,ROUND(C16/B14,-2))</f>
        <v>-12000</v>
      </c>
      <c r="C16" s="17">
        <v>-12000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D02A7-C6D5-4744-9423-02078A1899FF}">
  <sheetPr codeName="Sheet5"/>
  <dimension ref="A1:F5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19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54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399</v>
      </c>
      <c r="C3" s="11"/>
      <c r="E3" s="5">
        <v>1</v>
      </c>
      <c r="F3" s="12">
        <v>41</v>
      </c>
    </row>
    <row r="4" spans="1:6" x14ac:dyDescent="0.4">
      <c r="A4" s="5" t="s">
        <v>6</v>
      </c>
      <c r="B4" s="2">
        <v>-378</v>
      </c>
      <c r="C4" s="12"/>
      <c r="E4" s="5">
        <v>2</v>
      </c>
      <c r="F4" s="12">
        <v>-1</v>
      </c>
    </row>
    <row r="5" spans="1:6" x14ac:dyDescent="0.4">
      <c r="A5" s="5" t="s">
        <v>7</v>
      </c>
      <c r="B5" s="9">
        <f>B4/B2</f>
        <v>-7</v>
      </c>
      <c r="C5" s="13"/>
      <c r="E5" s="5">
        <v>3</v>
      </c>
      <c r="F5" s="12">
        <v>-37</v>
      </c>
    </row>
    <row r="6" spans="1:6" x14ac:dyDescent="0.4">
      <c r="A6" s="5" t="s">
        <v>1</v>
      </c>
      <c r="B6" s="25">
        <f>(B7*1+B8*2+B9*3)/B2</f>
        <v>2.1851851851851851</v>
      </c>
      <c r="C6" s="14"/>
      <c r="E6" s="5">
        <v>4</v>
      </c>
      <c r="F6" s="12">
        <v>3</v>
      </c>
    </row>
    <row r="7" spans="1:6" x14ac:dyDescent="0.4">
      <c r="A7" s="5" t="s">
        <v>2</v>
      </c>
      <c r="B7" s="1">
        <v>16</v>
      </c>
      <c r="C7" s="47">
        <f>B7/B2</f>
        <v>0.29629629629629628</v>
      </c>
      <c r="E7" s="5">
        <v>5</v>
      </c>
      <c r="F7" s="12">
        <v>14</v>
      </c>
    </row>
    <row r="8" spans="1:6" x14ac:dyDescent="0.4">
      <c r="A8" s="5" t="s">
        <v>3</v>
      </c>
      <c r="B8" s="1">
        <v>12</v>
      </c>
      <c r="C8" s="47">
        <f>B8/B2</f>
        <v>0.22222222222222221</v>
      </c>
      <c r="E8" s="5">
        <v>6</v>
      </c>
      <c r="F8" s="12">
        <v>47</v>
      </c>
    </row>
    <row r="9" spans="1:6" x14ac:dyDescent="0.4">
      <c r="A9" s="23" t="s">
        <v>4</v>
      </c>
      <c r="B9" s="24">
        <v>26</v>
      </c>
      <c r="C9" s="48">
        <f>B9/B2</f>
        <v>0.48148148148148145</v>
      </c>
      <c r="E9" s="5">
        <v>7</v>
      </c>
      <c r="F9" s="12">
        <v>100</v>
      </c>
    </row>
    <row r="10" spans="1:6" ht="19.5" thickBot="1" x14ac:dyDescent="0.45">
      <c r="A10" s="30" t="s">
        <v>34</v>
      </c>
      <c r="B10" s="31">
        <v>15</v>
      </c>
      <c r="C10" s="49">
        <f>B10/B2</f>
        <v>0.27777777777777779</v>
      </c>
      <c r="E10" s="5">
        <v>8</v>
      </c>
      <c r="F10" s="12">
        <v>60</v>
      </c>
    </row>
    <row r="11" spans="1:6" ht="19.5" thickTop="1" x14ac:dyDescent="0.4">
      <c r="A11" s="4" t="s">
        <v>10</v>
      </c>
      <c r="B11" s="8">
        <f>B12+B13</f>
        <v>94</v>
      </c>
      <c r="C11" s="50">
        <f>B11/B3</f>
        <v>0.23558897243107768</v>
      </c>
      <c r="E11" s="5">
        <v>9</v>
      </c>
      <c r="F11" s="12">
        <v>24</v>
      </c>
    </row>
    <row r="12" spans="1:6" x14ac:dyDescent="0.4">
      <c r="A12" s="5" t="s">
        <v>11</v>
      </c>
      <c r="B12" s="1">
        <v>53</v>
      </c>
      <c r="C12" s="47">
        <f>B12/B3</f>
        <v>0.13283208020050125</v>
      </c>
      <c r="E12" s="5">
        <v>10</v>
      </c>
      <c r="F12" s="12">
        <v>-21</v>
      </c>
    </row>
    <row r="13" spans="1:6" x14ac:dyDescent="0.4">
      <c r="A13" s="5" t="s">
        <v>12</v>
      </c>
      <c r="B13" s="1">
        <v>41</v>
      </c>
      <c r="C13" s="47">
        <f>B13/B3</f>
        <v>0.10275689223057644</v>
      </c>
      <c r="E13" s="5">
        <v>11</v>
      </c>
      <c r="F13" s="12">
        <v>-4</v>
      </c>
    </row>
    <row r="14" spans="1:6" x14ac:dyDescent="0.4">
      <c r="A14" s="5" t="s">
        <v>13</v>
      </c>
      <c r="B14" s="1">
        <v>85</v>
      </c>
      <c r="C14" s="47">
        <f>B14/B3</f>
        <v>0.21303258145363407</v>
      </c>
      <c r="E14" s="5">
        <v>12</v>
      </c>
      <c r="F14" s="12">
        <v>-12</v>
      </c>
    </row>
    <row r="15" spans="1:6" x14ac:dyDescent="0.4">
      <c r="A15" s="5" t="s">
        <v>5</v>
      </c>
      <c r="B15" s="7">
        <f>IF(B11=0,0,ROUND(C15/B11,-2))</f>
        <v>11200</v>
      </c>
      <c r="C15" s="15">
        <v>1052500</v>
      </c>
      <c r="E15" s="5">
        <v>13</v>
      </c>
      <c r="F15" s="12">
        <v>50</v>
      </c>
    </row>
    <row r="16" spans="1:6" x14ac:dyDescent="0.4">
      <c r="A16" s="6" t="s">
        <v>14</v>
      </c>
      <c r="B16" s="16">
        <f>IF(B14=0,0,ROUND(C16/B14,-2))</f>
        <v>-10400</v>
      </c>
      <c r="C16" s="17">
        <v>-888100</v>
      </c>
      <c r="E16" s="5">
        <v>14</v>
      </c>
      <c r="F16" s="12">
        <v>33</v>
      </c>
    </row>
    <row r="17" spans="5:6" x14ac:dyDescent="0.4">
      <c r="E17" s="5">
        <v>15</v>
      </c>
      <c r="F17" s="12">
        <v>39</v>
      </c>
    </row>
    <row r="18" spans="5:6" x14ac:dyDescent="0.4">
      <c r="E18" s="5">
        <v>16</v>
      </c>
      <c r="F18" s="12">
        <v>15</v>
      </c>
    </row>
    <row r="19" spans="5:6" x14ac:dyDescent="0.4">
      <c r="E19" s="5">
        <v>17</v>
      </c>
      <c r="F19" s="12">
        <v>14</v>
      </c>
    </row>
    <row r="20" spans="5:6" x14ac:dyDescent="0.4">
      <c r="E20" s="5">
        <v>18</v>
      </c>
      <c r="F20" s="12">
        <v>-22</v>
      </c>
    </row>
    <row r="21" spans="5:6" x14ac:dyDescent="0.4">
      <c r="E21" s="5">
        <v>19</v>
      </c>
      <c r="F21" s="12">
        <v>-27</v>
      </c>
    </row>
    <row r="22" spans="5:6" x14ac:dyDescent="0.4">
      <c r="E22" s="5">
        <v>20</v>
      </c>
      <c r="F22" s="12">
        <v>-58</v>
      </c>
    </row>
    <row r="23" spans="5:6" x14ac:dyDescent="0.4">
      <c r="E23" s="5">
        <v>21</v>
      </c>
      <c r="F23" s="12">
        <v>-83</v>
      </c>
    </row>
    <row r="24" spans="5:6" x14ac:dyDescent="0.4">
      <c r="E24" s="5">
        <v>22</v>
      </c>
      <c r="F24" s="12">
        <v>-95</v>
      </c>
    </row>
    <row r="25" spans="5:6" x14ac:dyDescent="0.4">
      <c r="E25" s="5">
        <v>23</v>
      </c>
      <c r="F25" s="12">
        <v>-112</v>
      </c>
    </row>
    <row r="26" spans="5:6" x14ac:dyDescent="0.4">
      <c r="E26" s="5">
        <v>24</v>
      </c>
      <c r="F26" s="12">
        <v>-69</v>
      </c>
    </row>
    <row r="27" spans="5:6" x14ac:dyDescent="0.4">
      <c r="E27" s="5">
        <v>25</v>
      </c>
      <c r="F27" s="12">
        <v>-72</v>
      </c>
    </row>
    <row r="28" spans="5:6" x14ac:dyDescent="0.4">
      <c r="E28" s="5">
        <v>26</v>
      </c>
      <c r="F28" s="12">
        <v>-127</v>
      </c>
    </row>
    <row r="29" spans="5:6" x14ac:dyDescent="0.4">
      <c r="E29" s="5">
        <v>27</v>
      </c>
      <c r="F29" s="12">
        <v>-165</v>
      </c>
    </row>
    <row r="30" spans="5:6" x14ac:dyDescent="0.4">
      <c r="E30" s="5">
        <v>28</v>
      </c>
      <c r="F30" s="12">
        <v>-171</v>
      </c>
    </row>
    <row r="31" spans="5:6" x14ac:dyDescent="0.4">
      <c r="E31" s="5">
        <v>29</v>
      </c>
      <c r="F31" s="12">
        <v>-165</v>
      </c>
    </row>
    <row r="32" spans="5:6" x14ac:dyDescent="0.4">
      <c r="E32" s="5">
        <v>30</v>
      </c>
      <c r="F32" s="12">
        <v>-211</v>
      </c>
    </row>
    <row r="33" spans="5:6" x14ac:dyDescent="0.4">
      <c r="E33" s="5">
        <v>31</v>
      </c>
      <c r="F33" s="12">
        <v>-262</v>
      </c>
    </row>
    <row r="34" spans="5:6" x14ac:dyDescent="0.4">
      <c r="E34" s="5">
        <v>32</v>
      </c>
      <c r="F34" s="12">
        <v>-256</v>
      </c>
    </row>
    <row r="35" spans="5:6" x14ac:dyDescent="0.4">
      <c r="E35" s="5">
        <v>33</v>
      </c>
      <c r="F35" s="12">
        <v>-237</v>
      </c>
    </row>
    <row r="36" spans="5:6" x14ac:dyDescent="0.4">
      <c r="E36" s="5">
        <v>34</v>
      </c>
      <c r="F36" s="12">
        <v>-232</v>
      </c>
    </row>
    <row r="37" spans="5:6" x14ac:dyDescent="0.4">
      <c r="E37" s="5">
        <v>35</v>
      </c>
      <c r="F37" s="12">
        <v>-257</v>
      </c>
    </row>
    <row r="38" spans="5:6" x14ac:dyDescent="0.4">
      <c r="E38" s="5">
        <v>36</v>
      </c>
      <c r="F38" s="12">
        <v>-207</v>
      </c>
    </row>
    <row r="39" spans="5:6" x14ac:dyDescent="0.4">
      <c r="E39" s="5">
        <v>37</v>
      </c>
      <c r="F39" s="12">
        <v>-252</v>
      </c>
    </row>
    <row r="40" spans="5:6" x14ac:dyDescent="0.4">
      <c r="E40" s="5">
        <v>38</v>
      </c>
      <c r="F40" s="12">
        <v>-245</v>
      </c>
    </row>
    <row r="41" spans="5:6" x14ac:dyDescent="0.4">
      <c r="E41" s="5">
        <v>39</v>
      </c>
      <c r="F41" s="12">
        <v>-247</v>
      </c>
    </row>
    <row r="42" spans="5:6" x14ac:dyDescent="0.4">
      <c r="E42" s="5">
        <v>40</v>
      </c>
      <c r="F42" s="12">
        <v>-282</v>
      </c>
    </row>
    <row r="43" spans="5:6" x14ac:dyDescent="0.4">
      <c r="E43" s="5">
        <v>41</v>
      </c>
      <c r="F43" s="12">
        <v>-322</v>
      </c>
    </row>
    <row r="44" spans="5:6" x14ac:dyDescent="0.4">
      <c r="E44" s="5">
        <v>42</v>
      </c>
      <c r="F44" s="12">
        <v>-316</v>
      </c>
    </row>
    <row r="45" spans="5:6" x14ac:dyDescent="0.4">
      <c r="E45" s="5">
        <v>43</v>
      </c>
      <c r="F45" s="12">
        <v>-286</v>
      </c>
    </row>
    <row r="46" spans="5:6" x14ac:dyDescent="0.4">
      <c r="E46" s="5">
        <v>44</v>
      </c>
      <c r="F46" s="12">
        <v>-241</v>
      </c>
    </row>
    <row r="47" spans="5:6" x14ac:dyDescent="0.4">
      <c r="E47" s="5">
        <v>45</v>
      </c>
      <c r="F47" s="12">
        <v>-257</v>
      </c>
    </row>
    <row r="48" spans="5:6" x14ac:dyDescent="0.4">
      <c r="E48" s="5">
        <v>46</v>
      </c>
      <c r="F48" s="12">
        <v>-281</v>
      </c>
    </row>
    <row r="49" spans="5:6" x14ac:dyDescent="0.4">
      <c r="E49" s="5">
        <v>47</v>
      </c>
      <c r="F49" s="12">
        <v>-265</v>
      </c>
    </row>
    <row r="50" spans="5:6" x14ac:dyDescent="0.4">
      <c r="E50" s="5">
        <v>48</v>
      </c>
      <c r="F50" s="12">
        <v>-289</v>
      </c>
    </row>
    <row r="51" spans="5:6" x14ac:dyDescent="0.4">
      <c r="E51" s="5">
        <v>49</v>
      </c>
      <c r="F51" s="12">
        <v>-283</v>
      </c>
    </row>
    <row r="52" spans="5:6" x14ac:dyDescent="0.4">
      <c r="E52" s="5">
        <v>50</v>
      </c>
      <c r="F52" s="12">
        <v>-287</v>
      </c>
    </row>
    <row r="53" spans="5:6" x14ac:dyDescent="0.4">
      <c r="E53" s="5">
        <v>51</v>
      </c>
      <c r="F53" s="12">
        <v>-269</v>
      </c>
    </row>
    <row r="54" spans="5:6" x14ac:dyDescent="0.4">
      <c r="E54" s="5">
        <v>52</v>
      </c>
      <c r="F54" s="12">
        <v>-308</v>
      </c>
    </row>
    <row r="55" spans="5:6" x14ac:dyDescent="0.4">
      <c r="E55" s="5">
        <v>53</v>
      </c>
      <c r="F55" s="12">
        <v>-336</v>
      </c>
    </row>
    <row r="56" spans="5:6" x14ac:dyDescent="0.4">
      <c r="E56" s="5">
        <v>54</v>
      </c>
      <c r="F56" s="12">
        <v>-378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61F3-5291-420B-A368-899CD578650B}">
  <sheetPr codeName="Sheet6"/>
  <dimension ref="A1:F41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20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39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271</v>
      </c>
      <c r="C3" s="11"/>
      <c r="E3" s="5">
        <v>1</v>
      </c>
      <c r="F3" s="12">
        <v>-40</v>
      </c>
    </row>
    <row r="4" spans="1:6" x14ac:dyDescent="0.4">
      <c r="A4" s="5" t="s">
        <v>6</v>
      </c>
      <c r="B4" s="2">
        <v>229</v>
      </c>
      <c r="C4" s="12"/>
      <c r="E4" s="5">
        <v>2</v>
      </c>
      <c r="F4" s="12">
        <v>-13</v>
      </c>
    </row>
    <row r="5" spans="1:6" x14ac:dyDescent="0.4">
      <c r="A5" s="5" t="s">
        <v>7</v>
      </c>
      <c r="B5" s="9">
        <f>B4/B2</f>
        <v>5.8717948717948714</v>
      </c>
      <c r="C5" s="13"/>
      <c r="E5" s="5">
        <v>3</v>
      </c>
      <c r="F5" s="12">
        <v>-58</v>
      </c>
    </row>
    <row r="6" spans="1:6" x14ac:dyDescent="0.4">
      <c r="A6" s="5" t="s">
        <v>1</v>
      </c>
      <c r="B6" s="25">
        <f>(B7*1+B8*2+B9*3)/B2</f>
        <v>1.8461538461538463</v>
      </c>
      <c r="C6" s="14"/>
      <c r="E6" s="5">
        <v>4</v>
      </c>
      <c r="F6" s="12">
        <v>-54</v>
      </c>
    </row>
    <row r="7" spans="1:6" x14ac:dyDescent="0.4">
      <c r="A7" s="5" t="s">
        <v>2</v>
      </c>
      <c r="B7" s="1">
        <v>14</v>
      </c>
      <c r="C7" s="47">
        <f>B7/B2</f>
        <v>0.35897435897435898</v>
      </c>
      <c r="E7" s="5">
        <v>5</v>
      </c>
      <c r="F7" s="12">
        <v>-46</v>
      </c>
    </row>
    <row r="8" spans="1:6" x14ac:dyDescent="0.4">
      <c r="A8" s="5" t="s">
        <v>3</v>
      </c>
      <c r="B8" s="1">
        <v>17</v>
      </c>
      <c r="C8" s="47">
        <f>B8/B2</f>
        <v>0.4358974358974359</v>
      </c>
      <c r="E8" s="5">
        <v>6</v>
      </c>
      <c r="F8" s="12">
        <v>-51</v>
      </c>
    </row>
    <row r="9" spans="1:6" x14ac:dyDescent="0.4">
      <c r="A9" s="23" t="s">
        <v>4</v>
      </c>
      <c r="B9" s="24">
        <v>8</v>
      </c>
      <c r="C9" s="48">
        <f>B9/B2</f>
        <v>0.20512820512820512</v>
      </c>
      <c r="E9" s="5">
        <v>7</v>
      </c>
      <c r="F9" s="12">
        <v>-48</v>
      </c>
    </row>
    <row r="10" spans="1:6" ht="19.5" thickBot="1" x14ac:dyDescent="0.45">
      <c r="A10" s="30" t="s">
        <v>34</v>
      </c>
      <c r="B10" s="31">
        <v>5</v>
      </c>
      <c r="C10" s="49">
        <f>B10/B2</f>
        <v>0.12820512820512819</v>
      </c>
      <c r="E10" s="5">
        <v>8</v>
      </c>
      <c r="F10" s="12">
        <v>-60</v>
      </c>
    </row>
    <row r="11" spans="1:6" ht="19.5" thickTop="1" x14ac:dyDescent="0.4">
      <c r="A11" s="4" t="s">
        <v>10</v>
      </c>
      <c r="B11" s="8">
        <f>B12+B13</f>
        <v>97</v>
      </c>
      <c r="C11" s="50">
        <f>B11/B3</f>
        <v>0.35793357933579334</v>
      </c>
      <c r="E11" s="5">
        <v>9</v>
      </c>
      <c r="F11" s="12">
        <v>-79</v>
      </c>
    </row>
    <row r="12" spans="1:6" x14ac:dyDescent="0.4">
      <c r="A12" s="5" t="s">
        <v>11</v>
      </c>
      <c r="B12" s="1">
        <v>53</v>
      </c>
      <c r="C12" s="47">
        <f>B12/B3</f>
        <v>0.19557195571955718</v>
      </c>
      <c r="E12" s="5">
        <v>10</v>
      </c>
      <c r="F12" s="12">
        <v>-80</v>
      </c>
    </row>
    <row r="13" spans="1:6" x14ac:dyDescent="0.4">
      <c r="A13" s="5" t="s">
        <v>12</v>
      </c>
      <c r="B13" s="1">
        <v>44</v>
      </c>
      <c r="C13" s="47">
        <f>B13/B3</f>
        <v>0.16236162361623616</v>
      </c>
      <c r="E13" s="5">
        <v>11</v>
      </c>
      <c r="F13" s="12">
        <v>-90</v>
      </c>
    </row>
    <row r="14" spans="1:6" x14ac:dyDescent="0.4">
      <c r="A14" s="5" t="s">
        <v>13</v>
      </c>
      <c r="B14" s="1">
        <v>36</v>
      </c>
      <c r="C14" s="47">
        <f>B14/B3</f>
        <v>0.13284132841328414</v>
      </c>
      <c r="E14" s="5">
        <v>12</v>
      </c>
      <c r="F14" s="12">
        <v>-25</v>
      </c>
    </row>
    <row r="15" spans="1:6" x14ac:dyDescent="0.4">
      <c r="A15" s="5" t="s">
        <v>5</v>
      </c>
      <c r="B15" s="7">
        <f>IF(B11=0,0,ROUND(C15/B11,-2))</f>
        <v>9600</v>
      </c>
      <c r="C15" s="15">
        <v>934300</v>
      </c>
      <c r="E15" s="5">
        <v>13</v>
      </c>
      <c r="F15" s="12">
        <v>-14</v>
      </c>
    </row>
    <row r="16" spans="1:6" x14ac:dyDescent="0.4">
      <c r="A16" s="6" t="s">
        <v>14</v>
      </c>
      <c r="B16" s="16">
        <f>IF(B14=0,0,ROUND(C16/B14,-2))</f>
        <v>-9600</v>
      </c>
      <c r="C16" s="17">
        <v>-346100</v>
      </c>
      <c r="E16" s="5">
        <v>14</v>
      </c>
      <c r="F16" s="12">
        <v>37</v>
      </c>
    </row>
    <row r="17" spans="5:6" x14ac:dyDescent="0.4">
      <c r="E17" s="5">
        <v>15</v>
      </c>
      <c r="F17" s="12">
        <v>54</v>
      </c>
    </row>
    <row r="18" spans="5:6" x14ac:dyDescent="0.4">
      <c r="E18" s="5">
        <v>16</v>
      </c>
      <c r="F18" s="12">
        <v>38</v>
      </c>
    </row>
    <row r="19" spans="5:6" x14ac:dyDescent="0.4">
      <c r="E19" s="5">
        <v>17</v>
      </c>
      <c r="F19" s="12">
        <v>13</v>
      </c>
    </row>
    <row r="20" spans="5:6" x14ac:dyDescent="0.4">
      <c r="E20" s="5">
        <v>18</v>
      </c>
      <c r="F20" s="12">
        <v>-29</v>
      </c>
    </row>
    <row r="21" spans="5:6" x14ac:dyDescent="0.4">
      <c r="E21" s="5">
        <v>19</v>
      </c>
      <c r="F21" s="12">
        <v>-21</v>
      </c>
    </row>
    <row r="22" spans="5:6" x14ac:dyDescent="0.4">
      <c r="E22" s="5">
        <v>20</v>
      </c>
      <c r="F22" s="12">
        <v>4</v>
      </c>
    </row>
    <row r="23" spans="5:6" x14ac:dyDescent="0.4">
      <c r="E23" s="5">
        <v>21</v>
      </c>
      <c r="F23" s="12">
        <v>66</v>
      </c>
    </row>
    <row r="24" spans="5:6" x14ac:dyDescent="0.4">
      <c r="E24" s="5">
        <v>22</v>
      </c>
      <c r="F24" s="12">
        <v>75</v>
      </c>
    </row>
    <row r="25" spans="5:6" x14ac:dyDescent="0.4">
      <c r="E25" s="5">
        <v>23</v>
      </c>
      <c r="F25" s="12">
        <v>90</v>
      </c>
    </row>
    <row r="26" spans="5:6" x14ac:dyDescent="0.4">
      <c r="E26" s="5">
        <v>24</v>
      </c>
      <c r="F26" s="12">
        <v>46</v>
      </c>
    </row>
    <row r="27" spans="5:6" x14ac:dyDescent="0.4">
      <c r="E27" s="5">
        <v>25</v>
      </c>
      <c r="F27" s="12">
        <v>56</v>
      </c>
    </row>
    <row r="28" spans="5:6" x14ac:dyDescent="0.4">
      <c r="E28" s="5">
        <v>26</v>
      </c>
      <c r="F28" s="12">
        <v>139</v>
      </c>
    </row>
    <row r="29" spans="5:6" x14ac:dyDescent="0.4">
      <c r="E29" s="5">
        <v>27</v>
      </c>
      <c r="F29" s="12">
        <v>160</v>
      </c>
    </row>
    <row r="30" spans="5:6" x14ac:dyDescent="0.4">
      <c r="E30" s="5">
        <v>28</v>
      </c>
      <c r="F30" s="12">
        <v>172</v>
      </c>
    </row>
    <row r="31" spans="5:6" x14ac:dyDescent="0.4">
      <c r="E31" s="5">
        <v>29</v>
      </c>
      <c r="F31" s="12">
        <v>202</v>
      </c>
    </row>
    <row r="32" spans="5:6" x14ac:dyDescent="0.4">
      <c r="E32" s="5">
        <v>30</v>
      </c>
      <c r="F32" s="12">
        <v>195</v>
      </c>
    </row>
    <row r="33" spans="5:6" x14ac:dyDescent="0.4">
      <c r="E33" s="5">
        <v>31</v>
      </c>
      <c r="F33" s="12">
        <v>183</v>
      </c>
    </row>
    <row r="34" spans="5:6" x14ac:dyDescent="0.4">
      <c r="E34" s="5">
        <v>32</v>
      </c>
      <c r="F34" s="12">
        <v>201</v>
      </c>
    </row>
    <row r="35" spans="5:6" x14ac:dyDescent="0.4">
      <c r="E35" s="5">
        <v>33</v>
      </c>
      <c r="F35" s="12">
        <v>242</v>
      </c>
    </row>
    <row r="36" spans="5:6" x14ac:dyDescent="0.4">
      <c r="E36" s="5">
        <v>34</v>
      </c>
      <c r="F36" s="12">
        <v>231</v>
      </c>
    </row>
    <row r="37" spans="5:6" x14ac:dyDescent="0.4">
      <c r="E37" s="5">
        <v>35</v>
      </c>
      <c r="F37" s="12">
        <v>185</v>
      </c>
    </row>
    <row r="38" spans="5:6" x14ac:dyDescent="0.4">
      <c r="E38" s="5">
        <v>36</v>
      </c>
      <c r="F38" s="12">
        <v>232</v>
      </c>
    </row>
    <row r="39" spans="5:6" x14ac:dyDescent="0.4">
      <c r="E39" s="5">
        <v>37</v>
      </c>
      <c r="F39" s="12">
        <v>247</v>
      </c>
    </row>
    <row r="40" spans="5:6" x14ac:dyDescent="0.4">
      <c r="E40" s="5">
        <v>38</v>
      </c>
      <c r="F40" s="12">
        <v>229</v>
      </c>
    </row>
    <row r="41" spans="5:6" x14ac:dyDescent="0.4">
      <c r="E41" s="5">
        <v>39</v>
      </c>
      <c r="F41" s="12">
        <v>229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C5E5-B2BB-475D-B6B5-1F15E36AD834}">
  <sheetPr codeName="Sheet7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21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1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6</v>
      </c>
      <c r="C3" s="11"/>
      <c r="E3" s="5">
        <v>1</v>
      </c>
      <c r="F3" s="12">
        <v>-41</v>
      </c>
    </row>
    <row r="4" spans="1:6" x14ac:dyDescent="0.4">
      <c r="A4" s="5" t="s">
        <v>6</v>
      </c>
      <c r="B4" s="2">
        <v>-41</v>
      </c>
      <c r="C4" s="12"/>
    </row>
    <row r="5" spans="1:6" x14ac:dyDescent="0.4">
      <c r="A5" s="5" t="s">
        <v>7</v>
      </c>
      <c r="B5" s="9">
        <f>B4/B2</f>
        <v>-41</v>
      </c>
      <c r="C5" s="13"/>
    </row>
    <row r="6" spans="1:6" x14ac:dyDescent="0.4">
      <c r="A6" s="5" t="s">
        <v>1</v>
      </c>
      <c r="B6" s="25">
        <f>(B7*1+B8*2+B9*3)/B2</f>
        <v>2</v>
      </c>
      <c r="C6" s="14"/>
    </row>
    <row r="7" spans="1:6" x14ac:dyDescent="0.4">
      <c r="A7" s="5" t="s">
        <v>2</v>
      </c>
      <c r="B7" s="1">
        <v>0</v>
      </c>
      <c r="C7" s="47">
        <f>B7/B2</f>
        <v>0</v>
      </c>
    </row>
    <row r="8" spans="1:6" x14ac:dyDescent="0.4">
      <c r="A8" s="5" t="s">
        <v>3</v>
      </c>
      <c r="B8" s="1">
        <v>1</v>
      </c>
      <c r="C8" s="47">
        <f>B8/B2</f>
        <v>1</v>
      </c>
    </row>
    <row r="9" spans="1:6" x14ac:dyDescent="0.4">
      <c r="A9" s="23" t="s">
        <v>4</v>
      </c>
      <c r="B9" s="24">
        <v>0</v>
      </c>
      <c r="C9" s="48">
        <f>B9/B2</f>
        <v>0</v>
      </c>
    </row>
    <row r="10" spans="1:6" ht="19.5" thickBot="1" x14ac:dyDescent="0.45">
      <c r="A10" s="30" t="s">
        <v>34</v>
      </c>
      <c r="B10" s="31">
        <v>1</v>
      </c>
      <c r="C10" s="49">
        <f>B10/B2</f>
        <v>1</v>
      </c>
    </row>
    <row r="11" spans="1:6" ht="19.5" thickTop="1" x14ac:dyDescent="0.4">
      <c r="A11" s="4" t="s">
        <v>10</v>
      </c>
      <c r="B11" s="8">
        <f>B12+B13</f>
        <v>1</v>
      </c>
      <c r="C11" s="50">
        <f>B11/B3</f>
        <v>0.16666666666666666</v>
      </c>
    </row>
    <row r="12" spans="1:6" x14ac:dyDescent="0.4">
      <c r="A12" s="5" t="s">
        <v>11</v>
      </c>
      <c r="B12" s="1">
        <v>1</v>
      </c>
      <c r="C12" s="47">
        <f>B12/B3</f>
        <v>0.16666666666666666</v>
      </c>
    </row>
    <row r="13" spans="1:6" x14ac:dyDescent="0.4">
      <c r="A13" s="5" t="s">
        <v>12</v>
      </c>
      <c r="B13" s="1">
        <v>0</v>
      </c>
      <c r="C13" s="47">
        <f>B13/B3</f>
        <v>0</v>
      </c>
    </row>
    <row r="14" spans="1:6" x14ac:dyDescent="0.4">
      <c r="A14" s="5" t="s">
        <v>13</v>
      </c>
      <c r="B14" s="1">
        <v>2</v>
      </c>
      <c r="C14" s="47">
        <f>B14/B3</f>
        <v>0.33333333333333331</v>
      </c>
    </row>
    <row r="15" spans="1:6" x14ac:dyDescent="0.4">
      <c r="A15" s="5" t="s">
        <v>5</v>
      </c>
      <c r="B15" s="7">
        <f>IF(B11=0,0,ROUND(C15/B11,-2))</f>
        <v>1300</v>
      </c>
      <c r="C15" s="15">
        <v>1300</v>
      </c>
    </row>
    <row r="16" spans="1:6" x14ac:dyDescent="0.4">
      <c r="A16" s="6" t="s">
        <v>14</v>
      </c>
      <c r="B16" s="16">
        <f>IF(B14=0,0,ROUND(C16/B14,-2))</f>
        <v>-8500</v>
      </c>
      <c r="C16" s="17">
        <v>-17000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27668-795D-4FFB-9250-CC60BF0A483D}">
  <sheetPr codeName="Sheet8"/>
  <dimension ref="A1:F3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16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30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238</v>
      </c>
      <c r="C3" s="11"/>
      <c r="E3" s="5">
        <v>1</v>
      </c>
      <c r="F3" s="12">
        <v>68</v>
      </c>
    </row>
    <row r="4" spans="1:6" x14ac:dyDescent="0.4">
      <c r="A4" s="5" t="s">
        <v>6</v>
      </c>
      <c r="B4" s="2">
        <v>14</v>
      </c>
      <c r="C4" s="12"/>
      <c r="E4" s="5">
        <v>2</v>
      </c>
      <c r="F4" s="12">
        <v>58</v>
      </c>
    </row>
    <row r="5" spans="1:6" x14ac:dyDescent="0.4">
      <c r="A5" s="5" t="s">
        <v>7</v>
      </c>
      <c r="B5" s="9">
        <f>B4/B2</f>
        <v>0.46666666666666667</v>
      </c>
      <c r="C5" s="13"/>
      <c r="E5" s="5">
        <v>3</v>
      </c>
      <c r="F5" s="12">
        <v>82</v>
      </c>
    </row>
    <row r="6" spans="1:6" x14ac:dyDescent="0.4">
      <c r="A6" s="5" t="s">
        <v>1</v>
      </c>
      <c r="B6" s="25">
        <f>(B7*1+B8*2+B9*3)/B2</f>
        <v>2.0333333333333332</v>
      </c>
      <c r="C6" s="14"/>
      <c r="E6" s="5">
        <v>4</v>
      </c>
      <c r="F6" s="12">
        <v>58</v>
      </c>
    </row>
    <row r="7" spans="1:6" x14ac:dyDescent="0.4">
      <c r="A7" s="5" t="s">
        <v>2</v>
      </c>
      <c r="B7" s="1">
        <v>9</v>
      </c>
      <c r="C7" s="47">
        <f>B7/B2</f>
        <v>0.3</v>
      </c>
      <c r="E7" s="5">
        <v>5</v>
      </c>
      <c r="F7" s="12">
        <v>124</v>
      </c>
    </row>
    <row r="8" spans="1:6" x14ac:dyDescent="0.4">
      <c r="A8" s="5" t="s">
        <v>3</v>
      </c>
      <c r="B8" s="1">
        <v>11</v>
      </c>
      <c r="C8" s="47">
        <f>B8/B2</f>
        <v>0.36666666666666664</v>
      </c>
      <c r="E8" s="5">
        <v>6</v>
      </c>
      <c r="F8" s="12">
        <v>126</v>
      </c>
    </row>
    <row r="9" spans="1:6" x14ac:dyDescent="0.4">
      <c r="A9" s="23" t="s">
        <v>4</v>
      </c>
      <c r="B9" s="24">
        <v>10</v>
      </c>
      <c r="C9" s="48">
        <f>B9/B2</f>
        <v>0.33333333333333331</v>
      </c>
      <c r="E9" s="5">
        <v>7</v>
      </c>
      <c r="F9" s="12">
        <v>130</v>
      </c>
    </row>
    <row r="10" spans="1:6" ht="19.5" thickBot="1" x14ac:dyDescent="0.45">
      <c r="A10" s="30" t="s">
        <v>34</v>
      </c>
      <c r="B10" s="31">
        <v>4</v>
      </c>
      <c r="C10" s="49">
        <f>B10/B2</f>
        <v>0.13333333333333333</v>
      </c>
      <c r="E10" s="5">
        <v>8</v>
      </c>
      <c r="F10" s="12">
        <v>97</v>
      </c>
    </row>
    <row r="11" spans="1:6" ht="19.5" thickTop="1" x14ac:dyDescent="0.4">
      <c r="A11" s="4" t="s">
        <v>10</v>
      </c>
      <c r="B11" s="8">
        <f>B12+B13</f>
        <v>70</v>
      </c>
      <c r="C11" s="50">
        <f>B11/B3</f>
        <v>0.29411764705882354</v>
      </c>
      <c r="E11" s="5">
        <v>9</v>
      </c>
      <c r="F11" s="12">
        <v>83</v>
      </c>
    </row>
    <row r="12" spans="1:6" x14ac:dyDescent="0.4">
      <c r="A12" s="5" t="s">
        <v>11</v>
      </c>
      <c r="B12" s="1">
        <v>40</v>
      </c>
      <c r="C12" s="47">
        <f>B12/B3</f>
        <v>0.16806722689075632</v>
      </c>
      <c r="E12" s="5">
        <v>10</v>
      </c>
      <c r="F12" s="12">
        <v>111</v>
      </c>
    </row>
    <row r="13" spans="1:6" x14ac:dyDescent="0.4">
      <c r="A13" s="5" t="s">
        <v>12</v>
      </c>
      <c r="B13" s="1">
        <v>30</v>
      </c>
      <c r="C13" s="47">
        <f>B13/B3</f>
        <v>0.12605042016806722</v>
      </c>
      <c r="E13" s="5">
        <v>11</v>
      </c>
      <c r="F13" s="12">
        <v>139</v>
      </c>
    </row>
    <row r="14" spans="1:6" x14ac:dyDescent="0.4">
      <c r="A14" s="5" t="s">
        <v>13</v>
      </c>
      <c r="B14" s="1">
        <v>48</v>
      </c>
      <c r="C14" s="47">
        <f>B14/B3</f>
        <v>0.20168067226890757</v>
      </c>
      <c r="E14" s="5">
        <v>12</v>
      </c>
      <c r="F14" s="12">
        <v>100</v>
      </c>
    </row>
    <row r="15" spans="1:6" x14ac:dyDescent="0.4">
      <c r="A15" s="5" t="s">
        <v>5</v>
      </c>
      <c r="B15" s="7">
        <f>IF(B11=0,0,ROUND(C15/B11,-2))</f>
        <v>10600</v>
      </c>
      <c r="C15" s="15">
        <v>739900</v>
      </c>
      <c r="E15" s="5">
        <v>13</v>
      </c>
      <c r="F15" s="12">
        <v>62</v>
      </c>
    </row>
    <row r="16" spans="1:6" x14ac:dyDescent="0.4">
      <c r="A16" s="6" t="s">
        <v>14</v>
      </c>
      <c r="B16" s="16">
        <f>IF(B14=0,0,ROUND(C16/B14,-2))</f>
        <v>-7400</v>
      </c>
      <c r="C16" s="17">
        <v>-356700</v>
      </c>
      <c r="E16" s="5">
        <v>14</v>
      </c>
      <c r="F16" s="12">
        <v>42</v>
      </c>
    </row>
    <row r="17" spans="5:6" x14ac:dyDescent="0.4">
      <c r="E17" s="5">
        <v>15</v>
      </c>
      <c r="F17" s="12">
        <v>33</v>
      </c>
    </row>
    <row r="18" spans="5:6" x14ac:dyDescent="0.4">
      <c r="E18" s="5">
        <v>16</v>
      </c>
      <c r="F18" s="12">
        <v>-6</v>
      </c>
    </row>
    <row r="19" spans="5:6" x14ac:dyDescent="0.4">
      <c r="E19" s="5">
        <v>17</v>
      </c>
      <c r="F19" s="12">
        <v>-18</v>
      </c>
    </row>
    <row r="20" spans="5:6" x14ac:dyDescent="0.4">
      <c r="E20" s="5">
        <v>18</v>
      </c>
      <c r="F20" s="12">
        <v>-18</v>
      </c>
    </row>
    <row r="21" spans="5:6" x14ac:dyDescent="0.4">
      <c r="E21" s="5">
        <v>19</v>
      </c>
      <c r="F21" s="12">
        <v>-3</v>
      </c>
    </row>
    <row r="22" spans="5:6" x14ac:dyDescent="0.4">
      <c r="E22" s="5">
        <v>20</v>
      </c>
      <c r="F22" s="12">
        <v>45</v>
      </c>
    </row>
    <row r="23" spans="5:6" x14ac:dyDescent="0.4">
      <c r="E23" s="5">
        <v>21</v>
      </c>
      <c r="F23" s="12">
        <v>3</v>
      </c>
    </row>
    <row r="24" spans="5:6" x14ac:dyDescent="0.4">
      <c r="E24" s="5">
        <v>22</v>
      </c>
      <c r="F24" s="12">
        <v>-3</v>
      </c>
    </row>
    <row r="25" spans="5:6" x14ac:dyDescent="0.4">
      <c r="E25" s="5">
        <v>23</v>
      </c>
      <c r="F25" s="12">
        <v>22</v>
      </c>
    </row>
    <row r="26" spans="5:6" x14ac:dyDescent="0.4">
      <c r="E26" s="5">
        <v>24</v>
      </c>
      <c r="F26" s="12">
        <v>8</v>
      </c>
    </row>
    <row r="27" spans="5:6" x14ac:dyDescent="0.4">
      <c r="E27" s="5">
        <v>25</v>
      </c>
      <c r="F27" s="12">
        <v>0</v>
      </c>
    </row>
    <row r="28" spans="5:6" x14ac:dyDescent="0.4">
      <c r="E28" s="5">
        <v>26</v>
      </c>
      <c r="F28" s="12">
        <v>-11</v>
      </c>
    </row>
    <row r="29" spans="5:6" x14ac:dyDescent="0.4">
      <c r="E29" s="5">
        <v>27</v>
      </c>
      <c r="F29" s="12">
        <v>-33</v>
      </c>
    </row>
    <row r="30" spans="5:6" x14ac:dyDescent="0.4">
      <c r="E30" s="5">
        <v>28</v>
      </c>
      <c r="F30" s="12">
        <v>-27</v>
      </c>
    </row>
    <row r="31" spans="5:6" x14ac:dyDescent="0.4">
      <c r="E31" s="5">
        <v>29</v>
      </c>
      <c r="F31" s="12">
        <v>-26</v>
      </c>
    </row>
    <row r="32" spans="5:6" x14ac:dyDescent="0.4">
      <c r="E32" s="5">
        <v>30</v>
      </c>
      <c r="F32" s="12">
        <v>14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7452B-993D-4958-8DFB-FF38884EE82D}">
  <sheetPr codeName="Sheet9"/>
  <dimension ref="A1:F34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17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32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233</v>
      </c>
      <c r="C3" s="11"/>
      <c r="E3" s="5">
        <v>1</v>
      </c>
      <c r="F3" s="12">
        <v>-37</v>
      </c>
    </row>
    <row r="4" spans="1:6" x14ac:dyDescent="0.4">
      <c r="A4" s="5" t="s">
        <v>6</v>
      </c>
      <c r="B4" s="2">
        <v>-11</v>
      </c>
      <c r="C4" s="12"/>
      <c r="E4" s="5">
        <v>2</v>
      </c>
      <c r="F4" s="12">
        <v>-46</v>
      </c>
    </row>
    <row r="5" spans="1:6" x14ac:dyDescent="0.4">
      <c r="A5" s="5" t="s">
        <v>7</v>
      </c>
      <c r="B5" s="9">
        <f>B4/B2</f>
        <v>-0.34375</v>
      </c>
      <c r="C5" s="13"/>
      <c r="E5" s="5">
        <v>3</v>
      </c>
      <c r="F5" s="12">
        <v>-82</v>
      </c>
    </row>
    <row r="6" spans="1:6" x14ac:dyDescent="0.4">
      <c r="A6" s="5" t="s">
        <v>1</v>
      </c>
      <c r="B6" s="25">
        <f>(B7*1+B8*2+B9*3)/B2</f>
        <v>2</v>
      </c>
      <c r="C6" s="14"/>
      <c r="E6" s="5">
        <v>4</v>
      </c>
      <c r="F6" s="12">
        <v>-114</v>
      </c>
    </row>
    <row r="7" spans="1:6" x14ac:dyDescent="0.4">
      <c r="A7" s="5" t="s">
        <v>2</v>
      </c>
      <c r="B7" s="1">
        <v>11</v>
      </c>
      <c r="C7" s="47">
        <f>B7/B2</f>
        <v>0.34375</v>
      </c>
      <c r="E7" s="5">
        <v>5</v>
      </c>
      <c r="F7" s="12">
        <v>-136</v>
      </c>
    </row>
    <row r="8" spans="1:6" x14ac:dyDescent="0.4">
      <c r="A8" s="5" t="s">
        <v>3</v>
      </c>
      <c r="B8" s="1">
        <v>10</v>
      </c>
      <c r="C8" s="47">
        <f>B8/B2</f>
        <v>0.3125</v>
      </c>
      <c r="E8" s="5">
        <v>6</v>
      </c>
      <c r="F8" s="12">
        <v>-100</v>
      </c>
    </row>
    <row r="9" spans="1:6" x14ac:dyDescent="0.4">
      <c r="A9" s="23" t="s">
        <v>4</v>
      </c>
      <c r="B9" s="24">
        <v>11</v>
      </c>
      <c r="C9" s="48">
        <f>B9/B2</f>
        <v>0.34375</v>
      </c>
      <c r="E9" s="5">
        <v>7</v>
      </c>
      <c r="F9" s="12">
        <v>-105</v>
      </c>
    </row>
    <row r="10" spans="1:6" ht="19.5" thickBot="1" x14ac:dyDescent="0.45">
      <c r="A10" s="30" t="s">
        <v>34</v>
      </c>
      <c r="B10" s="31">
        <v>6</v>
      </c>
      <c r="C10" s="49">
        <f>B10/B2</f>
        <v>0.1875</v>
      </c>
      <c r="E10" s="5">
        <v>8</v>
      </c>
      <c r="F10" s="12">
        <v>-51</v>
      </c>
    </row>
    <row r="11" spans="1:6" ht="19.5" thickTop="1" x14ac:dyDescent="0.4">
      <c r="A11" s="4" t="s">
        <v>10</v>
      </c>
      <c r="B11" s="8">
        <f>B12+B13</f>
        <v>68</v>
      </c>
      <c r="C11" s="50">
        <f>B11/B3</f>
        <v>0.29184549356223177</v>
      </c>
      <c r="E11" s="5">
        <v>9</v>
      </c>
      <c r="F11" s="12">
        <v>-52</v>
      </c>
    </row>
    <row r="12" spans="1:6" x14ac:dyDescent="0.4">
      <c r="A12" s="5" t="s">
        <v>11</v>
      </c>
      <c r="B12" s="1">
        <v>44</v>
      </c>
      <c r="C12" s="47">
        <f>B12/B3</f>
        <v>0.18884120171673821</v>
      </c>
      <c r="E12" s="5">
        <v>10</v>
      </c>
      <c r="F12" s="12">
        <v>-71</v>
      </c>
    </row>
    <row r="13" spans="1:6" x14ac:dyDescent="0.4">
      <c r="A13" s="5" t="s">
        <v>12</v>
      </c>
      <c r="B13" s="1">
        <v>24</v>
      </c>
      <c r="C13" s="47">
        <f>B13/B3</f>
        <v>0.10300429184549356</v>
      </c>
      <c r="E13" s="5">
        <v>11</v>
      </c>
      <c r="F13" s="12">
        <v>-90</v>
      </c>
    </row>
    <row r="14" spans="1:6" x14ac:dyDescent="0.4">
      <c r="A14" s="5" t="s">
        <v>13</v>
      </c>
      <c r="B14" s="1">
        <v>37</v>
      </c>
      <c r="C14" s="47">
        <f>B14/B3</f>
        <v>0.15879828326180256</v>
      </c>
      <c r="E14" s="5">
        <v>12</v>
      </c>
      <c r="F14" s="12">
        <v>-87</v>
      </c>
    </row>
    <row r="15" spans="1:6" x14ac:dyDescent="0.4">
      <c r="A15" s="5" t="s">
        <v>5</v>
      </c>
      <c r="B15" s="7">
        <f>IF(B11=0,0,ROUND(C15/B11,-2))</f>
        <v>10800</v>
      </c>
      <c r="C15" s="15">
        <v>732800</v>
      </c>
      <c r="E15" s="5">
        <v>13</v>
      </c>
      <c r="F15" s="12">
        <v>-71</v>
      </c>
    </row>
    <row r="16" spans="1:6" x14ac:dyDescent="0.4">
      <c r="A16" s="6" t="s">
        <v>14</v>
      </c>
      <c r="B16" s="16">
        <f>IF(B14=0,0,ROUND(C16/B14,-2))</f>
        <v>-10200</v>
      </c>
      <c r="C16" s="17">
        <v>-376200</v>
      </c>
      <c r="E16" s="5">
        <v>14</v>
      </c>
      <c r="F16" s="12">
        <v>-60</v>
      </c>
    </row>
    <row r="17" spans="5:6" x14ac:dyDescent="0.4">
      <c r="E17" s="5">
        <v>15</v>
      </c>
      <c r="F17" s="12">
        <v>-67</v>
      </c>
    </row>
    <row r="18" spans="5:6" x14ac:dyDescent="0.4">
      <c r="E18" s="5">
        <v>16</v>
      </c>
      <c r="F18" s="12">
        <v>7</v>
      </c>
    </row>
    <row r="19" spans="5:6" x14ac:dyDescent="0.4">
      <c r="E19" s="5">
        <v>17</v>
      </c>
      <c r="F19" s="12">
        <v>42</v>
      </c>
    </row>
    <row r="20" spans="5:6" x14ac:dyDescent="0.4">
      <c r="E20" s="5">
        <v>18</v>
      </c>
      <c r="F20" s="12">
        <v>42</v>
      </c>
    </row>
    <row r="21" spans="5:6" x14ac:dyDescent="0.4">
      <c r="E21" s="5">
        <v>19</v>
      </c>
      <c r="F21" s="12">
        <v>106</v>
      </c>
    </row>
    <row r="22" spans="5:6" x14ac:dyDescent="0.4">
      <c r="E22" s="5">
        <v>20</v>
      </c>
      <c r="F22" s="12">
        <v>109</v>
      </c>
    </row>
    <row r="23" spans="5:6" x14ac:dyDescent="0.4">
      <c r="E23" s="5">
        <v>21</v>
      </c>
      <c r="F23" s="12">
        <v>110</v>
      </c>
    </row>
    <row r="24" spans="5:6" x14ac:dyDescent="0.4">
      <c r="E24" s="5">
        <v>22</v>
      </c>
      <c r="F24" s="12">
        <v>113</v>
      </c>
    </row>
    <row r="25" spans="5:6" x14ac:dyDescent="0.4">
      <c r="E25" s="5">
        <v>23</v>
      </c>
      <c r="F25" s="12">
        <v>158</v>
      </c>
    </row>
    <row r="26" spans="5:6" x14ac:dyDescent="0.4">
      <c r="E26" s="5">
        <v>24</v>
      </c>
      <c r="F26" s="12">
        <v>157</v>
      </c>
    </row>
    <row r="27" spans="5:6" x14ac:dyDescent="0.4">
      <c r="E27" s="5">
        <v>25</v>
      </c>
      <c r="F27" s="12">
        <v>117</v>
      </c>
    </row>
    <row r="28" spans="5:6" x14ac:dyDescent="0.4">
      <c r="E28" s="5">
        <v>26</v>
      </c>
      <c r="F28" s="12">
        <v>101</v>
      </c>
    </row>
    <row r="29" spans="5:6" x14ac:dyDescent="0.4">
      <c r="E29" s="5">
        <v>27</v>
      </c>
      <c r="F29" s="12">
        <v>112</v>
      </c>
    </row>
    <row r="30" spans="5:6" x14ac:dyDescent="0.4">
      <c r="E30" s="5">
        <v>28</v>
      </c>
      <c r="F30" s="12">
        <v>68</v>
      </c>
    </row>
    <row r="31" spans="5:6" x14ac:dyDescent="0.4">
      <c r="E31" s="5">
        <v>29</v>
      </c>
      <c r="F31" s="12">
        <v>27</v>
      </c>
    </row>
    <row r="32" spans="5:6" x14ac:dyDescent="0.4">
      <c r="E32" s="5">
        <v>30</v>
      </c>
      <c r="F32" s="12">
        <v>16</v>
      </c>
    </row>
    <row r="33" spans="5:6" x14ac:dyDescent="0.4">
      <c r="E33" s="5">
        <v>31</v>
      </c>
      <c r="F33" s="12">
        <v>32</v>
      </c>
    </row>
    <row r="34" spans="5:6" x14ac:dyDescent="0.4">
      <c r="E34" s="5">
        <v>32</v>
      </c>
      <c r="F34" s="12">
        <v>-11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E3F8E-0D07-4B51-8017-D72AA69E1D99}">
  <sheetPr codeName="Sheet1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36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12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82</v>
      </c>
      <c r="C3" s="11"/>
      <c r="E3" s="5">
        <v>1</v>
      </c>
      <c r="F3" s="12">
        <v>-14</v>
      </c>
    </row>
    <row r="4" spans="1:6" x14ac:dyDescent="0.4">
      <c r="A4" s="5" t="s">
        <v>6</v>
      </c>
      <c r="B4" s="2">
        <v>83</v>
      </c>
      <c r="C4" s="12"/>
      <c r="E4" s="5">
        <v>2</v>
      </c>
      <c r="F4" s="12">
        <v>38</v>
      </c>
    </row>
    <row r="5" spans="1:6" x14ac:dyDescent="0.4">
      <c r="A5" s="5" t="s">
        <v>7</v>
      </c>
      <c r="B5" s="9">
        <f>B4/B2</f>
        <v>6.916666666666667</v>
      </c>
      <c r="C5" s="13"/>
      <c r="E5" s="5">
        <v>3</v>
      </c>
      <c r="F5" s="12">
        <v>-2</v>
      </c>
    </row>
    <row r="6" spans="1:6" x14ac:dyDescent="0.4">
      <c r="A6" s="5" t="s">
        <v>1</v>
      </c>
      <c r="B6" s="25">
        <f>(B7*1+B8*2+B9*3)/B2</f>
        <v>1.75</v>
      </c>
      <c r="C6" s="14"/>
      <c r="E6" s="5">
        <v>4</v>
      </c>
      <c r="F6" s="12">
        <v>-44</v>
      </c>
    </row>
    <row r="7" spans="1:6" x14ac:dyDescent="0.4">
      <c r="A7" s="5" t="s">
        <v>2</v>
      </c>
      <c r="B7" s="1">
        <v>6</v>
      </c>
      <c r="C7" s="47">
        <f>B7/B2</f>
        <v>0.5</v>
      </c>
      <c r="E7" s="5">
        <v>5</v>
      </c>
      <c r="F7" s="12">
        <v>9</v>
      </c>
    </row>
    <row r="8" spans="1:6" x14ac:dyDescent="0.4">
      <c r="A8" s="5" t="s">
        <v>3</v>
      </c>
      <c r="B8" s="1">
        <v>3</v>
      </c>
      <c r="C8" s="47">
        <f>B8/B2</f>
        <v>0.25</v>
      </c>
      <c r="E8" s="5">
        <v>6</v>
      </c>
      <c r="F8" s="12">
        <v>24</v>
      </c>
    </row>
    <row r="9" spans="1:6" x14ac:dyDescent="0.4">
      <c r="A9" s="23" t="s">
        <v>4</v>
      </c>
      <c r="B9" s="24">
        <v>3</v>
      </c>
      <c r="C9" s="48">
        <f>B9/B2</f>
        <v>0.25</v>
      </c>
      <c r="E9" s="5">
        <v>7</v>
      </c>
      <c r="F9" s="12">
        <v>41</v>
      </c>
    </row>
    <row r="10" spans="1:6" ht="19.5" thickBot="1" x14ac:dyDescent="0.45">
      <c r="A10" s="30" t="s">
        <v>34</v>
      </c>
      <c r="B10" s="31">
        <v>3</v>
      </c>
      <c r="C10" s="49">
        <f>B10/B2</f>
        <v>0.25</v>
      </c>
      <c r="E10" s="5">
        <v>8</v>
      </c>
      <c r="F10" s="12">
        <v>5</v>
      </c>
    </row>
    <row r="11" spans="1:6" ht="19.5" thickTop="1" x14ac:dyDescent="0.4">
      <c r="A11" s="4" t="s">
        <v>10</v>
      </c>
      <c r="B11" s="8">
        <f>B12+B13</f>
        <v>28</v>
      </c>
      <c r="C11" s="50">
        <f>B11/B3</f>
        <v>0.34146341463414637</v>
      </c>
      <c r="E11" s="5">
        <v>9</v>
      </c>
      <c r="F11" s="12">
        <v>8</v>
      </c>
    </row>
    <row r="12" spans="1:6" x14ac:dyDescent="0.4">
      <c r="A12" s="5" t="s">
        <v>11</v>
      </c>
      <c r="B12" s="1">
        <v>15</v>
      </c>
      <c r="C12" s="47">
        <f>B12/B3</f>
        <v>0.18292682926829268</v>
      </c>
      <c r="E12" s="5">
        <v>10</v>
      </c>
      <c r="F12" s="12">
        <v>58</v>
      </c>
    </row>
    <row r="13" spans="1:6" x14ac:dyDescent="0.4">
      <c r="A13" s="5" t="s">
        <v>12</v>
      </c>
      <c r="B13" s="1">
        <v>13</v>
      </c>
      <c r="C13" s="47">
        <f>B13/B3</f>
        <v>0.15853658536585366</v>
      </c>
      <c r="E13" s="5">
        <v>11</v>
      </c>
      <c r="F13" s="12">
        <v>71</v>
      </c>
    </row>
    <row r="14" spans="1:6" x14ac:dyDescent="0.4">
      <c r="A14" s="5" t="s">
        <v>13</v>
      </c>
      <c r="B14" s="1">
        <v>11</v>
      </c>
      <c r="C14" s="47">
        <f>B14/B3</f>
        <v>0.13414634146341464</v>
      </c>
      <c r="E14" s="5">
        <v>12</v>
      </c>
      <c r="F14" s="12">
        <v>83</v>
      </c>
    </row>
    <row r="15" spans="1:6" x14ac:dyDescent="0.4">
      <c r="A15" s="5" t="s">
        <v>5</v>
      </c>
      <c r="B15" s="7">
        <f>IF(B11=0,0,ROUND(C15/B11,-2))</f>
        <v>10900</v>
      </c>
      <c r="C15" s="15">
        <v>304000</v>
      </c>
    </row>
    <row r="16" spans="1:6" x14ac:dyDescent="0.4">
      <c r="A16" s="6" t="s">
        <v>14</v>
      </c>
      <c r="B16" s="16">
        <f>IF(B14=0,0,ROUND(C16/B14,-2))</f>
        <v>-9900</v>
      </c>
      <c r="C16" s="17">
        <v>-109200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8EA2-1BD7-4C9A-A5E7-72E2569E6647}">
  <sheetPr codeName="Sheet12"/>
  <dimension ref="A1:F2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 t="s">
        <v>39</v>
      </c>
      <c r="C1" s="46"/>
      <c r="E1" s="41" t="s">
        <v>41</v>
      </c>
      <c r="F1" s="42" t="s">
        <v>6</v>
      </c>
    </row>
    <row r="2" spans="1:6" ht="19.5" thickTop="1" x14ac:dyDescent="0.4">
      <c r="A2" s="4" t="s">
        <v>9</v>
      </c>
      <c r="B2" s="8">
        <v>24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188</v>
      </c>
      <c r="C3" s="11"/>
      <c r="E3" s="5">
        <v>1</v>
      </c>
      <c r="F3" s="12">
        <v>4</v>
      </c>
    </row>
    <row r="4" spans="1:6" x14ac:dyDescent="0.4">
      <c r="A4" s="5" t="s">
        <v>6</v>
      </c>
      <c r="B4" s="2">
        <v>-168</v>
      </c>
      <c r="C4" s="12"/>
      <c r="E4" s="5">
        <v>2</v>
      </c>
      <c r="F4" s="12">
        <v>-34</v>
      </c>
    </row>
    <row r="5" spans="1:6" x14ac:dyDescent="0.4">
      <c r="A5" s="5" t="s">
        <v>7</v>
      </c>
      <c r="B5" s="9">
        <f>B4/B2</f>
        <v>-7</v>
      </c>
      <c r="C5" s="13"/>
      <c r="E5" s="5">
        <v>3</v>
      </c>
      <c r="F5" s="12">
        <v>-70</v>
      </c>
    </row>
    <row r="6" spans="1:6" x14ac:dyDescent="0.4">
      <c r="A6" s="5" t="s">
        <v>1</v>
      </c>
      <c r="B6" s="25">
        <f>(B7*1+B8*2+B9*3)/B2</f>
        <v>2.25</v>
      </c>
      <c r="C6" s="14"/>
      <c r="E6" s="5">
        <v>4</v>
      </c>
      <c r="F6" s="12">
        <v>-35</v>
      </c>
    </row>
    <row r="7" spans="1:6" x14ac:dyDescent="0.4">
      <c r="A7" s="5" t="s">
        <v>2</v>
      </c>
      <c r="B7" s="1">
        <v>6</v>
      </c>
      <c r="C7" s="47">
        <f>B7/B2</f>
        <v>0.25</v>
      </c>
      <c r="E7" s="5">
        <v>5</v>
      </c>
      <c r="F7" s="12">
        <v>-80</v>
      </c>
    </row>
    <row r="8" spans="1:6" x14ac:dyDescent="0.4">
      <c r="A8" s="5" t="s">
        <v>3</v>
      </c>
      <c r="B8" s="1">
        <v>6</v>
      </c>
      <c r="C8" s="47">
        <f>B8/B2</f>
        <v>0.25</v>
      </c>
      <c r="E8" s="5">
        <v>6</v>
      </c>
      <c r="F8" s="12">
        <v>-116</v>
      </c>
    </row>
    <row r="9" spans="1:6" x14ac:dyDescent="0.4">
      <c r="A9" s="23" t="s">
        <v>4</v>
      </c>
      <c r="B9" s="24">
        <v>12</v>
      </c>
      <c r="C9" s="48">
        <f>B9/B2</f>
        <v>0.5</v>
      </c>
      <c r="E9" s="5">
        <v>7</v>
      </c>
      <c r="F9" s="12">
        <v>-147</v>
      </c>
    </row>
    <row r="10" spans="1:6" ht="19.5" thickBot="1" x14ac:dyDescent="0.45">
      <c r="A10" s="30" t="s">
        <v>34</v>
      </c>
      <c r="B10" s="31">
        <v>6</v>
      </c>
      <c r="C10" s="49">
        <f>B10/B2</f>
        <v>0.25</v>
      </c>
      <c r="E10" s="5">
        <v>8</v>
      </c>
      <c r="F10" s="12">
        <v>-146</v>
      </c>
    </row>
    <row r="11" spans="1:6" ht="19.5" thickTop="1" x14ac:dyDescent="0.4">
      <c r="A11" s="4" t="s">
        <v>10</v>
      </c>
      <c r="B11" s="8">
        <f>B12+B13</f>
        <v>52</v>
      </c>
      <c r="C11" s="50">
        <f>B11/B3</f>
        <v>0.27659574468085107</v>
      </c>
      <c r="E11" s="5">
        <v>9</v>
      </c>
      <c r="F11" s="12">
        <v>-173</v>
      </c>
    </row>
    <row r="12" spans="1:6" x14ac:dyDescent="0.4">
      <c r="A12" s="5" t="s">
        <v>11</v>
      </c>
      <c r="B12" s="1">
        <v>25</v>
      </c>
      <c r="C12" s="47">
        <f>B12/B3</f>
        <v>0.13297872340425532</v>
      </c>
      <c r="E12" s="5">
        <v>10</v>
      </c>
      <c r="F12" s="12">
        <v>-206</v>
      </c>
    </row>
    <row r="13" spans="1:6" x14ac:dyDescent="0.4">
      <c r="A13" s="5" t="s">
        <v>12</v>
      </c>
      <c r="B13" s="1">
        <v>27</v>
      </c>
      <c r="C13" s="47">
        <f>B13/B3</f>
        <v>0.14361702127659576</v>
      </c>
      <c r="E13" s="5">
        <v>11</v>
      </c>
      <c r="F13" s="12">
        <v>-174</v>
      </c>
    </row>
    <row r="14" spans="1:6" x14ac:dyDescent="0.4">
      <c r="A14" s="5" t="s">
        <v>13</v>
      </c>
      <c r="B14" s="1">
        <v>38</v>
      </c>
      <c r="C14" s="47">
        <f>B14/B3</f>
        <v>0.20212765957446807</v>
      </c>
      <c r="E14" s="5">
        <v>12</v>
      </c>
      <c r="F14" s="12">
        <v>-197</v>
      </c>
    </row>
    <row r="15" spans="1:6" x14ac:dyDescent="0.4">
      <c r="A15" s="5" t="s">
        <v>5</v>
      </c>
      <c r="B15" s="7">
        <f>IF(B11=0,0,ROUND(C15/B11,-2))</f>
        <v>11100</v>
      </c>
      <c r="C15" s="15">
        <v>576400</v>
      </c>
      <c r="E15" s="5">
        <v>13</v>
      </c>
      <c r="F15" s="12">
        <v>-235</v>
      </c>
    </row>
    <row r="16" spans="1:6" x14ac:dyDescent="0.4">
      <c r="A16" s="6" t="s">
        <v>14</v>
      </c>
      <c r="B16" s="16">
        <f>IF(B14=0,0,ROUND(C16/B14,-2))</f>
        <v>-9600</v>
      </c>
      <c r="C16" s="17">
        <v>-366400</v>
      </c>
      <c r="E16" s="5">
        <v>14</v>
      </c>
      <c r="F16" s="12">
        <v>-231</v>
      </c>
    </row>
    <row r="17" spans="5:6" x14ac:dyDescent="0.4">
      <c r="E17" s="5">
        <v>15</v>
      </c>
      <c r="F17" s="12">
        <v>-212</v>
      </c>
    </row>
    <row r="18" spans="5:6" x14ac:dyDescent="0.4">
      <c r="E18" s="5">
        <v>16</v>
      </c>
      <c r="F18" s="12">
        <v>-233</v>
      </c>
    </row>
    <row r="19" spans="5:6" x14ac:dyDescent="0.4">
      <c r="E19" s="5">
        <v>17</v>
      </c>
      <c r="F19" s="12">
        <v>-269</v>
      </c>
    </row>
    <row r="20" spans="5:6" x14ac:dyDescent="0.4">
      <c r="E20" s="5">
        <v>18</v>
      </c>
      <c r="F20" s="12">
        <v>-296</v>
      </c>
    </row>
    <row r="21" spans="5:6" x14ac:dyDescent="0.4">
      <c r="E21" s="5">
        <v>19</v>
      </c>
      <c r="F21" s="12">
        <v>-273</v>
      </c>
    </row>
    <row r="22" spans="5:6" x14ac:dyDescent="0.4">
      <c r="E22" s="5">
        <v>20</v>
      </c>
      <c r="F22" s="12">
        <v>-270</v>
      </c>
    </row>
    <row r="23" spans="5:6" x14ac:dyDescent="0.4">
      <c r="E23" s="5">
        <v>21</v>
      </c>
      <c r="F23" s="12">
        <v>-242</v>
      </c>
    </row>
    <row r="24" spans="5:6" x14ac:dyDescent="0.4">
      <c r="E24" s="5">
        <v>22</v>
      </c>
      <c r="F24" s="12">
        <v>-203</v>
      </c>
    </row>
    <row r="25" spans="5:6" x14ac:dyDescent="0.4">
      <c r="E25" s="5">
        <v>23</v>
      </c>
      <c r="F25" s="12">
        <v>-201</v>
      </c>
    </row>
    <row r="26" spans="5:6" x14ac:dyDescent="0.4">
      <c r="E26" s="5">
        <v>24</v>
      </c>
      <c r="F26" s="12">
        <v>-168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2" bestFit="1" customWidth="1"/>
    <col min="7" max="16384" width="9" style="3"/>
  </cols>
  <sheetData>
    <row r="1" spans="1:6" ht="19.5" thickBot="1" x14ac:dyDescent="0.45">
      <c r="A1" s="29" t="s">
        <v>0</v>
      </c>
      <c r="B1" s="45"/>
      <c r="C1" s="46"/>
      <c r="E1" s="41" t="s">
        <v>41</v>
      </c>
      <c r="F1" s="42" t="s">
        <v>40</v>
      </c>
    </row>
    <row r="2" spans="1:6" ht="19.5" thickTop="1" x14ac:dyDescent="0.4">
      <c r="A2" s="4" t="s">
        <v>9</v>
      </c>
      <c r="B2" s="8">
        <v>0</v>
      </c>
      <c r="C2" s="10"/>
      <c r="E2" s="4">
        <v>0</v>
      </c>
      <c r="F2" s="40">
        <v>0</v>
      </c>
    </row>
    <row r="3" spans="1:6" x14ac:dyDescent="0.4">
      <c r="A3" s="5" t="s">
        <v>8</v>
      </c>
      <c r="B3" s="1">
        <v>0</v>
      </c>
      <c r="C3" s="11"/>
    </row>
    <row r="4" spans="1:6" x14ac:dyDescent="0.4">
      <c r="A4" s="5" t="s">
        <v>6</v>
      </c>
      <c r="B4" s="2">
        <v>0</v>
      </c>
      <c r="C4" s="12"/>
    </row>
    <row r="5" spans="1:6" x14ac:dyDescent="0.4">
      <c r="A5" s="5" t="s">
        <v>7</v>
      </c>
      <c r="B5" s="9" t="e">
        <f>B4/B2</f>
        <v>#DIV/0!</v>
      </c>
      <c r="C5" s="13"/>
    </row>
    <row r="6" spans="1:6" x14ac:dyDescent="0.4">
      <c r="A6" s="5" t="s">
        <v>1</v>
      </c>
      <c r="B6" s="25" t="e">
        <f>(B7*1+B8*2+B9*3)/B2</f>
        <v>#DIV/0!</v>
      </c>
      <c r="C6" s="14"/>
    </row>
    <row r="7" spans="1:6" x14ac:dyDescent="0.4">
      <c r="A7" s="5" t="s">
        <v>2</v>
      </c>
      <c r="B7" s="1">
        <v>0</v>
      </c>
      <c r="C7" s="47" t="e">
        <f>B7/B2</f>
        <v>#DIV/0!</v>
      </c>
    </row>
    <row r="8" spans="1:6" x14ac:dyDescent="0.4">
      <c r="A8" s="5" t="s">
        <v>3</v>
      </c>
      <c r="B8" s="1">
        <v>0</v>
      </c>
      <c r="C8" s="47" t="e">
        <f>B8/B2</f>
        <v>#DIV/0!</v>
      </c>
    </row>
    <row r="9" spans="1:6" x14ac:dyDescent="0.4">
      <c r="A9" s="23" t="s">
        <v>4</v>
      </c>
      <c r="B9" s="24">
        <v>0</v>
      </c>
      <c r="C9" s="48" t="e">
        <f>B9/B2</f>
        <v>#DIV/0!</v>
      </c>
    </row>
    <row r="10" spans="1:6" ht="19.5" thickBot="1" x14ac:dyDescent="0.45">
      <c r="A10" s="30" t="s">
        <v>34</v>
      </c>
      <c r="B10" s="31">
        <v>0</v>
      </c>
      <c r="C10" s="49" t="e">
        <f>B10/B2</f>
        <v>#DIV/0!</v>
      </c>
    </row>
    <row r="11" spans="1:6" ht="19.5" thickTop="1" x14ac:dyDescent="0.4">
      <c r="A11" s="4" t="s">
        <v>10</v>
      </c>
      <c r="B11" s="8">
        <f>B12+B13</f>
        <v>0</v>
      </c>
      <c r="C11" s="50" t="e">
        <f>B11/B3</f>
        <v>#DIV/0!</v>
      </c>
    </row>
    <row r="12" spans="1:6" x14ac:dyDescent="0.4">
      <c r="A12" s="5" t="s">
        <v>11</v>
      </c>
      <c r="B12" s="1">
        <v>0</v>
      </c>
      <c r="C12" s="47" t="e">
        <f>B12/B3</f>
        <v>#DIV/0!</v>
      </c>
    </row>
    <row r="13" spans="1:6" x14ac:dyDescent="0.4">
      <c r="A13" s="5" t="s">
        <v>12</v>
      </c>
      <c r="B13" s="1">
        <v>0</v>
      </c>
      <c r="C13" s="47" t="e">
        <f>B13/B3</f>
        <v>#DIV/0!</v>
      </c>
    </row>
    <row r="14" spans="1:6" x14ac:dyDescent="0.4">
      <c r="A14" s="5" t="s">
        <v>13</v>
      </c>
      <c r="B14" s="1">
        <v>0</v>
      </c>
      <c r="C14" s="47" t="e">
        <f>B14/B3</f>
        <v>#DIV/0!</v>
      </c>
    </row>
    <row r="15" spans="1:6" x14ac:dyDescent="0.4">
      <c r="A15" s="5" t="s">
        <v>5</v>
      </c>
      <c r="B15" s="7">
        <f>IF(B11=0,0,ROUND(C15/B11,-2))</f>
        <v>0</v>
      </c>
      <c r="C15" s="15">
        <v>0</v>
      </c>
    </row>
    <row r="16" spans="1:6" x14ac:dyDescent="0.4">
      <c r="A16" s="6" t="s">
        <v>14</v>
      </c>
      <c r="B16" s="16">
        <f>IF(B14=0,0,ROUND(C16/B14,-2))</f>
        <v>0</v>
      </c>
      <c r="C16" s="17">
        <v>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2018-12-19T07:24:51Z</dcterms:modified>
</cp:coreProperties>
</file>