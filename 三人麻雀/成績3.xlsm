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342325F1-7D09-4FEC-86C2-0C94771CB1D5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Template" sheetId="2228" state="hidden" r:id="rId3"/>
    <sheet name="だいち" sheetId="2865" r:id="rId4"/>
    <sheet name="かこたろう" sheetId="2866" r:id="rId5"/>
    <sheet name="ともき" sheetId="2867" r:id="rId6"/>
    <sheet name="りくと" sheetId="2868" r:id="rId7"/>
    <sheet name="いっしー" sheetId="2869" r:id="rId8"/>
    <sheet name="がくと" sheetId="2870" r:id="rId9"/>
    <sheet name="たかの" sheetId="2871" r:id="rId10"/>
    <sheet name="ただ" sheetId="2872" r:id="rId11"/>
    <sheet name="やがさき" sheetId="2873" r:id="rId12"/>
    <sheet name="れんたろう" sheetId="2874" r:id="rId13"/>
    <sheet name="あさひ" sheetId="2875" r:id="rId14"/>
    <sheet name="まっつん" sheetId="2876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876" l="1"/>
  <c r="H50" i="2876"/>
  <c r="H49" i="2876"/>
  <c r="H48" i="2876"/>
  <c r="H47" i="2876"/>
  <c r="H46" i="2876"/>
  <c r="H45" i="2876"/>
  <c r="H44" i="2876"/>
  <c r="H43" i="2876"/>
  <c r="H42" i="2876"/>
  <c r="H41" i="2876"/>
  <c r="H40" i="2876"/>
  <c r="H39" i="2876"/>
  <c r="H38" i="2876"/>
  <c r="H37" i="2876"/>
  <c r="H36" i="2876"/>
  <c r="H35" i="2876"/>
  <c r="H34" i="2876"/>
  <c r="H33" i="2876"/>
  <c r="H32" i="2876"/>
  <c r="H19" i="2876"/>
  <c r="H31" i="2876"/>
  <c r="H6" i="2876"/>
  <c r="H30" i="2876"/>
  <c r="H29" i="2876"/>
  <c r="C27" i="2876"/>
  <c r="H12" i="2876"/>
  <c r="H18" i="2876"/>
  <c r="H28" i="2876"/>
  <c r="H11" i="2876"/>
  <c r="C23" i="2876"/>
  <c r="H27" i="2876"/>
  <c r="C22" i="2876"/>
  <c r="H16" i="2876"/>
  <c r="B21" i="2876"/>
  <c r="H26" i="2876"/>
  <c r="H25" i="2876"/>
  <c r="C19" i="2876"/>
  <c r="H15" i="2876"/>
  <c r="H24" i="2876"/>
  <c r="H17" i="2876"/>
  <c r="B16" i="2876"/>
  <c r="C17" i="2876" s="1"/>
  <c r="H23" i="2876"/>
  <c r="C15" i="2876"/>
  <c r="H22" i="2876"/>
  <c r="C14" i="2876"/>
  <c r="H21" i="2876"/>
  <c r="C13" i="2876"/>
  <c r="H20" i="2876"/>
  <c r="C12" i="2876"/>
  <c r="H4" i="2876"/>
  <c r="C11" i="2876"/>
  <c r="H14" i="2876"/>
  <c r="C10" i="2876"/>
  <c r="H10" i="2876"/>
  <c r="C9" i="2876"/>
  <c r="H13" i="2876"/>
  <c r="C8" i="2876"/>
  <c r="N7" i="2876"/>
  <c r="H7" i="2876"/>
  <c r="C7" i="2876"/>
  <c r="N6" i="2876"/>
  <c r="H2" i="2876"/>
  <c r="B6" i="2876"/>
  <c r="N5" i="2876"/>
  <c r="H9" i="2876"/>
  <c r="B5" i="2876"/>
  <c r="N4" i="2876"/>
  <c r="H3" i="2876"/>
  <c r="N3" i="2876"/>
  <c r="H8" i="2876"/>
  <c r="N2" i="2876"/>
  <c r="H5" i="2876"/>
  <c r="C16" i="2876" l="1"/>
  <c r="C18" i="2876"/>
  <c r="B20" i="2876"/>
  <c r="H51" i="2875" l="1"/>
  <c r="H50" i="2875"/>
  <c r="H49" i="2875"/>
  <c r="H48" i="2875"/>
  <c r="H47" i="2875"/>
  <c r="H46" i="2875"/>
  <c r="H45" i="2875"/>
  <c r="H44" i="2875"/>
  <c r="H43" i="2875"/>
  <c r="H42" i="2875"/>
  <c r="H41" i="2875"/>
  <c r="H40" i="2875"/>
  <c r="H39" i="2875"/>
  <c r="H38" i="2875"/>
  <c r="H37" i="2875"/>
  <c r="H36" i="2875"/>
  <c r="H35" i="2875"/>
  <c r="H34" i="2875"/>
  <c r="H33" i="2875"/>
  <c r="H32" i="2875"/>
  <c r="H14" i="2875"/>
  <c r="H31" i="2875"/>
  <c r="H11" i="2875"/>
  <c r="H30" i="2875"/>
  <c r="H29" i="2875"/>
  <c r="C27" i="2875"/>
  <c r="H10" i="2875"/>
  <c r="H28" i="2875"/>
  <c r="H27" i="2875"/>
  <c r="H26" i="2875"/>
  <c r="C23" i="2875"/>
  <c r="H25" i="2875"/>
  <c r="C22" i="2875"/>
  <c r="H24" i="2875"/>
  <c r="B21" i="2875"/>
  <c r="H23" i="2875"/>
  <c r="H22" i="2875"/>
  <c r="C19" i="2875"/>
  <c r="H21" i="2875"/>
  <c r="H20" i="2875"/>
  <c r="H19" i="2875"/>
  <c r="B16" i="2875"/>
  <c r="B20" i="2875" s="1"/>
  <c r="H18" i="2875"/>
  <c r="C15" i="2875"/>
  <c r="H17" i="2875"/>
  <c r="C14" i="2875"/>
  <c r="H16" i="2875"/>
  <c r="C13" i="2875"/>
  <c r="H15" i="2875"/>
  <c r="C12" i="2875"/>
  <c r="H5" i="2875"/>
  <c r="C11" i="2875"/>
  <c r="H13" i="2875"/>
  <c r="C10" i="2875"/>
  <c r="H7" i="2875"/>
  <c r="C9" i="2875"/>
  <c r="H9" i="2875"/>
  <c r="C8" i="2875"/>
  <c r="N7" i="2875"/>
  <c r="H8" i="2875"/>
  <c r="C7" i="2875"/>
  <c r="N6" i="2875"/>
  <c r="H3" i="2875"/>
  <c r="B6" i="2875"/>
  <c r="N5" i="2875"/>
  <c r="H6" i="2875"/>
  <c r="B5" i="2875"/>
  <c r="N4" i="2875"/>
  <c r="H2" i="2875"/>
  <c r="N3" i="2875"/>
  <c r="H12" i="2875"/>
  <c r="N2" i="2875"/>
  <c r="H4" i="2875"/>
  <c r="C18" i="2875" l="1"/>
  <c r="C16" i="2875"/>
  <c r="C17" i="2875"/>
  <c r="H51" i="2874" l="1"/>
  <c r="H50" i="2874"/>
  <c r="H49" i="2874"/>
  <c r="H48" i="2874"/>
  <c r="H47" i="2874"/>
  <c r="H46" i="2874"/>
  <c r="H45" i="2874"/>
  <c r="H44" i="2874"/>
  <c r="H43" i="2874"/>
  <c r="H42" i="2874"/>
  <c r="H41" i="2874"/>
  <c r="H40" i="2874"/>
  <c r="H39" i="2874"/>
  <c r="H38" i="2874"/>
  <c r="H37" i="2874"/>
  <c r="H36" i="2874"/>
  <c r="H35" i="2874"/>
  <c r="H34" i="2874"/>
  <c r="H23" i="2874"/>
  <c r="H33" i="2874"/>
  <c r="H22" i="2874"/>
  <c r="H32" i="2874"/>
  <c r="H9" i="2874"/>
  <c r="H31" i="2874"/>
  <c r="H30" i="2874"/>
  <c r="C27" i="2874"/>
  <c r="H12" i="2874"/>
  <c r="H29" i="2874"/>
  <c r="H21" i="2874"/>
  <c r="H15" i="2874"/>
  <c r="C23" i="2874"/>
  <c r="H28" i="2874"/>
  <c r="C22" i="2874"/>
  <c r="H17" i="2874"/>
  <c r="B21" i="2874"/>
  <c r="H27" i="2874"/>
  <c r="H26" i="2874"/>
  <c r="C19" i="2874"/>
  <c r="H20" i="2874"/>
  <c r="H13" i="2874"/>
  <c r="H19" i="2874"/>
  <c r="B16" i="2874"/>
  <c r="C17" i="2874" s="1"/>
  <c r="H25" i="2874"/>
  <c r="C15" i="2874"/>
  <c r="H18" i="2874"/>
  <c r="C14" i="2874"/>
  <c r="H24" i="2874"/>
  <c r="C13" i="2874"/>
  <c r="H14" i="2874"/>
  <c r="C12" i="2874"/>
  <c r="H4" i="2874"/>
  <c r="C11" i="2874"/>
  <c r="H16" i="2874"/>
  <c r="C10" i="2874"/>
  <c r="H10" i="2874"/>
  <c r="C9" i="2874"/>
  <c r="H8" i="2874"/>
  <c r="C8" i="2874"/>
  <c r="N7" i="2874"/>
  <c r="H7" i="2874"/>
  <c r="C7" i="2874"/>
  <c r="N6" i="2874"/>
  <c r="H2" i="2874"/>
  <c r="B6" i="2874"/>
  <c r="N5" i="2874"/>
  <c r="H6" i="2874"/>
  <c r="B5" i="2874"/>
  <c r="N4" i="2874"/>
  <c r="H3" i="2874"/>
  <c r="N3" i="2874"/>
  <c r="H11" i="2874"/>
  <c r="N2" i="2874"/>
  <c r="H5" i="2874"/>
  <c r="C16" i="2874" l="1"/>
  <c r="C18" i="2874"/>
  <c r="B20" i="2874"/>
  <c r="H51" i="2873" l="1"/>
  <c r="H50" i="2873"/>
  <c r="H49" i="2873"/>
  <c r="H48" i="2873"/>
  <c r="H47" i="2873"/>
  <c r="H46" i="2873"/>
  <c r="H45" i="2873"/>
  <c r="H44" i="2873"/>
  <c r="H43" i="2873"/>
  <c r="H42" i="2873"/>
  <c r="H41" i="2873"/>
  <c r="H40" i="2873"/>
  <c r="H39" i="2873"/>
  <c r="H38" i="2873"/>
  <c r="H37" i="2873"/>
  <c r="H36" i="2873"/>
  <c r="H35" i="2873"/>
  <c r="H34" i="2873"/>
  <c r="H33" i="2873"/>
  <c r="H32" i="2873"/>
  <c r="H31" i="2873"/>
  <c r="H30" i="2873"/>
  <c r="H29" i="2873"/>
  <c r="H28" i="2873"/>
  <c r="H27" i="2873"/>
  <c r="C27" i="2873"/>
  <c r="H26" i="2873"/>
  <c r="H25" i="2873"/>
  <c r="H24" i="2873"/>
  <c r="H23" i="2873"/>
  <c r="C23" i="2873"/>
  <c r="H22" i="2873"/>
  <c r="C22" i="2873"/>
  <c r="H21" i="2873"/>
  <c r="B21" i="2873"/>
  <c r="H20" i="2873"/>
  <c r="H19" i="2873"/>
  <c r="C19" i="2873"/>
  <c r="H18" i="2873"/>
  <c r="H17" i="2873"/>
  <c r="H16" i="2873"/>
  <c r="B16" i="2873"/>
  <c r="B20" i="2873" s="1"/>
  <c r="H15" i="2873"/>
  <c r="C15" i="2873"/>
  <c r="H14" i="2873"/>
  <c r="C14" i="2873"/>
  <c r="H13" i="2873"/>
  <c r="C13" i="2873"/>
  <c r="H12" i="2873"/>
  <c r="C12" i="2873"/>
  <c r="H11" i="2873"/>
  <c r="C11" i="2873"/>
  <c r="H10" i="2873"/>
  <c r="C10" i="2873"/>
  <c r="H9" i="2873"/>
  <c r="C9" i="2873"/>
  <c r="H8" i="2873"/>
  <c r="C8" i="2873"/>
  <c r="N7" i="2873"/>
  <c r="H7" i="2873"/>
  <c r="C7" i="2873"/>
  <c r="N6" i="2873"/>
  <c r="H6" i="2873"/>
  <c r="B6" i="2873"/>
  <c r="N5" i="2873"/>
  <c r="H5" i="2873"/>
  <c r="B5" i="2873"/>
  <c r="N4" i="2873"/>
  <c r="H4" i="2873"/>
  <c r="N3" i="2873"/>
  <c r="H3" i="2873"/>
  <c r="N2" i="2873"/>
  <c r="H2" i="2873"/>
  <c r="C16" i="2873" l="1"/>
  <c r="C17" i="2873"/>
  <c r="C18" i="2873"/>
  <c r="H51" i="2872" l="1"/>
  <c r="H50" i="2872"/>
  <c r="H49" i="2872"/>
  <c r="H48" i="2872"/>
  <c r="H47" i="2872"/>
  <c r="H46" i="2872"/>
  <c r="H45" i="2872"/>
  <c r="H44" i="2872"/>
  <c r="H43" i="2872"/>
  <c r="H42" i="2872"/>
  <c r="H41" i="2872"/>
  <c r="H40" i="2872"/>
  <c r="H39" i="2872"/>
  <c r="H38" i="2872"/>
  <c r="H37" i="2872"/>
  <c r="H36" i="2872"/>
  <c r="H35" i="2872"/>
  <c r="H34" i="2872"/>
  <c r="H33" i="2872"/>
  <c r="H32" i="2872"/>
  <c r="H16" i="2872"/>
  <c r="H31" i="2872"/>
  <c r="H10" i="2872"/>
  <c r="H30" i="2872"/>
  <c r="H29" i="2872"/>
  <c r="C27" i="2872"/>
  <c r="H14" i="2872"/>
  <c r="H28" i="2872"/>
  <c r="H21" i="2872"/>
  <c r="H20" i="2872"/>
  <c r="C23" i="2872"/>
  <c r="H27" i="2872"/>
  <c r="C22" i="2872"/>
  <c r="H15" i="2872"/>
  <c r="B21" i="2872"/>
  <c r="H26" i="2872"/>
  <c r="H25" i="2872"/>
  <c r="C19" i="2872"/>
  <c r="H24" i="2872"/>
  <c r="H13" i="2872"/>
  <c r="H19" i="2872"/>
  <c r="B16" i="2872"/>
  <c r="B20" i="2872" s="1"/>
  <c r="H23" i="2872"/>
  <c r="C15" i="2872"/>
  <c r="H18" i="2872"/>
  <c r="C14" i="2872"/>
  <c r="H17" i="2872"/>
  <c r="C13" i="2872"/>
  <c r="H22" i="2872"/>
  <c r="C12" i="2872"/>
  <c r="H5" i="2872"/>
  <c r="C11" i="2872"/>
  <c r="H12" i="2872"/>
  <c r="C10" i="2872"/>
  <c r="H11" i="2872"/>
  <c r="C9" i="2872"/>
  <c r="H8" i="2872"/>
  <c r="C8" i="2872"/>
  <c r="N7" i="2872"/>
  <c r="H7" i="2872"/>
  <c r="C7" i="2872"/>
  <c r="N6" i="2872"/>
  <c r="H2" i="2872"/>
  <c r="B6" i="2872"/>
  <c r="N5" i="2872"/>
  <c r="H6" i="2872"/>
  <c r="B5" i="2872"/>
  <c r="N4" i="2872"/>
  <c r="H3" i="2872"/>
  <c r="N3" i="2872"/>
  <c r="H9" i="2872"/>
  <c r="N2" i="2872"/>
  <c r="H4" i="2872"/>
  <c r="H51" i="2871"/>
  <c r="H50" i="2871"/>
  <c r="H49" i="2871"/>
  <c r="H48" i="2871"/>
  <c r="H47" i="2871"/>
  <c r="H46" i="2871"/>
  <c r="H45" i="2871"/>
  <c r="H44" i="2871"/>
  <c r="H43" i="2871"/>
  <c r="H42" i="2871"/>
  <c r="H41" i="2871"/>
  <c r="H40" i="2871"/>
  <c r="H39" i="2871"/>
  <c r="H38" i="2871"/>
  <c r="H37" i="2871"/>
  <c r="H36" i="2871"/>
  <c r="H35" i="2871"/>
  <c r="H34" i="2871"/>
  <c r="H33" i="2871"/>
  <c r="H32" i="2871"/>
  <c r="H31" i="2871"/>
  <c r="H30" i="2871"/>
  <c r="H10" i="2871"/>
  <c r="H29" i="2871"/>
  <c r="H28" i="2871"/>
  <c r="C27" i="2871"/>
  <c r="H14" i="2871"/>
  <c r="H27" i="2871"/>
  <c r="H26" i="2871"/>
  <c r="H18" i="2871"/>
  <c r="C23" i="2871"/>
  <c r="H25" i="2871"/>
  <c r="C22" i="2871"/>
  <c r="H17" i="2871"/>
  <c r="B21" i="2871"/>
  <c r="H24" i="2871"/>
  <c r="H23" i="2871"/>
  <c r="C19" i="2871"/>
  <c r="H13" i="2871"/>
  <c r="H12" i="2871"/>
  <c r="H22" i="2871"/>
  <c r="B16" i="2871"/>
  <c r="C17" i="2871" s="1"/>
  <c r="H21" i="2871"/>
  <c r="C15" i="2871"/>
  <c r="H16" i="2871"/>
  <c r="C14" i="2871"/>
  <c r="H20" i="2871"/>
  <c r="C13" i="2871"/>
  <c r="H19" i="2871"/>
  <c r="C12" i="2871"/>
  <c r="H4" i="2871"/>
  <c r="C11" i="2871"/>
  <c r="H15" i="2871"/>
  <c r="C10" i="2871"/>
  <c r="H11" i="2871"/>
  <c r="C9" i="2871"/>
  <c r="H9" i="2871"/>
  <c r="C8" i="2871"/>
  <c r="N7" i="2871"/>
  <c r="H7" i="2871"/>
  <c r="C7" i="2871"/>
  <c r="N6" i="2871"/>
  <c r="H2" i="2871"/>
  <c r="B6" i="2871"/>
  <c r="N5" i="2871"/>
  <c r="H8" i="2871"/>
  <c r="B5" i="2871"/>
  <c r="N4" i="2871"/>
  <c r="H3" i="2871"/>
  <c r="N3" i="2871"/>
  <c r="H6" i="2871"/>
  <c r="N2" i="2871"/>
  <c r="H5" i="2871"/>
  <c r="C17" i="2872" l="1"/>
  <c r="C16" i="2872"/>
  <c r="C18" i="2872"/>
  <c r="C16" i="2871"/>
  <c r="C18" i="2871"/>
  <c r="B20" i="2871"/>
  <c r="H51" i="2870" l="1"/>
  <c r="H50" i="2870"/>
  <c r="H49" i="2870"/>
  <c r="H48" i="2870"/>
  <c r="H47" i="2870"/>
  <c r="H46" i="2870"/>
  <c r="H45" i="2870"/>
  <c r="H44" i="2870"/>
  <c r="H43" i="2870"/>
  <c r="H42" i="2870"/>
  <c r="H41" i="2870"/>
  <c r="H40" i="2870"/>
  <c r="H39" i="2870"/>
  <c r="H38" i="2870"/>
  <c r="H37" i="2870"/>
  <c r="H36" i="2870"/>
  <c r="H35" i="2870"/>
  <c r="H34" i="2870"/>
  <c r="H33" i="2870"/>
  <c r="H32" i="2870"/>
  <c r="H31" i="2870"/>
  <c r="H30" i="2870"/>
  <c r="H29" i="2870"/>
  <c r="H28" i="2870"/>
  <c r="H27" i="2870"/>
  <c r="C27" i="2870"/>
  <c r="H11" i="2870"/>
  <c r="H26" i="2870"/>
  <c r="H25" i="2870"/>
  <c r="H24" i="2870"/>
  <c r="C23" i="2870"/>
  <c r="H23" i="2870"/>
  <c r="C22" i="2870"/>
  <c r="H22" i="2870"/>
  <c r="B21" i="2870"/>
  <c r="H21" i="2870"/>
  <c r="H20" i="2870"/>
  <c r="C19" i="2870"/>
  <c r="H8" i="2870"/>
  <c r="H19" i="2870"/>
  <c r="H18" i="2870"/>
  <c r="B16" i="2870"/>
  <c r="B20" i="2870" s="1"/>
  <c r="H17" i="2870"/>
  <c r="C15" i="2870"/>
  <c r="H16" i="2870"/>
  <c r="C14" i="2870"/>
  <c r="H15" i="2870"/>
  <c r="C13" i="2870"/>
  <c r="H14" i="2870"/>
  <c r="C12" i="2870"/>
  <c r="H5" i="2870"/>
  <c r="C11" i="2870"/>
  <c r="H13" i="2870"/>
  <c r="C10" i="2870"/>
  <c r="H12" i="2870"/>
  <c r="C9" i="2870"/>
  <c r="H10" i="2870"/>
  <c r="C8" i="2870"/>
  <c r="N7" i="2870"/>
  <c r="H6" i="2870"/>
  <c r="C7" i="2870"/>
  <c r="N6" i="2870"/>
  <c r="H3" i="2870"/>
  <c r="B6" i="2870"/>
  <c r="N5" i="2870"/>
  <c r="H7" i="2870"/>
  <c r="B5" i="2870"/>
  <c r="N4" i="2870"/>
  <c r="H9" i="2870"/>
  <c r="N3" i="2870"/>
  <c r="H4" i="2870"/>
  <c r="N2" i="2870"/>
  <c r="H2" i="2870"/>
  <c r="C16" i="2870" l="1"/>
  <c r="C17" i="2870"/>
  <c r="C18" i="2870"/>
  <c r="H51" i="2869" l="1"/>
  <c r="H50" i="2869"/>
  <c r="H49" i="2869"/>
  <c r="H48" i="2869"/>
  <c r="H47" i="2869"/>
  <c r="H46" i="2869"/>
  <c r="H45" i="2869"/>
  <c r="H44" i="2869"/>
  <c r="H43" i="2869"/>
  <c r="H42" i="2869"/>
  <c r="H41" i="2869"/>
  <c r="H40" i="2869"/>
  <c r="H39" i="2869"/>
  <c r="H38" i="2869"/>
  <c r="H37" i="2869"/>
  <c r="H36" i="2869"/>
  <c r="H35" i="2869"/>
  <c r="H34" i="2869"/>
  <c r="H17" i="2869"/>
  <c r="H33" i="2869"/>
  <c r="H32" i="2869"/>
  <c r="H31" i="2869"/>
  <c r="H13" i="2869"/>
  <c r="H30" i="2869"/>
  <c r="H29" i="2869"/>
  <c r="C27" i="2869"/>
  <c r="H12" i="2869"/>
  <c r="H28" i="2869"/>
  <c r="H27" i="2869"/>
  <c r="H11" i="2869"/>
  <c r="C23" i="2869"/>
  <c r="H26" i="2869"/>
  <c r="C22" i="2869"/>
  <c r="H14" i="2869"/>
  <c r="B21" i="2869"/>
  <c r="H25" i="2869"/>
  <c r="H24" i="2869"/>
  <c r="C19" i="2869"/>
  <c r="H23" i="2869"/>
  <c r="H16" i="2869"/>
  <c r="H22" i="2869"/>
  <c r="B16" i="2869"/>
  <c r="C17" i="2869" s="1"/>
  <c r="H21" i="2869"/>
  <c r="C15" i="2869"/>
  <c r="H20" i="2869"/>
  <c r="C14" i="2869"/>
  <c r="H19" i="2869"/>
  <c r="C13" i="2869"/>
  <c r="H18" i="2869"/>
  <c r="C12" i="2869"/>
  <c r="H4" i="2869"/>
  <c r="C11" i="2869"/>
  <c r="H15" i="2869"/>
  <c r="C10" i="2869"/>
  <c r="H9" i="2869"/>
  <c r="C9" i="2869"/>
  <c r="H8" i="2869"/>
  <c r="C8" i="2869"/>
  <c r="N7" i="2869"/>
  <c r="H7" i="2869"/>
  <c r="C7" i="2869"/>
  <c r="N6" i="2869"/>
  <c r="H3" i="2869"/>
  <c r="B6" i="2869"/>
  <c r="N5" i="2869"/>
  <c r="H6" i="2869"/>
  <c r="B5" i="2869"/>
  <c r="N4" i="2869"/>
  <c r="H2" i="2869"/>
  <c r="N3" i="2869"/>
  <c r="H10" i="2869"/>
  <c r="N2" i="2869"/>
  <c r="H5" i="2869"/>
  <c r="H51" i="2868"/>
  <c r="H50" i="2868"/>
  <c r="H49" i="2868"/>
  <c r="H48" i="2868"/>
  <c r="H47" i="2868"/>
  <c r="H46" i="2868"/>
  <c r="H45" i="2868"/>
  <c r="H44" i="2868"/>
  <c r="H43" i="2868"/>
  <c r="H42" i="2868"/>
  <c r="H41" i="2868"/>
  <c r="H40" i="2868"/>
  <c r="H39" i="2868"/>
  <c r="H38" i="2868"/>
  <c r="H37" i="2868"/>
  <c r="H36" i="2868"/>
  <c r="H35" i="2868"/>
  <c r="H34" i="2868"/>
  <c r="H33" i="2868"/>
  <c r="H20" i="2868"/>
  <c r="H14" i="2868"/>
  <c r="H32" i="2868"/>
  <c r="H8" i="2868"/>
  <c r="H24" i="2868"/>
  <c r="H23" i="2868"/>
  <c r="C27" i="2868"/>
  <c r="H12" i="2868"/>
  <c r="H19" i="2868"/>
  <c r="H22" i="2868"/>
  <c r="H13" i="2868"/>
  <c r="C23" i="2868"/>
  <c r="H31" i="2868"/>
  <c r="C22" i="2868"/>
  <c r="H15" i="2868"/>
  <c r="B21" i="2868"/>
  <c r="H21" i="2868"/>
  <c r="H30" i="2868"/>
  <c r="C19" i="2868"/>
  <c r="H18" i="2868"/>
  <c r="H17" i="2868"/>
  <c r="H29" i="2868"/>
  <c r="B16" i="2868"/>
  <c r="C17" i="2868" s="1"/>
  <c r="H28" i="2868"/>
  <c r="C15" i="2868"/>
  <c r="H27" i="2868"/>
  <c r="C14" i="2868"/>
  <c r="H26" i="2868"/>
  <c r="C13" i="2868"/>
  <c r="H25" i="2868"/>
  <c r="C12" i="2868"/>
  <c r="H5" i="2868"/>
  <c r="C11" i="2868"/>
  <c r="H16" i="2868"/>
  <c r="C10" i="2868"/>
  <c r="H10" i="2868"/>
  <c r="C9" i="2868"/>
  <c r="H9" i="2868"/>
  <c r="C8" i="2868"/>
  <c r="N7" i="2868"/>
  <c r="H6" i="2868"/>
  <c r="C7" i="2868"/>
  <c r="N6" i="2868"/>
  <c r="H2" i="2868"/>
  <c r="B6" i="2868"/>
  <c r="N5" i="2868"/>
  <c r="H7" i="2868"/>
  <c r="B5" i="2868"/>
  <c r="N4" i="2868"/>
  <c r="H3" i="2868"/>
  <c r="N3" i="2868"/>
  <c r="H11" i="2868"/>
  <c r="N2" i="2868"/>
  <c r="H4" i="2868"/>
  <c r="C16" i="2869" l="1"/>
  <c r="C18" i="2869"/>
  <c r="B20" i="2869"/>
  <c r="C16" i="2868"/>
  <c r="C18" i="2868"/>
  <c r="B20" i="2868"/>
  <c r="H51" i="2867" l="1"/>
  <c r="H50" i="2867"/>
  <c r="H49" i="2867"/>
  <c r="H48" i="2867"/>
  <c r="H47" i="2867"/>
  <c r="H46" i="2867"/>
  <c r="H45" i="2867"/>
  <c r="H44" i="2867"/>
  <c r="H43" i="2867"/>
  <c r="H42" i="2867"/>
  <c r="H41" i="2867"/>
  <c r="H40" i="2867"/>
  <c r="H39" i="2867"/>
  <c r="H38" i="2867"/>
  <c r="H37" i="2867"/>
  <c r="H36" i="2867"/>
  <c r="H35" i="2867"/>
  <c r="H34" i="2867"/>
  <c r="H33" i="2867"/>
  <c r="H32" i="2867"/>
  <c r="H31" i="2867"/>
  <c r="H30" i="2867"/>
  <c r="H29" i="2867"/>
  <c r="H28" i="2867"/>
  <c r="H27" i="2867"/>
  <c r="C27" i="2867"/>
  <c r="H26" i="2867"/>
  <c r="H25" i="2867"/>
  <c r="H24" i="2867"/>
  <c r="H23" i="2867"/>
  <c r="C23" i="2867"/>
  <c r="H22" i="2867"/>
  <c r="C22" i="2867"/>
  <c r="H21" i="2867"/>
  <c r="B21" i="2867"/>
  <c r="H20" i="2867"/>
  <c r="H19" i="2867"/>
  <c r="C19" i="2867"/>
  <c r="H18" i="2867"/>
  <c r="H17" i="2867"/>
  <c r="H16" i="2867"/>
  <c r="B16" i="2867"/>
  <c r="C17" i="2867" s="1"/>
  <c r="H15" i="2867"/>
  <c r="C15" i="2867"/>
  <c r="H14" i="2867"/>
  <c r="C14" i="2867"/>
  <c r="H13" i="2867"/>
  <c r="C13" i="2867"/>
  <c r="H12" i="2867"/>
  <c r="C12" i="2867"/>
  <c r="H11" i="2867"/>
  <c r="C11" i="2867"/>
  <c r="H5" i="2867"/>
  <c r="C10" i="2867"/>
  <c r="H10" i="2867"/>
  <c r="C9" i="2867"/>
  <c r="H4" i="2867"/>
  <c r="C8" i="2867"/>
  <c r="N7" i="2867"/>
  <c r="H9" i="2867"/>
  <c r="C7" i="2867"/>
  <c r="N6" i="2867"/>
  <c r="H8" i="2867"/>
  <c r="B6" i="2867"/>
  <c r="N5" i="2867"/>
  <c r="H2" i="2867"/>
  <c r="B5" i="2867"/>
  <c r="N4" i="2867"/>
  <c r="H7" i="2867"/>
  <c r="N3" i="2867"/>
  <c r="H6" i="2867"/>
  <c r="N2" i="2867"/>
  <c r="H3" i="2867"/>
  <c r="H51" i="2866"/>
  <c r="H50" i="2866"/>
  <c r="H49" i="2866"/>
  <c r="H48" i="2866"/>
  <c r="H47" i="2866"/>
  <c r="H46" i="2866"/>
  <c r="H45" i="2866"/>
  <c r="H44" i="2866"/>
  <c r="H43" i="2866"/>
  <c r="H42" i="2866"/>
  <c r="H41" i="2866"/>
  <c r="H40" i="2866"/>
  <c r="H39" i="2866"/>
  <c r="H38" i="2866"/>
  <c r="H37" i="2866"/>
  <c r="H36" i="2866"/>
  <c r="H35" i="2866"/>
  <c r="H34" i="2866"/>
  <c r="H33" i="2866"/>
  <c r="H32" i="2866"/>
  <c r="H31" i="2866"/>
  <c r="H30" i="2866"/>
  <c r="H29" i="2866"/>
  <c r="H28" i="2866"/>
  <c r="H27" i="2866"/>
  <c r="C27" i="2866"/>
  <c r="H26" i="2866"/>
  <c r="H25" i="2866"/>
  <c r="H24" i="2866"/>
  <c r="H23" i="2866"/>
  <c r="C23" i="2866"/>
  <c r="H22" i="2866"/>
  <c r="C22" i="2866"/>
  <c r="H21" i="2866"/>
  <c r="B21" i="2866"/>
  <c r="H20" i="2866"/>
  <c r="H19" i="2866"/>
  <c r="C19" i="2866"/>
  <c r="H18" i="2866"/>
  <c r="H17" i="2866"/>
  <c r="H16" i="2866"/>
  <c r="B16" i="2866"/>
  <c r="C17" i="2866" s="1"/>
  <c r="H15" i="2866"/>
  <c r="C15" i="2866"/>
  <c r="H14" i="2866"/>
  <c r="C14" i="2866"/>
  <c r="H13" i="2866"/>
  <c r="C13" i="2866"/>
  <c r="H12" i="2866"/>
  <c r="C12" i="2866"/>
  <c r="H11" i="2866"/>
  <c r="C11" i="2866"/>
  <c r="H10" i="2866"/>
  <c r="C10" i="2866"/>
  <c r="H9" i="2866"/>
  <c r="C9" i="2866"/>
  <c r="H8" i="2866"/>
  <c r="C8" i="2866"/>
  <c r="N7" i="2866"/>
  <c r="H7" i="2866"/>
  <c r="C7" i="2866"/>
  <c r="N6" i="2866"/>
  <c r="H6" i="2866"/>
  <c r="B6" i="2866"/>
  <c r="N5" i="2866"/>
  <c r="H5" i="2866"/>
  <c r="B5" i="2866"/>
  <c r="N4" i="2866"/>
  <c r="H4" i="2866"/>
  <c r="N3" i="2866"/>
  <c r="H3" i="2866"/>
  <c r="N2" i="2866"/>
  <c r="H2" i="2866"/>
  <c r="H51" i="2865"/>
  <c r="H50" i="2865"/>
  <c r="H49" i="2865"/>
  <c r="H48" i="2865"/>
  <c r="H47" i="2865"/>
  <c r="H26" i="2865"/>
  <c r="H46" i="2865"/>
  <c r="H45" i="2865"/>
  <c r="H44" i="2865"/>
  <c r="H43" i="2865"/>
  <c r="H42" i="2865"/>
  <c r="H41" i="2865"/>
  <c r="H40" i="2865"/>
  <c r="H39" i="2865"/>
  <c r="H38" i="2865"/>
  <c r="H37" i="2865"/>
  <c r="H36" i="2865"/>
  <c r="H35" i="2865"/>
  <c r="H34" i="2865"/>
  <c r="H21" i="2865"/>
  <c r="H20" i="2865"/>
  <c r="H25" i="2865"/>
  <c r="H8" i="2865"/>
  <c r="H33" i="2865"/>
  <c r="H19" i="2865"/>
  <c r="C27" i="2865"/>
  <c r="H13" i="2865"/>
  <c r="H24" i="2865"/>
  <c r="H32" i="2865"/>
  <c r="H14" i="2865"/>
  <c r="C23" i="2865"/>
  <c r="H31" i="2865"/>
  <c r="C22" i="2865"/>
  <c r="H15" i="2865"/>
  <c r="B21" i="2865"/>
  <c r="H30" i="2865"/>
  <c r="H29" i="2865"/>
  <c r="C19" i="2865"/>
  <c r="H23" i="2865"/>
  <c r="H22" i="2865"/>
  <c r="H17" i="2865"/>
  <c r="B16" i="2865"/>
  <c r="C17" i="2865" s="1"/>
  <c r="H28" i="2865"/>
  <c r="C15" i="2865"/>
  <c r="H18" i="2865"/>
  <c r="C14" i="2865"/>
  <c r="H27" i="2865"/>
  <c r="C13" i="2865"/>
  <c r="H16" i="2865"/>
  <c r="C12" i="2865"/>
  <c r="H4" i="2865"/>
  <c r="C11" i="2865"/>
  <c r="H12" i="2865"/>
  <c r="C10" i="2865"/>
  <c r="H11" i="2865"/>
  <c r="C9" i="2865"/>
  <c r="H9" i="2865"/>
  <c r="C8" i="2865"/>
  <c r="N7" i="2865"/>
  <c r="H6" i="2865"/>
  <c r="C7" i="2865"/>
  <c r="N6" i="2865"/>
  <c r="H2" i="2865"/>
  <c r="B6" i="2865"/>
  <c r="N5" i="2865"/>
  <c r="H7" i="2865"/>
  <c r="B5" i="2865"/>
  <c r="N4" i="2865"/>
  <c r="H3" i="2865"/>
  <c r="N3" i="2865"/>
  <c r="H10" i="2865"/>
  <c r="N2" i="2865"/>
  <c r="H5" i="2865"/>
  <c r="C16" i="2866" l="1"/>
  <c r="C16" i="2867"/>
  <c r="C18" i="2867"/>
  <c r="B20" i="2867"/>
  <c r="C18" i="2866"/>
  <c r="B20" i="2866"/>
  <c r="C16" i="2865"/>
  <c r="C18" i="2865"/>
  <c r="B20" i="2865"/>
  <c r="C27" i="2228" l="1"/>
  <c r="C13" i="2228" l="1"/>
  <c r="C12" i="2228"/>
  <c r="C19" i="2228" l="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26" i="2416"/>
  <c r="D23" i="2416"/>
  <c r="D17" i="2416"/>
  <c r="D28" i="2416"/>
  <c r="D9" i="2416"/>
  <c r="D30" i="2416"/>
  <c r="D24" i="2416"/>
  <c r="D12" i="2416"/>
  <c r="D22" i="2416"/>
  <c r="D25" i="2416"/>
  <c r="D14" i="2416"/>
  <c r="D34" i="2416"/>
  <c r="D15" i="2416"/>
  <c r="D27" i="2416"/>
  <c r="D33" i="2416"/>
  <c r="D18" i="2416"/>
  <c r="D16" i="2416"/>
  <c r="D20" i="2416"/>
  <c r="D32" i="2416"/>
  <c r="D21" i="2416"/>
  <c r="D29" i="2416"/>
  <c r="D19" i="2416"/>
  <c r="D4" i="2416"/>
  <c r="D13" i="2416"/>
  <c r="D11" i="2416"/>
  <c r="D8" i="2416"/>
  <c r="D6" i="2416"/>
  <c r="D7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<sst xmlns="http://schemas.openxmlformats.org/spreadsheetml/2006/main" count="2429" uniqueCount="229">
  <si>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</si>
  <si>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</si>
  <si>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</si>
  <si>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</si>
  <si>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</si>
  <si>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</si>
  <si>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</si>
  <si>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</si>
  <si>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</si>
  <si>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</si>
  <si>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</si>
  <si>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</si>
  <si>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</si>
  <si>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</si>
  <si>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</si>
  <si>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</si>
  <si>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</si>
  <si>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</si>
  <si>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</si>
  <si>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</si>
  <si>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</si>
  <si>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</si>
  <si>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</si>
  <si>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</si>
  <si>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</si>
  <si>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</si>
  <si>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</si>
  <si>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</si>
  <si>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</si>
  <si>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</si>
  <si>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</si>
  <si>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</si>
  <si>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</si>
  <si>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</si>
  <si>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</si>
  <si>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</si>
  <si>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</si>
  <si>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</si>
  <si>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</si>
  <si>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</si>
  <si>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</si>
  <si>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</si>
  <si>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</si>
  <si>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</si>
  <si>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</si>
  <si>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</si>
  <si>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</si>
  <si>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</si>
  <si>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</si>
  <si>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</si>
  <si>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</si>
  <si>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</si>
  <si>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</si>
  <si>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</si>
  <si>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</si>
  <si>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</si>
  <si>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</si>
  <si>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</si>
  <si>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</si>
  <si>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</si>
  <si>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</si>
  <si>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</si>
  <si>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</si>
  <si>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</si>
  <si>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</si>
  <si>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</si>
  <si>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</si>
  <si>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</si>
  <si>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</si>
  <si>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</si>
  <si>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</si>
  <si>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</si>
  <si>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</si>
  <si>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</si>
  <si>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</si>
  <si>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</si>
  <si>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</si>
  <si>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</si>
  <si>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</si>
  <si>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</si>
  <si>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</si>
  <si>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</si>
  <si>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</si>
  <si>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</si>
  <si>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</si>
  <si>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</si>
  <si>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</si>
  <si>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</si>
  <si>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</si>
  <si>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</si>
  <si>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</si>
  <si>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</si>
  <si>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</si>
  <si>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</si>
  <si>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</si>
  <si>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</si>
  <si>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</si>
  <si>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</si>
  <si>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</si>
  <si>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</si>
  <si>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</si>
  <si>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</si>
  <si>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</si>
  <si>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</si>
  <si>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</si>
  <si>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</si>
  <si>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</si>
  <si>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</si>
  <si>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</si>
  <si>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</si>
  <si>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</si>
  <si>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</si>
  <si>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</si>
  <si>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</si>
  <si>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</si>
  <si>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</si>
  <si>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</si>
  <si>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</si>
  <si>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</si>
  <si>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</si>
  <si>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</si>
  <si>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</si>
  <si>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</si>
  <si>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</si>
  <si>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</si>
  <si>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</si>
  <si>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</si>
  <si>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</si>
  <si>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</si>
  <si>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</si>
  <si>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</si>
  <si>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</si>
  <si>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</si>
  <si>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</si>
  <si>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</si>
  <si>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</si>
  <si>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</si>
  <si>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</si>
  <si>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</si>
  <si>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</si>
  <si>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</si>
  <si>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</si>
  <si>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</si>
  <si>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</si>
  <si>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</si>
  <si>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</si>
  <si>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</si>
  <si>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</si>
  <si>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</si>
  <si>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</si>
  <si>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</si>
  <si>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</si>
  <si>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</si>
  <si>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</si>
  <si>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</si>
  <si>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</si>
  <si>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</si>
  <si>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</si>
  <si>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</si>
  <si>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</si>
  <si>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</si>
  <si>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</si>
  <si>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</si>
  <si>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</si>
  <si>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</si>
  <si>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</si>
  <si>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</si>
  <si>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</si>
  <si>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</si>
  <si>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</si>
  <si>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</si>
  <si>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</si>
  <si>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</si>
  <si>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</si>
  <si>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</si>
  <si>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</si>
  <si>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</si>
  <si>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</si>
  <si>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</si>
  <si>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</si>
  <si>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</si>
  <si>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</si>
  <si>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</si>
  <si>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</si>
  <si>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</si>
  <si>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</si>
  <si>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</si>
  <si>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</si>
  <si>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</si>
  <si>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</si>
  <si>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</si>
  <si>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</si>
  <si>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</si>
  <si>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</si>
  <si>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あさひ</t>
  </si>
  <si>
    <t>まっつん</t>
  </si>
  <si>
    <t>ツモ</t>
  </si>
  <si>
    <t>国士13面</t>
  </si>
  <si>
    <t>四暗刻単騎</t>
  </si>
  <si>
    <t>純正九蓮</t>
  </si>
  <si>
    <t>01</t>
  </si>
  <si>
    <t>02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</si>
  <si>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</si>
  <si>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</si>
  <si>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チョンボ</t>
    <phoneticPr fontId="1"/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</si>
  <si>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</si>
  <si>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</si>
  <si>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</si>
  <si>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</si>
  <si>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</si>
  <si>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</si>
  <si>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</si>
  <si>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</si>
  <si>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</si>
  <si>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</si>
  <si>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</si>
  <si>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</si>
  <si>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</si>
  <si>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</si>
  <si>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</si>
  <si>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</si>
  <si>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</si>
  <si>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</si>
  <si>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</si>
  <si>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ツモ率</t>
    <rPh sb="2" eb="3">
      <t>リツ</t>
    </rPh>
    <phoneticPr fontId="1"/>
  </si>
  <si>
    <t>2019-01-20.xlsm</t>
  </si>
  <si>
    <t>2019-01-21.xlsm</t>
  </si>
  <si>
    <t>2019-01-22.xlsm</t>
  </si>
  <si>
    <t>2019-01-23.xlsm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</si>
</sst>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00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76" fontId="0" fillId="0" borderId="5" xfId="0" applyNumberFormat="1" applyBorder="1" applyAlignment="1">
      <alignment horizontal="center" vertical="center" shrinkToFit="1"/>
    </xf>
    <xf numFmtId="176" fontId="0" fillId="0" borderId="15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9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だいち!$J$2:$J$157</c:f>
              <c:numCache>
                <c:formatCode>General</c:formatCode>
                <c:ptCount val="1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</c:numCache>
            </c:numRef>
          </c:xVal>
          <c:yVal>
            <c:numRef>
              <c:f>だいち!$K$2:$K$157</c:f>
              <c:numCache>
                <c:formatCode>\+0;\-0;\±0</c:formatCode>
                <c:ptCount val="15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F-4486-8402-D11E212297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658.27814569536429</c:v>
                </c:pt>
                <c:pt idx="1">
                  <c:v>1421.5277777777778</c:v>
                </c:pt>
                <c:pt idx="2">
                  <c:v>1390.9774436090227</c:v>
                </c:pt>
                <c:pt idx="3">
                  <c:v>1752.1008403361345</c:v>
                </c:pt>
                <c:pt idx="4">
                  <c:v>775</c:v>
                </c:pt>
                <c:pt idx="5">
                  <c:v>359.21052631578948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85-4DC5-B63A-A2C68EAB3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53-4F05-B041-EA55DC94A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9F-4183-858D-91A0B0EF34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ともき!$K$2:$K$5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04-49C6-941E-B6EC557FE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1-4DCE-BA1D-847D000B9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りくと!$K$2:$K$104</c:f>
              <c:numCache>
                <c:formatCode>\+0;\-0;\±0</c:formatCode>
                <c:ptCount val="10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4-4FB7-89E4-43E1011C0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-229</c:v>
                </c:pt>
                <c:pt idx="1">
                  <c:v>-1920.8333333333333</c:v>
                </c:pt>
                <c:pt idx="2">
                  <c:v>2396.7741935483873</c:v>
                </c:pt>
                <c:pt idx="3">
                  <c:v>-2029.2682926829268</c:v>
                </c:pt>
                <c:pt idx="4">
                  <c:v>-2465.6716417910447</c:v>
                </c:pt>
                <c:pt idx="5">
                  <c:v>-2373.0769230769229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98-4242-9631-D8AEA1C8E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いっしー!$K$2:$K$56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F2-4709-B682-BE77FEDF6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C9-4E20-927D-F26569D9C3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FE-4474-B06A-816FC069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BA-4162-B5C7-4A7CF0663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たかの!$K$2:$K$50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  <c:pt idx="45">
                  <c:v>-215.2</c:v>
                </c:pt>
                <c:pt idx="46">
                  <c:v>-252.39999999999998</c:v>
                </c:pt>
                <c:pt idx="47">
                  <c:v>-293.7</c:v>
                </c:pt>
                <c:pt idx="48">
                  <c:v>-297.89999999999998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EC-4421-9DCF-92CEFCB9DB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-2650</c:v>
                </c:pt>
                <c:pt idx="1">
                  <c:v>-2593.3333333333335</c:v>
                </c:pt>
                <c:pt idx="2">
                  <c:v>-1102.5641025641025</c:v>
                </c:pt>
                <c:pt idx="3">
                  <c:v>1729.7297297297298</c:v>
                </c:pt>
                <c:pt idx="4">
                  <c:v>-2764.2857142857142</c:v>
                </c:pt>
                <c:pt idx="5">
                  <c:v>109.09090909090909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F6-4086-8ED6-4EFC0E4B0E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ただ!$K$2:$K$63</c:f>
              <c:numCache>
                <c:formatCode>\+0;\-0;\±0</c:formatCode>
                <c:ptCount val="6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  <c:pt idx="52">
                  <c:v>177.19999999999996</c:v>
                </c:pt>
                <c:pt idx="53">
                  <c:v>176.79999999999995</c:v>
                </c:pt>
                <c:pt idx="54">
                  <c:v>194.89999999999995</c:v>
                </c:pt>
                <c:pt idx="55">
                  <c:v>217.69999999999996</c:v>
                </c:pt>
                <c:pt idx="56">
                  <c:v>204.89999999999995</c:v>
                </c:pt>
                <c:pt idx="57">
                  <c:v>240.89999999999995</c:v>
                </c:pt>
                <c:pt idx="58">
                  <c:v>191.79999999999995</c:v>
                </c:pt>
                <c:pt idx="59">
                  <c:v>189.19999999999996</c:v>
                </c:pt>
                <c:pt idx="60">
                  <c:v>201.69999999999996</c:v>
                </c:pt>
                <c:pt idx="61">
                  <c:v>213.99999999999997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08-4605-9BFF-13391D25F3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4071.1864406779659</c:v>
                </c:pt>
                <c:pt idx="1">
                  <c:v>-318.18181818181819</c:v>
                </c:pt>
                <c:pt idx="2">
                  <c:v>552</c:v>
                </c:pt>
                <c:pt idx="3">
                  <c:v>-1129.7872340425531</c:v>
                </c:pt>
                <c:pt idx="4">
                  <c:v>-92.10526315789474</c:v>
                </c:pt>
                <c:pt idx="5">
                  <c:v>-618.18181818181813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A1-4A83-9FAE-8B777CE8F6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C0-4F08-8604-0351322FF2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95-4812-ABBA-D0A12D90C3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れんたろう!$K$2:$K$64</c:f>
              <c:numCache>
                <c:formatCode>\+0;\-0;\±0</c:formatCode>
                <c:ptCount val="6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B2-4425-9F6E-6B70D585B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-1720.6896551724137</c:v>
                </c:pt>
                <c:pt idx="1">
                  <c:v>-1350</c:v>
                </c:pt>
                <c:pt idx="2">
                  <c:v>-3441.818181818182</c:v>
                </c:pt>
                <c:pt idx="3">
                  <c:v>-931.37254901960785</c:v>
                </c:pt>
                <c:pt idx="4">
                  <c:v>-1878.7234042553191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CD-4B69-A003-15B7166819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52-420E-AA5E-86A5FADED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2-4965-BDED-717FD1E67F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まっつん!$J$2:$J$19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</c:numCache>
            </c:numRef>
          </c:xVal>
          <c:yVal>
            <c:numRef>
              <c:f>まっつん!$K$2:$K$19</c:f>
              <c:numCache>
                <c:formatCode>\+0;\-0;\±0</c:formatCode>
                <c:ptCount val="1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1E-4366-B8A9-9F61ADA5AF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-3958.8235294117649</c:v>
                </c:pt>
                <c:pt idx="1">
                  <c:v>3958.8235294117649</c:v>
                </c:pt>
                <c:pt idx="2">
                  <c:v>-642.85714285714289</c:v>
                </c:pt>
                <c:pt idx="3">
                  <c:v>176.92307692307693</c:v>
                </c:pt>
                <c:pt idx="4">
                  <c:v>-1133.3333333333333</c:v>
                </c:pt>
                <c:pt idx="5">
                  <c:v>-2166.6666666666665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34-4331-B64B-2BA346C661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8D28539-CDB2-4B6C-8C19-3A1FB3407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3BC2077-235D-4228-8D58-A9E670EAC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49EA7C6-A16B-4DA5-80A5-BC8E6F1C92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9D4B54D-1AE9-4C88-8234-E4D7C70A6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F4EA333-B714-43CB-8B21-FDC235E508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C4EC6E6-DDD1-4C1C-94E3-9D0F8948EF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A9A7451-5DAB-455F-8FFB-084E12905A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9540493-01F8-4559-8EE3-D98EFE268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F5E001B-F14B-4A9D-B3A8-127B212F44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F392CA1-3640-4D4B-85F6-D1E9A0EBA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FB44851-0C1B-4EDD-8C24-D2D9B7855D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40639CE-92AA-49AB-BA5B-FC67D93C6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6997386-4F0B-48B9-BEC2-22E0409AA7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83FCD3D-EB6E-471E-8E9F-591937ED7A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FFA5961-5864-46BE-8406-9DCDEAB932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9EFF877-27C3-416C-AEB9-FDD0CB1197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C4A21A-53D1-4CB5-8093-A95EDF5DFB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3FF9BC3-C241-4F20-AA96-ADE7E9349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0BD59C9-8227-49AE-B07E-E30888CBD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F393308-119A-4AF6-AB76-8CF9E6D71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B2AA690-6DBF-429C-BE81-AB7937C17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6F0BDFB-CBA1-4FCB-A7B7-650441531B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C53E2D-AF54-4A7B-A76F-4EFFACA750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B365C14-2D3D-4342-A6B6-C4D9D4196D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K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16" customWidth="1"/>
    <col min="34" max="34" width="10.75" style="1" customWidth="1"/>
    <col min="35" max="35" width="10.75" style="77" customWidth="1"/>
    <col min="36" max="36" width="10.75" style="1" customWidth="1"/>
    <col min="37" max="37" width="10.75" style="81" customWidth="1"/>
    <col min="38" max="16384" width="9" style="4"/>
  </cols>
  <sheetData>
    <row r="1" spans="1:37" x14ac:dyDescent="0.4">
      <c r="A1" s="14"/>
      <c r="B1" s="84" t="s">
        <v>6</v>
      </c>
      <c r="C1" s="85"/>
      <c r="D1" s="84" t="s">
        <v>7</v>
      </c>
      <c r="E1" s="85"/>
      <c r="F1" s="84" t="s">
        <v>16</v>
      </c>
      <c r="G1" s="85"/>
      <c r="H1" s="84" t="s">
        <v>15</v>
      </c>
      <c r="I1" s="85"/>
      <c r="J1" s="84" t="s">
        <v>17</v>
      </c>
      <c r="K1" s="85"/>
      <c r="L1" s="84" t="s">
        <v>18</v>
      </c>
      <c r="M1" s="85"/>
      <c r="N1" s="84" t="s">
        <v>5</v>
      </c>
      <c r="O1" s="85"/>
      <c r="P1" s="84" t="s">
        <v>19</v>
      </c>
      <c r="Q1" s="85"/>
      <c r="R1" s="84" t="s">
        <v>20</v>
      </c>
      <c r="S1" s="85"/>
      <c r="T1" s="84" t="s">
        <v>192</v>
      </c>
      <c r="U1" s="85"/>
      <c r="V1" s="84" t="s">
        <v>131</v>
      </c>
      <c r="W1" s="85"/>
      <c r="X1" s="84" t="s">
        <v>126</v>
      </c>
      <c r="Y1" s="85"/>
      <c r="Z1" s="84" t="s">
        <v>134</v>
      </c>
      <c r="AA1" s="85"/>
      <c r="AB1" s="84" t="s">
        <v>135</v>
      </c>
      <c r="AC1" s="85"/>
      <c r="AD1" s="84" t="s">
        <v>224</v>
      </c>
      <c r="AE1" s="85"/>
      <c r="AF1" s="84" t="s">
        <v>180</v>
      </c>
      <c r="AG1" s="85"/>
      <c r="AH1" s="84" t="s">
        <v>203</v>
      </c>
      <c r="AI1" s="85"/>
      <c r="AJ1" s="84" t="s">
        <v>204</v>
      </c>
      <c r="AK1" s="85"/>
    </row>
    <row r="2" spans="1:37" x14ac:dyDescent="0.4">
      <c r="A2" s="8">
        <v>1</v>
      </c>
      <c r="B2" s="9" t="s">
        <v>137</v>
      </c>
      <c r="C2" s="11">
        <v>838.4000000000002</v>
      </c>
      <c r="D2" s="10" t="s">
        <v>194</v>
      </c>
      <c r="E2" s="11">
        <v>17.8</v>
      </c>
      <c r="F2" s="10" t="s">
        <v>194</v>
      </c>
      <c r="G2" s="12">
        <v>1.6</v>
      </c>
      <c r="H2" s="10" t="s">
        <v>194</v>
      </c>
      <c r="I2" s="17">
        <v>0.6</v>
      </c>
      <c r="J2" s="10" t="s">
        <v>194</v>
      </c>
      <c r="K2" s="15">
        <v>0.39130434782608697</v>
      </c>
      <c r="L2" s="10" t="s">
        <v>194</v>
      </c>
      <c r="M2" s="15">
        <v>6.5217391304347824E-2</v>
      </c>
      <c r="N2" s="10" t="s">
        <v>141</v>
      </c>
      <c r="O2" s="13">
        <v>11441.116751269035</v>
      </c>
      <c r="P2" s="10" t="s">
        <v>194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0.45454545454545453</v>
      </c>
      <c r="X2" s="10" t="s">
        <v>195</v>
      </c>
      <c r="Y2" s="15">
        <v>0.38059701492537312</v>
      </c>
      <c r="Z2" s="10" t="s">
        <v>145</v>
      </c>
      <c r="AA2" s="15">
        <v>0.75</v>
      </c>
      <c r="AB2" s="10" t="s">
        <v>194</v>
      </c>
      <c r="AC2" s="15">
        <v>0.5</v>
      </c>
      <c r="AD2" s="10" t="s">
        <v>138</v>
      </c>
      <c r="AE2" s="15">
        <v>1</v>
      </c>
      <c r="AF2" s="10" t="s">
        <v>194</v>
      </c>
      <c r="AG2" s="15">
        <v>0.46666666666666667</v>
      </c>
      <c r="AH2" s="10" t="s">
        <v>137</v>
      </c>
      <c r="AI2" s="76">
        <v>10</v>
      </c>
      <c r="AJ2" s="10" t="s">
        <v>160</v>
      </c>
      <c r="AK2" s="80">
        <v>5</v>
      </c>
    </row>
    <row r="3" spans="1:37" x14ac:dyDescent="0.4">
      <c r="A3" s="7">
        <v>2</v>
      </c>
      <c r="B3" s="6" t="s">
        <v>142</v>
      </c>
      <c r="C3" s="3">
        <v>250.50000000000003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142</v>
      </c>
      <c r="K3" s="16">
        <v>0.35584415584415585</v>
      </c>
      <c r="L3" s="1" t="s">
        <v>139</v>
      </c>
      <c r="M3" s="16">
        <v>0.125</v>
      </c>
      <c r="N3" s="1" t="s">
        <v>156</v>
      </c>
      <c r="O3" s="2">
        <v>10857.142857142857</v>
      </c>
      <c r="P3" s="1" t="s">
        <v>138</v>
      </c>
      <c r="Q3" s="2">
        <v>-8240</v>
      </c>
      <c r="R3" s="1" t="s">
        <v>194</v>
      </c>
      <c r="S3" s="18">
        <v>0</v>
      </c>
      <c r="T3" s="1" t="s">
        <v>137</v>
      </c>
      <c r="U3" s="18">
        <v>0.20645161290322581</v>
      </c>
      <c r="V3" s="1" t="s">
        <v>194</v>
      </c>
      <c r="W3" s="16">
        <v>0.43478260869565216</v>
      </c>
      <c r="X3" s="1" t="s">
        <v>142</v>
      </c>
      <c r="Y3" s="16">
        <v>0.32653061224489793</v>
      </c>
      <c r="Z3" s="1" t="s">
        <v>142</v>
      </c>
      <c r="AA3" s="16">
        <v>0.66666666666666663</v>
      </c>
      <c r="AB3" s="1" t="s">
        <v>137</v>
      </c>
      <c r="AC3" s="16">
        <v>0.46496815286624205</v>
      </c>
      <c r="AD3" s="1" t="s">
        <v>160</v>
      </c>
      <c r="AE3" s="16">
        <v>0.47058823529411764</v>
      </c>
      <c r="AF3" s="1" t="s">
        <v>145</v>
      </c>
      <c r="AG3" s="16">
        <v>0.46153846153846156</v>
      </c>
      <c r="AH3" s="1" t="s">
        <v>141</v>
      </c>
      <c r="AI3" s="77">
        <v>10</v>
      </c>
      <c r="AJ3" s="1" t="s">
        <v>141</v>
      </c>
      <c r="AK3" s="81">
        <v>4</v>
      </c>
    </row>
    <row r="4" spans="1:37" x14ac:dyDescent="0.4">
      <c r="A4" s="7">
        <v>3</v>
      </c>
      <c r="B4" s="6" t="s">
        <v>149</v>
      </c>
      <c r="C4" s="3">
        <v>213.99999999999997</v>
      </c>
      <c r="D4" s="1" t="s">
        <v>137</v>
      </c>
      <c r="E4" s="3">
        <v>5.4090322580645172</v>
      </c>
      <c r="F4" s="1" t="s">
        <v>137</v>
      </c>
      <c r="G4" s="5">
        <v>1.832258064516129</v>
      </c>
      <c r="H4" s="1" t="s">
        <v>149</v>
      </c>
      <c r="I4" s="18">
        <v>0.4098360655737705</v>
      </c>
      <c r="J4" s="1" t="s">
        <v>137</v>
      </c>
      <c r="K4" s="16">
        <v>0.35345581802274717</v>
      </c>
      <c r="L4" s="1" t="s">
        <v>156</v>
      </c>
      <c r="M4" s="16">
        <v>0.13414634146341464</v>
      </c>
      <c r="N4" s="1" t="s">
        <v>160</v>
      </c>
      <c r="O4" s="2">
        <v>10600</v>
      </c>
      <c r="P4" s="1" t="s">
        <v>195</v>
      </c>
      <c r="Q4" s="2">
        <v>-8429.1666666666661</v>
      </c>
      <c r="R4" s="1" t="s">
        <v>137</v>
      </c>
      <c r="S4" s="18">
        <v>0.11612903225806452</v>
      </c>
      <c r="T4" s="1" t="s">
        <v>145</v>
      </c>
      <c r="U4" s="18">
        <v>0.2</v>
      </c>
      <c r="V4" s="1" t="s">
        <v>149</v>
      </c>
      <c r="W4" s="16">
        <v>0.32826747720364741</v>
      </c>
      <c r="X4" s="1" t="s">
        <v>148</v>
      </c>
      <c r="Y4" s="16">
        <v>0.27717391304347827</v>
      </c>
      <c r="Z4" s="1" t="s">
        <v>137</v>
      </c>
      <c r="AA4" s="16">
        <v>0.65803108808290156</v>
      </c>
      <c r="AB4" s="1" t="s">
        <v>149</v>
      </c>
      <c r="AC4" s="16">
        <v>0.39189189189189189</v>
      </c>
      <c r="AD4" s="1" t="s">
        <v>156</v>
      </c>
      <c r="AE4" s="16">
        <v>0.4642857142857143</v>
      </c>
      <c r="AF4" s="1" t="s">
        <v>156</v>
      </c>
      <c r="AG4" s="16">
        <v>0.45454545454545453</v>
      </c>
      <c r="AH4" s="1" t="s">
        <v>149</v>
      </c>
      <c r="AI4" s="77">
        <v>9</v>
      </c>
      <c r="AJ4" s="1" t="s">
        <v>149</v>
      </c>
      <c r="AK4" s="81">
        <v>3</v>
      </c>
    </row>
    <row r="5" spans="1:37" x14ac:dyDescent="0.4">
      <c r="A5" s="7">
        <v>4</v>
      </c>
      <c r="B5" s="6" t="s">
        <v>194</v>
      </c>
      <c r="C5" s="3">
        <v>89</v>
      </c>
      <c r="D5" s="1" t="s">
        <v>142</v>
      </c>
      <c r="E5" s="3">
        <v>4.6388888888888893</v>
      </c>
      <c r="F5" s="1" t="s">
        <v>149</v>
      </c>
      <c r="G5" s="5">
        <v>1.8852459016393444</v>
      </c>
      <c r="H5" s="1" t="s">
        <v>137</v>
      </c>
      <c r="I5" s="18">
        <v>0.40645161290322579</v>
      </c>
      <c r="J5" s="1" t="s">
        <v>156</v>
      </c>
      <c r="K5" s="16">
        <v>0.34146341463414637</v>
      </c>
      <c r="L5" s="1" t="s">
        <v>137</v>
      </c>
      <c r="M5" s="16">
        <v>0.14698162729658792</v>
      </c>
      <c r="N5" s="1" t="s">
        <v>149</v>
      </c>
      <c r="O5" s="2">
        <v>10552.027027027027</v>
      </c>
      <c r="P5" s="1" t="s">
        <v>148</v>
      </c>
      <c r="Q5" s="2">
        <v>-8509.21052631579</v>
      </c>
      <c r="R5" s="1" t="s">
        <v>142</v>
      </c>
      <c r="S5" s="18">
        <v>0.12962962962962962</v>
      </c>
      <c r="T5" s="1" t="s">
        <v>194</v>
      </c>
      <c r="U5" s="18">
        <v>0.2</v>
      </c>
      <c r="V5" s="1" t="s">
        <v>160</v>
      </c>
      <c r="W5" s="16">
        <v>0.29464285714285715</v>
      </c>
      <c r="X5" s="1" t="s">
        <v>137</v>
      </c>
      <c r="Y5" s="16">
        <v>0.23088235294117648</v>
      </c>
      <c r="Z5" s="1" t="s">
        <v>149</v>
      </c>
      <c r="AA5" s="16">
        <v>0.62962962962962965</v>
      </c>
      <c r="AB5" s="1" t="s">
        <v>160</v>
      </c>
      <c r="AC5" s="16">
        <v>0.38144329896907214</v>
      </c>
      <c r="AD5" s="1" t="s">
        <v>142</v>
      </c>
      <c r="AE5" s="16">
        <v>0.45985401459854014</v>
      </c>
      <c r="AF5" s="1" t="s">
        <v>137</v>
      </c>
      <c r="AG5" s="16">
        <v>0.4154228855721393</v>
      </c>
      <c r="AH5" s="1" t="s">
        <v>142</v>
      </c>
      <c r="AI5" s="77">
        <v>7</v>
      </c>
      <c r="AJ5" s="1" t="s">
        <v>148</v>
      </c>
      <c r="AK5" s="81">
        <v>2</v>
      </c>
    </row>
    <row r="6" spans="1:37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3.5081967213114749</v>
      </c>
      <c r="F6" s="1" t="s">
        <v>142</v>
      </c>
      <c r="G6" s="5">
        <v>1.8888888888888888</v>
      </c>
      <c r="H6" s="1" t="s">
        <v>142</v>
      </c>
      <c r="I6" s="18">
        <v>0.35185185185185186</v>
      </c>
      <c r="J6" s="1" t="s">
        <v>149</v>
      </c>
      <c r="K6" s="16">
        <v>0.32034632034632032</v>
      </c>
      <c r="L6" s="1" t="s">
        <v>142</v>
      </c>
      <c r="M6" s="16">
        <v>0.15844155844155844</v>
      </c>
      <c r="N6" s="1" t="s">
        <v>195</v>
      </c>
      <c r="O6" s="2">
        <v>10022.857142857143</v>
      </c>
      <c r="P6" s="1" t="s">
        <v>142</v>
      </c>
      <c r="Q6" s="2">
        <v>-9145.9016393442616</v>
      </c>
      <c r="R6" s="1" t="s">
        <v>149</v>
      </c>
      <c r="S6" s="18">
        <v>0.14754098360655737</v>
      </c>
      <c r="T6" s="1" t="s">
        <v>149</v>
      </c>
      <c r="U6" s="18">
        <v>0.19672131147540983</v>
      </c>
      <c r="V6" s="1" t="s">
        <v>141</v>
      </c>
      <c r="W6" s="16">
        <v>0.28627450980392155</v>
      </c>
      <c r="X6" s="1" t="s">
        <v>149</v>
      </c>
      <c r="Y6" s="16">
        <v>0.22492401215805471</v>
      </c>
      <c r="Z6" s="1" t="s">
        <v>194</v>
      </c>
      <c r="AA6" s="16">
        <v>0.6</v>
      </c>
      <c r="AB6" s="1" t="s">
        <v>141</v>
      </c>
      <c r="AC6" s="16">
        <v>0.375</v>
      </c>
      <c r="AD6" s="1" t="s">
        <v>148</v>
      </c>
      <c r="AE6" s="16">
        <v>0.42553191489361702</v>
      </c>
      <c r="AF6" s="1" t="s">
        <v>149</v>
      </c>
      <c r="AG6" s="16">
        <v>0.38095238095238093</v>
      </c>
      <c r="AH6" s="1" t="s">
        <v>160</v>
      </c>
      <c r="AI6" s="77">
        <v>7</v>
      </c>
      <c r="AJ6" s="1" t="s">
        <v>137</v>
      </c>
      <c r="AK6" s="81">
        <v>1</v>
      </c>
    </row>
    <row r="7" spans="1:37" x14ac:dyDescent="0.4">
      <c r="A7" s="7">
        <v>6</v>
      </c>
      <c r="B7" s="6" t="s">
        <v>139</v>
      </c>
      <c r="C7" s="3">
        <v>-26.5</v>
      </c>
      <c r="D7" s="1" t="s">
        <v>195</v>
      </c>
      <c r="E7" s="3">
        <v>-2.341176470588235</v>
      </c>
      <c r="F7" s="1" t="s">
        <v>141</v>
      </c>
      <c r="G7" s="5">
        <v>2.1176470588235294</v>
      </c>
      <c r="H7" s="1" t="s">
        <v>141</v>
      </c>
      <c r="I7" s="18">
        <v>0.29411764705882354</v>
      </c>
      <c r="J7" s="1" t="s">
        <v>160</v>
      </c>
      <c r="K7" s="16">
        <v>0.28041237113402062</v>
      </c>
      <c r="L7" s="1" t="s">
        <v>149</v>
      </c>
      <c r="M7" s="16">
        <v>0.16017316017316016</v>
      </c>
      <c r="N7" s="1" t="s">
        <v>142</v>
      </c>
      <c r="O7" s="2">
        <v>9855.4744525547449</v>
      </c>
      <c r="P7" s="1" t="s">
        <v>137</v>
      </c>
      <c r="Q7" s="2">
        <v>-9554.1666666666661</v>
      </c>
      <c r="R7" s="1" t="s">
        <v>195</v>
      </c>
      <c r="S7" s="18">
        <v>0.17647058823529413</v>
      </c>
      <c r="T7" s="1" t="s">
        <v>142</v>
      </c>
      <c r="U7" s="18">
        <v>0.18518518518518517</v>
      </c>
      <c r="V7" s="1" t="s">
        <v>137</v>
      </c>
      <c r="W7" s="16">
        <v>0.2838235294117647</v>
      </c>
      <c r="X7" s="1" t="s">
        <v>160</v>
      </c>
      <c r="Y7" s="16">
        <v>0.21651785714285715</v>
      </c>
      <c r="Z7" s="1" t="s">
        <v>160</v>
      </c>
      <c r="AA7" s="16">
        <v>0.58333333333333337</v>
      </c>
      <c r="AB7" s="1" t="s">
        <v>148</v>
      </c>
      <c r="AC7" s="16">
        <v>0.37254901960784315</v>
      </c>
      <c r="AD7" s="1" t="s">
        <v>141</v>
      </c>
      <c r="AE7" s="16">
        <v>0.41624365482233505</v>
      </c>
      <c r="AF7" s="1" t="s">
        <v>142</v>
      </c>
      <c r="AG7" s="16">
        <v>0.37323943661971831</v>
      </c>
      <c r="AH7" s="1" t="s">
        <v>148</v>
      </c>
      <c r="AI7" s="77">
        <v>5</v>
      </c>
      <c r="AJ7" s="1" t="s">
        <v>142</v>
      </c>
      <c r="AK7" s="81">
        <v>1</v>
      </c>
    </row>
    <row r="8" spans="1:37" x14ac:dyDescent="0.4">
      <c r="A8" s="7">
        <v>7</v>
      </c>
      <c r="B8" s="6" t="s">
        <v>195</v>
      </c>
      <c r="C8" s="3">
        <v>-39.799999999999997</v>
      </c>
      <c r="D8" s="1" t="s">
        <v>141</v>
      </c>
      <c r="E8" s="3">
        <v>-3.9352941176470586</v>
      </c>
      <c r="F8" s="1" t="s">
        <v>195</v>
      </c>
      <c r="G8" s="5">
        <v>2.1176470588235294</v>
      </c>
      <c r="H8" s="1" t="s">
        <v>195</v>
      </c>
      <c r="I8" s="18">
        <v>0.29411764705882354</v>
      </c>
      <c r="J8" s="1" t="s">
        <v>145</v>
      </c>
      <c r="K8" s="16">
        <v>0.27027027027027029</v>
      </c>
      <c r="L8" s="1" t="s">
        <v>195</v>
      </c>
      <c r="M8" s="16">
        <v>0.17910447761194029</v>
      </c>
      <c r="N8" s="1" t="s">
        <v>137</v>
      </c>
      <c r="O8" s="2">
        <v>9796.5346534653472</v>
      </c>
      <c r="P8" s="1" t="s">
        <v>149</v>
      </c>
      <c r="Q8" s="2">
        <v>-9566.2162162162167</v>
      </c>
      <c r="R8" s="1" t="s">
        <v>148</v>
      </c>
      <c r="S8" s="18">
        <v>0.20833333333333334</v>
      </c>
      <c r="T8" s="1" t="s">
        <v>141</v>
      </c>
      <c r="U8" s="18">
        <v>0.14705882352941177</v>
      </c>
      <c r="V8" s="1" t="s">
        <v>145</v>
      </c>
      <c r="W8" s="16">
        <v>0.25806451612903225</v>
      </c>
      <c r="X8" s="1" t="s">
        <v>141</v>
      </c>
      <c r="Y8" s="16">
        <v>0.18823529411764706</v>
      </c>
      <c r="Z8" s="1" t="s">
        <v>141</v>
      </c>
      <c r="AA8" s="16">
        <v>0.56164383561643838</v>
      </c>
      <c r="AB8" s="1" t="s">
        <v>142</v>
      </c>
      <c r="AC8" s="16">
        <v>0.35416666666666669</v>
      </c>
      <c r="AD8" s="1" t="s">
        <v>149</v>
      </c>
      <c r="AE8" s="16">
        <v>0.40540540540540543</v>
      </c>
      <c r="AF8" s="1" t="s">
        <v>148</v>
      </c>
      <c r="AG8" s="16">
        <v>0.35576923076923078</v>
      </c>
      <c r="AH8" s="1" t="s">
        <v>194</v>
      </c>
      <c r="AI8" s="77">
        <v>5</v>
      </c>
      <c r="AJ8" s="1" t="s">
        <v>138</v>
      </c>
      <c r="AK8" s="81">
        <v>0</v>
      </c>
    </row>
    <row r="9" spans="1:37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-6.2062499999999998</v>
      </c>
      <c r="F9" s="1" t="s">
        <v>148</v>
      </c>
      <c r="G9" s="5">
        <v>2.1875</v>
      </c>
      <c r="H9" s="1" t="s">
        <v>160</v>
      </c>
      <c r="I9" s="18">
        <v>0.22580645161290322</v>
      </c>
      <c r="J9" s="1" t="s">
        <v>195</v>
      </c>
      <c r="K9" s="16">
        <v>0.26119402985074625</v>
      </c>
      <c r="L9" s="1" t="s">
        <v>141</v>
      </c>
      <c r="M9" s="16">
        <v>0.19584954604409857</v>
      </c>
      <c r="N9" s="1" t="s">
        <v>148</v>
      </c>
      <c r="O9" s="2">
        <v>9722.3404255319147</v>
      </c>
      <c r="P9" s="1" t="s">
        <v>160</v>
      </c>
      <c r="Q9" s="2">
        <v>-9648.6956521739139</v>
      </c>
      <c r="R9" s="1" t="s">
        <v>160</v>
      </c>
      <c r="S9" s="18">
        <v>0.20967741935483872</v>
      </c>
      <c r="T9" s="1" t="s">
        <v>148</v>
      </c>
      <c r="U9" s="18">
        <v>0.14583333333333334</v>
      </c>
      <c r="V9" s="1" t="s">
        <v>148</v>
      </c>
      <c r="W9" s="16">
        <v>0.22826086956521738</v>
      </c>
      <c r="X9" s="1" t="s">
        <v>145</v>
      </c>
      <c r="Y9" s="16">
        <v>0.16129032258064516</v>
      </c>
      <c r="Z9" s="1" t="s">
        <v>195</v>
      </c>
      <c r="AA9" s="16">
        <v>0.53846153846153844</v>
      </c>
      <c r="AB9" s="1" t="s">
        <v>195</v>
      </c>
      <c r="AC9" s="16">
        <v>0.33333333333333331</v>
      </c>
      <c r="AD9" s="1" t="s">
        <v>137</v>
      </c>
      <c r="AE9" s="16">
        <v>0.37128712871287128</v>
      </c>
      <c r="AF9" s="1" t="s">
        <v>141</v>
      </c>
      <c r="AG9" s="16">
        <v>0.30705394190871371</v>
      </c>
      <c r="AH9" s="1" t="s">
        <v>195</v>
      </c>
      <c r="AI9" s="77">
        <v>5</v>
      </c>
      <c r="AJ9" s="1" t="s">
        <v>139</v>
      </c>
      <c r="AK9" s="81">
        <v>0</v>
      </c>
    </row>
    <row r="10" spans="1:37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-7.945161290322579</v>
      </c>
      <c r="F10" s="1" t="s">
        <v>145</v>
      </c>
      <c r="G10" s="5">
        <v>2.2000000000000002</v>
      </c>
      <c r="H10" s="1" t="s">
        <v>148</v>
      </c>
      <c r="I10" s="18">
        <v>0.20833333333333334</v>
      </c>
      <c r="J10" s="1" t="s">
        <v>141</v>
      </c>
      <c r="K10" s="16">
        <v>0.25551232166018156</v>
      </c>
      <c r="L10" s="1" t="s">
        <v>148</v>
      </c>
      <c r="M10" s="16">
        <v>0.20485175202156333</v>
      </c>
      <c r="N10" s="1" t="s">
        <v>194</v>
      </c>
      <c r="O10" s="2">
        <v>9227.7777777777774</v>
      </c>
      <c r="P10" s="1" t="s">
        <v>156</v>
      </c>
      <c r="Q10" s="2">
        <v>-9927.2727272727279</v>
      </c>
      <c r="R10" s="1" t="s">
        <v>141</v>
      </c>
      <c r="S10" s="18">
        <v>0.21568627450980393</v>
      </c>
      <c r="T10" s="1" t="s">
        <v>195</v>
      </c>
      <c r="U10" s="18">
        <v>0.11764705882352941</v>
      </c>
      <c r="V10" s="1" t="s">
        <v>142</v>
      </c>
      <c r="W10" s="16">
        <v>0.22448979591836735</v>
      </c>
      <c r="X10" s="1" t="s">
        <v>194</v>
      </c>
      <c r="Y10" s="16">
        <v>0.13043478260869565</v>
      </c>
      <c r="Z10" s="1" t="s">
        <v>148</v>
      </c>
      <c r="AA10" s="16">
        <v>0.35714285714285715</v>
      </c>
      <c r="AB10" s="1" t="s">
        <v>145</v>
      </c>
      <c r="AC10" s="16">
        <v>0.2</v>
      </c>
      <c r="AD10" s="1" t="s">
        <v>145</v>
      </c>
      <c r="AE10" s="16">
        <v>0.3</v>
      </c>
      <c r="AF10" s="1" t="s">
        <v>160</v>
      </c>
      <c r="AG10" s="16">
        <v>0.30463576158940397</v>
      </c>
      <c r="AH10" s="1" t="s">
        <v>145</v>
      </c>
      <c r="AI10" s="77">
        <v>3</v>
      </c>
      <c r="AJ10" s="1" t="s">
        <v>145</v>
      </c>
      <c r="AK10" s="81">
        <v>0</v>
      </c>
    </row>
    <row r="11" spans="1:37" x14ac:dyDescent="0.4">
      <c r="A11" s="7">
        <v>10</v>
      </c>
      <c r="B11" s="6" t="s">
        <v>148</v>
      </c>
      <c r="C11" s="3">
        <v>-297.89999999999998</v>
      </c>
      <c r="D11" s="1" t="s">
        <v>139</v>
      </c>
      <c r="E11" s="3">
        <v>-8.8333333333333339</v>
      </c>
      <c r="F11" s="1" t="s">
        <v>160</v>
      </c>
      <c r="G11" s="5">
        <v>2.2419354838709675</v>
      </c>
      <c r="H11" s="1" t="s">
        <v>145</v>
      </c>
      <c r="I11" s="18">
        <v>0.2</v>
      </c>
      <c r="J11" s="1" t="s">
        <v>148</v>
      </c>
      <c r="K11" s="16">
        <v>0.25336927223719674</v>
      </c>
      <c r="L11" s="1" t="s">
        <v>145</v>
      </c>
      <c r="M11" s="16">
        <v>0.21621621621621623</v>
      </c>
      <c r="N11" s="1" t="s">
        <v>139</v>
      </c>
      <c r="O11" s="2">
        <v>8000</v>
      </c>
      <c r="P11" s="1" t="s">
        <v>141</v>
      </c>
      <c r="Q11" s="2">
        <v>-10015.8940397351</v>
      </c>
      <c r="R11" s="1" t="s">
        <v>156</v>
      </c>
      <c r="S11" s="18">
        <v>0.25</v>
      </c>
      <c r="T11" s="1" t="s">
        <v>160</v>
      </c>
      <c r="U11" s="18">
        <v>9.6774193548387094E-2</v>
      </c>
      <c r="V11" s="1" t="s">
        <v>195</v>
      </c>
      <c r="W11" s="16">
        <v>0.19402985074626866</v>
      </c>
      <c r="X11" s="1" t="s">
        <v>138</v>
      </c>
      <c r="Y11" s="16">
        <v>0</v>
      </c>
      <c r="Z11" s="1" t="s">
        <v>139</v>
      </c>
      <c r="AA11" s="16">
        <v>0.2</v>
      </c>
      <c r="AB11" s="1" t="s">
        <v>138</v>
      </c>
      <c r="AC11" s="16">
        <v>0</v>
      </c>
      <c r="AD11" s="1" t="s">
        <v>194</v>
      </c>
      <c r="AE11" s="16">
        <v>0.27777777777777779</v>
      </c>
      <c r="AF11" s="1" t="s">
        <v>195</v>
      </c>
      <c r="AG11" s="16">
        <v>0.27500000000000002</v>
      </c>
      <c r="AH11" s="1" t="s">
        <v>139</v>
      </c>
      <c r="AI11" s="77">
        <v>2</v>
      </c>
      <c r="AJ11" s="1" t="s">
        <v>156</v>
      </c>
      <c r="AK11" s="81">
        <v>0</v>
      </c>
    </row>
    <row r="12" spans="1:37" x14ac:dyDescent="0.4">
      <c r="A12" s="7">
        <v>11</v>
      </c>
      <c r="B12" s="6" t="s">
        <v>141</v>
      </c>
      <c r="C12" s="3">
        <v>-401.4</v>
      </c>
      <c r="D12" s="1" t="s">
        <v>145</v>
      </c>
      <c r="E12" s="3">
        <v>-17.28</v>
      </c>
      <c r="F12" s="1" t="s">
        <v>139</v>
      </c>
      <c r="G12" s="5">
        <v>2.3333333333333335</v>
      </c>
      <c r="H12" s="1" t="s">
        <v>138</v>
      </c>
      <c r="I12" s="18">
        <v>0</v>
      </c>
      <c r="J12" s="1" t="s">
        <v>139</v>
      </c>
      <c r="K12" s="16">
        <v>0.1875</v>
      </c>
      <c r="L12" s="1" t="s">
        <v>160</v>
      </c>
      <c r="M12" s="16">
        <v>0.23711340206185566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138</v>
      </c>
      <c r="AA12" s="16">
        <v>0</v>
      </c>
      <c r="AB12" s="1" t="s">
        <v>139</v>
      </c>
      <c r="AC12" s="16">
        <v>0</v>
      </c>
      <c r="AD12" s="1" t="s">
        <v>195</v>
      </c>
      <c r="AE12" s="16">
        <v>0.25714285714285712</v>
      </c>
      <c r="AF12" s="1" t="s">
        <v>138</v>
      </c>
      <c r="AG12" s="16">
        <v>0</v>
      </c>
      <c r="AH12" s="1" t="s">
        <v>138</v>
      </c>
      <c r="AI12" s="77">
        <v>0</v>
      </c>
      <c r="AJ12" s="1" t="s">
        <v>194</v>
      </c>
      <c r="AK12" s="81">
        <v>0</v>
      </c>
    </row>
    <row r="13" spans="1:37" x14ac:dyDescent="0.4">
      <c r="A13" s="7">
        <v>12</v>
      </c>
      <c r="B13" s="6" t="s">
        <v>160</v>
      </c>
      <c r="C13" s="3">
        <v>-492.59999999999991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139</v>
      </c>
      <c r="AG13" s="16">
        <v>0</v>
      </c>
      <c r="AH13" s="1" t="s">
        <v>156</v>
      </c>
      <c r="AI13" s="77">
        <v>0</v>
      </c>
      <c r="AJ13" s="1" t="s">
        <v>195</v>
      </c>
      <c r="AK13" s="81">
        <v>0</v>
      </c>
    </row>
  </sheetData>
  <sortState ref="AJ2:AK30">
    <sortCondition descending="1" ref="AK1"/>
  </sortState>
  <mergeCells count="18">
    <mergeCell ref="AJ1:AK1"/>
    <mergeCell ref="AH1:AI1"/>
    <mergeCell ref="AF1:AG1"/>
    <mergeCell ref="AB1:AC1"/>
    <mergeCell ref="D1:E1"/>
    <mergeCell ref="R1:S1"/>
    <mergeCell ref="V1:W1"/>
    <mergeCell ref="X1:Y1"/>
    <mergeCell ref="Z1:AA1"/>
    <mergeCell ref="T1:U1"/>
    <mergeCell ref="AD1:AE1"/>
    <mergeCell ref="B1:C1"/>
    <mergeCell ref="P1:Q1"/>
    <mergeCell ref="N1:O1"/>
    <mergeCell ref="L1:M1"/>
    <mergeCell ref="J1:K1"/>
    <mergeCell ref="H1:I1"/>
    <mergeCell ref="F1:G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193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770</v>
      </c>
    </row>
    <row r="2" spans="1:7" x14ac:dyDescent="0.4">
      <c r="A2" s="67" t="s">
        <v>73</v>
      </c>
      <c r="B2" s="63" t="s">
        <v>27</v>
      </c>
      <c r="C2" s="49">
        <v>705</v>
      </c>
      <c r="D2" s="24">
        <f>IF(G$1=0,0,C2/G$1)</f>
        <v>0.91558441558441561</v>
      </c>
    </row>
    <row r="3" spans="1:7" x14ac:dyDescent="0.4">
      <c r="A3" s="68" t="s">
        <v>71</v>
      </c>
      <c r="B3" s="64" t="s">
        <v>25</v>
      </c>
      <c r="C3" s="50">
        <v>553</v>
      </c>
      <c r="D3" s="27">
        <f>IF(G$1=0,0,C3/G$1)</f>
        <v>0.71818181818181814</v>
      </c>
    </row>
    <row r="4" spans="1:7" x14ac:dyDescent="0.4">
      <c r="A4" s="68" t="s">
        <v>78</v>
      </c>
      <c r="B4" s="64" t="s">
        <v>31</v>
      </c>
      <c r="C4" s="50">
        <v>458</v>
      </c>
      <c r="D4" s="27">
        <f>IF(G$1=0,0,C4/G$1)</f>
        <v>0.59480519480519478</v>
      </c>
    </row>
    <row r="5" spans="1:7" x14ac:dyDescent="0.4">
      <c r="A5" s="68" t="s">
        <v>200</v>
      </c>
      <c r="B5" s="64" t="s">
        <v>23</v>
      </c>
      <c r="C5" s="50">
        <v>414</v>
      </c>
      <c r="D5" s="27">
        <f>IF(G$1=0,0,C5/G$1)</f>
        <v>0.53766233766233762</v>
      </c>
    </row>
    <row r="6" spans="1:7" x14ac:dyDescent="0.4">
      <c r="A6" s="68" t="s">
        <v>74</v>
      </c>
      <c r="B6" s="64" t="s">
        <v>196</v>
      </c>
      <c r="C6" s="50">
        <v>227</v>
      </c>
      <c r="D6" s="27">
        <f>IF(G$1=0,0,C6/G$1)</f>
        <v>0.29480519480519479</v>
      </c>
    </row>
    <row r="7" spans="1:7" x14ac:dyDescent="0.4">
      <c r="A7" s="68" t="s">
        <v>72</v>
      </c>
      <c r="B7" s="64" t="s">
        <v>26</v>
      </c>
      <c r="C7" s="50">
        <v>221</v>
      </c>
      <c r="D7" s="27">
        <f>IF(G$1=0,0,C7/G$1)</f>
        <v>0.287012987012987</v>
      </c>
    </row>
    <row r="8" spans="1:7" x14ac:dyDescent="0.4">
      <c r="A8" s="68" t="s">
        <v>75</v>
      </c>
      <c r="B8" s="64" t="s">
        <v>28</v>
      </c>
      <c r="C8" s="50">
        <v>116</v>
      </c>
      <c r="D8" s="27">
        <f>IF(G$1=0,0,C8/G$1)</f>
        <v>0.15064935064935064</v>
      </c>
    </row>
    <row r="9" spans="1:7" x14ac:dyDescent="0.4">
      <c r="A9" s="68" t="s">
        <v>96</v>
      </c>
      <c r="B9" s="64" t="s">
        <v>49</v>
      </c>
      <c r="C9" s="50">
        <v>115</v>
      </c>
      <c r="D9" s="27">
        <f>IF(G$1=0,0,C9/G$1)</f>
        <v>0.14935064935064934</v>
      </c>
    </row>
    <row r="10" spans="1:7" x14ac:dyDescent="0.4">
      <c r="A10" s="68" t="s">
        <v>201</v>
      </c>
      <c r="B10" s="64" t="s">
        <v>24</v>
      </c>
      <c r="C10" s="50">
        <v>90</v>
      </c>
      <c r="D10" s="27">
        <f>IF(G$1=0,0,C10/G$1)</f>
        <v>0.11688311688311688</v>
      </c>
    </row>
    <row r="11" spans="1:7" x14ac:dyDescent="0.4">
      <c r="A11" s="68" t="s">
        <v>76</v>
      </c>
      <c r="B11" s="64" t="s">
        <v>29</v>
      </c>
      <c r="C11" s="50">
        <v>76</v>
      </c>
      <c r="D11" s="27">
        <f>IF(G$1=0,0,C11/G$1)</f>
        <v>9.8701298701298706E-2</v>
      </c>
    </row>
    <row r="12" spans="1:7" x14ac:dyDescent="0.4">
      <c r="A12" s="68" t="s">
        <v>93</v>
      </c>
      <c r="B12" s="64" t="s">
        <v>46</v>
      </c>
      <c r="C12" s="50">
        <v>55</v>
      </c>
      <c r="D12" s="27">
        <f>IF(G$1=0,0,C12/G$1)</f>
        <v>7.1428571428571425E-2</v>
      </c>
    </row>
    <row r="13" spans="1:7" x14ac:dyDescent="0.4">
      <c r="A13" s="68" t="s">
        <v>77</v>
      </c>
      <c r="B13" s="64" t="s">
        <v>30</v>
      </c>
      <c r="C13" s="50">
        <v>36</v>
      </c>
      <c r="D13" s="27">
        <f>IF(G$1=0,0,C13/G$1)</f>
        <v>4.6753246753246755E-2</v>
      </c>
    </row>
    <row r="14" spans="1:7" x14ac:dyDescent="0.4">
      <c r="A14" s="68" t="s">
        <v>90</v>
      </c>
      <c r="B14" s="64" t="s">
        <v>43</v>
      </c>
      <c r="C14" s="50">
        <v>34</v>
      </c>
      <c r="D14" s="27">
        <f>IF(G$1=0,0,C14/G$1)</f>
        <v>4.4155844155844157E-2</v>
      </c>
    </row>
    <row r="15" spans="1:7" x14ac:dyDescent="0.4">
      <c r="A15" s="68" t="s">
        <v>88</v>
      </c>
      <c r="B15" s="64" t="s">
        <v>41</v>
      </c>
      <c r="C15" s="50">
        <v>21</v>
      </c>
      <c r="D15" s="27">
        <f>IF(G$1=0,0,C15/G$1)</f>
        <v>2.7272727272727271E-2</v>
      </c>
    </row>
    <row r="16" spans="1:7" x14ac:dyDescent="0.4">
      <c r="A16" s="68" t="s">
        <v>84</v>
      </c>
      <c r="B16" s="64" t="s">
        <v>37</v>
      </c>
      <c r="C16" s="50">
        <v>21</v>
      </c>
      <c r="D16" s="27">
        <f>IF(G$1=0,0,C16/G$1)</f>
        <v>2.7272727272727271E-2</v>
      </c>
    </row>
    <row r="17" spans="1:4" x14ac:dyDescent="0.4">
      <c r="A17" s="68" t="s">
        <v>98</v>
      </c>
      <c r="B17" s="64" t="s">
        <v>51</v>
      </c>
      <c r="C17" s="50">
        <v>14</v>
      </c>
      <c r="D17" s="27">
        <f>IF(G$1=0,0,C17/G$1)</f>
        <v>1.8181818181818181E-2</v>
      </c>
    </row>
    <row r="18" spans="1:4" x14ac:dyDescent="0.4">
      <c r="A18" s="68" t="s">
        <v>85</v>
      </c>
      <c r="B18" s="64" t="s">
        <v>38</v>
      </c>
      <c r="C18" s="50">
        <v>10</v>
      </c>
      <c r="D18" s="27">
        <f>IF(G$1=0,0,C18/G$1)</f>
        <v>1.2987012987012988E-2</v>
      </c>
    </row>
    <row r="19" spans="1:4" x14ac:dyDescent="0.4">
      <c r="A19" s="68" t="s">
        <v>79</v>
      </c>
      <c r="B19" s="64" t="s">
        <v>32</v>
      </c>
      <c r="C19" s="50">
        <v>7</v>
      </c>
      <c r="D19" s="27">
        <f>IF(G$1=0,0,C19/G$1)</f>
        <v>9.0909090909090905E-3</v>
      </c>
    </row>
    <row r="20" spans="1:4" x14ac:dyDescent="0.4">
      <c r="A20" s="68" t="s">
        <v>83</v>
      </c>
      <c r="B20" s="64" t="s">
        <v>36</v>
      </c>
      <c r="C20" s="50">
        <v>6</v>
      </c>
      <c r="D20" s="27">
        <f>IF(G$1=0,0,C20/G$1)</f>
        <v>7.7922077922077922E-3</v>
      </c>
    </row>
    <row r="21" spans="1:4" x14ac:dyDescent="0.4">
      <c r="A21" s="68" t="s">
        <v>81</v>
      </c>
      <c r="B21" s="64" t="s">
        <v>34</v>
      </c>
      <c r="C21" s="50">
        <v>5</v>
      </c>
      <c r="D21" s="27">
        <f>IF(G$1=0,0,C21/G$1)</f>
        <v>6.4935064935064939E-3</v>
      </c>
    </row>
    <row r="22" spans="1:4" x14ac:dyDescent="0.4">
      <c r="A22" s="68" t="s">
        <v>92</v>
      </c>
      <c r="B22" s="64" t="s">
        <v>45</v>
      </c>
      <c r="C22" s="50">
        <v>4</v>
      </c>
      <c r="D22" s="27">
        <f>IF(G$1=0,0,C22/G$1)</f>
        <v>5.1948051948051948E-3</v>
      </c>
    </row>
    <row r="23" spans="1:4" x14ac:dyDescent="0.4">
      <c r="A23" s="68" t="s">
        <v>99</v>
      </c>
      <c r="B23" s="64" t="s">
        <v>52</v>
      </c>
      <c r="C23" s="50">
        <v>4</v>
      </c>
      <c r="D23" s="27">
        <f>IF(G$1=0,0,C23/G$1)</f>
        <v>5.1948051948051948E-3</v>
      </c>
    </row>
    <row r="24" spans="1:4" x14ac:dyDescent="0.4">
      <c r="A24" s="68" t="s">
        <v>94</v>
      </c>
      <c r="B24" s="64" t="s">
        <v>47</v>
      </c>
      <c r="C24" s="50">
        <v>3</v>
      </c>
      <c r="D24" s="27">
        <f>IF(G$1=0,0,C24/G$1)</f>
        <v>3.8961038961038961E-3</v>
      </c>
    </row>
    <row r="25" spans="1:4" x14ac:dyDescent="0.4">
      <c r="A25" s="68" t="s">
        <v>91</v>
      </c>
      <c r="B25" s="64" t="s">
        <v>44</v>
      </c>
      <c r="C25" s="50">
        <v>3</v>
      </c>
      <c r="D25" s="27">
        <f>IF(G$1=0,0,C25/G$1)</f>
        <v>3.8961038961038961E-3</v>
      </c>
    </row>
    <row r="26" spans="1:4" x14ac:dyDescent="0.4">
      <c r="A26" s="68" t="s">
        <v>100</v>
      </c>
      <c r="B26" s="64" t="s">
        <v>53</v>
      </c>
      <c r="C26" s="50">
        <v>2</v>
      </c>
      <c r="D26" s="27">
        <f>IF(G$1=0,0,C26/G$1)</f>
        <v>2.5974025974025974E-3</v>
      </c>
    </row>
    <row r="27" spans="1:4" x14ac:dyDescent="0.4">
      <c r="A27" s="68" t="s">
        <v>87</v>
      </c>
      <c r="B27" s="64" t="s">
        <v>40</v>
      </c>
      <c r="C27" s="50">
        <v>1</v>
      </c>
      <c r="D27" s="27">
        <f>IF(G$1=0,0,C27/G$1)</f>
        <v>1.2987012987012987E-3</v>
      </c>
    </row>
    <row r="28" spans="1:4" x14ac:dyDescent="0.4">
      <c r="A28" s="68" t="s">
        <v>97</v>
      </c>
      <c r="B28" s="64" t="s">
        <v>50</v>
      </c>
      <c r="C28" s="50">
        <v>1</v>
      </c>
      <c r="D28" s="27">
        <f>IF(G$1=0,0,C28/G$1)</f>
        <v>1.2987012987012987E-3</v>
      </c>
    </row>
    <row r="29" spans="1:4" x14ac:dyDescent="0.4">
      <c r="A29" s="68" t="s">
        <v>80</v>
      </c>
      <c r="B29" s="64" t="s">
        <v>33</v>
      </c>
      <c r="C29" s="50">
        <v>1</v>
      </c>
      <c r="D29" s="27">
        <f>IF(G$1=0,0,C29/G$1)</f>
        <v>1.2987012987012987E-3</v>
      </c>
    </row>
    <row r="30" spans="1:4" x14ac:dyDescent="0.4">
      <c r="A30" s="68" t="s">
        <v>95</v>
      </c>
      <c r="B30" s="64" t="s">
        <v>48</v>
      </c>
      <c r="C30" s="50">
        <v>1</v>
      </c>
      <c r="D30" s="27">
        <f>IF(G$1=0,0,C30/G$1)</f>
        <v>1.2987012987012987E-3</v>
      </c>
    </row>
    <row r="31" spans="1:4" x14ac:dyDescent="0.4">
      <c r="A31" s="68" t="s">
        <v>113</v>
      </c>
      <c r="B31" s="64" t="s">
        <v>198</v>
      </c>
      <c r="C31" s="50">
        <v>1</v>
      </c>
      <c r="D31" s="27">
        <f>IF(G$1=0,0,C31/G$1)</f>
        <v>1.2987012987012987E-3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197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199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/>
      <c r="C1" s="93"/>
      <c r="E1" s="66" t="s">
        <v>193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187</v>
      </c>
      <c r="N1" s="20" t="s">
        <v>189</v>
      </c>
      <c r="O1" s="40" t="s">
        <v>190</v>
      </c>
      <c r="P1" s="36" t="s">
        <v>188</v>
      </c>
    </row>
    <row r="2" spans="1:16" x14ac:dyDescent="0.4">
      <c r="A2" s="57" t="s">
        <v>9</v>
      </c>
      <c r="B2" s="86">
        <v>0</v>
      </c>
      <c r="C2" s="87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4">
        <v>0</v>
      </c>
      <c r="C3" s="95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182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6">
        <v>0</v>
      </c>
      <c r="C4" s="97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183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6">
        <f>IF(B$2=0,0,B$4/B$2)</f>
        <v>0</v>
      </c>
      <c r="C5" s="97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184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8">
        <f>IF(B$2=0,0,(B$7*1+B$8*2+B$9*3)/B$2)</f>
        <v>0</v>
      </c>
      <c r="C6" s="99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185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186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B18+B17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78" t="s">
        <v>202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7346C-44B2-4C66-A69F-9945606A8862}">
  <sheetPr codeName="Sheet4"/>
  <dimension ref="A1:P15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137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155</v>
      </c>
      <c r="C2" s="87"/>
      <c r="E2" s="67" t="s">
        <v>73</v>
      </c>
      <c r="F2" s="63" t="s">
        <v>27</v>
      </c>
      <c r="G2" s="49">
        <v>225</v>
      </c>
      <c r="H2" s="24">
        <f>IF(B$25=0,0,G2/B$25)</f>
        <v>0.91836734693877553</v>
      </c>
      <c r="J2" s="23">
        <v>0</v>
      </c>
      <c r="K2" s="25">
        <v>0</v>
      </c>
      <c r="M2" s="23" t="s">
        <v>181</v>
      </c>
      <c r="N2" s="44">
        <f t="shared" ref="N2:N7" si="0">IF(P2=0,0,O2/P2)</f>
        <v>658.27814569536429</v>
      </c>
      <c r="O2" s="41">
        <v>99400</v>
      </c>
      <c r="P2" s="39">
        <v>151</v>
      </c>
    </row>
    <row r="3" spans="1:16" x14ac:dyDescent="0.4">
      <c r="A3" s="58" t="s">
        <v>8</v>
      </c>
      <c r="B3" s="94">
        <v>1143</v>
      </c>
      <c r="C3" s="95"/>
      <c r="E3" s="68" t="s">
        <v>71</v>
      </c>
      <c r="F3" s="64" t="s">
        <v>25</v>
      </c>
      <c r="G3" s="50">
        <v>157</v>
      </c>
      <c r="H3" s="27">
        <f>IF(B$25=0,0,G3/B$25)</f>
        <v>0.64081632653061227</v>
      </c>
      <c r="J3" s="26">
        <v>1</v>
      </c>
      <c r="K3" s="28">
        <v>15</v>
      </c>
      <c r="M3" s="26" t="s">
        <v>182</v>
      </c>
      <c r="N3" s="45">
        <f t="shared" si="0"/>
        <v>1421.5277777777778</v>
      </c>
      <c r="O3" s="42">
        <v>204700</v>
      </c>
      <c r="P3" s="37">
        <v>144</v>
      </c>
    </row>
    <row r="4" spans="1:16" x14ac:dyDescent="0.4">
      <c r="A4" s="58" t="s">
        <v>6</v>
      </c>
      <c r="B4" s="96">
        <v>838.4000000000002</v>
      </c>
      <c r="C4" s="97"/>
      <c r="E4" s="68" t="s">
        <v>78</v>
      </c>
      <c r="F4" s="64" t="s">
        <v>31</v>
      </c>
      <c r="G4" s="50">
        <v>136</v>
      </c>
      <c r="H4" s="27">
        <f>IF(B$25=0,0,G4/B$25)</f>
        <v>0.55510204081632653</v>
      </c>
      <c r="J4" s="26">
        <v>2</v>
      </c>
      <c r="K4" s="28">
        <v>14</v>
      </c>
      <c r="M4" s="26" t="s">
        <v>183</v>
      </c>
      <c r="N4" s="45">
        <f t="shared" si="0"/>
        <v>1390.9774436090227</v>
      </c>
      <c r="O4" s="42">
        <v>185000</v>
      </c>
      <c r="P4" s="37">
        <v>133</v>
      </c>
    </row>
    <row r="5" spans="1:16" x14ac:dyDescent="0.4">
      <c r="A5" s="58" t="s">
        <v>7</v>
      </c>
      <c r="B5" s="96">
        <f>IF(B$2=0,0,B$4/B$2)</f>
        <v>5.4090322580645172</v>
      </c>
      <c r="C5" s="97"/>
      <c r="E5" s="68" t="s">
        <v>69</v>
      </c>
      <c r="F5" s="64" t="s">
        <v>23</v>
      </c>
      <c r="G5" s="50">
        <v>124</v>
      </c>
      <c r="H5" s="27">
        <f>IF(B$25=0,0,G5/B$25)</f>
        <v>0.5061224489795918</v>
      </c>
      <c r="J5" s="26">
        <v>3</v>
      </c>
      <c r="K5" s="28">
        <v>29.1</v>
      </c>
      <c r="M5" s="26" t="s">
        <v>184</v>
      </c>
      <c r="N5" s="45">
        <f t="shared" si="0"/>
        <v>1752.1008403361345</v>
      </c>
      <c r="O5" s="42">
        <v>208500</v>
      </c>
      <c r="P5" s="37">
        <v>119</v>
      </c>
    </row>
    <row r="6" spans="1:16" x14ac:dyDescent="0.4">
      <c r="A6" s="58" t="s">
        <v>1</v>
      </c>
      <c r="B6" s="98">
        <f>IF(B$2=0,0,(B$7*1+B$8*2+B$9*3)/B$2)</f>
        <v>1.832258064516129</v>
      </c>
      <c r="C6" s="99"/>
      <c r="E6" s="68" t="s">
        <v>74</v>
      </c>
      <c r="F6" s="64" t="s">
        <v>12</v>
      </c>
      <c r="G6" s="50">
        <v>70</v>
      </c>
      <c r="H6" s="27">
        <f>IF(B$25=0,0,G6/B$25)</f>
        <v>0.2857142857142857</v>
      </c>
      <c r="J6" s="26">
        <v>4</v>
      </c>
      <c r="K6" s="28">
        <v>114.30000000000001</v>
      </c>
      <c r="M6" s="26" t="s">
        <v>185</v>
      </c>
      <c r="N6" s="45">
        <f t="shared" si="0"/>
        <v>775</v>
      </c>
      <c r="O6" s="42">
        <v>77500</v>
      </c>
      <c r="P6" s="37">
        <v>100</v>
      </c>
    </row>
    <row r="7" spans="1:16" x14ac:dyDescent="0.4">
      <c r="A7" s="58" t="s">
        <v>2</v>
      </c>
      <c r="B7" s="50">
        <v>63</v>
      </c>
      <c r="C7" s="27">
        <f>IF(B$2=0,0,B7/B$2)</f>
        <v>0.40645161290322579</v>
      </c>
      <c r="E7" s="68" t="s">
        <v>72</v>
      </c>
      <c r="F7" s="64" t="s">
        <v>26</v>
      </c>
      <c r="G7" s="50">
        <v>59</v>
      </c>
      <c r="H7" s="27">
        <f>IF(B$25=0,0,G7/B$25)</f>
        <v>0.24081632653061225</v>
      </c>
      <c r="J7" s="26">
        <v>5</v>
      </c>
      <c r="K7" s="28">
        <v>145.80000000000001</v>
      </c>
      <c r="M7" s="31" t="s">
        <v>186</v>
      </c>
      <c r="N7" s="46">
        <f t="shared" si="0"/>
        <v>359.21052631578948</v>
      </c>
      <c r="O7" s="43">
        <v>27300</v>
      </c>
      <c r="P7" s="38">
        <v>76</v>
      </c>
    </row>
    <row r="8" spans="1:16" x14ac:dyDescent="0.4">
      <c r="A8" s="58" t="s">
        <v>3</v>
      </c>
      <c r="B8" s="50">
        <v>55</v>
      </c>
      <c r="C8" s="27">
        <f t="shared" ref="C8:C9" si="1">IF(B$2=0,0,B8/B$2)</f>
        <v>0.35483870967741937</v>
      </c>
      <c r="E8" s="68" t="s">
        <v>96</v>
      </c>
      <c r="F8" s="64" t="s">
        <v>49</v>
      </c>
      <c r="G8" s="50">
        <v>43</v>
      </c>
      <c r="H8" s="27">
        <f>IF(B$25=0,0,G8/B$25)</f>
        <v>0.17551020408163265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37</v>
      </c>
      <c r="C9" s="29">
        <f t="shared" si="1"/>
        <v>0.23870967741935484</v>
      </c>
      <c r="E9" s="68" t="s">
        <v>75</v>
      </c>
      <c r="F9" s="64" t="s">
        <v>28</v>
      </c>
      <c r="G9" s="50">
        <v>41</v>
      </c>
      <c r="H9" s="27">
        <f>IF(B$25=0,0,G9/B$25)</f>
        <v>0.16734693877551021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18</v>
      </c>
      <c r="C10" s="29">
        <f>IF(B$2=0,0,B10/B$2)</f>
        <v>0.11612903225806452</v>
      </c>
      <c r="E10" s="68" t="s">
        <v>70</v>
      </c>
      <c r="F10" s="64" t="s">
        <v>24</v>
      </c>
      <c r="G10" s="50">
        <v>23</v>
      </c>
      <c r="H10" s="27">
        <f>IF(B$25=0,0,G10/B$25)</f>
        <v>9.3877551020408165E-2</v>
      </c>
      <c r="J10" s="26">
        <v>8</v>
      </c>
      <c r="K10" s="28">
        <v>55.700000000000017</v>
      </c>
    </row>
    <row r="11" spans="1:16" x14ac:dyDescent="0.4">
      <c r="A11" s="60" t="s">
        <v>191</v>
      </c>
      <c r="B11" s="52">
        <v>32</v>
      </c>
      <c r="C11" s="32">
        <f>IF(B$2=0,0,B11/B$2)</f>
        <v>0.20645161290322581</v>
      </c>
      <c r="E11" s="68" t="s">
        <v>76</v>
      </c>
      <c r="F11" s="64" t="s">
        <v>29</v>
      </c>
      <c r="G11" s="50">
        <v>21</v>
      </c>
      <c r="H11" s="27">
        <f>IF(B$25=0,0,G11/B$25)</f>
        <v>8.5714285714285715E-2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193</v>
      </c>
      <c r="C12" s="35">
        <f>IF(B$24=0,0,B12/B$24)</f>
        <v>0.2838235294117647</v>
      </c>
      <c r="E12" s="68" t="s">
        <v>77</v>
      </c>
      <c r="F12" s="64" t="s">
        <v>30</v>
      </c>
      <c r="G12" s="50">
        <v>15</v>
      </c>
      <c r="H12" s="27">
        <f>IF(B$25=0,0,G12/B$25)</f>
        <v>6.1224489795918366E-2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157</v>
      </c>
      <c r="C13" s="27">
        <f>IF(B$24=0,0,B13/B$24)</f>
        <v>0.23088235294117648</v>
      </c>
      <c r="E13" s="68" t="s">
        <v>93</v>
      </c>
      <c r="F13" s="64" t="s">
        <v>46</v>
      </c>
      <c r="G13" s="50">
        <v>12</v>
      </c>
      <c r="H13" s="27">
        <f>IF(B$25=0,0,G13/B$25)</f>
        <v>4.8979591836734691E-2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127</v>
      </c>
      <c r="C14" s="24">
        <f>IF(B$12=0,0,B14/B$12)</f>
        <v>0.65803108808290156</v>
      </c>
      <c r="E14" s="68" t="s">
        <v>90</v>
      </c>
      <c r="F14" s="64" t="s">
        <v>43</v>
      </c>
      <c r="G14" s="50">
        <v>8</v>
      </c>
      <c r="H14" s="27">
        <f>IF(B$25=0,0,G14/B$25)</f>
        <v>3.2653061224489799E-2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73</v>
      </c>
      <c r="C15" s="24">
        <f>IF(B$13=0,0,B15/B$13)</f>
        <v>0.46496815286624205</v>
      </c>
      <c r="E15" s="68" t="s">
        <v>88</v>
      </c>
      <c r="F15" s="64" t="s">
        <v>41</v>
      </c>
      <c r="G15" s="50">
        <v>6</v>
      </c>
      <c r="H15" s="27">
        <f>IF(B$25=0,0,G15/B$25)</f>
        <v>2.4489795918367346E-2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B18+B17</f>
        <v>404</v>
      </c>
      <c r="C16" s="24">
        <f>IF(B$3=0,0,B16/B$3)</f>
        <v>0.35345581802274717</v>
      </c>
      <c r="E16" s="68" t="s">
        <v>79</v>
      </c>
      <c r="F16" s="64" t="s">
        <v>32</v>
      </c>
      <c r="G16" s="50">
        <v>3</v>
      </c>
      <c r="H16" s="27">
        <f>IF(B$25=0,0,G16/B$25)</f>
        <v>1.2244897959183673E-2</v>
      </c>
      <c r="J16" s="26">
        <v>14</v>
      </c>
      <c r="K16" s="28">
        <v>27.300000000000011</v>
      </c>
    </row>
    <row r="17" spans="1:11" x14ac:dyDescent="0.4">
      <c r="A17" s="58" t="s">
        <v>12</v>
      </c>
      <c r="B17" s="50">
        <v>150</v>
      </c>
      <c r="C17" s="27">
        <f>IF(B$16=0,0,B17/B$16)</f>
        <v>0.37128712871287128</v>
      </c>
      <c r="E17" s="68" t="s">
        <v>83</v>
      </c>
      <c r="F17" s="64" t="s">
        <v>36</v>
      </c>
      <c r="G17" s="50">
        <v>3</v>
      </c>
      <c r="H17" s="27">
        <f>IF(B$25=0,0,G17/B$25)</f>
        <v>1.2244897959183673E-2</v>
      </c>
      <c r="J17" s="26">
        <v>15</v>
      </c>
      <c r="K17" s="28">
        <v>-9.6999999999999886</v>
      </c>
    </row>
    <row r="18" spans="1:11" x14ac:dyDescent="0.4">
      <c r="A18" s="58" t="s">
        <v>11</v>
      </c>
      <c r="B18" s="50">
        <v>254</v>
      </c>
      <c r="C18" s="27">
        <f>IF(B$16=0,0,B18/B$16)</f>
        <v>0.62871287128712872</v>
      </c>
      <c r="E18" s="68" t="s">
        <v>81</v>
      </c>
      <c r="F18" s="64" t="s">
        <v>34</v>
      </c>
      <c r="G18" s="50">
        <v>2</v>
      </c>
      <c r="H18" s="27">
        <f>IF(B$25=0,0,G18/B$25)</f>
        <v>8.1632653061224497E-3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168</v>
      </c>
      <c r="C19" s="27">
        <f>IF(B$3=0,0,B19/B$3)</f>
        <v>0.14698162729658792</v>
      </c>
      <c r="E19" s="68" t="s">
        <v>94</v>
      </c>
      <c r="F19" s="64" t="s">
        <v>47</v>
      </c>
      <c r="G19" s="50">
        <v>2</v>
      </c>
      <c r="H19" s="27">
        <f>IF(B$25=0,0,G19/B$25)</f>
        <v>8.1632653061224497E-3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9796.5346534653472</v>
      </c>
      <c r="C20" s="30">
        <v>3957800</v>
      </c>
      <c r="E20" s="68" t="s">
        <v>98</v>
      </c>
      <c r="F20" s="64" t="s">
        <v>51</v>
      </c>
      <c r="G20" s="50">
        <v>2</v>
      </c>
      <c r="H20" s="27">
        <f>IF(B$25=0,0,G20/B$25)</f>
        <v>8.1632653061224497E-3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-9554.1666666666661</v>
      </c>
      <c r="C21" s="48">
        <v>-1605100</v>
      </c>
      <c r="E21" s="68" t="s">
        <v>99</v>
      </c>
      <c r="F21" s="64" t="s">
        <v>52</v>
      </c>
      <c r="G21" s="50">
        <v>2</v>
      </c>
      <c r="H21" s="27">
        <f>IF(B$25=0,0,G21/B$25)</f>
        <v>8.1632653061224497E-3</v>
      </c>
      <c r="J21" s="26">
        <v>19</v>
      </c>
      <c r="K21" s="28">
        <v>42.600000000000016</v>
      </c>
    </row>
    <row r="22" spans="1:11" x14ac:dyDescent="0.4">
      <c r="A22" s="57" t="s">
        <v>178</v>
      </c>
      <c r="B22" s="49">
        <v>402</v>
      </c>
      <c r="C22" s="24">
        <f>IF(B$3=0,0,B22/B$3)</f>
        <v>0.35170603674540685</v>
      </c>
      <c r="E22" s="68" t="s">
        <v>84</v>
      </c>
      <c r="F22" s="64" t="s">
        <v>37</v>
      </c>
      <c r="G22" s="50">
        <v>1</v>
      </c>
      <c r="H22" s="27">
        <f>IF(B$25=0,0,G22/B$25)</f>
        <v>4.0816326530612249E-3</v>
      </c>
      <c r="J22" s="26">
        <v>20</v>
      </c>
      <c r="K22" s="28">
        <v>68.800000000000011</v>
      </c>
    </row>
    <row r="23" spans="1:11" x14ac:dyDescent="0.4">
      <c r="A23" s="60" t="s">
        <v>179</v>
      </c>
      <c r="B23" s="52">
        <v>167</v>
      </c>
      <c r="C23" s="32">
        <f>IF(B$22=0,0,B23/B$22)</f>
        <v>0.4154228855721393</v>
      </c>
      <c r="E23" s="68" t="s">
        <v>85</v>
      </c>
      <c r="F23" s="64" t="s">
        <v>38</v>
      </c>
      <c r="G23" s="50">
        <v>1</v>
      </c>
      <c r="H23" s="27">
        <f>IF(B$25=0,0,G23/B$25)</f>
        <v>4.0816326530612249E-3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6">
        <v>680</v>
      </c>
      <c r="C24" s="87"/>
      <c r="E24" s="68" t="s">
        <v>92</v>
      </c>
      <c r="F24" s="64" t="s">
        <v>45</v>
      </c>
      <c r="G24" s="50">
        <v>1</v>
      </c>
      <c r="H24" s="27">
        <f>IF(B$25=0,0,G24/B$25)</f>
        <v>4.0816326530612249E-3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8">
        <v>245</v>
      </c>
      <c r="C25" s="89"/>
      <c r="E25" s="68" t="s">
        <v>97</v>
      </c>
      <c r="F25" s="64" t="s">
        <v>50</v>
      </c>
      <c r="G25" s="50">
        <v>1</v>
      </c>
      <c r="H25" s="27">
        <f>IF(B$25=0,0,G25/B$25)</f>
        <v>4.0816326530612249E-3</v>
      </c>
      <c r="J25" s="26">
        <v>23</v>
      </c>
      <c r="K25" s="28">
        <v>124.50000000000001</v>
      </c>
    </row>
    <row r="26" spans="1:11" x14ac:dyDescent="0.4">
      <c r="A26" s="78" t="s">
        <v>202</v>
      </c>
      <c r="B26" s="90">
        <v>10</v>
      </c>
      <c r="C26" s="91"/>
      <c r="E26" s="68" t="s">
        <v>113</v>
      </c>
      <c r="F26" s="64" t="s">
        <v>120</v>
      </c>
      <c r="G26" s="50">
        <v>1</v>
      </c>
      <c r="H26" s="27">
        <f>IF(B$25=0,0,G26/B$25)</f>
        <v>4.0816326530612249E-3</v>
      </c>
      <c r="J26" s="26">
        <v>24</v>
      </c>
      <c r="K26" s="28">
        <v>118.00000000000001</v>
      </c>
    </row>
    <row r="27" spans="1:11" x14ac:dyDescent="0.4">
      <c r="A27" s="60" t="s">
        <v>204</v>
      </c>
      <c r="B27" s="79">
        <v>1</v>
      </c>
      <c r="C27" s="32">
        <f>IF(B$3=0,0,B27/B$3)</f>
        <v>8.7489063867016625E-4</v>
      </c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  <row r="135" spans="10:11" x14ac:dyDescent="0.4">
      <c r="J135" s="26">
        <v>133</v>
      </c>
      <c r="K135" s="28">
        <v>689.80000000000018</v>
      </c>
    </row>
    <row r="136" spans="10:11" x14ac:dyDescent="0.4">
      <c r="J136" s="26">
        <v>134</v>
      </c>
      <c r="K136" s="28">
        <v>697.60000000000014</v>
      </c>
    </row>
    <row r="137" spans="10:11" x14ac:dyDescent="0.4">
      <c r="J137" s="26">
        <v>135</v>
      </c>
      <c r="K137" s="28">
        <v>765.70000000000016</v>
      </c>
    </row>
    <row r="138" spans="10:11" x14ac:dyDescent="0.4">
      <c r="J138" s="26">
        <v>136</v>
      </c>
      <c r="K138" s="28">
        <v>770.9000000000002</v>
      </c>
    </row>
    <row r="139" spans="10:11" x14ac:dyDescent="0.4">
      <c r="J139" s="26">
        <v>137</v>
      </c>
      <c r="K139" s="28">
        <v>787.10000000000025</v>
      </c>
    </row>
    <row r="140" spans="10:11" x14ac:dyDescent="0.4">
      <c r="J140" s="26">
        <v>138</v>
      </c>
      <c r="K140" s="28">
        <v>811.3000000000003</v>
      </c>
    </row>
    <row r="141" spans="10:11" x14ac:dyDescent="0.4">
      <c r="J141" s="26">
        <v>139</v>
      </c>
      <c r="K141" s="28">
        <v>831.90000000000032</v>
      </c>
    </row>
    <row r="142" spans="10:11" x14ac:dyDescent="0.4">
      <c r="J142" s="26">
        <v>140</v>
      </c>
      <c r="K142" s="28">
        <v>839.20000000000027</v>
      </c>
    </row>
    <row r="143" spans="10:11" x14ac:dyDescent="0.4">
      <c r="J143" s="26">
        <v>141</v>
      </c>
      <c r="K143" s="28">
        <v>844.00000000000023</v>
      </c>
    </row>
    <row r="144" spans="10:11" x14ac:dyDescent="0.4">
      <c r="J144" s="26">
        <v>142</v>
      </c>
      <c r="K144" s="28">
        <v>848.10000000000025</v>
      </c>
    </row>
    <row r="145" spans="10:11" x14ac:dyDescent="0.4">
      <c r="J145" s="26">
        <v>143</v>
      </c>
      <c r="K145" s="28">
        <v>836.10000000000025</v>
      </c>
    </row>
    <row r="146" spans="10:11" x14ac:dyDescent="0.4">
      <c r="J146" s="26">
        <v>144</v>
      </c>
      <c r="K146" s="28">
        <v>848.60000000000025</v>
      </c>
    </row>
    <row r="147" spans="10:11" x14ac:dyDescent="0.4">
      <c r="J147" s="26">
        <v>145</v>
      </c>
      <c r="K147" s="28">
        <v>835.70000000000027</v>
      </c>
    </row>
    <row r="148" spans="10:11" x14ac:dyDescent="0.4">
      <c r="J148" s="26">
        <v>146</v>
      </c>
      <c r="K148" s="28">
        <v>851.3000000000003</v>
      </c>
    </row>
    <row r="149" spans="10:11" x14ac:dyDescent="0.4">
      <c r="J149" s="26">
        <v>147</v>
      </c>
      <c r="K149" s="28">
        <v>866.90000000000032</v>
      </c>
    </row>
    <row r="150" spans="10:11" x14ac:dyDescent="0.4">
      <c r="J150" s="26">
        <v>148</v>
      </c>
      <c r="K150" s="28">
        <v>830.90000000000032</v>
      </c>
    </row>
    <row r="151" spans="10:11" x14ac:dyDescent="0.4">
      <c r="J151" s="26">
        <v>149</v>
      </c>
      <c r="K151" s="28">
        <v>801.3000000000003</v>
      </c>
    </row>
    <row r="152" spans="10:11" x14ac:dyDescent="0.4">
      <c r="J152" s="26">
        <v>150</v>
      </c>
      <c r="K152" s="28">
        <v>808.10000000000025</v>
      </c>
    </row>
    <row r="153" spans="10:11" x14ac:dyDescent="0.4">
      <c r="J153" s="26">
        <v>151</v>
      </c>
      <c r="K153" s="28">
        <v>794.10000000000025</v>
      </c>
    </row>
    <row r="154" spans="10:11" x14ac:dyDescent="0.4">
      <c r="J154" s="26">
        <v>152</v>
      </c>
      <c r="K154" s="28">
        <v>784.10000000000025</v>
      </c>
    </row>
    <row r="155" spans="10:11" x14ac:dyDescent="0.4">
      <c r="J155" s="26">
        <v>153</v>
      </c>
      <c r="K155" s="28">
        <v>828.70000000000027</v>
      </c>
    </row>
    <row r="156" spans="10:11" x14ac:dyDescent="0.4">
      <c r="J156" s="26">
        <v>154</v>
      </c>
      <c r="K156" s="28">
        <v>824.00000000000023</v>
      </c>
    </row>
    <row r="157" spans="10:11" x14ac:dyDescent="0.4">
      <c r="J157" s="26">
        <v>155</v>
      </c>
      <c r="K157" s="28">
        <v>838.4000000000002</v>
      </c>
    </row>
  </sheetData>
  <sortState ref="E2:H157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7F5ED-F2F4-4CB0-81C7-3E8F007E4C0B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138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4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4">
        <v>25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182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6">
        <v>-132.1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183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6">
        <f>IF(B$2=0,0,B$4/B$2)</f>
        <v>-33.024999999999999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184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8">
        <f>IF(B$2=0,0,(B$7*1+B$8*2+B$9*3)/B$2)</f>
        <v>3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185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</v>
      </c>
      <c r="C17" s="27">
        <f>IF(B$16=0,0,B17/B$16)</f>
        <v>1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0</v>
      </c>
      <c r="C18" s="27">
        <f>IF(B$16=0,0,B18/B$16)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B0165-BB92-40A0-B52D-55D74DF00400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139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3</v>
      </c>
      <c r="C2" s="87"/>
      <c r="E2" s="67" t="s">
        <v>72</v>
      </c>
      <c r="F2" s="63" t="s">
        <v>26</v>
      </c>
      <c r="G2" s="49">
        <v>2</v>
      </c>
      <c r="H2" s="24">
        <f>IF(B$25=0,0,G2/B$25)</f>
        <v>2</v>
      </c>
      <c r="J2" s="23">
        <v>0</v>
      </c>
      <c r="K2" s="25">
        <v>0</v>
      </c>
      <c r="M2" s="23" t="s">
        <v>181</v>
      </c>
      <c r="N2" s="44">
        <f t="shared" ref="N2:N7" si="0">IF(P2=0,0,O2/P2)</f>
        <v>-8666.6666666666661</v>
      </c>
      <c r="O2" s="41">
        <v>-26000</v>
      </c>
      <c r="P2" s="39">
        <v>3</v>
      </c>
    </row>
    <row r="3" spans="1:16" x14ac:dyDescent="0.4">
      <c r="A3" s="58" t="s">
        <v>8</v>
      </c>
      <c r="B3" s="94">
        <v>16</v>
      </c>
      <c r="C3" s="95"/>
      <c r="E3" s="68" t="s">
        <v>69</v>
      </c>
      <c r="F3" s="64" t="s">
        <v>23</v>
      </c>
      <c r="G3" s="50">
        <v>1</v>
      </c>
      <c r="H3" s="27">
        <f>IF(B$25=0,0,G3/B$25)</f>
        <v>1</v>
      </c>
      <c r="J3" s="26">
        <v>1</v>
      </c>
      <c r="K3" s="28">
        <v>7</v>
      </c>
      <c r="M3" s="26" t="s">
        <v>182</v>
      </c>
      <c r="N3" s="45">
        <f t="shared" si="0"/>
        <v>-250</v>
      </c>
      <c r="O3" s="42">
        <v>-500</v>
      </c>
      <c r="P3" s="37">
        <v>2</v>
      </c>
    </row>
    <row r="4" spans="1:16" x14ac:dyDescent="0.4">
      <c r="A4" s="58" t="s">
        <v>6</v>
      </c>
      <c r="B4" s="96">
        <v>-26.5</v>
      </c>
      <c r="C4" s="97"/>
      <c r="E4" s="68" t="s">
        <v>75</v>
      </c>
      <c r="F4" s="64" t="s">
        <v>28</v>
      </c>
      <c r="G4" s="50">
        <v>1</v>
      </c>
      <c r="H4" s="27">
        <f>IF(B$25=0,0,G4/B$25)</f>
        <v>1</v>
      </c>
      <c r="J4" s="26">
        <v>2</v>
      </c>
      <c r="K4" s="28">
        <v>-24.5</v>
      </c>
      <c r="M4" s="26" t="s">
        <v>183</v>
      </c>
      <c r="N4" s="45">
        <f t="shared" si="0"/>
        <v>-3500</v>
      </c>
      <c r="O4" s="42">
        <v>-7000</v>
      </c>
      <c r="P4" s="37">
        <v>2</v>
      </c>
    </row>
    <row r="5" spans="1:16" x14ac:dyDescent="0.4">
      <c r="A5" s="58" t="s">
        <v>7</v>
      </c>
      <c r="B5" s="96">
        <f>IF(B$2=0,0,B$4/B$2)</f>
        <v>-8.8333333333333339</v>
      </c>
      <c r="C5" s="97"/>
      <c r="E5" s="68" t="s">
        <v>77</v>
      </c>
      <c r="F5" s="64" t="s">
        <v>30</v>
      </c>
      <c r="G5" s="50">
        <v>1</v>
      </c>
      <c r="H5" s="27">
        <f>IF(B$25=0,0,G5/B$25)</f>
        <v>1</v>
      </c>
      <c r="J5" s="26">
        <v>3</v>
      </c>
      <c r="K5" s="28">
        <v>-26.5</v>
      </c>
      <c r="M5" s="26" t="s">
        <v>184</v>
      </c>
      <c r="N5" s="45">
        <f t="shared" si="0"/>
        <v>0</v>
      </c>
      <c r="O5" s="42">
        <v>0</v>
      </c>
      <c r="P5" s="37">
        <v>1</v>
      </c>
    </row>
    <row r="6" spans="1:16" x14ac:dyDescent="0.4">
      <c r="A6" s="58" t="s">
        <v>1</v>
      </c>
      <c r="B6" s="98">
        <f>IF(B$2=0,0,(B$7*1+B$8*2+B$9*3)/B$2)</f>
        <v>2.3333333333333335</v>
      </c>
      <c r="C6" s="99"/>
      <c r="E6" s="68" t="s">
        <v>70</v>
      </c>
      <c r="F6" s="64" t="s">
        <v>24</v>
      </c>
      <c r="G6" s="50">
        <v>0</v>
      </c>
      <c r="H6" s="27">
        <f>IF(B$25=0,0,G6/B$25)</f>
        <v>0</v>
      </c>
      <c r="M6" s="26" t="s">
        <v>185</v>
      </c>
      <c r="N6" s="45">
        <f t="shared" si="0"/>
        <v>8000</v>
      </c>
      <c r="O6" s="42">
        <v>8000</v>
      </c>
      <c r="P6" s="37">
        <v>1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71</v>
      </c>
      <c r="F7" s="64" t="s">
        <v>25</v>
      </c>
      <c r="G7" s="50">
        <v>0</v>
      </c>
      <c r="H7" s="27">
        <f>IF(B$25=0,0,G7/B$25)</f>
        <v>0</v>
      </c>
      <c r="M7" s="31" t="s">
        <v>186</v>
      </c>
      <c r="N7" s="46">
        <f t="shared" si="0"/>
        <v>-1000</v>
      </c>
      <c r="O7" s="43">
        <v>-1000</v>
      </c>
      <c r="P7" s="38">
        <v>1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0.66666666666666663</v>
      </c>
      <c r="E8" s="68" t="s">
        <v>73</v>
      </c>
      <c r="F8" s="64" t="s">
        <v>27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0.33333333333333331</v>
      </c>
      <c r="E9" s="68" t="s">
        <v>74</v>
      </c>
      <c r="F9" s="64" t="s">
        <v>12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76</v>
      </c>
      <c r="F10" s="64" t="s">
        <v>29</v>
      </c>
      <c r="G10" s="50">
        <v>0</v>
      </c>
      <c r="H10" s="27">
        <f>IF(B$25=0,0,G10/B$25)</f>
        <v>0</v>
      </c>
    </row>
    <row r="11" spans="1:16" x14ac:dyDescent="0.4">
      <c r="A11" s="60" t="s">
        <v>191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5</v>
      </c>
      <c r="C12" s="35">
        <f>IF(B$24=0,0,B12/B$24)</f>
        <v>0.45454545454545453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0.2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3</v>
      </c>
      <c r="C16" s="24">
        <f>IF(B$3=0,0,B16/B$3)</f>
        <v>0.1875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0</v>
      </c>
      <c r="C17" s="27">
        <f>IF(B$16=0,0,B17/B$16)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3</v>
      </c>
      <c r="C18" s="27">
        <f>IF(B$16=0,0,B18/B$16)</f>
        <v>1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0.125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24000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3</v>
      </c>
      <c r="C22" s="24">
        <f>IF(B$3=0,0,B22/B$3)</f>
        <v>0.1875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11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2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7853C-DF4F-4EF3-BE0A-093936A77F6C}">
  <sheetPr codeName="Sheet7"/>
  <dimension ref="A1:P10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141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102</v>
      </c>
      <c r="C2" s="87"/>
      <c r="E2" s="67" t="s">
        <v>73</v>
      </c>
      <c r="F2" s="63" t="s">
        <v>27</v>
      </c>
      <c r="G2" s="49">
        <v>107</v>
      </c>
      <c r="H2" s="24">
        <f>IF(B$25=0,0,G2/B$25)</f>
        <v>0.78676470588235292</v>
      </c>
      <c r="J2" s="23">
        <v>0</v>
      </c>
      <c r="K2" s="25">
        <v>0</v>
      </c>
      <c r="M2" s="23" t="s">
        <v>181</v>
      </c>
      <c r="N2" s="44">
        <f t="shared" ref="N2:N7" si="0">IF(P2=0,0,O2/P2)</f>
        <v>-229</v>
      </c>
      <c r="O2" s="41">
        <v>-22900</v>
      </c>
      <c r="P2" s="39">
        <v>100</v>
      </c>
    </row>
    <row r="3" spans="1:16" x14ac:dyDescent="0.4">
      <c r="A3" s="58" t="s">
        <v>8</v>
      </c>
      <c r="B3" s="94">
        <v>771</v>
      </c>
      <c r="C3" s="95"/>
      <c r="E3" s="68" t="s">
        <v>71</v>
      </c>
      <c r="F3" s="64" t="s">
        <v>25</v>
      </c>
      <c r="G3" s="50">
        <v>93</v>
      </c>
      <c r="H3" s="27">
        <f>IF(B$25=0,0,G3/B$25)</f>
        <v>0.68382352941176472</v>
      </c>
      <c r="J3" s="26">
        <v>1</v>
      </c>
      <c r="K3" s="28">
        <v>40.9</v>
      </c>
      <c r="M3" s="26" t="s">
        <v>182</v>
      </c>
      <c r="N3" s="45">
        <f t="shared" si="0"/>
        <v>-1920.8333333333333</v>
      </c>
      <c r="O3" s="42">
        <v>-184400</v>
      </c>
      <c r="P3" s="37">
        <v>96</v>
      </c>
    </row>
    <row r="4" spans="1:16" x14ac:dyDescent="0.4">
      <c r="A4" s="58" t="s">
        <v>6</v>
      </c>
      <c r="B4" s="96">
        <v>-401.4</v>
      </c>
      <c r="C4" s="97"/>
      <c r="E4" s="68" t="s">
        <v>69</v>
      </c>
      <c r="F4" s="64" t="s">
        <v>23</v>
      </c>
      <c r="G4" s="50">
        <v>81</v>
      </c>
      <c r="H4" s="27">
        <f>IF(B$25=0,0,G4/B$25)</f>
        <v>0.59558823529411764</v>
      </c>
      <c r="J4" s="26">
        <v>2</v>
      </c>
      <c r="K4" s="28">
        <v>-0.89999999999999858</v>
      </c>
      <c r="M4" s="26" t="s">
        <v>183</v>
      </c>
      <c r="N4" s="45">
        <f t="shared" si="0"/>
        <v>2396.7741935483873</v>
      </c>
      <c r="O4" s="42">
        <v>222900</v>
      </c>
      <c r="P4" s="37">
        <v>93</v>
      </c>
    </row>
    <row r="5" spans="1:16" x14ac:dyDescent="0.4">
      <c r="A5" s="58" t="s">
        <v>7</v>
      </c>
      <c r="B5" s="96">
        <f>IF(B$2=0,0,B$4/B$2)</f>
        <v>-3.9352941176470586</v>
      </c>
      <c r="C5" s="97"/>
      <c r="E5" s="68" t="s">
        <v>78</v>
      </c>
      <c r="F5" s="64" t="s">
        <v>31</v>
      </c>
      <c r="G5" s="50">
        <v>78</v>
      </c>
      <c r="H5" s="27">
        <f>IF(B$25=0,0,G5/B$25)</f>
        <v>0.57352941176470584</v>
      </c>
      <c r="J5" s="26">
        <v>3</v>
      </c>
      <c r="K5" s="28">
        <v>-36.4</v>
      </c>
      <c r="M5" s="26" t="s">
        <v>184</v>
      </c>
      <c r="N5" s="45">
        <f t="shared" si="0"/>
        <v>-2029.2682926829268</v>
      </c>
      <c r="O5" s="42">
        <v>-166400</v>
      </c>
      <c r="P5" s="37">
        <v>82</v>
      </c>
    </row>
    <row r="6" spans="1:16" x14ac:dyDescent="0.4">
      <c r="A6" s="58" t="s">
        <v>1</v>
      </c>
      <c r="B6" s="98">
        <f>IF(B$2=0,0,(B$7*1+B$8*2+B$9*3)/B$2)</f>
        <v>2.1176470588235294</v>
      </c>
      <c r="C6" s="99"/>
      <c r="E6" s="68" t="s">
        <v>74</v>
      </c>
      <c r="F6" s="64" t="s">
        <v>12</v>
      </c>
      <c r="G6" s="50">
        <v>46</v>
      </c>
      <c r="H6" s="27">
        <f>IF(B$25=0,0,G6/B$25)</f>
        <v>0.33823529411764708</v>
      </c>
      <c r="J6" s="26">
        <v>4</v>
      </c>
      <c r="K6" s="28">
        <v>3.6000000000000014</v>
      </c>
      <c r="M6" s="26" t="s">
        <v>185</v>
      </c>
      <c r="N6" s="45">
        <f t="shared" si="0"/>
        <v>-2465.6716417910447</v>
      </c>
      <c r="O6" s="42">
        <v>-165200</v>
      </c>
      <c r="P6" s="37">
        <v>67</v>
      </c>
    </row>
    <row r="7" spans="1:16" x14ac:dyDescent="0.4">
      <c r="A7" s="58" t="s">
        <v>2</v>
      </c>
      <c r="B7" s="50">
        <v>30</v>
      </c>
      <c r="C7" s="27">
        <f>IF(B$2=0,0,B7/B$2)</f>
        <v>0.29411764705882354</v>
      </c>
      <c r="E7" s="68" t="s">
        <v>72</v>
      </c>
      <c r="F7" s="64" t="s">
        <v>26</v>
      </c>
      <c r="G7" s="50">
        <v>39</v>
      </c>
      <c r="H7" s="27">
        <f>IF(B$25=0,0,G7/B$25)</f>
        <v>0.28676470588235292</v>
      </c>
      <c r="J7" s="26">
        <v>5</v>
      </c>
      <c r="K7" s="28">
        <v>14.600000000000001</v>
      </c>
      <c r="M7" s="31" t="s">
        <v>186</v>
      </c>
      <c r="N7" s="46">
        <f t="shared" si="0"/>
        <v>-2373.0769230769229</v>
      </c>
      <c r="O7" s="43">
        <v>-123400</v>
      </c>
      <c r="P7" s="38">
        <v>52</v>
      </c>
    </row>
    <row r="8" spans="1:16" x14ac:dyDescent="0.4">
      <c r="A8" s="58" t="s">
        <v>3</v>
      </c>
      <c r="B8" s="50">
        <v>30</v>
      </c>
      <c r="C8" s="27">
        <f t="shared" ref="C8:C9" si="1">IF(B$2=0,0,B8/B$2)</f>
        <v>0.29411764705882354</v>
      </c>
      <c r="E8" s="68" t="s">
        <v>96</v>
      </c>
      <c r="F8" s="64" t="s">
        <v>49</v>
      </c>
      <c r="G8" s="50">
        <v>24</v>
      </c>
      <c r="H8" s="27">
        <f>IF(B$25=0,0,G8/B$25)</f>
        <v>0.17647058823529413</v>
      </c>
      <c r="J8" s="26">
        <v>6</v>
      </c>
      <c r="K8" s="28">
        <v>47.6</v>
      </c>
    </row>
    <row r="9" spans="1:16" x14ac:dyDescent="0.4">
      <c r="A9" s="59" t="s">
        <v>4</v>
      </c>
      <c r="B9" s="51">
        <v>42</v>
      </c>
      <c r="C9" s="29">
        <f t="shared" si="1"/>
        <v>0.41176470588235292</v>
      </c>
      <c r="E9" s="68" t="s">
        <v>75</v>
      </c>
      <c r="F9" s="64" t="s">
        <v>28</v>
      </c>
      <c r="G9" s="50">
        <v>20</v>
      </c>
      <c r="H9" s="27">
        <f>IF(B$25=0,0,G9/B$25)</f>
        <v>0.14705882352941177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22</v>
      </c>
      <c r="C10" s="29">
        <f>IF(B$2=0,0,B10/B$2)</f>
        <v>0.21568627450980393</v>
      </c>
      <c r="E10" s="68" t="s">
        <v>76</v>
      </c>
      <c r="F10" s="64" t="s">
        <v>29</v>
      </c>
      <c r="G10" s="50">
        <v>20</v>
      </c>
      <c r="H10" s="27">
        <f>IF(B$25=0,0,G10/B$25)</f>
        <v>0.14705882352941177</v>
      </c>
      <c r="J10" s="26">
        <v>8</v>
      </c>
      <c r="K10" s="28">
        <v>60.199999999999996</v>
      </c>
    </row>
    <row r="11" spans="1:16" x14ac:dyDescent="0.4">
      <c r="A11" s="60" t="s">
        <v>191</v>
      </c>
      <c r="B11" s="52">
        <v>15</v>
      </c>
      <c r="C11" s="32">
        <f>IF(B$2=0,0,B11/B$2)</f>
        <v>0.14705882352941177</v>
      </c>
      <c r="E11" s="68" t="s">
        <v>70</v>
      </c>
      <c r="F11" s="64" t="s">
        <v>24</v>
      </c>
      <c r="G11" s="50">
        <v>19</v>
      </c>
      <c r="H11" s="27">
        <f>IF(B$25=0,0,G11/B$25)</f>
        <v>0.13970588235294118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146</v>
      </c>
      <c r="C12" s="35">
        <f>IF(B$24=0,0,B12/B$24)</f>
        <v>0.28627450980392155</v>
      </c>
      <c r="E12" s="68" t="s">
        <v>93</v>
      </c>
      <c r="F12" s="64" t="s">
        <v>46</v>
      </c>
      <c r="G12" s="50">
        <v>14</v>
      </c>
      <c r="H12" s="27">
        <f>IF(B$25=0,0,G12/B$25)</f>
        <v>0.10294117647058823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96</v>
      </c>
      <c r="C13" s="27">
        <f>IF(B$24=0,0,B13/B$24)</f>
        <v>0.18823529411764706</v>
      </c>
      <c r="E13" s="68" t="s">
        <v>90</v>
      </c>
      <c r="F13" s="64" t="s">
        <v>43</v>
      </c>
      <c r="G13" s="50">
        <v>12</v>
      </c>
      <c r="H13" s="27">
        <f>IF(B$25=0,0,G13/B$25)</f>
        <v>8.8235294117647065E-2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82</v>
      </c>
      <c r="C14" s="24">
        <f>IF(B$12=0,0,B14/B$12)</f>
        <v>0.56164383561643838</v>
      </c>
      <c r="E14" s="68" t="s">
        <v>98</v>
      </c>
      <c r="F14" s="64" t="s">
        <v>51</v>
      </c>
      <c r="G14" s="50">
        <v>7</v>
      </c>
      <c r="H14" s="27">
        <f>IF(B$25=0,0,G14/B$25)</f>
        <v>5.1470588235294115E-2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36</v>
      </c>
      <c r="C15" s="24">
        <f>IF(B$13=0,0,B15/B$13)</f>
        <v>0.375</v>
      </c>
      <c r="E15" s="68" t="s">
        <v>88</v>
      </c>
      <c r="F15" s="64" t="s">
        <v>41</v>
      </c>
      <c r="G15" s="50">
        <v>5</v>
      </c>
      <c r="H15" s="27">
        <f>IF(B$25=0,0,G15/B$25)</f>
        <v>3.6764705882352942E-2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B18+B17</f>
        <v>197</v>
      </c>
      <c r="C16" s="24">
        <f>IF(B$3=0,0,B16/B$3)</f>
        <v>0.25551232166018156</v>
      </c>
      <c r="E16" s="68" t="s">
        <v>77</v>
      </c>
      <c r="F16" s="64" t="s">
        <v>30</v>
      </c>
      <c r="G16" s="50">
        <v>4</v>
      </c>
      <c r="H16" s="27">
        <f>IF(B$25=0,0,G16/B$25)</f>
        <v>2.9411764705882353E-2</v>
      </c>
      <c r="J16" s="26">
        <v>14</v>
      </c>
      <c r="K16" s="28">
        <v>33</v>
      </c>
    </row>
    <row r="17" spans="1:11" x14ac:dyDescent="0.4">
      <c r="A17" s="58" t="s">
        <v>12</v>
      </c>
      <c r="B17" s="50">
        <v>82</v>
      </c>
      <c r="C17" s="27">
        <f>IF(B$16=0,0,B17/B$16)</f>
        <v>0.41624365482233505</v>
      </c>
      <c r="E17" s="68" t="s">
        <v>84</v>
      </c>
      <c r="F17" s="64" t="s">
        <v>37</v>
      </c>
      <c r="G17" s="50">
        <v>2</v>
      </c>
      <c r="H17" s="27">
        <f>IF(B$25=0,0,G17/B$25)</f>
        <v>1.4705882352941176E-2</v>
      </c>
      <c r="J17" s="26">
        <v>15</v>
      </c>
      <c r="K17" s="28">
        <v>38.5</v>
      </c>
    </row>
    <row r="18" spans="1:11" x14ac:dyDescent="0.4">
      <c r="A18" s="58" t="s">
        <v>11</v>
      </c>
      <c r="B18" s="50">
        <v>115</v>
      </c>
      <c r="C18" s="27">
        <f>IF(B$16=0,0,B18/B$16)</f>
        <v>0.58375634517766495</v>
      </c>
      <c r="E18" s="68" t="s">
        <v>85</v>
      </c>
      <c r="F18" s="64" t="s">
        <v>38</v>
      </c>
      <c r="G18" s="50">
        <v>2</v>
      </c>
      <c r="H18" s="27">
        <f>IF(B$25=0,0,G18/B$25)</f>
        <v>1.4705882352941176E-2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151</v>
      </c>
      <c r="C19" s="27">
        <f>IF(B$3=0,0,B19/B$3)</f>
        <v>0.19584954604409857</v>
      </c>
      <c r="E19" s="68" t="s">
        <v>92</v>
      </c>
      <c r="F19" s="64" t="s">
        <v>45</v>
      </c>
      <c r="G19" s="50">
        <v>2</v>
      </c>
      <c r="H19" s="27">
        <f>IF(B$25=0,0,G19/B$25)</f>
        <v>1.4705882352941176E-2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11441.116751269035</v>
      </c>
      <c r="C20" s="30">
        <v>2253900</v>
      </c>
      <c r="E20" s="68" t="s">
        <v>99</v>
      </c>
      <c r="F20" s="64" t="s">
        <v>52</v>
      </c>
      <c r="G20" s="50">
        <v>2</v>
      </c>
      <c r="H20" s="27">
        <f>IF(B$25=0,0,G20/B$25)</f>
        <v>1.4705882352941176E-2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-10015.8940397351</v>
      </c>
      <c r="C21" s="48">
        <v>-1512400</v>
      </c>
      <c r="E21" s="68" t="s">
        <v>87</v>
      </c>
      <c r="F21" s="64" t="s">
        <v>40</v>
      </c>
      <c r="G21" s="50">
        <v>1</v>
      </c>
      <c r="H21" s="27">
        <f>IF(B$25=0,0,G21/B$25)</f>
        <v>7.3529411764705881E-3</v>
      </c>
      <c r="J21" s="26">
        <v>19</v>
      </c>
      <c r="K21" s="28">
        <v>-26.699999999999996</v>
      </c>
    </row>
    <row r="22" spans="1:11" x14ac:dyDescent="0.4">
      <c r="A22" s="57" t="s">
        <v>178</v>
      </c>
      <c r="B22" s="49">
        <v>241</v>
      </c>
      <c r="C22" s="24">
        <f>IF(B$3=0,0,B22/B$3)</f>
        <v>0.3125810635538262</v>
      </c>
      <c r="E22" s="68" t="s">
        <v>91</v>
      </c>
      <c r="F22" s="64" t="s">
        <v>44</v>
      </c>
      <c r="G22" s="50">
        <v>1</v>
      </c>
      <c r="H22" s="27">
        <f>IF(B$25=0,0,G22/B$25)</f>
        <v>7.3529411764705881E-3</v>
      </c>
      <c r="J22" s="26">
        <v>20</v>
      </c>
      <c r="K22" s="28">
        <v>-57.899999999999991</v>
      </c>
    </row>
    <row r="23" spans="1:11" x14ac:dyDescent="0.4">
      <c r="A23" s="60" t="s">
        <v>179</v>
      </c>
      <c r="B23" s="52">
        <v>74</v>
      </c>
      <c r="C23" s="32">
        <f>IF(B$22=0,0,B23/B$22)</f>
        <v>0.30705394190871371</v>
      </c>
      <c r="E23" s="68" t="s">
        <v>94</v>
      </c>
      <c r="F23" s="64" t="s">
        <v>47</v>
      </c>
      <c r="G23" s="50">
        <v>1</v>
      </c>
      <c r="H23" s="27">
        <f>IF(B$25=0,0,G23/B$25)</f>
        <v>7.3529411764705881E-3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6">
        <v>510</v>
      </c>
      <c r="C24" s="87"/>
      <c r="E24" s="68" t="s">
        <v>95</v>
      </c>
      <c r="F24" s="64" t="s">
        <v>48</v>
      </c>
      <c r="G24" s="50">
        <v>1</v>
      </c>
      <c r="H24" s="27">
        <f>IF(B$25=0,0,G24/B$25)</f>
        <v>7.3529411764705881E-3</v>
      </c>
      <c r="J24" s="26">
        <v>22</v>
      </c>
      <c r="K24" s="28">
        <v>-94.6</v>
      </c>
    </row>
    <row r="25" spans="1:11" x14ac:dyDescent="0.4">
      <c r="A25" s="60" t="s">
        <v>129</v>
      </c>
      <c r="B25" s="88">
        <v>136</v>
      </c>
      <c r="C25" s="89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78" t="s">
        <v>202</v>
      </c>
      <c r="B26" s="90">
        <v>10</v>
      </c>
      <c r="C26" s="91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A27" s="60" t="s">
        <v>204</v>
      </c>
      <c r="B27" s="79">
        <v>4</v>
      </c>
      <c r="C27" s="32">
        <f>IF(B$3=0,0,B27/B$3)</f>
        <v>5.1880674448767832E-3</v>
      </c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  <row r="95" spans="10:11" x14ac:dyDescent="0.4">
      <c r="J95" s="26">
        <v>93</v>
      </c>
      <c r="K95" s="28">
        <v>-401.99999999999994</v>
      </c>
    </row>
    <row r="96" spans="10:11" x14ac:dyDescent="0.4">
      <c r="J96" s="26">
        <v>94</v>
      </c>
      <c r="K96" s="28">
        <v>-372.59999999999997</v>
      </c>
    </row>
    <row r="97" spans="10:11" x14ac:dyDescent="0.4">
      <c r="J97" s="26">
        <v>95</v>
      </c>
      <c r="K97" s="28">
        <v>-399.4</v>
      </c>
    </row>
    <row r="98" spans="10:11" x14ac:dyDescent="0.4">
      <c r="J98" s="26">
        <v>96</v>
      </c>
      <c r="K98" s="28">
        <v>-381</v>
      </c>
    </row>
    <row r="99" spans="10:11" x14ac:dyDescent="0.4">
      <c r="J99" s="26">
        <v>97</v>
      </c>
      <c r="K99" s="28">
        <v>-393.5</v>
      </c>
    </row>
    <row r="100" spans="10:11" x14ac:dyDescent="0.4">
      <c r="J100" s="26">
        <v>98</v>
      </c>
      <c r="K100" s="28">
        <v>-333</v>
      </c>
    </row>
    <row r="101" spans="10:11" x14ac:dyDescent="0.4">
      <c r="J101" s="26">
        <v>99</v>
      </c>
      <c r="K101" s="28">
        <v>-362.5</v>
      </c>
    </row>
    <row r="102" spans="10:11" x14ac:dyDescent="0.4">
      <c r="J102" s="26">
        <v>100</v>
      </c>
      <c r="K102" s="28">
        <v>-376.4</v>
      </c>
    </row>
    <row r="103" spans="10:11" x14ac:dyDescent="0.4">
      <c r="J103" s="26">
        <v>101</v>
      </c>
      <c r="K103" s="28">
        <v>-374.7</v>
      </c>
    </row>
    <row r="104" spans="10:11" x14ac:dyDescent="0.4">
      <c r="J104" s="26">
        <v>102</v>
      </c>
      <c r="K104" s="28">
        <v>-401.4</v>
      </c>
    </row>
  </sheetData>
  <sortState ref="E2:H10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DF96E-3A36-4B6B-B5A3-13B2C3E4172C}">
  <sheetPr codeName="Sheet8"/>
  <dimension ref="A1:P56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142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54</v>
      </c>
      <c r="C2" s="87"/>
      <c r="E2" s="67" t="s">
        <v>71</v>
      </c>
      <c r="F2" s="63" t="s">
        <v>25</v>
      </c>
      <c r="G2" s="49">
        <v>49</v>
      </c>
      <c r="H2" s="24">
        <f>IF(B$25=0,0,G2/B$25)</f>
        <v>0.98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-590.74074074074076</v>
      </c>
      <c r="O2" s="41">
        <v>-31900</v>
      </c>
      <c r="P2" s="39">
        <v>54</v>
      </c>
    </row>
    <row r="3" spans="1:16" x14ac:dyDescent="0.4">
      <c r="A3" s="58" t="s">
        <v>8</v>
      </c>
      <c r="B3" s="94">
        <v>385</v>
      </c>
      <c r="C3" s="95"/>
      <c r="E3" s="68" t="s">
        <v>73</v>
      </c>
      <c r="F3" s="64" t="s">
        <v>27</v>
      </c>
      <c r="G3" s="50">
        <v>46</v>
      </c>
      <c r="H3" s="27">
        <f>IF(B$25=0,0,G3/B$25)</f>
        <v>0.92</v>
      </c>
      <c r="J3" s="26">
        <v>1</v>
      </c>
      <c r="K3" s="28">
        <v>-39.9</v>
      </c>
      <c r="M3" s="26" t="s">
        <v>182</v>
      </c>
      <c r="N3" s="45">
        <f t="shared" si="0"/>
        <v>2784.3137254901962</v>
      </c>
      <c r="O3" s="42">
        <v>142000</v>
      </c>
      <c r="P3" s="37">
        <v>51</v>
      </c>
    </row>
    <row r="4" spans="1:16" x14ac:dyDescent="0.4">
      <c r="A4" s="58" t="s">
        <v>6</v>
      </c>
      <c r="B4" s="96">
        <v>250.50000000000003</v>
      </c>
      <c r="C4" s="97"/>
      <c r="E4" s="68" t="s">
        <v>78</v>
      </c>
      <c r="F4" s="64" t="s">
        <v>31</v>
      </c>
      <c r="G4" s="50">
        <v>30</v>
      </c>
      <c r="H4" s="27">
        <f>IF(B$25=0,0,G4/B$25)</f>
        <v>0.6</v>
      </c>
      <c r="J4" s="26">
        <v>2</v>
      </c>
      <c r="K4" s="28">
        <v>-13.2</v>
      </c>
      <c r="M4" s="26" t="s">
        <v>183</v>
      </c>
      <c r="N4" s="45">
        <f t="shared" si="0"/>
        <v>-2071.4285714285716</v>
      </c>
      <c r="O4" s="42">
        <v>-101500</v>
      </c>
      <c r="P4" s="37">
        <v>49</v>
      </c>
    </row>
    <row r="5" spans="1:16" x14ac:dyDescent="0.4">
      <c r="A5" s="58" t="s">
        <v>7</v>
      </c>
      <c r="B5" s="96">
        <f>IF(B$2=0,0,B$4/B$2)</f>
        <v>4.6388888888888893</v>
      </c>
      <c r="C5" s="97"/>
      <c r="E5" s="68" t="s">
        <v>69</v>
      </c>
      <c r="F5" s="64" t="s">
        <v>23</v>
      </c>
      <c r="G5" s="50">
        <v>22</v>
      </c>
      <c r="H5" s="27">
        <f>IF(B$25=0,0,G5/B$25)</f>
        <v>0.44</v>
      </c>
      <c r="J5" s="26">
        <v>3</v>
      </c>
      <c r="K5" s="28">
        <v>-57.7</v>
      </c>
      <c r="M5" s="26" t="s">
        <v>184</v>
      </c>
      <c r="N5" s="45">
        <f t="shared" si="0"/>
        <v>-595.1219512195122</v>
      </c>
      <c r="O5" s="42">
        <v>-24400</v>
      </c>
      <c r="P5" s="37">
        <v>41</v>
      </c>
    </row>
    <row r="6" spans="1:16" x14ac:dyDescent="0.4">
      <c r="A6" s="58" t="s">
        <v>1</v>
      </c>
      <c r="B6" s="98">
        <f>IF(B$2=0,0,(B$7*1+B$8*2+B$9*3)/B$2)</f>
        <v>1.8888888888888888</v>
      </c>
      <c r="C6" s="99"/>
      <c r="E6" s="68" t="s">
        <v>72</v>
      </c>
      <c r="F6" s="64" t="s">
        <v>26</v>
      </c>
      <c r="G6" s="50">
        <v>17</v>
      </c>
      <c r="H6" s="27">
        <f>IF(B$25=0,0,G6/B$25)</f>
        <v>0.34</v>
      </c>
      <c r="J6" s="26">
        <v>4</v>
      </c>
      <c r="K6" s="28">
        <v>-53.7</v>
      </c>
      <c r="M6" s="26" t="s">
        <v>185</v>
      </c>
      <c r="N6" s="45">
        <f t="shared" si="0"/>
        <v>7894.2857142857147</v>
      </c>
      <c r="O6" s="42">
        <v>276300</v>
      </c>
      <c r="P6" s="37">
        <v>35</v>
      </c>
    </row>
    <row r="7" spans="1:16" x14ac:dyDescent="0.4">
      <c r="A7" s="58" t="s">
        <v>2</v>
      </c>
      <c r="B7" s="50">
        <v>19</v>
      </c>
      <c r="C7" s="27">
        <f>IF(B$2=0,0,B7/B$2)</f>
        <v>0.35185185185185186</v>
      </c>
      <c r="E7" s="68" t="s">
        <v>74</v>
      </c>
      <c r="F7" s="64" t="s">
        <v>12</v>
      </c>
      <c r="G7" s="50">
        <v>16</v>
      </c>
      <c r="H7" s="27">
        <f>IF(B$25=0,0,G7/B$25)</f>
        <v>0.32</v>
      </c>
      <c r="J7" s="26">
        <v>5</v>
      </c>
      <c r="K7" s="28">
        <v>-45.7</v>
      </c>
      <c r="M7" s="31" t="s">
        <v>186</v>
      </c>
      <c r="N7" s="46">
        <f t="shared" si="0"/>
        <v>-316.66666666666669</v>
      </c>
      <c r="O7" s="43">
        <v>-7600</v>
      </c>
      <c r="P7" s="38">
        <v>24</v>
      </c>
    </row>
    <row r="8" spans="1:16" x14ac:dyDescent="0.4">
      <c r="A8" s="58" t="s">
        <v>3</v>
      </c>
      <c r="B8" s="50">
        <v>22</v>
      </c>
      <c r="C8" s="27">
        <f t="shared" ref="C8:C9" si="1">IF(B$2=0,0,B8/B$2)</f>
        <v>0.40740740740740738</v>
      </c>
      <c r="E8" s="68" t="s">
        <v>75</v>
      </c>
      <c r="F8" s="64" t="s">
        <v>28</v>
      </c>
      <c r="G8" s="50">
        <v>5</v>
      </c>
      <c r="H8" s="27">
        <f>IF(B$25=0,0,G8/B$25)</f>
        <v>0.1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13</v>
      </c>
      <c r="C9" s="29">
        <f t="shared" si="1"/>
        <v>0.24074074074074073</v>
      </c>
      <c r="E9" s="68" t="s">
        <v>76</v>
      </c>
      <c r="F9" s="64" t="s">
        <v>29</v>
      </c>
      <c r="G9" s="50">
        <v>4</v>
      </c>
      <c r="H9" s="27">
        <f>IF(B$25=0,0,G9/B$25)</f>
        <v>0.08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7</v>
      </c>
      <c r="C10" s="29">
        <f>IF(B$2=0,0,B10/B$2)</f>
        <v>0.12962962962962962</v>
      </c>
      <c r="E10" s="68" t="s">
        <v>70</v>
      </c>
      <c r="F10" s="64" t="s">
        <v>24</v>
      </c>
      <c r="G10" s="50">
        <v>3</v>
      </c>
      <c r="H10" s="27">
        <f>IF(B$25=0,0,G10/B$25)</f>
        <v>0.06</v>
      </c>
      <c r="J10" s="26">
        <v>8</v>
      </c>
      <c r="K10" s="28">
        <v>-59.1</v>
      </c>
    </row>
    <row r="11" spans="1:16" x14ac:dyDescent="0.4">
      <c r="A11" s="60" t="s">
        <v>191</v>
      </c>
      <c r="B11" s="52">
        <v>10</v>
      </c>
      <c r="C11" s="32">
        <f>IF(B$2=0,0,B11/B$2)</f>
        <v>0.18518518518518517</v>
      </c>
      <c r="E11" s="68" t="s">
        <v>90</v>
      </c>
      <c r="F11" s="64" t="s">
        <v>43</v>
      </c>
      <c r="G11" s="50">
        <v>3</v>
      </c>
      <c r="H11" s="27">
        <f>IF(B$25=0,0,G11/B$25)</f>
        <v>0.06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33</v>
      </c>
      <c r="C12" s="35">
        <f>IF(B$24=0,0,B12/B$24)</f>
        <v>0.22448979591836735</v>
      </c>
      <c r="E12" s="68" t="s">
        <v>93</v>
      </c>
      <c r="F12" s="64" t="s">
        <v>46</v>
      </c>
      <c r="G12" s="50">
        <v>3</v>
      </c>
      <c r="H12" s="27">
        <f>IF(B$25=0,0,G12/B$25)</f>
        <v>0.06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48</v>
      </c>
      <c r="C13" s="27">
        <f>IF(B$24=0,0,B13/B$24)</f>
        <v>0.32653061224489793</v>
      </c>
      <c r="E13" s="68" t="s">
        <v>96</v>
      </c>
      <c r="F13" s="64" t="s">
        <v>49</v>
      </c>
      <c r="G13" s="50">
        <v>3</v>
      </c>
      <c r="H13" s="27">
        <f>IF(B$25=0,0,G13/B$25)</f>
        <v>0.06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22</v>
      </c>
      <c r="C14" s="24">
        <f>IF(B$12=0,0,B14/B$12)</f>
        <v>0.66666666666666663</v>
      </c>
      <c r="E14" s="68" t="s">
        <v>88</v>
      </c>
      <c r="F14" s="64" t="s">
        <v>41</v>
      </c>
      <c r="G14" s="50">
        <v>2</v>
      </c>
      <c r="H14" s="27">
        <f>IF(B$25=0,0,G14/B$25)</f>
        <v>0.04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17</v>
      </c>
      <c r="C15" s="24">
        <f>IF(B$13=0,0,B15/B$13)</f>
        <v>0.35416666666666669</v>
      </c>
      <c r="E15" s="68" t="s">
        <v>77</v>
      </c>
      <c r="F15" s="64" t="s">
        <v>30</v>
      </c>
      <c r="G15" s="50">
        <v>1</v>
      </c>
      <c r="H15" s="27">
        <f>IF(B$25=0,0,G15/B$25)</f>
        <v>0.02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B18+B17</f>
        <v>137</v>
      </c>
      <c r="C16" s="24">
        <f>IF(B$3=0,0,B16/B$3)</f>
        <v>0.35584415584415585</v>
      </c>
      <c r="E16" s="68" t="s">
        <v>84</v>
      </c>
      <c r="F16" s="64" t="s">
        <v>37</v>
      </c>
      <c r="G16" s="50">
        <v>1</v>
      </c>
      <c r="H16" s="27">
        <f>IF(B$25=0,0,G16/B$25)</f>
        <v>0.02</v>
      </c>
      <c r="J16" s="26">
        <v>14</v>
      </c>
      <c r="K16" s="28">
        <v>38.6</v>
      </c>
    </row>
    <row r="17" spans="1:11" x14ac:dyDescent="0.4">
      <c r="A17" s="58" t="s">
        <v>12</v>
      </c>
      <c r="B17" s="50">
        <v>63</v>
      </c>
      <c r="C17" s="27">
        <f>IF(B$16=0,0,B17/B$16)</f>
        <v>0.45985401459854014</v>
      </c>
      <c r="E17" s="68" t="s">
        <v>100</v>
      </c>
      <c r="F17" s="64" t="s">
        <v>53</v>
      </c>
      <c r="G17" s="50">
        <v>1</v>
      </c>
      <c r="H17" s="27">
        <f>IF(B$25=0,0,G17/B$25)</f>
        <v>0.02</v>
      </c>
      <c r="J17" s="26">
        <v>15</v>
      </c>
      <c r="K17" s="28">
        <v>55.8</v>
      </c>
    </row>
    <row r="18" spans="1:11" x14ac:dyDescent="0.4">
      <c r="A18" s="58" t="s">
        <v>11</v>
      </c>
      <c r="B18" s="50">
        <v>74</v>
      </c>
      <c r="C18" s="27">
        <f>IF(B$16=0,0,B18/B$16)</f>
        <v>0.54014598540145986</v>
      </c>
      <c r="E18" s="68" t="s">
        <v>79</v>
      </c>
      <c r="F18" s="64" t="s">
        <v>32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61</v>
      </c>
      <c r="C19" s="27">
        <f>IF(B$3=0,0,B19/B$3)</f>
        <v>0.15844155844155844</v>
      </c>
      <c r="E19" s="68" t="s">
        <v>80</v>
      </c>
      <c r="F19" s="64" t="s">
        <v>33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9855.4744525547449</v>
      </c>
      <c r="C20" s="30">
        <v>1350200</v>
      </c>
      <c r="E20" s="68" t="s">
        <v>81</v>
      </c>
      <c r="F20" s="64" t="s">
        <v>34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-9145.9016393442616</v>
      </c>
      <c r="C21" s="48">
        <v>-557900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178</v>
      </c>
      <c r="B22" s="49">
        <v>142</v>
      </c>
      <c r="C22" s="24">
        <f>IF(B$3=0,0,B22/B$3)</f>
        <v>0.36883116883116884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179</v>
      </c>
      <c r="B23" s="52">
        <v>53</v>
      </c>
      <c r="C23" s="32">
        <f>IF(B$22=0,0,B23/B$22)</f>
        <v>0.37323943661971831</v>
      </c>
      <c r="E23" s="68" t="s">
        <v>85</v>
      </c>
      <c r="F23" s="64" t="s">
        <v>38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6">
        <v>147</v>
      </c>
      <c r="C24" s="87"/>
      <c r="E24" s="68" t="s">
        <v>86</v>
      </c>
      <c r="F24" s="64" t="s">
        <v>39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8">
        <v>50</v>
      </c>
      <c r="C25" s="89"/>
      <c r="E25" s="68" t="s">
        <v>87</v>
      </c>
      <c r="F25" s="64" t="s">
        <v>40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78" t="s">
        <v>202</v>
      </c>
      <c r="B26" s="90">
        <v>7</v>
      </c>
      <c r="C26" s="91"/>
      <c r="E26" s="68" t="s">
        <v>89</v>
      </c>
      <c r="F26" s="64" t="s">
        <v>42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A27" s="60" t="s">
        <v>204</v>
      </c>
      <c r="B27" s="79">
        <v>1</v>
      </c>
      <c r="C27" s="32">
        <f>IF(B$3=0,0,B27/B$3)</f>
        <v>2.5974025974025974E-3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210.90000000000003</v>
      </c>
    </row>
    <row r="52" spans="5:11" x14ac:dyDescent="0.4">
      <c r="J52" s="26">
        <v>50</v>
      </c>
      <c r="K52" s="28">
        <v>210.90000000000003</v>
      </c>
    </row>
    <row r="53" spans="5:11" x14ac:dyDescent="0.4">
      <c r="J53" s="26">
        <v>51</v>
      </c>
      <c r="K53" s="28">
        <v>289.60000000000002</v>
      </c>
    </row>
    <row r="54" spans="5:11" x14ac:dyDescent="0.4">
      <c r="J54" s="26">
        <v>52</v>
      </c>
      <c r="K54" s="28">
        <v>316.10000000000002</v>
      </c>
    </row>
    <row r="55" spans="5:11" x14ac:dyDescent="0.4">
      <c r="J55" s="26">
        <v>53</v>
      </c>
      <c r="K55" s="28">
        <v>265.60000000000002</v>
      </c>
    </row>
    <row r="56" spans="5:11" x14ac:dyDescent="0.4">
      <c r="J56" s="26">
        <v>54</v>
      </c>
      <c r="K56" s="28">
        <v>250.50000000000003</v>
      </c>
    </row>
  </sheetData>
  <sortState ref="E2:H56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42C4C-8A0F-43AF-B5A2-79D18C44ABBF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145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4">
        <v>37</v>
      </c>
      <c r="C3" s="95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182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6">
        <v>-86.4</v>
      </c>
      <c r="C4" s="97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183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6">
        <f>IF(B$2=0,0,B$4/B$2)</f>
        <v>-17.28</v>
      </c>
      <c r="C5" s="97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184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8">
        <f>IF(B$2=0,0,(B$7*1+B$8*2+B$9*3)/B$2)</f>
        <v>2.2000000000000002</v>
      </c>
      <c r="C6" s="99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185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186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3</v>
      </c>
      <c r="C17" s="27">
        <f>IF(B$16=0,0,B17/B$16)</f>
        <v>0.3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7</v>
      </c>
      <c r="C18" s="27">
        <f>IF(B$16=0,0,B18/B$16)</f>
        <v>0.7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31</v>
      </c>
      <c r="C24" s="87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9</v>
      </c>
      <c r="C25" s="89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3</v>
      </c>
      <c r="C26" s="91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14674-EC96-42C9-B594-41AF1C4F7A74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148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48</v>
      </c>
      <c r="C2" s="87"/>
      <c r="E2" s="67" t="s">
        <v>73</v>
      </c>
      <c r="F2" s="63" t="s">
        <v>27</v>
      </c>
      <c r="G2" s="49">
        <v>38</v>
      </c>
      <c r="H2" s="24">
        <f>IF(B$25=0,0,G2/B$25)</f>
        <v>0.95</v>
      </c>
      <c r="J2" s="23">
        <v>0</v>
      </c>
      <c r="K2" s="25">
        <v>0</v>
      </c>
      <c r="M2" s="23" t="s">
        <v>181</v>
      </c>
      <c r="N2" s="44">
        <f t="shared" ref="N2:N7" si="0">IF(P2=0,0,O2/P2)</f>
        <v>-2650</v>
      </c>
      <c r="O2" s="41">
        <v>-127200</v>
      </c>
      <c r="P2" s="39">
        <v>48</v>
      </c>
    </row>
    <row r="3" spans="1:16" x14ac:dyDescent="0.4">
      <c r="A3" s="58" t="s">
        <v>8</v>
      </c>
      <c r="B3" s="94">
        <v>371</v>
      </c>
      <c r="C3" s="95"/>
      <c r="E3" s="68" t="s">
        <v>71</v>
      </c>
      <c r="F3" s="64" t="s">
        <v>25</v>
      </c>
      <c r="G3" s="50">
        <v>28</v>
      </c>
      <c r="H3" s="27">
        <f>IF(B$25=0,0,G3/B$25)</f>
        <v>0.7</v>
      </c>
      <c r="J3" s="26">
        <v>1</v>
      </c>
      <c r="K3" s="28">
        <v>68.2</v>
      </c>
      <c r="M3" s="26" t="s">
        <v>182</v>
      </c>
      <c r="N3" s="45">
        <f t="shared" si="0"/>
        <v>-2593.3333333333335</v>
      </c>
      <c r="O3" s="42">
        <v>-116700</v>
      </c>
      <c r="P3" s="37">
        <v>45</v>
      </c>
    </row>
    <row r="4" spans="1:16" x14ac:dyDescent="0.4">
      <c r="A4" s="58" t="s">
        <v>6</v>
      </c>
      <c r="B4" s="96">
        <v>-297.89999999999998</v>
      </c>
      <c r="C4" s="97"/>
      <c r="E4" s="68" t="s">
        <v>78</v>
      </c>
      <c r="F4" s="64" t="s">
        <v>31</v>
      </c>
      <c r="G4" s="50">
        <v>28</v>
      </c>
      <c r="H4" s="27">
        <f>IF(B$25=0,0,G4/B$25)</f>
        <v>0.7</v>
      </c>
      <c r="J4" s="26">
        <v>2</v>
      </c>
      <c r="K4" s="28">
        <v>58.5</v>
      </c>
      <c r="M4" s="26" t="s">
        <v>183</v>
      </c>
      <c r="N4" s="45">
        <f t="shared" si="0"/>
        <v>-1102.5641025641025</v>
      </c>
      <c r="O4" s="42">
        <v>-43000</v>
      </c>
      <c r="P4" s="37">
        <v>39</v>
      </c>
    </row>
    <row r="5" spans="1:16" x14ac:dyDescent="0.4">
      <c r="A5" s="58" t="s">
        <v>7</v>
      </c>
      <c r="B5" s="96">
        <f>IF(B$2=0,0,B$4/B$2)</f>
        <v>-6.2062499999999998</v>
      </c>
      <c r="C5" s="97"/>
      <c r="E5" s="68" t="s">
        <v>69</v>
      </c>
      <c r="F5" s="64" t="s">
        <v>23</v>
      </c>
      <c r="G5" s="50">
        <v>16</v>
      </c>
      <c r="H5" s="27">
        <f>IF(B$25=0,0,G5/B$25)</f>
        <v>0.4</v>
      </c>
      <c r="J5" s="26">
        <v>3</v>
      </c>
      <c r="K5" s="28">
        <v>82.1</v>
      </c>
      <c r="M5" s="26" t="s">
        <v>184</v>
      </c>
      <c r="N5" s="45">
        <f t="shared" si="0"/>
        <v>1729.7297297297298</v>
      </c>
      <c r="O5" s="42">
        <v>64000</v>
      </c>
      <c r="P5" s="37">
        <v>37</v>
      </c>
    </row>
    <row r="6" spans="1:16" x14ac:dyDescent="0.4">
      <c r="A6" s="58" t="s">
        <v>1</v>
      </c>
      <c r="B6" s="98">
        <f>IF(B$2=0,0,(B$7*1+B$8*2+B$9*3)/B$2)</f>
        <v>2.1875</v>
      </c>
      <c r="C6" s="99"/>
      <c r="E6" s="68" t="s">
        <v>70</v>
      </c>
      <c r="F6" s="64" t="s">
        <v>24</v>
      </c>
      <c r="G6" s="50">
        <v>7</v>
      </c>
      <c r="H6" s="27">
        <f>IF(B$25=0,0,G6/B$25)</f>
        <v>0.17499999999999999</v>
      </c>
      <c r="J6" s="26">
        <v>4</v>
      </c>
      <c r="K6" s="28">
        <v>58.199999999999996</v>
      </c>
      <c r="M6" s="26" t="s">
        <v>185</v>
      </c>
      <c r="N6" s="45">
        <f t="shared" si="0"/>
        <v>-2764.2857142857142</v>
      </c>
      <c r="O6" s="42">
        <v>-77400</v>
      </c>
      <c r="P6" s="37">
        <v>28</v>
      </c>
    </row>
    <row r="7" spans="1:16" x14ac:dyDescent="0.4">
      <c r="A7" s="58" t="s">
        <v>2</v>
      </c>
      <c r="B7" s="50">
        <v>10</v>
      </c>
      <c r="C7" s="27">
        <f>IF(B$2=0,0,B7/B$2)</f>
        <v>0.20833333333333334</v>
      </c>
      <c r="E7" s="68" t="s">
        <v>74</v>
      </c>
      <c r="F7" s="64" t="s">
        <v>12</v>
      </c>
      <c r="G7" s="50">
        <v>7</v>
      </c>
      <c r="H7" s="27">
        <f>IF(B$25=0,0,G7/B$25)</f>
        <v>0.17499999999999999</v>
      </c>
      <c r="J7" s="26">
        <v>5</v>
      </c>
      <c r="K7" s="28">
        <v>124.19999999999999</v>
      </c>
      <c r="M7" s="31" t="s">
        <v>186</v>
      </c>
      <c r="N7" s="46">
        <f t="shared" si="0"/>
        <v>109.09090909090909</v>
      </c>
      <c r="O7" s="43">
        <v>2400</v>
      </c>
      <c r="P7" s="38">
        <v>22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72</v>
      </c>
      <c r="F8" s="64" t="s">
        <v>26</v>
      </c>
      <c r="G8" s="50">
        <v>4</v>
      </c>
      <c r="H8" s="27">
        <f>IF(B$25=0,0,G8/B$25)</f>
        <v>0.1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19</v>
      </c>
      <c r="C9" s="29">
        <f t="shared" si="1"/>
        <v>0.39583333333333331</v>
      </c>
      <c r="E9" s="68" t="s">
        <v>75</v>
      </c>
      <c r="F9" s="64" t="s">
        <v>28</v>
      </c>
      <c r="G9" s="50">
        <v>3</v>
      </c>
      <c r="H9" s="27">
        <f>IF(B$25=0,0,G9/B$25)</f>
        <v>7.4999999999999997E-2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10</v>
      </c>
      <c r="C10" s="29">
        <f>IF(B$2=0,0,B10/B$2)</f>
        <v>0.20833333333333334</v>
      </c>
      <c r="E10" s="68" t="s">
        <v>96</v>
      </c>
      <c r="F10" s="64" t="s">
        <v>49</v>
      </c>
      <c r="G10" s="50">
        <v>3</v>
      </c>
      <c r="H10" s="27">
        <f>IF(B$25=0,0,G10/B$25)</f>
        <v>7.4999999999999997E-2</v>
      </c>
      <c r="J10" s="26">
        <v>8</v>
      </c>
      <c r="K10" s="28">
        <v>97</v>
      </c>
    </row>
    <row r="11" spans="1:16" x14ac:dyDescent="0.4">
      <c r="A11" s="60" t="s">
        <v>191</v>
      </c>
      <c r="B11" s="52">
        <v>7</v>
      </c>
      <c r="C11" s="32">
        <f>IF(B$2=0,0,B11/B$2)</f>
        <v>0.14583333333333334</v>
      </c>
      <c r="E11" s="68" t="s">
        <v>76</v>
      </c>
      <c r="F11" s="64" t="s">
        <v>29</v>
      </c>
      <c r="G11" s="50">
        <v>2</v>
      </c>
      <c r="H11" s="27">
        <f>IF(B$25=0,0,G11/B$25)</f>
        <v>0.05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42</v>
      </c>
      <c r="C12" s="35">
        <f>IF(B$24=0,0,B12/B$24)</f>
        <v>0.22826086956521738</v>
      </c>
      <c r="E12" s="68" t="s">
        <v>84</v>
      </c>
      <c r="F12" s="64" t="s">
        <v>37</v>
      </c>
      <c r="G12" s="50">
        <v>2</v>
      </c>
      <c r="H12" s="27">
        <f>IF(B$25=0,0,G12/B$25)</f>
        <v>0.05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51</v>
      </c>
      <c r="C13" s="27">
        <f>IF(B$24=0,0,B13/B$24)</f>
        <v>0.27717391304347827</v>
      </c>
      <c r="E13" s="68" t="s">
        <v>85</v>
      </c>
      <c r="F13" s="64" t="s">
        <v>38</v>
      </c>
      <c r="G13" s="50">
        <v>2</v>
      </c>
      <c r="H13" s="27">
        <f>IF(B$25=0,0,G13/B$25)</f>
        <v>0.05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15</v>
      </c>
      <c r="C14" s="24">
        <f>IF(B$12=0,0,B14/B$12)</f>
        <v>0.35714285714285715</v>
      </c>
      <c r="E14" s="68" t="s">
        <v>93</v>
      </c>
      <c r="F14" s="64" t="s">
        <v>46</v>
      </c>
      <c r="G14" s="50">
        <v>2</v>
      </c>
      <c r="H14" s="27">
        <f>IF(B$25=0,0,G14/B$25)</f>
        <v>0.05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19</v>
      </c>
      <c r="C15" s="24">
        <f>IF(B$13=0,0,B15/B$13)</f>
        <v>0.37254901960784315</v>
      </c>
      <c r="E15" s="68" t="s">
        <v>77</v>
      </c>
      <c r="F15" s="64" t="s">
        <v>30</v>
      </c>
      <c r="G15" s="50">
        <v>1</v>
      </c>
      <c r="H15" s="27">
        <f>IF(B$25=0,0,G15/B$25)</f>
        <v>2.5000000000000001E-2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B18+B17</f>
        <v>94</v>
      </c>
      <c r="C16" s="24">
        <f>IF(B$3=0,0,B16/B$3)</f>
        <v>0.25336927223719674</v>
      </c>
      <c r="E16" s="68" t="s">
        <v>81</v>
      </c>
      <c r="F16" s="64" t="s">
        <v>34</v>
      </c>
      <c r="G16" s="50">
        <v>1</v>
      </c>
      <c r="H16" s="27">
        <f>IF(B$25=0,0,G16/B$25)</f>
        <v>2.5000000000000001E-2</v>
      </c>
      <c r="J16" s="26">
        <v>14</v>
      </c>
      <c r="K16" s="28">
        <v>41.499999999999986</v>
      </c>
    </row>
    <row r="17" spans="1:11" x14ac:dyDescent="0.4">
      <c r="A17" s="58" t="s">
        <v>12</v>
      </c>
      <c r="B17" s="50">
        <v>40</v>
      </c>
      <c r="C17" s="27">
        <f>IF(B$16=0,0,B17/B$16)</f>
        <v>0.42553191489361702</v>
      </c>
      <c r="E17" s="68" t="s">
        <v>88</v>
      </c>
      <c r="F17" s="64" t="s">
        <v>41</v>
      </c>
      <c r="G17" s="50">
        <v>1</v>
      </c>
      <c r="H17" s="27">
        <f>IF(B$25=0,0,G17/B$25)</f>
        <v>2.5000000000000001E-2</v>
      </c>
      <c r="J17" s="26">
        <v>15</v>
      </c>
      <c r="K17" s="28">
        <v>32.999999999999986</v>
      </c>
    </row>
    <row r="18" spans="1:11" x14ac:dyDescent="0.4">
      <c r="A18" s="58" t="s">
        <v>11</v>
      </c>
      <c r="B18" s="50">
        <v>54</v>
      </c>
      <c r="C18" s="27">
        <f>IF(B$16=0,0,B18/B$16)</f>
        <v>0.57446808510638303</v>
      </c>
      <c r="E18" s="68" t="s">
        <v>90</v>
      </c>
      <c r="F18" s="64" t="s">
        <v>43</v>
      </c>
      <c r="G18" s="50">
        <v>1</v>
      </c>
      <c r="H18" s="27">
        <f>IF(B$25=0,0,G18/B$25)</f>
        <v>2.5000000000000001E-2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76</v>
      </c>
      <c r="C19" s="27">
        <f>IF(B$3=0,0,B19/B$3)</f>
        <v>0.20485175202156333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9722.3404255319147</v>
      </c>
      <c r="C20" s="30">
        <v>913900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-8509.21052631579</v>
      </c>
      <c r="C21" s="48">
        <v>-646700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178</v>
      </c>
      <c r="B22" s="49">
        <v>104</v>
      </c>
      <c r="C22" s="24">
        <f>IF(B$3=0,0,B22/B$3)</f>
        <v>0.28032345013477089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179</v>
      </c>
      <c r="B23" s="52">
        <v>37</v>
      </c>
      <c r="C23" s="32">
        <f>IF(B$22=0,0,B23/B$22)</f>
        <v>0.35576923076923078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6">
        <v>184</v>
      </c>
      <c r="C24" s="87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8">
        <v>40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78" t="s">
        <v>202</v>
      </c>
      <c r="B26" s="90">
        <v>5</v>
      </c>
      <c r="C26" s="91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A27" s="60" t="s">
        <v>204</v>
      </c>
      <c r="B27" s="79">
        <v>2</v>
      </c>
      <c r="C27" s="32">
        <f>IF(B$3=0,0,B27/B$3)</f>
        <v>5.3908355795148251E-3</v>
      </c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-215.2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-252.39999999999998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-293.7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-297.89999999999998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D5F91-9C4B-431F-BF37-D037B971327A}">
  <sheetPr codeName="Sheet11"/>
  <dimension ref="A1:P6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149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61</v>
      </c>
      <c r="C2" s="87"/>
      <c r="E2" s="67" t="s">
        <v>73</v>
      </c>
      <c r="F2" s="63" t="s">
        <v>27</v>
      </c>
      <c r="G2" s="49">
        <v>101</v>
      </c>
      <c r="H2" s="24">
        <f>IF(B$25=0,0,G2/B$25)</f>
        <v>0.91818181818181821</v>
      </c>
      <c r="J2" s="23">
        <v>0</v>
      </c>
      <c r="K2" s="25">
        <v>0</v>
      </c>
      <c r="M2" s="23" t="s">
        <v>181</v>
      </c>
      <c r="N2" s="44">
        <f t="shared" ref="N2:N7" si="0">IF(P2=0,0,O2/P2)</f>
        <v>4071.1864406779659</v>
      </c>
      <c r="O2" s="41">
        <v>240200</v>
      </c>
      <c r="P2" s="39">
        <v>59</v>
      </c>
    </row>
    <row r="3" spans="1:16" x14ac:dyDescent="0.4">
      <c r="A3" s="58" t="s">
        <v>8</v>
      </c>
      <c r="B3" s="94">
        <v>462</v>
      </c>
      <c r="C3" s="95"/>
      <c r="E3" s="68" t="s">
        <v>71</v>
      </c>
      <c r="F3" s="64" t="s">
        <v>25</v>
      </c>
      <c r="G3" s="50">
        <v>87</v>
      </c>
      <c r="H3" s="27">
        <f>IF(B$25=0,0,G3/B$25)</f>
        <v>0.79090909090909089</v>
      </c>
      <c r="J3" s="26">
        <v>1</v>
      </c>
      <c r="K3" s="28">
        <v>-36.700000000000003</v>
      </c>
      <c r="M3" s="26" t="s">
        <v>182</v>
      </c>
      <c r="N3" s="45">
        <f t="shared" si="0"/>
        <v>-318.18181818181819</v>
      </c>
      <c r="O3" s="42">
        <v>-17500</v>
      </c>
      <c r="P3" s="37">
        <v>55</v>
      </c>
    </row>
    <row r="4" spans="1:16" x14ac:dyDescent="0.4">
      <c r="A4" s="58" t="s">
        <v>6</v>
      </c>
      <c r="B4" s="96">
        <v>213.99999999999997</v>
      </c>
      <c r="C4" s="97"/>
      <c r="E4" s="68" t="s">
        <v>69</v>
      </c>
      <c r="F4" s="64" t="s">
        <v>23</v>
      </c>
      <c r="G4" s="50">
        <v>67</v>
      </c>
      <c r="H4" s="27">
        <f>IF(B$25=0,0,G4/B$25)</f>
        <v>0.60909090909090913</v>
      </c>
      <c r="J4" s="26">
        <v>2</v>
      </c>
      <c r="K4" s="28">
        <v>-45.300000000000004</v>
      </c>
      <c r="M4" s="26" t="s">
        <v>183</v>
      </c>
      <c r="N4" s="45">
        <f t="shared" si="0"/>
        <v>552</v>
      </c>
      <c r="O4" s="42">
        <v>27600</v>
      </c>
      <c r="P4" s="37">
        <v>50</v>
      </c>
    </row>
    <row r="5" spans="1:16" x14ac:dyDescent="0.4">
      <c r="A5" s="58" t="s">
        <v>7</v>
      </c>
      <c r="B5" s="96">
        <f>IF(B$2=0,0,B$4/B$2)</f>
        <v>3.5081967213114749</v>
      </c>
      <c r="C5" s="97"/>
      <c r="E5" s="68" t="s">
        <v>78</v>
      </c>
      <c r="F5" s="64" t="s">
        <v>31</v>
      </c>
      <c r="G5" s="50">
        <v>61</v>
      </c>
      <c r="H5" s="27">
        <f>IF(B$25=0,0,G5/B$25)</f>
        <v>0.55454545454545456</v>
      </c>
      <c r="J5" s="26">
        <v>3</v>
      </c>
      <c r="K5" s="28">
        <v>-81.7</v>
      </c>
      <c r="M5" s="26" t="s">
        <v>184</v>
      </c>
      <c r="N5" s="45">
        <f t="shared" si="0"/>
        <v>-1129.7872340425531</v>
      </c>
      <c r="O5" s="42">
        <v>-53100</v>
      </c>
      <c r="P5" s="37">
        <v>47</v>
      </c>
    </row>
    <row r="6" spans="1:16" x14ac:dyDescent="0.4">
      <c r="A6" s="58" t="s">
        <v>1</v>
      </c>
      <c r="B6" s="98">
        <f>IF(B$2=0,0,(B$7*1+B$8*2+B$9*3)/B$2)</f>
        <v>1.8852459016393444</v>
      </c>
      <c r="C6" s="99"/>
      <c r="E6" s="68" t="s">
        <v>72</v>
      </c>
      <c r="F6" s="64" t="s">
        <v>26</v>
      </c>
      <c r="G6" s="50">
        <v>41</v>
      </c>
      <c r="H6" s="27">
        <f>IF(B$25=0,0,G6/B$25)</f>
        <v>0.37272727272727274</v>
      </c>
      <c r="J6" s="26">
        <v>4</v>
      </c>
      <c r="K6" s="28">
        <v>-113.80000000000001</v>
      </c>
      <c r="M6" s="26" t="s">
        <v>185</v>
      </c>
      <c r="N6" s="45">
        <f t="shared" si="0"/>
        <v>-92.10526315789474</v>
      </c>
      <c r="O6" s="42">
        <v>-3500</v>
      </c>
      <c r="P6" s="37">
        <v>38</v>
      </c>
    </row>
    <row r="7" spans="1:16" x14ac:dyDescent="0.4">
      <c r="A7" s="58" t="s">
        <v>2</v>
      </c>
      <c r="B7" s="50">
        <v>25</v>
      </c>
      <c r="C7" s="27">
        <f>IF(B$2=0,0,B7/B$2)</f>
        <v>0.4098360655737705</v>
      </c>
      <c r="E7" s="68" t="s">
        <v>74</v>
      </c>
      <c r="F7" s="64" t="s">
        <v>12</v>
      </c>
      <c r="G7" s="50">
        <v>34</v>
      </c>
      <c r="H7" s="27">
        <f>IF(B$25=0,0,G7/B$25)</f>
        <v>0.30909090909090908</v>
      </c>
      <c r="J7" s="26">
        <v>5</v>
      </c>
      <c r="K7" s="28">
        <v>-135.80000000000001</v>
      </c>
      <c r="M7" s="31" t="s">
        <v>186</v>
      </c>
      <c r="N7" s="46">
        <f t="shared" si="0"/>
        <v>-618.18181818181813</v>
      </c>
      <c r="O7" s="43">
        <v>-20400</v>
      </c>
      <c r="P7" s="38">
        <v>33</v>
      </c>
    </row>
    <row r="8" spans="1:16" x14ac:dyDescent="0.4">
      <c r="A8" s="58" t="s">
        <v>3</v>
      </c>
      <c r="B8" s="50">
        <v>18</v>
      </c>
      <c r="C8" s="27">
        <f t="shared" ref="C8:C9" si="1">IF(B$2=0,0,B8/B$2)</f>
        <v>0.29508196721311475</v>
      </c>
      <c r="E8" s="68" t="s">
        <v>75</v>
      </c>
      <c r="F8" s="64" t="s">
        <v>28</v>
      </c>
      <c r="G8" s="50">
        <v>22</v>
      </c>
      <c r="H8" s="27">
        <f>IF(B$25=0,0,G8/B$25)</f>
        <v>0.2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18</v>
      </c>
      <c r="C9" s="29">
        <f t="shared" si="1"/>
        <v>0.29508196721311475</v>
      </c>
      <c r="E9" s="68" t="s">
        <v>70</v>
      </c>
      <c r="F9" s="64" t="s">
        <v>24</v>
      </c>
      <c r="G9" s="50">
        <v>16</v>
      </c>
      <c r="H9" s="27">
        <f>IF(B$25=0,0,G9/B$25)</f>
        <v>0.14545454545454545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9</v>
      </c>
      <c r="C10" s="29">
        <f>IF(B$2=0,0,B10/B$2)</f>
        <v>0.14754098360655737</v>
      </c>
      <c r="E10" s="68" t="s">
        <v>96</v>
      </c>
      <c r="F10" s="64" t="s">
        <v>49</v>
      </c>
      <c r="G10" s="50">
        <v>14</v>
      </c>
      <c r="H10" s="27">
        <f>IF(B$25=0,0,G10/B$25)</f>
        <v>0.12727272727272726</v>
      </c>
      <c r="J10" s="26">
        <v>8</v>
      </c>
      <c r="K10" s="28">
        <v>-51.800000000000018</v>
      </c>
    </row>
    <row r="11" spans="1:16" x14ac:dyDescent="0.4">
      <c r="A11" s="60" t="s">
        <v>191</v>
      </c>
      <c r="B11" s="52">
        <v>12</v>
      </c>
      <c r="C11" s="32">
        <f>IF(B$2=0,0,B11/B$2)</f>
        <v>0.19672131147540983</v>
      </c>
      <c r="E11" s="68" t="s">
        <v>76</v>
      </c>
      <c r="F11" s="64" t="s">
        <v>29</v>
      </c>
      <c r="G11" s="50">
        <v>8</v>
      </c>
      <c r="H11" s="27">
        <f>IF(B$25=0,0,G11/B$25)</f>
        <v>7.2727272727272724E-2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108</v>
      </c>
      <c r="C12" s="35">
        <f>IF(B$24=0,0,B12/B$24)</f>
        <v>0.32826747720364741</v>
      </c>
      <c r="E12" s="68" t="s">
        <v>77</v>
      </c>
      <c r="F12" s="64" t="s">
        <v>30</v>
      </c>
      <c r="G12" s="50">
        <v>8</v>
      </c>
      <c r="H12" s="27">
        <f>IF(B$25=0,0,G12/B$25)</f>
        <v>7.2727272727272724E-2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74</v>
      </c>
      <c r="C13" s="27">
        <f>IF(B$24=0,0,B13/B$24)</f>
        <v>0.22492401215805471</v>
      </c>
      <c r="E13" s="68" t="s">
        <v>84</v>
      </c>
      <c r="F13" s="64" t="s">
        <v>37</v>
      </c>
      <c r="G13" s="50">
        <v>6</v>
      </c>
      <c r="H13" s="27">
        <f>IF(B$25=0,0,G13/B$25)</f>
        <v>5.4545454545454543E-2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68</v>
      </c>
      <c r="C14" s="24">
        <f>IF(B$12=0,0,B14/B$12)</f>
        <v>0.62962962962962965</v>
      </c>
      <c r="E14" s="68" t="s">
        <v>93</v>
      </c>
      <c r="F14" s="64" t="s">
        <v>46</v>
      </c>
      <c r="G14" s="50">
        <v>6</v>
      </c>
      <c r="H14" s="27">
        <f>IF(B$25=0,0,G14/B$25)</f>
        <v>5.4545454545454543E-2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29</v>
      </c>
      <c r="C15" s="24">
        <f>IF(B$13=0,0,B15/B$13)</f>
        <v>0.39189189189189189</v>
      </c>
      <c r="E15" s="68" t="s">
        <v>88</v>
      </c>
      <c r="F15" s="64" t="s">
        <v>41</v>
      </c>
      <c r="G15" s="50">
        <v>2</v>
      </c>
      <c r="H15" s="27">
        <f>IF(B$25=0,0,G15/B$25)</f>
        <v>1.8181818181818181E-2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B18+B17</f>
        <v>148</v>
      </c>
      <c r="C16" s="24">
        <f>IF(B$3=0,0,B16/B$3)</f>
        <v>0.32034632034632032</v>
      </c>
      <c r="E16" s="68" t="s">
        <v>98</v>
      </c>
      <c r="F16" s="64" t="s">
        <v>51</v>
      </c>
      <c r="G16" s="50">
        <v>2</v>
      </c>
      <c r="H16" s="27">
        <f>IF(B$25=0,0,G16/B$25)</f>
        <v>1.8181818181818181E-2</v>
      </c>
      <c r="J16" s="26">
        <v>14</v>
      </c>
      <c r="K16" s="28">
        <v>-62.000000000000021</v>
      </c>
    </row>
    <row r="17" spans="1:11" x14ac:dyDescent="0.4">
      <c r="A17" s="58" t="s">
        <v>12</v>
      </c>
      <c r="B17" s="50">
        <v>60</v>
      </c>
      <c r="C17" s="27">
        <f>IF(B$16=0,0,B17/B$16)</f>
        <v>0.40540540540540543</v>
      </c>
      <c r="E17" s="68" t="s">
        <v>80</v>
      </c>
      <c r="F17" s="64" t="s">
        <v>33</v>
      </c>
      <c r="G17" s="50">
        <v>1</v>
      </c>
      <c r="H17" s="27">
        <f>IF(B$25=0,0,G17/B$25)</f>
        <v>9.0909090909090905E-3</v>
      </c>
      <c r="J17" s="26">
        <v>15</v>
      </c>
      <c r="K17" s="28">
        <v>-69.200000000000017</v>
      </c>
    </row>
    <row r="18" spans="1:11" x14ac:dyDescent="0.4">
      <c r="A18" s="58" t="s">
        <v>11</v>
      </c>
      <c r="B18" s="50">
        <v>88</v>
      </c>
      <c r="C18" s="27">
        <f>IF(B$16=0,0,B18/B$16)</f>
        <v>0.59459459459459463</v>
      </c>
      <c r="E18" s="68" t="s">
        <v>81</v>
      </c>
      <c r="F18" s="64" t="s">
        <v>34</v>
      </c>
      <c r="G18" s="50">
        <v>1</v>
      </c>
      <c r="H18" s="27">
        <f>IF(B$25=0,0,G18/B$25)</f>
        <v>9.0909090909090905E-3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74</v>
      </c>
      <c r="C19" s="27">
        <f>IF(B$3=0,0,B19/B$3)</f>
        <v>0.16017316017316016</v>
      </c>
      <c r="E19" s="68" t="s">
        <v>83</v>
      </c>
      <c r="F19" s="64" t="s">
        <v>36</v>
      </c>
      <c r="G19" s="50">
        <v>1</v>
      </c>
      <c r="H19" s="27">
        <f>IF(B$25=0,0,G19/B$25)</f>
        <v>9.0909090909090905E-3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10552.027027027027</v>
      </c>
      <c r="C20" s="30">
        <v>1561700</v>
      </c>
      <c r="E20" s="68" t="s">
        <v>90</v>
      </c>
      <c r="F20" s="64" t="s">
        <v>43</v>
      </c>
      <c r="G20" s="50">
        <v>1</v>
      </c>
      <c r="H20" s="27">
        <f>IF(B$25=0,0,G20/B$25)</f>
        <v>9.0909090909090905E-3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-9566.2162162162167</v>
      </c>
      <c r="C21" s="48">
        <v>-707900</v>
      </c>
      <c r="E21" s="68" t="s">
        <v>91</v>
      </c>
      <c r="F21" s="64" t="s">
        <v>44</v>
      </c>
      <c r="G21" s="50">
        <v>1</v>
      </c>
      <c r="H21" s="27">
        <f>IF(B$25=0,0,G21/B$25)</f>
        <v>9.0909090909090905E-3</v>
      </c>
      <c r="J21" s="26">
        <v>19</v>
      </c>
      <c r="K21" s="28">
        <v>103.79999999999998</v>
      </c>
    </row>
    <row r="22" spans="1:11" x14ac:dyDescent="0.4">
      <c r="A22" s="57" t="s">
        <v>178</v>
      </c>
      <c r="B22" s="49">
        <v>168</v>
      </c>
      <c r="C22" s="24">
        <f>IF(B$3=0,0,B22/B$3)</f>
        <v>0.36363636363636365</v>
      </c>
      <c r="E22" s="68" t="s">
        <v>79</v>
      </c>
      <c r="F22" s="64" t="s">
        <v>32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179</v>
      </c>
      <c r="B23" s="52">
        <v>64</v>
      </c>
      <c r="C23" s="32">
        <f>IF(B$22=0,0,B23/B$22)</f>
        <v>0.38095238095238093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6">
        <v>329</v>
      </c>
      <c r="C24" s="87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8">
        <v>110</v>
      </c>
      <c r="C25" s="89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78" t="s">
        <v>202</v>
      </c>
      <c r="B26" s="90">
        <v>9</v>
      </c>
      <c r="C26" s="91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A27" s="60" t="s">
        <v>204</v>
      </c>
      <c r="B27" s="79">
        <v>3</v>
      </c>
      <c r="C27" s="32">
        <f>IF(B$3=0,0,B27/B$3)</f>
        <v>6.4935064935064939E-3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  <row r="54" spans="5:11" x14ac:dyDescent="0.4">
      <c r="J54" s="26">
        <v>52</v>
      </c>
      <c r="K54" s="28">
        <v>177.19999999999996</v>
      </c>
    </row>
    <row r="55" spans="5:11" x14ac:dyDescent="0.4">
      <c r="J55" s="26">
        <v>53</v>
      </c>
      <c r="K55" s="28">
        <v>176.79999999999995</v>
      </c>
    </row>
    <row r="56" spans="5:11" x14ac:dyDescent="0.4">
      <c r="J56" s="26">
        <v>54</v>
      </c>
      <c r="K56" s="28">
        <v>194.89999999999995</v>
      </c>
    </row>
    <row r="57" spans="5:11" x14ac:dyDescent="0.4">
      <c r="J57" s="26">
        <v>55</v>
      </c>
      <c r="K57" s="28">
        <v>217.69999999999996</v>
      </c>
    </row>
    <row r="58" spans="5:11" x14ac:dyDescent="0.4">
      <c r="J58" s="26">
        <v>56</v>
      </c>
      <c r="K58" s="28">
        <v>204.89999999999995</v>
      </c>
    </row>
    <row r="59" spans="5:11" x14ac:dyDescent="0.4">
      <c r="J59" s="26">
        <v>57</v>
      </c>
      <c r="K59" s="28">
        <v>240.89999999999995</v>
      </c>
    </row>
    <row r="60" spans="5:11" x14ac:dyDescent="0.4">
      <c r="J60" s="26">
        <v>58</v>
      </c>
      <c r="K60" s="28">
        <v>191.79999999999995</v>
      </c>
    </row>
    <row r="61" spans="5:11" x14ac:dyDescent="0.4">
      <c r="J61" s="26">
        <v>59</v>
      </c>
      <c r="K61" s="28">
        <v>189.19999999999996</v>
      </c>
    </row>
    <row r="62" spans="5:11" x14ac:dyDescent="0.4">
      <c r="J62" s="26">
        <v>60</v>
      </c>
      <c r="K62" s="28">
        <v>201.69999999999996</v>
      </c>
    </row>
    <row r="63" spans="5:11" x14ac:dyDescent="0.4">
      <c r="J63" s="26">
        <v>61</v>
      </c>
      <c r="K63" s="28">
        <v>213.99999999999997</v>
      </c>
    </row>
  </sheetData>
  <sortState ref="E2:H6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C1CFC-CD09-4D13-B947-55C405D01CE4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156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12</v>
      </c>
      <c r="C2" s="87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181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4">
        <v>82</v>
      </c>
      <c r="C3" s="95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182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6">
        <v>80.800000000000011</v>
      </c>
      <c r="C4" s="97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183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6">
        <f>IF(B$2=0,0,B$4/B$2)</f>
        <v>6.7333333333333343</v>
      </c>
      <c r="C5" s="97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184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8">
        <f>IF(B$2=0,0,(B$7*1+B$8*2+B$9*3)/B$2)</f>
        <v>1.75</v>
      </c>
      <c r="C6" s="99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185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186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191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13</v>
      </c>
      <c r="C17" s="27">
        <f>IF(B$16=0,0,B17/B$16)</f>
        <v>0.4642857142857143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15</v>
      </c>
      <c r="C18" s="27">
        <f>IF(B$16=0,0,B18/B$16)</f>
        <v>0.5357142857142857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0</v>
      </c>
      <c r="C24" s="87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0</v>
      </c>
      <c r="C25" s="89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0</v>
      </c>
      <c r="C26" s="91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1F38-6798-4EDF-BCC7-AB45660C1A9A}">
  <sheetPr codeName="Sheet13"/>
  <dimension ref="A1:P6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160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62</v>
      </c>
      <c r="C2" s="87"/>
      <c r="E2" s="67" t="s">
        <v>73</v>
      </c>
      <c r="F2" s="63" t="s">
        <v>27</v>
      </c>
      <c r="G2" s="49">
        <v>131</v>
      </c>
      <c r="H2" s="24">
        <f>IF(B$25=0,0,G2/B$25)</f>
        <v>1.0396825396825398</v>
      </c>
      <c r="J2" s="23">
        <v>0</v>
      </c>
      <c r="K2" s="25">
        <v>0</v>
      </c>
      <c r="M2" s="23" t="s">
        <v>181</v>
      </c>
      <c r="N2" s="44">
        <f t="shared" ref="N2:N7" si="0">IF(P2=0,0,O2/P2)</f>
        <v>-1720.6896551724137</v>
      </c>
      <c r="O2" s="41">
        <v>-99800</v>
      </c>
      <c r="P2" s="39">
        <v>58</v>
      </c>
    </row>
    <row r="3" spans="1:16" x14ac:dyDescent="0.4">
      <c r="A3" s="58" t="s">
        <v>8</v>
      </c>
      <c r="B3" s="94">
        <v>485</v>
      </c>
      <c r="C3" s="95"/>
      <c r="E3" s="68" t="s">
        <v>71</v>
      </c>
      <c r="F3" s="64" t="s">
        <v>25</v>
      </c>
      <c r="G3" s="50">
        <v>99</v>
      </c>
      <c r="H3" s="27">
        <f>IF(B$25=0,0,G3/B$25)</f>
        <v>0.7857142857142857</v>
      </c>
      <c r="J3" s="26">
        <v>1</v>
      </c>
      <c r="K3" s="28">
        <v>3.9</v>
      </c>
      <c r="M3" s="26" t="s">
        <v>182</v>
      </c>
      <c r="N3" s="45">
        <f t="shared" si="0"/>
        <v>-1350</v>
      </c>
      <c r="O3" s="42">
        <v>-78300</v>
      </c>
      <c r="P3" s="37">
        <v>58</v>
      </c>
    </row>
    <row r="4" spans="1:16" x14ac:dyDescent="0.4">
      <c r="A4" s="58" t="s">
        <v>6</v>
      </c>
      <c r="B4" s="96">
        <v>-492.59999999999991</v>
      </c>
      <c r="C4" s="97"/>
      <c r="E4" s="68" t="s">
        <v>78</v>
      </c>
      <c r="F4" s="64" t="s">
        <v>31</v>
      </c>
      <c r="G4" s="50">
        <v>88</v>
      </c>
      <c r="H4" s="27">
        <f>IF(B$25=0,0,G4/B$25)</f>
        <v>0.69841269841269837</v>
      </c>
      <c r="J4" s="26">
        <v>2</v>
      </c>
      <c r="K4" s="28">
        <v>-33.9</v>
      </c>
      <c r="M4" s="26" t="s">
        <v>183</v>
      </c>
      <c r="N4" s="45">
        <f t="shared" si="0"/>
        <v>-3441.818181818182</v>
      </c>
      <c r="O4" s="42">
        <v>-189300</v>
      </c>
      <c r="P4" s="37">
        <v>55</v>
      </c>
    </row>
    <row r="5" spans="1:16" x14ac:dyDescent="0.4">
      <c r="A5" s="58" t="s">
        <v>7</v>
      </c>
      <c r="B5" s="96">
        <f>IF(B$2=0,0,B$4/B$2)</f>
        <v>-7.945161290322579</v>
      </c>
      <c r="C5" s="97"/>
      <c r="E5" s="68" t="s">
        <v>69</v>
      </c>
      <c r="F5" s="64" t="s">
        <v>23</v>
      </c>
      <c r="G5" s="50">
        <v>73</v>
      </c>
      <c r="H5" s="27">
        <f>IF(B$25=0,0,G5/B$25)</f>
        <v>0.57936507936507942</v>
      </c>
      <c r="J5" s="26">
        <v>3</v>
      </c>
      <c r="K5" s="28">
        <v>-70.099999999999994</v>
      </c>
      <c r="M5" s="26" t="s">
        <v>184</v>
      </c>
      <c r="N5" s="45">
        <f t="shared" si="0"/>
        <v>-931.37254901960785</v>
      </c>
      <c r="O5" s="42">
        <v>-47500</v>
      </c>
      <c r="P5" s="37">
        <v>51</v>
      </c>
    </row>
    <row r="6" spans="1:16" x14ac:dyDescent="0.4">
      <c r="A6" s="58" t="s">
        <v>1</v>
      </c>
      <c r="B6" s="98">
        <f>IF(B$2=0,0,(B$7*1+B$8*2+B$9*3)/B$2)</f>
        <v>2.2419354838709675</v>
      </c>
      <c r="C6" s="99"/>
      <c r="E6" s="68" t="s">
        <v>72</v>
      </c>
      <c r="F6" s="64" t="s">
        <v>26</v>
      </c>
      <c r="G6" s="50">
        <v>46</v>
      </c>
      <c r="H6" s="27">
        <f>IF(B$25=0,0,G6/B$25)</f>
        <v>0.36507936507936506</v>
      </c>
      <c r="J6" s="26">
        <v>4</v>
      </c>
      <c r="K6" s="28">
        <v>-35.099999999999994</v>
      </c>
      <c r="M6" s="26" t="s">
        <v>185</v>
      </c>
      <c r="N6" s="45">
        <f t="shared" si="0"/>
        <v>-1878.7234042553191</v>
      </c>
      <c r="O6" s="42">
        <v>-88300</v>
      </c>
      <c r="P6" s="37">
        <v>47</v>
      </c>
    </row>
    <row r="7" spans="1:16" x14ac:dyDescent="0.4">
      <c r="A7" s="58" t="s">
        <v>2</v>
      </c>
      <c r="B7" s="50">
        <v>14</v>
      </c>
      <c r="C7" s="27">
        <f>IF(B$2=0,0,B7/B$2)</f>
        <v>0.22580645161290322</v>
      </c>
      <c r="E7" s="68" t="s">
        <v>74</v>
      </c>
      <c r="F7" s="64" t="s">
        <v>12</v>
      </c>
      <c r="G7" s="50">
        <v>42</v>
      </c>
      <c r="H7" s="27">
        <f>IF(B$25=0,0,G7/B$25)</f>
        <v>0.33333333333333331</v>
      </c>
      <c r="J7" s="26">
        <v>5</v>
      </c>
      <c r="K7" s="28">
        <v>-80.099999999999994</v>
      </c>
      <c r="M7" s="31" t="s">
        <v>186</v>
      </c>
      <c r="N7" s="46">
        <f t="shared" si="0"/>
        <v>3413.8888888888887</v>
      </c>
      <c r="O7" s="43">
        <v>122900</v>
      </c>
      <c r="P7" s="38">
        <v>36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0.30645161290322581</v>
      </c>
      <c r="E8" s="68" t="s">
        <v>75</v>
      </c>
      <c r="F8" s="64" t="s">
        <v>28</v>
      </c>
      <c r="G8" s="50">
        <v>18</v>
      </c>
      <c r="H8" s="27">
        <f>IF(B$25=0,0,G8/B$25)</f>
        <v>0.14285714285714285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29</v>
      </c>
      <c r="C9" s="29">
        <f t="shared" si="1"/>
        <v>0.46774193548387094</v>
      </c>
      <c r="E9" s="68" t="s">
        <v>96</v>
      </c>
      <c r="F9" s="64" t="s">
        <v>49</v>
      </c>
      <c r="G9" s="50">
        <v>17</v>
      </c>
      <c r="H9" s="27">
        <f>IF(B$25=0,0,G9/B$25)</f>
        <v>0.13492063492063491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13</v>
      </c>
      <c r="C10" s="29">
        <f>IF(B$2=0,0,B10/B$2)</f>
        <v>0.20967741935483872</v>
      </c>
      <c r="E10" s="68" t="s">
        <v>76</v>
      </c>
      <c r="F10" s="64" t="s">
        <v>29</v>
      </c>
      <c r="G10" s="50">
        <v>12</v>
      </c>
      <c r="H10" s="27">
        <f>IF(B$25=0,0,G10/B$25)</f>
        <v>9.5238095238095233E-2</v>
      </c>
      <c r="J10" s="26">
        <v>8</v>
      </c>
      <c r="K10" s="28">
        <v>-146</v>
      </c>
    </row>
    <row r="11" spans="1:16" x14ac:dyDescent="0.4">
      <c r="A11" s="60" t="s">
        <v>191</v>
      </c>
      <c r="B11" s="52">
        <v>6</v>
      </c>
      <c r="C11" s="32">
        <f>IF(B$2=0,0,B11/B$2)</f>
        <v>9.6774193548387094E-2</v>
      </c>
      <c r="E11" s="68" t="s">
        <v>70</v>
      </c>
      <c r="F11" s="64" t="s">
        <v>24</v>
      </c>
      <c r="G11" s="50">
        <v>11</v>
      </c>
      <c r="H11" s="27">
        <f>IF(B$25=0,0,G11/B$25)</f>
        <v>8.7301587301587297E-2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132</v>
      </c>
      <c r="C12" s="35">
        <f>IF(B$24=0,0,B12/B$24)</f>
        <v>0.29464285714285715</v>
      </c>
      <c r="E12" s="68" t="s">
        <v>93</v>
      </c>
      <c r="F12" s="64" t="s">
        <v>46</v>
      </c>
      <c r="G12" s="50">
        <v>10</v>
      </c>
      <c r="H12" s="27">
        <f>IF(B$25=0,0,G12/B$25)</f>
        <v>7.9365079365079361E-2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97</v>
      </c>
      <c r="C13" s="27">
        <f>IF(B$24=0,0,B13/B$24)</f>
        <v>0.21651785714285715</v>
      </c>
      <c r="E13" s="68" t="s">
        <v>84</v>
      </c>
      <c r="F13" s="64" t="s">
        <v>37</v>
      </c>
      <c r="G13" s="50">
        <v>9</v>
      </c>
      <c r="H13" s="27">
        <f>IF(B$25=0,0,G13/B$25)</f>
        <v>7.1428571428571425E-2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77</v>
      </c>
      <c r="C14" s="24">
        <f>IF(B$12=0,0,B14/B$12)</f>
        <v>0.58333333333333337</v>
      </c>
      <c r="E14" s="68" t="s">
        <v>79</v>
      </c>
      <c r="F14" s="64" t="s">
        <v>32</v>
      </c>
      <c r="G14" s="50">
        <v>4</v>
      </c>
      <c r="H14" s="27">
        <f>IF(B$25=0,0,G14/B$25)</f>
        <v>3.1746031746031744E-2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37</v>
      </c>
      <c r="C15" s="24">
        <f>IF(B$13=0,0,B15/B$13)</f>
        <v>0.38144329896907214</v>
      </c>
      <c r="E15" s="68" t="s">
        <v>90</v>
      </c>
      <c r="F15" s="64" t="s">
        <v>43</v>
      </c>
      <c r="G15" s="50">
        <v>4</v>
      </c>
      <c r="H15" s="27">
        <f>IF(B$25=0,0,G15/B$25)</f>
        <v>3.1746031746031744E-2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B18+B17</f>
        <v>136</v>
      </c>
      <c r="C16" s="24">
        <f>IF(B$3=0,0,B16/B$3)</f>
        <v>0.28041237113402062</v>
      </c>
      <c r="E16" s="68" t="s">
        <v>77</v>
      </c>
      <c r="F16" s="64" t="s">
        <v>30</v>
      </c>
      <c r="G16" s="50">
        <v>3</v>
      </c>
      <c r="H16" s="27">
        <f>IF(B$25=0,0,G16/B$25)</f>
        <v>2.3809523809523808E-2</v>
      </c>
      <c r="J16" s="26">
        <v>14</v>
      </c>
      <c r="K16" s="28">
        <v>-231</v>
      </c>
    </row>
    <row r="17" spans="1:11" x14ac:dyDescent="0.4">
      <c r="A17" s="58" t="s">
        <v>12</v>
      </c>
      <c r="B17" s="50">
        <v>64</v>
      </c>
      <c r="C17" s="27">
        <f>IF(B$16=0,0,B17/B$16)</f>
        <v>0.47058823529411764</v>
      </c>
      <c r="E17" s="68" t="s">
        <v>88</v>
      </c>
      <c r="F17" s="64" t="s">
        <v>41</v>
      </c>
      <c r="G17" s="50">
        <v>3</v>
      </c>
      <c r="H17" s="27">
        <f>IF(B$25=0,0,G17/B$25)</f>
        <v>2.3809523809523808E-2</v>
      </c>
      <c r="J17" s="26">
        <v>15</v>
      </c>
      <c r="K17" s="28">
        <v>-212.5</v>
      </c>
    </row>
    <row r="18" spans="1:11" x14ac:dyDescent="0.4">
      <c r="A18" s="58" t="s">
        <v>11</v>
      </c>
      <c r="B18" s="50">
        <v>72</v>
      </c>
      <c r="C18" s="27">
        <f>IF(B$16=0,0,B18/B$16)</f>
        <v>0.52941176470588236</v>
      </c>
      <c r="E18" s="68" t="s">
        <v>81</v>
      </c>
      <c r="F18" s="64" t="s">
        <v>34</v>
      </c>
      <c r="G18" s="50">
        <v>1</v>
      </c>
      <c r="H18" s="27">
        <f>IF(B$25=0,0,G18/B$25)</f>
        <v>7.9365079365079361E-3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115</v>
      </c>
      <c r="C19" s="27">
        <f>IF(B$3=0,0,B19/B$3)</f>
        <v>0.23711340206185566</v>
      </c>
      <c r="E19" s="68" t="s">
        <v>83</v>
      </c>
      <c r="F19" s="64" t="s">
        <v>36</v>
      </c>
      <c r="G19" s="50">
        <v>1</v>
      </c>
      <c r="H19" s="27">
        <f>IF(B$25=0,0,G19/B$25)</f>
        <v>7.9365079365079361E-3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10600</v>
      </c>
      <c r="C20" s="30">
        <v>1441600</v>
      </c>
      <c r="E20" s="68" t="s">
        <v>85</v>
      </c>
      <c r="F20" s="64" t="s">
        <v>38</v>
      </c>
      <c r="G20" s="50">
        <v>1</v>
      </c>
      <c r="H20" s="27">
        <f>IF(B$25=0,0,G20/B$25)</f>
        <v>7.9365079365079361E-3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-9648.6956521739139</v>
      </c>
      <c r="C21" s="48">
        <v>-1109600</v>
      </c>
      <c r="E21" s="68" t="s">
        <v>91</v>
      </c>
      <c r="F21" s="64" t="s">
        <v>44</v>
      </c>
      <c r="G21" s="50">
        <v>1</v>
      </c>
      <c r="H21" s="27">
        <f>IF(B$25=0,0,G21/B$25)</f>
        <v>7.9365079365079361E-3</v>
      </c>
      <c r="J21" s="26">
        <v>19</v>
      </c>
      <c r="K21" s="28">
        <v>-273.2</v>
      </c>
    </row>
    <row r="22" spans="1:11" x14ac:dyDescent="0.4">
      <c r="A22" s="57" t="s">
        <v>178</v>
      </c>
      <c r="B22" s="49">
        <v>151</v>
      </c>
      <c r="C22" s="24">
        <f>IF(B$3=0,0,B22/B$3)</f>
        <v>0.31134020618556701</v>
      </c>
      <c r="E22" s="68" t="s">
        <v>98</v>
      </c>
      <c r="F22" s="64" t="s">
        <v>51</v>
      </c>
      <c r="G22" s="50">
        <v>1</v>
      </c>
      <c r="H22" s="27">
        <f>IF(B$25=0,0,G22/B$25)</f>
        <v>7.9365079365079361E-3</v>
      </c>
      <c r="J22" s="26">
        <v>20</v>
      </c>
      <c r="K22" s="28">
        <v>-270</v>
      </c>
    </row>
    <row r="23" spans="1:11" x14ac:dyDescent="0.4">
      <c r="A23" s="60" t="s">
        <v>179</v>
      </c>
      <c r="B23" s="52">
        <v>46</v>
      </c>
      <c r="C23" s="32">
        <f>IF(B$22=0,0,B23/B$22)</f>
        <v>0.30463576158940397</v>
      </c>
      <c r="E23" s="68" t="s">
        <v>100</v>
      </c>
      <c r="F23" s="64" t="s">
        <v>53</v>
      </c>
      <c r="G23" s="50">
        <v>1</v>
      </c>
      <c r="H23" s="27">
        <f>IF(B$25=0,0,G23/B$25)</f>
        <v>7.9365079365079361E-3</v>
      </c>
      <c r="J23" s="26">
        <v>21</v>
      </c>
      <c r="K23" s="28">
        <v>-242</v>
      </c>
    </row>
    <row r="24" spans="1:11" x14ac:dyDescent="0.4">
      <c r="A24" s="57" t="s">
        <v>128</v>
      </c>
      <c r="B24" s="86">
        <v>448</v>
      </c>
      <c r="C24" s="87"/>
      <c r="E24" s="68" t="s">
        <v>80</v>
      </c>
      <c r="F24" s="64" t="s">
        <v>33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8">
        <v>126</v>
      </c>
      <c r="C25" s="89"/>
      <c r="E25" s="68" t="s">
        <v>82</v>
      </c>
      <c r="F25" s="64" t="s">
        <v>35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78" t="s">
        <v>202</v>
      </c>
      <c r="B26" s="90">
        <v>7</v>
      </c>
      <c r="C26" s="91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A27" s="60" t="s">
        <v>204</v>
      </c>
      <c r="B27" s="79">
        <v>5</v>
      </c>
      <c r="C27" s="32">
        <f>IF(B$3=0,0,B27/B$3)</f>
        <v>1.0309278350515464E-2</v>
      </c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  <row r="54" spans="5:11" x14ac:dyDescent="0.4">
      <c r="J54" s="26">
        <v>52</v>
      </c>
      <c r="K54" s="28">
        <v>-426.39999999999992</v>
      </c>
    </row>
    <row r="55" spans="5:11" x14ac:dyDescent="0.4">
      <c r="J55" s="26">
        <v>53</v>
      </c>
      <c r="K55" s="28">
        <v>-399.89999999999992</v>
      </c>
    </row>
    <row r="56" spans="5:11" x14ac:dyDescent="0.4">
      <c r="J56" s="26">
        <v>54</v>
      </c>
      <c r="K56" s="28">
        <v>-411.19999999999993</v>
      </c>
    </row>
    <row r="57" spans="5:11" x14ac:dyDescent="0.4">
      <c r="J57" s="26">
        <v>55</v>
      </c>
      <c r="K57" s="28">
        <v>-420.49999999999994</v>
      </c>
    </row>
    <row r="58" spans="5:11" x14ac:dyDescent="0.4">
      <c r="J58" s="26">
        <v>56</v>
      </c>
      <c r="K58" s="28">
        <v>-395.39999999999992</v>
      </c>
    </row>
    <row r="59" spans="5:11" x14ac:dyDescent="0.4">
      <c r="J59" s="26">
        <v>57</v>
      </c>
      <c r="K59" s="28">
        <v>-428.89999999999992</v>
      </c>
    </row>
    <row r="60" spans="5:11" x14ac:dyDescent="0.4">
      <c r="J60" s="26">
        <v>58</v>
      </c>
      <c r="K60" s="28">
        <v>-466.39999999999992</v>
      </c>
    </row>
    <row r="61" spans="5:11" x14ac:dyDescent="0.4">
      <c r="J61" s="26">
        <v>59</v>
      </c>
      <c r="K61" s="28">
        <v>-475.7999999999999</v>
      </c>
    </row>
    <row r="62" spans="5:11" x14ac:dyDescent="0.4">
      <c r="J62" s="26">
        <v>60</v>
      </c>
      <c r="K62" s="28">
        <v>-475.2999999999999</v>
      </c>
    </row>
    <row r="63" spans="5:11" x14ac:dyDescent="0.4">
      <c r="J63" s="26">
        <v>61</v>
      </c>
      <c r="K63" s="28">
        <v>-487.39999999999992</v>
      </c>
    </row>
    <row r="64" spans="5:11" x14ac:dyDescent="0.4">
      <c r="J64" s="26">
        <v>62</v>
      </c>
      <c r="K64" s="28">
        <v>-492.59999999999991</v>
      </c>
    </row>
  </sheetData>
  <sortState ref="E2:H6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9DB45-651A-4DDF-AE87-4ADA876E59D8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194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5</v>
      </c>
      <c r="C2" s="87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181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4">
        <v>46</v>
      </c>
      <c r="C3" s="95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182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6">
        <v>89</v>
      </c>
      <c r="C4" s="97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183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6">
        <f>IF(B$2=0,0,B$4/B$2)</f>
        <v>17.8</v>
      </c>
      <c r="C5" s="97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184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8">
        <f>IF(B$2=0,0,(B$7*1+B$8*2+B$9*3)/B$2)</f>
        <v>1.6</v>
      </c>
      <c r="C6" s="99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185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186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191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B18+B17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12</v>
      </c>
      <c r="B17" s="50">
        <v>5</v>
      </c>
      <c r="C17" s="27">
        <f>IF(B$16=0,0,B17/B$16)</f>
        <v>0.27777777777777779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11</v>
      </c>
      <c r="B18" s="50">
        <v>13</v>
      </c>
      <c r="C18" s="27">
        <f>IF(B$16=0,0,B18/B$16)</f>
        <v>0.72222222222222221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178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179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6">
        <v>46</v>
      </c>
      <c r="C24" s="87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8">
        <v>18</v>
      </c>
      <c r="C25" s="89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78" t="s">
        <v>202</v>
      </c>
      <c r="B26" s="90">
        <v>5</v>
      </c>
      <c r="C26" s="91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A27" s="60" t="s">
        <v>204</v>
      </c>
      <c r="B27" s="79">
        <v>0</v>
      </c>
      <c r="C27" s="32">
        <f>IF(B$3=0,0,B27/B$3)</f>
        <v>0</v>
      </c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04548-5516-45DA-BFA2-236D0A33D7C5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92" t="s">
        <v>195</v>
      </c>
      <c r="C1" s="93"/>
      <c r="E1" s="66" t="s">
        <v>193</v>
      </c>
      <c r="F1" s="83" t="s">
        <v>122</v>
      </c>
      <c r="G1" s="82" t="s">
        <v>123</v>
      </c>
      <c r="H1" s="83" t="s">
        <v>124</v>
      </c>
      <c r="J1" s="21" t="s">
        <v>22</v>
      </c>
      <c r="K1" s="22" t="s">
        <v>127</v>
      </c>
      <c r="M1" s="21" t="s">
        <v>187</v>
      </c>
      <c r="N1" s="83" t="s">
        <v>189</v>
      </c>
      <c r="O1" s="40" t="s">
        <v>190</v>
      </c>
      <c r="P1" s="36" t="s">
        <v>123</v>
      </c>
    </row>
    <row r="2" spans="1:16" x14ac:dyDescent="0.4">
      <c r="A2" s="57" t="s">
        <v>9</v>
      </c>
      <c r="B2" s="86">
        <v>17</v>
      </c>
      <c r="C2" s="87"/>
      <c r="E2" s="67" t="s">
        <v>73</v>
      </c>
      <c r="F2" s="63" t="s">
        <v>27</v>
      </c>
      <c r="G2" s="49">
        <v>39</v>
      </c>
      <c r="H2" s="24">
        <f>IF(B$25=0,0,G2/B$25)</f>
        <v>1.1142857142857143</v>
      </c>
      <c r="J2" s="23">
        <v>0</v>
      </c>
      <c r="K2" s="25">
        <v>0</v>
      </c>
      <c r="M2" s="23" t="s">
        <v>181</v>
      </c>
      <c r="N2" s="44">
        <f t="shared" ref="N2:N7" si="0">IF(P2=0,0,O2/P2)</f>
        <v>-3958.8235294117649</v>
      </c>
      <c r="O2" s="41">
        <v>-67300</v>
      </c>
      <c r="P2" s="39">
        <v>17</v>
      </c>
    </row>
    <row r="3" spans="1:16" x14ac:dyDescent="0.4">
      <c r="A3" s="58" t="s">
        <v>8</v>
      </c>
      <c r="B3" s="94">
        <v>134</v>
      </c>
      <c r="C3" s="95"/>
      <c r="E3" s="68" t="s">
        <v>71</v>
      </c>
      <c r="F3" s="64" t="s">
        <v>25</v>
      </c>
      <c r="G3" s="50">
        <v>27</v>
      </c>
      <c r="H3" s="27">
        <f>IF(B$25=0,0,G3/B$25)</f>
        <v>0.77142857142857146</v>
      </c>
      <c r="J3" s="26">
        <v>1</v>
      </c>
      <c r="K3" s="28">
        <v>15</v>
      </c>
      <c r="M3" s="26" t="s">
        <v>182</v>
      </c>
      <c r="N3" s="45">
        <f t="shared" si="0"/>
        <v>3958.8235294117649</v>
      </c>
      <c r="O3" s="42">
        <v>67300</v>
      </c>
      <c r="P3" s="37">
        <v>17</v>
      </c>
    </row>
    <row r="4" spans="1:16" x14ac:dyDescent="0.4">
      <c r="A4" s="58" t="s">
        <v>6</v>
      </c>
      <c r="B4" s="96">
        <v>-39.799999999999997</v>
      </c>
      <c r="C4" s="97"/>
      <c r="E4" s="68" t="s">
        <v>78</v>
      </c>
      <c r="F4" s="64" t="s">
        <v>31</v>
      </c>
      <c r="G4" s="50">
        <v>23</v>
      </c>
      <c r="H4" s="27">
        <f>IF(B$25=0,0,G4/B$25)</f>
        <v>0.65714285714285714</v>
      </c>
      <c r="J4" s="26">
        <v>2</v>
      </c>
      <c r="K4" s="28">
        <v>-24.299999999999997</v>
      </c>
      <c r="M4" s="26" t="s">
        <v>183</v>
      </c>
      <c r="N4" s="45">
        <f t="shared" si="0"/>
        <v>-642.85714285714289</v>
      </c>
      <c r="O4" s="42">
        <v>-9000</v>
      </c>
      <c r="P4" s="37">
        <v>14</v>
      </c>
    </row>
    <row r="5" spans="1:16" x14ac:dyDescent="0.4">
      <c r="A5" s="58" t="s">
        <v>7</v>
      </c>
      <c r="B5" s="96">
        <f>IF(B$2=0,0,B$4/B$2)</f>
        <v>-2.341176470588235</v>
      </c>
      <c r="C5" s="97"/>
      <c r="E5" s="68" t="s">
        <v>69</v>
      </c>
      <c r="F5" s="64" t="s">
        <v>23</v>
      </c>
      <c r="G5" s="50">
        <v>13</v>
      </c>
      <c r="H5" s="27">
        <f>IF(B$25=0,0,G5/B$25)</f>
        <v>0.37142857142857144</v>
      </c>
      <c r="J5" s="26">
        <v>3</v>
      </c>
      <c r="K5" s="28">
        <v>-15.599999999999998</v>
      </c>
      <c r="M5" s="26" t="s">
        <v>184</v>
      </c>
      <c r="N5" s="45">
        <f t="shared" si="0"/>
        <v>176.92307692307693</v>
      </c>
      <c r="O5" s="42">
        <v>2300</v>
      </c>
      <c r="P5" s="37">
        <v>13</v>
      </c>
    </row>
    <row r="6" spans="1:16" x14ac:dyDescent="0.4">
      <c r="A6" s="58" t="s">
        <v>1</v>
      </c>
      <c r="B6" s="98">
        <f>IF(B$2=0,0,(B$7*1+B$8*2+B$9*3)/B$2)</f>
        <v>2.1176470588235294</v>
      </c>
      <c r="C6" s="99"/>
      <c r="E6" s="68" t="s">
        <v>96</v>
      </c>
      <c r="F6" s="64" t="s">
        <v>49</v>
      </c>
      <c r="G6" s="50">
        <v>8</v>
      </c>
      <c r="H6" s="27">
        <f>IF(B$25=0,0,G6/B$25)</f>
        <v>0.22857142857142856</v>
      </c>
      <c r="J6" s="26">
        <v>4</v>
      </c>
      <c r="K6" s="28">
        <v>5.1000000000000014</v>
      </c>
      <c r="M6" s="26" t="s">
        <v>185</v>
      </c>
      <c r="N6" s="45">
        <f t="shared" si="0"/>
        <v>-1133.3333333333333</v>
      </c>
      <c r="O6" s="42">
        <v>-13600</v>
      </c>
      <c r="P6" s="37">
        <v>12</v>
      </c>
    </row>
    <row r="7" spans="1:16" x14ac:dyDescent="0.4">
      <c r="A7" s="58" t="s">
        <v>2</v>
      </c>
      <c r="B7" s="50">
        <v>5</v>
      </c>
      <c r="C7" s="27">
        <f>IF(B$2=0,0,B7/B$2)</f>
        <v>0.29411764705882354</v>
      </c>
      <c r="E7" s="68" t="s">
        <v>74</v>
      </c>
      <c r="F7" s="64" t="s">
        <v>12</v>
      </c>
      <c r="G7" s="50">
        <v>6</v>
      </c>
      <c r="H7" s="27">
        <f>IF(B$25=0,0,G7/B$25)</f>
        <v>0.17142857142857143</v>
      </c>
      <c r="J7" s="26">
        <v>5</v>
      </c>
      <c r="K7" s="28">
        <v>9.6000000000000014</v>
      </c>
      <c r="M7" s="31" t="s">
        <v>186</v>
      </c>
      <c r="N7" s="46">
        <f t="shared" si="0"/>
        <v>-2166.6666666666665</v>
      </c>
      <c r="O7" s="43">
        <v>-19500</v>
      </c>
      <c r="P7" s="38">
        <v>9</v>
      </c>
    </row>
    <row r="8" spans="1:16" x14ac:dyDescent="0.4">
      <c r="A8" s="58" t="s">
        <v>3</v>
      </c>
      <c r="B8" s="50">
        <v>5</v>
      </c>
      <c r="C8" s="27">
        <f t="shared" ref="C8:C9" si="1">IF(B$2=0,0,B8/B$2)</f>
        <v>0.29411764705882354</v>
      </c>
      <c r="E8" s="68" t="s">
        <v>70</v>
      </c>
      <c r="F8" s="64" t="s">
        <v>24</v>
      </c>
      <c r="G8" s="50">
        <v>5</v>
      </c>
      <c r="H8" s="27">
        <f>IF(B$25=0,0,G8/B$25)</f>
        <v>0.14285714285714285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7</v>
      </c>
      <c r="C9" s="29">
        <f t="shared" si="1"/>
        <v>0.41176470588235292</v>
      </c>
      <c r="E9" s="68" t="s">
        <v>72</v>
      </c>
      <c r="F9" s="64" t="s">
        <v>26</v>
      </c>
      <c r="G9" s="50">
        <v>5</v>
      </c>
      <c r="H9" s="27">
        <f>IF(B$25=0,0,G9/B$25)</f>
        <v>0.14285714285714285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3</v>
      </c>
      <c r="C10" s="29">
        <f>IF(B$2=0,0,B10/B$2)</f>
        <v>0.17647058823529413</v>
      </c>
      <c r="E10" s="68" t="s">
        <v>76</v>
      </c>
      <c r="F10" s="64" t="s">
        <v>29</v>
      </c>
      <c r="G10" s="50">
        <v>5</v>
      </c>
      <c r="H10" s="27">
        <f>IF(B$25=0,0,G10/B$25)</f>
        <v>0.14285714285714285</v>
      </c>
      <c r="J10" s="26">
        <v>8</v>
      </c>
      <c r="K10" s="28">
        <v>-4.4999999999999964</v>
      </c>
    </row>
    <row r="11" spans="1:16" x14ac:dyDescent="0.4">
      <c r="A11" s="60" t="s">
        <v>191</v>
      </c>
      <c r="B11" s="52">
        <v>2</v>
      </c>
      <c r="C11" s="32">
        <f>IF(B$2=0,0,B11/B$2)</f>
        <v>0.11764705882352941</v>
      </c>
      <c r="E11" s="68" t="s">
        <v>90</v>
      </c>
      <c r="F11" s="64" t="s">
        <v>43</v>
      </c>
      <c r="G11" s="50">
        <v>5</v>
      </c>
      <c r="H11" s="27">
        <f>IF(B$25=0,0,G11/B$25)</f>
        <v>0.14285714285714285</v>
      </c>
      <c r="J11" s="26">
        <v>9</v>
      </c>
      <c r="K11" s="28">
        <v>-9.3999999999999968</v>
      </c>
    </row>
    <row r="12" spans="1:16" x14ac:dyDescent="0.4">
      <c r="A12" s="61" t="s">
        <v>130</v>
      </c>
      <c r="B12" s="53">
        <v>26</v>
      </c>
      <c r="C12" s="35">
        <f>IF(B$24=0,0,B12/B$24)</f>
        <v>0.19402985074626866</v>
      </c>
      <c r="E12" s="68" t="s">
        <v>93</v>
      </c>
      <c r="F12" s="64" t="s">
        <v>46</v>
      </c>
      <c r="G12" s="50">
        <v>4</v>
      </c>
      <c r="H12" s="27">
        <f>IF(B$25=0,0,G12/B$25)</f>
        <v>0.11428571428571428</v>
      </c>
      <c r="J12" s="26">
        <v>10</v>
      </c>
      <c r="K12" s="28">
        <v>-24.299999999999997</v>
      </c>
    </row>
    <row r="13" spans="1:16" x14ac:dyDescent="0.4">
      <c r="A13" s="58" t="s">
        <v>125</v>
      </c>
      <c r="B13" s="50">
        <v>51</v>
      </c>
      <c r="C13" s="27">
        <f>IF(B$24=0,0,B13/B$24)</f>
        <v>0.38059701492537312</v>
      </c>
      <c r="E13" s="68" t="s">
        <v>75</v>
      </c>
      <c r="F13" s="64" t="s">
        <v>28</v>
      </c>
      <c r="G13" s="50">
        <v>2</v>
      </c>
      <c r="H13" s="27">
        <f>IF(B$25=0,0,G13/B$25)</f>
        <v>5.7142857142857141E-2</v>
      </c>
      <c r="J13" s="26">
        <v>11</v>
      </c>
      <c r="K13" s="28">
        <v>-70</v>
      </c>
    </row>
    <row r="14" spans="1:16" x14ac:dyDescent="0.4">
      <c r="A14" s="57" t="s">
        <v>132</v>
      </c>
      <c r="B14" s="49">
        <v>14</v>
      </c>
      <c r="C14" s="24">
        <f>IF(B$12=0,0,B14/B$12)</f>
        <v>0.53846153846153844</v>
      </c>
      <c r="E14" s="68" t="s">
        <v>77</v>
      </c>
      <c r="F14" s="64" t="s">
        <v>30</v>
      </c>
      <c r="G14" s="50">
        <v>2</v>
      </c>
      <c r="H14" s="27">
        <f>IF(B$25=0,0,G14/B$25)</f>
        <v>5.7142857142857141E-2</v>
      </c>
      <c r="J14" s="26">
        <v>12</v>
      </c>
      <c r="K14" s="28">
        <v>-43.8</v>
      </c>
    </row>
    <row r="15" spans="1:16" x14ac:dyDescent="0.4">
      <c r="A15" s="57" t="s">
        <v>133</v>
      </c>
      <c r="B15" s="49">
        <v>17</v>
      </c>
      <c r="C15" s="24">
        <f>IF(B$13=0,0,B15/B$13)</f>
        <v>0.33333333333333331</v>
      </c>
      <c r="E15" s="68" t="s">
        <v>85</v>
      </c>
      <c r="F15" s="64" t="s">
        <v>38</v>
      </c>
      <c r="G15" s="50">
        <v>2</v>
      </c>
      <c r="H15" s="27">
        <f>IF(B$25=0,0,G15/B$25)</f>
        <v>5.7142857142857141E-2</v>
      </c>
      <c r="J15" s="26">
        <v>13</v>
      </c>
      <c r="K15" s="28">
        <v>-11.099999999999994</v>
      </c>
    </row>
    <row r="16" spans="1:16" x14ac:dyDescent="0.4">
      <c r="A16" s="57" t="s">
        <v>10</v>
      </c>
      <c r="B16" s="49">
        <f>B18+B17</f>
        <v>35</v>
      </c>
      <c r="C16" s="24">
        <f>IF(B$3=0,0,B16/B$3)</f>
        <v>0.26119402985074625</v>
      </c>
      <c r="E16" s="68" t="s">
        <v>88</v>
      </c>
      <c r="F16" s="64" t="s">
        <v>41</v>
      </c>
      <c r="G16" s="50">
        <v>2</v>
      </c>
      <c r="H16" s="27">
        <f>IF(B$25=0,0,G16/B$25)</f>
        <v>5.7142857142857141E-2</v>
      </c>
      <c r="J16" s="26">
        <v>14</v>
      </c>
      <c r="K16" s="28">
        <v>-5.7999999999999945</v>
      </c>
    </row>
    <row r="17" spans="1:11" x14ac:dyDescent="0.4">
      <c r="A17" s="58" t="s">
        <v>12</v>
      </c>
      <c r="B17" s="50">
        <v>9</v>
      </c>
      <c r="C17" s="27">
        <f>IF(B$16=0,0,B17/B$16)</f>
        <v>0.25714285714285712</v>
      </c>
      <c r="E17" s="68" t="s">
        <v>83</v>
      </c>
      <c r="F17" s="64" t="s">
        <v>36</v>
      </c>
      <c r="G17" s="50">
        <v>1</v>
      </c>
      <c r="H17" s="27">
        <f>IF(B$25=0,0,G17/B$25)</f>
        <v>2.8571428571428571E-2</v>
      </c>
      <c r="J17" s="26">
        <v>15</v>
      </c>
      <c r="K17" s="28">
        <v>-44.199999999999996</v>
      </c>
    </row>
    <row r="18" spans="1:11" x14ac:dyDescent="0.4">
      <c r="A18" s="58" t="s">
        <v>11</v>
      </c>
      <c r="B18" s="50">
        <v>26</v>
      </c>
      <c r="C18" s="27">
        <f>IF(B$16=0,0,B18/B$16)</f>
        <v>0.74285714285714288</v>
      </c>
      <c r="E18" s="68" t="s">
        <v>92</v>
      </c>
      <c r="F18" s="64" t="s">
        <v>45</v>
      </c>
      <c r="G18" s="50">
        <v>1</v>
      </c>
      <c r="H18" s="27">
        <f>IF(B$25=0,0,G18/B$25)</f>
        <v>2.8571428571428571E-2</v>
      </c>
      <c r="J18" s="26">
        <v>16</v>
      </c>
      <c r="K18" s="28">
        <v>-25.599999999999994</v>
      </c>
    </row>
    <row r="19" spans="1:11" x14ac:dyDescent="0.4">
      <c r="A19" s="58" t="s">
        <v>13</v>
      </c>
      <c r="B19" s="50">
        <v>24</v>
      </c>
      <c r="C19" s="27">
        <f>IF(B$3=0,0,B19/B$3)</f>
        <v>0.17910447761194029</v>
      </c>
      <c r="E19" s="68" t="s">
        <v>98</v>
      </c>
      <c r="F19" s="64" t="s">
        <v>51</v>
      </c>
      <c r="G19" s="50">
        <v>1</v>
      </c>
      <c r="H19" s="27">
        <f>IF(B$25=0,0,G19/B$25)</f>
        <v>2.8571428571428571E-2</v>
      </c>
      <c r="J19" s="26">
        <v>17</v>
      </c>
      <c r="K19" s="28">
        <v>-39.799999999999997</v>
      </c>
    </row>
    <row r="20" spans="1:11" x14ac:dyDescent="0.4">
      <c r="A20" s="58" t="s">
        <v>5</v>
      </c>
      <c r="B20" s="54">
        <f>IF(B$16=0,0,C20/B$16)</f>
        <v>10022.857142857143</v>
      </c>
      <c r="C20" s="30">
        <v>350800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</row>
    <row r="21" spans="1:11" x14ac:dyDescent="0.4">
      <c r="A21" s="60" t="s">
        <v>14</v>
      </c>
      <c r="B21" s="55">
        <f>IF(B$19=0,0,C21/B$19)</f>
        <v>-8429.1666666666661</v>
      </c>
      <c r="C21" s="48">
        <v>-202300</v>
      </c>
      <c r="E21" s="68" t="s">
        <v>80</v>
      </c>
      <c r="F21" s="64" t="s">
        <v>33</v>
      </c>
      <c r="G21" s="50">
        <v>0</v>
      </c>
      <c r="H21" s="27">
        <f>IF(B$25=0,0,G21/B$25)</f>
        <v>0</v>
      </c>
    </row>
    <row r="22" spans="1:11" x14ac:dyDescent="0.4">
      <c r="A22" s="57" t="s">
        <v>178</v>
      </c>
      <c r="B22" s="49">
        <v>40</v>
      </c>
      <c r="C22" s="24">
        <f>IF(B$3=0,0,B22/B$3)</f>
        <v>0.29850746268656714</v>
      </c>
      <c r="E22" s="68" t="s">
        <v>81</v>
      </c>
      <c r="F22" s="64" t="s">
        <v>34</v>
      </c>
      <c r="G22" s="50">
        <v>0</v>
      </c>
      <c r="H22" s="27">
        <f>IF(B$25=0,0,G22/B$25)</f>
        <v>0</v>
      </c>
    </row>
    <row r="23" spans="1:11" x14ac:dyDescent="0.4">
      <c r="A23" s="60" t="s">
        <v>179</v>
      </c>
      <c r="B23" s="52">
        <v>11</v>
      </c>
      <c r="C23" s="32">
        <f>IF(B$22=0,0,B23/B$22)</f>
        <v>0.27500000000000002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</row>
    <row r="24" spans="1:11" x14ac:dyDescent="0.4">
      <c r="A24" s="57" t="s">
        <v>128</v>
      </c>
      <c r="B24" s="86">
        <v>134</v>
      </c>
      <c r="C24" s="87"/>
      <c r="E24" s="68" t="s">
        <v>84</v>
      </c>
      <c r="F24" s="64" t="s">
        <v>37</v>
      </c>
      <c r="G24" s="50">
        <v>0</v>
      </c>
      <c r="H24" s="27">
        <f>IF(B$25=0,0,G24/B$25)</f>
        <v>0</v>
      </c>
    </row>
    <row r="25" spans="1:11" x14ac:dyDescent="0.4">
      <c r="A25" s="60" t="s">
        <v>129</v>
      </c>
      <c r="B25" s="88">
        <v>35</v>
      </c>
      <c r="C25" s="89"/>
      <c r="E25" s="68" t="s">
        <v>86</v>
      </c>
      <c r="F25" s="64" t="s">
        <v>39</v>
      </c>
      <c r="G25" s="50">
        <v>0</v>
      </c>
      <c r="H25" s="27">
        <f>IF(B$25=0,0,G25/B$25)</f>
        <v>0</v>
      </c>
    </row>
    <row r="26" spans="1:11" x14ac:dyDescent="0.4">
      <c r="A26" s="78" t="s">
        <v>202</v>
      </c>
      <c r="B26" s="90">
        <v>5</v>
      </c>
      <c r="C26" s="91"/>
      <c r="E26" s="68" t="s">
        <v>87</v>
      </c>
      <c r="F26" s="64" t="s">
        <v>40</v>
      </c>
      <c r="G26" s="50">
        <v>0</v>
      </c>
      <c r="H26" s="27">
        <f>IF(B$25=0,0,G26/B$25)</f>
        <v>0</v>
      </c>
    </row>
    <row r="27" spans="1:11" x14ac:dyDescent="0.4">
      <c r="A27" s="60" t="s">
        <v>204</v>
      </c>
      <c r="B27" s="79">
        <v>0</v>
      </c>
      <c r="C27" s="32">
        <f>IF(B$3=0,0,B27/B$3)</f>
        <v>0</v>
      </c>
      <c r="E27" s="68" t="s">
        <v>89</v>
      </c>
      <c r="F27" s="64" t="s">
        <v>42</v>
      </c>
      <c r="G27" s="50">
        <v>0</v>
      </c>
      <c r="H27" s="27">
        <f>IF(B$25=0,0,G27/B$25)</f>
        <v>0</v>
      </c>
    </row>
    <row r="28" spans="1:11" x14ac:dyDescent="0.4">
      <c r="E28" s="68" t="s">
        <v>91</v>
      </c>
      <c r="F28" s="64" t="s">
        <v>44</v>
      </c>
      <c r="G28" s="50">
        <v>0</v>
      </c>
      <c r="H28" s="27">
        <f>IF(B$25=0,0,G28/B$25)</f>
        <v>0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4"/>
  <sheetViews>
    <sheetView topLeftCell="A16"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166</v>
      </c>
    </row>
    <row r="3" spans="1:14" x14ac:dyDescent="0.4">
      <c r="A3" s="74" t="s">
        <v>140</v>
      </c>
      <c r="B3" s="75">
        <v>43454.62740740741</v>
      </c>
      <c r="C3" s="74" t="s">
        <v>166</v>
      </c>
    </row>
    <row r="4" spans="1:14" x14ac:dyDescent="0.4">
      <c r="A4" s="74" t="s">
        <v>143</v>
      </c>
      <c r="B4" s="75">
        <v>43454.62740740741</v>
      </c>
      <c r="C4" s="74" t="s">
        <v>166</v>
      </c>
    </row>
    <row r="5" spans="1:14" x14ac:dyDescent="0.4">
      <c r="A5" s="74" t="s">
        <v>144</v>
      </c>
      <c r="B5" s="75">
        <v>43454.62740740741</v>
      </c>
      <c r="C5" s="74" t="s">
        <v>166</v>
      </c>
      <c r="D5" s="74" t="s">
        <v>167</v>
      </c>
      <c r="E5" s="74" t="s">
        <v>168</v>
      </c>
      <c r="F5" s="74" t="s">
        <v>169</v>
      </c>
      <c r="G5" s="74" t="s">
        <v>170</v>
      </c>
    </row>
    <row r="6" spans="1:14" x14ac:dyDescent="0.4">
      <c r="A6" s="74" t="s">
        <v>146</v>
      </c>
      <c r="B6" s="75">
        <v>43454.62740740741</v>
      </c>
      <c r="C6" s="74" t="s">
        <v>166</v>
      </c>
    </row>
    <row r="7" spans="1:14" x14ac:dyDescent="0.4">
      <c r="A7" s="74" t="s">
        <v>147</v>
      </c>
      <c r="B7" s="75">
        <v>43454.62740740741</v>
      </c>
      <c r="C7" s="74" t="s">
        <v>166</v>
      </c>
      <c r="D7" s="74" t="s">
        <v>167</v>
      </c>
      <c r="E7" s="74" t="s">
        <v>168</v>
      </c>
    </row>
    <row r="8" spans="1:14" x14ac:dyDescent="0.4">
      <c r="A8" s="74" t="s">
        <v>150</v>
      </c>
      <c r="B8" s="75">
        <v>43454.62740740741</v>
      </c>
      <c r="C8" s="74" t="s">
        <v>166</v>
      </c>
      <c r="D8" s="74" t="s">
        <v>167</v>
      </c>
    </row>
    <row r="9" spans="1:14" x14ac:dyDescent="0.4">
      <c r="A9" s="74" t="s">
        <v>151</v>
      </c>
      <c r="B9" s="75">
        <v>43454.62740740741</v>
      </c>
      <c r="C9" s="74" t="s">
        <v>166</v>
      </c>
      <c r="D9" s="74" t="s">
        <v>167</v>
      </c>
      <c r="E9" s="74" t="s">
        <v>168</v>
      </c>
      <c r="F9" s="74" t="s">
        <v>169</v>
      </c>
    </row>
    <row r="10" spans="1:14" x14ac:dyDescent="0.4">
      <c r="A10" s="74" t="s">
        <v>152</v>
      </c>
      <c r="B10" s="75">
        <v>43454.62740740741</v>
      </c>
      <c r="C10" s="74" t="s">
        <v>166</v>
      </c>
      <c r="D10" s="74" t="s">
        <v>167</v>
      </c>
      <c r="E10" s="74" t="s">
        <v>168</v>
      </c>
    </row>
    <row r="11" spans="1:14" x14ac:dyDescent="0.4">
      <c r="A11" s="74" t="s">
        <v>153</v>
      </c>
      <c r="B11" s="75">
        <v>43454.62740740741</v>
      </c>
      <c r="C11" s="74" t="s">
        <v>166</v>
      </c>
      <c r="D11" s="74" t="s">
        <v>167</v>
      </c>
      <c r="E11" s="74" t="s">
        <v>168</v>
      </c>
      <c r="F11" s="74" t="s">
        <v>169</v>
      </c>
      <c r="G11" s="74" t="s">
        <v>170</v>
      </c>
      <c r="H11" s="74" t="s">
        <v>171</v>
      </c>
      <c r="I11" s="74" t="s">
        <v>172</v>
      </c>
    </row>
    <row r="12" spans="1:14" x14ac:dyDescent="0.4">
      <c r="A12" s="74" t="s">
        <v>154</v>
      </c>
      <c r="B12" s="75">
        <v>43454.62740740741</v>
      </c>
      <c r="C12" s="74" t="s">
        <v>166</v>
      </c>
      <c r="D12" s="74" t="s">
        <v>167</v>
      </c>
    </row>
    <row r="13" spans="1:14" x14ac:dyDescent="0.4">
      <c r="A13" s="74" t="s">
        <v>155</v>
      </c>
      <c r="B13" s="75">
        <v>43454.62740740741</v>
      </c>
      <c r="C13" s="74" t="s">
        <v>166</v>
      </c>
      <c r="D13" s="74" t="s">
        <v>167</v>
      </c>
      <c r="E13" s="74" t="s">
        <v>168</v>
      </c>
      <c r="F13" s="74" t="s">
        <v>169</v>
      </c>
      <c r="G13" s="74" t="s">
        <v>170</v>
      </c>
      <c r="H13" s="74" t="s">
        <v>171</v>
      </c>
      <c r="I13" s="74" t="s">
        <v>172</v>
      </c>
      <c r="J13" s="74" t="s">
        <v>173</v>
      </c>
      <c r="K13" s="74" t="s">
        <v>174</v>
      </c>
      <c r="L13" s="74" t="s">
        <v>175</v>
      </c>
      <c r="M13" s="74" t="s">
        <v>176</v>
      </c>
      <c r="N13" s="74" t="s">
        <v>177</v>
      </c>
    </row>
    <row r="14" spans="1:14" x14ac:dyDescent="0.4">
      <c r="A14" s="74" t="s">
        <v>157</v>
      </c>
      <c r="B14" s="75">
        <v>43454.62740740741</v>
      </c>
      <c r="C14" s="74" t="s">
        <v>166</v>
      </c>
      <c r="D14" s="74" t="s">
        <v>167</v>
      </c>
      <c r="E14" s="74" t="s">
        <v>168</v>
      </c>
    </row>
    <row r="15" spans="1:14" x14ac:dyDescent="0.4">
      <c r="A15" s="74" t="s">
        <v>158</v>
      </c>
      <c r="B15" s="75">
        <v>43454.62740740741</v>
      </c>
      <c r="C15" s="74" t="s">
        <v>166</v>
      </c>
      <c r="D15" s="74" t="s">
        <v>167</v>
      </c>
      <c r="E15" s="74" t="s">
        <v>168</v>
      </c>
    </row>
    <row r="16" spans="1:14" x14ac:dyDescent="0.4">
      <c r="A16" s="74" t="s">
        <v>159</v>
      </c>
      <c r="B16" s="75">
        <v>43454.62740740741</v>
      </c>
      <c r="C16" s="74" t="s">
        <v>166</v>
      </c>
      <c r="D16" s="74" t="s">
        <v>167</v>
      </c>
      <c r="E16" s="74" t="s">
        <v>168</v>
      </c>
    </row>
    <row r="17" spans="1:9" x14ac:dyDescent="0.4">
      <c r="A17" s="74" t="s">
        <v>161</v>
      </c>
      <c r="B17" s="75">
        <v>43471.701018518521</v>
      </c>
      <c r="C17" s="74" t="s">
        <v>166</v>
      </c>
      <c r="D17" s="74" t="s">
        <v>167</v>
      </c>
      <c r="E17" s="74" t="s">
        <v>168</v>
      </c>
      <c r="F17" s="74" t="s">
        <v>169</v>
      </c>
      <c r="G17" s="74" t="s">
        <v>170</v>
      </c>
      <c r="H17" s="74" t="s">
        <v>171</v>
      </c>
    </row>
    <row r="18" spans="1:9" x14ac:dyDescent="0.4">
      <c r="A18" s="74" t="s">
        <v>162</v>
      </c>
      <c r="B18" s="75">
        <v>43454.62740740741</v>
      </c>
      <c r="C18" s="74" t="s">
        <v>166</v>
      </c>
      <c r="D18" s="74" t="s">
        <v>167</v>
      </c>
      <c r="E18" s="74" t="s">
        <v>168</v>
      </c>
      <c r="F18" s="74" t="s">
        <v>169</v>
      </c>
      <c r="G18" s="74" t="s">
        <v>170</v>
      </c>
      <c r="H18" s="74" t="s">
        <v>171</v>
      </c>
    </row>
    <row r="19" spans="1:9" x14ac:dyDescent="0.4">
      <c r="A19" s="74" t="s">
        <v>163</v>
      </c>
      <c r="B19" s="75">
        <v>43454.62740740741</v>
      </c>
      <c r="C19" s="74" t="s">
        <v>166</v>
      </c>
      <c r="D19" s="74" t="s">
        <v>167</v>
      </c>
    </row>
    <row r="20" spans="1:9" x14ac:dyDescent="0.4">
      <c r="A20" s="74" t="s">
        <v>164</v>
      </c>
      <c r="B20" s="75">
        <v>43471.701018518521</v>
      </c>
      <c r="C20" s="74" t="s">
        <v>166</v>
      </c>
      <c r="D20" s="74" t="s">
        <v>167</v>
      </c>
      <c r="E20" s="74" t="s">
        <v>168</v>
      </c>
    </row>
    <row r="21" spans="1:9" x14ac:dyDescent="0.4">
      <c r="A21" s="74" t="s">
        <v>165</v>
      </c>
      <c r="B21" s="75">
        <v>43484.832372685189</v>
      </c>
      <c r="C21" s="74" t="s">
        <v>166</v>
      </c>
      <c r="D21" s="74" t="s">
        <v>167</v>
      </c>
      <c r="E21" s="74" t="s">
        <v>168</v>
      </c>
      <c r="F21" s="74" t="s">
        <v>169</v>
      </c>
    </row>
    <row r="22" spans="1:9" x14ac:dyDescent="0.4">
      <c r="A22" s="74" t="s">
        <v>205</v>
      </c>
      <c r="B22" s="75">
        <v>43454.62740740741</v>
      </c>
      <c r="C22" s="74" t="s">
        <v>166</v>
      </c>
      <c r="D22" s="74" t="s">
        <v>167</v>
      </c>
      <c r="E22" s="74" t="s">
        <v>168</v>
      </c>
      <c r="F22" s="74" t="s">
        <v>169</v>
      </c>
    </row>
    <row r="23" spans="1:9" x14ac:dyDescent="0.4">
      <c r="A23" s="74" t="s">
        <v>206</v>
      </c>
      <c r="B23" s="75">
        <v>43454.62740740741</v>
      </c>
      <c r="C23" s="74" t="s">
        <v>166</v>
      </c>
      <c r="D23" s="74" t="s">
        <v>167</v>
      </c>
      <c r="E23" s="74" t="s">
        <v>168</v>
      </c>
      <c r="F23" s="74" t="s">
        <v>169</v>
      </c>
      <c r="G23" s="74" t="s">
        <v>170</v>
      </c>
      <c r="H23" s="74" t="s">
        <v>171</v>
      </c>
      <c r="I23" s="74" t="s">
        <v>172</v>
      </c>
    </row>
    <row r="24" spans="1:9" x14ac:dyDescent="0.4">
      <c r="A24" s="74" t="s">
        <v>207</v>
      </c>
      <c r="B24" s="75">
        <v>43454.62740740741</v>
      </c>
      <c r="C24" s="74" t="s">
        <v>166</v>
      </c>
      <c r="D24" s="74" t="s">
        <v>167</v>
      </c>
      <c r="E24" s="74" t="s">
        <v>168</v>
      </c>
    </row>
    <row r="25" spans="1:9" x14ac:dyDescent="0.4">
      <c r="A25" s="74" t="s">
        <v>208</v>
      </c>
      <c r="B25" s="75">
        <v>43454.62740740741</v>
      </c>
      <c r="C25" s="74" t="s">
        <v>166</v>
      </c>
      <c r="D25" s="74" t="s">
        <v>167</v>
      </c>
      <c r="E25" s="74" t="s">
        <v>168</v>
      </c>
      <c r="F25" s="74" t="s">
        <v>169</v>
      </c>
      <c r="G25" s="74" t="s">
        <v>170</v>
      </c>
      <c r="H25" s="74" t="s">
        <v>171</v>
      </c>
    </row>
    <row r="26" spans="1:9" x14ac:dyDescent="0.4">
      <c r="A26" s="74" t="s">
        <v>209</v>
      </c>
      <c r="B26" s="75">
        <v>43454.62740740741</v>
      </c>
      <c r="C26" s="74" t="s">
        <v>166</v>
      </c>
      <c r="D26" s="74" t="s">
        <v>167</v>
      </c>
    </row>
    <row r="27" spans="1:9" x14ac:dyDescent="0.4">
      <c r="A27" s="74" t="s">
        <v>210</v>
      </c>
      <c r="B27" s="75">
        <v>43454.62740740741</v>
      </c>
      <c r="C27" s="74" t="s">
        <v>166</v>
      </c>
      <c r="D27" s="74" t="s">
        <v>167</v>
      </c>
    </row>
    <row r="28" spans="1:9" x14ac:dyDescent="0.4">
      <c r="A28" s="74" t="s">
        <v>211</v>
      </c>
      <c r="B28" s="75">
        <v>43454.62740740741</v>
      </c>
      <c r="C28" s="74" t="s">
        <v>166</v>
      </c>
      <c r="D28" s="74" t="s">
        <v>167</v>
      </c>
      <c r="E28" s="74" t="s">
        <v>168</v>
      </c>
      <c r="F28" s="74" t="s">
        <v>169</v>
      </c>
    </row>
    <row r="29" spans="1:9" x14ac:dyDescent="0.4">
      <c r="A29" s="74" t="s">
        <v>212</v>
      </c>
      <c r="B29" s="75">
        <v>43455.084918981483</v>
      </c>
      <c r="C29" s="74" t="s">
        <v>166</v>
      </c>
      <c r="D29" s="74" t="s">
        <v>167</v>
      </c>
      <c r="E29" s="74" t="s">
        <v>168</v>
      </c>
      <c r="F29" s="74" t="s">
        <v>169</v>
      </c>
      <c r="G29" s="74" t="s">
        <v>170</v>
      </c>
      <c r="H29" s="74" t="s">
        <v>171</v>
      </c>
    </row>
    <row r="30" spans="1:9" x14ac:dyDescent="0.4">
      <c r="A30" s="74" t="s">
        <v>213</v>
      </c>
      <c r="B30" s="75">
        <v>43456.147789351853</v>
      </c>
      <c r="C30" s="74" t="s">
        <v>166</v>
      </c>
      <c r="D30" s="74" t="s">
        <v>167</v>
      </c>
      <c r="E30" s="74" t="s">
        <v>168</v>
      </c>
      <c r="F30" s="74" t="s">
        <v>169</v>
      </c>
      <c r="G30" s="74" t="s">
        <v>170</v>
      </c>
    </row>
    <row r="31" spans="1:9" x14ac:dyDescent="0.4">
      <c r="A31" s="74" t="s">
        <v>214</v>
      </c>
      <c r="B31" s="75">
        <v>43471.8909375</v>
      </c>
      <c r="C31" s="74" t="s">
        <v>166</v>
      </c>
      <c r="D31" s="74" t="s">
        <v>167</v>
      </c>
      <c r="E31" s="74" t="s">
        <v>168</v>
      </c>
      <c r="F31" s="74" t="s">
        <v>169</v>
      </c>
    </row>
    <row r="32" spans="1:9" x14ac:dyDescent="0.4">
      <c r="A32" s="74" t="s">
        <v>215</v>
      </c>
      <c r="B32" s="75">
        <v>43475.056238425925</v>
      </c>
      <c r="C32" s="74" t="s">
        <v>166</v>
      </c>
    </row>
    <row r="33" spans="1:10" x14ac:dyDescent="0.4">
      <c r="A33" s="74" t="s">
        <v>216</v>
      </c>
      <c r="B33" s="75">
        <v>43478.456446759257</v>
      </c>
      <c r="C33" s="74" t="s">
        <v>166</v>
      </c>
      <c r="D33" s="74" t="s">
        <v>167</v>
      </c>
      <c r="E33" s="74" t="s">
        <v>168</v>
      </c>
    </row>
    <row r="34" spans="1:10" x14ac:dyDescent="0.4">
      <c r="A34" s="74" t="s">
        <v>217</v>
      </c>
      <c r="B34" s="75">
        <v>43479.152256944442</v>
      </c>
      <c r="C34" s="74" t="s">
        <v>166</v>
      </c>
      <c r="D34" s="74" t="s">
        <v>167</v>
      </c>
      <c r="E34" s="74" t="s">
        <v>168</v>
      </c>
      <c r="F34" s="74" t="s">
        <v>169</v>
      </c>
      <c r="G34" s="74" t="s">
        <v>170</v>
      </c>
      <c r="H34" s="74" t="s">
        <v>171</v>
      </c>
      <c r="I34" s="74" t="s">
        <v>172</v>
      </c>
      <c r="J34" s="74" t="s">
        <v>173</v>
      </c>
    </row>
    <row r="35" spans="1:10" x14ac:dyDescent="0.4">
      <c r="A35" s="74" t="s">
        <v>218</v>
      </c>
      <c r="B35" s="75">
        <v>43480.04891203704</v>
      </c>
      <c r="C35" s="74" t="s">
        <v>166</v>
      </c>
      <c r="D35" s="74" t="s">
        <v>167</v>
      </c>
      <c r="E35" s="74" t="s">
        <v>168</v>
      </c>
      <c r="F35" s="74" t="s">
        <v>169</v>
      </c>
      <c r="G35" s="74" t="s">
        <v>170</v>
      </c>
      <c r="H35" s="74" t="s">
        <v>171</v>
      </c>
      <c r="I35" s="74" t="s">
        <v>172</v>
      </c>
      <c r="J35" s="74" t="s">
        <v>173</v>
      </c>
    </row>
    <row r="36" spans="1:10" x14ac:dyDescent="0.4">
      <c r="A36" s="74" t="s">
        <v>219</v>
      </c>
      <c r="B36" s="75">
        <v>43481.046527777777</v>
      </c>
      <c r="C36" s="74" t="s">
        <v>166</v>
      </c>
      <c r="D36" s="74" t="s">
        <v>167</v>
      </c>
      <c r="E36" s="74" t="s">
        <v>168</v>
      </c>
    </row>
    <row r="37" spans="1:10" x14ac:dyDescent="0.4">
      <c r="A37" s="74" t="s">
        <v>220</v>
      </c>
      <c r="B37" s="75">
        <v>43482.020208333335</v>
      </c>
      <c r="C37" s="74" t="s">
        <v>166</v>
      </c>
      <c r="D37" s="74" t="s">
        <v>167</v>
      </c>
    </row>
    <row r="38" spans="1:10" x14ac:dyDescent="0.4">
      <c r="A38" s="74" t="s">
        <v>221</v>
      </c>
      <c r="B38" s="75">
        <v>43483.045300925929</v>
      </c>
      <c r="C38" s="74" t="s">
        <v>166</v>
      </c>
      <c r="D38" s="74" t="s">
        <v>167</v>
      </c>
      <c r="E38" s="74" t="s">
        <v>168</v>
      </c>
      <c r="F38" s="74" t="s">
        <v>169</v>
      </c>
      <c r="G38" s="74" t="s">
        <v>170</v>
      </c>
    </row>
    <row r="39" spans="1:10" x14ac:dyDescent="0.4">
      <c r="A39" s="74" t="s">
        <v>222</v>
      </c>
      <c r="B39" s="75">
        <v>43484.815625000003</v>
      </c>
      <c r="C39" s="74" t="s">
        <v>166</v>
      </c>
      <c r="D39" s="74" t="s">
        <v>167</v>
      </c>
      <c r="E39" s="74" t="s">
        <v>168</v>
      </c>
      <c r="F39" s="74" t="s">
        <v>169</v>
      </c>
      <c r="G39" s="74" t="s">
        <v>170</v>
      </c>
      <c r="H39" s="74" t="s">
        <v>171</v>
      </c>
    </row>
    <row r="40" spans="1:10" x14ac:dyDescent="0.4">
      <c r="A40" s="74" t="s">
        <v>223</v>
      </c>
      <c r="B40" s="75">
        <v>43485.111226851855</v>
      </c>
      <c r="C40" s="74" t="s">
        <v>166</v>
      </c>
      <c r="D40" s="74" t="s">
        <v>167</v>
      </c>
      <c r="E40" s="74" t="s">
        <v>168</v>
      </c>
      <c r="F40" s="74" t="s">
        <v>169</v>
      </c>
    </row>
    <row r="41" spans="1:10" x14ac:dyDescent="0.4">
      <c r="A41" s="74" t="s">
        <v>225</v>
      </c>
      <c r="B41" s="75">
        <v>43486.066643518519</v>
      </c>
      <c r="C41" s="74" t="s">
        <v>166</v>
      </c>
      <c r="D41" s="74" t="s">
        <v>167</v>
      </c>
      <c r="E41" s="74" t="s">
        <v>168</v>
      </c>
      <c r="F41" s="74" t="s">
        <v>169</v>
      </c>
    </row>
    <row r="42" spans="1:10" x14ac:dyDescent="0.4">
      <c r="A42" s="74" t="s">
        <v>226</v>
      </c>
      <c r="B42" s="75">
        <v>43487.036203703705</v>
      </c>
      <c r="C42" s="74" t="s">
        <v>166</v>
      </c>
      <c r="D42" s="74" t="s">
        <v>167</v>
      </c>
      <c r="E42" s="74" t="s">
        <v>168</v>
      </c>
      <c r="F42" s="74" t="s">
        <v>169</v>
      </c>
      <c r="G42" s="74" t="s">
        <v>170</v>
      </c>
      <c r="H42" s="74" t="s">
        <v>171</v>
      </c>
      <c r="I42" s="74" t="s">
        <v>172</v>
      </c>
    </row>
    <row r="43" spans="1:10" x14ac:dyDescent="0.4">
      <c r="A43" s="74" t="s">
        <v>227</v>
      </c>
      <c r="B43" s="75">
        <v>43488.059837962966</v>
      </c>
      <c r="C43" s="74" t="s">
        <v>166</v>
      </c>
      <c r="D43" s="74" t="s">
        <v>167</v>
      </c>
      <c r="E43" s="74" t="s">
        <v>168</v>
      </c>
      <c r="F43" s="74" t="s">
        <v>169</v>
      </c>
      <c r="G43" s="74" t="s">
        <v>170</v>
      </c>
      <c r="H43" s="74" t="s">
        <v>171</v>
      </c>
      <c r="I43" s="74" t="s">
        <v>172</v>
      </c>
    </row>
    <row r="44" spans="1:10" x14ac:dyDescent="0.4">
      <c r="A44" s="74" t="s">
        <v>228</v>
      </c>
      <c r="B44" s="75">
        <v>43489.041319444441</v>
      </c>
      <c r="C44" s="74" t="s">
        <v>166</v>
      </c>
      <c r="D44" s="74" t="s">
        <v>167</v>
      </c>
      <c r="E44" s="74" t="s">
        <v>168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Template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2019-01-23T16:03:10Z</dcterms:modified>
</cp:coreProperties>
</file>