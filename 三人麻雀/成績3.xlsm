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F8450449-C2F8-4C2A-A655-150636AE916C}" xr6:coauthVersionLast="31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だいち" sheetId="2607" r:id="rId3"/>
    <sheet name="かこたろう" sheetId="2608" r:id="rId4"/>
    <sheet name="ともき" sheetId="2609" r:id="rId5"/>
    <sheet name="りくと" sheetId="2610" r:id="rId6"/>
    <sheet name="いっしー" sheetId="2611" r:id="rId7"/>
    <sheet name="がくと" sheetId="2612" r:id="rId8"/>
    <sheet name="たかの" sheetId="2613" r:id="rId9"/>
    <sheet name="ただ" sheetId="2614" r:id="rId10"/>
    <sheet name="やがさき" sheetId="2615" r:id="rId11"/>
    <sheet name="れんたろう" sheetId="2616" r:id="rId12"/>
    <sheet name="あさひ" sheetId="2617" r:id="rId13"/>
    <sheet name="まっつん" sheetId="2618" r:id="rId14"/>
    <sheet name="Template" sheetId="2228" state="hidden" r:id="rId15"/>
    <sheet name="Cache" sheetId="2227" state="hidden" r:id="rId16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618" l="1"/>
  <c r="H50" i="2618"/>
  <c r="H49" i="2618"/>
  <c r="H48" i="2618"/>
  <c r="H47" i="2618"/>
  <c r="H46" i="2618"/>
  <c r="H45" i="2618"/>
  <c r="H44" i="2618"/>
  <c r="H43" i="2618"/>
  <c r="H42" i="2618"/>
  <c r="H41" i="2618"/>
  <c r="H40" i="2618"/>
  <c r="H39" i="2618"/>
  <c r="H38" i="2618"/>
  <c r="H37" i="2618"/>
  <c r="H36" i="2618"/>
  <c r="H35" i="2618"/>
  <c r="H34" i="2618"/>
  <c r="H33" i="2618"/>
  <c r="H32" i="2618"/>
  <c r="H31" i="2618"/>
  <c r="H30" i="2618"/>
  <c r="H6" i="2618"/>
  <c r="H29" i="2618"/>
  <c r="H28" i="2618"/>
  <c r="H27" i="2618"/>
  <c r="H10" i="2618"/>
  <c r="H26" i="2618"/>
  <c r="H5" i="2618"/>
  <c r="C23" i="2618"/>
  <c r="H25" i="2618"/>
  <c r="C22" i="2618"/>
  <c r="H24" i="2618"/>
  <c r="B21" i="2618"/>
  <c r="H23" i="2618"/>
  <c r="H22" i="2618"/>
  <c r="C19" i="2618"/>
  <c r="H9" i="2618"/>
  <c r="C18" i="2618"/>
  <c r="H21" i="2618"/>
  <c r="C17" i="2618"/>
  <c r="H20" i="2618"/>
  <c r="B16" i="2618"/>
  <c r="B20" i="2618" s="1"/>
  <c r="H19" i="2618"/>
  <c r="C15" i="2618"/>
  <c r="H18" i="2618"/>
  <c r="C14" i="2618"/>
  <c r="H17" i="2618"/>
  <c r="C13" i="2618"/>
  <c r="H16" i="2618"/>
  <c r="C12" i="2618"/>
  <c r="H4" i="2618"/>
  <c r="C11" i="2618"/>
  <c r="H15" i="2618"/>
  <c r="C10" i="2618"/>
  <c r="H8" i="2618"/>
  <c r="C9" i="2618"/>
  <c r="H14" i="2618"/>
  <c r="C8" i="2618"/>
  <c r="N7" i="2618"/>
  <c r="H13" i="2618"/>
  <c r="C7" i="2618"/>
  <c r="N6" i="2618"/>
  <c r="H2" i="2618"/>
  <c r="B6" i="2618"/>
  <c r="N5" i="2618"/>
  <c r="H12" i="2618"/>
  <c r="B5" i="2618"/>
  <c r="N4" i="2618"/>
  <c r="H3" i="2618"/>
  <c r="N3" i="2618"/>
  <c r="H11" i="2618"/>
  <c r="N2" i="2618"/>
  <c r="H7" i="2618"/>
  <c r="C16" i="2618" l="1"/>
  <c r="H51" i="2617" l="1"/>
  <c r="H50" i="2617"/>
  <c r="H49" i="2617"/>
  <c r="H48" i="2617"/>
  <c r="H47" i="2617"/>
  <c r="H46" i="2617"/>
  <c r="H45" i="2617"/>
  <c r="H44" i="2617"/>
  <c r="H43" i="2617"/>
  <c r="H42" i="2617"/>
  <c r="H41" i="2617"/>
  <c r="H40" i="2617"/>
  <c r="H39" i="2617"/>
  <c r="H38" i="2617"/>
  <c r="H37" i="2617"/>
  <c r="H36" i="2617"/>
  <c r="H35" i="2617"/>
  <c r="H34" i="2617"/>
  <c r="H33" i="2617"/>
  <c r="H32" i="2617"/>
  <c r="H14" i="2617"/>
  <c r="H31" i="2617"/>
  <c r="H11" i="2617"/>
  <c r="H30" i="2617"/>
  <c r="H29" i="2617"/>
  <c r="H10" i="2617"/>
  <c r="H28" i="2617"/>
  <c r="H27" i="2617"/>
  <c r="H26" i="2617"/>
  <c r="C23" i="2617"/>
  <c r="H25" i="2617"/>
  <c r="C22" i="2617"/>
  <c r="H24" i="2617"/>
  <c r="B21" i="2617"/>
  <c r="H23" i="2617"/>
  <c r="H22" i="2617"/>
  <c r="C19" i="2617"/>
  <c r="H21" i="2617"/>
  <c r="C18" i="2617"/>
  <c r="H20" i="2617"/>
  <c r="C17" i="2617"/>
  <c r="H19" i="2617"/>
  <c r="B16" i="2617"/>
  <c r="B20" i="2617" s="1"/>
  <c r="H18" i="2617"/>
  <c r="C15" i="2617"/>
  <c r="H17" i="2617"/>
  <c r="C14" i="2617"/>
  <c r="H16" i="2617"/>
  <c r="C13" i="2617"/>
  <c r="H15" i="2617"/>
  <c r="C12" i="2617"/>
  <c r="H5" i="2617"/>
  <c r="C11" i="2617"/>
  <c r="H13" i="2617"/>
  <c r="C10" i="2617"/>
  <c r="H7" i="2617"/>
  <c r="C9" i="2617"/>
  <c r="H9" i="2617"/>
  <c r="C8" i="2617"/>
  <c r="N7" i="2617"/>
  <c r="H8" i="2617"/>
  <c r="C7" i="2617"/>
  <c r="N6" i="2617"/>
  <c r="H3" i="2617"/>
  <c r="B6" i="2617"/>
  <c r="N5" i="2617"/>
  <c r="H6" i="2617"/>
  <c r="B5" i="2617"/>
  <c r="N4" i="2617"/>
  <c r="H2" i="2617"/>
  <c r="N3" i="2617"/>
  <c r="H12" i="2617"/>
  <c r="N2" i="2617"/>
  <c r="H4" i="2617"/>
  <c r="C16" i="2617" l="1"/>
  <c r="H51" i="2616"/>
  <c r="H50" i="2616"/>
  <c r="H49" i="2616"/>
  <c r="H48" i="2616"/>
  <c r="H47" i="2616"/>
  <c r="H46" i="2616"/>
  <c r="H45" i="2616"/>
  <c r="H44" i="2616"/>
  <c r="H43" i="2616"/>
  <c r="H42" i="2616"/>
  <c r="H41" i="2616"/>
  <c r="H40" i="2616"/>
  <c r="H39" i="2616"/>
  <c r="H38" i="2616"/>
  <c r="H37" i="2616"/>
  <c r="H36" i="2616"/>
  <c r="H35" i="2616"/>
  <c r="H34" i="2616"/>
  <c r="H21" i="2616"/>
  <c r="H33" i="2616"/>
  <c r="H32" i="2616"/>
  <c r="H31" i="2616"/>
  <c r="H8" i="2616"/>
  <c r="H30" i="2616"/>
  <c r="H29" i="2616"/>
  <c r="H13" i="2616"/>
  <c r="H28" i="2616"/>
  <c r="H20" i="2616"/>
  <c r="H15" i="2616"/>
  <c r="C23" i="2616"/>
  <c r="H27" i="2616"/>
  <c r="C22" i="2616"/>
  <c r="H17" i="2616"/>
  <c r="B21" i="2616"/>
  <c r="H26" i="2616"/>
  <c r="H25" i="2616"/>
  <c r="C19" i="2616"/>
  <c r="H19" i="2616"/>
  <c r="C18" i="2616"/>
  <c r="H12" i="2616"/>
  <c r="C17" i="2616"/>
  <c r="H24" i="2616"/>
  <c r="B16" i="2616"/>
  <c r="B20" i="2616" s="1"/>
  <c r="H23" i="2616"/>
  <c r="C15" i="2616"/>
  <c r="H18" i="2616"/>
  <c r="C14" i="2616"/>
  <c r="H22" i="2616"/>
  <c r="C13" i="2616"/>
  <c r="H14" i="2616"/>
  <c r="C12" i="2616"/>
  <c r="H3" i="2616"/>
  <c r="C11" i="2616"/>
  <c r="H16" i="2616"/>
  <c r="C10" i="2616"/>
  <c r="H10" i="2616"/>
  <c r="C9" i="2616"/>
  <c r="H9" i="2616"/>
  <c r="C8" i="2616"/>
  <c r="N7" i="2616"/>
  <c r="H7" i="2616"/>
  <c r="C7" i="2616"/>
  <c r="N6" i="2616"/>
  <c r="H2" i="2616"/>
  <c r="B6" i="2616"/>
  <c r="N5" i="2616"/>
  <c r="H6" i="2616"/>
  <c r="B5" i="2616"/>
  <c r="N4" i="2616"/>
  <c r="H4" i="2616"/>
  <c r="N3" i="2616"/>
  <c r="H11" i="2616"/>
  <c r="N2" i="2616"/>
  <c r="H5" i="2616"/>
  <c r="C16" i="2616" l="1"/>
  <c r="H51" i="2615"/>
  <c r="H50" i="2615"/>
  <c r="H49" i="2615"/>
  <c r="H48" i="2615"/>
  <c r="H47" i="2615"/>
  <c r="H46" i="2615"/>
  <c r="H45" i="2615"/>
  <c r="H44" i="2615"/>
  <c r="H43" i="2615"/>
  <c r="H42" i="2615"/>
  <c r="H41" i="2615"/>
  <c r="H40" i="2615"/>
  <c r="H39" i="2615"/>
  <c r="H38" i="2615"/>
  <c r="H37" i="2615"/>
  <c r="H36" i="2615"/>
  <c r="H35" i="2615"/>
  <c r="H34" i="2615"/>
  <c r="H33" i="2615"/>
  <c r="H32" i="2615"/>
  <c r="H31" i="2615"/>
  <c r="H30" i="2615"/>
  <c r="H29" i="2615"/>
  <c r="H28" i="2615"/>
  <c r="H27" i="2615"/>
  <c r="H26" i="2615"/>
  <c r="H25" i="2615"/>
  <c r="H24" i="2615"/>
  <c r="H23" i="2615"/>
  <c r="C23" i="2615"/>
  <c r="H22" i="2615"/>
  <c r="C22" i="2615"/>
  <c r="H21" i="2615"/>
  <c r="B21" i="2615"/>
  <c r="H20" i="2615"/>
  <c r="B20" i="2615"/>
  <c r="H19" i="2615"/>
  <c r="C19" i="2615"/>
  <c r="H18" i="2615"/>
  <c r="C18" i="2615"/>
  <c r="H17" i="2615"/>
  <c r="C17" i="2615"/>
  <c r="H16" i="2615"/>
  <c r="C16" i="2615"/>
  <c r="B16" i="2615"/>
  <c r="H15" i="2615"/>
  <c r="C15" i="2615"/>
  <c r="H14" i="2615"/>
  <c r="C14" i="2615"/>
  <c r="H13" i="2615"/>
  <c r="C13" i="2615"/>
  <c r="H12" i="2615"/>
  <c r="C12" i="2615"/>
  <c r="H11" i="2615"/>
  <c r="C11" i="2615"/>
  <c r="H10" i="2615"/>
  <c r="C10" i="2615"/>
  <c r="H9" i="2615"/>
  <c r="C9" i="2615"/>
  <c r="H8" i="2615"/>
  <c r="C8" i="2615"/>
  <c r="N7" i="2615"/>
  <c r="H7" i="2615"/>
  <c r="C7" i="2615"/>
  <c r="N6" i="2615"/>
  <c r="H6" i="2615"/>
  <c r="B6" i="2615"/>
  <c r="N5" i="2615"/>
  <c r="H5" i="2615"/>
  <c r="B5" i="2615"/>
  <c r="N4" i="2615"/>
  <c r="H4" i="2615"/>
  <c r="N3" i="2615"/>
  <c r="H3" i="2615"/>
  <c r="N2" i="2615"/>
  <c r="H2" i="2615"/>
  <c r="H51" i="2614" l="1"/>
  <c r="H50" i="2614"/>
  <c r="H49" i="2614"/>
  <c r="H48" i="2614"/>
  <c r="H47" i="2614"/>
  <c r="H46" i="2614"/>
  <c r="H45" i="2614"/>
  <c r="H44" i="2614"/>
  <c r="H43" i="2614"/>
  <c r="H42" i="2614"/>
  <c r="H41" i="2614"/>
  <c r="H40" i="2614"/>
  <c r="H39" i="2614"/>
  <c r="H38" i="2614"/>
  <c r="H37" i="2614"/>
  <c r="H36" i="2614"/>
  <c r="H35" i="2614"/>
  <c r="H34" i="2614"/>
  <c r="H33" i="2614"/>
  <c r="H32" i="2614"/>
  <c r="H19" i="2614"/>
  <c r="H31" i="2614"/>
  <c r="H10" i="2614"/>
  <c r="H30" i="2614"/>
  <c r="H29" i="2614"/>
  <c r="H13" i="2614"/>
  <c r="H28" i="2614"/>
  <c r="H18" i="2614"/>
  <c r="H17" i="2614"/>
  <c r="C23" i="2614"/>
  <c r="H27" i="2614"/>
  <c r="C22" i="2614"/>
  <c r="H15" i="2614"/>
  <c r="B21" i="2614"/>
  <c r="H26" i="2614"/>
  <c r="H25" i="2614"/>
  <c r="C19" i="2614"/>
  <c r="H24" i="2614"/>
  <c r="C18" i="2614"/>
  <c r="H14" i="2614"/>
  <c r="C17" i="2614"/>
  <c r="H23" i="2614"/>
  <c r="B16" i="2614"/>
  <c r="B20" i="2614" s="1"/>
  <c r="H22" i="2614"/>
  <c r="C15" i="2614"/>
  <c r="H21" i="2614"/>
  <c r="C14" i="2614"/>
  <c r="H16" i="2614"/>
  <c r="C13" i="2614"/>
  <c r="H20" i="2614"/>
  <c r="C12" i="2614"/>
  <c r="H5" i="2614"/>
  <c r="C11" i="2614"/>
  <c r="H12" i="2614"/>
  <c r="C10" i="2614"/>
  <c r="H11" i="2614"/>
  <c r="C9" i="2614"/>
  <c r="H8" i="2614"/>
  <c r="C8" i="2614"/>
  <c r="N7" i="2614"/>
  <c r="H7" i="2614"/>
  <c r="C7" i="2614"/>
  <c r="N6" i="2614"/>
  <c r="H2" i="2614"/>
  <c r="B6" i="2614"/>
  <c r="N5" i="2614"/>
  <c r="H6" i="2614"/>
  <c r="B5" i="2614"/>
  <c r="N4" i="2614"/>
  <c r="H3" i="2614"/>
  <c r="N3" i="2614"/>
  <c r="H9" i="2614"/>
  <c r="N2" i="2614"/>
  <c r="H4" i="2614"/>
  <c r="H51" i="2613"/>
  <c r="H50" i="2613"/>
  <c r="H49" i="2613"/>
  <c r="H48" i="2613"/>
  <c r="H47" i="2613"/>
  <c r="H46" i="2613"/>
  <c r="H45" i="2613"/>
  <c r="H44" i="2613"/>
  <c r="H43" i="2613"/>
  <c r="H42" i="2613"/>
  <c r="H41" i="2613"/>
  <c r="H40" i="2613"/>
  <c r="H39" i="2613"/>
  <c r="H38" i="2613"/>
  <c r="H37" i="2613"/>
  <c r="H36" i="2613"/>
  <c r="H35" i="2613"/>
  <c r="H34" i="2613"/>
  <c r="H33" i="2613"/>
  <c r="H32" i="2613"/>
  <c r="H31" i="2613"/>
  <c r="H30" i="2613"/>
  <c r="H10" i="2613"/>
  <c r="H29" i="2613"/>
  <c r="H28" i="2613"/>
  <c r="H13" i="2613"/>
  <c r="H27" i="2613"/>
  <c r="H26" i="2613"/>
  <c r="H18" i="2613"/>
  <c r="C23" i="2613"/>
  <c r="H25" i="2613"/>
  <c r="C22" i="2613"/>
  <c r="H17" i="2613"/>
  <c r="B21" i="2613"/>
  <c r="H24" i="2613"/>
  <c r="H23" i="2613"/>
  <c r="C19" i="2613"/>
  <c r="H12" i="2613"/>
  <c r="C18" i="2613"/>
  <c r="H11" i="2613"/>
  <c r="C17" i="2613"/>
  <c r="H22" i="2613"/>
  <c r="B16" i="2613"/>
  <c r="B20" i="2613" s="1"/>
  <c r="H21" i="2613"/>
  <c r="C15" i="2613"/>
  <c r="H16" i="2613"/>
  <c r="C14" i="2613"/>
  <c r="H20" i="2613"/>
  <c r="C13" i="2613"/>
  <c r="H19" i="2613"/>
  <c r="C12" i="2613"/>
  <c r="H3" i="2613"/>
  <c r="C11" i="2613"/>
  <c r="H15" i="2613"/>
  <c r="C10" i="2613"/>
  <c r="H14" i="2613"/>
  <c r="C9" i="2613"/>
  <c r="H9" i="2613"/>
  <c r="C8" i="2613"/>
  <c r="N7" i="2613"/>
  <c r="H7" i="2613"/>
  <c r="C7" i="2613"/>
  <c r="N6" i="2613"/>
  <c r="H2" i="2613"/>
  <c r="B6" i="2613"/>
  <c r="N5" i="2613"/>
  <c r="H8" i="2613"/>
  <c r="B5" i="2613"/>
  <c r="N4" i="2613"/>
  <c r="H4" i="2613"/>
  <c r="N3" i="2613"/>
  <c r="H6" i="2613"/>
  <c r="N2" i="2613"/>
  <c r="H5" i="2613"/>
  <c r="C16" i="2614" l="1"/>
  <c r="C16" i="2613"/>
  <c r="H51" i="2612" l="1"/>
  <c r="H50" i="2612"/>
  <c r="H49" i="2612"/>
  <c r="H48" i="2612"/>
  <c r="H47" i="2612"/>
  <c r="H46" i="2612"/>
  <c r="H45" i="2612"/>
  <c r="H44" i="2612"/>
  <c r="H43" i="2612"/>
  <c r="H42" i="2612"/>
  <c r="H41" i="2612"/>
  <c r="H40" i="2612"/>
  <c r="H39" i="2612"/>
  <c r="H38" i="2612"/>
  <c r="H37" i="2612"/>
  <c r="H36" i="2612"/>
  <c r="H35" i="2612"/>
  <c r="H34" i="2612"/>
  <c r="H33" i="2612"/>
  <c r="H32" i="2612"/>
  <c r="H31" i="2612"/>
  <c r="H30" i="2612"/>
  <c r="H29" i="2612"/>
  <c r="H28" i="2612"/>
  <c r="H27" i="2612"/>
  <c r="H11" i="2612"/>
  <c r="H26" i="2612"/>
  <c r="H25" i="2612"/>
  <c r="H24" i="2612"/>
  <c r="C23" i="2612"/>
  <c r="H23" i="2612"/>
  <c r="C22" i="2612"/>
  <c r="H22" i="2612"/>
  <c r="B21" i="2612"/>
  <c r="H21" i="2612"/>
  <c r="H20" i="2612"/>
  <c r="C19" i="2612"/>
  <c r="H8" i="2612"/>
  <c r="C18" i="2612"/>
  <c r="H19" i="2612"/>
  <c r="C17" i="2612"/>
  <c r="H18" i="2612"/>
  <c r="B16" i="2612"/>
  <c r="B20" i="2612" s="1"/>
  <c r="H17" i="2612"/>
  <c r="C15" i="2612"/>
  <c r="H16" i="2612"/>
  <c r="C14" i="2612"/>
  <c r="H15" i="2612"/>
  <c r="C13" i="2612"/>
  <c r="H14" i="2612"/>
  <c r="C12" i="2612"/>
  <c r="H5" i="2612"/>
  <c r="C11" i="2612"/>
  <c r="H13" i="2612"/>
  <c r="C10" i="2612"/>
  <c r="H12" i="2612"/>
  <c r="C9" i="2612"/>
  <c r="H10" i="2612"/>
  <c r="C8" i="2612"/>
  <c r="N7" i="2612"/>
  <c r="H6" i="2612"/>
  <c r="C7" i="2612"/>
  <c r="N6" i="2612"/>
  <c r="H3" i="2612"/>
  <c r="B6" i="2612"/>
  <c r="N5" i="2612"/>
  <c r="H7" i="2612"/>
  <c r="B5" i="2612"/>
  <c r="N4" i="2612"/>
  <c r="H9" i="2612"/>
  <c r="N3" i="2612"/>
  <c r="H4" i="2612"/>
  <c r="N2" i="2612"/>
  <c r="H2" i="2612"/>
  <c r="C16" i="2612" l="1"/>
  <c r="H51" i="2611"/>
  <c r="H50" i="2611"/>
  <c r="H49" i="2611"/>
  <c r="H48" i="2611"/>
  <c r="H47" i="2611"/>
  <c r="H46" i="2611"/>
  <c r="H45" i="2611"/>
  <c r="H44" i="2611"/>
  <c r="H43" i="2611"/>
  <c r="H42" i="2611"/>
  <c r="H41" i="2611"/>
  <c r="H40" i="2611"/>
  <c r="H39" i="2611"/>
  <c r="H38" i="2611"/>
  <c r="H37" i="2611"/>
  <c r="H36" i="2611"/>
  <c r="H35" i="2611"/>
  <c r="H34" i="2611"/>
  <c r="H33" i="2611"/>
  <c r="H32" i="2611"/>
  <c r="H31" i="2611"/>
  <c r="H30" i="2611"/>
  <c r="H13" i="2611"/>
  <c r="H29" i="2611"/>
  <c r="H28" i="2611"/>
  <c r="H15" i="2611"/>
  <c r="H27" i="2611"/>
  <c r="H26" i="2611"/>
  <c r="H9" i="2611"/>
  <c r="C23" i="2611"/>
  <c r="H25" i="2611"/>
  <c r="C22" i="2611"/>
  <c r="H12" i="2611"/>
  <c r="B21" i="2611"/>
  <c r="H24" i="2611"/>
  <c r="H23" i="2611"/>
  <c r="C19" i="2611"/>
  <c r="H22" i="2611"/>
  <c r="C18" i="2611"/>
  <c r="H14" i="2611"/>
  <c r="C17" i="2611"/>
  <c r="H21" i="2611"/>
  <c r="B16" i="2611"/>
  <c r="B20" i="2611" s="1"/>
  <c r="H20" i="2611"/>
  <c r="C15" i="2611"/>
  <c r="H19" i="2611"/>
  <c r="C14" i="2611"/>
  <c r="H18" i="2611"/>
  <c r="C13" i="2611"/>
  <c r="H17" i="2611"/>
  <c r="C12" i="2611"/>
  <c r="H4" i="2611"/>
  <c r="C11" i="2611"/>
  <c r="H16" i="2611"/>
  <c r="C10" i="2611"/>
  <c r="H11" i="2611"/>
  <c r="C9" i="2611"/>
  <c r="H10" i="2611"/>
  <c r="C8" i="2611"/>
  <c r="N7" i="2611"/>
  <c r="H7" i="2611"/>
  <c r="C7" i="2611"/>
  <c r="N6" i="2611"/>
  <c r="H3" i="2611"/>
  <c r="B6" i="2611"/>
  <c r="N5" i="2611"/>
  <c r="H6" i="2611"/>
  <c r="B5" i="2611"/>
  <c r="N4" i="2611"/>
  <c r="H2" i="2611"/>
  <c r="N3" i="2611"/>
  <c r="H8" i="2611"/>
  <c r="N2" i="2611"/>
  <c r="H5" i="2611"/>
  <c r="H51" i="2610"/>
  <c r="H50" i="2610"/>
  <c r="H49" i="2610"/>
  <c r="H48" i="2610"/>
  <c r="H47" i="2610"/>
  <c r="H46" i="2610"/>
  <c r="H45" i="2610"/>
  <c r="H44" i="2610"/>
  <c r="H43" i="2610"/>
  <c r="H42" i="2610"/>
  <c r="H41" i="2610"/>
  <c r="H40" i="2610"/>
  <c r="H39" i="2610"/>
  <c r="H38" i="2610"/>
  <c r="H37" i="2610"/>
  <c r="H36" i="2610"/>
  <c r="H35" i="2610"/>
  <c r="H34" i="2610"/>
  <c r="H33" i="2610"/>
  <c r="H20" i="2610"/>
  <c r="H14" i="2610"/>
  <c r="H32" i="2610"/>
  <c r="H10" i="2610"/>
  <c r="H24" i="2610"/>
  <c r="H23" i="2610"/>
  <c r="H12" i="2610"/>
  <c r="H19" i="2610"/>
  <c r="H22" i="2610"/>
  <c r="H13" i="2610"/>
  <c r="C23" i="2610"/>
  <c r="H31" i="2610"/>
  <c r="C22" i="2610"/>
  <c r="H16" i="2610"/>
  <c r="B21" i="2610"/>
  <c r="H21" i="2610"/>
  <c r="H30" i="2610"/>
  <c r="C19" i="2610"/>
  <c r="H18" i="2610"/>
  <c r="C18" i="2610"/>
  <c r="H17" i="2610"/>
  <c r="C17" i="2610"/>
  <c r="H29" i="2610"/>
  <c r="B16" i="2610"/>
  <c r="C16" i="2610" s="1"/>
  <c r="H28" i="2610"/>
  <c r="C15" i="2610"/>
  <c r="H27" i="2610"/>
  <c r="C14" i="2610"/>
  <c r="H26" i="2610"/>
  <c r="C13" i="2610"/>
  <c r="H25" i="2610"/>
  <c r="C12" i="2610"/>
  <c r="H5" i="2610"/>
  <c r="C11" i="2610"/>
  <c r="H15" i="2610"/>
  <c r="C10" i="2610"/>
  <c r="H9" i="2610"/>
  <c r="C9" i="2610"/>
  <c r="H8" i="2610"/>
  <c r="C8" i="2610"/>
  <c r="N7" i="2610"/>
  <c r="H6" i="2610"/>
  <c r="C7" i="2610"/>
  <c r="N6" i="2610"/>
  <c r="H2" i="2610"/>
  <c r="B6" i="2610"/>
  <c r="N5" i="2610"/>
  <c r="H7" i="2610"/>
  <c r="B5" i="2610"/>
  <c r="N4" i="2610"/>
  <c r="H3" i="2610"/>
  <c r="N3" i="2610"/>
  <c r="H11" i="2610"/>
  <c r="N2" i="2610"/>
  <c r="H4" i="2610"/>
  <c r="B20" i="2610" l="1"/>
  <c r="C16" i="2611"/>
  <c r="H51" i="2609"/>
  <c r="H50" i="2609"/>
  <c r="H49" i="2609"/>
  <c r="H48" i="2609"/>
  <c r="H47" i="2609"/>
  <c r="H46" i="2609"/>
  <c r="H45" i="2609"/>
  <c r="H44" i="2609"/>
  <c r="H43" i="2609"/>
  <c r="H42" i="2609"/>
  <c r="H41" i="2609"/>
  <c r="H40" i="2609"/>
  <c r="H39" i="2609"/>
  <c r="H38" i="2609"/>
  <c r="H37" i="2609"/>
  <c r="H36" i="2609"/>
  <c r="H35" i="2609"/>
  <c r="H34" i="2609"/>
  <c r="H33" i="2609"/>
  <c r="H32" i="2609"/>
  <c r="H31" i="2609"/>
  <c r="H30" i="2609"/>
  <c r="H29" i="2609"/>
  <c r="H28" i="2609"/>
  <c r="H27" i="2609"/>
  <c r="H26" i="2609"/>
  <c r="H25" i="2609"/>
  <c r="H24" i="2609"/>
  <c r="H23" i="2609"/>
  <c r="C23" i="2609"/>
  <c r="H22" i="2609"/>
  <c r="C22" i="2609"/>
  <c r="H21" i="2609"/>
  <c r="B21" i="2609"/>
  <c r="H20" i="2609"/>
  <c r="B20" i="2609"/>
  <c r="H19" i="2609"/>
  <c r="C19" i="2609"/>
  <c r="H18" i="2609"/>
  <c r="C18" i="2609"/>
  <c r="H17" i="2609"/>
  <c r="C17" i="2609"/>
  <c r="H16" i="2609"/>
  <c r="C16" i="2609"/>
  <c r="B16" i="2609"/>
  <c r="H15" i="2609"/>
  <c r="C15" i="2609"/>
  <c r="H14" i="2609"/>
  <c r="C14" i="2609"/>
  <c r="H13" i="2609"/>
  <c r="C13" i="2609"/>
  <c r="H12" i="2609"/>
  <c r="C12" i="2609"/>
  <c r="H11" i="2609"/>
  <c r="C11" i="2609"/>
  <c r="H10" i="2609"/>
  <c r="C10" i="2609"/>
  <c r="H9" i="2609"/>
  <c r="C9" i="2609"/>
  <c r="H8" i="2609"/>
  <c r="C8" i="2609"/>
  <c r="N7" i="2609"/>
  <c r="H7" i="2609"/>
  <c r="C7" i="2609"/>
  <c r="N6" i="2609"/>
  <c r="H6" i="2609"/>
  <c r="B6" i="2609"/>
  <c r="N5" i="2609"/>
  <c r="H5" i="2609"/>
  <c r="B5" i="2609"/>
  <c r="N4" i="2609"/>
  <c r="H4" i="2609"/>
  <c r="N3" i="2609"/>
  <c r="H3" i="2609"/>
  <c r="N2" i="2609"/>
  <c r="H2" i="2609"/>
  <c r="H51" i="2608"/>
  <c r="H50" i="2608"/>
  <c r="H49" i="2608"/>
  <c r="H48" i="2608"/>
  <c r="H47" i="2608"/>
  <c r="H46" i="2608"/>
  <c r="H45" i="2608"/>
  <c r="H44" i="2608"/>
  <c r="H43" i="2608"/>
  <c r="H42" i="2608"/>
  <c r="H41" i="2608"/>
  <c r="H40" i="2608"/>
  <c r="H39" i="2608"/>
  <c r="H38" i="2608"/>
  <c r="H37" i="2608"/>
  <c r="H36" i="2608"/>
  <c r="H35" i="2608"/>
  <c r="H34" i="2608"/>
  <c r="H33" i="2608"/>
  <c r="H32" i="2608"/>
  <c r="H31" i="2608"/>
  <c r="H30" i="2608"/>
  <c r="H29" i="2608"/>
  <c r="H28" i="2608"/>
  <c r="H27" i="2608"/>
  <c r="H26" i="2608"/>
  <c r="H25" i="2608"/>
  <c r="H24" i="2608"/>
  <c r="H23" i="2608"/>
  <c r="C23" i="2608"/>
  <c r="H22" i="2608"/>
  <c r="C22" i="2608"/>
  <c r="H21" i="2608"/>
  <c r="B21" i="2608"/>
  <c r="H20" i="2608"/>
  <c r="H19" i="2608"/>
  <c r="C19" i="2608"/>
  <c r="H18" i="2608"/>
  <c r="C18" i="2608"/>
  <c r="H17" i="2608"/>
  <c r="C17" i="2608"/>
  <c r="H16" i="2608"/>
  <c r="C16" i="2608"/>
  <c r="B16" i="2608"/>
  <c r="B20" i="2608" s="1"/>
  <c r="H15" i="2608"/>
  <c r="C15" i="2608"/>
  <c r="H14" i="2608"/>
  <c r="C14" i="2608"/>
  <c r="H13" i="2608"/>
  <c r="C13" i="2608"/>
  <c r="H12" i="2608"/>
  <c r="C12" i="2608"/>
  <c r="H11" i="2608"/>
  <c r="C11" i="2608"/>
  <c r="H10" i="2608"/>
  <c r="C10" i="2608"/>
  <c r="H9" i="2608"/>
  <c r="C9" i="2608"/>
  <c r="H8" i="2608"/>
  <c r="C8" i="2608"/>
  <c r="N7" i="2608"/>
  <c r="H7" i="2608"/>
  <c r="C7" i="2608"/>
  <c r="N6" i="2608"/>
  <c r="H6" i="2608"/>
  <c r="B6" i="2608"/>
  <c r="N5" i="2608"/>
  <c r="H5" i="2608"/>
  <c r="B5" i="2608"/>
  <c r="N4" i="2608"/>
  <c r="H4" i="2608"/>
  <c r="N3" i="2608"/>
  <c r="H3" i="2608"/>
  <c r="N2" i="2608"/>
  <c r="H2" i="2608"/>
  <c r="H51" i="2607"/>
  <c r="H50" i="2607"/>
  <c r="H49" i="2607"/>
  <c r="H48" i="2607"/>
  <c r="H47" i="2607"/>
  <c r="H26" i="2607"/>
  <c r="H46" i="2607"/>
  <c r="H45" i="2607"/>
  <c r="H44" i="2607"/>
  <c r="H43" i="2607"/>
  <c r="H42" i="2607"/>
  <c r="H41" i="2607"/>
  <c r="H40" i="2607"/>
  <c r="H39" i="2607"/>
  <c r="H38" i="2607"/>
  <c r="H37" i="2607"/>
  <c r="H36" i="2607"/>
  <c r="H35" i="2607"/>
  <c r="H34" i="2607"/>
  <c r="H18" i="2607"/>
  <c r="H25" i="2607"/>
  <c r="H24" i="2607"/>
  <c r="H9" i="2607"/>
  <c r="H33" i="2607"/>
  <c r="H23" i="2607"/>
  <c r="H13" i="2607"/>
  <c r="H22" i="2607"/>
  <c r="H32" i="2607"/>
  <c r="H14" i="2607"/>
  <c r="C23" i="2607"/>
  <c r="H31" i="2607"/>
  <c r="C22" i="2607"/>
  <c r="H16" i="2607"/>
  <c r="B21" i="2607"/>
  <c r="H30" i="2607"/>
  <c r="H29" i="2607"/>
  <c r="C19" i="2607"/>
  <c r="H21" i="2607"/>
  <c r="C18" i="2607"/>
  <c r="H20" i="2607"/>
  <c r="C17" i="2607"/>
  <c r="H15" i="2607"/>
  <c r="B16" i="2607"/>
  <c r="B20" i="2607" s="1"/>
  <c r="H28" i="2607"/>
  <c r="C15" i="2607"/>
  <c r="H19" i="2607"/>
  <c r="C14" i="2607"/>
  <c r="H27" i="2607"/>
  <c r="C13" i="2607"/>
  <c r="H17" i="2607"/>
  <c r="C12" i="2607"/>
  <c r="H4" i="2607"/>
  <c r="C11" i="2607"/>
  <c r="H12" i="2607"/>
  <c r="C10" i="2607"/>
  <c r="H11" i="2607"/>
  <c r="C9" i="2607"/>
  <c r="H8" i="2607"/>
  <c r="C8" i="2607"/>
  <c r="N7" i="2607"/>
  <c r="H6" i="2607"/>
  <c r="C7" i="2607"/>
  <c r="N6" i="2607"/>
  <c r="H2" i="2607"/>
  <c r="B6" i="2607"/>
  <c r="N5" i="2607"/>
  <c r="H7" i="2607"/>
  <c r="B5" i="2607"/>
  <c r="N4" i="2607"/>
  <c r="H3" i="2607"/>
  <c r="N3" i="2607"/>
  <c r="H10" i="2607"/>
  <c r="N2" i="2607"/>
  <c r="H5" i="2607"/>
  <c r="C16" i="2607" l="1"/>
  <c r="D2" i="2416" l="1"/>
  <c r="D5" i="2416" l="1"/>
  <c r="D10" i="2416"/>
  <c r="D51" i="2416"/>
  <c r="D50" i="2416"/>
  <c r="D49" i="2416"/>
  <c r="D48" i="2416"/>
  <c r="D47" i="2416"/>
  <c r="D31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30" i="2416"/>
  <c r="D21" i="2416"/>
  <c r="D18" i="2416"/>
  <c r="D27" i="2416"/>
  <c r="D9" i="2416"/>
  <c r="D29" i="2416"/>
  <c r="D25" i="2416"/>
  <c r="D12" i="2416"/>
  <c r="D20" i="2416"/>
  <c r="D22" i="2416"/>
  <c r="D13" i="2416"/>
  <c r="D34" i="2416"/>
  <c r="D16" i="2416"/>
  <c r="D26" i="2416"/>
  <c r="D33" i="2416"/>
  <c r="D17" i="2416"/>
  <c r="D15" i="2416"/>
  <c r="D24" i="2416"/>
  <c r="D32" i="2416"/>
  <c r="D23" i="2416"/>
  <c r="D28" i="2416"/>
  <c r="D19" i="2416"/>
  <c r="D4" i="2416"/>
  <c r="D14" i="2416"/>
  <c r="D11" i="2416"/>
  <c r="D8" i="2416"/>
  <c r="D7" i="2416"/>
  <c r="D6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<sst xmlns="http://schemas.openxmlformats.org/spreadsheetml/2006/main" count="2353" uniqueCount="233">
  <si>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</si>
  <si>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</si>
  <si>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</si>
  <si>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</si>
  <si>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</si>
  <si>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</si>
  <si>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</si>
  <si>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</si>
  <si>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</si>
  <si>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</si>
  <si>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</si>
  <si>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</si>
  <si>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</si>
  <si>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</si>
  <si>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</si>
  <si>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</si>
  <si>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</si>
  <si>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</si>
  <si>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</si>
  <si>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</si>
  <si>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</si>
  <si>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</si>
  <si>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</si>
  <si>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</si>
  <si>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</si>
  <si>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</si>
  <si>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</si>
  <si>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</si>
  <si>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</si>
  <si>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</si>
  <si>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</si>
  <si>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</si>
  <si>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</si>
  <si>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</si>
  <si>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</si>
  <si>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</si>
  <si>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</si>
  <si>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</si>
  <si>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</si>
  <si>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</si>
  <si>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</si>
  <si>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</si>
  <si>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</si>
  <si>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</si>
  <si>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</si>
  <si>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</si>
  <si>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</si>
  <si>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</si>
  <si>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</si>
  <si>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</si>
  <si>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</si>
  <si>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</si>
  <si>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</si>
  <si>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</si>
  <si>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</si>
  <si>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</si>
  <si>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</si>
  <si>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</si>
  <si>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</si>
  <si>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</si>
  <si>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</si>
  <si>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</si>
  <si>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</si>
  <si>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</si>
  <si>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</si>
  <si>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</si>
  <si>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</si>
  <si>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</si>
  <si>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</si>
  <si>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</si>
  <si>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</si>
  <si>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</si>
  <si>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</si>
  <si>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</si>
  <si>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</si>
  <si>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</si>
  <si>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</si>
  <si>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</si>
  <si>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</si>
  <si>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</si>
  <si>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</si>
  <si>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</si>
  <si>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</si>
  <si>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</si>
  <si>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</si>
  <si>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</si>
  <si>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</si>
  <si>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</si>
  <si>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</si>
  <si>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</si>
  <si>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</si>
  <si>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</si>
  <si>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</si>
  <si>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</si>
  <si>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</si>
  <si>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</si>
  <si>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</si>
  <si>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</si>
  <si>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</si>
  <si>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</si>
  <si>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</si>
  <si>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</si>
  <si>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</si>
  <si>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</si>
  <si>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</si>
  <si>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</si>
  <si>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</si>
  <si>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</si>
  <si>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</si>
  <si>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</si>
  <si>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</si>
  <si>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</si>
  <si>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</si>
  <si>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</si>
  <si>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</si>
  <si>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</si>
  <si>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</si>
  <si>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</si>
  <si>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</si>
  <si>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</si>
  <si>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</si>
  <si>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</si>
  <si>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</si>
  <si>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</si>
  <si>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</si>
  <si>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</si>
  <si>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</si>
  <si>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</si>
  <si>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</si>
  <si>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</si>
  <si>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</si>
  <si>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</si>
  <si>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</si>
  <si>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</si>
  <si>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</si>
  <si>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</si>
  <si>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</si>
  <si>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</si>
  <si>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</si>
  <si>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</si>
  <si>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</si>
  <si>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</si>
  <si>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</si>
  <si>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</si>
  <si>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</si>
  <si>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</si>
  <si>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</si>
  <si>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</si>
  <si>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</si>
  <si>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</si>
  <si>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</si>
  <si>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</si>
  <si>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</si>
  <si>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</si>
  <si>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</si>
  <si>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</si>
  <si>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</si>
  <si>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</si>
  <si>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</si>
  <si>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</si>
  <si>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</si>
  <si>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</si>
  <si>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</si>
  <si>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</si>
  <si>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</si>
  <si>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</si>
  <si>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</si>
  <si>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</si>
  <si>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</si>
  <si>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</si>
  <si>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</si>
  <si>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</si>
  <si>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</si>
  <si>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</si>
  <si>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</si>
  <si>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</si>
  <si>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</si>
  <si>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</si>
  <si>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</si>
  <si>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</si>
  <si>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</si>
  <si>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</si>
  <si>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</si>
  <si>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</si>
  <si>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</si>
  <si>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</si>
  <si>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</si>
  <si>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</si>
  <si>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</si>
  <si>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</si>
  <si>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</si>
  <si>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</si>
  <si>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</si>
  <si>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</si>
  <si>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</si>
  <si>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</si>
  <si>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</si>
  <si>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</si>
  <si>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</si>
  <si>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</si>
  <si>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</si>
  <si>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</si>
  <si>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</si>
  <si>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</si>
  <si>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</si>
  <si>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</si>
  <si>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</si>
  <si>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</si>
  <si>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</si>
  <si>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</si>
  <si>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</si>
  <si>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</si>
  <si>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</si>
  <si>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</si>
  <si>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</si>
  <si>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</si>
  <si>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</si>
  <si>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</si>
  <si>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</si>
  <si>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</si>
  <si>
    <t>まっつん</t>
    <phoneticPr fontId="1"/>
  </si>
  <si>
    <t>2019-01-14.xlsm</t>
  </si>
  <si>
    <t>ツモ</t>
  </si>
  <si>
    <t>国士13面</t>
  </si>
  <si>
    <t>四暗刻単騎</t>
  </si>
  <si>
    <t>純正九蓮</t>
  </si>
  <si>
    <t>01</t>
  </si>
  <si>
    <t>02</t>
  </si>
  <si>
    <t>2019-01-15.xlsm</t>
  </si>
  <si>
    <t>2019-01-16.xlsm</t>
  </si>
  <si>
    <t>2019-01-17.xlsm</t>
  </si>
  <si>
    <t>最大ドラ数</t>
    <rPh sb="0" eb="2">
      <t>サイダイ</t>
    </rPh>
    <rPh sb="4" eb="5">
      <t>スウ</t>
    </rPh>
    <phoneticPr fontId="1"/>
  </si>
  <si>
    <t>最大ドラ数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</si>
</sst>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184" fontId="0" fillId="0" borderId="36" xfId="0" applyNumberFormat="1" applyBorder="1" applyAlignment="1">
      <alignment horizontal="center" vertical="center" shrinkToFit="1"/>
    </xf>
    <xf numFmtId="184" fontId="0" fillId="0" borderId="37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だいち!$K$2:$K$129</c:f>
              <c:numCache>
                <c:formatCode>\+0;\-0;\±0</c:formatCode>
                <c:ptCount val="12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41-4BC1-9D59-840444DCF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774.79674796747963</c:v>
                </c:pt>
                <c:pt idx="1">
                  <c:v>1382.9059829059829</c:v>
                </c:pt>
                <c:pt idx="2">
                  <c:v>939.25233644859816</c:v>
                </c:pt>
                <c:pt idx="3">
                  <c:v>1392.5531914893618</c:v>
                </c:pt>
                <c:pt idx="4">
                  <c:v>216.88311688311688</c:v>
                </c:pt>
                <c:pt idx="5">
                  <c:v>166.66666666666666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F-4C09-8A09-FF1C18DF4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7-4926-8A92-41B1D40D7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6-49FB-9418-33663ED6D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2B-41FD-B8FE-3410249D6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A1-4968-BDF6-6E4FFD11E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りくと!$K$2:$K$90</c:f>
              <c:numCache>
                <c:formatCode>\+0;\-0;\±0</c:formatCode>
                <c:ptCount val="8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-357.69999999999993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6B-418C-B572-5643EF5D2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-79.069767441860463</c:v>
                </c:pt>
                <c:pt idx="1">
                  <c:v>-1764.6341463414635</c:v>
                </c:pt>
                <c:pt idx="2">
                  <c:v>1874.3589743589744</c:v>
                </c:pt>
                <c:pt idx="3">
                  <c:v>-2152.1739130434785</c:v>
                </c:pt>
                <c:pt idx="4">
                  <c:v>-2455.3571428571427</c:v>
                </c:pt>
                <c:pt idx="5">
                  <c:v>-2427.9069767441861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53-4C3B-AA22-9F9A66BF4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いっしー!$K$2:$K$47</c:f>
              <c:numCache>
                <c:formatCode>\+0;\-0;\±0</c:formatCode>
                <c:ptCount val="4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08-4608-A4C1-8610BEBBC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-895.55555555555554</c:v>
                </c:pt>
                <c:pt idx="1">
                  <c:v>3279.0697674418607</c:v>
                </c:pt>
                <c:pt idx="2">
                  <c:v>-307.3170731707317</c:v>
                </c:pt>
                <c:pt idx="3">
                  <c:v>-1417.6470588235295</c:v>
                </c:pt>
                <c:pt idx="4">
                  <c:v>7442.8571428571431</c:v>
                </c:pt>
                <c:pt idx="5">
                  <c:v>122.22222222222223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A1-41E4-B52D-BFAB6F761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1-4E5B-BB11-D218AF686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8-45CA-B287-538790968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たかの!$K$2:$K$45</c:f>
              <c:numCache>
                <c:formatCode>\+0;\-0;\±0</c:formatCode>
                <c:ptCount val="4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  <c:pt idx="42">
                  <c:v>-173.4</c:v>
                </c:pt>
                <c:pt idx="43">
                  <c:v>-189.1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EE-4550-AF47-51FC5A866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-2123.2558139534885</c:v>
                </c:pt>
                <c:pt idx="1">
                  <c:v>-2702.5</c:v>
                </c:pt>
                <c:pt idx="2">
                  <c:v>-1306.060606060606</c:v>
                </c:pt>
                <c:pt idx="3">
                  <c:v>2787.0967741935483</c:v>
                </c:pt>
                <c:pt idx="4">
                  <c:v>-1600</c:v>
                </c:pt>
                <c:pt idx="5">
                  <c:v>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1C-4074-A62A-07212EDE1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ただ!$K$2:$K$53</c:f>
              <c:numCache>
                <c:formatCode>\+0;\-0;\±0</c:formatCode>
                <c:ptCount val="5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E0-424A-937F-4BD0ECA67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3357.1428571428573</c:v>
                </c:pt>
                <c:pt idx="1">
                  <c:v>-45.652173913043477</c:v>
                </c:pt>
                <c:pt idx="2">
                  <c:v>-26.19047619047619</c:v>
                </c:pt>
                <c:pt idx="3">
                  <c:v>-1146.1538461538462</c:v>
                </c:pt>
                <c:pt idx="4">
                  <c:v>1250</c:v>
                </c:pt>
                <c:pt idx="5">
                  <c:v>-1080.7692307692307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D5-4B07-9111-3E43F21A7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D6-4268-88EE-8639F82E3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1-47F4-A035-ADBA8C6B0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れんたろう!$K$2:$K$49</c:f>
              <c:numCache>
                <c:formatCode>\+0;\-0;\±0</c:formatCode>
                <c:ptCount val="4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-350.69999999999993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88-42EE-9CCD-48C185806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-3048.8372093023254</c:v>
                </c:pt>
                <c:pt idx="1">
                  <c:v>-1379.0697674418604</c:v>
                </c:pt>
                <c:pt idx="2">
                  <c:v>-2356.4102564102564</c:v>
                </c:pt>
                <c:pt idx="3">
                  <c:v>-77.777777777777771</c:v>
                </c:pt>
                <c:pt idx="4">
                  <c:v>-1856.25</c:v>
                </c:pt>
                <c:pt idx="5">
                  <c:v>4822.727272727273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68-43ED-90A7-05F147113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53-4FA2-8FE6-D1A9EB46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EF-49DD-B6A8-6F17374C9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まっつん!$K$2:$K$8</c:f>
              <c:numCache>
                <c:formatCode>\+0;\-0;\±0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A-4547-AE7A-2EA6BB941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-550</c:v>
                </c:pt>
                <c:pt idx="1">
                  <c:v>4833.333333333333</c:v>
                </c:pt>
                <c:pt idx="2">
                  <c:v>-2575</c:v>
                </c:pt>
                <c:pt idx="3">
                  <c:v>2575</c:v>
                </c:pt>
                <c:pt idx="4">
                  <c:v>-4833.333333333333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94-4A99-845C-BAA5C773E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G13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95" customWidth="1"/>
    <col min="34" max="16384" width="9" style="4"/>
  </cols>
  <sheetData>
    <row r="1" spans="1:33" x14ac:dyDescent="0.4">
      <c r="A1" s="14"/>
      <c r="B1" s="78" t="s">
        <v>6</v>
      </c>
      <c r="C1" s="79"/>
      <c r="D1" s="78" t="s">
        <v>7</v>
      </c>
      <c r="E1" s="79"/>
      <c r="F1" s="78" t="s">
        <v>16</v>
      </c>
      <c r="G1" s="79"/>
      <c r="H1" s="78" t="s">
        <v>15</v>
      </c>
      <c r="I1" s="79"/>
      <c r="J1" s="78" t="s">
        <v>17</v>
      </c>
      <c r="K1" s="79"/>
      <c r="L1" s="78" t="s">
        <v>18</v>
      </c>
      <c r="M1" s="79"/>
      <c r="N1" s="78" t="s">
        <v>5</v>
      </c>
      <c r="O1" s="79"/>
      <c r="P1" s="78" t="s">
        <v>19</v>
      </c>
      <c r="Q1" s="79"/>
      <c r="R1" s="78" t="s">
        <v>20</v>
      </c>
      <c r="S1" s="79"/>
      <c r="T1" s="78" t="s">
        <v>209</v>
      </c>
      <c r="U1" s="79"/>
      <c r="V1" s="78" t="s">
        <v>131</v>
      </c>
      <c r="W1" s="79"/>
      <c r="X1" s="78" t="s">
        <v>126</v>
      </c>
      <c r="Y1" s="79"/>
      <c r="Z1" s="78" t="s">
        <v>134</v>
      </c>
      <c r="AA1" s="79"/>
      <c r="AB1" s="78" t="s">
        <v>135</v>
      </c>
      <c r="AC1" s="79"/>
      <c r="AD1" s="78" t="s">
        <v>197</v>
      </c>
      <c r="AE1" s="79"/>
      <c r="AF1" s="78" t="s">
        <v>232</v>
      </c>
      <c r="AG1" s="79"/>
    </row>
    <row r="2" spans="1:33" x14ac:dyDescent="0.4">
      <c r="A2" s="8">
        <v>1</v>
      </c>
      <c r="B2" s="9" t="s">
        <v>137</v>
      </c>
      <c r="C2" s="11">
        <v>550.70000000000016</v>
      </c>
      <c r="D2" s="10" t="s">
        <v>214</v>
      </c>
      <c r="E2" s="11">
        <v>17.8</v>
      </c>
      <c r="F2" s="10" t="s">
        <v>214</v>
      </c>
      <c r="G2" s="12">
        <v>1.6</v>
      </c>
      <c r="H2" s="10" t="s">
        <v>214</v>
      </c>
      <c r="I2" s="17">
        <v>0.6</v>
      </c>
      <c r="J2" s="10" t="s">
        <v>214</v>
      </c>
      <c r="K2" s="15">
        <v>0.39130434782608697</v>
      </c>
      <c r="L2" s="10" t="s">
        <v>214</v>
      </c>
      <c r="M2" s="15">
        <v>6.5217391304347824E-2</v>
      </c>
      <c r="N2" s="10" t="s">
        <v>141</v>
      </c>
      <c r="O2" s="13">
        <v>11379.289940828403</v>
      </c>
      <c r="P2" s="10" t="s">
        <v>214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0.5</v>
      </c>
      <c r="X2" s="10" t="s">
        <v>219</v>
      </c>
      <c r="Y2" s="15">
        <v>0.48837209302325579</v>
      </c>
      <c r="Z2" s="10" t="s">
        <v>145</v>
      </c>
      <c r="AA2" s="15">
        <v>0.75</v>
      </c>
      <c r="AB2" s="10" t="s">
        <v>214</v>
      </c>
      <c r="AC2" s="15">
        <v>0.5</v>
      </c>
      <c r="AD2" s="10" t="s">
        <v>214</v>
      </c>
      <c r="AE2" s="15">
        <v>0.46666666666666667</v>
      </c>
      <c r="AF2" s="10" t="s">
        <v>141</v>
      </c>
      <c r="AG2" s="94">
        <v>10</v>
      </c>
    </row>
    <row r="3" spans="1:33" x14ac:dyDescent="0.4">
      <c r="A3" s="7">
        <v>2</v>
      </c>
      <c r="B3" s="6" t="s">
        <v>142</v>
      </c>
      <c r="C3" s="3">
        <v>248.10000000000002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0.35146898803046789</v>
      </c>
      <c r="L3" s="1" t="s">
        <v>156</v>
      </c>
      <c r="M3" s="16">
        <v>0.13414634146341464</v>
      </c>
      <c r="N3" s="1" t="s">
        <v>149</v>
      </c>
      <c r="O3" s="2">
        <v>10903.27868852459</v>
      </c>
      <c r="P3" s="1" t="s">
        <v>219</v>
      </c>
      <c r="Q3" s="2">
        <v>-6914.2857142857147</v>
      </c>
      <c r="R3" s="1" t="s">
        <v>214</v>
      </c>
      <c r="S3" s="18">
        <v>0</v>
      </c>
      <c r="T3" s="1" t="s">
        <v>137</v>
      </c>
      <c r="U3" s="18">
        <v>0.22047244094488189</v>
      </c>
      <c r="V3" s="1" t="s">
        <v>214</v>
      </c>
      <c r="W3" s="16">
        <v>0.43478260869565216</v>
      </c>
      <c r="X3" s="1" t="s">
        <v>142</v>
      </c>
      <c r="Y3" s="16">
        <v>0.35443037974683544</v>
      </c>
      <c r="Z3" s="1" t="s">
        <v>137</v>
      </c>
      <c r="AA3" s="16">
        <v>0.68217054263565891</v>
      </c>
      <c r="AB3" s="1" t="s">
        <v>137</v>
      </c>
      <c r="AC3" s="16">
        <v>0.46464646464646464</v>
      </c>
      <c r="AD3" s="1" t="s">
        <v>145</v>
      </c>
      <c r="AE3" s="16">
        <v>0.46153846153846156</v>
      </c>
      <c r="AF3" s="1" t="s">
        <v>149</v>
      </c>
      <c r="AG3" s="95">
        <v>9</v>
      </c>
    </row>
    <row r="4" spans="1:33" x14ac:dyDescent="0.4">
      <c r="A4" s="7">
        <v>3</v>
      </c>
      <c r="B4" s="6" t="s">
        <v>149</v>
      </c>
      <c r="C4" s="3">
        <v>166.69999999999996</v>
      </c>
      <c r="D4" s="1" t="s">
        <v>142</v>
      </c>
      <c r="E4" s="3">
        <v>5.5133333333333336</v>
      </c>
      <c r="F4" s="1" t="s">
        <v>137</v>
      </c>
      <c r="G4" s="5">
        <v>1.8503937007874016</v>
      </c>
      <c r="H4" s="1" t="s">
        <v>137</v>
      </c>
      <c r="I4" s="18">
        <v>0.40157480314960631</v>
      </c>
      <c r="J4" s="1" t="s">
        <v>142</v>
      </c>
      <c r="K4" s="16">
        <v>0.35015772870662459</v>
      </c>
      <c r="L4" s="1" t="s">
        <v>142</v>
      </c>
      <c r="M4" s="16">
        <v>0.15457413249211358</v>
      </c>
      <c r="N4" s="1" t="s">
        <v>156</v>
      </c>
      <c r="O4" s="2">
        <v>10857.142857142857</v>
      </c>
      <c r="P4" s="1" t="s">
        <v>148</v>
      </c>
      <c r="Q4" s="2">
        <v>-8125.757575757576</v>
      </c>
      <c r="R4" s="1" t="s">
        <v>142</v>
      </c>
      <c r="S4" s="18">
        <v>0.1111111111111111</v>
      </c>
      <c r="T4" s="1" t="s">
        <v>142</v>
      </c>
      <c r="U4" s="18">
        <v>0.2</v>
      </c>
      <c r="V4" s="1" t="s">
        <v>149</v>
      </c>
      <c r="W4" s="16">
        <v>0.33852140077821014</v>
      </c>
      <c r="X4" s="1" t="s">
        <v>148</v>
      </c>
      <c r="Y4" s="16">
        <v>0.3</v>
      </c>
      <c r="Z4" s="1" t="s">
        <v>160</v>
      </c>
      <c r="AA4" s="16">
        <v>0.62222222222222223</v>
      </c>
      <c r="AB4" s="1" t="s">
        <v>160</v>
      </c>
      <c r="AC4" s="16">
        <v>0.38571428571428573</v>
      </c>
      <c r="AD4" s="1" t="s">
        <v>156</v>
      </c>
      <c r="AE4" s="16">
        <v>0.45454545454545453</v>
      </c>
      <c r="AF4" s="1" t="s">
        <v>137</v>
      </c>
      <c r="AG4" s="95">
        <v>7</v>
      </c>
    </row>
    <row r="5" spans="1:33" x14ac:dyDescent="0.4">
      <c r="A5" s="7">
        <v>4</v>
      </c>
      <c r="B5" s="6" t="s">
        <v>214</v>
      </c>
      <c r="C5" s="3">
        <v>89</v>
      </c>
      <c r="D5" s="1" t="s">
        <v>137</v>
      </c>
      <c r="E5" s="3">
        <v>4.3362204724409459</v>
      </c>
      <c r="F5" s="1" t="s">
        <v>142</v>
      </c>
      <c r="G5" s="5">
        <v>1.8666666666666667</v>
      </c>
      <c r="H5" s="1" t="s">
        <v>149</v>
      </c>
      <c r="I5" s="18">
        <v>0.39215686274509803</v>
      </c>
      <c r="J5" s="1" t="s">
        <v>156</v>
      </c>
      <c r="K5" s="16">
        <v>0.34146341463414637</v>
      </c>
      <c r="L5" s="1" t="s">
        <v>137</v>
      </c>
      <c r="M5" s="16">
        <v>0.15669205658324264</v>
      </c>
      <c r="N5" s="1" t="s">
        <v>160</v>
      </c>
      <c r="O5" s="2">
        <v>10748.039215686274</v>
      </c>
      <c r="P5" s="1" t="s">
        <v>138</v>
      </c>
      <c r="Q5" s="2">
        <v>-8240</v>
      </c>
      <c r="R5" s="1" t="s">
        <v>137</v>
      </c>
      <c r="S5" s="18">
        <v>0.13385826771653545</v>
      </c>
      <c r="T5" s="1" t="s">
        <v>145</v>
      </c>
      <c r="U5" s="18">
        <v>0.2</v>
      </c>
      <c r="V5" s="1" t="s">
        <v>141</v>
      </c>
      <c r="W5" s="16">
        <v>0.2878787878787879</v>
      </c>
      <c r="X5" s="1" t="s">
        <v>149</v>
      </c>
      <c r="Y5" s="16">
        <v>0.23346303501945526</v>
      </c>
      <c r="Z5" s="1" t="s">
        <v>149</v>
      </c>
      <c r="AA5" s="16">
        <v>0.60919540229885061</v>
      </c>
      <c r="AB5" s="1" t="s">
        <v>141</v>
      </c>
      <c r="AC5" s="16">
        <v>0.38356164383561642</v>
      </c>
      <c r="AD5" s="1" t="s">
        <v>137</v>
      </c>
      <c r="AE5" s="16">
        <v>0.4174454828660436</v>
      </c>
      <c r="AF5" s="1" t="s">
        <v>160</v>
      </c>
      <c r="AG5" s="95">
        <v>7</v>
      </c>
    </row>
    <row r="6" spans="1:33" x14ac:dyDescent="0.4">
      <c r="A6" s="7">
        <v>5</v>
      </c>
      <c r="B6" s="6" t="s">
        <v>156</v>
      </c>
      <c r="C6" s="3">
        <v>80.800000000000011</v>
      </c>
      <c r="D6" s="1" t="s">
        <v>149</v>
      </c>
      <c r="E6" s="3">
        <v>3.2686274509803912</v>
      </c>
      <c r="F6" s="1" t="s">
        <v>149</v>
      </c>
      <c r="G6" s="5">
        <v>1.9215686274509804</v>
      </c>
      <c r="H6" s="1" t="s">
        <v>142</v>
      </c>
      <c r="I6" s="18">
        <v>0.35555555555555557</v>
      </c>
      <c r="J6" s="1" t="s">
        <v>149</v>
      </c>
      <c r="K6" s="16">
        <v>0.31282051282051282</v>
      </c>
      <c r="L6" s="1" t="s">
        <v>219</v>
      </c>
      <c r="M6" s="16">
        <v>0.16279069767441862</v>
      </c>
      <c r="N6" s="1" t="s">
        <v>219</v>
      </c>
      <c r="O6" s="2">
        <v>9988.8888888888887</v>
      </c>
      <c r="P6" s="1" t="s">
        <v>142</v>
      </c>
      <c r="Q6" s="2">
        <v>-9134.6938775510207</v>
      </c>
      <c r="R6" s="1" t="s">
        <v>149</v>
      </c>
      <c r="S6" s="18">
        <v>0.15686274509803921</v>
      </c>
      <c r="T6" s="1" t="s">
        <v>214</v>
      </c>
      <c r="U6" s="18">
        <v>0.2</v>
      </c>
      <c r="V6" s="1" t="s">
        <v>160</v>
      </c>
      <c r="W6" s="16">
        <v>0.28662420382165604</v>
      </c>
      <c r="X6" s="1" t="s">
        <v>160</v>
      </c>
      <c r="Y6" s="16">
        <v>0.22292993630573249</v>
      </c>
      <c r="Z6" s="1" t="s">
        <v>214</v>
      </c>
      <c r="AA6" s="16">
        <v>0.6</v>
      </c>
      <c r="AB6" s="1" t="s">
        <v>149</v>
      </c>
      <c r="AC6" s="16">
        <v>0.38333333333333336</v>
      </c>
      <c r="AD6" s="1" t="s">
        <v>149</v>
      </c>
      <c r="AE6" s="16">
        <v>0.39860139860139859</v>
      </c>
      <c r="AF6" s="1" t="s">
        <v>142</v>
      </c>
      <c r="AG6" s="95">
        <v>6</v>
      </c>
    </row>
    <row r="7" spans="1:33" x14ac:dyDescent="0.4">
      <c r="A7" s="7">
        <v>6</v>
      </c>
      <c r="B7" s="6" t="s">
        <v>219</v>
      </c>
      <c r="C7" s="3">
        <v>2.2000000000000011</v>
      </c>
      <c r="D7" s="1" t="s">
        <v>219</v>
      </c>
      <c r="E7" s="3">
        <v>0.36666666666666686</v>
      </c>
      <c r="F7" s="1" t="s">
        <v>141</v>
      </c>
      <c r="G7" s="5">
        <v>2.1136363636363638</v>
      </c>
      <c r="H7" s="1" t="s">
        <v>141</v>
      </c>
      <c r="I7" s="18">
        <v>0.29545454545454547</v>
      </c>
      <c r="J7" s="1" t="s">
        <v>160</v>
      </c>
      <c r="K7" s="16">
        <v>0.29059829059829062</v>
      </c>
      <c r="L7" s="1" t="s">
        <v>149</v>
      </c>
      <c r="M7" s="16">
        <v>0.1641025641025641</v>
      </c>
      <c r="N7" s="1" t="s">
        <v>137</v>
      </c>
      <c r="O7" s="2">
        <v>9932.1981424148598</v>
      </c>
      <c r="P7" s="1" t="s">
        <v>137</v>
      </c>
      <c r="Q7" s="2">
        <v>-9804.1666666666661</v>
      </c>
      <c r="R7" s="1" t="s">
        <v>148</v>
      </c>
      <c r="S7" s="18">
        <v>0.16279069767441862</v>
      </c>
      <c r="T7" s="1" t="s">
        <v>149</v>
      </c>
      <c r="U7" s="18">
        <v>0.19607843137254902</v>
      </c>
      <c r="V7" s="1" t="s">
        <v>137</v>
      </c>
      <c r="W7" s="16">
        <v>0.28289473684210525</v>
      </c>
      <c r="X7" s="1" t="s">
        <v>137</v>
      </c>
      <c r="Y7" s="16">
        <v>0.21710526315789475</v>
      </c>
      <c r="Z7" s="1" t="s">
        <v>141</v>
      </c>
      <c r="AA7" s="16">
        <v>0.57017543859649122</v>
      </c>
      <c r="AB7" s="1" t="s">
        <v>148</v>
      </c>
      <c r="AC7" s="16">
        <v>0.38095238095238093</v>
      </c>
      <c r="AD7" s="1" t="s">
        <v>148</v>
      </c>
      <c r="AE7" s="16">
        <v>0.38461538461538464</v>
      </c>
      <c r="AF7" s="1" t="s">
        <v>148</v>
      </c>
      <c r="AG7" s="95">
        <v>5</v>
      </c>
    </row>
    <row r="8" spans="1:33" x14ac:dyDescent="0.4">
      <c r="A8" s="7">
        <v>7</v>
      </c>
      <c r="B8" s="6" t="s">
        <v>139</v>
      </c>
      <c r="C8" s="3">
        <v>-24.5</v>
      </c>
      <c r="D8" s="1" t="s">
        <v>141</v>
      </c>
      <c r="E8" s="3">
        <v>-4.0647727272727261</v>
      </c>
      <c r="F8" s="1" t="s">
        <v>148</v>
      </c>
      <c r="G8" s="5">
        <v>2.13953488372093</v>
      </c>
      <c r="H8" s="1" t="s">
        <v>160</v>
      </c>
      <c r="I8" s="18">
        <v>0.25531914893617019</v>
      </c>
      <c r="J8" s="1" t="s">
        <v>139</v>
      </c>
      <c r="K8" s="16">
        <v>0.2857142857142857</v>
      </c>
      <c r="L8" s="1" t="s">
        <v>141</v>
      </c>
      <c r="M8" s="16">
        <v>0.19330289193302891</v>
      </c>
      <c r="N8" s="1" t="s">
        <v>148</v>
      </c>
      <c r="O8" s="2">
        <v>9869.7674418604656</v>
      </c>
      <c r="P8" s="1" t="s">
        <v>149</v>
      </c>
      <c r="Q8" s="2">
        <v>-9809.375</v>
      </c>
      <c r="R8" s="1" t="s">
        <v>219</v>
      </c>
      <c r="S8" s="18">
        <v>0.16666666666666666</v>
      </c>
      <c r="T8" s="1" t="s">
        <v>148</v>
      </c>
      <c r="U8" s="18">
        <v>0.16279069767441862</v>
      </c>
      <c r="V8" s="1" t="s">
        <v>145</v>
      </c>
      <c r="W8" s="16">
        <v>0.25806451612903225</v>
      </c>
      <c r="X8" s="1" t="s">
        <v>141</v>
      </c>
      <c r="Y8" s="16">
        <v>0.18434343434343434</v>
      </c>
      <c r="Z8" s="1" t="s">
        <v>142</v>
      </c>
      <c r="AA8" s="16">
        <v>0.5625</v>
      </c>
      <c r="AB8" s="1" t="s">
        <v>219</v>
      </c>
      <c r="AC8" s="16">
        <v>0.38095238095238093</v>
      </c>
      <c r="AD8" s="1" t="s">
        <v>142</v>
      </c>
      <c r="AE8" s="16">
        <v>0.35652173913043478</v>
      </c>
      <c r="AF8" s="1" t="s">
        <v>214</v>
      </c>
      <c r="AG8" s="95">
        <v>5</v>
      </c>
    </row>
    <row r="9" spans="1:33" x14ac:dyDescent="0.4">
      <c r="A9" s="7">
        <v>8</v>
      </c>
      <c r="B9" s="6" t="s">
        <v>145</v>
      </c>
      <c r="C9" s="3">
        <v>-86.4</v>
      </c>
      <c r="D9" s="1" t="s">
        <v>148</v>
      </c>
      <c r="E9" s="3">
        <v>-4.3976744186046508</v>
      </c>
      <c r="F9" s="1" t="s">
        <v>145</v>
      </c>
      <c r="G9" s="5">
        <v>2.2000000000000002</v>
      </c>
      <c r="H9" s="1" t="s">
        <v>148</v>
      </c>
      <c r="I9" s="18">
        <v>0.23255813953488372</v>
      </c>
      <c r="J9" s="1" t="s">
        <v>145</v>
      </c>
      <c r="K9" s="16">
        <v>0.27027027027027029</v>
      </c>
      <c r="L9" s="1" t="s">
        <v>148</v>
      </c>
      <c r="M9" s="16">
        <v>0.20183486238532111</v>
      </c>
      <c r="N9" s="1" t="s">
        <v>142</v>
      </c>
      <c r="O9" s="2">
        <v>9851.3513513513517</v>
      </c>
      <c r="P9" s="1" t="s">
        <v>156</v>
      </c>
      <c r="Q9" s="2">
        <v>-9927.2727272727279</v>
      </c>
      <c r="R9" s="1" t="s">
        <v>160</v>
      </c>
      <c r="S9" s="18">
        <v>0.23404255319148937</v>
      </c>
      <c r="T9" s="1" t="s">
        <v>141</v>
      </c>
      <c r="U9" s="18">
        <v>0.14772727272727273</v>
      </c>
      <c r="V9" s="1" t="s">
        <v>148</v>
      </c>
      <c r="W9" s="16">
        <v>0.21428571428571427</v>
      </c>
      <c r="X9" s="1" t="s">
        <v>145</v>
      </c>
      <c r="Y9" s="16">
        <v>0.16129032258064516</v>
      </c>
      <c r="Z9" s="1" t="s">
        <v>148</v>
      </c>
      <c r="AA9" s="16">
        <v>0.33333333333333331</v>
      </c>
      <c r="AB9" s="1" t="s">
        <v>142</v>
      </c>
      <c r="AC9" s="16">
        <v>0.35714285714285715</v>
      </c>
      <c r="AD9" s="1" t="s">
        <v>160</v>
      </c>
      <c r="AE9" s="16">
        <v>0.3482142857142857</v>
      </c>
      <c r="AF9" s="1" t="s">
        <v>219</v>
      </c>
      <c r="AG9" s="95">
        <v>5</v>
      </c>
    </row>
    <row r="10" spans="1:33" x14ac:dyDescent="0.4">
      <c r="A10" s="7">
        <v>9</v>
      </c>
      <c r="B10" s="6" t="s">
        <v>138</v>
      </c>
      <c r="C10" s="3">
        <v>-132.1</v>
      </c>
      <c r="D10" s="1" t="s">
        <v>160</v>
      </c>
      <c r="E10" s="3">
        <v>-7.4617021276595734</v>
      </c>
      <c r="F10" s="1" t="s">
        <v>160</v>
      </c>
      <c r="G10" s="5">
        <v>2.2127659574468086</v>
      </c>
      <c r="H10" s="1" t="s">
        <v>145</v>
      </c>
      <c r="I10" s="18">
        <v>0.2</v>
      </c>
      <c r="J10" s="1" t="s">
        <v>148</v>
      </c>
      <c r="K10" s="16">
        <v>0.26299694189602446</v>
      </c>
      <c r="L10" s="1" t="s">
        <v>145</v>
      </c>
      <c r="M10" s="16">
        <v>0.21621621621621623</v>
      </c>
      <c r="N10" s="1" t="s">
        <v>214</v>
      </c>
      <c r="O10" s="2">
        <v>9227.7777777777774</v>
      </c>
      <c r="P10" s="1" t="s">
        <v>160</v>
      </c>
      <c r="Q10" s="2">
        <v>-9938.5542168674692</v>
      </c>
      <c r="R10" s="1" t="s">
        <v>141</v>
      </c>
      <c r="S10" s="18">
        <v>0.23863636363636365</v>
      </c>
      <c r="T10" s="1" t="s">
        <v>160</v>
      </c>
      <c r="U10" s="18">
        <v>0.10638297872340426</v>
      </c>
      <c r="V10" s="1" t="s">
        <v>142</v>
      </c>
      <c r="W10" s="16">
        <v>0.20253164556962025</v>
      </c>
      <c r="X10" s="1" t="s">
        <v>214</v>
      </c>
      <c r="Y10" s="16">
        <v>0.13043478260869565</v>
      </c>
      <c r="Z10" s="1" t="s">
        <v>219</v>
      </c>
      <c r="AA10" s="16">
        <v>0.33333333333333331</v>
      </c>
      <c r="AB10" s="1" t="s">
        <v>145</v>
      </c>
      <c r="AC10" s="16">
        <v>0.2</v>
      </c>
      <c r="AD10" s="1" t="s">
        <v>141</v>
      </c>
      <c r="AE10" s="16">
        <v>0.31067961165048541</v>
      </c>
      <c r="AF10" s="1" t="s">
        <v>145</v>
      </c>
      <c r="AG10" s="95">
        <v>3</v>
      </c>
    </row>
    <row r="11" spans="1:33" x14ac:dyDescent="0.4">
      <c r="A11" s="7">
        <v>10</v>
      </c>
      <c r="B11" s="6" t="s">
        <v>148</v>
      </c>
      <c r="C11" s="3">
        <v>-189.1</v>
      </c>
      <c r="D11" s="1" t="s">
        <v>139</v>
      </c>
      <c r="E11" s="3">
        <v>-12.25</v>
      </c>
      <c r="F11" s="1" t="s">
        <v>219</v>
      </c>
      <c r="G11" s="5">
        <v>2.3333333333333335</v>
      </c>
      <c r="H11" s="1" t="s">
        <v>138</v>
      </c>
      <c r="I11" s="18">
        <v>0</v>
      </c>
      <c r="J11" s="1" t="s">
        <v>141</v>
      </c>
      <c r="K11" s="16">
        <v>0.25722983257229831</v>
      </c>
      <c r="L11" s="1" t="s">
        <v>160</v>
      </c>
      <c r="M11" s="16">
        <v>0.23646723646723647</v>
      </c>
      <c r="N11" s="1" t="s">
        <v>139</v>
      </c>
      <c r="O11" s="2">
        <v>8000</v>
      </c>
      <c r="P11" s="1" t="s">
        <v>141</v>
      </c>
      <c r="Q11" s="2">
        <v>-10397.63779527559</v>
      </c>
      <c r="R11" s="1" t="s">
        <v>156</v>
      </c>
      <c r="S11" s="18">
        <v>0.25</v>
      </c>
      <c r="T11" s="1" t="s">
        <v>138</v>
      </c>
      <c r="U11" s="18">
        <v>0</v>
      </c>
      <c r="V11" s="1" t="s">
        <v>219</v>
      </c>
      <c r="W11" s="16">
        <v>6.9767441860465115E-2</v>
      </c>
      <c r="X11" s="1" t="s">
        <v>138</v>
      </c>
      <c r="Y11" s="16">
        <v>0</v>
      </c>
      <c r="Z11" s="1" t="s">
        <v>138</v>
      </c>
      <c r="AA11" s="16">
        <v>0</v>
      </c>
      <c r="AB11" s="1" t="s">
        <v>138</v>
      </c>
      <c r="AC11" s="16">
        <v>0</v>
      </c>
      <c r="AD11" s="1" t="s">
        <v>219</v>
      </c>
      <c r="AE11" s="16">
        <v>0.1</v>
      </c>
      <c r="AF11" s="1" t="s">
        <v>138</v>
      </c>
      <c r="AG11" s="95">
        <v>0</v>
      </c>
    </row>
    <row r="12" spans="1:33" x14ac:dyDescent="0.4">
      <c r="A12" s="7">
        <v>11</v>
      </c>
      <c r="B12" s="6" t="s">
        <v>160</v>
      </c>
      <c r="C12" s="3">
        <v>-350.69999999999993</v>
      </c>
      <c r="D12" s="1" t="s">
        <v>145</v>
      </c>
      <c r="E12" s="3">
        <v>-17.28</v>
      </c>
      <c r="F12" s="1" t="s">
        <v>139</v>
      </c>
      <c r="G12" s="5">
        <v>2.5</v>
      </c>
      <c r="H12" s="1" t="s">
        <v>139</v>
      </c>
      <c r="I12" s="18">
        <v>0</v>
      </c>
      <c r="J12" s="1" t="s">
        <v>219</v>
      </c>
      <c r="K12" s="16">
        <v>0.20930232558139536</v>
      </c>
      <c r="L12" s="1" t="s">
        <v>139</v>
      </c>
      <c r="M12" s="16">
        <v>0.2857142857142857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139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139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  <c r="AF12" s="1" t="s">
        <v>139</v>
      </c>
      <c r="AG12" s="95">
        <v>0</v>
      </c>
    </row>
    <row r="13" spans="1:33" x14ac:dyDescent="0.4">
      <c r="A13" s="7">
        <v>12</v>
      </c>
      <c r="B13" s="6" t="s">
        <v>141</v>
      </c>
      <c r="C13" s="3">
        <v>-357.69999999999993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219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219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  <c r="AF13" s="1" t="s">
        <v>156</v>
      </c>
      <c r="AG13" s="95">
        <v>0</v>
      </c>
    </row>
  </sheetData>
  <sortState ref="AF2:AG28">
    <sortCondition descending="1" ref="AG1"/>
  </sortState>
  <mergeCells count="16">
    <mergeCell ref="AF1:AG1"/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66" t="s">
        <v>210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540</v>
      </c>
    </row>
    <row r="2" spans="1:7" x14ac:dyDescent="0.4">
      <c r="A2" s="67" t="s">
        <v>73</v>
      </c>
      <c r="B2" s="63" t="s">
        <v>27</v>
      </c>
      <c r="C2" s="49">
        <v>480</v>
      </c>
      <c r="D2" s="24">
        <f>IF(G$1=0,0,C2/G$1)</f>
        <v>0.88888888888888884</v>
      </c>
    </row>
    <row r="3" spans="1:7" x14ac:dyDescent="0.4">
      <c r="A3" s="68" t="s">
        <v>71</v>
      </c>
      <c r="B3" s="64" t="s">
        <v>25</v>
      </c>
      <c r="C3" s="50">
        <v>382</v>
      </c>
      <c r="D3" s="27">
        <f>IF(G$1=0,0,C3/G$1)</f>
        <v>0.70740740740740737</v>
      </c>
    </row>
    <row r="4" spans="1:7" x14ac:dyDescent="0.4">
      <c r="A4" s="68" t="s">
        <v>78</v>
      </c>
      <c r="B4" s="64" t="s">
        <v>31</v>
      </c>
      <c r="C4" s="50">
        <v>331</v>
      </c>
      <c r="D4" s="27">
        <f>IF(G$1=0,0,C4/G$1)</f>
        <v>0.61296296296296293</v>
      </c>
    </row>
    <row r="5" spans="1:7" x14ac:dyDescent="0.4">
      <c r="A5" s="68" t="s">
        <v>226</v>
      </c>
      <c r="B5" s="64" t="s">
        <v>23</v>
      </c>
      <c r="C5" s="50">
        <v>291</v>
      </c>
      <c r="D5" s="27">
        <f>IF(G$1=0,0,C5/G$1)</f>
        <v>0.53888888888888886</v>
      </c>
    </row>
    <row r="6" spans="1:7" x14ac:dyDescent="0.4">
      <c r="A6" s="68" t="s">
        <v>72</v>
      </c>
      <c r="B6" s="64" t="s">
        <v>26</v>
      </c>
      <c r="C6" s="50">
        <v>153</v>
      </c>
      <c r="D6" s="27">
        <f>IF(G$1=0,0,C6/G$1)</f>
        <v>0.28333333333333333</v>
      </c>
    </row>
    <row r="7" spans="1:7" x14ac:dyDescent="0.4">
      <c r="A7" s="68" t="s">
        <v>74</v>
      </c>
      <c r="B7" s="64" t="s">
        <v>222</v>
      </c>
      <c r="C7" s="50">
        <v>151</v>
      </c>
      <c r="D7" s="27">
        <f>IF(G$1=0,0,C7/G$1)</f>
        <v>0.27962962962962962</v>
      </c>
    </row>
    <row r="8" spans="1:7" x14ac:dyDescent="0.4">
      <c r="A8" s="68" t="s">
        <v>75</v>
      </c>
      <c r="B8" s="64" t="s">
        <v>28</v>
      </c>
      <c r="C8" s="50">
        <v>85</v>
      </c>
      <c r="D8" s="27">
        <f>IF(G$1=0,0,C8/G$1)</f>
        <v>0.15740740740740741</v>
      </c>
    </row>
    <row r="9" spans="1:7" x14ac:dyDescent="0.4">
      <c r="A9" s="68" t="s">
        <v>96</v>
      </c>
      <c r="B9" s="64" t="s">
        <v>49</v>
      </c>
      <c r="C9" s="50">
        <v>79</v>
      </c>
      <c r="D9" s="27">
        <f>IF(G$1=0,0,C9/G$1)</f>
        <v>0.14629629629629629</v>
      </c>
    </row>
    <row r="10" spans="1:7" x14ac:dyDescent="0.4">
      <c r="A10" s="68" t="s">
        <v>227</v>
      </c>
      <c r="B10" s="64" t="s">
        <v>24</v>
      </c>
      <c r="C10" s="50">
        <v>61</v>
      </c>
      <c r="D10" s="27">
        <f>IF(G$1=0,0,C10/G$1)</f>
        <v>0.11296296296296296</v>
      </c>
    </row>
    <row r="11" spans="1:7" x14ac:dyDescent="0.4">
      <c r="A11" s="68" t="s">
        <v>76</v>
      </c>
      <c r="B11" s="64" t="s">
        <v>29</v>
      </c>
      <c r="C11" s="50">
        <v>55</v>
      </c>
      <c r="D11" s="27">
        <f>IF(G$1=0,0,C11/G$1)</f>
        <v>0.10185185185185185</v>
      </c>
    </row>
    <row r="12" spans="1:7" x14ac:dyDescent="0.4">
      <c r="A12" s="68" t="s">
        <v>93</v>
      </c>
      <c r="B12" s="64" t="s">
        <v>46</v>
      </c>
      <c r="C12" s="50">
        <v>39</v>
      </c>
      <c r="D12" s="27">
        <f>IF(G$1=0,0,C12/G$1)</f>
        <v>7.2222222222222215E-2</v>
      </c>
    </row>
    <row r="13" spans="1:7" x14ac:dyDescent="0.4">
      <c r="A13" s="68" t="s">
        <v>90</v>
      </c>
      <c r="B13" s="64" t="s">
        <v>43</v>
      </c>
      <c r="C13" s="50">
        <v>28</v>
      </c>
      <c r="D13" s="27">
        <f>IF(G$1=0,0,C13/G$1)</f>
        <v>5.185185185185185E-2</v>
      </c>
    </row>
    <row r="14" spans="1:7" x14ac:dyDescent="0.4">
      <c r="A14" s="68" t="s">
        <v>77</v>
      </c>
      <c r="B14" s="64" t="s">
        <v>30</v>
      </c>
      <c r="C14" s="50">
        <v>26</v>
      </c>
      <c r="D14" s="27">
        <f>IF(G$1=0,0,C14/G$1)</f>
        <v>4.8148148148148148E-2</v>
      </c>
    </row>
    <row r="15" spans="1:7" x14ac:dyDescent="0.4">
      <c r="A15" s="68" t="s">
        <v>84</v>
      </c>
      <c r="B15" s="64" t="s">
        <v>37</v>
      </c>
      <c r="C15" s="50">
        <v>16</v>
      </c>
      <c r="D15" s="27">
        <f>IF(G$1=0,0,C15/G$1)</f>
        <v>2.9629629629629631E-2</v>
      </c>
    </row>
    <row r="16" spans="1:7" x14ac:dyDescent="0.4">
      <c r="A16" s="68" t="s">
        <v>88</v>
      </c>
      <c r="B16" s="64" t="s">
        <v>41</v>
      </c>
      <c r="C16" s="50">
        <v>14</v>
      </c>
      <c r="D16" s="27">
        <f>IF(G$1=0,0,C16/G$1)</f>
        <v>2.5925925925925925E-2</v>
      </c>
    </row>
    <row r="17" spans="1:4" x14ac:dyDescent="0.4">
      <c r="A17" s="68" t="s">
        <v>85</v>
      </c>
      <c r="B17" s="64" t="s">
        <v>38</v>
      </c>
      <c r="C17" s="50">
        <v>9</v>
      </c>
      <c r="D17" s="27">
        <f>IF(G$1=0,0,C17/G$1)</f>
        <v>1.6666666666666666E-2</v>
      </c>
    </row>
    <row r="18" spans="1:4" x14ac:dyDescent="0.4">
      <c r="A18" s="68" t="s">
        <v>98</v>
      </c>
      <c r="B18" s="64" t="s">
        <v>51</v>
      </c>
      <c r="C18" s="50">
        <v>9</v>
      </c>
      <c r="D18" s="27">
        <f>IF(G$1=0,0,C18/G$1)</f>
        <v>1.6666666666666666E-2</v>
      </c>
    </row>
    <row r="19" spans="1:4" x14ac:dyDescent="0.4">
      <c r="A19" s="68" t="s">
        <v>79</v>
      </c>
      <c r="B19" s="64" t="s">
        <v>32</v>
      </c>
      <c r="C19" s="50">
        <v>5</v>
      </c>
      <c r="D19" s="27">
        <f>IF(G$1=0,0,C19/G$1)</f>
        <v>9.2592592592592587E-3</v>
      </c>
    </row>
    <row r="20" spans="1:4" x14ac:dyDescent="0.4">
      <c r="A20" s="68" t="s">
        <v>92</v>
      </c>
      <c r="B20" s="64" t="s">
        <v>45</v>
      </c>
      <c r="C20" s="50">
        <v>4</v>
      </c>
      <c r="D20" s="27">
        <f>IF(G$1=0,0,C20/G$1)</f>
        <v>7.4074074074074077E-3</v>
      </c>
    </row>
    <row r="21" spans="1:4" x14ac:dyDescent="0.4">
      <c r="A21" s="68" t="s">
        <v>99</v>
      </c>
      <c r="B21" s="64" t="s">
        <v>52</v>
      </c>
      <c r="C21" s="50">
        <v>4</v>
      </c>
      <c r="D21" s="27">
        <f>IF(G$1=0,0,C21/G$1)</f>
        <v>7.4074074074074077E-3</v>
      </c>
    </row>
    <row r="22" spans="1:4" x14ac:dyDescent="0.4">
      <c r="A22" s="68" t="s">
        <v>91</v>
      </c>
      <c r="B22" s="64" t="s">
        <v>44</v>
      </c>
      <c r="C22" s="50">
        <v>3</v>
      </c>
      <c r="D22" s="27">
        <f>IF(G$1=0,0,C22/G$1)</f>
        <v>5.5555555555555558E-3</v>
      </c>
    </row>
    <row r="23" spans="1:4" x14ac:dyDescent="0.4">
      <c r="A23" s="68" t="s">
        <v>81</v>
      </c>
      <c r="B23" s="64" t="s">
        <v>34</v>
      </c>
      <c r="C23" s="50">
        <v>3</v>
      </c>
      <c r="D23" s="27">
        <f>IF(G$1=0,0,C23/G$1)</f>
        <v>5.5555555555555558E-3</v>
      </c>
    </row>
    <row r="24" spans="1:4" x14ac:dyDescent="0.4">
      <c r="A24" s="68" t="s">
        <v>83</v>
      </c>
      <c r="B24" s="64" t="s">
        <v>36</v>
      </c>
      <c r="C24" s="50">
        <v>3</v>
      </c>
      <c r="D24" s="27">
        <f>IF(G$1=0,0,C24/G$1)</f>
        <v>5.5555555555555558E-3</v>
      </c>
    </row>
    <row r="25" spans="1:4" x14ac:dyDescent="0.4">
      <c r="A25" s="68" t="s">
        <v>94</v>
      </c>
      <c r="B25" s="64" t="s">
        <v>47</v>
      </c>
      <c r="C25" s="50">
        <v>2</v>
      </c>
      <c r="D25" s="27">
        <f>IF(G$1=0,0,C25/G$1)</f>
        <v>3.7037037037037038E-3</v>
      </c>
    </row>
    <row r="26" spans="1:4" x14ac:dyDescent="0.4">
      <c r="A26" s="68" t="s">
        <v>87</v>
      </c>
      <c r="B26" s="64" t="s">
        <v>40</v>
      </c>
      <c r="C26" s="50">
        <v>1</v>
      </c>
      <c r="D26" s="27">
        <f>IF(G$1=0,0,C26/G$1)</f>
        <v>1.8518518518518519E-3</v>
      </c>
    </row>
    <row r="27" spans="1:4" x14ac:dyDescent="0.4">
      <c r="A27" s="68" t="s">
        <v>97</v>
      </c>
      <c r="B27" s="64" t="s">
        <v>50</v>
      </c>
      <c r="C27" s="50">
        <v>1</v>
      </c>
      <c r="D27" s="27">
        <f>IF(G$1=0,0,C27/G$1)</f>
        <v>1.8518518518518519E-3</v>
      </c>
    </row>
    <row r="28" spans="1:4" x14ac:dyDescent="0.4">
      <c r="A28" s="68" t="s">
        <v>80</v>
      </c>
      <c r="B28" s="64" t="s">
        <v>33</v>
      </c>
      <c r="C28" s="50">
        <v>1</v>
      </c>
      <c r="D28" s="27">
        <f>IF(G$1=0,0,C28/G$1)</f>
        <v>1.8518518518518519E-3</v>
      </c>
    </row>
    <row r="29" spans="1:4" x14ac:dyDescent="0.4">
      <c r="A29" s="68" t="s">
        <v>95</v>
      </c>
      <c r="B29" s="64" t="s">
        <v>48</v>
      </c>
      <c r="C29" s="50">
        <v>1</v>
      </c>
      <c r="D29" s="27">
        <f>IF(G$1=0,0,C29/G$1)</f>
        <v>1.8518518518518519E-3</v>
      </c>
    </row>
    <row r="30" spans="1:4" x14ac:dyDescent="0.4">
      <c r="A30" s="68" t="s">
        <v>100</v>
      </c>
      <c r="B30" s="64" t="s">
        <v>53</v>
      </c>
      <c r="C30" s="50">
        <v>1</v>
      </c>
      <c r="D30" s="27">
        <f>IF(G$1=0,0,C30/G$1)</f>
        <v>1.8518518518518519E-3</v>
      </c>
    </row>
    <row r="31" spans="1:4" x14ac:dyDescent="0.4">
      <c r="A31" s="68" t="s">
        <v>113</v>
      </c>
      <c r="B31" s="64" t="s">
        <v>224</v>
      </c>
      <c r="C31" s="50">
        <v>1</v>
      </c>
      <c r="D31" s="27">
        <f>IF(G$1=0,0,C31/G$1)</f>
        <v>1.8518518518518519E-3</v>
      </c>
    </row>
    <row r="32" spans="1:4" x14ac:dyDescent="0.4">
      <c r="A32" s="68" t="s">
        <v>82</v>
      </c>
      <c r="B32" s="64" t="s">
        <v>35</v>
      </c>
      <c r="C32" s="50">
        <v>0</v>
      </c>
      <c r="D32" s="27">
        <f>IF(G$1=0,0,C32/G$1)</f>
        <v>0</v>
      </c>
    </row>
    <row r="33" spans="1:4" x14ac:dyDescent="0.4">
      <c r="A33" s="68" t="s">
        <v>86</v>
      </c>
      <c r="B33" s="64" t="s">
        <v>39</v>
      </c>
      <c r="C33" s="50">
        <v>0</v>
      </c>
      <c r="D33" s="27">
        <f>IF(G$1=0,0,C33/G$1)</f>
        <v>0</v>
      </c>
    </row>
    <row r="34" spans="1:4" x14ac:dyDescent="0.4">
      <c r="A34" s="68" t="s">
        <v>89</v>
      </c>
      <c r="B34" s="64" t="s">
        <v>42</v>
      </c>
      <c r="C34" s="50">
        <v>0</v>
      </c>
      <c r="D34" s="27">
        <f>IF(G$1=0,0,C34/G$1)</f>
        <v>0</v>
      </c>
    </row>
    <row r="35" spans="1:4" x14ac:dyDescent="0.4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">
      <c r="A46" s="68" t="s">
        <v>112</v>
      </c>
      <c r="B46" s="64" t="s">
        <v>223</v>
      </c>
      <c r="C46" s="50">
        <v>0</v>
      </c>
      <c r="D46" s="27">
        <f>IF(G$1=0,0,C46/G$1)</f>
        <v>0</v>
      </c>
    </row>
    <row r="47" spans="1:4" x14ac:dyDescent="0.4">
      <c r="A47" s="68" t="s">
        <v>114</v>
      </c>
      <c r="B47" s="64" t="s">
        <v>225</v>
      </c>
      <c r="C47" s="50">
        <v>0</v>
      </c>
      <c r="D47" s="27">
        <f>IF(G$1=0,0,C47/G$1)</f>
        <v>0</v>
      </c>
    </row>
    <row r="48" spans="1:4" x14ac:dyDescent="0.4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35B62-F18B-4794-AFF4-7FF351B25FB7}">
  <sheetPr codeName="Sheet4"/>
  <dimension ref="A1:P129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6" t="s">
        <v>186</v>
      </c>
      <c r="C1" s="87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127</v>
      </c>
      <c r="C2" s="81"/>
      <c r="E2" s="67" t="s">
        <v>73</v>
      </c>
      <c r="F2" s="63" t="s">
        <v>27</v>
      </c>
      <c r="G2" s="49">
        <v>154</v>
      </c>
      <c r="H2" s="24">
        <f>IF(B$25=0,0,G2/B$25)</f>
        <v>0.93902439024390238</v>
      </c>
      <c r="J2" s="23">
        <v>0</v>
      </c>
      <c r="K2" s="25">
        <v>0</v>
      </c>
      <c r="M2" s="23" t="s">
        <v>198</v>
      </c>
      <c r="N2" s="44">
        <f t="shared" ref="N2:N7" si="0">IF(P2=0,0,O2/P2)</f>
        <v>774.79674796747963</v>
      </c>
      <c r="O2" s="41">
        <v>95300</v>
      </c>
      <c r="P2" s="39">
        <v>123</v>
      </c>
    </row>
    <row r="3" spans="1:16" x14ac:dyDescent="0.4">
      <c r="A3" s="58" t="s">
        <v>8</v>
      </c>
      <c r="B3" s="88">
        <v>919</v>
      </c>
      <c r="C3" s="89"/>
      <c r="E3" s="68" t="s">
        <v>71</v>
      </c>
      <c r="F3" s="64" t="s">
        <v>25</v>
      </c>
      <c r="G3" s="50">
        <v>102</v>
      </c>
      <c r="H3" s="27">
        <f>IF(B$25=0,0,G3/B$25)</f>
        <v>0.62195121951219512</v>
      </c>
      <c r="J3" s="26">
        <v>1</v>
      </c>
      <c r="K3" s="28">
        <v>15</v>
      </c>
      <c r="M3" s="26" t="s">
        <v>199</v>
      </c>
      <c r="N3" s="45">
        <f t="shared" si="0"/>
        <v>1382.9059829059829</v>
      </c>
      <c r="O3" s="42">
        <v>161800</v>
      </c>
      <c r="P3" s="37">
        <v>117</v>
      </c>
    </row>
    <row r="4" spans="1:16" x14ac:dyDescent="0.4">
      <c r="A4" s="58" t="s">
        <v>6</v>
      </c>
      <c r="B4" s="90">
        <v>550.70000000000016</v>
      </c>
      <c r="C4" s="91"/>
      <c r="E4" s="68" t="s">
        <v>78</v>
      </c>
      <c r="F4" s="64" t="s">
        <v>31</v>
      </c>
      <c r="G4" s="50">
        <v>91</v>
      </c>
      <c r="H4" s="27">
        <f>IF(B$25=0,0,G4/B$25)</f>
        <v>0.55487804878048785</v>
      </c>
      <c r="J4" s="26">
        <v>2</v>
      </c>
      <c r="K4" s="28">
        <v>14</v>
      </c>
      <c r="M4" s="26" t="s">
        <v>200</v>
      </c>
      <c r="N4" s="45">
        <f t="shared" si="0"/>
        <v>939.25233644859816</v>
      </c>
      <c r="O4" s="42">
        <v>100500</v>
      </c>
      <c r="P4" s="37">
        <v>107</v>
      </c>
    </row>
    <row r="5" spans="1:16" x14ac:dyDescent="0.4">
      <c r="A5" s="58" t="s">
        <v>7</v>
      </c>
      <c r="B5" s="90">
        <f>IF(B$2=0,0,B$4/B$2)</f>
        <v>4.3362204724409459</v>
      </c>
      <c r="C5" s="91"/>
      <c r="E5" s="68" t="s">
        <v>69</v>
      </c>
      <c r="F5" s="64" t="s">
        <v>23</v>
      </c>
      <c r="G5" s="50">
        <v>84</v>
      </c>
      <c r="H5" s="27">
        <f>IF(B$25=0,0,G5/B$25)</f>
        <v>0.51219512195121952</v>
      </c>
      <c r="J5" s="26">
        <v>3</v>
      </c>
      <c r="K5" s="28">
        <v>29.1</v>
      </c>
      <c r="M5" s="26" t="s">
        <v>201</v>
      </c>
      <c r="N5" s="45">
        <f t="shared" si="0"/>
        <v>1392.5531914893618</v>
      </c>
      <c r="O5" s="42">
        <v>130900</v>
      </c>
      <c r="P5" s="37">
        <v>94</v>
      </c>
    </row>
    <row r="6" spans="1:16" x14ac:dyDescent="0.4">
      <c r="A6" s="58" t="s">
        <v>1</v>
      </c>
      <c r="B6" s="92">
        <f>IF(B$2=0,0,(B$7*1+B$8*2+B$9*3)/B$2)</f>
        <v>1.8503937007874016</v>
      </c>
      <c r="C6" s="93"/>
      <c r="E6" s="68" t="s">
        <v>74</v>
      </c>
      <c r="F6" s="64" t="s">
        <v>12</v>
      </c>
      <c r="G6" s="50">
        <v>42</v>
      </c>
      <c r="H6" s="27">
        <f>IF(B$25=0,0,G6/B$25)</f>
        <v>0.25609756097560976</v>
      </c>
      <c r="J6" s="26">
        <v>4</v>
      </c>
      <c r="K6" s="28">
        <v>114.30000000000001</v>
      </c>
      <c r="M6" s="26" t="s">
        <v>202</v>
      </c>
      <c r="N6" s="45">
        <f t="shared" si="0"/>
        <v>216.88311688311688</v>
      </c>
      <c r="O6" s="42">
        <v>16700</v>
      </c>
      <c r="P6" s="37">
        <v>77</v>
      </c>
    </row>
    <row r="7" spans="1:16" x14ac:dyDescent="0.4">
      <c r="A7" s="58" t="s">
        <v>2</v>
      </c>
      <c r="B7" s="50">
        <v>51</v>
      </c>
      <c r="C7" s="27">
        <f>IF(B$2=0,0,B7/B$2)</f>
        <v>0.40157480314960631</v>
      </c>
      <c r="E7" s="68" t="s">
        <v>72</v>
      </c>
      <c r="F7" s="64" t="s">
        <v>26</v>
      </c>
      <c r="G7" s="50">
        <v>39</v>
      </c>
      <c r="H7" s="27">
        <f>IF(B$25=0,0,G7/B$25)</f>
        <v>0.23780487804878048</v>
      </c>
      <c r="J7" s="26">
        <v>5</v>
      </c>
      <c r="K7" s="28">
        <v>145.80000000000001</v>
      </c>
      <c r="M7" s="31" t="s">
        <v>203</v>
      </c>
      <c r="N7" s="46">
        <f t="shared" si="0"/>
        <v>166.66666666666666</v>
      </c>
      <c r="O7" s="43">
        <v>9500</v>
      </c>
      <c r="P7" s="38">
        <v>57</v>
      </c>
    </row>
    <row r="8" spans="1:16" x14ac:dyDescent="0.4">
      <c r="A8" s="58" t="s">
        <v>3</v>
      </c>
      <c r="B8" s="50">
        <v>44</v>
      </c>
      <c r="C8" s="27">
        <f t="shared" ref="C8:C9" si="1">IF(B$2=0,0,B8/B$2)</f>
        <v>0.34645669291338582</v>
      </c>
      <c r="E8" s="68" t="s">
        <v>75</v>
      </c>
      <c r="F8" s="64" t="s">
        <v>28</v>
      </c>
      <c r="G8" s="50">
        <v>28</v>
      </c>
      <c r="H8" s="27">
        <f>IF(B$25=0,0,G8/B$25)</f>
        <v>0.17073170731707318</v>
      </c>
      <c r="J8" s="26">
        <v>6</v>
      </c>
      <c r="K8" s="28">
        <v>97.800000000000011</v>
      </c>
    </row>
    <row r="9" spans="1:16" x14ac:dyDescent="0.4">
      <c r="A9" s="59" t="s">
        <v>4</v>
      </c>
      <c r="B9" s="51">
        <v>32</v>
      </c>
      <c r="C9" s="29">
        <f t="shared" si="1"/>
        <v>0.25196850393700787</v>
      </c>
      <c r="E9" s="68" t="s">
        <v>96</v>
      </c>
      <c r="F9" s="64" t="s">
        <v>49</v>
      </c>
      <c r="G9" s="50">
        <v>27</v>
      </c>
      <c r="H9" s="27">
        <f>IF(B$25=0,0,G9/B$25)</f>
        <v>0.16463414634146342</v>
      </c>
      <c r="J9" s="26">
        <v>7</v>
      </c>
      <c r="K9" s="28">
        <v>91.700000000000017</v>
      </c>
    </row>
    <row r="10" spans="1:16" x14ac:dyDescent="0.4">
      <c r="A10" s="59" t="s">
        <v>21</v>
      </c>
      <c r="B10" s="51">
        <v>17</v>
      </c>
      <c r="C10" s="29">
        <f>IF(B$2=0,0,B10/B$2)</f>
        <v>0.13385826771653545</v>
      </c>
      <c r="E10" s="68" t="s">
        <v>70</v>
      </c>
      <c r="F10" s="64" t="s">
        <v>24</v>
      </c>
      <c r="G10" s="50">
        <v>14</v>
      </c>
      <c r="H10" s="27">
        <f>IF(B$25=0,0,G10/B$25)</f>
        <v>8.5365853658536592E-2</v>
      </c>
      <c r="J10" s="26">
        <v>8</v>
      </c>
      <c r="K10" s="28">
        <v>55.700000000000017</v>
      </c>
    </row>
    <row r="11" spans="1:16" x14ac:dyDescent="0.4">
      <c r="A11" s="60" t="s">
        <v>208</v>
      </c>
      <c r="B11" s="52">
        <v>28</v>
      </c>
      <c r="C11" s="32">
        <f>IF(B$2=0,0,B11/B$2)</f>
        <v>0.22047244094488189</v>
      </c>
      <c r="E11" s="68" t="s">
        <v>76</v>
      </c>
      <c r="F11" s="64" t="s">
        <v>29</v>
      </c>
      <c r="G11" s="50">
        <v>13</v>
      </c>
      <c r="H11" s="27">
        <f>IF(B$25=0,0,G11/B$25)</f>
        <v>7.926829268292683E-2</v>
      </c>
      <c r="J11" s="26">
        <v>9</v>
      </c>
      <c r="K11" s="28">
        <v>14.700000000000017</v>
      </c>
    </row>
    <row r="12" spans="1:16" x14ac:dyDescent="0.4">
      <c r="A12" s="61" t="s">
        <v>130</v>
      </c>
      <c r="B12" s="53">
        <v>129</v>
      </c>
      <c r="C12" s="35">
        <f>IF(B$24=0,0,B12/B$24)</f>
        <v>0.28289473684210525</v>
      </c>
      <c r="E12" s="68" t="s">
        <v>77</v>
      </c>
      <c r="F12" s="64" t="s">
        <v>30</v>
      </c>
      <c r="G12" s="50">
        <v>12</v>
      </c>
      <c r="H12" s="27">
        <f>IF(B$25=0,0,G12/B$25)</f>
        <v>7.3170731707317069E-2</v>
      </c>
      <c r="J12" s="26">
        <v>10</v>
      </c>
      <c r="K12" s="28">
        <v>-16.799999999999983</v>
      </c>
    </row>
    <row r="13" spans="1:16" x14ac:dyDescent="0.4">
      <c r="A13" s="58" t="s">
        <v>125</v>
      </c>
      <c r="B13" s="50">
        <v>99</v>
      </c>
      <c r="C13" s="27">
        <f>IF(B$24=0,0,B13/B$24)</f>
        <v>0.21710526315789475</v>
      </c>
      <c r="E13" s="68" t="s">
        <v>93</v>
      </c>
      <c r="F13" s="64" t="s">
        <v>46</v>
      </c>
      <c r="G13" s="50">
        <v>9</v>
      </c>
      <c r="H13" s="27">
        <f>IF(B$25=0,0,G13/B$25)</f>
        <v>5.4878048780487805E-2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88</v>
      </c>
      <c r="C14" s="24">
        <f>IF(B$12=0,0,B14/B$12)</f>
        <v>0.68217054263565891</v>
      </c>
      <c r="E14" s="68" t="s">
        <v>90</v>
      </c>
      <c r="F14" s="64" t="s">
        <v>43</v>
      </c>
      <c r="G14" s="50">
        <v>6</v>
      </c>
      <c r="H14" s="27">
        <f>IF(B$25=0,0,G14/B$25)</f>
        <v>3.6585365853658534E-2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46</v>
      </c>
      <c r="C15" s="24">
        <f>IF(B$13=0,0,B15/B$13)</f>
        <v>0.46464646464646464</v>
      </c>
      <c r="E15" s="68" t="s">
        <v>83</v>
      </c>
      <c r="F15" s="64" t="s">
        <v>36</v>
      </c>
      <c r="G15" s="50">
        <v>3</v>
      </c>
      <c r="H15" s="27">
        <f>IF(B$25=0,0,G15/B$25)</f>
        <v>1.8292682926829267E-2</v>
      </c>
      <c r="J15" s="26">
        <v>13</v>
      </c>
      <c r="K15" s="28">
        <v>71.300000000000011</v>
      </c>
    </row>
    <row r="16" spans="1:16" x14ac:dyDescent="0.4">
      <c r="A16" s="57" t="s">
        <v>10</v>
      </c>
      <c r="B16" s="49">
        <f>B17+B18</f>
        <v>323</v>
      </c>
      <c r="C16" s="24">
        <f>IF(B$3=0,0,B16/B$3)</f>
        <v>0.35146898803046789</v>
      </c>
      <c r="E16" s="68" t="s">
        <v>88</v>
      </c>
      <c r="F16" s="64" t="s">
        <v>41</v>
      </c>
      <c r="G16" s="50">
        <v>3</v>
      </c>
      <c r="H16" s="27">
        <f>IF(B$25=0,0,G16/B$25)</f>
        <v>1.8292682926829267E-2</v>
      </c>
      <c r="J16" s="26">
        <v>14</v>
      </c>
      <c r="K16" s="28">
        <v>27.300000000000011</v>
      </c>
    </row>
    <row r="17" spans="1:11" x14ac:dyDescent="0.4">
      <c r="A17" s="58" t="s">
        <v>11</v>
      </c>
      <c r="B17" s="50">
        <v>204</v>
      </c>
      <c r="C17" s="27">
        <f>IF(B$3=0,0,B17/B$3)</f>
        <v>0.2219804134929271</v>
      </c>
      <c r="E17" s="68" t="s">
        <v>79</v>
      </c>
      <c r="F17" s="64" t="s">
        <v>32</v>
      </c>
      <c r="G17" s="50">
        <v>2</v>
      </c>
      <c r="H17" s="27">
        <f>IF(B$25=0,0,G17/B$25)</f>
        <v>1.2195121951219513E-2</v>
      </c>
      <c r="J17" s="26">
        <v>15</v>
      </c>
      <c r="K17" s="28">
        <v>-9.6999999999999886</v>
      </c>
    </row>
    <row r="18" spans="1:11" x14ac:dyDescent="0.4">
      <c r="A18" s="58" t="s">
        <v>12</v>
      </c>
      <c r="B18" s="50">
        <v>119</v>
      </c>
      <c r="C18" s="27">
        <f>IF(B$3=0,0,B18/B$3)</f>
        <v>0.12948857453754081</v>
      </c>
      <c r="E18" s="68" t="s">
        <v>99</v>
      </c>
      <c r="F18" s="64" t="s">
        <v>52</v>
      </c>
      <c r="G18" s="50">
        <v>2</v>
      </c>
      <c r="H18" s="27">
        <f>IF(B$25=0,0,G18/B$25)</f>
        <v>1.2195121951219513E-2</v>
      </c>
      <c r="J18" s="26">
        <v>16</v>
      </c>
      <c r="K18" s="28">
        <v>-8.099999999999989</v>
      </c>
    </row>
    <row r="19" spans="1:11" x14ac:dyDescent="0.4">
      <c r="A19" s="58" t="s">
        <v>13</v>
      </c>
      <c r="B19" s="50">
        <v>144</v>
      </c>
      <c r="C19" s="27">
        <f>IF(B$3=0,0,B19/B$3)</f>
        <v>0.15669205658324264</v>
      </c>
      <c r="E19" s="68" t="s">
        <v>81</v>
      </c>
      <c r="F19" s="64" t="s">
        <v>34</v>
      </c>
      <c r="G19" s="50">
        <v>1</v>
      </c>
      <c r="H19" s="27">
        <f>IF(B$25=0,0,G19/B$25)</f>
        <v>6.0975609756097563E-3</v>
      </c>
      <c r="J19" s="26">
        <v>17</v>
      </c>
      <c r="K19" s="28">
        <v>-29.499999999999986</v>
      </c>
    </row>
    <row r="20" spans="1:11" x14ac:dyDescent="0.4">
      <c r="A20" s="58" t="s">
        <v>5</v>
      </c>
      <c r="B20" s="54">
        <f>IF(B$16=0,0,C20/B$16)</f>
        <v>9932.1981424148598</v>
      </c>
      <c r="C20" s="30">
        <v>3208100</v>
      </c>
      <c r="E20" s="68" t="s">
        <v>84</v>
      </c>
      <c r="F20" s="64" t="s">
        <v>37</v>
      </c>
      <c r="G20" s="50">
        <v>1</v>
      </c>
      <c r="H20" s="27">
        <f>IF(B$25=0,0,G20/B$25)</f>
        <v>6.0975609756097563E-3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-9804.1666666666661</v>
      </c>
      <c r="C21" s="48">
        <v>-1411800</v>
      </c>
      <c r="E21" s="68" t="s">
        <v>85</v>
      </c>
      <c r="F21" s="64" t="s">
        <v>38</v>
      </c>
      <c r="G21" s="50">
        <v>1</v>
      </c>
      <c r="H21" s="27">
        <f>IF(B$25=0,0,G21/B$25)</f>
        <v>6.0975609756097563E-3</v>
      </c>
      <c r="J21" s="26">
        <v>19</v>
      </c>
      <c r="K21" s="28">
        <v>42.600000000000016</v>
      </c>
    </row>
    <row r="22" spans="1:11" x14ac:dyDescent="0.4">
      <c r="A22" s="57" t="s">
        <v>195</v>
      </c>
      <c r="B22" s="49">
        <v>321</v>
      </c>
      <c r="C22" s="24">
        <f>IF(B$3=0,0,B22/B$3)</f>
        <v>0.34929270946681173</v>
      </c>
      <c r="E22" s="68" t="s">
        <v>92</v>
      </c>
      <c r="F22" s="64" t="s">
        <v>45</v>
      </c>
      <c r="G22" s="50">
        <v>1</v>
      </c>
      <c r="H22" s="27">
        <f>IF(B$25=0,0,G22/B$25)</f>
        <v>6.0975609756097563E-3</v>
      </c>
      <c r="J22" s="26">
        <v>20</v>
      </c>
      <c r="K22" s="28">
        <v>68.800000000000011</v>
      </c>
    </row>
    <row r="23" spans="1:11" x14ac:dyDescent="0.4">
      <c r="A23" s="60" t="s">
        <v>196</v>
      </c>
      <c r="B23" s="52">
        <v>134</v>
      </c>
      <c r="C23" s="32">
        <f>IF(B$22=0,0,B23/B$22)</f>
        <v>0.4174454828660436</v>
      </c>
      <c r="E23" s="68" t="s">
        <v>94</v>
      </c>
      <c r="F23" s="64" t="s">
        <v>47</v>
      </c>
      <c r="G23" s="50">
        <v>1</v>
      </c>
      <c r="H23" s="27">
        <f>IF(B$25=0,0,G23/B$25)</f>
        <v>6.0975609756097563E-3</v>
      </c>
      <c r="J23" s="26">
        <v>21</v>
      </c>
      <c r="K23" s="28">
        <v>125.30000000000001</v>
      </c>
    </row>
    <row r="24" spans="1:11" x14ac:dyDescent="0.4">
      <c r="A24" s="57" t="s">
        <v>128</v>
      </c>
      <c r="B24" s="80">
        <v>456</v>
      </c>
      <c r="C24" s="81"/>
      <c r="E24" s="68" t="s">
        <v>97</v>
      </c>
      <c r="F24" s="64" t="s">
        <v>50</v>
      </c>
      <c r="G24" s="50">
        <v>1</v>
      </c>
      <c r="H24" s="27">
        <f>IF(B$25=0,0,G24/B$25)</f>
        <v>6.0975609756097563E-3</v>
      </c>
      <c r="J24" s="26">
        <v>22</v>
      </c>
      <c r="K24" s="28">
        <v>99.800000000000011</v>
      </c>
    </row>
    <row r="25" spans="1:11" x14ac:dyDescent="0.4">
      <c r="A25" s="60" t="s">
        <v>129</v>
      </c>
      <c r="B25" s="82">
        <v>164</v>
      </c>
      <c r="C25" s="83"/>
      <c r="E25" s="68" t="s">
        <v>98</v>
      </c>
      <c r="F25" s="64" t="s">
        <v>51</v>
      </c>
      <c r="G25" s="50">
        <v>1</v>
      </c>
      <c r="H25" s="27">
        <f>IF(B$25=0,0,G25/B$25)</f>
        <v>6.0975609756097563E-3</v>
      </c>
      <c r="J25" s="26">
        <v>23</v>
      </c>
      <c r="K25" s="28">
        <v>124.50000000000001</v>
      </c>
    </row>
    <row r="26" spans="1:11" x14ac:dyDescent="0.4">
      <c r="A26" s="56" t="s">
        <v>231</v>
      </c>
      <c r="B26" s="84">
        <v>7</v>
      </c>
      <c r="C26" s="85"/>
      <c r="E26" s="68" t="s">
        <v>113</v>
      </c>
      <c r="F26" s="64" t="s">
        <v>120</v>
      </c>
      <c r="G26" s="50">
        <v>1</v>
      </c>
      <c r="H26" s="27">
        <f>IF(B$25=0,0,G26/B$25)</f>
        <v>6.0975609756097563E-3</v>
      </c>
      <c r="J26" s="26">
        <v>24</v>
      </c>
      <c r="K26" s="28">
        <v>118.00000000000001</v>
      </c>
    </row>
    <row r="27" spans="1:11" x14ac:dyDescent="0.4">
      <c r="E27" s="68" t="s">
        <v>80</v>
      </c>
      <c r="F27" s="64" t="s">
        <v>33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68" t="s">
        <v>86</v>
      </c>
      <c r="F29" s="64" t="s">
        <v>39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68" t="s">
        <v>87</v>
      </c>
      <c r="F30" s="64" t="s">
        <v>40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68" t="s">
        <v>91</v>
      </c>
      <c r="F32" s="64" t="s">
        <v>44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68" t="s">
        <v>95</v>
      </c>
      <c r="F33" s="64" t="s">
        <v>48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  <row r="121" spans="10:11" x14ac:dyDescent="0.4">
      <c r="J121" s="26">
        <v>119</v>
      </c>
      <c r="K121" s="28">
        <v>525.50000000000011</v>
      </c>
    </row>
    <row r="122" spans="10:11" x14ac:dyDescent="0.4">
      <c r="J122" s="26">
        <v>120</v>
      </c>
      <c r="K122" s="28">
        <v>488.00000000000011</v>
      </c>
    </row>
    <row r="123" spans="10:11" x14ac:dyDescent="0.4">
      <c r="J123" s="26">
        <v>121</v>
      </c>
      <c r="K123" s="28">
        <v>526.50000000000011</v>
      </c>
    </row>
    <row r="124" spans="10:11" x14ac:dyDescent="0.4">
      <c r="J124" s="26">
        <v>122</v>
      </c>
      <c r="K124" s="28">
        <v>480.00000000000011</v>
      </c>
    </row>
    <row r="125" spans="10:11" x14ac:dyDescent="0.4">
      <c r="J125" s="26">
        <v>123</v>
      </c>
      <c r="K125" s="28">
        <v>493.2000000000001</v>
      </c>
    </row>
    <row r="126" spans="10:11" x14ac:dyDescent="0.4">
      <c r="J126" s="26">
        <v>124</v>
      </c>
      <c r="K126" s="28">
        <v>473.7000000000001</v>
      </c>
    </row>
    <row r="127" spans="10:11" x14ac:dyDescent="0.4">
      <c r="J127" s="26">
        <v>125</v>
      </c>
      <c r="K127" s="28">
        <v>515.10000000000014</v>
      </c>
    </row>
    <row r="128" spans="10:11" x14ac:dyDescent="0.4">
      <c r="J128" s="26">
        <v>126</v>
      </c>
      <c r="K128" s="28">
        <v>542.20000000000016</v>
      </c>
    </row>
    <row r="129" spans="10:11" x14ac:dyDescent="0.4">
      <c r="J129" s="26">
        <v>127</v>
      </c>
      <c r="K129" s="28">
        <v>550.70000000000016</v>
      </c>
    </row>
  </sheetData>
  <sortState ref="E2:H129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F91FD-70BE-419D-9B08-4FE75DE6D235}">
  <sheetPr codeName="Sheet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6" t="s">
        <v>191</v>
      </c>
      <c r="C1" s="87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</v>
      </c>
      <c r="C2" s="8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88">
        <v>25</v>
      </c>
      <c r="C3" s="89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199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0">
        <v>-132.1</v>
      </c>
      <c r="C4" s="91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200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0">
        <f>IF(B$2=0,0,B$4/B$2)</f>
        <v>-33.024999999999999</v>
      </c>
      <c r="C5" s="91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201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92">
        <f>IF(B$2=0,0,(B$7*1+B$8*2+B$9*3)/B$2)</f>
        <v>3</v>
      </c>
      <c r="C6" s="93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202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</v>
      </c>
      <c r="C18" s="27">
        <f>IF(B$3=0,0,B18/B$3)</f>
        <v>0.04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0</v>
      </c>
      <c r="C24" s="8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4">
        <v>0</v>
      </c>
      <c r="C26" s="85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6026B-35EF-4D8D-BB14-258C264671D7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6" t="s">
        <v>215</v>
      </c>
      <c r="C1" s="87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2</v>
      </c>
      <c r="C2" s="8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-11250</v>
      </c>
      <c r="O2" s="41">
        <v>-22500</v>
      </c>
      <c r="P2" s="39">
        <v>2</v>
      </c>
    </row>
    <row r="3" spans="1:16" x14ac:dyDescent="0.4">
      <c r="A3" s="58" t="s">
        <v>8</v>
      </c>
      <c r="B3" s="88">
        <v>7</v>
      </c>
      <c r="C3" s="89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7</v>
      </c>
      <c r="M3" s="26" t="s">
        <v>199</v>
      </c>
      <c r="N3" s="45">
        <f t="shared" si="0"/>
        <v>0</v>
      </c>
      <c r="O3" s="42">
        <v>0</v>
      </c>
      <c r="P3" s="37">
        <v>1</v>
      </c>
    </row>
    <row r="4" spans="1:16" x14ac:dyDescent="0.4">
      <c r="A4" s="58" t="s">
        <v>6</v>
      </c>
      <c r="B4" s="90">
        <v>-24.5</v>
      </c>
      <c r="C4" s="91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-24.5</v>
      </c>
      <c r="M4" s="26" t="s">
        <v>200</v>
      </c>
      <c r="N4" s="45">
        <f t="shared" si="0"/>
        <v>-2000</v>
      </c>
      <c r="O4" s="42">
        <v>-2000</v>
      </c>
      <c r="P4" s="37">
        <v>1</v>
      </c>
    </row>
    <row r="5" spans="1:16" x14ac:dyDescent="0.4">
      <c r="A5" s="58" t="s">
        <v>7</v>
      </c>
      <c r="B5" s="90">
        <f>IF(B$2=0,0,B$4/B$2)</f>
        <v>-12.25</v>
      </c>
      <c r="C5" s="91"/>
      <c r="E5" s="68" t="s">
        <v>72</v>
      </c>
      <c r="F5" s="64" t="s">
        <v>26</v>
      </c>
      <c r="G5" s="50">
        <v>0</v>
      </c>
      <c r="H5" s="27">
        <f>IF(B$25=0,0,G5/B$25)</f>
        <v>0</v>
      </c>
      <c r="M5" s="26" t="s">
        <v>201</v>
      </c>
      <c r="N5" s="45">
        <f t="shared" si="0"/>
        <v>0</v>
      </c>
      <c r="O5" s="42">
        <v>0</v>
      </c>
      <c r="P5" s="37">
        <v>0</v>
      </c>
    </row>
    <row r="6" spans="1:16" x14ac:dyDescent="0.4">
      <c r="A6" s="58" t="s">
        <v>1</v>
      </c>
      <c r="B6" s="92">
        <f>IF(B$2=0,0,(B$7*1+B$8*2+B$9*3)/B$2)</f>
        <v>2.5</v>
      </c>
      <c r="C6" s="93"/>
      <c r="E6" s="68" t="s">
        <v>73</v>
      </c>
      <c r="F6" s="64" t="s">
        <v>27</v>
      </c>
      <c r="G6" s="50">
        <v>0</v>
      </c>
      <c r="H6" s="27">
        <f>IF(B$25=0,0,G6/B$25)</f>
        <v>0</v>
      </c>
      <c r="M6" s="26" t="s">
        <v>202</v>
      </c>
      <c r="N6" s="45">
        <f t="shared" si="0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0.5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0.5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1</v>
      </c>
      <c r="C12" s="35">
        <f>IF(B$24=0,0,B12/B$24)</f>
        <v>0.5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</v>
      </c>
      <c r="C16" s="24">
        <f>IF(B$3=0,0,B16/B$3)</f>
        <v>0.2857142857142857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2</v>
      </c>
      <c r="C17" s="27">
        <f>IF(B$3=0,0,B17/B$3)</f>
        <v>0.2857142857142857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0.2857142857142857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16000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</v>
      </c>
      <c r="C22" s="24">
        <f>IF(B$3=0,0,B22/B$3)</f>
        <v>0.14285714285714285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2</v>
      </c>
      <c r="C24" s="8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4">
        <v>0</v>
      </c>
      <c r="C26" s="85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3575-98A1-419E-892B-F6CF7CB0F745}">
  <sheetPr codeName="Sheet7"/>
  <dimension ref="A1:P90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6" t="s">
        <v>187</v>
      </c>
      <c r="C1" s="87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88</v>
      </c>
      <c r="C2" s="81"/>
      <c r="E2" s="67" t="s">
        <v>73</v>
      </c>
      <c r="F2" s="63" t="s">
        <v>27</v>
      </c>
      <c r="G2" s="49">
        <v>81</v>
      </c>
      <c r="H2" s="24">
        <f>IF(B$25=0,0,G2/B$25)</f>
        <v>0.75</v>
      </c>
      <c r="J2" s="23">
        <v>0</v>
      </c>
      <c r="K2" s="25">
        <v>0</v>
      </c>
      <c r="M2" s="23" t="s">
        <v>198</v>
      </c>
      <c r="N2" s="44">
        <f t="shared" ref="N2:N7" si="0">IF(P2=0,0,O2/P2)</f>
        <v>-79.069767441860463</v>
      </c>
      <c r="O2" s="41">
        <v>-6800</v>
      </c>
      <c r="P2" s="39">
        <v>86</v>
      </c>
    </row>
    <row r="3" spans="1:16" x14ac:dyDescent="0.4">
      <c r="A3" s="58" t="s">
        <v>8</v>
      </c>
      <c r="B3" s="88">
        <v>657</v>
      </c>
      <c r="C3" s="89"/>
      <c r="E3" s="68" t="s">
        <v>71</v>
      </c>
      <c r="F3" s="64" t="s">
        <v>25</v>
      </c>
      <c r="G3" s="50">
        <v>74</v>
      </c>
      <c r="H3" s="27">
        <f>IF(B$25=0,0,G3/B$25)</f>
        <v>0.68518518518518523</v>
      </c>
      <c r="J3" s="26">
        <v>1</v>
      </c>
      <c r="K3" s="28">
        <v>40.9</v>
      </c>
      <c r="M3" s="26" t="s">
        <v>199</v>
      </c>
      <c r="N3" s="45">
        <f t="shared" si="0"/>
        <v>-1764.6341463414635</v>
      </c>
      <c r="O3" s="42">
        <v>-144700</v>
      </c>
      <c r="P3" s="37">
        <v>82</v>
      </c>
    </row>
    <row r="4" spans="1:16" x14ac:dyDescent="0.4">
      <c r="A4" s="58" t="s">
        <v>6</v>
      </c>
      <c r="B4" s="90">
        <v>-357.69999999999993</v>
      </c>
      <c r="C4" s="91"/>
      <c r="E4" s="68" t="s">
        <v>69</v>
      </c>
      <c r="F4" s="64" t="s">
        <v>23</v>
      </c>
      <c r="G4" s="50">
        <v>64</v>
      </c>
      <c r="H4" s="27">
        <f>IF(B$25=0,0,G4/B$25)</f>
        <v>0.59259259259259256</v>
      </c>
      <c r="J4" s="26">
        <v>2</v>
      </c>
      <c r="K4" s="28">
        <v>-0.89999999999999858</v>
      </c>
      <c r="M4" s="26" t="s">
        <v>200</v>
      </c>
      <c r="N4" s="45">
        <f t="shared" si="0"/>
        <v>1874.3589743589744</v>
      </c>
      <c r="O4" s="42">
        <v>146200</v>
      </c>
      <c r="P4" s="37">
        <v>78</v>
      </c>
    </row>
    <row r="5" spans="1:16" x14ac:dyDescent="0.4">
      <c r="A5" s="58" t="s">
        <v>7</v>
      </c>
      <c r="B5" s="90">
        <f>IF(B$2=0,0,B$4/B$2)</f>
        <v>-4.0647727272727261</v>
      </c>
      <c r="C5" s="91"/>
      <c r="E5" s="68" t="s">
        <v>78</v>
      </c>
      <c r="F5" s="64" t="s">
        <v>31</v>
      </c>
      <c r="G5" s="50">
        <v>58</v>
      </c>
      <c r="H5" s="27">
        <f>IF(B$25=0,0,G5/B$25)</f>
        <v>0.53703703703703709</v>
      </c>
      <c r="J5" s="26">
        <v>3</v>
      </c>
      <c r="K5" s="28">
        <v>-36.4</v>
      </c>
      <c r="M5" s="26" t="s">
        <v>201</v>
      </c>
      <c r="N5" s="45">
        <f t="shared" si="0"/>
        <v>-2152.1739130434785</v>
      </c>
      <c r="O5" s="42">
        <v>-148500</v>
      </c>
      <c r="P5" s="37">
        <v>69</v>
      </c>
    </row>
    <row r="6" spans="1:16" x14ac:dyDescent="0.4">
      <c r="A6" s="58" t="s">
        <v>1</v>
      </c>
      <c r="B6" s="92">
        <f>IF(B$2=0,0,(B$7*1+B$8*2+B$9*3)/B$2)</f>
        <v>2.1136363636363638</v>
      </c>
      <c r="C6" s="93"/>
      <c r="E6" s="68" t="s">
        <v>74</v>
      </c>
      <c r="F6" s="64" t="s">
        <v>12</v>
      </c>
      <c r="G6" s="50">
        <v>37</v>
      </c>
      <c r="H6" s="27">
        <f>IF(B$25=0,0,G6/B$25)</f>
        <v>0.34259259259259262</v>
      </c>
      <c r="J6" s="26">
        <v>4</v>
      </c>
      <c r="K6" s="28">
        <v>3.6000000000000014</v>
      </c>
      <c r="M6" s="26" t="s">
        <v>202</v>
      </c>
      <c r="N6" s="45">
        <f t="shared" si="0"/>
        <v>-2455.3571428571427</v>
      </c>
      <c r="O6" s="42">
        <v>-137500</v>
      </c>
      <c r="P6" s="37">
        <v>56</v>
      </c>
    </row>
    <row r="7" spans="1:16" x14ac:dyDescent="0.4">
      <c r="A7" s="58" t="s">
        <v>2</v>
      </c>
      <c r="B7" s="50">
        <v>26</v>
      </c>
      <c r="C7" s="27">
        <f>IF(B$2=0,0,B7/B$2)</f>
        <v>0.29545454545454547</v>
      </c>
      <c r="E7" s="68" t="s">
        <v>72</v>
      </c>
      <c r="F7" s="64" t="s">
        <v>26</v>
      </c>
      <c r="G7" s="50">
        <v>25</v>
      </c>
      <c r="H7" s="27">
        <f>IF(B$25=0,0,G7/B$25)</f>
        <v>0.23148148148148148</v>
      </c>
      <c r="J7" s="26">
        <v>5</v>
      </c>
      <c r="K7" s="28">
        <v>14.600000000000001</v>
      </c>
      <c r="M7" s="31" t="s">
        <v>203</v>
      </c>
      <c r="N7" s="46">
        <f t="shared" si="0"/>
        <v>-2427.9069767441861</v>
      </c>
      <c r="O7" s="43">
        <v>-104400</v>
      </c>
      <c r="P7" s="38">
        <v>43</v>
      </c>
    </row>
    <row r="8" spans="1:16" x14ac:dyDescent="0.4">
      <c r="A8" s="58" t="s">
        <v>3</v>
      </c>
      <c r="B8" s="50">
        <v>26</v>
      </c>
      <c r="C8" s="27">
        <f t="shared" ref="C8:C9" si="1">IF(B$2=0,0,B8/B$2)</f>
        <v>0.29545454545454547</v>
      </c>
      <c r="E8" s="68" t="s">
        <v>75</v>
      </c>
      <c r="F8" s="64" t="s">
        <v>28</v>
      </c>
      <c r="G8" s="50">
        <v>17</v>
      </c>
      <c r="H8" s="27">
        <f>IF(B$25=0,0,G8/B$25)</f>
        <v>0.15740740740740741</v>
      </c>
      <c r="J8" s="26">
        <v>6</v>
      </c>
      <c r="K8" s="28">
        <v>47.6</v>
      </c>
    </row>
    <row r="9" spans="1:16" x14ac:dyDescent="0.4">
      <c r="A9" s="59" t="s">
        <v>4</v>
      </c>
      <c r="B9" s="51">
        <v>36</v>
      </c>
      <c r="C9" s="29">
        <f t="shared" si="1"/>
        <v>0.40909090909090912</v>
      </c>
      <c r="E9" s="68" t="s">
        <v>76</v>
      </c>
      <c r="F9" s="64" t="s">
        <v>29</v>
      </c>
      <c r="G9" s="50">
        <v>17</v>
      </c>
      <c r="H9" s="27">
        <f>IF(B$25=0,0,G9/B$25)</f>
        <v>0.15740740740740741</v>
      </c>
      <c r="J9" s="26">
        <v>7</v>
      </c>
      <c r="K9" s="28">
        <v>100.1</v>
      </c>
    </row>
    <row r="10" spans="1:16" x14ac:dyDescent="0.4">
      <c r="A10" s="59" t="s">
        <v>21</v>
      </c>
      <c r="B10" s="51">
        <v>21</v>
      </c>
      <c r="C10" s="29">
        <f>IF(B$2=0,0,B10/B$2)</f>
        <v>0.23863636363636365</v>
      </c>
      <c r="E10" s="68" t="s">
        <v>96</v>
      </c>
      <c r="F10" s="64" t="s">
        <v>49</v>
      </c>
      <c r="G10" s="50">
        <v>16</v>
      </c>
      <c r="H10" s="27">
        <f>IF(B$25=0,0,G10/B$25)</f>
        <v>0.14814814814814814</v>
      </c>
      <c r="J10" s="26">
        <v>8</v>
      </c>
      <c r="K10" s="28">
        <v>60.199999999999996</v>
      </c>
    </row>
    <row r="11" spans="1:16" x14ac:dyDescent="0.4">
      <c r="A11" s="60" t="s">
        <v>208</v>
      </c>
      <c r="B11" s="52">
        <v>13</v>
      </c>
      <c r="C11" s="32">
        <f>IF(B$2=0,0,B11/B$2)</f>
        <v>0.14772727272727273</v>
      </c>
      <c r="E11" s="68" t="s">
        <v>70</v>
      </c>
      <c r="F11" s="64" t="s">
        <v>24</v>
      </c>
      <c r="G11" s="50">
        <v>13</v>
      </c>
      <c r="H11" s="27">
        <f>IF(B$25=0,0,G11/B$25)</f>
        <v>0.12037037037037036</v>
      </c>
      <c r="J11" s="26">
        <v>9</v>
      </c>
      <c r="K11" s="28">
        <v>24.4</v>
      </c>
    </row>
    <row r="12" spans="1:16" x14ac:dyDescent="0.4">
      <c r="A12" s="61" t="s">
        <v>130</v>
      </c>
      <c r="B12" s="53">
        <v>114</v>
      </c>
      <c r="C12" s="35">
        <f>IF(B$24=0,0,B12/B$24)</f>
        <v>0.2878787878787879</v>
      </c>
      <c r="E12" s="68" t="s">
        <v>93</v>
      </c>
      <c r="F12" s="64" t="s">
        <v>46</v>
      </c>
      <c r="G12" s="50">
        <v>13</v>
      </c>
      <c r="H12" s="27">
        <f>IF(B$25=0,0,G12/B$25)</f>
        <v>0.12037037037037036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73</v>
      </c>
      <c r="C13" s="27">
        <f>IF(B$24=0,0,B13/B$24)</f>
        <v>0.18434343434343434</v>
      </c>
      <c r="E13" s="68" t="s">
        <v>90</v>
      </c>
      <c r="F13" s="64" t="s">
        <v>43</v>
      </c>
      <c r="G13" s="50">
        <v>10</v>
      </c>
      <c r="H13" s="27">
        <f>IF(B$25=0,0,G13/B$25)</f>
        <v>9.2592592592592587E-2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65</v>
      </c>
      <c r="C14" s="24">
        <f>IF(B$12=0,0,B14/B$12)</f>
        <v>0.57017543859649122</v>
      </c>
      <c r="E14" s="68" t="s">
        <v>98</v>
      </c>
      <c r="F14" s="64" t="s">
        <v>51</v>
      </c>
      <c r="G14" s="50">
        <v>6</v>
      </c>
      <c r="H14" s="27">
        <f>IF(B$25=0,0,G14/B$25)</f>
        <v>5.5555555555555552E-2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28</v>
      </c>
      <c r="C15" s="24">
        <f>IF(B$13=0,0,B15/B$13)</f>
        <v>0.38356164383561642</v>
      </c>
      <c r="E15" s="68" t="s">
        <v>77</v>
      </c>
      <c r="F15" s="64" t="s">
        <v>30</v>
      </c>
      <c r="G15" s="50">
        <v>4</v>
      </c>
      <c r="H15" s="27">
        <f>IF(B$25=0,0,G15/B$25)</f>
        <v>3.7037037037037035E-2</v>
      </c>
      <c r="J15" s="26">
        <v>13</v>
      </c>
      <c r="K15" s="28">
        <v>49.5</v>
      </c>
    </row>
    <row r="16" spans="1:16" x14ac:dyDescent="0.4">
      <c r="A16" s="57" t="s">
        <v>10</v>
      </c>
      <c r="B16" s="49">
        <f>B17+B18</f>
        <v>169</v>
      </c>
      <c r="C16" s="24">
        <f>IF(B$3=0,0,B16/B$3)</f>
        <v>0.25722983257229831</v>
      </c>
      <c r="E16" s="68" t="s">
        <v>88</v>
      </c>
      <c r="F16" s="64" t="s">
        <v>41</v>
      </c>
      <c r="G16" s="50">
        <v>4</v>
      </c>
      <c r="H16" s="27">
        <f>IF(B$25=0,0,G16/B$25)</f>
        <v>3.7037037037037035E-2</v>
      </c>
      <c r="J16" s="26">
        <v>14</v>
      </c>
      <c r="K16" s="28">
        <v>33</v>
      </c>
    </row>
    <row r="17" spans="1:11" x14ac:dyDescent="0.4">
      <c r="A17" s="58" t="s">
        <v>11</v>
      </c>
      <c r="B17" s="50">
        <v>98</v>
      </c>
      <c r="C17" s="27">
        <f>IF(B$3=0,0,B17/B$3)</f>
        <v>0.14916286149162861</v>
      </c>
      <c r="E17" s="68" t="s">
        <v>84</v>
      </c>
      <c r="F17" s="64" t="s">
        <v>37</v>
      </c>
      <c r="G17" s="50">
        <v>2</v>
      </c>
      <c r="H17" s="27">
        <f>IF(B$25=0,0,G17/B$25)</f>
        <v>1.8518518518518517E-2</v>
      </c>
      <c r="J17" s="26">
        <v>15</v>
      </c>
      <c r="K17" s="28">
        <v>38.5</v>
      </c>
    </row>
    <row r="18" spans="1:11" x14ac:dyDescent="0.4">
      <c r="A18" s="58" t="s">
        <v>12</v>
      </c>
      <c r="B18" s="50">
        <v>71</v>
      </c>
      <c r="C18" s="27">
        <f>IF(B$3=0,0,B18/B$3)</f>
        <v>0.1080669710806697</v>
      </c>
      <c r="E18" s="68" t="s">
        <v>85</v>
      </c>
      <c r="F18" s="64" t="s">
        <v>38</v>
      </c>
      <c r="G18" s="50">
        <v>2</v>
      </c>
      <c r="H18" s="27">
        <f>IF(B$25=0,0,G18/B$25)</f>
        <v>1.8518518518518517E-2</v>
      </c>
      <c r="J18" s="26">
        <v>16</v>
      </c>
      <c r="K18" s="28">
        <v>14.600000000000001</v>
      </c>
    </row>
    <row r="19" spans="1:11" x14ac:dyDescent="0.4">
      <c r="A19" s="58" t="s">
        <v>13</v>
      </c>
      <c r="B19" s="50">
        <v>127</v>
      </c>
      <c r="C19" s="27">
        <f>IF(B$3=0,0,B19/B$3)</f>
        <v>0.19330289193302891</v>
      </c>
      <c r="E19" s="68" t="s">
        <v>92</v>
      </c>
      <c r="F19" s="64" t="s">
        <v>45</v>
      </c>
      <c r="G19" s="50">
        <v>2</v>
      </c>
      <c r="H19" s="27">
        <f>IF(B$25=0,0,G19/B$25)</f>
        <v>1.8518518518518517E-2</v>
      </c>
      <c r="J19" s="26">
        <v>17</v>
      </c>
      <c r="K19" s="28">
        <v>13.900000000000002</v>
      </c>
    </row>
    <row r="20" spans="1:11" x14ac:dyDescent="0.4">
      <c r="A20" s="58" t="s">
        <v>5</v>
      </c>
      <c r="B20" s="54">
        <f>IF(B$16=0,0,C20/B$16)</f>
        <v>11379.289940828403</v>
      </c>
      <c r="C20" s="30">
        <v>1923100</v>
      </c>
      <c r="E20" s="68" t="s">
        <v>99</v>
      </c>
      <c r="F20" s="64" t="s">
        <v>52</v>
      </c>
      <c r="G20" s="50">
        <v>2</v>
      </c>
      <c r="H20" s="27">
        <f>IF(B$25=0,0,G20/B$25)</f>
        <v>1.8518518518518517E-2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-10397.63779527559</v>
      </c>
      <c r="C21" s="48">
        <v>-1320500</v>
      </c>
      <c r="E21" s="68" t="s">
        <v>87</v>
      </c>
      <c r="F21" s="64" t="s">
        <v>40</v>
      </c>
      <c r="G21" s="50">
        <v>1</v>
      </c>
      <c r="H21" s="27">
        <f>IF(B$25=0,0,G21/B$25)</f>
        <v>9.2592592592592587E-3</v>
      </c>
      <c r="J21" s="26">
        <v>19</v>
      </c>
      <c r="K21" s="28">
        <v>-26.699999999999996</v>
      </c>
    </row>
    <row r="22" spans="1:11" x14ac:dyDescent="0.4">
      <c r="A22" s="57" t="s">
        <v>195</v>
      </c>
      <c r="B22" s="49">
        <v>206</v>
      </c>
      <c r="C22" s="24">
        <f>IF(B$3=0,0,B22/B$3)</f>
        <v>0.31354642313546421</v>
      </c>
      <c r="E22" s="68" t="s">
        <v>91</v>
      </c>
      <c r="F22" s="64" t="s">
        <v>44</v>
      </c>
      <c r="G22" s="50">
        <v>1</v>
      </c>
      <c r="H22" s="27">
        <f>IF(B$25=0,0,G22/B$25)</f>
        <v>9.2592592592592587E-3</v>
      </c>
      <c r="J22" s="26">
        <v>20</v>
      </c>
      <c r="K22" s="28">
        <v>-57.899999999999991</v>
      </c>
    </row>
    <row r="23" spans="1:11" x14ac:dyDescent="0.4">
      <c r="A23" s="60" t="s">
        <v>196</v>
      </c>
      <c r="B23" s="52">
        <v>64</v>
      </c>
      <c r="C23" s="32">
        <f>IF(B$22=0,0,B23/B$22)</f>
        <v>0.31067961165048541</v>
      </c>
      <c r="E23" s="68" t="s">
        <v>94</v>
      </c>
      <c r="F23" s="64" t="s">
        <v>47</v>
      </c>
      <c r="G23" s="50">
        <v>1</v>
      </c>
      <c r="H23" s="27">
        <f>IF(B$25=0,0,G23/B$25)</f>
        <v>9.2592592592592587E-3</v>
      </c>
      <c r="J23" s="26">
        <v>21</v>
      </c>
      <c r="K23" s="28">
        <v>-82.699999999999989</v>
      </c>
    </row>
    <row r="24" spans="1:11" x14ac:dyDescent="0.4">
      <c r="A24" s="57" t="s">
        <v>128</v>
      </c>
      <c r="B24" s="80">
        <v>396</v>
      </c>
      <c r="C24" s="81"/>
      <c r="E24" s="68" t="s">
        <v>95</v>
      </c>
      <c r="F24" s="64" t="s">
        <v>48</v>
      </c>
      <c r="G24" s="50">
        <v>1</v>
      </c>
      <c r="H24" s="27">
        <f>IF(B$25=0,0,G24/B$25)</f>
        <v>9.2592592592592587E-3</v>
      </c>
      <c r="J24" s="26">
        <v>22</v>
      </c>
      <c r="K24" s="28">
        <v>-94.6</v>
      </c>
    </row>
    <row r="25" spans="1:11" x14ac:dyDescent="0.4">
      <c r="A25" s="60" t="s">
        <v>129</v>
      </c>
      <c r="B25" s="82">
        <v>108</v>
      </c>
      <c r="C25" s="83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A26" s="56" t="s">
        <v>231</v>
      </c>
      <c r="B26" s="84">
        <v>10</v>
      </c>
      <c r="C26" s="85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  <row r="85" spans="10:11" x14ac:dyDescent="0.4">
      <c r="J85" s="26">
        <v>83</v>
      </c>
      <c r="K85" s="28">
        <v>-397.39999999999992</v>
      </c>
    </row>
    <row r="86" spans="10:11" x14ac:dyDescent="0.4">
      <c r="J86" s="26">
        <v>84</v>
      </c>
      <c r="K86" s="28">
        <v>-371.89999999999992</v>
      </c>
    </row>
    <row r="87" spans="10:11" x14ac:dyDescent="0.4">
      <c r="J87" s="26">
        <v>85</v>
      </c>
      <c r="K87" s="28">
        <v>-409.89999999999992</v>
      </c>
    </row>
    <row r="88" spans="10:11" x14ac:dyDescent="0.4">
      <c r="J88" s="26">
        <v>86</v>
      </c>
      <c r="K88" s="28">
        <v>-386.39999999999992</v>
      </c>
    </row>
    <row r="89" spans="10:11" x14ac:dyDescent="0.4">
      <c r="J89" s="26">
        <v>87</v>
      </c>
      <c r="K89" s="28">
        <v>-360.69999999999993</v>
      </c>
    </row>
    <row r="90" spans="10:11" x14ac:dyDescent="0.4">
      <c r="J90" s="26">
        <v>88</v>
      </c>
      <c r="K90" s="28">
        <v>-357.69999999999993</v>
      </c>
    </row>
  </sheetData>
  <sortState ref="E2:H90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9A144-7A78-4168-BFD9-3A1B06CDE3F5}">
  <sheetPr codeName="Sheet8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6" t="s">
        <v>188</v>
      </c>
      <c r="C1" s="87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45</v>
      </c>
      <c r="C2" s="81"/>
      <c r="E2" s="67" t="s">
        <v>71</v>
      </c>
      <c r="F2" s="63" t="s">
        <v>25</v>
      </c>
      <c r="G2" s="49">
        <v>23</v>
      </c>
      <c r="H2" s="24">
        <f>IF(B$25=0,0,G2/B$25)</f>
        <v>0.95833333333333337</v>
      </c>
      <c r="J2" s="23">
        <v>0</v>
      </c>
      <c r="K2" s="25">
        <v>0</v>
      </c>
      <c r="M2" s="23" t="s">
        <v>198</v>
      </c>
      <c r="N2" s="44">
        <f t="shared" ref="N2:N7" si="0">IF(P2=0,0,O2/P2)</f>
        <v>-895.55555555555554</v>
      </c>
      <c r="O2" s="41">
        <v>-40300</v>
      </c>
      <c r="P2" s="39">
        <v>45</v>
      </c>
    </row>
    <row r="3" spans="1:16" x14ac:dyDescent="0.4">
      <c r="A3" s="58" t="s">
        <v>8</v>
      </c>
      <c r="B3" s="88">
        <v>317</v>
      </c>
      <c r="C3" s="89"/>
      <c r="E3" s="68" t="s">
        <v>73</v>
      </c>
      <c r="F3" s="64" t="s">
        <v>27</v>
      </c>
      <c r="G3" s="50">
        <v>22</v>
      </c>
      <c r="H3" s="27">
        <f>IF(B$25=0,0,G3/B$25)</f>
        <v>0.91666666666666663</v>
      </c>
      <c r="J3" s="26">
        <v>1</v>
      </c>
      <c r="K3" s="28">
        <v>-39.9</v>
      </c>
      <c r="M3" s="26" t="s">
        <v>199</v>
      </c>
      <c r="N3" s="45">
        <f t="shared" si="0"/>
        <v>3279.0697674418607</v>
      </c>
      <c r="O3" s="42">
        <v>141000</v>
      </c>
      <c r="P3" s="37">
        <v>43</v>
      </c>
    </row>
    <row r="4" spans="1:16" x14ac:dyDescent="0.4">
      <c r="A4" s="58" t="s">
        <v>6</v>
      </c>
      <c r="B4" s="90">
        <v>248.10000000000002</v>
      </c>
      <c r="C4" s="91"/>
      <c r="E4" s="68" t="s">
        <v>78</v>
      </c>
      <c r="F4" s="64" t="s">
        <v>31</v>
      </c>
      <c r="G4" s="50">
        <v>18</v>
      </c>
      <c r="H4" s="27">
        <f>IF(B$25=0,0,G4/B$25)</f>
        <v>0.75</v>
      </c>
      <c r="J4" s="26">
        <v>2</v>
      </c>
      <c r="K4" s="28">
        <v>-13.2</v>
      </c>
      <c r="M4" s="26" t="s">
        <v>200</v>
      </c>
      <c r="N4" s="45">
        <f t="shared" si="0"/>
        <v>-307.3170731707317</v>
      </c>
      <c r="O4" s="42">
        <v>-12600</v>
      </c>
      <c r="P4" s="37">
        <v>41</v>
      </c>
    </row>
    <row r="5" spans="1:16" x14ac:dyDescent="0.4">
      <c r="A5" s="58" t="s">
        <v>7</v>
      </c>
      <c r="B5" s="90">
        <f>IF(B$2=0,0,B$4/B$2)</f>
        <v>5.5133333333333336</v>
      </c>
      <c r="C5" s="91"/>
      <c r="E5" s="68" t="s">
        <v>69</v>
      </c>
      <c r="F5" s="64" t="s">
        <v>23</v>
      </c>
      <c r="G5" s="50">
        <v>9</v>
      </c>
      <c r="H5" s="27">
        <f>IF(B$25=0,0,G5/B$25)</f>
        <v>0.375</v>
      </c>
      <c r="J5" s="26">
        <v>3</v>
      </c>
      <c r="K5" s="28">
        <v>-57.7</v>
      </c>
      <c r="M5" s="26" t="s">
        <v>201</v>
      </c>
      <c r="N5" s="45">
        <f t="shared" si="0"/>
        <v>-1417.6470588235295</v>
      </c>
      <c r="O5" s="42">
        <v>-48200</v>
      </c>
      <c r="P5" s="37">
        <v>34</v>
      </c>
    </row>
    <row r="6" spans="1:16" x14ac:dyDescent="0.4">
      <c r="A6" s="58" t="s">
        <v>1</v>
      </c>
      <c r="B6" s="92">
        <f>IF(B$2=0,0,(B$7*1+B$8*2+B$9*3)/B$2)</f>
        <v>1.8666666666666667</v>
      </c>
      <c r="C6" s="93"/>
      <c r="E6" s="68" t="s">
        <v>72</v>
      </c>
      <c r="F6" s="64" t="s">
        <v>26</v>
      </c>
      <c r="G6" s="50">
        <v>8</v>
      </c>
      <c r="H6" s="27">
        <f>IF(B$25=0,0,G6/B$25)</f>
        <v>0.33333333333333331</v>
      </c>
      <c r="J6" s="26">
        <v>4</v>
      </c>
      <c r="K6" s="28">
        <v>-53.7</v>
      </c>
      <c r="M6" s="26" t="s">
        <v>202</v>
      </c>
      <c r="N6" s="45">
        <f t="shared" si="0"/>
        <v>7442.8571428571431</v>
      </c>
      <c r="O6" s="42">
        <v>208400</v>
      </c>
      <c r="P6" s="37">
        <v>28</v>
      </c>
    </row>
    <row r="7" spans="1:16" x14ac:dyDescent="0.4">
      <c r="A7" s="58" t="s">
        <v>2</v>
      </c>
      <c r="B7" s="50">
        <v>16</v>
      </c>
      <c r="C7" s="27">
        <f>IF(B$2=0,0,B7/B$2)</f>
        <v>0.35555555555555557</v>
      </c>
      <c r="E7" s="68" t="s">
        <v>74</v>
      </c>
      <c r="F7" s="64" t="s">
        <v>12</v>
      </c>
      <c r="G7" s="50">
        <v>6</v>
      </c>
      <c r="H7" s="27">
        <f>IF(B$25=0,0,G7/B$25)</f>
        <v>0.25</v>
      </c>
      <c r="J7" s="26">
        <v>5</v>
      </c>
      <c r="K7" s="28">
        <v>-45.7</v>
      </c>
      <c r="M7" s="31" t="s">
        <v>203</v>
      </c>
      <c r="N7" s="46">
        <f t="shared" si="0"/>
        <v>122.22222222222223</v>
      </c>
      <c r="O7" s="43">
        <v>2200</v>
      </c>
      <c r="P7" s="38">
        <v>18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0.42222222222222222</v>
      </c>
      <c r="E8" s="68" t="s">
        <v>70</v>
      </c>
      <c r="F8" s="64" t="s">
        <v>24</v>
      </c>
      <c r="G8" s="50">
        <v>3</v>
      </c>
      <c r="H8" s="27">
        <f>IF(B$25=0,0,G8/B$25)</f>
        <v>0.125</v>
      </c>
      <c r="J8" s="26">
        <v>6</v>
      </c>
      <c r="K8" s="28">
        <v>-50.6</v>
      </c>
    </row>
    <row r="9" spans="1:16" x14ac:dyDescent="0.4">
      <c r="A9" s="59" t="s">
        <v>4</v>
      </c>
      <c r="B9" s="51">
        <v>10</v>
      </c>
      <c r="C9" s="29">
        <f t="shared" si="1"/>
        <v>0.22222222222222221</v>
      </c>
      <c r="E9" s="68" t="s">
        <v>90</v>
      </c>
      <c r="F9" s="64" t="s">
        <v>43</v>
      </c>
      <c r="G9" s="50">
        <v>3</v>
      </c>
      <c r="H9" s="27">
        <f>IF(B$25=0,0,G9/B$25)</f>
        <v>0.125</v>
      </c>
      <c r="J9" s="26">
        <v>7</v>
      </c>
      <c r="K9" s="28">
        <v>-47.6</v>
      </c>
    </row>
    <row r="10" spans="1:16" x14ac:dyDescent="0.4">
      <c r="A10" s="59" t="s">
        <v>21</v>
      </c>
      <c r="B10" s="51">
        <v>5</v>
      </c>
      <c r="C10" s="29">
        <f>IF(B$2=0,0,B10/B$2)</f>
        <v>0.1111111111111111</v>
      </c>
      <c r="E10" s="68" t="s">
        <v>75</v>
      </c>
      <c r="F10" s="64" t="s">
        <v>28</v>
      </c>
      <c r="G10" s="50">
        <v>2</v>
      </c>
      <c r="H10" s="27">
        <f>IF(B$25=0,0,G10/B$25)</f>
        <v>8.3333333333333329E-2</v>
      </c>
      <c r="J10" s="26">
        <v>8</v>
      </c>
      <c r="K10" s="28">
        <v>-59.1</v>
      </c>
    </row>
    <row r="11" spans="1:16" x14ac:dyDescent="0.4">
      <c r="A11" s="60" t="s">
        <v>208</v>
      </c>
      <c r="B11" s="52">
        <v>9</v>
      </c>
      <c r="C11" s="32">
        <f>IF(B$2=0,0,B11/B$2)</f>
        <v>0.2</v>
      </c>
      <c r="E11" s="68" t="s">
        <v>76</v>
      </c>
      <c r="F11" s="64" t="s">
        <v>29</v>
      </c>
      <c r="G11" s="50">
        <v>2</v>
      </c>
      <c r="H11" s="27">
        <f>IF(B$25=0,0,G11/B$25)</f>
        <v>8.3333333333333329E-2</v>
      </c>
      <c r="J11" s="26">
        <v>9</v>
      </c>
      <c r="K11" s="28">
        <v>-77.900000000000006</v>
      </c>
    </row>
    <row r="12" spans="1:16" x14ac:dyDescent="0.4">
      <c r="A12" s="61" t="s">
        <v>130</v>
      </c>
      <c r="B12" s="53">
        <v>16</v>
      </c>
      <c r="C12" s="35">
        <f>IF(B$24=0,0,B12/B$24)</f>
        <v>0.20253164556962025</v>
      </c>
      <c r="E12" s="68" t="s">
        <v>88</v>
      </c>
      <c r="F12" s="64" t="s">
        <v>41</v>
      </c>
      <c r="G12" s="50">
        <v>2</v>
      </c>
      <c r="H12" s="27">
        <f>IF(B$25=0,0,G12/B$25)</f>
        <v>8.3333333333333329E-2</v>
      </c>
      <c r="J12" s="26">
        <v>10</v>
      </c>
      <c r="K12" s="28">
        <v>-78.900000000000006</v>
      </c>
    </row>
    <row r="13" spans="1:16" x14ac:dyDescent="0.4">
      <c r="A13" s="58" t="s">
        <v>125</v>
      </c>
      <c r="B13" s="50">
        <v>28</v>
      </c>
      <c r="C13" s="27">
        <f>IF(B$24=0,0,B13/B$24)</f>
        <v>0.35443037974683544</v>
      </c>
      <c r="E13" s="68" t="s">
        <v>96</v>
      </c>
      <c r="F13" s="64" t="s">
        <v>49</v>
      </c>
      <c r="G13" s="50">
        <v>2</v>
      </c>
      <c r="H13" s="27">
        <f>IF(B$25=0,0,G13/B$25)</f>
        <v>8.3333333333333329E-2</v>
      </c>
      <c r="J13" s="26">
        <v>11</v>
      </c>
      <c r="K13" s="28">
        <v>-88.9</v>
      </c>
    </row>
    <row r="14" spans="1:16" x14ac:dyDescent="0.4">
      <c r="A14" s="57" t="s">
        <v>132</v>
      </c>
      <c r="B14" s="49">
        <v>9</v>
      </c>
      <c r="C14" s="24">
        <f>IF(B$12=0,0,B14/B$12)</f>
        <v>0.5625</v>
      </c>
      <c r="E14" s="68" t="s">
        <v>84</v>
      </c>
      <c r="F14" s="64" t="s">
        <v>37</v>
      </c>
      <c r="G14" s="50">
        <v>1</v>
      </c>
      <c r="H14" s="27">
        <f>IF(B$25=0,0,G14/B$25)</f>
        <v>4.1666666666666664E-2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10</v>
      </c>
      <c r="C15" s="24">
        <f>IF(B$13=0,0,B15/B$13)</f>
        <v>0.35714285714285715</v>
      </c>
      <c r="E15" s="68" t="s">
        <v>93</v>
      </c>
      <c r="F15" s="64" t="s">
        <v>46</v>
      </c>
      <c r="G15" s="50">
        <v>1</v>
      </c>
      <c r="H15" s="27">
        <f>IF(B$25=0,0,G15/B$25)</f>
        <v>4.1666666666666664E-2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B17+B18</f>
        <v>111</v>
      </c>
      <c r="C16" s="24">
        <f>IF(B$3=0,0,B16/B$3)</f>
        <v>0.35015772870662459</v>
      </c>
      <c r="E16" s="68" t="s">
        <v>77</v>
      </c>
      <c r="F16" s="64" t="s">
        <v>30</v>
      </c>
      <c r="G16" s="50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58" t="s">
        <v>11</v>
      </c>
      <c r="B17" s="50">
        <v>61</v>
      </c>
      <c r="C17" s="27">
        <f>IF(B$3=0,0,B17/B$3)</f>
        <v>0.19242902208201892</v>
      </c>
      <c r="E17" s="68" t="s">
        <v>79</v>
      </c>
      <c r="F17" s="64" t="s">
        <v>32</v>
      </c>
      <c r="G17" s="50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58" t="s">
        <v>12</v>
      </c>
      <c r="B18" s="50">
        <v>50</v>
      </c>
      <c r="C18" s="27">
        <f>IF(B$3=0,0,B18/B$3)</f>
        <v>0.15772870662460567</v>
      </c>
      <c r="E18" s="68" t="s">
        <v>80</v>
      </c>
      <c r="F18" s="64" t="s">
        <v>33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58" t="s">
        <v>13</v>
      </c>
      <c r="B19" s="50">
        <v>49</v>
      </c>
      <c r="C19" s="27">
        <f>IF(B$3=0,0,B19/B$3)</f>
        <v>0.15457413249211358</v>
      </c>
      <c r="E19" s="68" t="s">
        <v>81</v>
      </c>
      <c r="F19" s="64" t="s">
        <v>34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58" t="s">
        <v>5</v>
      </c>
      <c r="B20" s="54">
        <f>IF(B$16=0,0,C20/B$16)</f>
        <v>9851.3513513513517</v>
      </c>
      <c r="C20" s="30">
        <v>1093500</v>
      </c>
      <c r="E20" s="68" t="s">
        <v>82</v>
      </c>
      <c r="F20" s="64" t="s">
        <v>35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-9134.6938775510207</v>
      </c>
      <c r="C21" s="48">
        <v>-447600</v>
      </c>
      <c r="E21" s="68" t="s">
        <v>83</v>
      </c>
      <c r="F21" s="64" t="s">
        <v>36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195</v>
      </c>
      <c r="B22" s="49">
        <v>115</v>
      </c>
      <c r="C22" s="24">
        <f>IF(B$3=0,0,B22/B$3)</f>
        <v>0.36277602523659308</v>
      </c>
      <c r="E22" s="68" t="s">
        <v>85</v>
      </c>
      <c r="F22" s="64" t="s">
        <v>38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60" t="s">
        <v>196</v>
      </c>
      <c r="B23" s="52">
        <v>41</v>
      </c>
      <c r="C23" s="32">
        <f>IF(B$22=0,0,B23/B$22)</f>
        <v>0.35652173913043478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57" t="s">
        <v>128</v>
      </c>
      <c r="B24" s="80">
        <v>79</v>
      </c>
      <c r="C24" s="81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60" t="s">
        <v>129</v>
      </c>
      <c r="B25" s="82">
        <v>24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A26" s="56" t="s">
        <v>231</v>
      </c>
      <c r="B26" s="84">
        <v>6</v>
      </c>
      <c r="C26" s="85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3057D-3C72-4163-91FB-DBB37FCE561E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6" t="s">
        <v>218</v>
      </c>
      <c r="C1" s="87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5</v>
      </c>
      <c r="C2" s="81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88">
        <v>37</v>
      </c>
      <c r="C3" s="89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199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0">
        <v>-86.4</v>
      </c>
      <c r="C4" s="91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200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0">
        <f>IF(B$2=0,0,B$4/B$2)</f>
        <v>-17.28</v>
      </c>
      <c r="C5" s="91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201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92">
        <f>IF(B$2=0,0,(B$7*1+B$8*2+B$9*3)/B$2)</f>
        <v>2.2000000000000002</v>
      </c>
      <c r="C6" s="93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202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203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208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7</v>
      </c>
      <c r="C17" s="27">
        <f>IF(B$3=0,0,B17/B$3)</f>
        <v>0.1891891891891892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3</v>
      </c>
      <c r="C18" s="27">
        <f>IF(B$3=0,0,B18/B$3)</f>
        <v>8.1081081081081086E-2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31</v>
      </c>
      <c r="C24" s="81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9</v>
      </c>
      <c r="C25" s="83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4">
        <v>3</v>
      </c>
      <c r="C26" s="85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92156-E68E-4EDD-BE8D-01FA613AF020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6" t="s">
        <v>189</v>
      </c>
      <c r="C1" s="87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43</v>
      </c>
      <c r="C2" s="81"/>
      <c r="E2" s="67" t="s">
        <v>73</v>
      </c>
      <c r="F2" s="63" t="s">
        <v>27</v>
      </c>
      <c r="G2" s="49">
        <v>28</v>
      </c>
      <c r="H2" s="24">
        <f>IF(B$25=0,0,G2/B$25)</f>
        <v>0.875</v>
      </c>
      <c r="J2" s="23">
        <v>0</v>
      </c>
      <c r="K2" s="25">
        <v>0</v>
      </c>
      <c r="M2" s="23" t="s">
        <v>198</v>
      </c>
      <c r="N2" s="44">
        <f t="shared" ref="N2:N7" si="0">IF(P2=0,0,O2/P2)</f>
        <v>-2123.2558139534885</v>
      </c>
      <c r="O2" s="41">
        <v>-91300</v>
      </c>
      <c r="P2" s="39">
        <v>43</v>
      </c>
    </row>
    <row r="3" spans="1:16" x14ac:dyDescent="0.4">
      <c r="A3" s="58" t="s">
        <v>8</v>
      </c>
      <c r="B3" s="88">
        <v>327</v>
      </c>
      <c r="C3" s="89"/>
      <c r="E3" s="68" t="s">
        <v>78</v>
      </c>
      <c r="F3" s="64" t="s">
        <v>31</v>
      </c>
      <c r="G3" s="50">
        <v>24</v>
      </c>
      <c r="H3" s="27">
        <f>IF(B$25=0,0,G3/B$25)</f>
        <v>0.75</v>
      </c>
      <c r="J3" s="26">
        <v>1</v>
      </c>
      <c r="K3" s="28">
        <v>68.2</v>
      </c>
      <c r="M3" s="26" t="s">
        <v>199</v>
      </c>
      <c r="N3" s="45">
        <f t="shared" si="0"/>
        <v>-2702.5</v>
      </c>
      <c r="O3" s="42">
        <v>-108100</v>
      </c>
      <c r="P3" s="37">
        <v>40</v>
      </c>
    </row>
    <row r="4" spans="1:16" x14ac:dyDescent="0.4">
      <c r="A4" s="58" t="s">
        <v>6</v>
      </c>
      <c r="B4" s="90">
        <v>-189.1</v>
      </c>
      <c r="C4" s="91"/>
      <c r="E4" s="68" t="s">
        <v>71</v>
      </c>
      <c r="F4" s="64" t="s">
        <v>25</v>
      </c>
      <c r="G4" s="50">
        <v>19</v>
      </c>
      <c r="H4" s="27">
        <f>IF(B$25=0,0,G4/B$25)</f>
        <v>0.59375</v>
      </c>
      <c r="J4" s="26">
        <v>2</v>
      </c>
      <c r="K4" s="28">
        <v>58.5</v>
      </c>
      <c r="M4" s="26" t="s">
        <v>200</v>
      </c>
      <c r="N4" s="45">
        <f t="shared" si="0"/>
        <v>-1306.060606060606</v>
      </c>
      <c r="O4" s="42">
        <v>-43100</v>
      </c>
      <c r="P4" s="37">
        <v>33</v>
      </c>
    </row>
    <row r="5" spans="1:16" x14ac:dyDescent="0.4">
      <c r="A5" s="58" t="s">
        <v>7</v>
      </c>
      <c r="B5" s="90">
        <f>IF(B$2=0,0,B$4/B$2)</f>
        <v>-4.3976744186046508</v>
      </c>
      <c r="C5" s="91"/>
      <c r="E5" s="68" t="s">
        <v>69</v>
      </c>
      <c r="F5" s="64" t="s">
        <v>23</v>
      </c>
      <c r="G5" s="50">
        <v>11</v>
      </c>
      <c r="H5" s="27">
        <f>IF(B$25=0,0,G5/B$25)</f>
        <v>0.34375</v>
      </c>
      <c r="J5" s="26">
        <v>3</v>
      </c>
      <c r="K5" s="28">
        <v>82.1</v>
      </c>
      <c r="M5" s="26" t="s">
        <v>201</v>
      </c>
      <c r="N5" s="45">
        <f t="shared" si="0"/>
        <v>2787.0967741935483</v>
      </c>
      <c r="O5" s="42">
        <v>86400</v>
      </c>
      <c r="P5" s="37">
        <v>31</v>
      </c>
    </row>
    <row r="6" spans="1:16" x14ac:dyDescent="0.4">
      <c r="A6" s="58" t="s">
        <v>1</v>
      </c>
      <c r="B6" s="92">
        <f>IF(B$2=0,0,(B$7*1+B$8*2+B$9*3)/B$2)</f>
        <v>2.13953488372093</v>
      </c>
      <c r="C6" s="93"/>
      <c r="E6" s="68" t="s">
        <v>70</v>
      </c>
      <c r="F6" s="64" t="s">
        <v>24</v>
      </c>
      <c r="G6" s="50">
        <v>5</v>
      </c>
      <c r="H6" s="27">
        <f>IF(B$25=0,0,G6/B$25)</f>
        <v>0.15625</v>
      </c>
      <c r="J6" s="26">
        <v>4</v>
      </c>
      <c r="K6" s="28">
        <v>58.199999999999996</v>
      </c>
      <c r="M6" s="26" t="s">
        <v>202</v>
      </c>
      <c r="N6" s="45">
        <f t="shared" si="0"/>
        <v>-1600</v>
      </c>
      <c r="O6" s="42">
        <v>-38400</v>
      </c>
      <c r="P6" s="37">
        <v>24</v>
      </c>
    </row>
    <row r="7" spans="1:16" x14ac:dyDescent="0.4">
      <c r="A7" s="58" t="s">
        <v>2</v>
      </c>
      <c r="B7" s="50">
        <v>10</v>
      </c>
      <c r="C7" s="27">
        <f>IF(B$2=0,0,B7/B$2)</f>
        <v>0.23255813953488372</v>
      </c>
      <c r="E7" s="68" t="s">
        <v>74</v>
      </c>
      <c r="F7" s="64" t="s">
        <v>12</v>
      </c>
      <c r="G7" s="50">
        <v>4</v>
      </c>
      <c r="H7" s="27">
        <f>IF(B$25=0,0,G7/B$25)</f>
        <v>0.125</v>
      </c>
      <c r="J7" s="26">
        <v>5</v>
      </c>
      <c r="K7" s="28">
        <v>124.19999999999999</v>
      </c>
      <c r="M7" s="31" t="s">
        <v>203</v>
      </c>
      <c r="N7" s="46">
        <f t="shared" si="0"/>
        <v>270</v>
      </c>
      <c r="O7" s="43">
        <v>5400</v>
      </c>
      <c r="P7" s="38">
        <v>20</v>
      </c>
    </row>
    <row r="8" spans="1:16" x14ac:dyDescent="0.4">
      <c r="A8" s="58" t="s">
        <v>3</v>
      </c>
      <c r="B8" s="50">
        <v>17</v>
      </c>
      <c r="C8" s="27">
        <f t="shared" ref="C8:C9" si="1">IF(B$2=0,0,B8/B$2)</f>
        <v>0.39534883720930231</v>
      </c>
      <c r="E8" s="68" t="s">
        <v>72</v>
      </c>
      <c r="F8" s="64" t="s">
        <v>26</v>
      </c>
      <c r="G8" s="50">
        <v>3</v>
      </c>
      <c r="H8" s="27">
        <f>IF(B$25=0,0,G8/B$25)</f>
        <v>9.375E-2</v>
      </c>
      <c r="J8" s="26">
        <v>6</v>
      </c>
      <c r="K8" s="28">
        <v>125.69999999999999</v>
      </c>
    </row>
    <row r="9" spans="1:16" x14ac:dyDescent="0.4">
      <c r="A9" s="59" t="s">
        <v>4</v>
      </c>
      <c r="B9" s="51">
        <v>16</v>
      </c>
      <c r="C9" s="29">
        <f t="shared" si="1"/>
        <v>0.37209302325581395</v>
      </c>
      <c r="E9" s="68" t="s">
        <v>75</v>
      </c>
      <c r="F9" s="64" t="s">
        <v>28</v>
      </c>
      <c r="G9" s="50">
        <v>3</v>
      </c>
      <c r="H9" s="27">
        <f>IF(B$25=0,0,G9/B$25)</f>
        <v>9.375E-2</v>
      </c>
      <c r="J9" s="26">
        <v>7</v>
      </c>
      <c r="K9" s="28">
        <v>129.5</v>
      </c>
    </row>
    <row r="10" spans="1:16" x14ac:dyDescent="0.4">
      <c r="A10" s="59" t="s">
        <v>21</v>
      </c>
      <c r="B10" s="51">
        <v>7</v>
      </c>
      <c r="C10" s="29">
        <f>IF(B$2=0,0,B10/B$2)</f>
        <v>0.16279069767441862</v>
      </c>
      <c r="E10" s="68" t="s">
        <v>96</v>
      </c>
      <c r="F10" s="64" t="s">
        <v>49</v>
      </c>
      <c r="G10" s="50">
        <v>3</v>
      </c>
      <c r="H10" s="27">
        <f>IF(B$25=0,0,G10/B$25)</f>
        <v>9.375E-2</v>
      </c>
      <c r="J10" s="26">
        <v>8</v>
      </c>
      <c r="K10" s="28">
        <v>97</v>
      </c>
    </row>
    <row r="11" spans="1:16" x14ac:dyDescent="0.4">
      <c r="A11" s="60" t="s">
        <v>208</v>
      </c>
      <c r="B11" s="52">
        <v>7</v>
      </c>
      <c r="C11" s="32">
        <f>IF(B$2=0,0,B11/B$2)</f>
        <v>0.16279069767441862</v>
      </c>
      <c r="E11" s="68" t="s">
        <v>84</v>
      </c>
      <c r="F11" s="64" t="s">
        <v>37</v>
      </c>
      <c r="G11" s="50">
        <v>2</v>
      </c>
      <c r="H11" s="27">
        <f>IF(B$25=0,0,G11/B$25)</f>
        <v>6.25E-2</v>
      </c>
      <c r="J11" s="26">
        <v>9</v>
      </c>
      <c r="K11" s="28">
        <v>83.3</v>
      </c>
    </row>
    <row r="12" spans="1:16" x14ac:dyDescent="0.4">
      <c r="A12" s="61" t="s">
        <v>130</v>
      </c>
      <c r="B12" s="53">
        <v>30</v>
      </c>
      <c r="C12" s="35">
        <f>IF(B$24=0,0,B12/B$24)</f>
        <v>0.21428571428571427</v>
      </c>
      <c r="E12" s="68" t="s">
        <v>85</v>
      </c>
      <c r="F12" s="64" t="s">
        <v>38</v>
      </c>
      <c r="G12" s="50">
        <v>2</v>
      </c>
      <c r="H12" s="27">
        <f>IF(B$25=0,0,G12/B$25)</f>
        <v>6.25E-2</v>
      </c>
      <c r="J12" s="26">
        <v>10</v>
      </c>
      <c r="K12" s="28">
        <v>111</v>
      </c>
    </row>
    <row r="13" spans="1:16" x14ac:dyDescent="0.4">
      <c r="A13" s="58" t="s">
        <v>125</v>
      </c>
      <c r="B13" s="50">
        <v>42</v>
      </c>
      <c r="C13" s="27">
        <f>IF(B$24=0,0,B13/B$24)</f>
        <v>0.3</v>
      </c>
      <c r="E13" s="68" t="s">
        <v>93</v>
      </c>
      <c r="F13" s="64" t="s">
        <v>46</v>
      </c>
      <c r="G13" s="50">
        <v>2</v>
      </c>
      <c r="H13" s="27">
        <f>IF(B$25=0,0,G13/B$25)</f>
        <v>6.25E-2</v>
      </c>
      <c r="J13" s="26">
        <v>11</v>
      </c>
      <c r="K13" s="28">
        <v>138.69999999999999</v>
      </c>
    </row>
    <row r="14" spans="1:16" x14ac:dyDescent="0.4">
      <c r="A14" s="57" t="s">
        <v>132</v>
      </c>
      <c r="B14" s="49">
        <v>10</v>
      </c>
      <c r="C14" s="24">
        <f>IF(B$12=0,0,B14/B$12)</f>
        <v>0.33333333333333331</v>
      </c>
      <c r="E14" s="68" t="s">
        <v>76</v>
      </c>
      <c r="F14" s="64" t="s">
        <v>29</v>
      </c>
      <c r="G14" s="50">
        <v>1</v>
      </c>
      <c r="H14" s="27">
        <f>IF(B$25=0,0,G14/B$25)</f>
        <v>3.125E-2</v>
      </c>
      <c r="J14" s="26">
        <v>12</v>
      </c>
      <c r="K14" s="28">
        <v>99.799999999999983</v>
      </c>
    </row>
    <row r="15" spans="1:16" x14ac:dyDescent="0.4">
      <c r="A15" s="57" t="s">
        <v>133</v>
      </c>
      <c r="B15" s="49">
        <v>16</v>
      </c>
      <c r="C15" s="24">
        <f>IF(B$13=0,0,B15/B$13)</f>
        <v>0.38095238095238093</v>
      </c>
      <c r="E15" s="68" t="s">
        <v>77</v>
      </c>
      <c r="F15" s="64" t="s">
        <v>30</v>
      </c>
      <c r="G15" s="50">
        <v>1</v>
      </c>
      <c r="H15" s="27">
        <f>IF(B$25=0,0,G15/B$25)</f>
        <v>3.125E-2</v>
      </c>
      <c r="J15" s="26">
        <v>13</v>
      </c>
      <c r="K15" s="28">
        <v>61.799999999999983</v>
      </c>
    </row>
    <row r="16" spans="1:16" x14ac:dyDescent="0.4">
      <c r="A16" s="57" t="s">
        <v>10</v>
      </c>
      <c r="B16" s="49">
        <f>B17+B18</f>
        <v>86</v>
      </c>
      <c r="C16" s="24">
        <f>IF(B$3=0,0,B16/B$3)</f>
        <v>0.26299694189602446</v>
      </c>
      <c r="E16" s="68" t="s">
        <v>81</v>
      </c>
      <c r="F16" s="64" t="s">
        <v>34</v>
      </c>
      <c r="G16" s="50">
        <v>1</v>
      </c>
      <c r="H16" s="27">
        <f>IF(B$25=0,0,G16/B$25)</f>
        <v>3.125E-2</v>
      </c>
      <c r="J16" s="26">
        <v>14</v>
      </c>
      <c r="K16" s="28">
        <v>41.499999999999986</v>
      </c>
    </row>
    <row r="17" spans="1:11" x14ac:dyDescent="0.4">
      <c r="A17" s="58" t="s">
        <v>11</v>
      </c>
      <c r="B17" s="50">
        <v>51</v>
      </c>
      <c r="C17" s="27">
        <f>IF(B$3=0,0,B17/B$3)</f>
        <v>0.15596330275229359</v>
      </c>
      <c r="E17" s="68" t="s">
        <v>88</v>
      </c>
      <c r="F17" s="64" t="s">
        <v>41</v>
      </c>
      <c r="G17" s="50">
        <v>1</v>
      </c>
      <c r="H17" s="27">
        <f>IF(B$25=0,0,G17/B$25)</f>
        <v>3.125E-2</v>
      </c>
      <c r="J17" s="26">
        <v>15</v>
      </c>
      <c r="K17" s="28">
        <v>32.999999999999986</v>
      </c>
    </row>
    <row r="18" spans="1:11" x14ac:dyDescent="0.4">
      <c r="A18" s="58" t="s">
        <v>12</v>
      </c>
      <c r="B18" s="50">
        <v>35</v>
      </c>
      <c r="C18" s="27">
        <f>IF(B$3=0,0,B18/B$3)</f>
        <v>0.10703363914373089</v>
      </c>
      <c r="E18" s="68" t="s">
        <v>90</v>
      </c>
      <c r="F18" s="64" t="s">
        <v>43</v>
      </c>
      <c r="G18" s="50">
        <v>1</v>
      </c>
      <c r="H18" s="27">
        <f>IF(B$25=0,0,G18/B$25)</f>
        <v>3.125E-2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66</v>
      </c>
      <c r="C19" s="27">
        <f>IF(B$3=0,0,B19/B$3)</f>
        <v>0.20183486238532111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58" t="s">
        <v>5</v>
      </c>
      <c r="B20" s="54">
        <f>IF(B$16=0,0,C20/B$16)</f>
        <v>9869.7674418604656</v>
      </c>
      <c r="C20" s="30">
        <v>848800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60" t="s">
        <v>14</v>
      </c>
      <c r="B21" s="55">
        <f>IF(B$19=0,0,C21/B$19)</f>
        <v>-8125.757575757576</v>
      </c>
      <c r="C21" s="48">
        <v>-536300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57" t="s">
        <v>195</v>
      </c>
      <c r="B22" s="49">
        <v>91</v>
      </c>
      <c r="C22" s="24">
        <f>IF(B$3=0,0,B22/B$3)</f>
        <v>0.27828746177370028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196</v>
      </c>
      <c r="B23" s="52">
        <v>35</v>
      </c>
      <c r="C23" s="32">
        <f>IF(B$22=0,0,B23/B$22)</f>
        <v>0.38461538461538464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57" t="s">
        <v>128</v>
      </c>
      <c r="B24" s="80">
        <v>140</v>
      </c>
      <c r="C24" s="81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60" t="s">
        <v>129</v>
      </c>
      <c r="B25" s="82">
        <v>32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A26" s="56" t="s">
        <v>231</v>
      </c>
      <c r="B26" s="84">
        <v>5</v>
      </c>
      <c r="C26" s="85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-122.80000000000001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-173.4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-189.1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99D1C-D39F-46E3-90D8-90761A8E673A}">
  <sheetPr codeName="Sheet11"/>
  <dimension ref="A1:P53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6" t="s">
        <v>190</v>
      </c>
      <c r="C1" s="87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51</v>
      </c>
      <c r="C2" s="81"/>
      <c r="E2" s="67" t="s">
        <v>73</v>
      </c>
      <c r="F2" s="63" t="s">
        <v>27</v>
      </c>
      <c r="G2" s="49">
        <v>76</v>
      </c>
      <c r="H2" s="24">
        <f>IF(B$25=0,0,G2/B$25)</f>
        <v>0.90476190476190477</v>
      </c>
      <c r="J2" s="23">
        <v>0</v>
      </c>
      <c r="K2" s="25">
        <v>0</v>
      </c>
      <c r="M2" s="23" t="s">
        <v>198</v>
      </c>
      <c r="N2" s="44">
        <f t="shared" ref="N2:N7" si="0">IF(P2=0,0,O2/P2)</f>
        <v>3357.1428571428573</v>
      </c>
      <c r="O2" s="41">
        <v>164500</v>
      </c>
      <c r="P2" s="39">
        <v>49</v>
      </c>
    </row>
    <row r="3" spans="1:16" x14ac:dyDescent="0.4">
      <c r="A3" s="58" t="s">
        <v>8</v>
      </c>
      <c r="B3" s="88">
        <v>390</v>
      </c>
      <c r="C3" s="89"/>
      <c r="E3" s="68" t="s">
        <v>71</v>
      </c>
      <c r="F3" s="64" t="s">
        <v>25</v>
      </c>
      <c r="G3" s="50">
        <v>75</v>
      </c>
      <c r="H3" s="27">
        <f>IF(B$25=0,0,G3/B$25)</f>
        <v>0.8928571428571429</v>
      </c>
      <c r="J3" s="26">
        <v>1</v>
      </c>
      <c r="K3" s="28">
        <v>-36.700000000000003</v>
      </c>
      <c r="M3" s="26" t="s">
        <v>199</v>
      </c>
      <c r="N3" s="45">
        <f t="shared" si="0"/>
        <v>-45.652173913043477</v>
      </c>
      <c r="O3" s="42">
        <v>-2100</v>
      </c>
      <c r="P3" s="37">
        <v>46</v>
      </c>
    </row>
    <row r="4" spans="1:16" x14ac:dyDescent="0.4">
      <c r="A4" s="58" t="s">
        <v>6</v>
      </c>
      <c r="B4" s="90">
        <v>166.69999999999996</v>
      </c>
      <c r="C4" s="91"/>
      <c r="E4" s="68" t="s">
        <v>69</v>
      </c>
      <c r="F4" s="64" t="s">
        <v>23</v>
      </c>
      <c r="G4" s="50">
        <v>52</v>
      </c>
      <c r="H4" s="27">
        <f>IF(B$25=0,0,G4/B$25)</f>
        <v>0.61904761904761907</v>
      </c>
      <c r="J4" s="26">
        <v>2</v>
      </c>
      <c r="K4" s="28">
        <v>-45.300000000000004</v>
      </c>
      <c r="M4" s="26" t="s">
        <v>200</v>
      </c>
      <c r="N4" s="45">
        <f t="shared" si="0"/>
        <v>-26.19047619047619</v>
      </c>
      <c r="O4" s="42">
        <v>-1100</v>
      </c>
      <c r="P4" s="37">
        <v>42</v>
      </c>
    </row>
    <row r="5" spans="1:16" x14ac:dyDescent="0.4">
      <c r="A5" s="58" t="s">
        <v>7</v>
      </c>
      <c r="B5" s="90">
        <f>IF(B$2=0,0,B$4/B$2)</f>
        <v>3.2686274509803912</v>
      </c>
      <c r="C5" s="91"/>
      <c r="E5" s="68" t="s">
        <v>78</v>
      </c>
      <c r="F5" s="64" t="s">
        <v>31</v>
      </c>
      <c r="G5" s="50">
        <v>49</v>
      </c>
      <c r="H5" s="27">
        <f>IF(B$25=0,0,G5/B$25)</f>
        <v>0.58333333333333337</v>
      </c>
      <c r="J5" s="26">
        <v>3</v>
      </c>
      <c r="K5" s="28">
        <v>-81.7</v>
      </c>
      <c r="M5" s="26" t="s">
        <v>201</v>
      </c>
      <c r="N5" s="45">
        <f t="shared" si="0"/>
        <v>-1146.1538461538462</v>
      </c>
      <c r="O5" s="42">
        <v>-44700</v>
      </c>
      <c r="P5" s="37">
        <v>39</v>
      </c>
    </row>
    <row r="6" spans="1:16" x14ac:dyDescent="0.4">
      <c r="A6" s="58" t="s">
        <v>1</v>
      </c>
      <c r="B6" s="92">
        <f>IF(B$2=0,0,(B$7*1+B$8*2+B$9*3)/B$2)</f>
        <v>1.9215686274509804</v>
      </c>
      <c r="C6" s="93"/>
      <c r="E6" s="68" t="s">
        <v>72</v>
      </c>
      <c r="F6" s="64" t="s">
        <v>26</v>
      </c>
      <c r="G6" s="50">
        <v>29</v>
      </c>
      <c r="H6" s="27">
        <f>IF(B$25=0,0,G6/B$25)</f>
        <v>0.34523809523809523</v>
      </c>
      <c r="J6" s="26">
        <v>4</v>
      </c>
      <c r="K6" s="28">
        <v>-113.80000000000001</v>
      </c>
      <c r="M6" s="26" t="s">
        <v>202</v>
      </c>
      <c r="N6" s="45">
        <f t="shared" si="0"/>
        <v>1250</v>
      </c>
      <c r="O6" s="42">
        <v>37500</v>
      </c>
      <c r="P6" s="37">
        <v>30</v>
      </c>
    </row>
    <row r="7" spans="1:16" x14ac:dyDescent="0.4">
      <c r="A7" s="58" t="s">
        <v>2</v>
      </c>
      <c r="B7" s="50">
        <v>20</v>
      </c>
      <c r="C7" s="27">
        <f>IF(B$2=0,0,B7/B$2)</f>
        <v>0.39215686274509803</v>
      </c>
      <c r="E7" s="68" t="s">
        <v>74</v>
      </c>
      <c r="F7" s="64" t="s">
        <v>12</v>
      </c>
      <c r="G7" s="50">
        <v>26</v>
      </c>
      <c r="H7" s="27">
        <f>IF(B$25=0,0,G7/B$25)</f>
        <v>0.30952380952380953</v>
      </c>
      <c r="J7" s="26">
        <v>5</v>
      </c>
      <c r="K7" s="28">
        <v>-135.80000000000001</v>
      </c>
      <c r="M7" s="31" t="s">
        <v>203</v>
      </c>
      <c r="N7" s="46">
        <f t="shared" si="0"/>
        <v>-1080.7692307692307</v>
      </c>
      <c r="O7" s="43">
        <v>-28100</v>
      </c>
      <c r="P7" s="38">
        <v>26</v>
      </c>
    </row>
    <row r="8" spans="1:16" x14ac:dyDescent="0.4">
      <c r="A8" s="58" t="s">
        <v>3</v>
      </c>
      <c r="B8" s="50">
        <v>15</v>
      </c>
      <c r="C8" s="27">
        <f t="shared" ref="C8:C9" si="1">IF(B$2=0,0,B8/B$2)</f>
        <v>0.29411764705882354</v>
      </c>
      <c r="E8" s="68" t="s">
        <v>75</v>
      </c>
      <c r="F8" s="64" t="s">
        <v>28</v>
      </c>
      <c r="G8" s="50">
        <v>17</v>
      </c>
      <c r="H8" s="27">
        <f>IF(B$25=0,0,G8/B$25)</f>
        <v>0.20238095238095238</v>
      </c>
      <c r="J8" s="26">
        <v>6</v>
      </c>
      <c r="K8" s="28">
        <v>-100.30000000000001</v>
      </c>
    </row>
    <row r="9" spans="1:16" x14ac:dyDescent="0.4">
      <c r="A9" s="59" t="s">
        <v>4</v>
      </c>
      <c r="B9" s="51">
        <v>16</v>
      </c>
      <c r="C9" s="29">
        <f t="shared" si="1"/>
        <v>0.31372549019607843</v>
      </c>
      <c r="E9" s="68" t="s">
        <v>70</v>
      </c>
      <c r="F9" s="64" t="s">
        <v>24</v>
      </c>
      <c r="G9" s="50">
        <v>12</v>
      </c>
      <c r="H9" s="27">
        <f>IF(B$25=0,0,G9/B$25)</f>
        <v>0.14285714285714285</v>
      </c>
      <c r="J9" s="26">
        <v>7</v>
      </c>
      <c r="K9" s="28">
        <v>-105.70000000000002</v>
      </c>
    </row>
    <row r="10" spans="1:16" x14ac:dyDescent="0.4">
      <c r="A10" s="59" t="s">
        <v>21</v>
      </c>
      <c r="B10" s="51">
        <v>8</v>
      </c>
      <c r="C10" s="29">
        <f>IF(B$2=0,0,B10/B$2)</f>
        <v>0.15686274509803921</v>
      </c>
      <c r="E10" s="68" t="s">
        <v>96</v>
      </c>
      <c r="F10" s="64" t="s">
        <v>49</v>
      </c>
      <c r="G10" s="50">
        <v>11</v>
      </c>
      <c r="H10" s="27">
        <f>IF(B$25=0,0,G10/B$25)</f>
        <v>0.13095238095238096</v>
      </c>
      <c r="J10" s="26">
        <v>8</v>
      </c>
      <c r="K10" s="28">
        <v>-51.800000000000018</v>
      </c>
    </row>
    <row r="11" spans="1:16" x14ac:dyDescent="0.4">
      <c r="A11" s="60" t="s">
        <v>208</v>
      </c>
      <c r="B11" s="52">
        <v>10</v>
      </c>
      <c r="C11" s="32">
        <f>IF(B$2=0,0,B11/B$2)</f>
        <v>0.19607843137254902</v>
      </c>
      <c r="E11" s="68" t="s">
        <v>76</v>
      </c>
      <c r="F11" s="64" t="s">
        <v>29</v>
      </c>
      <c r="G11" s="50">
        <v>7</v>
      </c>
      <c r="H11" s="27">
        <f>IF(B$25=0,0,G11/B$25)</f>
        <v>8.3333333333333329E-2</v>
      </c>
      <c r="J11" s="26">
        <v>9</v>
      </c>
      <c r="K11" s="28">
        <v>-53.000000000000021</v>
      </c>
    </row>
    <row r="12" spans="1:16" x14ac:dyDescent="0.4">
      <c r="A12" s="61" t="s">
        <v>130</v>
      </c>
      <c r="B12" s="53">
        <v>87</v>
      </c>
      <c r="C12" s="35">
        <f>IF(B$24=0,0,B12/B$24)</f>
        <v>0.33852140077821014</v>
      </c>
      <c r="E12" s="68" t="s">
        <v>77</v>
      </c>
      <c r="F12" s="64" t="s">
        <v>30</v>
      </c>
      <c r="G12" s="50">
        <v>6</v>
      </c>
      <c r="H12" s="27">
        <f>IF(B$25=0,0,G12/B$25)</f>
        <v>7.1428571428571425E-2</v>
      </c>
      <c r="J12" s="26">
        <v>10</v>
      </c>
      <c r="K12" s="28">
        <v>-72.300000000000026</v>
      </c>
    </row>
    <row r="13" spans="1:16" x14ac:dyDescent="0.4">
      <c r="A13" s="58" t="s">
        <v>125</v>
      </c>
      <c r="B13" s="50">
        <v>60</v>
      </c>
      <c r="C13" s="27">
        <f>IF(B$24=0,0,B13/B$24)</f>
        <v>0.23346303501945526</v>
      </c>
      <c r="E13" s="68" t="s">
        <v>93</v>
      </c>
      <c r="F13" s="64" t="s">
        <v>46</v>
      </c>
      <c r="G13" s="50">
        <v>5</v>
      </c>
      <c r="H13" s="27">
        <f>IF(B$25=0,0,G13/B$25)</f>
        <v>5.9523809523809521E-2</v>
      </c>
      <c r="J13" s="26">
        <v>11</v>
      </c>
      <c r="K13" s="28">
        <v>-91.600000000000023</v>
      </c>
    </row>
    <row r="14" spans="1:16" x14ac:dyDescent="0.4">
      <c r="A14" s="57" t="s">
        <v>132</v>
      </c>
      <c r="B14" s="49">
        <v>53</v>
      </c>
      <c r="C14" s="24">
        <f>IF(B$12=0,0,B14/B$12)</f>
        <v>0.60919540229885061</v>
      </c>
      <c r="E14" s="68" t="s">
        <v>84</v>
      </c>
      <c r="F14" s="64" t="s">
        <v>37</v>
      </c>
      <c r="G14" s="50">
        <v>4</v>
      </c>
      <c r="H14" s="27">
        <f>IF(B$25=0,0,G14/B$25)</f>
        <v>4.7619047619047616E-2</v>
      </c>
      <c r="J14" s="26">
        <v>12</v>
      </c>
      <c r="K14" s="28">
        <v>-88.600000000000023</v>
      </c>
    </row>
    <row r="15" spans="1:16" x14ac:dyDescent="0.4">
      <c r="A15" s="57" t="s">
        <v>133</v>
      </c>
      <c r="B15" s="49">
        <v>23</v>
      </c>
      <c r="C15" s="24">
        <f>IF(B$13=0,0,B15/B$13)</f>
        <v>0.38333333333333336</v>
      </c>
      <c r="E15" s="68" t="s">
        <v>88</v>
      </c>
      <c r="F15" s="64" t="s">
        <v>41</v>
      </c>
      <c r="G15" s="50">
        <v>2</v>
      </c>
      <c r="H15" s="27">
        <f>IF(B$25=0,0,G15/B$25)</f>
        <v>2.3809523809523808E-2</v>
      </c>
      <c r="J15" s="26">
        <v>13</v>
      </c>
      <c r="K15" s="28">
        <v>-73.100000000000023</v>
      </c>
    </row>
    <row r="16" spans="1:16" x14ac:dyDescent="0.4">
      <c r="A16" s="57" t="s">
        <v>10</v>
      </c>
      <c r="B16" s="49">
        <f>B17+B18</f>
        <v>122</v>
      </c>
      <c r="C16" s="24">
        <f>IF(B$3=0,0,B16/B$3)</f>
        <v>0.31282051282051282</v>
      </c>
      <c r="E16" s="68" t="s">
        <v>80</v>
      </c>
      <c r="F16" s="64" t="s">
        <v>33</v>
      </c>
      <c r="G16" s="50">
        <v>1</v>
      </c>
      <c r="H16" s="27">
        <f>IF(B$25=0,0,G16/B$25)</f>
        <v>1.1904761904761904E-2</v>
      </c>
      <c r="J16" s="26">
        <v>14</v>
      </c>
      <c r="K16" s="28">
        <v>-62.000000000000021</v>
      </c>
    </row>
    <row r="17" spans="1:11" x14ac:dyDescent="0.4">
      <c r="A17" s="58" t="s">
        <v>11</v>
      </c>
      <c r="B17" s="50">
        <v>73</v>
      </c>
      <c r="C17" s="27">
        <f>IF(B$3=0,0,B17/B$3)</f>
        <v>0.18717948717948718</v>
      </c>
      <c r="E17" s="68" t="s">
        <v>90</v>
      </c>
      <c r="F17" s="64" t="s">
        <v>43</v>
      </c>
      <c r="G17" s="50">
        <v>1</v>
      </c>
      <c r="H17" s="27">
        <f>IF(B$25=0,0,G17/B$25)</f>
        <v>1.1904761904761904E-2</v>
      </c>
      <c r="J17" s="26">
        <v>15</v>
      </c>
      <c r="K17" s="28">
        <v>-69.200000000000017</v>
      </c>
    </row>
    <row r="18" spans="1:11" x14ac:dyDescent="0.4">
      <c r="A18" s="58" t="s">
        <v>12</v>
      </c>
      <c r="B18" s="50">
        <v>49</v>
      </c>
      <c r="C18" s="27">
        <f>IF(B$3=0,0,B18/B$3)</f>
        <v>0.12564102564102564</v>
      </c>
      <c r="E18" s="68" t="s">
        <v>91</v>
      </c>
      <c r="F18" s="64" t="s">
        <v>44</v>
      </c>
      <c r="G18" s="50">
        <v>1</v>
      </c>
      <c r="H18" s="27">
        <f>IF(B$25=0,0,G18/B$25)</f>
        <v>1.1904761904761904E-2</v>
      </c>
      <c r="J18" s="26">
        <v>16</v>
      </c>
      <c r="K18" s="28">
        <v>5.0999999999999801</v>
      </c>
    </row>
    <row r="19" spans="1:11" x14ac:dyDescent="0.4">
      <c r="A19" s="58" t="s">
        <v>13</v>
      </c>
      <c r="B19" s="50">
        <v>64</v>
      </c>
      <c r="C19" s="27">
        <f>IF(B$3=0,0,B19/B$3)</f>
        <v>0.1641025641025641</v>
      </c>
      <c r="E19" s="68" t="s">
        <v>98</v>
      </c>
      <c r="F19" s="64" t="s">
        <v>51</v>
      </c>
      <c r="G19" s="50">
        <v>1</v>
      </c>
      <c r="H19" s="27">
        <f>IF(B$25=0,0,G19/B$25)</f>
        <v>1.1904761904761904E-2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10903.27868852459</v>
      </c>
      <c r="C20" s="30">
        <v>1330200</v>
      </c>
      <c r="E20" s="68" t="s">
        <v>79</v>
      </c>
      <c r="F20" s="64" t="s">
        <v>32</v>
      </c>
      <c r="G20" s="50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-9809.375</v>
      </c>
      <c r="C21" s="48">
        <v>-627800</v>
      </c>
      <c r="E21" s="68" t="s">
        <v>81</v>
      </c>
      <c r="F21" s="64" t="s">
        <v>34</v>
      </c>
      <c r="G21" s="50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57" t="s">
        <v>195</v>
      </c>
      <c r="B22" s="49">
        <v>143</v>
      </c>
      <c r="C22" s="24">
        <f>IF(B$3=0,0,B22/B$3)</f>
        <v>0.36666666666666664</v>
      </c>
      <c r="E22" s="68" t="s">
        <v>82</v>
      </c>
      <c r="F22" s="64" t="s">
        <v>35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60" t="s">
        <v>196</v>
      </c>
      <c r="B23" s="52">
        <v>57</v>
      </c>
      <c r="C23" s="32">
        <f>IF(B$22=0,0,B23/B$22)</f>
        <v>0.39860139860139859</v>
      </c>
      <c r="E23" s="68" t="s">
        <v>83</v>
      </c>
      <c r="F23" s="64" t="s">
        <v>36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57" t="s">
        <v>128</v>
      </c>
      <c r="B24" s="80">
        <v>257</v>
      </c>
      <c r="C24" s="81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60" t="s">
        <v>129</v>
      </c>
      <c r="B25" s="82">
        <v>84</v>
      </c>
      <c r="C25" s="83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A26" s="56" t="s">
        <v>231</v>
      </c>
      <c r="B26" s="84">
        <v>9</v>
      </c>
      <c r="C26" s="85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  <row r="52" spans="5:11" x14ac:dyDescent="0.4">
      <c r="J52" s="26">
        <v>50</v>
      </c>
      <c r="K52" s="28">
        <v>193.09999999999997</v>
      </c>
    </row>
    <row r="53" spans="5:11" x14ac:dyDescent="0.4">
      <c r="J53" s="26">
        <v>51</v>
      </c>
      <c r="K53" s="28">
        <v>166.69999999999996</v>
      </c>
    </row>
  </sheetData>
  <sortState ref="E2:H53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CBFC0-CF26-4B65-A79B-0DDBB6057D48}">
  <sheetPr codeName="Sheet1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6" t="s">
        <v>192</v>
      </c>
      <c r="C1" s="87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12</v>
      </c>
      <c r="C2" s="8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">
      <c r="A3" s="58" t="s">
        <v>8</v>
      </c>
      <c r="B3" s="88">
        <v>82</v>
      </c>
      <c r="C3" s="89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199</v>
      </c>
      <c r="N3" s="45">
        <f t="shared" si="0"/>
        <v>2650</v>
      </c>
      <c r="O3" s="42">
        <v>26500</v>
      </c>
      <c r="P3" s="37">
        <v>10</v>
      </c>
    </row>
    <row r="4" spans="1:16" x14ac:dyDescent="0.4">
      <c r="A4" s="58" t="s">
        <v>6</v>
      </c>
      <c r="B4" s="90">
        <v>80.800000000000011</v>
      </c>
      <c r="C4" s="91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200</v>
      </c>
      <c r="N4" s="45">
        <f t="shared" si="0"/>
        <v>-900</v>
      </c>
      <c r="O4" s="42">
        <v>-7200</v>
      </c>
      <c r="P4" s="37">
        <v>8</v>
      </c>
    </row>
    <row r="5" spans="1:16" x14ac:dyDescent="0.4">
      <c r="A5" s="58" t="s">
        <v>7</v>
      </c>
      <c r="B5" s="90">
        <f>IF(B$2=0,0,B$4/B$2)</f>
        <v>6.7333333333333343</v>
      </c>
      <c r="C5" s="91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201</v>
      </c>
      <c r="N5" s="45">
        <f t="shared" si="0"/>
        <v>2062.5</v>
      </c>
      <c r="O5" s="42">
        <v>16500</v>
      </c>
      <c r="P5" s="37">
        <v>8</v>
      </c>
    </row>
    <row r="6" spans="1:16" x14ac:dyDescent="0.4">
      <c r="A6" s="58" t="s">
        <v>1</v>
      </c>
      <c r="B6" s="92">
        <f>IF(B$2=0,0,(B$7*1+B$8*2+B$9*3)/B$2)</f>
        <v>1.75</v>
      </c>
      <c r="C6" s="93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202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203</v>
      </c>
      <c r="N7" s="46">
        <f t="shared" si="0"/>
        <v>5325</v>
      </c>
      <c r="O7" s="43">
        <v>21300</v>
      </c>
      <c r="P7" s="38">
        <v>4</v>
      </c>
    </row>
    <row r="8" spans="1:16" x14ac:dyDescent="0.4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60" t="s">
        <v>208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15</v>
      </c>
      <c r="C17" s="27">
        <f>IF(B$3=0,0,B17/B$3)</f>
        <v>0.18292682926829268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13</v>
      </c>
      <c r="C18" s="27">
        <f>IF(B$3=0,0,B18/B$3)</f>
        <v>0.15853658536585366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0</v>
      </c>
      <c r="C24" s="8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4">
        <v>0</v>
      </c>
      <c r="C26" s="85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D577B-CA0B-479D-9129-65C4EDA8D123}">
  <sheetPr codeName="Sheet13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6" t="s">
        <v>193</v>
      </c>
      <c r="C1" s="87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47</v>
      </c>
      <c r="C2" s="81"/>
      <c r="E2" s="67" t="s">
        <v>73</v>
      </c>
      <c r="F2" s="63" t="s">
        <v>27</v>
      </c>
      <c r="G2" s="49">
        <v>86</v>
      </c>
      <c r="H2" s="24">
        <f>IF(B$25=0,0,G2/B$25)</f>
        <v>0.93478260869565222</v>
      </c>
      <c r="J2" s="23">
        <v>0</v>
      </c>
      <c r="K2" s="25">
        <v>0</v>
      </c>
      <c r="M2" s="23" t="s">
        <v>198</v>
      </c>
      <c r="N2" s="44">
        <f t="shared" ref="N2:N7" si="0">IF(P2=0,0,O2/P2)</f>
        <v>-3048.8372093023254</v>
      </c>
      <c r="O2" s="41">
        <v>-131100</v>
      </c>
      <c r="P2" s="39">
        <v>43</v>
      </c>
    </row>
    <row r="3" spans="1:16" x14ac:dyDescent="0.4">
      <c r="A3" s="58" t="s">
        <v>8</v>
      </c>
      <c r="B3" s="88">
        <v>351</v>
      </c>
      <c r="C3" s="89"/>
      <c r="E3" s="68" t="s">
        <v>78</v>
      </c>
      <c r="F3" s="64" t="s">
        <v>31</v>
      </c>
      <c r="G3" s="50">
        <v>70</v>
      </c>
      <c r="H3" s="27">
        <f>IF(B$25=0,0,G3/B$25)</f>
        <v>0.76086956521739135</v>
      </c>
      <c r="J3" s="26">
        <v>1</v>
      </c>
      <c r="K3" s="28">
        <v>3.9</v>
      </c>
      <c r="M3" s="26" t="s">
        <v>199</v>
      </c>
      <c r="N3" s="45">
        <f t="shared" si="0"/>
        <v>-1379.0697674418604</v>
      </c>
      <c r="O3" s="42">
        <v>-59300</v>
      </c>
      <c r="P3" s="37">
        <v>43</v>
      </c>
    </row>
    <row r="4" spans="1:16" x14ac:dyDescent="0.4">
      <c r="A4" s="58" t="s">
        <v>6</v>
      </c>
      <c r="B4" s="90">
        <v>-350.69999999999993</v>
      </c>
      <c r="C4" s="91"/>
      <c r="E4" s="68" t="s">
        <v>71</v>
      </c>
      <c r="F4" s="64" t="s">
        <v>25</v>
      </c>
      <c r="G4" s="50">
        <v>67</v>
      </c>
      <c r="H4" s="27">
        <f>IF(B$25=0,0,G4/B$25)</f>
        <v>0.72826086956521741</v>
      </c>
      <c r="J4" s="26">
        <v>2</v>
      </c>
      <c r="K4" s="28">
        <v>-33.9</v>
      </c>
      <c r="M4" s="26" t="s">
        <v>200</v>
      </c>
      <c r="N4" s="45">
        <f t="shared" si="0"/>
        <v>-2356.4102564102564</v>
      </c>
      <c r="O4" s="42">
        <v>-91900</v>
      </c>
      <c r="P4" s="37">
        <v>39</v>
      </c>
    </row>
    <row r="5" spans="1:16" x14ac:dyDescent="0.4">
      <c r="A5" s="58" t="s">
        <v>7</v>
      </c>
      <c r="B5" s="90">
        <f>IF(B$2=0,0,B$4/B$2)</f>
        <v>-7.4617021276595734</v>
      </c>
      <c r="C5" s="91"/>
      <c r="E5" s="68" t="s">
        <v>69</v>
      </c>
      <c r="F5" s="64" t="s">
        <v>23</v>
      </c>
      <c r="G5" s="50">
        <v>53</v>
      </c>
      <c r="H5" s="27">
        <f>IF(B$25=0,0,G5/B$25)</f>
        <v>0.57608695652173914</v>
      </c>
      <c r="J5" s="26">
        <v>3</v>
      </c>
      <c r="K5" s="28">
        <v>-70.099999999999994</v>
      </c>
      <c r="M5" s="26" t="s">
        <v>201</v>
      </c>
      <c r="N5" s="45">
        <f t="shared" si="0"/>
        <v>-77.777777777777771</v>
      </c>
      <c r="O5" s="42">
        <v>-2800</v>
      </c>
      <c r="P5" s="37">
        <v>36</v>
      </c>
    </row>
    <row r="6" spans="1:16" x14ac:dyDescent="0.4">
      <c r="A6" s="58" t="s">
        <v>1</v>
      </c>
      <c r="B6" s="92">
        <f>IF(B$2=0,0,(B$7*1+B$8*2+B$9*3)/B$2)</f>
        <v>2.2127659574468086</v>
      </c>
      <c r="C6" s="93"/>
      <c r="E6" s="68" t="s">
        <v>72</v>
      </c>
      <c r="F6" s="64" t="s">
        <v>26</v>
      </c>
      <c r="G6" s="50">
        <v>41</v>
      </c>
      <c r="H6" s="27">
        <f>IF(B$25=0,0,G6/B$25)</f>
        <v>0.44565217391304346</v>
      </c>
      <c r="J6" s="26">
        <v>4</v>
      </c>
      <c r="K6" s="28">
        <v>-35.099999999999994</v>
      </c>
      <c r="M6" s="26" t="s">
        <v>202</v>
      </c>
      <c r="N6" s="45">
        <f t="shared" si="0"/>
        <v>-1856.25</v>
      </c>
      <c r="O6" s="42">
        <v>-59400</v>
      </c>
      <c r="P6" s="37">
        <v>32</v>
      </c>
    </row>
    <row r="7" spans="1:16" x14ac:dyDescent="0.4">
      <c r="A7" s="58" t="s">
        <v>2</v>
      </c>
      <c r="B7" s="50">
        <v>12</v>
      </c>
      <c r="C7" s="27">
        <f>IF(B$2=0,0,B7/B$2)</f>
        <v>0.25531914893617019</v>
      </c>
      <c r="E7" s="68" t="s">
        <v>74</v>
      </c>
      <c r="F7" s="64" t="s">
        <v>12</v>
      </c>
      <c r="G7" s="50">
        <v>30</v>
      </c>
      <c r="H7" s="27">
        <f>IF(B$25=0,0,G7/B$25)</f>
        <v>0.32608695652173914</v>
      </c>
      <c r="J7" s="26">
        <v>5</v>
      </c>
      <c r="K7" s="28">
        <v>-80.099999999999994</v>
      </c>
      <c r="M7" s="31" t="s">
        <v>203</v>
      </c>
      <c r="N7" s="46">
        <f t="shared" si="0"/>
        <v>4822.727272727273</v>
      </c>
      <c r="O7" s="43">
        <v>106100</v>
      </c>
      <c r="P7" s="38">
        <v>22</v>
      </c>
    </row>
    <row r="8" spans="1:16" x14ac:dyDescent="0.4">
      <c r="A8" s="58" t="s">
        <v>3</v>
      </c>
      <c r="B8" s="50">
        <v>13</v>
      </c>
      <c r="C8" s="27">
        <f t="shared" ref="C8:C9" si="1">IF(B$2=0,0,B8/B$2)</f>
        <v>0.27659574468085107</v>
      </c>
      <c r="E8" s="68" t="s">
        <v>96</v>
      </c>
      <c r="F8" s="64" t="s">
        <v>49</v>
      </c>
      <c r="G8" s="50">
        <v>15</v>
      </c>
      <c r="H8" s="27">
        <f>IF(B$25=0,0,G8/B$25)</f>
        <v>0.16304347826086957</v>
      </c>
      <c r="J8" s="26">
        <v>6</v>
      </c>
      <c r="K8" s="28">
        <v>-116.1</v>
      </c>
    </row>
    <row r="9" spans="1:16" x14ac:dyDescent="0.4">
      <c r="A9" s="59" t="s">
        <v>4</v>
      </c>
      <c r="B9" s="51">
        <v>22</v>
      </c>
      <c r="C9" s="29">
        <f t="shared" si="1"/>
        <v>0.46808510638297873</v>
      </c>
      <c r="E9" s="68" t="s">
        <v>75</v>
      </c>
      <c r="F9" s="64" t="s">
        <v>28</v>
      </c>
      <c r="G9" s="50">
        <v>14</v>
      </c>
      <c r="H9" s="27">
        <f>IF(B$25=0,0,G9/B$25)</f>
        <v>0.15217391304347827</v>
      </c>
      <c r="J9" s="26">
        <v>7</v>
      </c>
      <c r="K9" s="28">
        <v>-147.4</v>
      </c>
    </row>
    <row r="10" spans="1:16" x14ac:dyDescent="0.4">
      <c r="A10" s="59" t="s">
        <v>21</v>
      </c>
      <c r="B10" s="51">
        <v>11</v>
      </c>
      <c r="C10" s="29">
        <f>IF(B$2=0,0,B10/B$2)</f>
        <v>0.23404255319148937</v>
      </c>
      <c r="E10" s="68" t="s">
        <v>76</v>
      </c>
      <c r="F10" s="64" t="s">
        <v>29</v>
      </c>
      <c r="G10" s="50">
        <v>10</v>
      </c>
      <c r="H10" s="27">
        <f>IF(B$25=0,0,G10/B$25)</f>
        <v>0.10869565217391304</v>
      </c>
      <c r="J10" s="26">
        <v>8</v>
      </c>
      <c r="K10" s="28">
        <v>-146</v>
      </c>
    </row>
    <row r="11" spans="1:16" x14ac:dyDescent="0.4">
      <c r="A11" s="60" t="s">
        <v>208</v>
      </c>
      <c r="B11" s="52">
        <v>5</v>
      </c>
      <c r="C11" s="32">
        <f>IF(B$2=0,0,B11/B$2)</f>
        <v>0.10638297872340426</v>
      </c>
      <c r="E11" s="68" t="s">
        <v>70</v>
      </c>
      <c r="F11" s="64" t="s">
        <v>24</v>
      </c>
      <c r="G11" s="50">
        <v>8</v>
      </c>
      <c r="H11" s="27">
        <f>IF(B$25=0,0,G11/B$25)</f>
        <v>8.6956521739130432E-2</v>
      </c>
      <c r="J11" s="26">
        <v>9</v>
      </c>
      <c r="K11" s="28">
        <v>-173</v>
      </c>
    </row>
    <row r="12" spans="1:16" x14ac:dyDescent="0.4">
      <c r="A12" s="61" t="s">
        <v>130</v>
      </c>
      <c r="B12" s="53">
        <v>90</v>
      </c>
      <c r="C12" s="35">
        <f>IF(B$24=0,0,B12/B$24)</f>
        <v>0.28662420382165604</v>
      </c>
      <c r="E12" s="68" t="s">
        <v>84</v>
      </c>
      <c r="F12" s="64" t="s">
        <v>37</v>
      </c>
      <c r="G12" s="50">
        <v>6</v>
      </c>
      <c r="H12" s="27">
        <f>IF(B$25=0,0,G12/B$25)</f>
        <v>6.5217391304347824E-2</v>
      </c>
      <c r="J12" s="26">
        <v>10</v>
      </c>
      <c r="K12" s="28">
        <v>-206.1</v>
      </c>
    </row>
    <row r="13" spans="1:16" x14ac:dyDescent="0.4">
      <c r="A13" s="58" t="s">
        <v>125</v>
      </c>
      <c r="B13" s="50">
        <v>70</v>
      </c>
      <c r="C13" s="27">
        <f>IF(B$24=0,0,B13/B$24)</f>
        <v>0.22292993630573249</v>
      </c>
      <c r="E13" s="68" t="s">
        <v>93</v>
      </c>
      <c r="F13" s="64" t="s">
        <v>46</v>
      </c>
      <c r="G13" s="50">
        <v>5</v>
      </c>
      <c r="H13" s="27">
        <f>IF(B$25=0,0,G13/B$25)</f>
        <v>5.434782608695652E-2</v>
      </c>
      <c r="J13" s="26">
        <v>11</v>
      </c>
      <c r="K13" s="28">
        <v>-174</v>
      </c>
    </row>
    <row r="14" spans="1:16" x14ac:dyDescent="0.4">
      <c r="A14" s="57" t="s">
        <v>132</v>
      </c>
      <c r="B14" s="49">
        <v>56</v>
      </c>
      <c r="C14" s="24">
        <f>IF(B$12=0,0,B14/B$12)</f>
        <v>0.62222222222222223</v>
      </c>
      <c r="E14" s="68" t="s">
        <v>79</v>
      </c>
      <c r="F14" s="64" t="s">
        <v>32</v>
      </c>
      <c r="G14" s="50">
        <v>3</v>
      </c>
      <c r="H14" s="27">
        <f>IF(B$25=0,0,G14/B$25)</f>
        <v>3.2608695652173912E-2</v>
      </c>
      <c r="J14" s="26">
        <v>12</v>
      </c>
      <c r="K14" s="28">
        <v>-197</v>
      </c>
    </row>
    <row r="15" spans="1:16" x14ac:dyDescent="0.4">
      <c r="A15" s="57" t="s">
        <v>133</v>
      </c>
      <c r="B15" s="49">
        <v>27</v>
      </c>
      <c r="C15" s="24">
        <f>IF(B$13=0,0,B15/B$13)</f>
        <v>0.38571428571428573</v>
      </c>
      <c r="E15" s="68" t="s">
        <v>90</v>
      </c>
      <c r="F15" s="64" t="s">
        <v>43</v>
      </c>
      <c r="G15" s="50">
        <v>3</v>
      </c>
      <c r="H15" s="27">
        <f>IF(B$25=0,0,G15/B$25)</f>
        <v>3.2608695652173912E-2</v>
      </c>
      <c r="J15" s="26">
        <v>13</v>
      </c>
      <c r="K15" s="28">
        <v>-235</v>
      </c>
    </row>
    <row r="16" spans="1:16" x14ac:dyDescent="0.4">
      <c r="A16" s="57" t="s">
        <v>10</v>
      </c>
      <c r="B16" s="49">
        <f>B17+B18</f>
        <v>102</v>
      </c>
      <c r="C16" s="24">
        <f>IF(B$3=0,0,B16/B$3)</f>
        <v>0.29059829059829062</v>
      </c>
      <c r="E16" s="68" t="s">
        <v>77</v>
      </c>
      <c r="F16" s="64" t="s">
        <v>30</v>
      </c>
      <c r="G16" s="50">
        <v>2</v>
      </c>
      <c r="H16" s="27">
        <f>IF(B$25=0,0,G16/B$25)</f>
        <v>2.1739130434782608E-2</v>
      </c>
      <c r="J16" s="26">
        <v>14</v>
      </c>
      <c r="K16" s="28">
        <v>-231</v>
      </c>
    </row>
    <row r="17" spans="1:11" x14ac:dyDescent="0.4">
      <c r="A17" s="58" t="s">
        <v>11</v>
      </c>
      <c r="B17" s="50">
        <v>56</v>
      </c>
      <c r="C17" s="27">
        <f>IF(B$3=0,0,B17/B$3)</f>
        <v>0.15954415954415954</v>
      </c>
      <c r="E17" s="68" t="s">
        <v>88</v>
      </c>
      <c r="F17" s="64" t="s">
        <v>41</v>
      </c>
      <c r="G17" s="50">
        <v>2</v>
      </c>
      <c r="H17" s="27">
        <f>IF(B$25=0,0,G17/B$25)</f>
        <v>2.1739130434782608E-2</v>
      </c>
      <c r="J17" s="26">
        <v>15</v>
      </c>
      <c r="K17" s="28">
        <v>-212.5</v>
      </c>
    </row>
    <row r="18" spans="1:11" x14ac:dyDescent="0.4">
      <c r="A18" s="58" t="s">
        <v>12</v>
      </c>
      <c r="B18" s="50">
        <v>46</v>
      </c>
      <c r="C18" s="27">
        <f>IF(B$3=0,0,B18/B$3)</f>
        <v>0.13105413105413105</v>
      </c>
      <c r="E18" s="68" t="s">
        <v>81</v>
      </c>
      <c r="F18" s="64" t="s">
        <v>34</v>
      </c>
      <c r="G18" s="50">
        <v>1</v>
      </c>
      <c r="H18" s="27">
        <f>IF(B$25=0,0,G18/B$25)</f>
        <v>1.0869565217391304E-2</v>
      </c>
      <c r="J18" s="26">
        <v>16</v>
      </c>
      <c r="K18" s="28">
        <v>-233.2</v>
      </c>
    </row>
    <row r="19" spans="1:11" x14ac:dyDescent="0.4">
      <c r="A19" s="58" t="s">
        <v>13</v>
      </c>
      <c r="B19" s="50">
        <v>83</v>
      </c>
      <c r="C19" s="27">
        <f>IF(B$3=0,0,B19/B$3)</f>
        <v>0.23646723646723647</v>
      </c>
      <c r="E19" s="68" t="s">
        <v>85</v>
      </c>
      <c r="F19" s="64" t="s">
        <v>38</v>
      </c>
      <c r="G19" s="50">
        <v>1</v>
      </c>
      <c r="H19" s="27">
        <f>IF(B$25=0,0,G19/B$25)</f>
        <v>1.0869565217391304E-2</v>
      </c>
      <c r="J19" s="26">
        <v>17</v>
      </c>
      <c r="K19" s="28">
        <v>-268.7</v>
      </c>
    </row>
    <row r="20" spans="1:11" x14ac:dyDescent="0.4">
      <c r="A20" s="58" t="s">
        <v>5</v>
      </c>
      <c r="B20" s="54">
        <f>IF(B$16=0,0,C20/B$16)</f>
        <v>10748.039215686274</v>
      </c>
      <c r="C20" s="30">
        <v>1096300</v>
      </c>
      <c r="E20" s="68" t="s">
        <v>91</v>
      </c>
      <c r="F20" s="64" t="s">
        <v>44</v>
      </c>
      <c r="G20" s="50">
        <v>1</v>
      </c>
      <c r="H20" s="27">
        <f>IF(B$25=0,0,G20/B$25)</f>
        <v>1.0869565217391304E-2</v>
      </c>
      <c r="J20" s="26">
        <v>18</v>
      </c>
      <c r="K20" s="28">
        <v>-295.8</v>
      </c>
    </row>
    <row r="21" spans="1:11" x14ac:dyDescent="0.4">
      <c r="A21" s="60" t="s">
        <v>14</v>
      </c>
      <c r="B21" s="55">
        <f>IF(B$19=0,0,C21/B$19)</f>
        <v>-9938.5542168674692</v>
      </c>
      <c r="C21" s="48">
        <v>-824900</v>
      </c>
      <c r="E21" s="68" t="s">
        <v>100</v>
      </c>
      <c r="F21" s="64" t="s">
        <v>53</v>
      </c>
      <c r="G21" s="50">
        <v>1</v>
      </c>
      <c r="H21" s="27">
        <f>IF(B$25=0,0,G21/B$25)</f>
        <v>1.0869565217391304E-2</v>
      </c>
      <c r="J21" s="26">
        <v>19</v>
      </c>
      <c r="K21" s="28">
        <v>-273.2</v>
      </c>
    </row>
    <row r="22" spans="1:11" x14ac:dyDescent="0.4">
      <c r="A22" s="57" t="s">
        <v>195</v>
      </c>
      <c r="B22" s="49">
        <v>112</v>
      </c>
      <c r="C22" s="24">
        <f>IF(B$3=0,0,B22/B$3)</f>
        <v>0.31908831908831908</v>
      </c>
      <c r="E22" s="68" t="s">
        <v>80</v>
      </c>
      <c r="F22" s="64" t="s">
        <v>33</v>
      </c>
      <c r="G22" s="50">
        <v>0</v>
      </c>
      <c r="H22" s="27">
        <f>IF(B$25=0,0,G22/B$25)</f>
        <v>0</v>
      </c>
      <c r="J22" s="26">
        <v>20</v>
      </c>
      <c r="K22" s="28">
        <v>-270</v>
      </c>
    </row>
    <row r="23" spans="1:11" x14ac:dyDescent="0.4">
      <c r="A23" s="60" t="s">
        <v>196</v>
      </c>
      <c r="B23" s="52">
        <v>39</v>
      </c>
      <c r="C23" s="32">
        <f>IF(B$22=0,0,B23/B$22)</f>
        <v>0.3482142857142857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">
      <c r="A24" s="57" t="s">
        <v>128</v>
      </c>
      <c r="B24" s="80">
        <v>314</v>
      </c>
      <c r="C24" s="81"/>
      <c r="E24" s="68" t="s">
        <v>83</v>
      </c>
      <c r="F24" s="64" t="s">
        <v>36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60" t="s">
        <v>129</v>
      </c>
      <c r="B25" s="82">
        <v>92</v>
      </c>
      <c r="C25" s="83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A26" s="56" t="s">
        <v>231</v>
      </c>
      <c r="B26" s="84">
        <v>7</v>
      </c>
      <c r="C26" s="85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-325.09999999999991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-330.89999999999992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-329.19999999999993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-363.39999999999992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-350.69999999999993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0FEE6-AEFB-4D6F-849F-C85452F4039E}">
  <sheetPr codeName="Sheet14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6" t="s">
        <v>217</v>
      </c>
      <c r="C1" s="87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5</v>
      </c>
      <c r="C2" s="81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88">
        <v>46</v>
      </c>
      <c r="C3" s="89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199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0">
        <v>89</v>
      </c>
      <c r="C4" s="91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200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0">
        <f>IF(B$2=0,0,B$4/B$2)</f>
        <v>17.8</v>
      </c>
      <c r="C5" s="91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201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92">
        <f>IF(B$2=0,0,(B$7*1+B$8*2+B$9*3)/B$2)</f>
        <v>1.6</v>
      </c>
      <c r="C6" s="93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202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203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208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13</v>
      </c>
      <c r="C17" s="27">
        <f>IF(B$3=0,0,B17/B$3)</f>
        <v>0.28260869565217389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5</v>
      </c>
      <c r="C18" s="27">
        <f>IF(B$3=0,0,B18/B$3)</f>
        <v>0.10869565217391304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46</v>
      </c>
      <c r="C24" s="81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18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4">
        <v>5</v>
      </c>
      <c r="C26" s="85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18D2-E0A9-4996-BC76-F948A5007A52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6" t="s">
        <v>220</v>
      </c>
      <c r="C1" s="87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6</v>
      </c>
      <c r="C2" s="81"/>
      <c r="E2" s="67" t="s">
        <v>73</v>
      </c>
      <c r="F2" s="63" t="s">
        <v>27</v>
      </c>
      <c r="G2" s="49">
        <v>15</v>
      </c>
      <c r="H2" s="24">
        <f>IF(B$25=0,0,G2/B$25)</f>
        <v>1.6666666666666667</v>
      </c>
      <c r="J2" s="23">
        <v>0</v>
      </c>
      <c r="K2" s="25">
        <v>0</v>
      </c>
      <c r="M2" s="23" t="s">
        <v>198</v>
      </c>
      <c r="N2" s="44">
        <f t="shared" ref="N2:N7" si="0">IF(P2=0,0,O2/P2)</f>
        <v>-550</v>
      </c>
      <c r="O2" s="41">
        <v>-3300</v>
      </c>
      <c r="P2" s="39">
        <v>6</v>
      </c>
    </row>
    <row r="3" spans="1:16" x14ac:dyDescent="0.4">
      <c r="A3" s="58" t="s">
        <v>8</v>
      </c>
      <c r="B3" s="88">
        <v>43</v>
      </c>
      <c r="C3" s="89"/>
      <c r="E3" s="68" t="s">
        <v>71</v>
      </c>
      <c r="F3" s="64" t="s">
        <v>25</v>
      </c>
      <c r="G3" s="50">
        <v>9</v>
      </c>
      <c r="H3" s="27">
        <f>IF(B$25=0,0,G3/B$25)</f>
        <v>1</v>
      </c>
      <c r="J3" s="26">
        <v>1</v>
      </c>
      <c r="K3" s="28">
        <v>15</v>
      </c>
      <c r="M3" s="26" t="s">
        <v>199</v>
      </c>
      <c r="N3" s="45">
        <f t="shared" si="0"/>
        <v>4833.333333333333</v>
      </c>
      <c r="O3" s="42">
        <v>29000</v>
      </c>
      <c r="P3" s="37">
        <v>6</v>
      </c>
    </row>
    <row r="4" spans="1:16" x14ac:dyDescent="0.4">
      <c r="A4" s="58" t="s">
        <v>6</v>
      </c>
      <c r="B4" s="90">
        <v>2.2000000000000011</v>
      </c>
      <c r="C4" s="91"/>
      <c r="E4" s="68" t="s">
        <v>78</v>
      </c>
      <c r="F4" s="64" t="s">
        <v>31</v>
      </c>
      <c r="G4" s="50">
        <v>7</v>
      </c>
      <c r="H4" s="27">
        <f>IF(B$25=0,0,G4/B$25)</f>
        <v>0.77777777777777779</v>
      </c>
      <c r="J4" s="26">
        <v>2</v>
      </c>
      <c r="K4" s="28">
        <v>-24.299999999999997</v>
      </c>
      <c r="M4" s="26" t="s">
        <v>200</v>
      </c>
      <c r="N4" s="45">
        <f t="shared" si="0"/>
        <v>-2575</v>
      </c>
      <c r="O4" s="42">
        <v>-10300</v>
      </c>
      <c r="P4" s="37">
        <v>4</v>
      </c>
    </row>
    <row r="5" spans="1:16" x14ac:dyDescent="0.4">
      <c r="A5" s="58" t="s">
        <v>7</v>
      </c>
      <c r="B5" s="90">
        <f>IF(B$2=0,0,B$4/B$2)</f>
        <v>0.36666666666666686</v>
      </c>
      <c r="C5" s="91"/>
      <c r="E5" s="68" t="s">
        <v>90</v>
      </c>
      <c r="F5" s="64" t="s">
        <v>43</v>
      </c>
      <c r="G5" s="50">
        <v>4</v>
      </c>
      <c r="H5" s="27">
        <f>IF(B$25=0,0,G5/B$25)</f>
        <v>0.44444444444444442</v>
      </c>
      <c r="J5" s="26">
        <v>3</v>
      </c>
      <c r="K5" s="28">
        <v>-15.599999999999998</v>
      </c>
      <c r="M5" s="26" t="s">
        <v>201</v>
      </c>
      <c r="N5" s="45">
        <f t="shared" si="0"/>
        <v>2575</v>
      </c>
      <c r="O5" s="42">
        <v>10300</v>
      </c>
      <c r="P5" s="37">
        <v>4</v>
      </c>
    </row>
    <row r="6" spans="1:16" x14ac:dyDescent="0.4">
      <c r="A6" s="58" t="s">
        <v>1</v>
      </c>
      <c r="B6" s="92">
        <f>IF(B$2=0,0,(B$7*1+B$8*2+B$9*3)/B$2)</f>
        <v>2.3333333333333335</v>
      </c>
      <c r="C6" s="93"/>
      <c r="E6" s="68" t="s">
        <v>96</v>
      </c>
      <c r="F6" s="64" t="s">
        <v>49</v>
      </c>
      <c r="G6" s="50">
        <v>2</v>
      </c>
      <c r="H6" s="27">
        <f>IF(B$25=0,0,G6/B$25)</f>
        <v>0.22222222222222221</v>
      </c>
      <c r="J6" s="26">
        <v>4</v>
      </c>
      <c r="K6" s="28">
        <v>5.1000000000000014</v>
      </c>
      <c r="M6" s="26" t="s">
        <v>202</v>
      </c>
      <c r="N6" s="45">
        <f t="shared" si="0"/>
        <v>-4833.333333333333</v>
      </c>
      <c r="O6" s="42">
        <v>-14500</v>
      </c>
      <c r="P6" s="37">
        <v>3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69</v>
      </c>
      <c r="F7" s="64" t="s">
        <v>23</v>
      </c>
      <c r="G7" s="50">
        <v>1</v>
      </c>
      <c r="H7" s="27">
        <f>IF(B$25=0,0,G7/B$25)</f>
        <v>0.1111111111111111</v>
      </c>
      <c r="J7" s="26">
        <v>5</v>
      </c>
      <c r="K7" s="28">
        <v>9.6000000000000014</v>
      </c>
      <c r="M7" s="31" t="s">
        <v>203</v>
      </c>
      <c r="N7" s="46">
        <f t="shared" si="0"/>
        <v>-9000</v>
      </c>
      <c r="O7" s="43">
        <v>-9000</v>
      </c>
      <c r="P7" s="38">
        <v>1</v>
      </c>
    </row>
    <row r="8" spans="1:16" x14ac:dyDescent="0.4">
      <c r="A8" s="58" t="s">
        <v>3</v>
      </c>
      <c r="B8" s="50">
        <v>4</v>
      </c>
      <c r="C8" s="27">
        <f t="shared" ref="C8:C9" si="1">IF(B$2=0,0,B8/B$2)</f>
        <v>0.66666666666666663</v>
      </c>
      <c r="E8" s="68" t="s">
        <v>76</v>
      </c>
      <c r="F8" s="64" t="s">
        <v>29</v>
      </c>
      <c r="G8" s="50">
        <v>1</v>
      </c>
      <c r="H8" s="27">
        <f>IF(B$25=0,0,G8/B$25)</f>
        <v>0.1111111111111111</v>
      </c>
      <c r="J8" s="26">
        <v>6</v>
      </c>
      <c r="K8" s="28">
        <v>2.2000000000000011</v>
      </c>
    </row>
    <row r="9" spans="1:16" x14ac:dyDescent="0.4">
      <c r="A9" s="59" t="s">
        <v>4</v>
      </c>
      <c r="B9" s="51">
        <v>2</v>
      </c>
      <c r="C9" s="29">
        <f t="shared" si="1"/>
        <v>0.33333333333333331</v>
      </c>
      <c r="E9" s="68" t="s">
        <v>85</v>
      </c>
      <c r="F9" s="64" t="s">
        <v>38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1</v>
      </c>
      <c r="C10" s="29">
        <f>IF(B$2=0,0,B10/B$2)</f>
        <v>0.16666666666666666</v>
      </c>
      <c r="E10" s="68" t="s">
        <v>92</v>
      </c>
      <c r="F10" s="64" t="s">
        <v>45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70</v>
      </c>
      <c r="F11" s="64" t="s">
        <v>24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3</v>
      </c>
      <c r="C12" s="35">
        <f>IF(B$24=0,0,B12/B$24)</f>
        <v>6.9767441860465115E-2</v>
      </c>
      <c r="E12" s="68" t="s">
        <v>72</v>
      </c>
      <c r="F12" s="64" t="s">
        <v>26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21</v>
      </c>
      <c r="C13" s="27">
        <f>IF(B$24=0,0,B13/B$24)</f>
        <v>0.48837209302325579</v>
      </c>
      <c r="E13" s="68" t="s">
        <v>74</v>
      </c>
      <c r="F13" s="64" t="s">
        <v>12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0.33333333333333331</v>
      </c>
      <c r="E14" s="68" t="s">
        <v>75</v>
      </c>
      <c r="F14" s="64" t="s">
        <v>28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8</v>
      </c>
      <c r="C15" s="24">
        <f>IF(B$13=0,0,B15/B$13)</f>
        <v>0.38095238095238093</v>
      </c>
      <c r="E15" s="68" t="s">
        <v>77</v>
      </c>
      <c r="F15" s="64" t="s">
        <v>30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9</v>
      </c>
      <c r="C16" s="24">
        <f>IF(B$3=0,0,B16/B$3)</f>
        <v>0.20930232558139536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9</v>
      </c>
      <c r="C17" s="27">
        <f>IF(B$3=0,0,B17/B$3)</f>
        <v>0.20930232558139536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7</v>
      </c>
      <c r="C19" s="27">
        <f>IF(B$3=0,0,B19/B$3)</f>
        <v>0.16279069767441862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9988.8888888888887</v>
      </c>
      <c r="C20" s="30">
        <v>89900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-6914.2857142857147</v>
      </c>
      <c r="C21" s="48">
        <v>-48400</v>
      </c>
      <c r="E21" s="68" t="s">
        <v>84</v>
      </c>
      <c r="F21" s="64" t="s">
        <v>37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10</v>
      </c>
      <c r="C22" s="24">
        <f>IF(B$3=0,0,B22/B$3)</f>
        <v>0.23255813953488372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1</v>
      </c>
      <c r="C23" s="32">
        <f>IF(B$22=0,0,B23/B$22)</f>
        <v>0.1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43</v>
      </c>
      <c r="C24" s="81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9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4">
        <v>5</v>
      </c>
      <c r="C26" s="85"/>
      <c r="E26" s="68" t="s">
        <v>91</v>
      </c>
      <c r="F26" s="64" t="s">
        <v>44</v>
      </c>
      <c r="G26" s="50">
        <v>0</v>
      </c>
      <c r="H26" s="27">
        <f>IF(B$25=0,0,G26/B$25)</f>
        <v>0</v>
      </c>
    </row>
    <row r="27" spans="1:8" x14ac:dyDescent="0.4">
      <c r="E27" s="68" t="s">
        <v>93</v>
      </c>
      <c r="F27" s="64" t="s">
        <v>46</v>
      </c>
      <c r="G27" s="50">
        <v>0</v>
      </c>
      <c r="H27" s="27">
        <f>IF(B$25=0,0,G27/B$25)</f>
        <v>0</v>
      </c>
    </row>
    <row r="28" spans="1:8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</row>
    <row r="29" spans="1:8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6"/>
      <c r="C1" s="87"/>
      <c r="E1" s="66" t="s">
        <v>210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204</v>
      </c>
      <c r="N1" s="20" t="s">
        <v>206</v>
      </c>
      <c r="O1" s="40" t="s">
        <v>207</v>
      </c>
      <c r="P1" s="36" t="s">
        <v>205</v>
      </c>
    </row>
    <row r="2" spans="1:16" x14ac:dyDescent="0.4">
      <c r="A2" s="57" t="s">
        <v>9</v>
      </c>
      <c r="B2" s="80">
        <v>0</v>
      </c>
      <c r="C2" s="81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88">
        <v>0</v>
      </c>
      <c r="C3" s="89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199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90">
        <v>0</v>
      </c>
      <c r="C4" s="91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200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90">
        <f>IF(B$2=0,0,B$4/B$2)</f>
        <v>0</v>
      </c>
      <c r="C5" s="91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201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92">
        <f>IF(B$2=0,0,(B$7*1+B$8*2+B$9*3)/B$2)</f>
        <v>0</v>
      </c>
      <c r="C6" s="93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202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203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B17+B18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0">
        <v>0</v>
      </c>
      <c r="C24" s="81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A26" s="56" t="s">
        <v>231</v>
      </c>
      <c r="B26" s="84">
        <v>0</v>
      </c>
      <c r="C26" s="85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8"/>
  <sheetViews>
    <sheetView workbookViewId="0"/>
  </sheetViews>
  <sheetFormatPr defaultColWidth="9" defaultRowHeight="18.75" x14ac:dyDescent="0.4"/>
  <cols>
    <col min="1" max="1" width="16.375" style="74" bestFit="1" customWidth="1"/>
    <col min="2" max="2" width="16.875" style="75" bestFit="1" customWidth="1"/>
    <col min="3" max="16384" width="9" style="74"/>
  </cols>
  <sheetData>
    <row r="1" spans="1:14" x14ac:dyDescent="0.4">
      <c r="A1" s="73">
        <v>32874</v>
      </c>
      <c r="B1" s="73">
        <v>2958465</v>
      </c>
    </row>
    <row r="2" spans="1:14" x14ac:dyDescent="0.4">
      <c r="A2" s="74" t="s">
        <v>136</v>
      </c>
      <c r="B2" s="75">
        <v>43454.62740740741</v>
      </c>
      <c r="C2" s="74" t="s">
        <v>174</v>
      </c>
    </row>
    <row r="3" spans="1:14" x14ac:dyDescent="0.4">
      <c r="A3" s="74" t="s">
        <v>140</v>
      </c>
      <c r="B3" s="75">
        <v>43454.62740740741</v>
      </c>
      <c r="C3" s="74" t="s">
        <v>174</v>
      </c>
    </row>
    <row r="4" spans="1:14" x14ac:dyDescent="0.4">
      <c r="A4" s="74" t="s">
        <v>143</v>
      </c>
      <c r="B4" s="75">
        <v>43454.62740740741</v>
      </c>
      <c r="C4" s="74" t="s">
        <v>174</v>
      </c>
    </row>
    <row r="5" spans="1:14" x14ac:dyDescent="0.4">
      <c r="A5" s="74" t="s">
        <v>144</v>
      </c>
      <c r="B5" s="75">
        <v>43454.62740740741</v>
      </c>
      <c r="C5" s="74" t="s">
        <v>174</v>
      </c>
      <c r="D5" s="74" t="s">
        <v>175</v>
      </c>
      <c r="E5" s="74" t="s">
        <v>176</v>
      </c>
      <c r="F5" s="74" t="s">
        <v>177</v>
      </c>
      <c r="G5" s="74" t="s">
        <v>178</v>
      </c>
    </row>
    <row r="6" spans="1:14" x14ac:dyDescent="0.4">
      <c r="A6" s="74" t="s">
        <v>146</v>
      </c>
      <c r="B6" s="75">
        <v>43454.62740740741</v>
      </c>
      <c r="C6" s="74" t="s">
        <v>174</v>
      </c>
    </row>
    <row r="7" spans="1:14" x14ac:dyDescent="0.4">
      <c r="A7" s="74" t="s">
        <v>147</v>
      </c>
      <c r="B7" s="75">
        <v>43454.62740740741</v>
      </c>
      <c r="C7" s="74" t="s">
        <v>174</v>
      </c>
      <c r="D7" s="74" t="s">
        <v>175</v>
      </c>
      <c r="E7" s="74" t="s">
        <v>176</v>
      </c>
    </row>
    <row r="8" spans="1:14" x14ac:dyDescent="0.4">
      <c r="A8" s="74" t="s">
        <v>150</v>
      </c>
      <c r="B8" s="75">
        <v>43454.62740740741</v>
      </c>
      <c r="C8" s="74" t="s">
        <v>174</v>
      </c>
      <c r="D8" s="74" t="s">
        <v>175</v>
      </c>
    </row>
    <row r="9" spans="1:14" x14ac:dyDescent="0.4">
      <c r="A9" s="74" t="s">
        <v>151</v>
      </c>
      <c r="B9" s="75">
        <v>43454.62740740741</v>
      </c>
      <c r="C9" s="74" t="s">
        <v>174</v>
      </c>
      <c r="D9" s="74" t="s">
        <v>175</v>
      </c>
      <c r="E9" s="74" t="s">
        <v>176</v>
      </c>
      <c r="F9" s="74" t="s">
        <v>177</v>
      </c>
    </row>
    <row r="10" spans="1:14" x14ac:dyDescent="0.4">
      <c r="A10" s="74" t="s">
        <v>152</v>
      </c>
      <c r="B10" s="75">
        <v>43454.62740740741</v>
      </c>
      <c r="C10" s="74" t="s">
        <v>174</v>
      </c>
      <c r="D10" s="74" t="s">
        <v>175</v>
      </c>
      <c r="E10" s="74" t="s">
        <v>176</v>
      </c>
    </row>
    <row r="11" spans="1:14" x14ac:dyDescent="0.4">
      <c r="A11" s="74" t="s">
        <v>153</v>
      </c>
      <c r="B11" s="75">
        <v>43454.62740740741</v>
      </c>
      <c r="C11" s="74" t="s">
        <v>174</v>
      </c>
      <c r="D11" s="74" t="s">
        <v>175</v>
      </c>
      <c r="E11" s="74" t="s">
        <v>176</v>
      </c>
      <c r="F11" s="74" t="s">
        <v>177</v>
      </c>
      <c r="G11" s="74" t="s">
        <v>178</v>
      </c>
      <c r="H11" s="74" t="s">
        <v>179</v>
      </c>
      <c r="I11" s="74" t="s">
        <v>180</v>
      </c>
    </row>
    <row r="12" spans="1:14" x14ac:dyDescent="0.4">
      <c r="A12" s="74" t="s">
        <v>154</v>
      </c>
      <c r="B12" s="75">
        <v>43454.62740740741</v>
      </c>
      <c r="C12" s="74" t="s">
        <v>174</v>
      </c>
      <c r="D12" s="74" t="s">
        <v>175</v>
      </c>
    </row>
    <row r="13" spans="1:14" x14ac:dyDescent="0.4">
      <c r="A13" s="74" t="s">
        <v>155</v>
      </c>
      <c r="B13" s="75">
        <v>43454.62740740741</v>
      </c>
      <c r="C13" s="74" t="s">
        <v>174</v>
      </c>
      <c r="D13" s="74" t="s">
        <v>175</v>
      </c>
      <c r="E13" s="74" t="s">
        <v>176</v>
      </c>
      <c r="F13" s="74" t="s">
        <v>177</v>
      </c>
      <c r="G13" s="74" t="s">
        <v>178</v>
      </c>
      <c r="H13" s="74" t="s">
        <v>179</v>
      </c>
      <c r="I13" s="74" t="s">
        <v>180</v>
      </c>
      <c r="J13" s="74" t="s">
        <v>181</v>
      </c>
      <c r="K13" s="74" t="s">
        <v>182</v>
      </c>
      <c r="L13" s="74" t="s">
        <v>183</v>
      </c>
      <c r="M13" s="74" t="s">
        <v>184</v>
      </c>
      <c r="N13" s="74" t="s">
        <v>185</v>
      </c>
    </row>
    <row r="14" spans="1:14" x14ac:dyDescent="0.4">
      <c r="A14" s="74" t="s">
        <v>157</v>
      </c>
      <c r="B14" s="75">
        <v>43454.62740740741</v>
      </c>
      <c r="C14" s="74" t="s">
        <v>174</v>
      </c>
      <c r="D14" s="74" t="s">
        <v>175</v>
      </c>
      <c r="E14" s="74" t="s">
        <v>176</v>
      </c>
    </row>
    <row r="15" spans="1:14" x14ac:dyDescent="0.4">
      <c r="A15" s="74" t="s">
        <v>158</v>
      </c>
      <c r="B15" s="75">
        <v>43454.62740740741</v>
      </c>
      <c r="C15" s="74" t="s">
        <v>174</v>
      </c>
      <c r="D15" s="74" t="s">
        <v>175</v>
      </c>
      <c r="E15" s="74" t="s">
        <v>176</v>
      </c>
    </row>
    <row r="16" spans="1:14" x14ac:dyDescent="0.4">
      <c r="A16" s="74" t="s">
        <v>159</v>
      </c>
      <c r="B16" s="75">
        <v>43454.62740740741</v>
      </c>
      <c r="C16" s="74" t="s">
        <v>174</v>
      </c>
      <c r="D16" s="74" t="s">
        <v>175</v>
      </c>
      <c r="E16" s="74" t="s">
        <v>176</v>
      </c>
    </row>
    <row r="17" spans="1:9" x14ac:dyDescent="0.4">
      <c r="A17" s="74" t="s">
        <v>161</v>
      </c>
      <c r="B17" s="75">
        <v>43471.701018518521</v>
      </c>
      <c r="C17" s="74" t="s">
        <v>174</v>
      </c>
      <c r="D17" s="74" t="s">
        <v>175</v>
      </c>
      <c r="E17" s="74" t="s">
        <v>176</v>
      </c>
      <c r="F17" s="74" t="s">
        <v>177</v>
      </c>
      <c r="G17" s="74" t="s">
        <v>178</v>
      </c>
      <c r="H17" s="74" t="s">
        <v>179</v>
      </c>
    </row>
    <row r="18" spans="1:9" x14ac:dyDescent="0.4">
      <c r="A18" s="74" t="s">
        <v>162</v>
      </c>
      <c r="B18" s="75">
        <v>43454.62740740741</v>
      </c>
      <c r="C18" s="74" t="s">
        <v>174</v>
      </c>
      <c r="D18" s="74" t="s">
        <v>175</v>
      </c>
      <c r="E18" s="74" t="s">
        <v>176</v>
      </c>
      <c r="F18" s="74" t="s">
        <v>177</v>
      </c>
      <c r="G18" s="74" t="s">
        <v>178</v>
      </c>
      <c r="H18" s="74" t="s">
        <v>179</v>
      </c>
    </row>
    <row r="19" spans="1:9" x14ac:dyDescent="0.4">
      <c r="A19" s="74" t="s">
        <v>163</v>
      </c>
      <c r="B19" s="75">
        <v>43454.62740740741</v>
      </c>
      <c r="C19" s="74" t="s">
        <v>174</v>
      </c>
      <c r="D19" s="74" t="s">
        <v>175</v>
      </c>
    </row>
    <row r="20" spans="1:9" x14ac:dyDescent="0.4">
      <c r="A20" s="74" t="s">
        <v>164</v>
      </c>
      <c r="B20" s="75">
        <v>43471.701018518521</v>
      </c>
      <c r="C20" s="74" t="s">
        <v>174</v>
      </c>
      <c r="D20" s="74" t="s">
        <v>175</v>
      </c>
      <c r="E20" s="74" t="s">
        <v>176</v>
      </c>
    </row>
    <row r="21" spans="1:9" x14ac:dyDescent="0.4">
      <c r="A21" s="74" t="s">
        <v>165</v>
      </c>
      <c r="B21" s="75">
        <v>43454.62740740741</v>
      </c>
      <c r="C21" s="74" t="s">
        <v>174</v>
      </c>
      <c r="D21" s="74" t="s">
        <v>175</v>
      </c>
      <c r="E21" s="74" t="s">
        <v>176</v>
      </c>
      <c r="F21" s="74" t="s">
        <v>177</v>
      </c>
    </row>
    <row r="22" spans="1:9" x14ac:dyDescent="0.4">
      <c r="A22" s="74" t="s">
        <v>166</v>
      </c>
      <c r="B22" s="75">
        <v>43454.62740740741</v>
      </c>
      <c r="C22" s="74" t="s">
        <v>174</v>
      </c>
      <c r="D22" s="74" t="s">
        <v>175</v>
      </c>
      <c r="E22" s="74" t="s">
        <v>176</v>
      </c>
      <c r="F22" s="74" t="s">
        <v>177</v>
      </c>
    </row>
    <row r="23" spans="1:9" x14ac:dyDescent="0.4">
      <c r="A23" s="74" t="s">
        <v>167</v>
      </c>
      <c r="B23" s="75">
        <v>43454.62740740741</v>
      </c>
      <c r="C23" s="74" t="s">
        <v>174</v>
      </c>
      <c r="D23" s="74" t="s">
        <v>175</v>
      </c>
      <c r="E23" s="74" t="s">
        <v>176</v>
      </c>
      <c r="F23" s="74" t="s">
        <v>177</v>
      </c>
      <c r="G23" s="74" t="s">
        <v>178</v>
      </c>
      <c r="H23" s="74" t="s">
        <v>179</v>
      </c>
      <c r="I23" s="74" t="s">
        <v>180</v>
      </c>
    </row>
    <row r="24" spans="1:9" x14ac:dyDescent="0.4">
      <c r="A24" s="74" t="s">
        <v>168</v>
      </c>
      <c r="B24" s="75">
        <v>43454.62740740741</v>
      </c>
      <c r="C24" s="74" t="s">
        <v>174</v>
      </c>
      <c r="D24" s="74" t="s">
        <v>175</v>
      </c>
      <c r="E24" s="74" t="s">
        <v>176</v>
      </c>
    </row>
    <row r="25" spans="1:9" x14ac:dyDescent="0.4">
      <c r="A25" s="74" t="s">
        <v>169</v>
      </c>
      <c r="B25" s="75">
        <v>43454.62740740741</v>
      </c>
      <c r="C25" s="74" t="s">
        <v>174</v>
      </c>
      <c r="D25" s="74" t="s">
        <v>175</v>
      </c>
      <c r="E25" s="74" t="s">
        <v>176</v>
      </c>
      <c r="F25" s="74" t="s">
        <v>177</v>
      </c>
      <c r="G25" s="74" t="s">
        <v>178</v>
      </c>
      <c r="H25" s="74" t="s">
        <v>179</v>
      </c>
    </row>
    <row r="26" spans="1:9" x14ac:dyDescent="0.4">
      <c r="A26" s="74" t="s">
        <v>170</v>
      </c>
      <c r="B26" s="75">
        <v>43454.62740740741</v>
      </c>
      <c r="C26" s="74" t="s">
        <v>174</v>
      </c>
      <c r="D26" s="74" t="s">
        <v>175</v>
      </c>
    </row>
    <row r="27" spans="1:9" x14ac:dyDescent="0.4">
      <c r="A27" s="74" t="s">
        <v>171</v>
      </c>
      <c r="B27" s="75">
        <v>43454.62740740741</v>
      </c>
      <c r="C27" s="74" t="s">
        <v>174</v>
      </c>
      <c r="D27" s="74" t="s">
        <v>175</v>
      </c>
    </row>
    <row r="28" spans="1:9" x14ac:dyDescent="0.4">
      <c r="A28" s="74" t="s">
        <v>172</v>
      </c>
      <c r="B28" s="75">
        <v>43454.62740740741</v>
      </c>
      <c r="C28" s="74" t="s">
        <v>174</v>
      </c>
      <c r="D28" s="74" t="s">
        <v>175</v>
      </c>
      <c r="E28" s="74" t="s">
        <v>176</v>
      </c>
      <c r="F28" s="74" t="s">
        <v>177</v>
      </c>
    </row>
    <row r="29" spans="1:9" x14ac:dyDescent="0.4">
      <c r="A29" s="74" t="s">
        <v>173</v>
      </c>
      <c r="B29" s="75">
        <v>43455.084918981483</v>
      </c>
      <c r="C29" s="74" t="s">
        <v>174</v>
      </c>
      <c r="D29" s="74" t="s">
        <v>175</v>
      </c>
      <c r="E29" s="74" t="s">
        <v>176</v>
      </c>
      <c r="F29" s="74" t="s">
        <v>177</v>
      </c>
      <c r="G29" s="74" t="s">
        <v>178</v>
      </c>
      <c r="H29" s="74" t="s">
        <v>179</v>
      </c>
    </row>
    <row r="30" spans="1:9" x14ac:dyDescent="0.4">
      <c r="A30" s="74" t="s">
        <v>194</v>
      </c>
      <c r="B30" s="75">
        <v>43456.147789351853</v>
      </c>
      <c r="C30" s="74" t="s">
        <v>174</v>
      </c>
      <c r="D30" s="74" t="s">
        <v>175</v>
      </c>
      <c r="E30" s="74" t="s">
        <v>176</v>
      </c>
      <c r="F30" s="74" t="s">
        <v>177</v>
      </c>
      <c r="G30" s="74" t="s">
        <v>178</v>
      </c>
    </row>
    <row r="31" spans="1:9" x14ac:dyDescent="0.4">
      <c r="A31" s="74" t="s">
        <v>211</v>
      </c>
      <c r="B31" s="75">
        <v>43471.8909375</v>
      </c>
      <c r="C31" s="74" t="s">
        <v>174</v>
      </c>
      <c r="D31" s="74" t="s">
        <v>175</v>
      </c>
      <c r="E31" s="74" t="s">
        <v>176</v>
      </c>
      <c r="F31" s="74" t="s">
        <v>177</v>
      </c>
    </row>
    <row r="32" spans="1:9" x14ac:dyDescent="0.4">
      <c r="A32" s="74" t="s">
        <v>212</v>
      </c>
      <c r="B32" s="75">
        <v>43475.056238425925</v>
      </c>
      <c r="C32" s="74" t="s">
        <v>174</v>
      </c>
    </row>
    <row r="33" spans="1:10" x14ac:dyDescent="0.4">
      <c r="A33" s="74" t="s">
        <v>213</v>
      </c>
      <c r="B33" s="75">
        <v>43478.456446759257</v>
      </c>
      <c r="C33" s="74" t="s">
        <v>174</v>
      </c>
      <c r="D33" s="74" t="s">
        <v>175</v>
      </c>
      <c r="E33" s="74" t="s">
        <v>176</v>
      </c>
    </row>
    <row r="34" spans="1:10" x14ac:dyDescent="0.4">
      <c r="A34" s="74" t="s">
        <v>216</v>
      </c>
      <c r="B34" s="75">
        <v>43479.152256944442</v>
      </c>
      <c r="C34" s="74" t="s">
        <v>174</v>
      </c>
      <c r="D34" s="74" t="s">
        <v>175</v>
      </c>
      <c r="E34" s="74" t="s">
        <v>176</v>
      </c>
      <c r="F34" s="74" t="s">
        <v>177</v>
      </c>
      <c r="G34" s="74" t="s">
        <v>178</v>
      </c>
      <c r="H34" s="74" t="s">
        <v>179</v>
      </c>
      <c r="I34" s="74" t="s">
        <v>180</v>
      </c>
      <c r="J34" s="74" t="s">
        <v>181</v>
      </c>
    </row>
    <row r="35" spans="1:10" x14ac:dyDescent="0.4">
      <c r="A35" s="74" t="s">
        <v>221</v>
      </c>
      <c r="B35" s="75">
        <v>43480.04891203704</v>
      </c>
      <c r="C35" s="74" t="s">
        <v>174</v>
      </c>
      <c r="D35" s="74" t="s">
        <v>175</v>
      </c>
      <c r="E35" s="74" t="s">
        <v>176</v>
      </c>
      <c r="F35" s="74" t="s">
        <v>177</v>
      </c>
      <c r="G35" s="74" t="s">
        <v>178</v>
      </c>
      <c r="H35" s="74" t="s">
        <v>179</v>
      </c>
      <c r="I35" s="74" t="s">
        <v>180</v>
      </c>
      <c r="J35" s="74" t="s">
        <v>181</v>
      </c>
    </row>
    <row r="36" spans="1:10" x14ac:dyDescent="0.4">
      <c r="A36" s="74" t="s">
        <v>228</v>
      </c>
      <c r="B36" s="75">
        <v>43481.046527777777</v>
      </c>
      <c r="C36" s="74" t="s">
        <v>174</v>
      </c>
      <c r="D36" s="74" t="s">
        <v>175</v>
      </c>
      <c r="E36" s="74" t="s">
        <v>176</v>
      </c>
    </row>
    <row r="37" spans="1:10" x14ac:dyDescent="0.4">
      <c r="A37" s="74" t="s">
        <v>229</v>
      </c>
      <c r="B37" s="75">
        <v>43482.020208333335</v>
      </c>
      <c r="C37" s="74" t="s">
        <v>174</v>
      </c>
      <c r="D37" s="74" t="s">
        <v>175</v>
      </c>
    </row>
    <row r="38" spans="1:10" x14ac:dyDescent="0.4">
      <c r="A38" s="74" t="s">
        <v>230</v>
      </c>
      <c r="B38" s="75">
        <v>43483.027349537035</v>
      </c>
      <c r="C38" s="74" t="s">
        <v>174</v>
      </c>
      <c r="D38" s="74" t="s">
        <v>175</v>
      </c>
      <c r="E38" s="74" t="s">
        <v>176</v>
      </c>
      <c r="F38" s="74" t="s">
        <v>177</v>
      </c>
      <c r="G38" s="74" t="s">
        <v>178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2019-01-17T15:44:41Z</dcterms:modified>
</cp:coreProperties>
</file>